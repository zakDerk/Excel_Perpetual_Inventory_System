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20" yWindow="-120" windowWidth="24240" windowHeight="13140"/>
  </bookViews>
  <sheets>
    <sheet name="Inventaire des produits" sheetId="1" r:id="rId1"/>
    <sheet name="entrant" sheetId="2" r:id="rId2"/>
    <sheet name="vente" sheetId="3" r:id="rId3"/>
    <sheet name="rechercher produit" sheetId="4" r:id="rId4"/>
    <sheet name="chercheur fourni" sheetId="5" r:id="rId5"/>
    <sheet name="chercheur client" sheetId="6" r:id="rId6"/>
    <sheet name="Rapp.journal" sheetId="7" r:id="rId7"/>
  </sheets>
  <definedNames>
    <definedName name="_xlnm._FilterDatabase" localSheetId="5" hidden="1">'chercheur client'!$Z$6:$Z$2591</definedName>
    <definedName name="_xlnm._FilterDatabase" localSheetId="0" hidden="1">'Inventaire des produits'!$B$3:$K$1001</definedName>
    <definedName name="_xlnm._FilterDatabase" localSheetId="2" hidden="1">vente!$B$3:$I$811</definedName>
    <definedName name="_xlnm.Extract" localSheetId="5">'chercheur client'!$Y$6:$Y$2591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155" i="3" l="1"/>
  <c r="H2160" i="3"/>
  <c r="I2160" i="3"/>
  <c r="J2160" i="3" s="1"/>
  <c r="L2160" i="3"/>
  <c r="F2160" i="3"/>
  <c r="I2159" i="3" l="1"/>
  <c r="J2159" i="3" s="1"/>
  <c r="L2159" i="3"/>
  <c r="F2159" i="3"/>
  <c r="H2158" i="3"/>
  <c r="H2157" i="3" l="1"/>
  <c r="I2157" i="3"/>
  <c r="J2157" i="3" s="1"/>
  <c r="L2157" i="3"/>
  <c r="I2158" i="3"/>
  <c r="J2158" i="3" s="1"/>
  <c r="L2158" i="3"/>
  <c r="F2157" i="3"/>
  <c r="F2158" i="3"/>
  <c r="G754" i="2" l="1"/>
  <c r="G551" i="1" l="1"/>
  <c r="G550" i="1"/>
  <c r="G549" i="1"/>
  <c r="G548" i="1"/>
  <c r="G547" i="1"/>
  <c r="G546" i="1"/>
  <c r="H2156" i="3" l="1"/>
  <c r="G2155" i="3"/>
  <c r="M2150" i="3" l="1"/>
  <c r="M2135" i="3" l="1"/>
  <c r="M2114" i="3" l="1"/>
  <c r="M2104" i="3" l="1"/>
  <c r="G544" i="1"/>
  <c r="G541" i="1" l="1"/>
  <c r="G540" i="1" l="1"/>
  <c r="G538" i="1"/>
  <c r="G537" i="1" l="1"/>
  <c r="G536" i="1" l="1"/>
  <c r="G535" i="1"/>
  <c r="G533" i="1" l="1"/>
  <c r="H2103" i="3" l="1"/>
  <c r="H2102" i="3" l="1"/>
  <c r="F2099" i="3"/>
  <c r="F2100" i="3"/>
  <c r="F2101" i="3"/>
  <c r="F2102" i="3"/>
  <c r="F2103" i="3"/>
  <c r="F2104" i="3"/>
  <c r="H2096" i="3" l="1"/>
  <c r="H2095" i="3"/>
  <c r="I2095" i="3" s="1"/>
  <c r="J2095" i="3" s="1"/>
  <c r="L2095" i="3"/>
  <c r="F2095" i="3"/>
  <c r="H2092" i="3" l="1"/>
  <c r="M2072" i="3" l="1"/>
  <c r="M2080" i="3"/>
  <c r="M2085" i="3"/>
  <c r="M2076" i="3"/>
  <c r="M2051" i="3" l="1"/>
  <c r="M2040" i="3" l="1"/>
  <c r="M2028" i="3" l="1"/>
  <c r="M1889" i="3"/>
  <c r="M1884" i="3"/>
  <c r="M2015" i="3" l="1"/>
  <c r="M2004" i="3" l="1"/>
  <c r="M1993" i="3"/>
  <c r="M1969" i="3" l="1"/>
  <c r="M1982" i="3"/>
  <c r="M1965" i="3" l="1"/>
  <c r="H1968" i="3"/>
  <c r="M1957" i="3" l="1"/>
  <c r="M1944" i="3" l="1"/>
  <c r="L1954" i="3"/>
  <c r="I1954" i="3"/>
  <c r="J1954" i="3" s="1"/>
  <c r="F1954" i="3"/>
  <c r="L1953" i="3"/>
  <c r="I1953" i="3"/>
  <c r="J1953" i="3" s="1"/>
  <c r="F1953" i="3"/>
  <c r="L1952" i="3"/>
  <c r="I1952" i="3"/>
  <c r="J1952" i="3" s="1"/>
  <c r="F1952" i="3"/>
  <c r="L1951" i="3"/>
  <c r="J1951" i="3"/>
  <c r="I1951" i="3"/>
  <c r="F1951" i="3"/>
  <c r="L1950" i="3"/>
  <c r="J1950" i="3"/>
  <c r="I1950" i="3"/>
  <c r="F1950" i="3"/>
  <c r="L1949" i="3"/>
  <c r="I1949" i="3"/>
  <c r="J1949" i="3" s="1"/>
  <c r="F1949" i="3"/>
  <c r="L1948" i="3"/>
  <c r="I1948" i="3"/>
  <c r="J1948" i="3" s="1"/>
  <c r="F1948" i="3"/>
  <c r="L1947" i="3"/>
  <c r="I1947" i="3"/>
  <c r="J1947" i="3" s="1"/>
  <c r="F1947" i="3"/>
  <c r="L1946" i="3"/>
  <c r="I1946" i="3"/>
  <c r="J1946" i="3" s="1"/>
  <c r="F1946" i="3"/>
  <c r="L1945" i="3"/>
  <c r="J1945" i="3"/>
  <c r="I1945" i="3"/>
  <c r="F1945" i="3"/>
  <c r="L1944" i="3"/>
  <c r="I1944" i="3"/>
  <c r="J1944" i="3" s="1"/>
  <c r="F1944" i="3"/>
  <c r="H1943" i="3" l="1"/>
  <c r="H1942" i="3"/>
  <c r="I1932" i="3" l="1"/>
  <c r="J1932" i="3" s="1"/>
  <c r="L1932" i="3"/>
  <c r="F1932" i="3"/>
  <c r="H1913" i="3" l="1"/>
  <c r="H1912" i="3" l="1"/>
  <c r="I1889" i="3" l="1"/>
  <c r="J1889" i="3" s="1"/>
  <c r="L1889" i="3"/>
  <c r="I1890" i="3"/>
  <c r="J1890" i="3" s="1"/>
  <c r="L1890" i="3"/>
  <c r="I1891" i="3"/>
  <c r="J1891" i="3" s="1"/>
  <c r="L1891" i="3"/>
  <c r="I1892" i="3"/>
  <c r="J1892" i="3" s="1"/>
  <c r="L1892" i="3"/>
  <c r="I1893" i="3"/>
  <c r="J1893" i="3" s="1"/>
  <c r="L1893" i="3"/>
  <c r="I1894" i="3"/>
  <c r="J1894" i="3" s="1"/>
  <c r="L1894" i="3"/>
  <c r="I1895" i="3"/>
  <c r="J1895" i="3" s="1"/>
  <c r="L1895" i="3"/>
  <c r="I1896" i="3"/>
  <c r="J1896" i="3" s="1"/>
  <c r="L1896" i="3"/>
  <c r="I1897" i="3"/>
  <c r="J1897" i="3" s="1"/>
  <c r="L1897" i="3"/>
  <c r="F1889" i="3"/>
  <c r="F1890" i="3"/>
  <c r="F1891" i="3"/>
  <c r="F1892" i="3"/>
  <c r="F1893" i="3"/>
  <c r="F1894" i="3"/>
  <c r="F1895" i="3"/>
  <c r="F1896" i="3"/>
  <c r="L1904" i="3" l="1"/>
  <c r="I1904" i="3"/>
  <c r="J1904" i="3" s="1"/>
  <c r="F1904" i="3"/>
  <c r="H1905" i="3" l="1"/>
  <c r="G1833" i="3" l="1"/>
  <c r="I1832" i="3" l="1"/>
  <c r="J1832" i="3" s="1"/>
  <c r="L1832" i="3"/>
  <c r="I1833" i="3"/>
  <c r="J1833" i="3" s="1"/>
  <c r="L1833" i="3"/>
  <c r="I1834" i="3"/>
  <c r="J1834" i="3" s="1"/>
  <c r="L1834" i="3"/>
  <c r="I1835" i="3"/>
  <c r="J1835" i="3" s="1"/>
  <c r="L1835" i="3"/>
  <c r="F1832" i="3"/>
  <c r="F1833" i="3"/>
  <c r="F1834" i="3"/>
  <c r="F1835" i="3"/>
  <c r="M1832" i="3" l="1"/>
  <c r="L1828" i="3"/>
  <c r="L1829" i="3"/>
  <c r="L1830" i="3"/>
  <c r="L1831" i="3"/>
  <c r="I1828" i="3"/>
  <c r="J1828" i="3" s="1"/>
  <c r="I1829" i="3"/>
  <c r="J1829" i="3" s="1"/>
  <c r="I1830" i="3"/>
  <c r="J1830" i="3" s="1"/>
  <c r="I1831" i="3"/>
  <c r="J1831" i="3" s="1"/>
  <c r="F1828" i="3"/>
  <c r="F1829" i="3"/>
  <c r="F1830" i="3"/>
  <c r="F1831" i="3"/>
  <c r="M1828" i="3" l="1"/>
  <c r="I1841" i="3"/>
  <c r="J1841" i="3" s="1"/>
  <c r="M1841" i="3" s="1"/>
  <c r="L1841" i="3"/>
  <c r="I1842" i="3"/>
  <c r="J1842" i="3"/>
  <c r="L1842" i="3"/>
  <c r="I1843" i="3"/>
  <c r="J1843" i="3" s="1"/>
  <c r="L1843" i="3"/>
  <c r="I1844" i="3"/>
  <c r="J1844" i="3" s="1"/>
  <c r="L1844" i="3"/>
  <c r="I1845" i="3"/>
  <c r="J1845" i="3" s="1"/>
  <c r="L1845" i="3"/>
  <c r="I1846" i="3"/>
  <c r="J1846" i="3" s="1"/>
  <c r="L1846" i="3"/>
  <c r="I1847" i="3"/>
  <c r="J1847" i="3" s="1"/>
  <c r="L1847" i="3"/>
  <c r="I1848" i="3"/>
  <c r="J1848" i="3"/>
  <c r="L1848" i="3"/>
  <c r="I1849" i="3"/>
  <c r="J1849" i="3" s="1"/>
  <c r="L1849" i="3"/>
  <c r="I1850" i="3"/>
  <c r="J1850" i="3" s="1"/>
  <c r="L1850" i="3"/>
  <c r="I1851" i="3"/>
  <c r="J1851" i="3" s="1"/>
  <c r="L1851" i="3"/>
  <c r="I1852" i="3"/>
  <c r="J1852" i="3"/>
  <c r="L1852" i="3"/>
  <c r="I1853" i="3"/>
  <c r="J1853" i="3" s="1"/>
  <c r="L1853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G519" i="1" l="1"/>
  <c r="G518" i="1"/>
  <c r="H1823" i="3" l="1"/>
  <c r="H1822" i="3"/>
  <c r="F1274" i="3" l="1"/>
  <c r="I1274" i="3"/>
  <c r="J1274" i="3" s="1"/>
  <c r="M1274" i="3" s="1"/>
  <c r="L1274" i="3"/>
  <c r="H1801" i="3" l="1"/>
  <c r="H1796" i="3" l="1"/>
  <c r="H1782" i="3" l="1"/>
  <c r="L1787" i="3" l="1"/>
  <c r="I1787" i="3"/>
  <c r="J1787" i="3" s="1"/>
  <c r="F1787" i="3"/>
  <c r="L1786" i="3"/>
  <c r="I1786" i="3"/>
  <c r="J1786" i="3" s="1"/>
  <c r="F1786" i="3"/>
  <c r="L1785" i="3"/>
  <c r="I1785" i="3"/>
  <c r="J1785" i="3" s="1"/>
  <c r="F1785" i="3"/>
  <c r="L1784" i="3"/>
  <c r="J1784" i="3"/>
  <c r="I1784" i="3"/>
  <c r="F1784" i="3"/>
  <c r="L1783" i="3"/>
  <c r="I1783" i="3"/>
  <c r="J1783" i="3" s="1"/>
  <c r="F1783" i="3"/>
  <c r="M1783" i="3" l="1"/>
  <c r="C1" i="6"/>
  <c r="H1774" i="3" l="1"/>
  <c r="H1773" i="3"/>
  <c r="F1727" i="3" l="1"/>
  <c r="L1727" i="3"/>
  <c r="H1727" i="3"/>
  <c r="I1727" i="3" s="1"/>
  <c r="J1727" i="3" s="1"/>
  <c r="H1729" i="3" l="1"/>
  <c r="H1728" i="3"/>
  <c r="H1761" i="3" l="1"/>
  <c r="H1667" i="3" l="1"/>
  <c r="H1658" i="3" l="1"/>
  <c r="H1653" i="3" l="1"/>
  <c r="H1637" i="3" l="1"/>
  <c r="H1639" i="3"/>
  <c r="H1634" i="3" l="1"/>
  <c r="F1619" i="3" l="1"/>
  <c r="H1615" i="3" l="1"/>
  <c r="G1618" i="3"/>
  <c r="G1612" i="3" l="1"/>
  <c r="H1612" i="3"/>
  <c r="H1613" i="3"/>
  <c r="H1614" i="3" l="1"/>
  <c r="G1615" i="3"/>
  <c r="H1540" i="3" l="1"/>
  <c r="H1611" i="3" l="1"/>
  <c r="A177" i="1" l="1"/>
  <c r="H1574" i="3" l="1"/>
  <c r="F19" i="2" l="1"/>
  <c r="G635" i="2"/>
  <c r="G485" i="1" l="1"/>
  <c r="G628" i="2" l="1"/>
  <c r="G483" i="1"/>
  <c r="G626" i="2"/>
  <c r="G480" i="1"/>
  <c r="F1563" i="3" l="1"/>
  <c r="G313" i="1" l="1"/>
  <c r="H1527" i="3" l="1"/>
  <c r="H1526" i="3"/>
  <c r="I1526" i="3"/>
  <c r="J1526" i="3" s="1"/>
  <c r="L1526" i="3"/>
  <c r="F1526" i="3"/>
  <c r="H1525" i="3"/>
  <c r="I1525" i="3" s="1"/>
  <c r="J1525" i="3" s="1"/>
  <c r="H1524" i="3"/>
  <c r="I1524" i="3" s="1"/>
  <c r="J1524" i="3" s="1"/>
  <c r="I1521" i="3"/>
  <c r="J1521" i="3" s="1"/>
  <c r="L1521" i="3"/>
  <c r="I1522" i="3"/>
  <c r="J1522" i="3" s="1"/>
  <c r="L1522" i="3"/>
  <c r="I1523" i="3"/>
  <c r="J1523" i="3" s="1"/>
  <c r="L1523" i="3"/>
  <c r="L1524" i="3"/>
  <c r="L1525" i="3"/>
  <c r="I1527" i="3"/>
  <c r="J1527" i="3" s="1"/>
  <c r="L1527" i="3"/>
  <c r="F1521" i="3"/>
  <c r="F1522" i="3"/>
  <c r="F1523" i="3"/>
  <c r="F1524" i="3"/>
  <c r="F1525" i="3"/>
  <c r="F1527" i="3"/>
  <c r="I1514" i="3"/>
  <c r="J1514" i="3" s="1"/>
  <c r="L1514" i="3"/>
  <c r="I1515" i="3"/>
  <c r="J1515" i="3" s="1"/>
  <c r="L1515" i="3"/>
  <c r="I1516" i="3"/>
  <c r="J1516" i="3" s="1"/>
  <c r="L1516" i="3"/>
  <c r="I1517" i="3"/>
  <c r="J1517" i="3" s="1"/>
  <c r="L1517" i="3"/>
  <c r="I1518" i="3"/>
  <c r="J1518" i="3" s="1"/>
  <c r="L1518" i="3"/>
  <c r="I1519" i="3"/>
  <c r="J1519" i="3" s="1"/>
  <c r="L1519" i="3"/>
  <c r="I1520" i="3"/>
  <c r="J1520" i="3" s="1"/>
  <c r="L1520" i="3"/>
  <c r="F1514" i="3"/>
  <c r="F1515" i="3"/>
  <c r="F1516" i="3"/>
  <c r="F1517" i="3"/>
  <c r="F1518" i="3"/>
  <c r="F1519" i="3"/>
  <c r="F1520" i="3"/>
  <c r="M1514" i="3" l="1"/>
  <c r="H1532" i="3"/>
  <c r="G607" i="2" l="1"/>
  <c r="G474" i="1"/>
  <c r="G606" i="2" l="1"/>
  <c r="F1513" i="3" l="1"/>
  <c r="F1528" i="3"/>
  <c r="H1417" i="3" l="1"/>
  <c r="H1381" i="3" l="1"/>
  <c r="H1380" i="3"/>
  <c r="H1378" i="3" l="1"/>
  <c r="H1376" i="3"/>
  <c r="H1375" i="3"/>
  <c r="H1377" i="3"/>
  <c r="H1379" i="3"/>
  <c r="H1373" i="3" l="1"/>
  <c r="H1372" i="3" l="1"/>
  <c r="H1370" i="3" l="1"/>
  <c r="I1370" i="3" s="1"/>
  <c r="J1370" i="3" s="1"/>
  <c r="H1369" i="3"/>
  <c r="H1368" i="3"/>
  <c r="L1370" i="3"/>
  <c r="F1370" i="3"/>
  <c r="G471" i="1" l="1"/>
  <c r="H1349" i="3" l="1"/>
  <c r="L1318" i="3" l="1"/>
  <c r="L1319" i="3"/>
  <c r="L1320" i="3"/>
  <c r="L1321" i="3"/>
  <c r="L1322" i="3"/>
  <c r="I1318" i="3"/>
  <c r="J1318" i="3" s="1"/>
  <c r="I1319" i="3"/>
  <c r="J1319" i="3" s="1"/>
  <c r="I1320" i="3"/>
  <c r="J1320" i="3" s="1"/>
  <c r="I1321" i="3"/>
  <c r="J1321" i="3" s="1"/>
  <c r="I1322" i="3"/>
  <c r="J1322" i="3" s="1"/>
  <c r="F1318" i="3"/>
  <c r="F1319" i="3"/>
  <c r="F1320" i="3"/>
  <c r="F1321" i="3"/>
  <c r="F1322" i="3"/>
  <c r="M1318" i="3" l="1"/>
  <c r="I1323" i="3"/>
  <c r="J1323" i="3" s="1"/>
  <c r="L1323" i="3"/>
  <c r="I1324" i="3"/>
  <c r="J1324" i="3" s="1"/>
  <c r="L1324" i="3"/>
  <c r="I1325" i="3"/>
  <c r="J1325" i="3" s="1"/>
  <c r="L1325" i="3"/>
  <c r="F1323" i="3"/>
  <c r="F1324" i="3"/>
  <c r="F1325" i="3"/>
  <c r="H1338" i="3" l="1"/>
  <c r="G465" i="1" l="1"/>
  <c r="G464" i="1"/>
  <c r="G463" i="1"/>
  <c r="G462" i="1"/>
  <c r="G461" i="1"/>
  <c r="G457" i="1" l="1"/>
  <c r="G458" i="1"/>
  <c r="K579" i="2"/>
  <c r="G456" i="1"/>
  <c r="G579" i="2"/>
  <c r="G454" i="1"/>
  <c r="D1001" i="1" l="1"/>
  <c r="E1001" i="1"/>
  <c r="I1001" i="1"/>
  <c r="F1001" i="1" l="1"/>
  <c r="J1001" i="1" s="1"/>
  <c r="H1313" i="3"/>
  <c r="H1281" i="3" l="1"/>
  <c r="H1282" i="3"/>
  <c r="H1280" i="3"/>
  <c r="H1279" i="3"/>
  <c r="D4" i="1" l="1"/>
  <c r="D5" i="1"/>
  <c r="D6" i="1"/>
  <c r="D7" i="1"/>
  <c r="D8" i="1"/>
  <c r="D9" i="1"/>
  <c r="D10" i="1"/>
  <c r="D11" i="1"/>
  <c r="E4" i="1"/>
  <c r="E5" i="1"/>
  <c r="E6" i="1"/>
  <c r="E7" i="1"/>
  <c r="E8" i="1"/>
  <c r="E9" i="1"/>
  <c r="E10" i="1"/>
  <c r="F8" i="1" l="1"/>
  <c r="F6" i="1"/>
  <c r="F9" i="1"/>
  <c r="F5" i="1"/>
  <c r="F7" i="1"/>
  <c r="F4" i="1"/>
  <c r="H2447" i="2"/>
  <c r="I2447" i="2" s="1"/>
  <c r="H19" i="2"/>
  <c r="I19" i="2" s="1"/>
  <c r="H573" i="2"/>
  <c r="I573" i="2" s="1"/>
  <c r="H574" i="2"/>
  <c r="I574" i="2" s="1"/>
  <c r="H577" i="2"/>
  <c r="I577" i="2" s="1"/>
  <c r="H578" i="2"/>
  <c r="I578" i="2" s="1"/>
  <c r="H581" i="2"/>
  <c r="I581" i="2" s="1"/>
  <c r="H584" i="2"/>
  <c r="I584" i="2" s="1"/>
  <c r="H585" i="2"/>
  <c r="I585" i="2" s="1"/>
  <c r="H586" i="2"/>
  <c r="I586" i="2" s="1"/>
  <c r="H588" i="2"/>
  <c r="I588" i="2" s="1"/>
  <c r="H589" i="2"/>
  <c r="I589" i="2" s="1"/>
  <c r="H590" i="2"/>
  <c r="I590" i="2" s="1"/>
  <c r="H591" i="2"/>
  <c r="I591" i="2" s="1"/>
  <c r="H592" i="2"/>
  <c r="I592" i="2" s="1"/>
  <c r="H595" i="2"/>
  <c r="I595" i="2" s="1"/>
  <c r="H596" i="2"/>
  <c r="I596" i="2" s="1"/>
  <c r="H597" i="2"/>
  <c r="I597" i="2" s="1"/>
  <c r="H598" i="2"/>
  <c r="I598" i="2" s="1"/>
  <c r="H599" i="2"/>
  <c r="I599" i="2" s="1"/>
  <c r="H600" i="2"/>
  <c r="I600" i="2" s="1"/>
  <c r="H601" i="2"/>
  <c r="I601" i="2" s="1"/>
  <c r="H602" i="2"/>
  <c r="I602" i="2" s="1"/>
  <c r="H603" i="2"/>
  <c r="I603" i="2" s="1"/>
  <c r="H604" i="2"/>
  <c r="I604" i="2" s="1"/>
  <c r="H605" i="2"/>
  <c r="I605" i="2" s="1"/>
  <c r="H606" i="2"/>
  <c r="I606" i="2" s="1"/>
  <c r="H607" i="2"/>
  <c r="I607" i="2" s="1"/>
  <c r="H608" i="2"/>
  <c r="I608" i="2" s="1"/>
  <c r="H609" i="2"/>
  <c r="I609" i="2" s="1"/>
  <c r="H610" i="2"/>
  <c r="I610" i="2" s="1"/>
  <c r="H613" i="2"/>
  <c r="I613" i="2" s="1"/>
  <c r="H614" i="2"/>
  <c r="I614" i="2" s="1"/>
  <c r="H615" i="2"/>
  <c r="I615" i="2" s="1"/>
  <c r="H616" i="2"/>
  <c r="I616" i="2" s="1"/>
  <c r="H617" i="2"/>
  <c r="I617" i="2" s="1"/>
  <c r="H618" i="2"/>
  <c r="I618" i="2" s="1"/>
  <c r="H619" i="2"/>
  <c r="I619" i="2" s="1"/>
  <c r="H620" i="2"/>
  <c r="I620" i="2" s="1"/>
  <c r="H621" i="2"/>
  <c r="I621" i="2" s="1"/>
  <c r="H622" i="2"/>
  <c r="I622" i="2" s="1"/>
  <c r="H623" i="2"/>
  <c r="I623" i="2" s="1"/>
  <c r="H624" i="2"/>
  <c r="I624" i="2" s="1"/>
  <c r="H625" i="2"/>
  <c r="I625" i="2" s="1"/>
  <c r="H626" i="2"/>
  <c r="I626" i="2" s="1"/>
  <c r="H627" i="2"/>
  <c r="I627" i="2" s="1"/>
  <c r="H628" i="2"/>
  <c r="I628" i="2" s="1"/>
  <c r="H629" i="2"/>
  <c r="I629" i="2" s="1"/>
  <c r="H630" i="2"/>
  <c r="I630" i="2" s="1"/>
  <c r="H631" i="2"/>
  <c r="I631" i="2" s="1"/>
  <c r="H632" i="2"/>
  <c r="I632" i="2" s="1"/>
  <c r="H633" i="2"/>
  <c r="I633" i="2" s="1"/>
  <c r="H634" i="2"/>
  <c r="I634" i="2" s="1"/>
  <c r="H635" i="2"/>
  <c r="I635" i="2" s="1"/>
  <c r="H636" i="2"/>
  <c r="I636" i="2" s="1"/>
  <c r="H637" i="2"/>
  <c r="I637" i="2" s="1"/>
  <c r="H638" i="2"/>
  <c r="I638" i="2" s="1"/>
  <c r="H639" i="2"/>
  <c r="I639" i="2" s="1"/>
  <c r="H640" i="2"/>
  <c r="I640" i="2" s="1"/>
  <c r="H641" i="2"/>
  <c r="I641" i="2" s="1"/>
  <c r="H642" i="2"/>
  <c r="I642" i="2" s="1"/>
  <c r="H643" i="2"/>
  <c r="I643" i="2" s="1"/>
  <c r="H644" i="2"/>
  <c r="I644" i="2" s="1"/>
  <c r="H645" i="2"/>
  <c r="I645" i="2" s="1"/>
  <c r="H646" i="2"/>
  <c r="I646" i="2" s="1"/>
  <c r="H647" i="2"/>
  <c r="I647" i="2" s="1"/>
  <c r="H648" i="2"/>
  <c r="I648" i="2" s="1"/>
  <c r="H649" i="2"/>
  <c r="I649" i="2" s="1"/>
  <c r="H650" i="2"/>
  <c r="I650" i="2" s="1"/>
  <c r="H651" i="2"/>
  <c r="I651" i="2" s="1"/>
  <c r="H652" i="2"/>
  <c r="I652" i="2" s="1"/>
  <c r="H653" i="2"/>
  <c r="I653" i="2" s="1"/>
  <c r="H654" i="2"/>
  <c r="I654" i="2" s="1"/>
  <c r="H655" i="2"/>
  <c r="I655" i="2" s="1"/>
  <c r="H656" i="2"/>
  <c r="I656" i="2" s="1"/>
  <c r="H657" i="2"/>
  <c r="I657" i="2" s="1"/>
  <c r="H658" i="2"/>
  <c r="I658" i="2" s="1"/>
  <c r="H659" i="2"/>
  <c r="I659" i="2" s="1"/>
  <c r="H660" i="2"/>
  <c r="I660" i="2" s="1"/>
  <c r="H661" i="2"/>
  <c r="I661" i="2" s="1"/>
  <c r="H662" i="2"/>
  <c r="I662" i="2" s="1"/>
  <c r="H663" i="2"/>
  <c r="I663" i="2" s="1"/>
  <c r="H664" i="2"/>
  <c r="I664" i="2" s="1"/>
  <c r="H665" i="2"/>
  <c r="I665" i="2" s="1"/>
  <c r="H666" i="2"/>
  <c r="I666" i="2" s="1"/>
  <c r="H667" i="2"/>
  <c r="I667" i="2" s="1"/>
  <c r="H668" i="2"/>
  <c r="I668" i="2" s="1"/>
  <c r="H669" i="2"/>
  <c r="I669" i="2" s="1"/>
  <c r="H670" i="2"/>
  <c r="I670" i="2" s="1"/>
  <c r="H671" i="2"/>
  <c r="I671" i="2" s="1"/>
  <c r="H672" i="2"/>
  <c r="I672" i="2" s="1"/>
  <c r="H673" i="2"/>
  <c r="I673" i="2" s="1"/>
  <c r="H674" i="2"/>
  <c r="I674" i="2" s="1"/>
  <c r="H675" i="2"/>
  <c r="I675" i="2" s="1"/>
  <c r="H676" i="2"/>
  <c r="I676" i="2" s="1"/>
  <c r="H678" i="2"/>
  <c r="I678" i="2" s="1"/>
  <c r="H679" i="2"/>
  <c r="I679" i="2" s="1"/>
  <c r="H680" i="2"/>
  <c r="I680" i="2" s="1"/>
  <c r="H681" i="2"/>
  <c r="I681" i="2" s="1"/>
  <c r="H682" i="2"/>
  <c r="I682" i="2" s="1"/>
  <c r="H683" i="2"/>
  <c r="I683" i="2" s="1"/>
  <c r="H684" i="2"/>
  <c r="I684" i="2" s="1"/>
  <c r="H685" i="2"/>
  <c r="I685" i="2" s="1"/>
  <c r="H686" i="2"/>
  <c r="I686" i="2" s="1"/>
  <c r="H687" i="2"/>
  <c r="I687" i="2" s="1"/>
  <c r="H688" i="2"/>
  <c r="I688" i="2" s="1"/>
  <c r="H689" i="2"/>
  <c r="I689" i="2" s="1"/>
  <c r="H690" i="2"/>
  <c r="I690" i="2" s="1"/>
  <c r="H692" i="2"/>
  <c r="I692" i="2" s="1"/>
  <c r="H693" i="2"/>
  <c r="I693" i="2" s="1"/>
  <c r="H694" i="2"/>
  <c r="I694" i="2" s="1"/>
  <c r="H695" i="2"/>
  <c r="I695" i="2" s="1"/>
  <c r="H696" i="2"/>
  <c r="I696" i="2" s="1"/>
  <c r="H697" i="2"/>
  <c r="I697" i="2" s="1"/>
  <c r="H698" i="2"/>
  <c r="I698" i="2" s="1"/>
  <c r="H699" i="2"/>
  <c r="I699" i="2" s="1"/>
  <c r="H700" i="2"/>
  <c r="I700" i="2" s="1"/>
  <c r="H701" i="2"/>
  <c r="I701" i="2" s="1"/>
  <c r="H703" i="2"/>
  <c r="I703" i="2" s="1"/>
  <c r="H704" i="2"/>
  <c r="I704" i="2" s="1"/>
  <c r="H705" i="2"/>
  <c r="I705" i="2" s="1"/>
  <c r="H706" i="2"/>
  <c r="I706" i="2" s="1"/>
  <c r="H707" i="2"/>
  <c r="I707" i="2" s="1"/>
  <c r="H708" i="2"/>
  <c r="I708" i="2" s="1"/>
  <c r="H709" i="2"/>
  <c r="I709" i="2" s="1"/>
  <c r="H710" i="2"/>
  <c r="I710" i="2" s="1"/>
  <c r="H711" i="2"/>
  <c r="I711" i="2" s="1"/>
  <c r="H712" i="2"/>
  <c r="I712" i="2" s="1"/>
  <c r="H713" i="2"/>
  <c r="I713" i="2" s="1"/>
  <c r="H714" i="2"/>
  <c r="I714" i="2" s="1"/>
  <c r="H716" i="2"/>
  <c r="I716" i="2" s="1"/>
  <c r="H717" i="2"/>
  <c r="I717" i="2" s="1"/>
  <c r="H719" i="2"/>
  <c r="I719" i="2" s="1"/>
  <c r="H720" i="2"/>
  <c r="I720" i="2" s="1"/>
  <c r="H721" i="2"/>
  <c r="I721" i="2" s="1"/>
  <c r="H722" i="2"/>
  <c r="I722" i="2" s="1"/>
  <c r="H723" i="2"/>
  <c r="I723" i="2" s="1"/>
  <c r="H724" i="2"/>
  <c r="I724" i="2" s="1"/>
  <c r="H725" i="2"/>
  <c r="I725" i="2" s="1"/>
  <c r="H726" i="2"/>
  <c r="I726" i="2" s="1"/>
  <c r="H727" i="2"/>
  <c r="I727" i="2" s="1"/>
  <c r="H728" i="2"/>
  <c r="I728" i="2" s="1"/>
  <c r="H729" i="2"/>
  <c r="I729" i="2" s="1"/>
  <c r="H730" i="2"/>
  <c r="I730" i="2" s="1"/>
  <c r="H731" i="2"/>
  <c r="I731" i="2" s="1"/>
  <c r="H732" i="2"/>
  <c r="I732" i="2" s="1"/>
  <c r="H733" i="2"/>
  <c r="I733" i="2" s="1"/>
  <c r="H734" i="2"/>
  <c r="I734" i="2" s="1"/>
  <c r="H735" i="2"/>
  <c r="I735" i="2" s="1"/>
  <c r="H736" i="2"/>
  <c r="I736" i="2" s="1"/>
  <c r="H737" i="2"/>
  <c r="I737" i="2" s="1"/>
  <c r="H738" i="2"/>
  <c r="I738" i="2" s="1"/>
  <c r="H739" i="2"/>
  <c r="I739" i="2" s="1"/>
  <c r="H740" i="2"/>
  <c r="I740" i="2" s="1"/>
  <c r="H741" i="2"/>
  <c r="I741" i="2" s="1"/>
  <c r="H743" i="2"/>
  <c r="I743" i="2" s="1"/>
  <c r="H744" i="2"/>
  <c r="I744" i="2" s="1"/>
  <c r="H745" i="2"/>
  <c r="I745" i="2" s="1"/>
  <c r="H746" i="2"/>
  <c r="I746" i="2" s="1"/>
  <c r="H747" i="2"/>
  <c r="I747" i="2" s="1"/>
  <c r="H748" i="2"/>
  <c r="I748" i="2" s="1"/>
  <c r="H749" i="2"/>
  <c r="I749" i="2" s="1"/>
  <c r="H750" i="2"/>
  <c r="I750" i="2" s="1"/>
  <c r="H754" i="2"/>
  <c r="I754" i="2" s="1"/>
  <c r="J754" i="2" s="1"/>
  <c r="H755" i="2"/>
  <c r="I755" i="2" s="1"/>
  <c r="H756" i="2"/>
  <c r="I756" i="2" s="1"/>
  <c r="H757" i="2"/>
  <c r="I757" i="2" s="1"/>
  <c r="H758" i="2"/>
  <c r="I758" i="2" s="1"/>
  <c r="H759" i="2"/>
  <c r="I759" i="2" s="1"/>
  <c r="H760" i="2"/>
  <c r="I760" i="2" s="1"/>
  <c r="H761" i="2"/>
  <c r="I761" i="2" s="1"/>
  <c r="H762" i="2"/>
  <c r="I762" i="2" s="1"/>
  <c r="H763" i="2"/>
  <c r="I763" i="2" s="1"/>
  <c r="H764" i="2"/>
  <c r="I764" i="2" s="1"/>
  <c r="H765" i="2"/>
  <c r="I765" i="2" s="1"/>
  <c r="H766" i="2"/>
  <c r="I766" i="2" s="1"/>
  <c r="H767" i="2"/>
  <c r="I767" i="2" s="1"/>
  <c r="H768" i="2"/>
  <c r="I768" i="2" s="1"/>
  <c r="H769" i="2"/>
  <c r="I769" i="2" s="1"/>
  <c r="H770" i="2"/>
  <c r="I770" i="2" s="1"/>
  <c r="H771" i="2"/>
  <c r="I771" i="2" s="1"/>
  <c r="H772" i="2"/>
  <c r="I772" i="2" s="1"/>
  <c r="H773" i="2"/>
  <c r="I773" i="2" s="1"/>
  <c r="H774" i="2"/>
  <c r="I774" i="2" s="1"/>
  <c r="H775" i="2"/>
  <c r="I775" i="2" s="1"/>
  <c r="H776" i="2"/>
  <c r="I776" i="2" s="1"/>
  <c r="H777" i="2"/>
  <c r="I777" i="2" s="1"/>
  <c r="H778" i="2"/>
  <c r="I778" i="2" s="1"/>
  <c r="H779" i="2"/>
  <c r="I779" i="2" s="1"/>
  <c r="H780" i="2"/>
  <c r="I780" i="2" s="1"/>
  <c r="H781" i="2"/>
  <c r="I781" i="2" s="1"/>
  <c r="H782" i="2"/>
  <c r="I782" i="2" s="1"/>
  <c r="H783" i="2"/>
  <c r="I783" i="2" s="1"/>
  <c r="H784" i="2"/>
  <c r="I784" i="2" s="1"/>
  <c r="H785" i="2"/>
  <c r="I785" i="2" s="1"/>
  <c r="H786" i="2"/>
  <c r="I786" i="2" s="1"/>
  <c r="H787" i="2"/>
  <c r="I787" i="2" s="1"/>
  <c r="H788" i="2"/>
  <c r="I788" i="2" s="1"/>
  <c r="H789" i="2"/>
  <c r="I789" i="2" s="1"/>
  <c r="H790" i="2"/>
  <c r="I790" i="2" s="1"/>
  <c r="H791" i="2"/>
  <c r="I791" i="2" s="1"/>
  <c r="H792" i="2"/>
  <c r="I792" i="2" s="1"/>
  <c r="H793" i="2"/>
  <c r="I793" i="2" s="1"/>
  <c r="H794" i="2"/>
  <c r="I794" i="2" s="1"/>
  <c r="H795" i="2"/>
  <c r="I795" i="2" s="1"/>
  <c r="H796" i="2"/>
  <c r="I796" i="2" s="1"/>
  <c r="H797" i="2"/>
  <c r="I797" i="2" s="1"/>
  <c r="H798" i="2"/>
  <c r="I798" i="2" s="1"/>
  <c r="H799" i="2"/>
  <c r="I799" i="2" s="1"/>
  <c r="H800" i="2"/>
  <c r="I800" i="2" s="1"/>
  <c r="H801" i="2"/>
  <c r="I801" i="2" s="1"/>
  <c r="H802" i="2"/>
  <c r="I802" i="2" s="1"/>
  <c r="H803" i="2"/>
  <c r="I803" i="2" s="1"/>
  <c r="H804" i="2"/>
  <c r="I804" i="2" s="1"/>
  <c r="H805" i="2"/>
  <c r="I805" i="2" s="1"/>
  <c r="H806" i="2"/>
  <c r="I806" i="2" s="1"/>
  <c r="H807" i="2"/>
  <c r="I807" i="2" s="1"/>
  <c r="H808" i="2"/>
  <c r="I808" i="2" s="1"/>
  <c r="H809" i="2"/>
  <c r="I809" i="2" s="1"/>
  <c r="H810" i="2"/>
  <c r="I810" i="2" s="1"/>
  <c r="H811" i="2"/>
  <c r="I811" i="2" s="1"/>
  <c r="H812" i="2"/>
  <c r="I812" i="2" s="1"/>
  <c r="H813" i="2"/>
  <c r="I813" i="2" s="1"/>
  <c r="H814" i="2"/>
  <c r="I814" i="2" s="1"/>
  <c r="H815" i="2"/>
  <c r="I815" i="2" s="1"/>
  <c r="H816" i="2"/>
  <c r="I816" i="2" s="1"/>
  <c r="H817" i="2"/>
  <c r="I817" i="2" s="1"/>
  <c r="H818" i="2"/>
  <c r="I818" i="2" s="1"/>
  <c r="H819" i="2"/>
  <c r="I819" i="2" s="1"/>
  <c r="H820" i="2"/>
  <c r="I820" i="2" s="1"/>
  <c r="H821" i="2"/>
  <c r="I821" i="2" s="1"/>
  <c r="H822" i="2"/>
  <c r="I822" i="2" s="1"/>
  <c r="H823" i="2"/>
  <c r="I823" i="2" s="1"/>
  <c r="H824" i="2"/>
  <c r="I824" i="2" s="1"/>
  <c r="H825" i="2"/>
  <c r="I825" i="2" s="1"/>
  <c r="H826" i="2"/>
  <c r="I826" i="2" s="1"/>
  <c r="H827" i="2"/>
  <c r="I827" i="2" s="1"/>
  <c r="H828" i="2"/>
  <c r="I828" i="2" s="1"/>
  <c r="H829" i="2"/>
  <c r="I829" i="2" s="1"/>
  <c r="H830" i="2"/>
  <c r="I830" i="2" s="1"/>
  <c r="H831" i="2"/>
  <c r="I831" i="2" s="1"/>
  <c r="H832" i="2"/>
  <c r="I832" i="2" s="1"/>
  <c r="H833" i="2"/>
  <c r="I833" i="2" s="1"/>
  <c r="H834" i="2"/>
  <c r="I834" i="2" s="1"/>
  <c r="H835" i="2"/>
  <c r="I835" i="2" s="1"/>
  <c r="H836" i="2"/>
  <c r="I836" i="2" s="1"/>
  <c r="H837" i="2"/>
  <c r="I837" i="2" s="1"/>
  <c r="H838" i="2"/>
  <c r="I838" i="2" s="1"/>
  <c r="H839" i="2"/>
  <c r="I839" i="2" s="1"/>
  <c r="H840" i="2"/>
  <c r="I840" i="2" s="1"/>
  <c r="H841" i="2"/>
  <c r="I841" i="2" s="1"/>
  <c r="H842" i="2"/>
  <c r="I842" i="2" s="1"/>
  <c r="H843" i="2"/>
  <c r="I843" i="2" s="1"/>
  <c r="H844" i="2"/>
  <c r="I844" i="2" s="1"/>
  <c r="H845" i="2"/>
  <c r="I845" i="2" s="1"/>
  <c r="H846" i="2"/>
  <c r="I846" i="2" s="1"/>
  <c r="H847" i="2"/>
  <c r="I847" i="2" s="1"/>
  <c r="H848" i="2"/>
  <c r="I848" i="2" s="1"/>
  <c r="H849" i="2"/>
  <c r="I849" i="2" s="1"/>
  <c r="H850" i="2"/>
  <c r="I850" i="2" s="1"/>
  <c r="H851" i="2"/>
  <c r="I851" i="2" s="1"/>
  <c r="H852" i="2"/>
  <c r="I852" i="2" s="1"/>
  <c r="H853" i="2"/>
  <c r="I853" i="2" s="1"/>
  <c r="H854" i="2"/>
  <c r="I854" i="2" s="1"/>
  <c r="H855" i="2"/>
  <c r="I855" i="2" s="1"/>
  <c r="H856" i="2"/>
  <c r="I856" i="2" s="1"/>
  <c r="H857" i="2"/>
  <c r="I857" i="2" s="1"/>
  <c r="H858" i="2"/>
  <c r="I858" i="2" s="1"/>
  <c r="H859" i="2"/>
  <c r="I859" i="2" s="1"/>
  <c r="H860" i="2"/>
  <c r="I860" i="2" s="1"/>
  <c r="H861" i="2"/>
  <c r="I861" i="2" s="1"/>
  <c r="H862" i="2"/>
  <c r="I862" i="2" s="1"/>
  <c r="H863" i="2"/>
  <c r="I863" i="2" s="1"/>
  <c r="H864" i="2"/>
  <c r="I864" i="2" s="1"/>
  <c r="H865" i="2"/>
  <c r="I865" i="2" s="1"/>
  <c r="H866" i="2"/>
  <c r="I866" i="2" s="1"/>
  <c r="H867" i="2"/>
  <c r="I867" i="2" s="1"/>
  <c r="H868" i="2"/>
  <c r="I868" i="2" s="1"/>
  <c r="H869" i="2"/>
  <c r="I869" i="2" s="1"/>
  <c r="H870" i="2"/>
  <c r="I870" i="2" s="1"/>
  <c r="H871" i="2"/>
  <c r="I871" i="2" s="1"/>
  <c r="H872" i="2"/>
  <c r="I872" i="2" s="1"/>
  <c r="H873" i="2"/>
  <c r="I873" i="2" s="1"/>
  <c r="H874" i="2"/>
  <c r="I874" i="2" s="1"/>
  <c r="H875" i="2"/>
  <c r="I875" i="2" s="1"/>
  <c r="H876" i="2"/>
  <c r="I876" i="2" s="1"/>
  <c r="H877" i="2"/>
  <c r="I877" i="2" s="1"/>
  <c r="H878" i="2"/>
  <c r="I878" i="2" s="1"/>
  <c r="H879" i="2"/>
  <c r="I879" i="2" s="1"/>
  <c r="H880" i="2"/>
  <c r="I880" i="2" s="1"/>
  <c r="H881" i="2"/>
  <c r="I881" i="2" s="1"/>
  <c r="H882" i="2"/>
  <c r="I882" i="2" s="1"/>
  <c r="H883" i="2"/>
  <c r="I883" i="2" s="1"/>
  <c r="H884" i="2"/>
  <c r="I884" i="2" s="1"/>
  <c r="H885" i="2"/>
  <c r="I885" i="2" s="1"/>
  <c r="H886" i="2"/>
  <c r="I886" i="2" s="1"/>
  <c r="H887" i="2"/>
  <c r="I887" i="2" s="1"/>
  <c r="H888" i="2"/>
  <c r="I888" i="2" s="1"/>
  <c r="H889" i="2"/>
  <c r="I889" i="2" s="1"/>
  <c r="H890" i="2"/>
  <c r="I890" i="2" s="1"/>
  <c r="H891" i="2"/>
  <c r="I891" i="2" s="1"/>
  <c r="H892" i="2"/>
  <c r="I892" i="2" s="1"/>
  <c r="H893" i="2"/>
  <c r="I893" i="2" s="1"/>
  <c r="H894" i="2"/>
  <c r="I894" i="2" s="1"/>
  <c r="H895" i="2"/>
  <c r="I895" i="2" s="1"/>
  <c r="H896" i="2"/>
  <c r="I896" i="2" s="1"/>
  <c r="H897" i="2"/>
  <c r="I897" i="2" s="1"/>
  <c r="H898" i="2"/>
  <c r="I898" i="2" s="1"/>
  <c r="H899" i="2"/>
  <c r="I899" i="2" s="1"/>
  <c r="H900" i="2"/>
  <c r="I900" i="2" s="1"/>
  <c r="H901" i="2"/>
  <c r="I901" i="2" s="1"/>
  <c r="H902" i="2"/>
  <c r="I902" i="2" s="1"/>
  <c r="H903" i="2"/>
  <c r="I903" i="2" s="1"/>
  <c r="H904" i="2"/>
  <c r="I904" i="2" s="1"/>
  <c r="H905" i="2"/>
  <c r="I905" i="2" s="1"/>
  <c r="H906" i="2"/>
  <c r="I906" i="2" s="1"/>
  <c r="H907" i="2"/>
  <c r="I907" i="2" s="1"/>
  <c r="H908" i="2"/>
  <c r="I908" i="2" s="1"/>
  <c r="H909" i="2"/>
  <c r="I909" i="2" s="1"/>
  <c r="H910" i="2"/>
  <c r="I910" i="2" s="1"/>
  <c r="H911" i="2"/>
  <c r="I911" i="2" s="1"/>
  <c r="H912" i="2"/>
  <c r="I912" i="2" s="1"/>
  <c r="H913" i="2"/>
  <c r="I913" i="2" s="1"/>
  <c r="H914" i="2"/>
  <c r="I914" i="2" s="1"/>
  <c r="H915" i="2"/>
  <c r="I915" i="2" s="1"/>
  <c r="H916" i="2"/>
  <c r="I916" i="2" s="1"/>
  <c r="H917" i="2"/>
  <c r="I917" i="2" s="1"/>
  <c r="H918" i="2"/>
  <c r="I918" i="2" s="1"/>
  <c r="H919" i="2"/>
  <c r="I919" i="2" s="1"/>
  <c r="H920" i="2"/>
  <c r="I920" i="2" s="1"/>
  <c r="H921" i="2"/>
  <c r="I921" i="2" s="1"/>
  <c r="H922" i="2"/>
  <c r="I922" i="2" s="1"/>
  <c r="H923" i="2"/>
  <c r="I923" i="2" s="1"/>
  <c r="H924" i="2"/>
  <c r="I924" i="2" s="1"/>
  <c r="H925" i="2"/>
  <c r="I925" i="2" s="1"/>
  <c r="H926" i="2"/>
  <c r="I926" i="2" s="1"/>
  <c r="H927" i="2"/>
  <c r="I927" i="2" s="1"/>
  <c r="H928" i="2"/>
  <c r="I928" i="2" s="1"/>
  <c r="H929" i="2"/>
  <c r="I929" i="2" s="1"/>
  <c r="H930" i="2"/>
  <c r="I930" i="2" s="1"/>
  <c r="H931" i="2"/>
  <c r="I931" i="2" s="1"/>
  <c r="H932" i="2"/>
  <c r="I932" i="2" s="1"/>
  <c r="H933" i="2"/>
  <c r="I933" i="2" s="1"/>
  <c r="H934" i="2"/>
  <c r="I934" i="2" s="1"/>
  <c r="H935" i="2"/>
  <c r="I935" i="2" s="1"/>
  <c r="H936" i="2"/>
  <c r="I936" i="2" s="1"/>
  <c r="H937" i="2"/>
  <c r="I937" i="2" s="1"/>
  <c r="H938" i="2"/>
  <c r="I938" i="2" s="1"/>
  <c r="H939" i="2"/>
  <c r="I939" i="2" s="1"/>
  <c r="H940" i="2"/>
  <c r="I940" i="2" s="1"/>
  <c r="H941" i="2"/>
  <c r="I941" i="2" s="1"/>
  <c r="H942" i="2"/>
  <c r="I942" i="2" s="1"/>
  <c r="H943" i="2"/>
  <c r="I943" i="2" s="1"/>
  <c r="H944" i="2"/>
  <c r="I944" i="2" s="1"/>
  <c r="H945" i="2"/>
  <c r="I945" i="2" s="1"/>
  <c r="H946" i="2"/>
  <c r="I946" i="2" s="1"/>
  <c r="H947" i="2"/>
  <c r="I947" i="2" s="1"/>
  <c r="H948" i="2"/>
  <c r="I948" i="2" s="1"/>
  <c r="H949" i="2"/>
  <c r="I949" i="2" s="1"/>
  <c r="H950" i="2"/>
  <c r="I950" i="2" s="1"/>
  <c r="H951" i="2"/>
  <c r="I951" i="2" s="1"/>
  <c r="H952" i="2"/>
  <c r="I952" i="2" s="1"/>
  <c r="H953" i="2"/>
  <c r="I953" i="2" s="1"/>
  <c r="H954" i="2"/>
  <c r="I954" i="2" s="1"/>
  <c r="H955" i="2"/>
  <c r="I955" i="2" s="1"/>
  <c r="H956" i="2"/>
  <c r="I956" i="2" s="1"/>
  <c r="H957" i="2"/>
  <c r="I957" i="2" s="1"/>
  <c r="H958" i="2"/>
  <c r="I958" i="2" s="1"/>
  <c r="H959" i="2"/>
  <c r="I959" i="2" s="1"/>
  <c r="H960" i="2"/>
  <c r="I960" i="2" s="1"/>
  <c r="H961" i="2"/>
  <c r="I961" i="2" s="1"/>
  <c r="H962" i="2"/>
  <c r="I962" i="2" s="1"/>
  <c r="H963" i="2"/>
  <c r="I963" i="2" s="1"/>
  <c r="H964" i="2"/>
  <c r="I964" i="2" s="1"/>
  <c r="H965" i="2"/>
  <c r="I965" i="2" s="1"/>
  <c r="H966" i="2"/>
  <c r="I966" i="2" s="1"/>
  <c r="H967" i="2"/>
  <c r="I967" i="2" s="1"/>
  <c r="H968" i="2"/>
  <c r="I968" i="2" s="1"/>
  <c r="H969" i="2"/>
  <c r="I969" i="2" s="1"/>
  <c r="H970" i="2"/>
  <c r="I970" i="2" s="1"/>
  <c r="H971" i="2"/>
  <c r="I971" i="2" s="1"/>
  <c r="H972" i="2"/>
  <c r="I972" i="2" s="1"/>
  <c r="H973" i="2"/>
  <c r="I973" i="2" s="1"/>
  <c r="H974" i="2"/>
  <c r="I974" i="2" s="1"/>
  <c r="H975" i="2"/>
  <c r="I975" i="2" s="1"/>
  <c r="H976" i="2"/>
  <c r="I976" i="2" s="1"/>
  <c r="H977" i="2"/>
  <c r="I977" i="2" s="1"/>
  <c r="H978" i="2"/>
  <c r="I978" i="2" s="1"/>
  <c r="H979" i="2"/>
  <c r="I979" i="2" s="1"/>
  <c r="H980" i="2"/>
  <c r="I980" i="2" s="1"/>
  <c r="H981" i="2"/>
  <c r="I981" i="2" s="1"/>
  <c r="H982" i="2"/>
  <c r="I982" i="2" s="1"/>
  <c r="H983" i="2"/>
  <c r="I983" i="2" s="1"/>
  <c r="H984" i="2"/>
  <c r="I984" i="2" s="1"/>
  <c r="H985" i="2"/>
  <c r="I985" i="2" s="1"/>
  <c r="H986" i="2"/>
  <c r="I986" i="2" s="1"/>
  <c r="H987" i="2"/>
  <c r="I987" i="2" s="1"/>
  <c r="H988" i="2"/>
  <c r="I988" i="2" s="1"/>
  <c r="H989" i="2"/>
  <c r="I989" i="2" s="1"/>
  <c r="H990" i="2"/>
  <c r="I990" i="2" s="1"/>
  <c r="H991" i="2"/>
  <c r="I991" i="2" s="1"/>
  <c r="H992" i="2"/>
  <c r="I992" i="2" s="1"/>
  <c r="H993" i="2"/>
  <c r="I993" i="2" s="1"/>
  <c r="H994" i="2"/>
  <c r="I994" i="2" s="1"/>
  <c r="H995" i="2"/>
  <c r="I995" i="2" s="1"/>
  <c r="H996" i="2"/>
  <c r="I996" i="2" s="1"/>
  <c r="H997" i="2"/>
  <c r="I997" i="2" s="1"/>
  <c r="H998" i="2"/>
  <c r="I998" i="2" s="1"/>
  <c r="H999" i="2"/>
  <c r="I999" i="2" s="1"/>
  <c r="H1000" i="2"/>
  <c r="I1000" i="2" s="1"/>
  <c r="H1001" i="2"/>
  <c r="I1001" i="2" s="1"/>
  <c r="H1002" i="2"/>
  <c r="I1002" i="2" s="1"/>
  <c r="H1003" i="2"/>
  <c r="I1003" i="2" s="1"/>
  <c r="H1004" i="2"/>
  <c r="I1004" i="2" s="1"/>
  <c r="H1005" i="2"/>
  <c r="I1005" i="2" s="1"/>
  <c r="H1006" i="2"/>
  <c r="I1006" i="2" s="1"/>
  <c r="H1007" i="2"/>
  <c r="I1007" i="2" s="1"/>
  <c r="H1008" i="2"/>
  <c r="I1008" i="2" s="1"/>
  <c r="H1009" i="2"/>
  <c r="I1009" i="2" s="1"/>
  <c r="H1010" i="2"/>
  <c r="I1010" i="2" s="1"/>
  <c r="H1011" i="2"/>
  <c r="I1011" i="2" s="1"/>
  <c r="H1012" i="2"/>
  <c r="I1012" i="2" s="1"/>
  <c r="H1013" i="2"/>
  <c r="I1013" i="2" s="1"/>
  <c r="H1014" i="2"/>
  <c r="I1014" i="2" s="1"/>
  <c r="H1015" i="2"/>
  <c r="I1015" i="2" s="1"/>
  <c r="H1016" i="2"/>
  <c r="I1016" i="2" s="1"/>
  <c r="H1017" i="2"/>
  <c r="I1017" i="2" s="1"/>
  <c r="H1018" i="2"/>
  <c r="I1018" i="2" s="1"/>
  <c r="H1019" i="2"/>
  <c r="I1019" i="2" s="1"/>
  <c r="H1020" i="2"/>
  <c r="I1020" i="2" s="1"/>
  <c r="H1021" i="2"/>
  <c r="I1021" i="2" s="1"/>
  <c r="H1022" i="2"/>
  <c r="I1022" i="2" s="1"/>
  <c r="H1023" i="2"/>
  <c r="I1023" i="2" s="1"/>
  <c r="H1024" i="2"/>
  <c r="I1024" i="2" s="1"/>
  <c r="H1025" i="2"/>
  <c r="I1025" i="2" s="1"/>
  <c r="H1026" i="2"/>
  <c r="I1026" i="2" s="1"/>
  <c r="H1027" i="2"/>
  <c r="I1027" i="2" s="1"/>
  <c r="H1028" i="2"/>
  <c r="I1028" i="2" s="1"/>
  <c r="H1029" i="2"/>
  <c r="I1029" i="2" s="1"/>
  <c r="H1030" i="2"/>
  <c r="I1030" i="2" s="1"/>
  <c r="H1031" i="2"/>
  <c r="I1031" i="2" s="1"/>
  <c r="H1032" i="2"/>
  <c r="I1032" i="2" s="1"/>
  <c r="H1033" i="2"/>
  <c r="I1033" i="2" s="1"/>
  <c r="H1034" i="2"/>
  <c r="I1034" i="2" s="1"/>
  <c r="H1035" i="2"/>
  <c r="I1035" i="2" s="1"/>
  <c r="H1036" i="2"/>
  <c r="I1036" i="2" s="1"/>
  <c r="H1037" i="2"/>
  <c r="I1037" i="2" s="1"/>
  <c r="H1038" i="2"/>
  <c r="I1038" i="2" s="1"/>
  <c r="H1039" i="2"/>
  <c r="I1039" i="2" s="1"/>
  <c r="H1040" i="2"/>
  <c r="I1040" i="2" s="1"/>
  <c r="H1041" i="2"/>
  <c r="I1041" i="2" s="1"/>
  <c r="H1042" i="2"/>
  <c r="I1042" i="2" s="1"/>
  <c r="H1043" i="2"/>
  <c r="I1043" i="2" s="1"/>
  <c r="H1044" i="2"/>
  <c r="I1044" i="2" s="1"/>
  <c r="H1045" i="2"/>
  <c r="I1045" i="2" s="1"/>
  <c r="H1046" i="2"/>
  <c r="I1046" i="2" s="1"/>
  <c r="H1047" i="2"/>
  <c r="I1047" i="2" s="1"/>
  <c r="H1048" i="2"/>
  <c r="I1048" i="2" s="1"/>
  <c r="H1049" i="2"/>
  <c r="I1049" i="2" s="1"/>
  <c r="H1050" i="2"/>
  <c r="I1050" i="2" s="1"/>
  <c r="H1051" i="2"/>
  <c r="I1051" i="2" s="1"/>
  <c r="H1052" i="2"/>
  <c r="I1052" i="2" s="1"/>
  <c r="H1053" i="2"/>
  <c r="I1053" i="2" s="1"/>
  <c r="H1054" i="2"/>
  <c r="I1054" i="2" s="1"/>
  <c r="H1055" i="2"/>
  <c r="I1055" i="2" s="1"/>
  <c r="H1056" i="2"/>
  <c r="I1056" i="2" s="1"/>
  <c r="H1057" i="2"/>
  <c r="I1057" i="2" s="1"/>
  <c r="H1058" i="2"/>
  <c r="I1058" i="2" s="1"/>
  <c r="H1059" i="2"/>
  <c r="I1059" i="2" s="1"/>
  <c r="H1060" i="2"/>
  <c r="I1060" i="2" s="1"/>
  <c r="H1061" i="2"/>
  <c r="I1061" i="2" s="1"/>
  <c r="H1062" i="2"/>
  <c r="I1062" i="2" s="1"/>
  <c r="H1063" i="2"/>
  <c r="I1063" i="2" s="1"/>
  <c r="H1064" i="2"/>
  <c r="I1064" i="2" s="1"/>
  <c r="H1065" i="2"/>
  <c r="I1065" i="2" s="1"/>
  <c r="H1066" i="2"/>
  <c r="I1066" i="2" s="1"/>
  <c r="H1067" i="2"/>
  <c r="I1067" i="2" s="1"/>
  <c r="H1068" i="2"/>
  <c r="I1068" i="2" s="1"/>
  <c r="H1069" i="2"/>
  <c r="I1069" i="2" s="1"/>
  <c r="H1070" i="2"/>
  <c r="I1070" i="2" s="1"/>
  <c r="H1071" i="2"/>
  <c r="I1071" i="2" s="1"/>
  <c r="H1072" i="2"/>
  <c r="I1072" i="2" s="1"/>
  <c r="H1073" i="2"/>
  <c r="I1073" i="2" s="1"/>
  <c r="H1074" i="2"/>
  <c r="I1074" i="2" s="1"/>
  <c r="H1075" i="2"/>
  <c r="I1075" i="2" s="1"/>
  <c r="H1076" i="2"/>
  <c r="I1076" i="2" s="1"/>
  <c r="H1077" i="2"/>
  <c r="I1077" i="2" s="1"/>
  <c r="H1078" i="2"/>
  <c r="I1078" i="2" s="1"/>
  <c r="H1079" i="2"/>
  <c r="I1079" i="2" s="1"/>
  <c r="H1080" i="2"/>
  <c r="I1080" i="2" s="1"/>
  <c r="H1081" i="2"/>
  <c r="I1081" i="2" s="1"/>
  <c r="H1082" i="2"/>
  <c r="I1082" i="2" s="1"/>
  <c r="H1083" i="2"/>
  <c r="I1083" i="2" s="1"/>
  <c r="H1084" i="2"/>
  <c r="I1084" i="2" s="1"/>
  <c r="H1085" i="2"/>
  <c r="I1085" i="2" s="1"/>
  <c r="H1086" i="2"/>
  <c r="I1086" i="2" s="1"/>
  <c r="H1087" i="2"/>
  <c r="I1087" i="2" s="1"/>
  <c r="H1088" i="2"/>
  <c r="I1088" i="2" s="1"/>
  <c r="H1089" i="2"/>
  <c r="I1089" i="2" s="1"/>
  <c r="H1090" i="2"/>
  <c r="I1090" i="2" s="1"/>
  <c r="H1091" i="2"/>
  <c r="I1091" i="2" s="1"/>
  <c r="H1092" i="2"/>
  <c r="I1092" i="2" s="1"/>
  <c r="H1093" i="2"/>
  <c r="I1093" i="2" s="1"/>
  <c r="H1094" i="2"/>
  <c r="I1094" i="2" s="1"/>
  <c r="H1095" i="2"/>
  <c r="I1095" i="2" s="1"/>
  <c r="H1096" i="2"/>
  <c r="I1096" i="2" s="1"/>
  <c r="H1097" i="2"/>
  <c r="I1097" i="2" s="1"/>
  <c r="H1098" i="2"/>
  <c r="I1098" i="2" s="1"/>
  <c r="H1099" i="2"/>
  <c r="I1099" i="2" s="1"/>
  <c r="H1100" i="2"/>
  <c r="I1100" i="2" s="1"/>
  <c r="H1101" i="2"/>
  <c r="I1101" i="2" s="1"/>
  <c r="H1102" i="2"/>
  <c r="I1102" i="2" s="1"/>
  <c r="H1103" i="2"/>
  <c r="I1103" i="2" s="1"/>
  <c r="H1104" i="2"/>
  <c r="I1104" i="2" s="1"/>
  <c r="H1105" i="2"/>
  <c r="I1105" i="2" s="1"/>
  <c r="H1106" i="2"/>
  <c r="I1106" i="2" s="1"/>
  <c r="H1107" i="2"/>
  <c r="I1107" i="2" s="1"/>
  <c r="H1108" i="2"/>
  <c r="I1108" i="2" s="1"/>
  <c r="H1109" i="2"/>
  <c r="I1109" i="2" s="1"/>
  <c r="H1110" i="2"/>
  <c r="I1110" i="2" s="1"/>
  <c r="H1111" i="2"/>
  <c r="I1111" i="2" s="1"/>
  <c r="H1112" i="2"/>
  <c r="I1112" i="2" s="1"/>
  <c r="H1113" i="2"/>
  <c r="I1113" i="2" s="1"/>
  <c r="H1114" i="2"/>
  <c r="I1114" i="2" s="1"/>
  <c r="H1115" i="2"/>
  <c r="I1115" i="2" s="1"/>
  <c r="H1116" i="2"/>
  <c r="I1116" i="2" s="1"/>
  <c r="H1117" i="2"/>
  <c r="I1117" i="2" s="1"/>
  <c r="H1118" i="2"/>
  <c r="I1118" i="2" s="1"/>
  <c r="H1119" i="2"/>
  <c r="I1119" i="2" s="1"/>
  <c r="H1120" i="2"/>
  <c r="I1120" i="2" s="1"/>
  <c r="H1121" i="2"/>
  <c r="I1121" i="2" s="1"/>
  <c r="H1122" i="2"/>
  <c r="I1122" i="2" s="1"/>
  <c r="H1123" i="2"/>
  <c r="I1123" i="2" s="1"/>
  <c r="H1124" i="2"/>
  <c r="I1124" i="2" s="1"/>
  <c r="H1125" i="2"/>
  <c r="I1125" i="2" s="1"/>
  <c r="H1126" i="2"/>
  <c r="I1126" i="2" s="1"/>
  <c r="H1127" i="2"/>
  <c r="I1127" i="2" s="1"/>
  <c r="H1128" i="2"/>
  <c r="I1128" i="2" s="1"/>
  <c r="H1129" i="2"/>
  <c r="I1129" i="2" s="1"/>
  <c r="H1130" i="2"/>
  <c r="I1130" i="2" s="1"/>
  <c r="H1131" i="2"/>
  <c r="I1131" i="2" s="1"/>
  <c r="H1132" i="2"/>
  <c r="I1132" i="2" s="1"/>
  <c r="H1133" i="2"/>
  <c r="I1133" i="2" s="1"/>
  <c r="H1134" i="2"/>
  <c r="I1134" i="2" s="1"/>
  <c r="H1135" i="2"/>
  <c r="I1135" i="2" s="1"/>
  <c r="H1136" i="2"/>
  <c r="I1136" i="2" s="1"/>
  <c r="H1137" i="2"/>
  <c r="I1137" i="2" s="1"/>
  <c r="H1138" i="2"/>
  <c r="I1138" i="2" s="1"/>
  <c r="H1139" i="2"/>
  <c r="I1139" i="2" s="1"/>
  <c r="H1140" i="2"/>
  <c r="I1140" i="2" s="1"/>
  <c r="H1141" i="2"/>
  <c r="I1141" i="2" s="1"/>
  <c r="H1142" i="2"/>
  <c r="I1142" i="2" s="1"/>
  <c r="H1143" i="2"/>
  <c r="I1143" i="2" s="1"/>
  <c r="H1144" i="2"/>
  <c r="I1144" i="2" s="1"/>
  <c r="H1145" i="2"/>
  <c r="I1145" i="2" s="1"/>
  <c r="H1146" i="2"/>
  <c r="I1146" i="2" s="1"/>
  <c r="H1147" i="2"/>
  <c r="I1147" i="2" s="1"/>
  <c r="H1148" i="2"/>
  <c r="I1148" i="2" s="1"/>
  <c r="H1149" i="2"/>
  <c r="I1149" i="2" s="1"/>
  <c r="H1150" i="2"/>
  <c r="I1150" i="2" s="1"/>
  <c r="H1151" i="2"/>
  <c r="I1151" i="2" s="1"/>
  <c r="H1152" i="2"/>
  <c r="I1152" i="2" s="1"/>
  <c r="H1153" i="2"/>
  <c r="I1153" i="2" s="1"/>
  <c r="H1154" i="2"/>
  <c r="I1154" i="2" s="1"/>
  <c r="H1155" i="2"/>
  <c r="I1155" i="2" s="1"/>
  <c r="H1156" i="2"/>
  <c r="I1156" i="2" s="1"/>
  <c r="H1157" i="2"/>
  <c r="I1157" i="2" s="1"/>
  <c r="H1158" i="2"/>
  <c r="I1158" i="2" s="1"/>
  <c r="H1159" i="2"/>
  <c r="I1159" i="2" s="1"/>
  <c r="H1160" i="2"/>
  <c r="I1160" i="2" s="1"/>
  <c r="H1161" i="2"/>
  <c r="I1161" i="2" s="1"/>
  <c r="H1162" i="2"/>
  <c r="I1162" i="2" s="1"/>
  <c r="H1163" i="2"/>
  <c r="I1163" i="2" s="1"/>
  <c r="H1164" i="2"/>
  <c r="I1164" i="2" s="1"/>
  <c r="H1165" i="2"/>
  <c r="I1165" i="2" s="1"/>
  <c r="H1166" i="2"/>
  <c r="I1166" i="2" s="1"/>
  <c r="H1167" i="2"/>
  <c r="I1167" i="2" s="1"/>
  <c r="H1168" i="2"/>
  <c r="I1168" i="2" s="1"/>
  <c r="H1169" i="2"/>
  <c r="I1169" i="2" s="1"/>
  <c r="H1170" i="2"/>
  <c r="I1170" i="2" s="1"/>
  <c r="H1171" i="2"/>
  <c r="I1171" i="2" s="1"/>
  <c r="H1172" i="2"/>
  <c r="I1172" i="2" s="1"/>
  <c r="H1173" i="2"/>
  <c r="I1173" i="2" s="1"/>
  <c r="H1174" i="2"/>
  <c r="I1174" i="2" s="1"/>
  <c r="H1175" i="2"/>
  <c r="I1175" i="2" s="1"/>
  <c r="H1176" i="2"/>
  <c r="I1176" i="2" s="1"/>
  <c r="H1177" i="2"/>
  <c r="I1177" i="2" s="1"/>
  <c r="H1178" i="2"/>
  <c r="I1178" i="2" s="1"/>
  <c r="H1179" i="2"/>
  <c r="I1179" i="2" s="1"/>
  <c r="H1180" i="2"/>
  <c r="I1180" i="2" s="1"/>
  <c r="H1181" i="2"/>
  <c r="I1181" i="2" s="1"/>
  <c r="H1182" i="2"/>
  <c r="I1182" i="2" s="1"/>
  <c r="H1183" i="2"/>
  <c r="I1183" i="2" s="1"/>
  <c r="H1184" i="2"/>
  <c r="I1184" i="2" s="1"/>
  <c r="H1185" i="2"/>
  <c r="I1185" i="2" s="1"/>
  <c r="H1186" i="2"/>
  <c r="I1186" i="2" s="1"/>
  <c r="H1187" i="2"/>
  <c r="I1187" i="2" s="1"/>
  <c r="H1188" i="2"/>
  <c r="I1188" i="2" s="1"/>
  <c r="H1189" i="2"/>
  <c r="I1189" i="2" s="1"/>
  <c r="H1190" i="2"/>
  <c r="I1190" i="2" s="1"/>
  <c r="H1191" i="2"/>
  <c r="I1191" i="2" s="1"/>
  <c r="H1192" i="2"/>
  <c r="I1192" i="2" s="1"/>
  <c r="H1193" i="2"/>
  <c r="I1193" i="2" s="1"/>
  <c r="H1194" i="2"/>
  <c r="I1194" i="2" s="1"/>
  <c r="H1195" i="2"/>
  <c r="I1195" i="2" s="1"/>
  <c r="H1196" i="2"/>
  <c r="I1196" i="2" s="1"/>
  <c r="H1197" i="2"/>
  <c r="I1197" i="2" s="1"/>
  <c r="H1198" i="2"/>
  <c r="I1198" i="2" s="1"/>
  <c r="H1199" i="2"/>
  <c r="I1199" i="2" s="1"/>
  <c r="H1200" i="2"/>
  <c r="I1200" i="2" s="1"/>
  <c r="H1201" i="2"/>
  <c r="I1201" i="2" s="1"/>
  <c r="H1202" i="2"/>
  <c r="I1202" i="2" s="1"/>
  <c r="H1203" i="2"/>
  <c r="I1203" i="2" s="1"/>
  <c r="H1204" i="2"/>
  <c r="I1204" i="2" s="1"/>
  <c r="H1205" i="2"/>
  <c r="I1205" i="2" s="1"/>
  <c r="H1206" i="2"/>
  <c r="I1206" i="2" s="1"/>
  <c r="H1207" i="2"/>
  <c r="I1207" i="2" s="1"/>
  <c r="H1208" i="2"/>
  <c r="I1208" i="2" s="1"/>
  <c r="H1209" i="2"/>
  <c r="I1209" i="2" s="1"/>
  <c r="H1210" i="2"/>
  <c r="I1210" i="2" s="1"/>
  <c r="H1211" i="2"/>
  <c r="I1211" i="2" s="1"/>
  <c r="H1212" i="2"/>
  <c r="I1212" i="2" s="1"/>
  <c r="H1213" i="2"/>
  <c r="I1213" i="2" s="1"/>
  <c r="H1214" i="2"/>
  <c r="I1214" i="2" s="1"/>
  <c r="H1215" i="2"/>
  <c r="I1215" i="2" s="1"/>
  <c r="H1216" i="2"/>
  <c r="I1216" i="2" s="1"/>
  <c r="H1217" i="2"/>
  <c r="I1217" i="2" s="1"/>
  <c r="H1218" i="2"/>
  <c r="I1218" i="2" s="1"/>
  <c r="H1219" i="2"/>
  <c r="I1219" i="2" s="1"/>
  <c r="H1220" i="2"/>
  <c r="I1220" i="2" s="1"/>
  <c r="H1221" i="2"/>
  <c r="I1221" i="2" s="1"/>
  <c r="H1222" i="2"/>
  <c r="I1222" i="2" s="1"/>
  <c r="H1223" i="2"/>
  <c r="I1223" i="2" s="1"/>
  <c r="H1224" i="2"/>
  <c r="I1224" i="2" s="1"/>
  <c r="H1225" i="2"/>
  <c r="I1225" i="2" s="1"/>
  <c r="H1226" i="2"/>
  <c r="I1226" i="2" s="1"/>
  <c r="H1227" i="2"/>
  <c r="I1227" i="2" s="1"/>
  <c r="H1228" i="2"/>
  <c r="I1228" i="2" s="1"/>
  <c r="H1229" i="2"/>
  <c r="I1229" i="2" s="1"/>
  <c r="H1230" i="2"/>
  <c r="I1230" i="2" s="1"/>
  <c r="H1231" i="2"/>
  <c r="I1231" i="2" s="1"/>
  <c r="H1232" i="2"/>
  <c r="I1232" i="2" s="1"/>
  <c r="H1233" i="2"/>
  <c r="I1233" i="2" s="1"/>
  <c r="H1234" i="2"/>
  <c r="I1234" i="2" s="1"/>
  <c r="H1235" i="2"/>
  <c r="I1235" i="2" s="1"/>
  <c r="H1236" i="2"/>
  <c r="I1236" i="2" s="1"/>
  <c r="H1237" i="2"/>
  <c r="I1237" i="2" s="1"/>
  <c r="H1238" i="2"/>
  <c r="I1238" i="2" s="1"/>
  <c r="H1239" i="2"/>
  <c r="I1239" i="2" s="1"/>
  <c r="H1240" i="2"/>
  <c r="I1240" i="2" s="1"/>
  <c r="H1241" i="2"/>
  <c r="I1241" i="2" s="1"/>
  <c r="H1242" i="2"/>
  <c r="I1242" i="2" s="1"/>
  <c r="H1243" i="2"/>
  <c r="I1243" i="2" s="1"/>
  <c r="H1244" i="2"/>
  <c r="I1244" i="2" s="1"/>
  <c r="H1245" i="2"/>
  <c r="I1245" i="2" s="1"/>
  <c r="H1246" i="2"/>
  <c r="I1246" i="2" s="1"/>
  <c r="H1247" i="2"/>
  <c r="I1247" i="2" s="1"/>
  <c r="H1248" i="2"/>
  <c r="I1248" i="2" s="1"/>
  <c r="H1249" i="2"/>
  <c r="I1249" i="2" s="1"/>
  <c r="H1250" i="2"/>
  <c r="I1250" i="2" s="1"/>
  <c r="H1251" i="2"/>
  <c r="I1251" i="2" s="1"/>
  <c r="H1252" i="2"/>
  <c r="I1252" i="2" s="1"/>
  <c r="H1253" i="2"/>
  <c r="I1253" i="2" s="1"/>
  <c r="H1254" i="2"/>
  <c r="I1254" i="2" s="1"/>
  <c r="H1255" i="2"/>
  <c r="I1255" i="2" s="1"/>
  <c r="H1256" i="2"/>
  <c r="I1256" i="2" s="1"/>
  <c r="H1257" i="2"/>
  <c r="I1257" i="2" s="1"/>
  <c r="H1258" i="2"/>
  <c r="I1258" i="2" s="1"/>
  <c r="H1259" i="2"/>
  <c r="I1259" i="2" s="1"/>
  <c r="H1260" i="2"/>
  <c r="I1260" i="2" s="1"/>
  <c r="H1261" i="2"/>
  <c r="I1261" i="2" s="1"/>
  <c r="H1262" i="2"/>
  <c r="I1262" i="2" s="1"/>
  <c r="H1263" i="2"/>
  <c r="I1263" i="2" s="1"/>
  <c r="H1264" i="2"/>
  <c r="I1264" i="2" s="1"/>
  <c r="H1265" i="2"/>
  <c r="I1265" i="2" s="1"/>
  <c r="H1266" i="2"/>
  <c r="I1266" i="2" s="1"/>
  <c r="H1267" i="2"/>
  <c r="I1267" i="2" s="1"/>
  <c r="H1268" i="2"/>
  <c r="I1268" i="2" s="1"/>
  <c r="H1269" i="2"/>
  <c r="I1269" i="2" s="1"/>
  <c r="H1270" i="2"/>
  <c r="I1270" i="2" s="1"/>
  <c r="H1271" i="2"/>
  <c r="I1271" i="2" s="1"/>
  <c r="H1272" i="2"/>
  <c r="I1272" i="2" s="1"/>
  <c r="H1273" i="2"/>
  <c r="I1273" i="2" s="1"/>
  <c r="H1274" i="2"/>
  <c r="I1274" i="2" s="1"/>
  <c r="H1275" i="2"/>
  <c r="I1275" i="2" s="1"/>
  <c r="H1276" i="2"/>
  <c r="I1276" i="2" s="1"/>
  <c r="H1277" i="2"/>
  <c r="I1277" i="2" s="1"/>
  <c r="H1278" i="2"/>
  <c r="I1278" i="2" s="1"/>
  <c r="H1279" i="2"/>
  <c r="I1279" i="2" s="1"/>
  <c r="H1280" i="2"/>
  <c r="I1280" i="2" s="1"/>
  <c r="H1281" i="2"/>
  <c r="I1281" i="2" s="1"/>
  <c r="H1282" i="2"/>
  <c r="I1282" i="2" s="1"/>
  <c r="H1283" i="2"/>
  <c r="I1283" i="2" s="1"/>
  <c r="H1284" i="2"/>
  <c r="I1284" i="2" s="1"/>
  <c r="H1285" i="2"/>
  <c r="I1285" i="2" s="1"/>
  <c r="H1286" i="2"/>
  <c r="I1286" i="2" s="1"/>
  <c r="H1287" i="2"/>
  <c r="I1287" i="2" s="1"/>
  <c r="H1288" i="2"/>
  <c r="I1288" i="2" s="1"/>
  <c r="H1289" i="2"/>
  <c r="I1289" i="2" s="1"/>
  <c r="H1290" i="2"/>
  <c r="I1290" i="2" s="1"/>
  <c r="H1291" i="2"/>
  <c r="I1291" i="2" s="1"/>
  <c r="H1292" i="2"/>
  <c r="I1292" i="2" s="1"/>
  <c r="H1293" i="2"/>
  <c r="I1293" i="2" s="1"/>
  <c r="H1294" i="2"/>
  <c r="I1294" i="2" s="1"/>
  <c r="H1295" i="2"/>
  <c r="I1295" i="2" s="1"/>
  <c r="H1296" i="2"/>
  <c r="I1296" i="2" s="1"/>
  <c r="H1297" i="2"/>
  <c r="I1297" i="2" s="1"/>
  <c r="H1298" i="2"/>
  <c r="I1298" i="2" s="1"/>
  <c r="H1299" i="2"/>
  <c r="I1299" i="2" s="1"/>
  <c r="H1300" i="2"/>
  <c r="I1300" i="2" s="1"/>
  <c r="H1301" i="2"/>
  <c r="I1301" i="2" s="1"/>
  <c r="H1302" i="2"/>
  <c r="I1302" i="2" s="1"/>
  <c r="H1303" i="2"/>
  <c r="I1303" i="2" s="1"/>
  <c r="H1304" i="2"/>
  <c r="I1304" i="2" s="1"/>
  <c r="H1305" i="2"/>
  <c r="I1305" i="2" s="1"/>
  <c r="H1306" i="2"/>
  <c r="I1306" i="2" s="1"/>
  <c r="H1307" i="2"/>
  <c r="I1307" i="2" s="1"/>
  <c r="H1308" i="2"/>
  <c r="I1308" i="2" s="1"/>
  <c r="H1309" i="2"/>
  <c r="I1309" i="2" s="1"/>
  <c r="H1310" i="2"/>
  <c r="I1310" i="2" s="1"/>
  <c r="H1311" i="2"/>
  <c r="I1311" i="2" s="1"/>
  <c r="H1312" i="2"/>
  <c r="I1312" i="2" s="1"/>
  <c r="H1313" i="2"/>
  <c r="I1313" i="2" s="1"/>
  <c r="H1314" i="2"/>
  <c r="I1314" i="2" s="1"/>
  <c r="H1315" i="2"/>
  <c r="I1315" i="2" s="1"/>
  <c r="H1316" i="2"/>
  <c r="I1316" i="2" s="1"/>
  <c r="H1317" i="2"/>
  <c r="I1317" i="2" s="1"/>
  <c r="H1318" i="2"/>
  <c r="I1318" i="2" s="1"/>
  <c r="H1319" i="2"/>
  <c r="I1319" i="2" s="1"/>
  <c r="H1320" i="2"/>
  <c r="I1320" i="2" s="1"/>
  <c r="H1321" i="2"/>
  <c r="I1321" i="2" s="1"/>
  <c r="H1322" i="2"/>
  <c r="I1322" i="2" s="1"/>
  <c r="H1323" i="2"/>
  <c r="I1323" i="2" s="1"/>
  <c r="H1324" i="2"/>
  <c r="I1324" i="2" s="1"/>
  <c r="H1325" i="2"/>
  <c r="I1325" i="2" s="1"/>
  <c r="H1326" i="2"/>
  <c r="I1326" i="2" s="1"/>
  <c r="H1327" i="2"/>
  <c r="I1327" i="2" s="1"/>
  <c r="H1328" i="2"/>
  <c r="I1328" i="2" s="1"/>
  <c r="H1329" i="2"/>
  <c r="I1329" i="2" s="1"/>
  <c r="H1330" i="2"/>
  <c r="I1330" i="2" s="1"/>
  <c r="H1331" i="2"/>
  <c r="I1331" i="2" s="1"/>
  <c r="H1332" i="2"/>
  <c r="I1332" i="2" s="1"/>
  <c r="H1333" i="2"/>
  <c r="I1333" i="2" s="1"/>
  <c r="H1334" i="2"/>
  <c r="I1334" i="2" s="1"/>
  <c r="H1335" i="2"/>
  <c r="I1335" i="2" s="1"/>
  <c r="H1336" i="2"/>
  <c r="I1336" i="2" s="1"/>
  <c r="H1337" i="2"/>
  <c r="I1337" i="2" s="1"/>
  <c r="H1338" i="2"/>
  <c r="I1338" i="2" s="1"/>
  <c r="H1339" i="2"/>
  <c r="I1339" i="2" s="1"/>
  <c r="H1340" i="2"/>
  <c r="I1340" i="2" s="1"/>
  <c r="H1341" i="2"/>
  <c r="I1341" i="2" s="1"/>
  <c r="H1342" i="2"/>
  <c r="I1342" i="2" s="1"/>
  <c r="H1343" i="2"/>
  <c r="I1343" i="2" s="1"/>
  <c r="H1344" i="2"/>
  <c r="I1344" i="2" s="1"/>
  <c r="H1345" i="2"/>
  <c r="I1345" i="2" s="1"/>
  <c r="H1346" i="2"/>
  <c r="I1346" i="2" s="1"/>
  <c r="H1347" i="2"/>
  <c r="I1347" i="2" s="1"/>
  <c r="H1348" i="2"/>
  <c r="I1348" i="2" s="1"/>
  <c r="H1349" i="2"/>
  <c r="I1349" i="2" s="1"/>
  <c r="H1350" i="2"/>
  <c r="I1350" i="2" s="1"/>
  <c r="H1351" i="2"/>
  <c r="I1351" i="2" s="1"/>
  <c r="H1352" i="2"/>
  <c r="I1352" i="2" s="1"/>
  <c r="H1353" i="2"/>
  <c r="I1353" i="2" s="1"/>
  <c r="H1354" i="2"/>
  <c r="I1354" i="2" s="1"/>
  <c r="H1355" i="2"/>
  <c r="I1355" i="2" s="1"/>
  <c r="H1356" i="2"/>
  <c r="I1356" i="2" s="1"/>
  <c r="H1357" i="2"/>
  <c r="I1357" i="2" s="1"/>
  <c r="H1358" i="2"/>
  <c r="I1358" i="2" s="1"/>
  <c r="H1359" i="2"/>
  <c r="I1359" i="2" s="1"/>
  <c r="H1360" i="2"/>
  <c r="I1360" i="2" s="1"/>
  <c r="H1361" i="2"/>
  <c r="I1361" i="2" s="1"/>
  <c r="H1362" i="2"/>
  <c r="I1362" i="2" s="1"/>
  <c r="H1363" i="2"/>
  <c r="I1363" i="2" s="1"/>
  <c r="H1364" i="2"/>
  <c r="I1364" i="2" s="1"/>
  <c r="H1365" i="2"/>
  <c r="I1365" i="2" s="1"/>
  <c r="H1366" i="2"/>
  <c r="I1366" i="2" s="1"/>
  <c r="H1367" i="2"/>
  <c r="I1367" i="2" s="1"/>
  <c r="H1368" i="2"/>
  <c r="I1368" i="2" s="1"/>
  <c r="H1369" i="2"/>
  <c r="I1369" i="2" s="1"/>
  <c r="H1370" i="2"/>
  <c r="I1370" i="2" s="1"/>
  <c r="H1371" i="2"/>
  <c r="I1371" i="2" s="1"/>
  <c r="H1372" i="2"/>
  <c r="I1372" i="2" s="1"/>
  <c r="H1373" i="2"/>
  <c r="I1373" i="2" s="1"/>
  <c r="H1374" i="2"/>
  <c r="I1374" i="2" s="1"/>
  <c r="H1375" i="2"/>
  <c r="I1375" i="2" s="1"/>
  <c r="H1376" i="2"/>
  <c r="I1376" i="2" s="1"/>
  <c r="H1377" i="2"/>
  <c r="I1377" i="2" s="1"/>
  <c r="H1378" i="2"/>
  <c r="I1378" i="2" s="1"/>
  <c r="H1379" i="2"/>
  <c r="I1379" i="2" s="1"/>
  <c r="H1380" i="2"/>
  <c r="I1380" i="2" s="1"/>
  <c r="H1381" i="2"/>
  <c r="I1381" i="2" s="1"/>
  <c r="H1382" i="2"/>
  <c r="I1382" i="2" s="1"/>
  <c r="H1383" i="2"/>
  <c r="I1383" i="2" s="1"/>
  <c r="H1384" i="2"/>
  <c r="I1384" i="2" s="1"/>
  <c r="H1385" i="2"/>
  <c r="I1385" i="2" s="1"/>
  <c r="H1386" i="2"/>
  <c r="I1386" i="2" s="1"/>
  <c r="H1387" i="2"/>
  <c r="I1387" i="2" s="1"/>
  <c r="H1388" i="2"/>
  <c r="I1388" i="2" s="1"/>
  <c r="H1389" i="2"/>
  <c r="I1389" i="2" s="1"/>
  <c r="H1390" i="2"/>
  <c r="I1390" i="2" s="1"/>
  <c r="H1391" i="2"/>
  <c r="I1391" i="2" s="1"/>
  <c r="H1392" i="2"/>
  <c r="I1392" i="2" s="1"/>
  <c r="H1393" i="2"/>
  <c r="I1393" i="2" s="1"/>
  <c r="H1394" i="2"/>
  <c r="I1394" i="2" s="1"/>
  <c r="H1395" i="2"/>
  <c r="I1395" i="2" s="1"/>
  <c r="H1396" i="2"/>
  <c r="I1396" i="2" s="1"/>
  <c r="H1397" i="2"/>
  <c r="I1397" i="2" s="1"/>
  <c r="H1398" i="2"/>
  <c r="I1398" i="2" s="1"/>
  <c r="H1399" i="2"/>
  <c r="I1399" i="2" s="1"/>
  <c r="H1400" i="2"/>
  <c r="I1400" i="2" s="1"/>
  <c r="H1401" i="2"/>
  <c r="I1401" i="2" s="1"/>
  <c r="H1402" i="2"/>
  <c r="I1402" i="2" s="1"/>
  <c r="H1403" i="2"/>
  <c r="I1403" i="2" s="1"/>
  <c r="H1404" i="2"/>
  <c r="I1404" i="2" s="1"/>
  <c r="H1405" i="2"/>
  <c r="I1405" i="2" s="1"/>
  <c r="H1406" i="2"/>
  <c r="I1406" i="2" s="1"/>
  <c r="H1407" i="2"/>
  <c r="I1407" i="2" s="1"/>
  <c r="H1408" i="2"/>
  <c r="I1408" i="2" s="1"/>
  <c r="H1409" i="2"/>
  <c r="I1409" i="2" s="1"/>
  <c r="H1410" i="2"/>
  <c r="I1410" i="2" s="1"/>
  <c r="H1411" i="2"/>
  <c r="I1411" i="2" s="1"/>
  <c r="H1412" i="2"/>
  <c r="I1412" i="2" s="1"/>
  <c r="H1413" i="2"/>
  <c r="I1413" i="2" s="1"/>
  <c r="H1414" i="2"/>
  <c r="I1414" i="2" s="1"/>
  <c r="H1415" i="2"/>
  <c r="I1415" i="2" s="1"/>
  <c r="H1416" i="2"/>
  <c r="I1416" i="2" s="1"/>
  <c r="H1417" i="2"/>
  <c r="I1417" i="2" s="1"/>
  <c r="H1418" i="2"/>
  <c r="I1418" i="2" s="1"/>
  <c r="H1419" i="2"/>
  <c r="I1419" i="2" s="1"/>
  <c r="H1420" i="2"/>
  <c r="I1420" i="2" s="1"/>
  <c r="H1421" i="2"/>
  <c r="I1421" i="2" s="1"/>
  <c r="H1422" i="2"/>
  <c r="I1422" i="2" s="1"/>
  <c r="H1423" i="2"/>
  <c r="I1423" i="2" s="1"/>
  <c r="H1424" i="2"/>
  <c r="I1424" i="2" s="1"/>
  <c r="H1425" i="2"/>
  <c r="I1425" i="2" s="1"/>
  <c r="H1426" i="2"/>
  <c r="I1426" i="2" s="1"/>
  <c r="H1427" i="2"/>
  <c r="I1427" i="2" s="1"/>
  <c r="H1428" i="2"/>
  <c r="I1428" i="2" s="1"/>
  <c r="H1429" i="2"/>
  <c r="I1429" i="2" s="1"/>
  <c r="H1430" i="2"/>
  <c r="I1430" i="2" s="1"/>
  <c r="H1431" i="2"/>
  <c r="I1431" i="2" s="1"/>
  <c r="H1432" i="2"/>
  <c r="I1432" i="2" s="1"/>
  <c r="H1433" i="2"/>
  <c r="I1433" i="2" s="1"/>
  <c r="H1434" i="2"/>
  <c r="I1434" i="2" s="1"/>
  <c r="H1435" i="2"/>
  <c r="I1435" i="2" s="1"/>
  <c r="H1436" i="2"/>
  <c r="I1436" i="2" s="1"/>
  <c r="H1437" i="2"/>
  <c r="I1437" i="2" s="1"/>
  <c r="H1438" i="2"/>
  <c r="I1438" i="2" s="1"/>
  <c r="H1439" i="2"/>
  <c r="I1439" i="2" s="1"/>
  <c r="H1440" i="2"/>
  <c r="I1440" i="2" s="1"/>
  <c r="H1441" i="2"/>
  <c r="I1441" i="2" s="1"/>
  <c r="H1442" i="2"/>
  <c r="I1442" i="2" s="1"/>
  <c r="H1443" i="2"/>
  <c r="I1443" i="2" s="1"/>
  <c r="H1444" i="2"/>
  <c r="I1444" i="2" s="1"/>
  <c r="H1445" i="2"/>
  <c r="I1445" i="2" s="1"/>
  <c r="H1446" i="2"/>
  <c r="I1446" i="2" s="1"/>
  <c r="H1447" i="2"/>
  <c r="I1447" i="2" s="1"/>
  <c r="H1448" i="2"/>
  <c r="I1448" i="2" s="1"/>
  <c r="H1449" i="2"/>
  <c r="I1449" i="2" s="1"/>
  <c r="H1450" i="2"/>
  <c r="I1450" i="2" s="1"/>
  <c r="H1451" i="2"/>
  <c r="I1451" i="2" s="1"/>
  <c r="H1452" i="2"/>
  <c r="I1452" i="2" s="1"/>
  <c r="H1453" i="2"/>
  <c r="I1453" i="2" s="1"/>
  <c r="H1454" i="2"/>
  <c r="I1454" i="2" s="1"/>
  <c r="H1455" i="2"/>
  <c r="I1455" i="2" s="1"/>
  <c r="H1456" i="2"/>
  <c r="I1456" i="2" s="1"/>
  <c r="H1457" i="2"/>
  <c r="I1457" i="2" s="1"/>
  <c r="H1458" i="2"/>
  <c r="I1458" i="2" s="1"/>
  <c r="H1459" i="2"/>
  <c r="I1459" i="2" s="1"/>
  <c r="H1460" i="2"/>
  <c r="I1460" i="2" s="1"/>
  <c r="H1461" i="2"/>
  <c r="I1461" i="2" s="1"/>
  <c r="H1462" i="2"/>
  <c r="I1462" i="2" s="1"/>
  <c r="H1463" i="2"/>
  <c r="I1463" i="2" s="1"/>
  <c r="H1464" i="2"/>
  <c r="I1464" i="2" s="1"/>
  <c r="H1465" i="2"/>
  <c r="I1465" i="2" s="1"/>
  <c r="H1466" i="2"/>
  <c r="I1466" i="2" s="1"/>
  <c r="H1467" i="2"/>
  <c r="I1467" i="2" s="1"/>
  <c r="H1468" i="2"/>
  <c r="I1468" i="2" s="1"/>
  <c r="H1469" i="2"/>
  <c r="I1469" i="2" s="1"/>
  <c r="H1470" i="2"/>
  <c r="I1470" i="2" s="1"/>
  <c r="H1471" i="2"/>
  <c r="I1471" i="2" s="1"/>
  <c r="H1472" i="2"/>
  <c r="I1472" i="2" s="1"/>
  <c r="H1473" i="2"/>
  <c r="I1473" i="2" s="1"/>
  <c r="H1474" i="2"/>
  <c r="I1474" i="2" s="1"/>
  <c r="H1475" i="2"/>
  <c r="I1475" i="2" s="1"/>
  <c r="H1476" i="2"/>
  <c r="I1476" i="2" s="1"/>
  <c r="H1477" i="2"/>
  <c r="I1477" i="2" s="1"/>
  <c r="H1478" i="2"/>
  <c r="I1478" i="2" s="1"/>
  <c r="H1479" i="2"/>
  <c r="I1479" i="2" s="1"/>
  <c r="H1480" i="2"/>
  <c r="I1480" i="2" s="1"/>
  <c r="H1481" i="2"/>
  <c r="I1481" i="2" s="1"/>
  <c r="H1482" i="2"/>
  <c r="I1482" i="2" s="1"/>
  <c r="H1483" i="2"/>
  <c r="I1483" i="2" s="1"/>
  <c r="H1484" i="2"/>
  <c r="I1484" i="2" s="1"/>
  <c r="H1485" i="2"/>
  <c r="I1485" i="2" s="1"/>
  <c r="H1486" i="2"/>
  <c r="I1486" i="2" s="1"/>
  <c r="H1487" i="2"/>
  <c r="I1487" i="2" s="1"/>
  <c r="H1488" i="2"/>
  <c r="I1488" i="2" s="1"/>
  <c r="H1489" i="2"/>
  <c r="I1489" i="2" s="1"/>
  <c r="H1490" i="2"/>
  <c r="I1490" i="2" s="1"/>
  <c r="H1491" i="2"/>
  <c r="I1491" i="2" s="1"/>
  <c r="H1492" i="2"/>
  <c r="I1492" i="2" s="1"/>
  <c r="H1493" i="2"/>
  <c r="I1493" i="2" s="1"/>
  <c r="H1494" i="2"/>
  <c r="I1494" i="2" s="1"/>
  <c r="H1495" i="2"/>
  <c r="I1495" i="2" s="1"/>
  <c r="H1496" i="2"/>
  <c r="I1496" i="2" s="1"/>
  <c r="H1497" i="2"/>
  <c r="I1497" i="2" s="1"/>
  <c r="H1498" i="2"/>
  <c r="I1498" i="2" s="1"/>
  <c r="H1499" i="2"/>
  <c r="I1499" i="2" s="1"/>
  <c r="H1500" i="2"/>
  <c r="I1500" i="2" s="1"/>
  <c r="H1501" i="2"/>
  <c r="I1501" i="2" s="1"/>
  <c r="H1502" i="2"/>
  <c r="I1502" i="2" s="1"/>
  <c r="H1503" i="2"/>
  <c r="I1503" i="2" s="1"/>
  <c r="H1504" i="2"/>
  <c r="I1504" i="2" s="1"/>
  <c r="H1505" i="2"/>
  <c r="I1505" i="2" s="1"/>
  <c r="H1506" i="2"/>
  <c r="I1506" i="2" s="1"/>
  <c r="H1507" i="2"/>
  <c r="I1507" i="2" s="1"/>
  <c r="H1508" i="2"/>
  <c r="I1508" i="2" s="1"/>
  <c r="H1509" i="2"/>
  <c r="I1509" i="2" s="1"/>
  <c r="H1510" i="2"/>
  <c r="I1510" i="2" s="1"/>
  <c r="H1511" i="2"/>
  <c r="I1511" i="2" s="1"/>
  <c r="H1512" i="2"/>
  <c r="I1512" i="2" s="1"/>
  <c r="H1513" i="2"/>
  <c r="I1513" i="2" s="1"/>
  <c r="H1514" i="2"/>
  <c r="I1514" i="2" s="1"/>
  <c r="H1515" i="2"/>
  <c r="I1515" i="2" s="1"/>
  <c r="H1516" i="2"/>
  <c r="I1516" i="2" s="1"/>
  <c r="H1517" i="2"/>
  <c r="I1517" i="2" s="1"/>
  <c r="H1518" i="2"/>
  <c r="I1518" i="2" s="1"/>
  <c r="H1519" i="2"/>
  <c r="I1519" i="2" s="1"/>
  <c r="H1520" i="2"/>
  <c r="I1520" i="2" s="1"/>
  <c r="H1521" i="2"/>
  <c r="I1521" i="2" s="1"/>
  <c r="H1522" i="2"/>
  <c r="I1522" i="2" s="1"/>
  <c r="H1523" i="2"/>
  <c r="I1523" i="2" s="1"/>
  <c r="H1524" i="2"/>
  <c r="I1524" i="2" s="1"/>
  <c r="H1525" i="2"/>
  <c r="I1525" i="2" s="1"/>
  <c r="H1526" i="2"/>
  <c r="I1526" i="2" s="1"/>
  <c r="H1527" i="2"/>
  <c r="I1527" i="2" s="1"/>
  <c r="H1528" i="2"/>
  <c r="I1528" i="2" s="1"/>
  <c r="H1529" i="2"/>
  <c r="I1529" i="2" s="1"/>
  <c r="H1530" i="2"/>
  <c r="I1530" i="2" s="1"/>
  <c r="H1531" i="2"/>
  <c r="I1531" i="2" s="1"/>
  <c r="H1532" i="2"/>
  <c r="I1532" i="2" s="1"/>
  <c r="H1533" i="2"/>
  <c r="I1533" i="2" s="1"/>
  <c r="H1534" i="2"/>
  <c r="I1534" i="2" s="1"/>
  <c r="H1535" i="2"/>
  <c r="I1535" i="2" s="1"/>
  <c r="H1536" i="2"/>
  <c r="I1536" i="2" s="1"/>
  <c r="H1537" i="2"/>
  <c r="I1537" i="2" s="1"/>
  <c r="H1538" i="2"/>
  <c r="I1538" i="2" s="1"/>
  <c r="H1539" i="2"/>
  <c r="I1539" i="2" s="1"/>
  <c r="H1540" i="2"/>
  <c r="I1540" i="2" s="1"/>
  <c r="H1541" i="2"/>
  <c r="I1541" i="2" s="1"/>
  <c r="H1542" i="2"/>
  <c r="I1542" i="2" s="1"/>
  <c r="H1543" i="2"/>
  <c r="I1543" i="2" s="1"/>
  <c r="H1544" i="2"/>
  <c r="I1544" i="2" s="1"/>
  <c r="H1545" i="2"/>
  <c r="I1545" i="2" s="1"/>
  <c r="H1546" i="2"/>
  <c r="I1546" i="2" s="1"/>
  <c r="H1547" i="2"/>
  <c r="I1547" i="2" s="1"/>
  <c r="H1548" i="2"/>
  <c r="I1548" i="2" s="1"/>
  <c r="H1549" i="2"/>
  <c r="I1549" i="2" s="1"/>
  <c r="H1550" i="2"/>
  <c r="I1550" i="2" s="1"/>
  <c r="H1551" i="2"/>
  <c r="I1551" i="2" s="1"/>
  <c r="H1552" i="2"/>
  <c r="I1552" i="2" s="1"/>
  <c r="H1553" i="2"/>
  <c r="I1553" i="2" s="1"/>
  <c r="H1554" i="2"/>
  <c r="I1554" i="2" s="1"/>
  <c r="H1555" i="2"/>
  <c r="I1555" i="2" s="1"/>
  <c r="H1556" i="2"/>
  <c r="I1556" i="2" s="1"/>
  <c r="H1557" i="2"/>
  <c r="I1557" i="2" s="1"/>
  <c r="H1558" i="2"/>
  <c r="I1558" i="2" s="1"/>
  <c r="H1559" i="2"/>
  <c r="I1559" i="2" s="1"/>
  <c r="H1560" i="2"/>
  <c r="I1560" i="2" s="1"/>
  <c r="H1561" i="2"/>
  <c r="I1561" i="2" s="1"/>
  <c r="H1562" i="2"/>
  <c r="I1562" i="2" s="1"/>
  <c r="H1563" i="2"/>
  <c r="I1563" i="2" s="1"/>
  <c r="H1564" i="2"/>
  <c r="I1564" i="2" s="1"/>
  <c r="H1565" i="2"/>
  <c r="I1565" i="2" s="1"/>
  <c r="H1566" i="2"/>
  <c r="I1566" i="2" s="1"/>
  <c r="H1567" i="2"/>
  <c r="I1567" i="2" s="1"/>
  <c r="H1568" i="2"/>
  <c r="I1568" i="2" s="1"/>
  <c r="H1569" i="2"/>
  <c r="I1569" i="2" s="1"/>
  <c r="H1570" i="2"/>
  <c r="I1570" i="2" s="1"/>
  <c r="H1571" i="2"/>
  <c r="I1571" i="2" s="1"/>
  <c r="H1572" i="2"/>
  <c r="I1572" i="2" s="1"/>
  <c r="H1573" i="2"/>
  <c r="I1573" i="2" s="1"/>
  <c r="H1574" i="2"/>
  <c r="I1574" i="2" s="1"/>
  <c r="H1575" i="2"/>
  <c r="I1575" i="2" s="1"/>
  <c r="H1576" i="2"/>
  <c r="I1576" i="2" s="1"/>
  <c r="H1577" i="2"/>
  <c r="I1577" i="2" s="1"/>
  <c r="H1578" i="2"/>
  <c r="I1578" i="2" s="1"/>
  <c r="H1579" i="2"/>
  <c r="I1579" i="2" s="1"/>
  <c r="H1580" i="2"/>
  <c r="I1580" i="2" s="1"/>
  <c r="H1581" i="2"/>
  <c r="I1581" i="2" s="1"/>
  <c r="H1582" i="2"/>
  <c r="I1582" i="2" s="1"/>
  <c r="H1583" i="2"/>
  <c r="I1583" i="2" s="1"/>
  <c r="H1584" i="2"/>
  <c r="I1584" i="2" s="1"/>
  <c r="H1585" i="2"/>
  <c r="I1585" i="2" s="1"/>
  <c r="H1586" i="2"/>
  <c r="I1586" i="2" s="1"/>
  <c r="H1587" i="2"/>
  <c r="I1587" i="2" s="1"/>
  <c r="H1588" i="2"/>
  <c r="I1588" i="2" s="1"/>
  <c r="H1589" i="2"/>
  <c r="I1589" i="2" s="1"/>
  <c r="H1590" i="2"/>
  <c r="I1590" i="2" s="1"/>
  <c r="H1591" i="2"/>
  <c r="I1591" i="2" s="1"/>
  <c r="H1592" i="2"/>
  <c r="I1592" i="2" s="1"/>
  <c r="H1593" i="2"/>
  <c r="I1593" i="2" s="1"/>
  <c r="H1594" i="2"/>
  <c r="I1594" i="2" s="1"/>
  <c r="H1595" i="2"/>
  <c r="I1595" i="2" s="1"/>
  <c r="H1596" i="2"/>
  <c r="I1596" i="2" s="1"/>
  <c r="H1597" i="2"/>
  <c r="I1597" i="2" s="1"/>
  <c r="H1598" i="2"/>
  <c r="I1598" i="2" s="1"/>
  <c r="H1599" i="2"/>
  <c r="I1599" i="2" s="1"/>
  <c r="H1600" i="2"/>
  <c r="I1600" i="2" s="1"/>
  <c r="H1601" i="2"/>
  <c r="I1601" i="2" s="1"/>
  <c r="H1602" i="2"/>
  <c r="I1602" i="2" s="1"/>
  <c r="H1603" i="2"/>
  <c r="I1603" i="2" s="1"/>
  <c r="H1604" i="2"/>
  <c r="I1604" i="2" s="1"/>
  <c r="H1605" i="2"/>
  <c r="I1605" i="2" s="1"/>
  <c r="H1606" i="2"/>
  <c r="I1606" i="2" s="1"/>
  <c r="H1607" i="2"/>
  <c r="I1607" i="2" s="1"/>
  <c r="H1608" i="2"/>
  <c r="I1608" i="2" s="1"/>
  <c r="H1609" i="2"/>
  <c r="I1609" i="2" s="1"/>
  <c r="H1610" i="2"/>
  <c r="I1610" i="2" s="1"/>
  <c r="H1611" i="2"/>
  <c r="I1611" i="2" s="1"/>
  <c r="H1612" i="2"/>
  <c r="I1612" i="2" s="1"/>
  <c r="H1613" i="2"/>
  <c r="I1613" i="2" s="1"/>
  <c r="H1614" i="2"/>
  <c r="I1614" i="2" s="1"/>
  <c r="H1615" i="2"/>
  <c r="I1615" i="2" s="1"/>
  <c r="H1616" i="2"/>
  <c r="I1616" i="2" s="1"/>
  <c r="H1617" i="2"/>
  <c r="I1617" i="2" s="1"/>
  <c r="H1618" i="2"/>
  <c r="I1618" i="2" s="1"/>
  <c r="H1619" i="2"/>
  <c r="I1619" i="2" s="1"/>
  <c r="H1620" i="2"/>
  <c r="I1620" i="2" s="1"/>
  <c r="H1621" i="2"/>
  <c r="I1621" i="2" s="1"/>
  <c r="H1622" i="2"/>
  <c r="I1622" i="2" s="1"/>
  <c r="H1623" i="2"/>
  <c r="I1623" i="2" s="1"/>
  <c r="H1624" i="2"/>
  <c r="I1624" i="2" s="1"/>
  <c r="H1625" i="2"/>
  <c r="I1625" i="2" s="1"/>
  <c r="H1626" i="2"/>
  <c r="I1626" i="2" s="1"/>
  <c r="H1627" i="2"/>
  <c r="I1627" i="2" s="1"/>
  <c r="H1628" i="2"/>
  <c r="I1628" i="2" s="1"/>
  <c r="H1629" i="2"/>
  <c r="I1629" i="2" s="1"/>
  <c r="H1630" i="2"/>
  <c r="I1630" i="2" s="1"/>
  <c r="H1631" i="2"/>
  <c r="I1631" i="2" s="1"/>
  <c r="H1632" i="2"/>
  <c r="I1632" i="2" s="1"/>
  <c r="H1633" i="2"/>
  <c r="I1633" i="2" s="1"/>
  <c r="H1634" i="2"/>
  <c r="I1634" i="2" s="1"/>
  <c r="H1635" i="2"/>
  <c r="I1635" i="2" s="1"/>
  <c r="H1636" i="2"/>
  <c r="I1636" i="2" s="1"/>
  <c r="H1637" i="2"/>
  <c r="I1637" i="2" s="1"/>
  <c r="H1638" i="2"/>
  <c r="I1638" i="2" s="1"/>
  <c r="H1639" i="2"/>
  <c r="I1639" i="2" s="1"/>
  <c r="H1640" i="2"/>
  <c r="I1640" i="2" s="1"/>
  <c r="H1641" i="2"/>
  <c r="I1641" i="2" s="1"/>
  <c r="H1642" i="2"/>
  <c r="I1642" i="2" s="1"/>
  <c r="H1643" i="2"/>
  <c r="I1643" i="2" s="1"/>
  <c r="H1644" i="2"/>
  <c r="I1644" i="2" s="1"/>
  <c r="H1645" i="2"/>
  <c r="I1645" i="2" s="1"/>
  <c r="H1646" i="2"/>
  <c r="I1646" i="2" s="1"/>
  <c r="H1647" i="2"/>
  <c r="I1647" i="2" s="1"/>
  <c r="H1648" i="2"/>
  <c r="I1648" i="2" s="1"/>
  <c r="H1649" i="2"/>
  <c r="I1649" i="2" s="1"/>
  <c r="H1650" i="2"/>
  <c r="I1650" i="2" s="1"/>
  <c r="H1651" i="2"/>
  <c r="I1651" i="2" s="1"/>
  <c r="H1652" i="2"/>
  <c r="I1652" i="2" s="1"/>
  <c r="H1653" i="2"/>
  <c r="I1653" i="2" s="1"/>
  <c r="H1654" i="2"/>
  <c r="I1654" i="2" s="1"/>
  <c r="H1655" i="2"/>
  <c r="I1655" i="2" s="1"/>
  <c r="H1656" i="2"/>
  <c r="I1656" i="2" s="1"/>
  <c r="H1657" i="2"/>
  <c r="I1657" i="2" s="1"/>
  <c r="H1658" i="2"/>
  <c r="I1658" i="2" s="1"/>
  <c r="H1659" i="2"/>
  <c r="I1659" i="2" s="1"/>
  <c r="H1660" i="2"/>
  <c r="I1660" i="2" s="1"/>
  <c r="H1661" i="2"/>
  <c r="I1661" i="2" s="1"/>
  <c r="H1662" i="2"/>
  <c r="I1662" i="2" s="1"/>
  <c r="H1663" i="2"/>
  <c r="I1663" i="2" s="1"/>
  <c r="H1664" i="2"/>
  <c r="I1664" i="2" s="1"/>
  <c r="H1665" i="2"/>
  <c r="I1665" i="2" s="1"/>
  <c r="H1666" i="2"/>
  <c r="I1666" i="2" s="1"/>
  <c r="H1667" i="2"/>
  <c r="I1667" i="2" s="1"/>
  <c r="H1668" i="2"/>
  <c r="I1668" i="2" s="1"/>
  <c r="H1669" i="2"/>
  <c r="I1669" i="2" s="1"/>
  <c r="H1670" i="2"/>
  <c r="I1670" i="2" s="1"/>
  <c r="H1671" i="2"/>
  <c r="I1671" i="2" s="1"/>
  <c r="H1672" i="2"/>
  <c r="I1672" i="2" s="1"/>
  <c r="H1673" i="2"/>
  <c r="I1673" i="2" s="1"/>
  <c r="H1674" i="2"/>
  <c r="I1674" i="2" s="1"/>
  <c r="H1675" i="2"/>
  <c r="I1675" i="2" s="1"/>
  <c r="H1676" i="2"/>
  <c r="I1676" i="2" s="1"/>
  <c r="H1677" i="2"/>
  <c r="I1677" i="2" s="1"/>
  <c r="H1678" i="2"/>
  <c r="I1678" i="2" s="1"/>
  <c r="H1679" i="2"/>
  <c r="I1679" i="2" s="1"/>
  <c r="H1680" i="2"/>
  <c r="I1680" i="2" s="1"/>
  <c r="H1681" i="2"/>
  <c r="I1681" i="2" s="1"/>
  <c r="H1682" i="2"/>
  <c r="I1682" i="2" s="1"/>
  <c r="H1683" i="2"/>
  <c r="I1683" i="2" s="1"/>
  <c r="H1684" i="2"/>
  <c r="I1684" i="2" s="1"/>
  <c r="H1685" i="2"/>
  <c r="I1685" i="2" s="1"/>
  <c r="H1686" i="2"/>
  <c r="I1686" i="2" s="1"/>
  <c r="H1687" i="2"/>
  <c r="I1687" i="2" s="1"/>
  <c r="H1688" i="2"/>
  <c r="I1688" i="2" s="1"/>
  <c r="H1689" i="2"/>
  <c r="I1689" i="2" s="1"/>
  <c r="H1690" i="2"/>
  <c r="I1690" i="2" s="1"/>
  <c r="H1691" i="2"/>
  <c r="I1691" i="2" s="1"/>
  <c r="H1692" i="2"/>
  <c r="I1692" i="2" s="1"/>
  <c r="H1693" i="2"/>
  <c r="I1693" i="2" s="1"/>
  <c r="H1694" i="2"/>
  <c r="I1694" i="2" s="1"/>
  <c r="H1695" i="2"/>
  <c r="I1695" i="2" s="1"/>
  <c r="H1696" i="2"/>
  <c r="I1696" i="2" s="1"/>
  <c r="H1697" i="2"/>
  <c r="I1697" i="2" s="1"/>
  <c r="H1698" i="2"/>
  <c r="I1698" i="2" s="1"/>
  <c r="H1699" i="2"/>
  <c r="I1699" i="2" s="1"/>
  <c r="H1700" i="2"/>
  <c r="I1700" i="2" s="1"/>
  <c r="H1701" i="2"/>
  <c r="I1701" i="2" s="1"/>
  <c r="H1702" i="2"/>
  <c r="I1702" i="2" s="1"/>
  <c r="H1703" i="2"/>
  <c r="I1703" i="2" s="1"/>
  <c r="H1704" i="2"/>
  <c r="I1704" i="2" s="1"/>
  <c r="H1705" i="2"/>
  <c r="I1705" i="2" s="1"/>
  <c r="H1706" i="2"/>
  <c r="I1706" i="2" s="1"/>
  <c r="H1707" i="2"/>
  <c r="I1707" i="2" s="1"/>
  <c r="H1708" i="2"/>
  <c r="I1708" i="2" s="1"/>
  <c r="H1709" i="2"/>
  <c r="I1709" i="2" s="1"/>
  <c r="H1710" i="2"/>
  <c r="I1710" i="2" s="1"/>
  <c r="H1711" i="2"/>
  <c r="I1711" i="2" s="1"/>
  <c r="H1712" i="2"/>
  <c r="I1712" i="2" s="1"/>
  <c r="H1713" i="2"/>
  <c r="I1713" i="2" s="1"/>
  <c r="H1714" i="2"/>
  <c r="I1714" i="2" s="1"/>
  <c r="H1715" i="2"/>
  <c r="I1715" i="2" s="1"/>
  <c r="H1716" i="2"/>
  <c r="I1716" i="2" s="1"/>
  <c r="H1717" i="2"/>
  <c r="I1717" i="2" s="1"/>
  <c r="H1718" i="2"/>
  <c r="I1718" i="2" s="1"/>
  <c r="H1719" i="2"/>
  <c r="I1719" i="2" s="1"/>
  <c r="H1720" i="2"/>
  <c r="I1720" i="2" s="1"/>
  <c r="H1721" i="2"/>
  <c r="I1721" i="2" s="1"/>
  <c r="H1722" i="2"/>
  <c r="I1722" i="2" s="1"/>
  <c r="H1723" i="2"/>
  <c r="I1723" i="2" s="1"/>
  <c r="H1724" i="2"/>
  <c r="I1724" i="2" s="1"/>
  <c r="H1725" i="2"/>
  <c r="I1725" i="2" s="1"/>
  <c r="H1726" i="2"/>
  <c r="I1726" i="2" s="1"/>
  <c r="H1727" i="2"/>
  <c r="I1727" i="2" s="1"/>
  <c r="H1728" i="2"/>
  <c r="I1728" i="2" s="1"/>
  <c r="H1729" i="2"/>
  <c r="I1729" i="2" s="1"/>
  <c r="H1730" i="2"/>
  <c r="I1730" i="2" s="1"/>
  <c r="H1731" i="2"/>
  <c r="I1731" i="2" s="1"/>
  <c r="H1732" i="2"/>
  <c r="I1732" i="2" s="1"/>
  <c r="H1733" i="2"/>
  <c r="I1733" i="2" s="1"/>
  <c r="H1734" i="2"/>
  <c r="I1734" i="2" s="1"/>
  <c r="H1735" i="2"/>
  <c r="I1735" i="2" s="1"/>
  <c r="H1736" i="2"/>
  <c r="I1736" i="2" s="1"/>
  <c r="H1737" i="2"/>
  <c r="I1737" i="2" s="1"/>
  <c r="H1738" i="2"/>
  <c r="I1738" i="2" s="1"/>
  <c r="H1739" i="2"/>
  <c r="I1739" i="2" s="1"/>
  <c r="H1740" i="2"/>
  <c r="I1740" i="2" s="1"/>
  <c r="H1741" i="2"/>
  <c r="I1741" i="2" s="1"/>
  <c r="H1742" i="2"/>
  <c r="I1742" i="2" s="1"/>
  <c r="H1743" i="2"/>
  <c r="I1743" i="2" s="1"/>
  <c r="H1744" i="2"/>
  <c r="I1744" i="2" s="1"/>
  <c r="H1745" i="2"/>
  <c r="I1745" i="2" s="1"/>
  <c r="H1746" i="2"/>
  <c r="I1746" i="2" s="1"/>
  <c r="H1747" i="2"/>
  <c r="I1747" i="2" s="1"/>
  <c r="H1748" i="2"/>
  <c r="I1748" i="2" s="1"/>
  <c r="H1749" i="2"/>
  <c r="I1749" i="2" s="1"/>
  <c r="H1750" i="2"/>
  <c r="I1750" i="2" s="1"/>
  <c r="H1751" i="2"/>
  <c r="I1751" i="2" s="1"/>
  <c r="H1752" i="2"/>
  <c r="I1752" i="2" s="1"/>
  <c r="H1753" i="2"/>
  <c r="I1753" i="2" s="1"/>
  <c r="H1754" i="2"/>
  <c r="I1754" i="2" s="1"/>
  <c r="H1755" i="2"/>
  <c r="I1755" i="2" s="1"/>
  <c r="H1756" i="2"/>
  <c r="I1756" i="2" s="1"/>
  <c r="H1757" i="2"/>
  <c r="I1757" i="2" s="1"/>
  <c r="H1758" i="2"/>
  <c r="I1758" i="2" s="1"/>
  <c r="H1759" i="2"/>
  <c r="I1759" i="2" s="1"/>
  <c r="H1760" i="2"/>
  <c r="I1760" i="2" s="1"/>
  <c r="H1761" i="2"/>
  <c r="I1761" i="2" s="1"/>
  <c r="H1762" i="2"/>
  <c r="I1762" i="2" s="1"/>
  <c r="H1763" i="2"/>
  <c r="I1763" i="2" s="1"/>
  <c r="H1764" i="2"/>
  <c r="I1764" i="2" s="1"/>
  <c r="H1765" i="2"/>
  <c r="I1765" i="2" s="1"/>
  <c r="H1766" i="2"/>
  <c r="I1766" i="2" s="1"/>
  <c r="H1767" i="2"/>
  <c r="I1767" i="2" s="1"/>
  <c r="H1768" i="2"/>
  <c r="I1768" i="2" s="1"/>
  <c r="H1769" i="2"/>
  <c r="I1769" i="2" s="1"/>
  <c r="H1770" i="2"/>
  <c r="I1770" i="2" s="1"/>
  <c r="H1771" i="2"/>
  <c r="I1771" i="2" s="1"/>
  <c r="H1772" i="2"/>
  <c r="I1772" i="2" s="1"/>
  <c r="H1773" i="2"/>
  <c r="I1773" i="2" s="1"/>
  <c r="H1774" i="2"/>
  <c r="I1774" i="2" s="1"/>
  <c r="H1775" i="2"/>
  <c r="I1775" i="2" s="1"/>
  <c r="H1776" i="2"/>
  <c r="I1776" i="2" s="1"/>
  <c r="H1777" i="2"/>
  <c r="I1777" i="2" s="1"/>
  <c r="H1778" i="2"/>
  <c r="I1778" i="2" s="1"/>
  <c r="H1779" i="2"/>
  <c r="I1779" i="2" s="1"/>
  <c r="H1780" i="2"/>
  <c r="I1780" i="2" s="1"/>
  <c r="H1781" i="2"/>
  <c r="I1781" i="2" s="1"/>
  <c r="H1782" i="2"/>
  <c r="I1782" i="2" s="1"/>
  <c r="H1783" i="2"/>
  <c r="I1783" i="2" s="1"/>
  <c r="H1784" i="2"/>
  <c r="I1784" i="2" s="1"/>
  <c r="H1785" i="2"/>
  <c r="I1785" i="2" s="1"/>
  <c r="H1786" i="2"/>
  <c r="I1786" i="2" s="1"/>
  <c r="H1787" i="2"/>
  <c r="I1787" i="2" s="1"/>
  <c r="H1788" i="2"/>
  <c r="I1788" i="2" s="1"/>
  <c r="H1789" i="2"/>
  <c r="I1789" i="2" s="1"/>
  <c r="H1790" i="2"/>
  <c r="I1790" i="2" s="1"/>
  <c r="H1791" i="2"/>
  <c r="I1791" i="2" s="1"/>
  <c r="H1792" i="2"/>
  <c r="I1792" i="2" s="1"/>
  <c r="H1793" i="2"/>
  <c r="I1793" i="2" s="1"/>
  <c r="H1794" i="2"/>
  <c r="I1794" i="2" s="1"/>
  <c r="H1795" i="2"/>
  <c r="I1795" i="2" s="1"/>
  <c r="H1796" i="2"/>
  <c r="I1796" i="2" s="1"/>
  <c r="H1797" i="2"/>
  <c r="I1797" i="2" s="1"/>
  <c r="H1798" i="2"/>
  <c r="I1798" i="2" s="1"/>
  <c r="H1799" i="2"/>
  <c r="I1799" i="2" s="1"/>
  <c r="H1800" i="2"/>
  <c r="I1800" i="2" s="1"/>
  <c r="H1801" i="2"/>
  <c r="I1801" i="2" s="1"/>
  <c r="H1802" i="2"/>
  <c r="I1802" i="2" s="1"/>
  <c r="H1803" i="2"/>
  <c r="I1803" i="2" s="1"/>
  <c r="H1804" i="2"/>
  <c r="I1804" i="2" s="1"/>
  <c r="H1805" i="2"/>
  <c r="I1805" i="2" s="1"/>
  <c r="H1806" i="2"/>
  <c r="I1806" i="2" s="1"/>
  <c r="H1807" i="2"/>
  <c r="I1807" i="2" s="1"/>
  <c r="H1808" i="2"/>
  <c r="I1808" i="2" s="1"/>
  <c r="H1809" i="2"/>
  <c r="I1809" i="2" s="1"/>
  <c r="H1810" i="2"/>
  <c r="I1810" i="2" s="1"/>
  <c r="H1811" i="2"/>
  <c r="I1811" i="2" s="1"/>
  <c r="H1812" i="2"/>
  <c r="I1812" i="2" s="1"/>
  <c r="H1813" i="2"/>
  <c r="I1813" i="2" s="1"/>
  <c r="H1814" i="2"/>
  <c r="I1814" i="2" s="1"/>
  <c r="H1815" i="2"/>
  <c r="I1815" i="2" s="1"/>
  <c r="H1816" i="2"/>
  <c r="I1816" i="2" s="1"/>
  <c r="H1817" i="2"/>
  <c r="I1817" i="2" s="1"/>
  <c r="H1818" i="2"/>
  <c r="I1818" i="2" s="1"/>
  <c r="H1819" i="2"/>
  <c r="I1819" i="2" s="1"/>
  <c r="H1820" i="2"/>
  <c r="I1820" i="2" s="1"/>
  <c r="H1821" i="2"/>
  <c r="I1821" i="2" s="1"/>
  <c r="H1822" i="2"/>
  <c r="I1822" i="2" s="1"/>
  <c r="H1823" i="2"/>
  <c r="I1823" i="2" s="1"/>
  <c r="H1824" i="2"/>
  <c r="I1824" i="2" s="1"/>
  <c r="H1825" i="2"/>
  <c r="I1825" i="2" s="1"/>
  <c r="H1826" i="2"/>
  <c r="I1826" i="2" s="1"/>
  <c r="H1827" i="2"/>
  <c r="I1827" i="2" s="1"/>
  <c r="H1828" i="2"/>
  <c r="I1828" i="2" s="1"/>
  <c r="H1829" i="2"/>
  <c r="I1829" i="2" s="1"/>
  <c r="H1830" i="2"/>
  <c r="I1830" i="2" s="1"/>
  <c r="H1831" i="2"/>
  <c r="I1831" i="2" s="1"/>
  <c r="H1832" i="2"/>
  <c r="I1832" i="2" s="1"/>
  <c r="H1833" i="2"/>
  <c r="I1833" i="2" s="1"/>
  <c r="H1834" i="2"/>
  <c r="I1834" i="2" s="1"/>
  <c r="H1835" i="2"/>
  <c r="I1835" i="2" s="1"/>
  <c r="H1836" i="2"/>
  <c r="I1836" i="2" s="1"/>
  <c r="H1837" i="2"/>
  <c r="I1837" i="2" s="1"/>
  <c r="H1838" i="2"/>
  <c r="I1838" i="2" s="1"/>
  <c r="H1839" i="2"/>
  <c r="I1839" i="2" s="1"/>
  <c r="H1840" i="2"/>
  <c r="I1840" i="2" s="1"/>
  <c r="H1841" i="2"/>
  <c r="I1841" i="2" s="1"/>
  <c r="H1842" i="2"/>
  <c r="I1842" i="2" s="1"/>
  <c r="H1843" i="2"/>
  <c r="I1843" i="2" s="1"/>
  <c r="H1844" i="2"/>
  <c r="I1844" i="2" s="1"/>
  <c r="H1845" i="2"/>
  <c r="I1845" i="2" s="1"/>
  <c r="H1846" i="2"/>
  <c r="I1846" i="2" s="1"/>
  <c r="H1847" i="2"/>
  <c r="I1847" i="2" s="1"/>
  <c r="H1848" i="2"/>
  <c r="I1848" i="2" s="1"/>
  <c r="H1849" i="2"/>
  <c r="I1849" i="2" s="1"/>
  <c r="H1850" i="2"/>
  <c r="I1850" i="2" s="1"/>
  <c r="H1851" i="2"/>
  <c r="I1851" i="2" s="1"/>
  <c r="H1852" i="2"/>
  <c r="I1852" i="2" s="1"/>
  <c r="H1853" i="2"/>
  <c r="I1853" i="2" s="1"/>
  <c r="H1854" i="2"/>
  <c r="I1854" i="2" s="1"/>
  <c r="H1855" i="2"/>
  <c r="I1855" i="2" s="1"/>
  <c r="H1856" i="2"/>
  <c r="I1856" i="2" s="1"/>
  <c r="H1857" i="2"/>
  <c r="I1857" i="2" s="1"/>
  <c r="H1858" i="2"/>
  <c r="I1858" i="2" s="1"/>
  <c r="H1859" i="2"/>
  <c r="I1859" i="2" s="1"/>
  <c r="H1860" i="2"/>
  <c r="I1860" i="2" s="1"/>
  <c r="H1861" i="2"/>
  <c r="I1861" i="2" s="1"/>
  <c r="H1862" i="2"/>
  <c r="I1862" i="2" s="1"/>
  <c r="H1863" i="2"/>
  <c r="I1863" i="2" s="1"/>
  <c r="H1864" i="2"/>
  <c r="I1864" i="2" s="1"/>
  <c r="H1865" i="2"/>
  <c r="I1865" i="2" s="1"/>
  <c r="H1866" i="2"/>
  <c r="I1866" i="2" s="1"/>
  <c r="H1867" i="2"/>
  <c r="I1867" i="2" s="1"/>
  <c r="H1868" i="2"/>
  <c r="I1868" i="2" s="1"/>
  <c r="H1869" i="2"/>
  <c r="I1869" i="2" s="1"/>
  <c r="H1870" i="2"/>
  <c r="I1870" i="2" s="1"/>
  <c r="H1871" i="2"/>
  <c r="I1871" i="2" s="1"/>
  <c r="H1872" i="2"/>
  <c r="I1872" i="2" s="1"/>
  <c r="H1873" i="2"/>
  <c r="I1873" i="2" s="1"/>
  <c r="H1874" i="2"/>
  <c r="I1874" i="2" s="1"/>
  <c r="H1875" i="2"/>
  <c r="I1875" i="2" s="1"/>
  <c r="H1876" i="2"/>
  <c r="I1876" i="2" s="1"/>
  <c r="H1877" i="2"/>
  <c r="I1877" i="2" s="1"/>
  <c r="H1878" i="2"/>
  <c r="I1878" i="2" s="1"/>
  <c r="H1879" i="2"/>
  <c r="I1879" i="2" s="1"/>
  <c r="H1880" i="2"/>
  <c r="I1880" i="2" s="1"/>
  <c r="H1881" i="2"/>
  <c r="I1881" i="2" s="1"/>
  <c r="H1882" i="2"/>
  <c r="I1882" i="2" s="1"/>
  <c r="H1883" i="2"/>
  <c r="I1883" i="2" s="1"/>
  <c r="H1884" i="2"/>
  <c r="I1884" i="2" s="1"/>
  <c r="H1885" i="2"/>
  <c r="I1885" i="2" s="1"/>
  <c r="H1886" i="2"/>
  <c r="I1886" i="2" s="1"/>
  <c r="H1887" i="2"/>
  <c r="I1887" i="2" s="1"/>
  <c r="H1888" i="2"/>
  <c r="I1888" i="2" s="1"/>
  <c r="H1889" i="2"/>
  <c r="I1889" i="2" s="1"/>
  <c r="H1890" i="2"/>
  <c r="I1890" i="2" s="1"/>
  <c r="H1891" i="2"/>
  <c r="I1891" i="2" s="1"/>
  <c r="H1892" i="2"/>
  <c r="I1892" i="2" s="1"/>
  <c r="H1893" i="2"/>
  <c r="I1893" i="2" s="1"/>
  <c r="H1894" i="2"/>
  <c r="I1894" i="2" s="1"/>
  <c r="H1895" i="2"/>
  <c r="I1895" i="2" s="1"/>
  <c r="H1896" i="2"/>
  <c r="I1896" i="2" s="1"/>
  <c r="H1897" i="2"/>
  <c r="I1897" i="2" s="1"/>
  <c r="H1898" i="2"/>
  <c r="I1898" i="2" s="1"/>
  <c r="H1899" i="2"/>
  <c r="I1899" i="2" s="1"/>
  <c r="H1900" i="2"/>
  <c r="I1900" i="2" s="1"/>
  <c r="H1901" i="2"/>
  <c r="I1901" i="2" s="1"/>
  <c r="H1902" i="2"/>
  <c r="I1902" i="2" s="1"/>
  <c r="H1903" i="2"/>
  <c r="I1903" i="2" s="1"/>
  <c r="H1904" i="2"/>
  <c r="I1904" i="2" s="1"/>
  <c r="H1905" i="2"/>
  <c r="I1905" i="2" s="1"/>
  <c r="H1906" i="2"/>
  <c r="I1906" i="2" s="1"/>
  <c r="H1907" i="2"/>
  <c r="I1907" i="2" s="1"/>
  <c r="H1908" i="2"/>
  <c r="I1908" i="2" s="1"/>
  <c r="H1909" i="2"/>
  <c r="I1909" i="2" s="1"/>
  <c r="H1910" i="2"/>
  <c r="I1910" i="2" s="1"/>
  <c r="H1911" i="2"/>
  <c r="I1911" i="2" s="1"/>
  <c r="H1912" i="2"/>
  <c r="I1912" i="2" s="1"/>
  <c r="H1913" i="2"/>
  <c r="I1913" i="2" s="1"/>
  <c r="H1914" i="2"/>
  <c r="I1914" i="2" s="1"/>
  <c r="H1915" i="2"/>
  <c r="I1915" i="2" s="1"/>
  <c r="H1916" i="2"/>
  <c r="I1916" i="2" s="1"/>
  <c r="H1917" i="2"/>
  <c r="I1917" i="2" s="1"/>
  <c r="H1918" i="2"/>
  <c r="I1918" i="2" s="1"/>
  <c r="H1919" i="2"/>
  <c r="I1919" i="2" s="1"/>
  <c r="H1920" i="2"/>
  <c r="I1920" i="2" s="1"/>
  <c r="H1921" i="2"/>
  <c r="I1921" i="2" s="1"/>
  <c r="H1922" i="2"/>
  <c r="I1922" i="2" s="1"/>
  <c r="H1923" i="2"/>
  <c r="I1923" i="2" s="1"/>
  <c r="H1924" i="2"/>
  <c r="I1924" i="2" s="1"/>
  <c r="H1925" i="2"/>
  <c r="I1925" i="2" s="1"/>
  <c r="H1926" i="2"/>
  <c r="I1926" i="2" s="1"/>
  <c r="H1927" i="2"/>
  <c r="I1927" i="2" s="1"/>
  <c r="H1928" i="2"/>
  <c r="I1928" i="2" s="1"/>
  <c r="H1929" i="2"/>
  <c r="I1929" i="2" s="1"/>
  <c r="H1930" i="2"/>
  <c r="I1930" i="2" s="1"/>
  <c r="H1931" i="2"/>
  <c r="I1931" i="2" s="1"/>
  <c r="H1932" i="2"/>
  <c r="I1932" i="2" s="1"/>
  <c r="H1933" i="2"/>
  <c r="I1933" i="2" s="1"/>
  <c r="H1934" i="2"/>
  <c r="I1934" i="2" s="1"/>
  <c r="H1935" i="2"/>
  <c r="I1935" i="2" s="1"/>
  <c r="H1936" i="2"/>
  <c r="I1936" i="2" s="1"/>
  <c r="H1937" i="2"/>
  <c r="I1937" i="2" s="1"/>
  <c r="H1938" i="2"/>
  <c r="I1938" i="2" s="1"/>
  <c r="H1939" i="2"/>
  <c r="I1939" i="2" s="1"/>
  <c r="H1940" i="2"/>
  <c r="I1940" i="2" s="1"/>
  <c r="H1941" i="2"/>
  <c r="I1941" i="2" s="1"/>
  <c r="H1942" i="2"/>
  <c r="I1942" i="2" s="1"/>
  <c r="H1943" i="2"/>
  <c r="I1943" i="2" s="1"/>
  <c r="H1944" i="2"/>
  <c r="I1944" i="2" s="1"/>
  <c r="H1945" i="2"/>
  <c r="I1945" i="2" s="1"/>
  <c r="H1946" i="2"/>
  <c r="I1946" i="2" s="1"/>
  <c r="H1947" i="2"/>
  <c r="I1947" i="2" s="1"/>
  <c r="H1948" i="2"/>
  <c r="I1948" i="2" s="1"/>
  <c r="H1949" i="2"/>
  <c r="I1949" i="2" s="1"/>
  <c r="H1950" i="2"/>
  <c r="I1950" i="2" s="1"/>
  <c r="H1951" i="2"/>
  <c r="I1951" i="2" s="1"/>
  <c r="H1952" i="2"/>
  <c r="I1952" i="2" s="1"/>
  <c r="H1953" i="2"/>
  <c r="I1953" i="2" s="1"/>
  <c r="H1954" i="2"/>
  <c r="I1954" i="2" s="1"/>
  <c r="H1955" i="2"/>
  <c r="I1955" i="2" s="1"/>
  <c r="H1956" i="2"/>
  <c r="I1956" i="2" s="1"/>
  <c r="H1957" i="2"/>
  <c r="I1957" i="2" s="1"/>
  <c r="H1958" i="2"/>
  <c r="I1958" i="2" s="1"/>
  <c r="H1959" i="2"/>
  <c r="I1959" i="2" s="1"/>
  <c r="H1960" i="2"/>
  <c r="I1960" i="2" s="1"/>
  <c r="H1961" i="2"/>
  <c r="I1961" i="2" s="1"/>
  <c r="H1962" i="2"/>
  <c r="I1962" i="2" s="1"/>
  <c r="H1963" i="2"/>
  <c r="I1963" i="2" s="1"/>
  <c r="H1964" i="2"/>
  <c r="I1964" i="2" s="1"/>
  <c r="H1965" i="2"/>
  <c r="I1965" i="2" s="1"/>
  <c r="H1966" i="2"/>
  <c r="I1966" i="2" s="1"/>
  <c r="H1967" i="2"/>
  <c r="I1967" i="2" s="1"/>
  <c r="H1968" i="2"/>
  <c r="I1968" i="2" s="1"/>
  <c r="H1969" i="2"/>
  <c r="I1969" i="2" s="1"/>
  <c r="H1970" i="2"/>
  <c r="I1970" i="2" s="1"/>
  <c r="H1971" i="2"/>
  <c r="I1971" i="2" s="1"/>
  <c r="H1972" i="2"/>
  <c r="I1972" i="2" s="1"/>
  <c r="H1973" i="2"/>
  <c r="I1973" i="2" s="1"/>
  <c r="H1974" i="2"/>
  <c r="I1974" i="2" s="1"/>
  <c r="H1975" i="2"/>
  <c r="I1975" i="2" s="1"/>
  <c r="H1976" i="2"/>
  <c r="I1976" i="2" s="1"/>
  <c r="H1977" i="2"/>
  <c r="I1977" i="2" s="1"/>
  <c r="H1978" i="2"/>
  <c r="I1978" i="2" s="1"/>
  <c r="H1979" i="2"/>
  <c r="I1979" i="2" s="1"/>
  <c r="H1980" i="2"/>
  <c r="I1980" i="2" s="1"/>
  <c r="H1981" i="2"/>
  <c r="I1981" i="2" s="1"/>
  <c r="H1982" i="2"/>
  <c r="I1982" i="2" s="1"/>
  <c r="H1983" i="2"/>
  <c r="I1983" i="2" s="1"/>
  <c r="H1984" i="2"/>
  <c r="I1984" i="2" s="1"/>
  <c r="H1985" i="2"/>
  <c r="I1985" i="2" s="1"/>
  <c r="H1986" i="2"/>
  <c r="I1986" i="2" s="1"/>
  <c r="H1987" i="2"/>
  <c r="I1987" i="2" s="1"/>
  <c r="H1988" i="2"/>
  <c r="I1988" i="2" s="1"/>
  <c r="H1989" i="2"/>
  <c r="I1989" i="2" s="1"/>
  <c r="H1990" i="2"/>
  <c r="I1990" i="2" s="1"/>
  <c r="H1991" i="2"/>
  <c r="I1991" i="2" s="1"/>
  <c r="H1992" i="2"/>
  <c r="I1992" i="2" s="1"/>
  <c r="H1993" i="2"/>
  <c r="I1993" i="2" s="1"/>
  <c r="H1994" i="2"/>
  <c r="I1994" i="2" s="1"/>
  <c r="H1995" i="2"/>
  <c r="I1995" i="2" s="1"/>
  <c r="H1996" i="2"/>
  <c r="I1996" i="2" s="1"/>
  <c r="H1997" i="2"/>
  <c r="I1997" i="2" s="1"/>
  <c r="H1998" i="2"/>
  <c r="I1998" i="2" s="1"/>
  <c r="H1999" i="2"/>
  <c r="I1999" i="2" s="1"/>
  <c r="H2000" i="2"/>
  <c r="I2000" i="2" s="1"/>
  <c r="H2001" i="2"/>
  <c r="I2001" i="2" s="1"/>
  <c r="H2002" i="2"/>
  <c r="I2002" i="2" s="1"/>
  <c r="H2003" i="2"/>
  <c r="I2003" i="2" s="1"/>
  <c r="H2004" i="2"/>
  <c r="I2004" i="2" s="1"/>
  <c r="H2005" i="2"/>
  <c r="I2005" i="2" s="1"/>
  <c r="H2006" i="2"/>
  <c r="I2006" i="2" s="1"/>
  <c r="H2007" i="2"/>
  <c r="I2007" i="2" s="1"/>
  <c r="H2008" i="2"/>
  <c r="I2008" i="2" s="1"/>
  <c r="H2009" i="2"/>
  <c r="I2009" i="2" s="1"/>
  <c r="H2010" i="2"/>
  <c r="I2010" i="2" s="1"/>
  <c r="H2011" i="2"/>
  <c r="I2011" i="2" s="1"/>
  <c r="H2012" i="2"/>
  <c r="I2012" i="2" s="1"/>
  <c r="H2013" i="2"/>
  <c r="I2013" i="2" s="1"/>
  <c r="H2014" i="2"/>
  <c r="I2014" i="2" s="1"/>
  <c r="H2015" i="2"/>
  <c r="I2015" i="2" s="1"/>
  <c r="H2016" i="2"/>
  <c r="I2016" i="2" s="1"/>
  <c r="H2017" i="2"/>
  <c r="I2017" i="2" s="1"/>
  <c r="H2018" i="2"/>
  <c r="I2018" i="2" s="1"/>
  <c r="H2019" i="2"/>
  <c r="I2019" i="2" s="1"/>
  <c r="H2020" i="2"/>
  <c r="I2020" i="2" s="1"/>
  <c r="H2021" i="2"/>
  <c r="I2021" i="2" s="1"/>
  <c r="H2022" i="2"/>
  <c r="I2022" i="2" s="1"/>
  <c r="H2023" i="2"/>
  <c r="I2023" i="2" s="1"/>
  <c r="H2024" i="2"/>
  <c r="I2024" i="2" s="1"/>
  <c r="H2025" i="2"/>
  <c r="I2025" i="2" s="1"/>
  <c r="H2026" i="2"/>
  <c r="I2026" i="2" s="1"/>
  <c r="H2027" i="2"/>
  <c r="I2027" i="2" s="1"/>
  <c r="H2028" i="2"/>
  <c r="I2028" i="2" s="1"/>
  <c r="H2029" i="2"/>
  <c r="I2029" i="2" s="1"/>
  <c r="H2030" i="2"/>
  <c r="I2030" i="2" s="1"/>
  <c r="H2031" i="2"/>
  <c r="I2031" i="2" s="1"/>
  <c r="H2032" i="2"/>
  <c r="I2032" i="2" s="1"/>
  <c r="H2033" i="2"/>
  <c r="I2033" i="2" s="1"/>
  <c r="H2034" i="2"/>
  <c r="I2034" i="2" s="1"/>
  <c r="H2035" i="2"/>
  <c r="I2035" i="2" s="1"/>
  <c r="H2036" i="2"/>
  <c r="I2036" i="2" s="1"/>
  <c r="H2037" i="2"/>
  <c r="I2037" i="2" s="1"/>
  <c r="H2038" i="2"/>
  <c r="I2038" i="2" s="1"/>
  <c r="H2039" i="2"/>
  <c r="I2039" i="2" s="1"/>
  <c r="H2040" i="2"/>
  <c r="I2040" i="2" s="1"/>
  <c r="H2041" i="2"/>
  <c r="I2041" i="2" s="1"/>
  <c r="H2042" i="2"/>
  <c r="I2042" i="2" s="1"/>
  <c r="H2043" i="2"/>
  <c r="I2043" i="2" s="1"/>
  <c r="H2044" i="2"/>
  <c r="I2044" i="2" s="1"/>
  <c r="H2045" i="2"/>
  <c r="I2045" i="2" s="1"/>
  <c r="H2046" i="2"/>
  <c r="I2046" i="2" s="1"/>
  <c r="H2047" i="2"/>
  <c r="I2047" i="2" s="1"/>
  <c r="H2048" i="2"/>
  <c r="I2048" i="2" s="1"/>
  <c r="H2049" i="2"/>
  <c r="I2049" i="2" s="1"/>
  <c r="H2050" i="2"/>
  <c r="I2050" i="2" s="1"/>
  <c r="H2051" i="2"/>
  <c r="I2051" i="2" s="1"/>
  <c r="H2052" i="2"/>
  <c r="I2052" i="2" s="1"/>
  <c r="H2053" i="2"/>
  <c r="I2053" i="2" s="1"/>
  <c r="H2054" i="2"/>
  <c r="I2054" i="2" s="1"/>
  <c r="H2055" i="2"/>
  <c r="I2055" i="2" s="1"/>
  <c r="H2056" i="2"/>
  <c r="I2056" i="2" s="1"/>
  <c r="H2057" i="2"/>
  <c r="I2057" i="2" s="1"/>
  <c r="H2058" i="2"/>
  <c r="I2058" i="2" s="1"/>
  <c r="H2059" i="2"/>
  <c r="I2059" i="2" s="1"/>
  <c r="H2060" i="2"/>
  <c r="I2060" i="2" s="1"/>
  <c r="H2061" i="2"/>
  <c r="I2061" i="2" s="1"/>
  <c r="H2062" i="2"/>
  <c r="I2062" i="2" s="1"/>
  <c r="H2063" i="2"/>
  <c r="I2063" i="2" s="1"/>
  <c r="H2064" i="2"/>
  <c r="I2064" i="2" s="1"/>
  <c r="H2065" i="2"/>
  <c r="I2065" i="2" s="1"/>
  <c r="H2066" i="2"/>
  <c r="I2066" i="2" s="1"/>
  <c r="H2067" i="2"/>
  <c r="I2067" i="2" s="1"/>
  <c r="H2068" i="2"/>
  <c r="I2068" i="2" s="1"/>
  <c r="H2069" i="2"/>
  <c r="I2069" i="2" s="1"/>
  <c r="H2070" i="2"/>
  <c r="I2070" i="2" s="1"/>
  <c r="H2071" i="2"/>
  <c r="I2071" i="2" s="1"/>
  <c r="H2072" i="2"/>
  <c r="I2072" i="2" s="1"/>
  <c r="H2073" i="2"/>
  <c r="I2073" i="2" s="1"/>
  <c r="H2074" i="2"/>
  <c r="I2074" i="2" s="1"/>
  <c r="H2075" i="2"/>
  <c r="I2075" i="2" s="1"/>
  <c r="H2076" i="2"/>
  <c r="I2076" i="2" s="1"/>
  <c r="H2077" i="2"/>
  <c r="I2077" i="2" s="1"/>
  <c r="H2078" i="2"/>
  <c r="I2078" i="2" s="1"/>
  <c r="H2079" i="2"/>
  <c r="I2079" i="2" s="1"/>
  <c r="H2080" i="2"/>
  <c r="I2080" i="2" s="1"/>
  <c r="H2081" i="2"/>
  <c r="I2081" i="2" s="1"/>
  <c r="H2082" i="2"/>
  <c r="I2082" i="2" s="1"/>
  <c r="H2083" i="2"/>
  <c r="I2083" i="2" s="1"/>
  <c r="H2084" i="2"/>
  <c r="I2084" i="2" s="1"/>
  <c r="H2085" i="2"/>
  <c r="I2085" i="2" s="1"/>
  <c r="H2086" i="2"/>
  <c r="I2086" i="2" s="1"/>
  <c r="H2087" i="2"/>
  <c r="I2087" i="2" s="1"/>
  <c r="H2088" i="2"/>
  <c r="I2088" i="2" s="1"/>
  <c r="H2089" i="2"/>
  <c r="I2089" i="2" s="1"/>
  <c r="H2090" i="2"/>
  <c r="I2090" i="2" s="1"/>
  <c r="H2091" i="2"/>
  <c r="I2091" i="2" s="1"/>
  <c r="H2092" i="2"/>
  <c r="I2092" i="2" s="1"/>
  <c r="H2093" i="2"/>
  <c r="I2093" i="2" s="1"/>
  <c r="H2094" i="2"/>
  <c r="I2094" i="2" s="1"/>
  <c r="H2095" i="2"/>
  <c r="I2095" i="2" s="1"/>
  <c r="H2096" i="2"/>
  <c r="I2096" i="2" s="1"/>
  <c r="H2097" i="2"/>
  <c r="I2097" i="2" s="1"/>
  <c r="H2098" i="2"/>
  <c r="I2098" i="2" s="1"/>
  <c r="H2099" i="2"/>
  <c r="I2099" i="2" s="1"/>
  <c r="H2100" i="2"/>
  <c r="I2100" i="2" s="1"/>
  <c r="H2101" i="2"/>
  <c r="I2101" i="2" s="1"/>
  <c r="H2102" i="2"/>
  <c r="I2102" i="2" s="1"/>
  <c r="H2103" i="2"/>
  <c r="I2103" i="2" s="1"/>
  <c r="H2104" i="2"/>
  <c r="I2104" i="2" s="1"/>
  <c r="H2105" i="2"/>
  <c r="I2105" i="2" s="1"/>
  <c r="H2106" i="2"/>
  <c r="I2106" i="2" s="1"/>
  <c r="H2107" i="2"/>
  <c r="I2107" i="2" s="1"/>
  <c r="H2108" i="2"/>
  <c r="I2108" i="2" s="1"/>
  <c r="H2109" i="2"/>
  <c r="I2109" i="2" s="1"/>
  <c r="H2110" i="2"/>
  <c r="I2110" i="2" s="1"/>
  <c r="H2111" i="2"/>
  <c r="I2111" i="2" s="1"/>
  <c r="H2112" i="2"/>
  <c r="I2112" i="2" s="1"/>
  <c r="H2113" i="2"/>
  <c r="I2113" i="2" s="1"/>
  <c r="H2114" i="2"/>
  <c r="I2114" i="2" s="1"/>
  <c r="H2115" i="2"/>
  <c r="I2115" i="2" s="1"/>
  <c r="H2116" i="2"/>
  <c r="I2116" i="2" s="1"/>
  <c r="H2117" i="2"/>
  <c r="I2117" i="2" s="1"/>
  <c r="H2118" i="2"/>
  <c r="I2118" i="2" s="1"/>
  <c r="H2119" i="2"/>
  <c r="I2119" i="2" s="1"/>
  <c r="H2120" i="2"/>
  <c r="I2120" i="2" s="1"/>
  <c r="H2121" i="2"/>
  <c r="I2121" i="2" s="1"/>
  <c r="H2122" i="2"/>
  <c r="I2122" i="2" s="1"/>
  <c r="H2123" i="2"/>
  <c r="I2123" i="2" s="1"/>
  <c r="H2124" i="2"/>
  <c r="I2124" i="2" s="1"/>
  <c r="H2125" i="2"/>
  <c r="I2125" i="2" s="1"/>
  <c r="H2126" i="2"/>
  <c r="I2126" i="2" s="1"/>
  <c r="H2127" i="2"/>
  <c r="I2127" i="2" s="1"/>
  <c r="H2128" i="2"/>
  <c r="I2128" i="2" s="1"/>
  <c r="H2129" i="2"/>
  <c r="I2129" i="2" s="1"/>
  <c r="H2130" i="2"/>
  <c r="I2130" i="2" s="1"/>
  <c r="H2131" i="2"/>
  <c r="I2131" i="2" s="1"/>
  <c r="H2132" i="2"/>
  <c r="I2132" i="2" s="1"/>
  <c r="H2133" i="2"/>
  <c r="I2133" i="2" s="1"/>
  <c r="H2134" i="2"/>
  <c r="I2134" i="2" s="1"/>
  <c r="H2135" i="2"/>
  <c r="I2135" i="2" s="1"/>
  <c r="H2136" i="2"/>
  <c r="I2136" i="2" s="1"/>
  <c r="H2137" i="2"/>
  <c r="I2137" i="2" s="1"/>
  <c r="H2138" i="2"/>
  <c r="I2138" i="2" s="1"/>
  <c r="H2139" i="2"/>
  <c r="I2139" i="2" s="1"/>
  <c r="H2140" i="2"/>
  <c r="I2140" i="2" s="1"/>
  <c r="H2141" i="2"/>
  <c r="I2141" i="2" s="1"/>
  <c r="H2142" i="2"/>
  <c r="I2142" i="2" s="1"/>
  <c r="H2143" i="2"/>
  <c r="I2143" i="2" s="1"/>
  <c r="H2144" i="2"/>
  <c r="I2144" i="2" s="1"/>
  <c r="H2145" i="2"/>
  <c r="I2145" i="2" s="1"/>
  <c r="H2146" i="2"/>
  <c r="I2146" i="2" s="1"/>
  <c r="H2147" i="2"/>
  <c r="I2147" i="2" s="1"/>
  <c r="H2148" i="2"/>
  <c r="I2148" i="2" s="1"/>
  <c r="H2149" i="2"/>
  <c r="I2149" i="2" s="1"/>
  <c r="H2150" i="2"/>
  <c r="I2150" i="2" s="1"/>
  <c r="H2151" i="2"/>
  <c r="I2151" i="2" s="1"/>
  <c r="H2152" i="2"/>
  <c r="I2152" i="2" s="1"/>
  <c r="H2153" i="2"/>
  <c r="I2153" i="2" s="1"/>
  <c r="H2154" i="2"/>
  <c r="I2154" i="2" s="1"/>
  <c r="H2155" i="2"/>
  <c r="I2155" i="2" s="1"/>
  <c r="H2156" i="2"/>
  <c r="I2156" i="2" s="1"/>
  <c r="H2157" i="2"/>
  <c r="I2157" i="2" s="1"/>
  <c r="H2158" i="2"/>
  <c r="I2158" i="2" s="1"/>
  <c r="H2159" i="2"/>
  <c r="I2159" i="2" s="1"/>
  <c r="H2160" i="2"/>
  <c r="I2160" i="2" s="1"/>
  <c r="H2161" i="2"/>
  <c r="I2161" i="2" s="1"/>
  <c r="H2162" i="2"/>
  <c r="I2162" i="2" s="1"/>
  <c r="H2163" i="2"/>
  <c r="I2163" i="2" s="1"/>
  <c r="H2164" i="2"/>
  <c r="I2164" i="2" s="1"/>
  <c r="H2165" i="2"/>
  <c r="I2165" i="2" s="1"/>
  <c r="H2166" i="2"/>
  <c r="I2166" i="2" s="1"/>
  <c r="H2167" i="2"/>
  <c r="I2167" i="2" s="1"/>
  <c r="H2168" i="2"/>
  <c r="I2168" i="2" s="1"/>
  <c r="H2169" i="2"/>
  <c r="I2169" i="2" s="1"/>
  <c r="H2170" i="2"/>
  <c r="I2170" i="2" s="1"/>
  <c r="H2171" i="2"/>
  <c r="I2171" i="2" s="1"/>
  <c r="H2172" i="2"/>
  <c r="I2172" i="2" s="1"/>
  <c r="H2173" i="2"/>
  <c r="I2173" i="2" s="1"/>
  <c r="H2174" i="2"/>
  <c r="I2174" i="2" s="1"/>
  <c r="H2175" i="2"/>
  <c r="I2175" i="2" s="1"/>
  <c r="H2176" i="2"/>
  <c r="I2176" i="2" s="1"/>
  <c r="H2177" i="2"/>
  <c r="I2177" i="2" s="1"/>
  <c r="H2178" i="2"/>
  <c r="I2178" i="2" s="1"/>
  <c r="H2179" i="2"/>
  <c r="I2179" i="2" s="1"/>
  <c r="H2180" i="2"/>
  <c r="I2180" i="2" s="1"/>
  <c r="H2181" i="2"/>
  <c r="I2181" i="2" s="1"/>
  <c r="H2182" i="2"/>
  <c r="I2182" i="2" s="1"/>
  <c r="H2183" i="2"/>
  <c r="I2183" i="2" s="1"/>
  <c r="H2184" i="2"/>
  <c r="I2184" i="2" s="1"/>
  <c r="H2185" i="2"/>
  <c r="I2185" i="2" s="1"/>
  <c r="H2186" i="2"/>
  <c r="I2186" i="2" s="1"/>
  <c r="H2187" i="2"/>
  <c r="I2187" i="2" s="1"/>
  <c r="H2188" i="2"/>
  <c r="I2188" i="2" s="1"/>
  <c r="H2189" i="2"/>
  <c r="I2189" i="2" s="1"/>
  <c r="H2190" i="2"/>
  <c r="I2190" i="2" s="1"/>
  <c r="H2191" i="2"/>
  <c r="I2191" i="2" s="1"/>
  <c r="H2192" i="2"/>
  <c r="I2192" i="2" s="1"/>
  <c r="H2193" i="2"/>
  <c r="I2193" i="2" s="1"/>
  <c r="H2194" i="2"/>
  <c r="I2194" i="2" s="1"/>
  <c r="H2195" i="2"/>
  <c r="I2195" i="2" s="1"/>
  <c r="H2196" i="2"/>
  <c r="I2196" i="2" s="1"/>
  <c r="H2197" i="2"/>
  <c r="I2197" i="2" s="1"/>
  <c r="H2198" i="2"/>
  <c r="I2198" i="2" s="1"/>
  <c r="H2199" i="2"/>
  <c r="I2199" i="2" s="1"/>
  <c r="H2200" i="2"/>
  <c r="I2200" i="2" s="1"/>
  <c r="H2201" i="2"/>
  <c r="I2201" i="2" s="1"/>
  <c r="H2202" i="2"/>
  <c r="I2202" i="2" s="1"/>
  <c r="H2203" i="2"/>
  <c r="I2203" i="2" s="1"/>
  <c r="H2204" i="2"/>
  <c r="I2204" i="2" s="1"/>
  <c r="H2205" i="2"/>
  <c r="I2205" i="2" s="1"/>
  <c r="H2206" i="2"/>
  <c r="I2206" i="2" s="1"/>
  <c r="H2207" i="2"/>
  <c r="I2207" i="2" s="1"/>
  <c r="H2208" i="2"/>
  <c r="I2208" i="2" s="1"/>
  <c r="H2209" i="2"/>
  <c r="I2209" i="2" s="1"/>
  <c r="H2210" i="2"/>
  <c r="I2210" i="2" s="1"/>
  <c r="H2211" i="2"/>
  <c r="I2211" i="2" s="1"/>
  <c r="H2212" i="2"/>
  <c r="I2212" i="2" s="1"/>
  <c r="H2213" i="2"/>
  <c r="I2213" i="2" s="1"/>
  <c r="H2214" i="2"/>
  <c r="I2214" i="2" s="1"/>
  <c r="H2215" i="2"/>
  <c r="I2215" i="2" s="1"/>
  <c r="H2216" i="2"/>
  <c r="I2216" i="2" s="1"/>
  <c r="H2217" i="2"/>
  <c r="I2217" i="2" s="1"/>
  <c r="H2218" i="2"/>
  <c r="I2218" i="2" s="1"/>
  <c r="H2219" i="2"/>
  <c r="I2219" i="2" s="1"/>
  <c r="H2220" i="2"/>
  <c r="I2220" i="2" s="1"/>
  <c r="H2221" i="2"/>
  <c r="I2221" i="2" s="1"/>
  <c r="H2222" i="2"/>
  <c r="I2222" i="2" s="1"/>
  <c r="H2223" i="2"/>
  <c r="I2223" i="2" s="1"/>
  <c r="H2224" i="2"/>
  <c r="I2224" i="2" s="1"/>
  <c r="H2225" i="2"/>
  <c r="I2225" i="2" s="1"/>
  <c r="H2226" i="2"/>
  <c r="I2226" i="2" s="1"/>
  <c r="H2227" i="2"/>
  <c r="I2227" i="2" s="1"/>
  <c r="H2228" i="2"/>
  <c r="I2228" i="2" s="1"/>
  <c r="H2229" i="2"/>
  <c r="I2229" i="2" s="1"/>
  <c r="H2230" i="2"/>
  <c r="I2230" i="2" s="1"/>
  <c r="H2231" i="2"/>
  <c r="I2231" i="2" s="1"/>
  <c r="H2232" i="2"/>
  <c r="I2232" i="2" s="1"/>
  <c r="H2233" i="2"/>
  <c r="I2233" i="2" s="1"/>
  <c r="H2234" i="2"/>
  <c r="I2234" i="2" s="1"/>
  <c r="H2235" i="2"/>
  <c r="I2235" i="2" s="1"/>
  <c r="H2236" i="2"/>
  <c r="I2236" i="2" s="1"/>
  <c r="H2237" i="2"/>
  <c r="I2237" i="2" s="1"/>
  <c r="H2238" i="2"/>
  <c r="I2238" i="2" s="1"/>
  <c r="H2239" i="2"/>
  <c r="I2239" i="2" s="1"/>
  <c r="H2240" i="2"/>
  <c r="I2240" i="2" s="1"/>
  <c r="H2241" i="2"/>
  <c r="I2241" i="2" s="1"/>
  <c r="H2242" i="2"/>
  <c r="I2242" i="2" s="1"/>
  <c r="H2243" i="2"/>
  <c r="I2243" i="2" s="1"/>
  <c r="H2244" i="2"/>
  <c r="I2244" i="2" s="1"/>
  <c r="H2245" i="2"/>
  <c r="I2245" i="2" s="1"/>
  <c r="H2246" i="2"/>
  <c r="I2246" i="2" s="1"/>
  <c r="H2247" i="2"/>
  <c r="I2247" i="2" s="1"/>
  <c r="H2248" i="2"/>
  <c r="I2248" i="2" s="1"/>
  <c r="H2249" i="2"/>
  <c r="I2249" i="2" s="1"/>
  <c r="H2250" i="2"/>
  <c r="I2250" i="2" s="1"/>
  <c r="H2251" i="2"/>
  <c r="I2251" i="2" s="1"/>
  <c r="H2252" i="2"/>
  <c r="I2252" i="2" s="1"/>
  <c r="H2253" i="2"/>
  <c r="I2253" i="2" s="1"/>
  <c r="H2254" i="2"/>
  <c r="I2254" i="2" s="1"/>
  <c r="H2255" i="2"/>
  <c r="I2255" i="2" s="1"/>
  <c r="H2256" i="2"/>
  <c r="I2256" i="2" s="1"/>
  <c r="H2257" i="2"/>
  <c r="I2257" i="2" s="1"/>
  <c r="H2258" i="2"/>
  <c r="I2258" i="2" s="1"/>
  <c r="H2259" i="2"/>
  <c r="I2259" i="2" s="1"/>
  <c r="H2260" i="2"/>
  <c r="I2260" i="2" s="1"/>
  <c r="H2261" i="2"/>
  <c r="I2261" i="2" s="1"/>
  <c r="H2262" i="2"/>
  <c r="I2262" i="2" s="1"/>
  <c r="H2263" i="2"/>
  <c r="I2263" i="2" s="1"/>
  <c r="H2264" i="2"/>
  <c r="I2264" i="2" s="1"/>
  <c r="H2265" i="2"/>
  <c r="I2265" i="2" s="1"/>
  <c r="H2266" i="2"/>
  <c r="I2266" i="2" s="1"/>
  <c r="H2267" i="2"/>
  <c r="I2267" i="2" s="1"/>
  <c r="H2268" i="2"/>
  <c r="I2268" i="2" s="1"/>
  <c r="H2269" i="2"/>
  <c r="I2269" i="2" s="1"/>
  <c r="H2270" i="2"/>
  <c r="I2270" i="2" s="1"/>
  <c r="H2271" i="2"/>
  <c r="I2271" i="2" s="1"/>
  <c r="H2272" i="2"/>
  <c r="I2272" i="2" s="1"/>
  <c r="H2273" i="2"/>
  <c r="I2273" i="2" s="1"/>
  <c r="H2274" i="2"/>
  <c r="I2274" i="2" s="1"/>
  <c r="H2275" i="2"/>
  <c r="I2275" i="2" s="1"/>
  <c r="H2276" i="2"/>
  <c r="I2276" i="2" s="1"/>
  <c r="H2277" i="2"/>
  <c r="I2277" i="2" s="1"/>
  <c r="H2278" i="2"/>
  <c r="I2278" i="2" s="1"/>
  <c r="H2279" i="2"/>
  <c r="I2279" i="2" s="1"/>
  <c r="H2280" i="2"/>
  <c r="I2280" i="2" s="1"/>
  <c r="H2281" i="2"/>
  <c r="I2281" i="2" s="1"/>
  <c r="H2282" i="2"/>
  <c r="I2282" i="2" s="1"/>
  <c r="H2283" i="2"/>
  <c r="I2283" i="2" s="1"/>
  <c r="H2284" i="2"/>
  <c r="I2284" i="2" s="1"/>
  <c r="H2285" i="2"/>
  <c r="I2285" i="2" s="1"/>
  <c r="H2286" i="2"/>
  <c r="I2286" i="2" s="1"/>
  <c r="H2287" i="2"/>
  <c r="I2287" i="2" s="1"/>
  <c r="H2288" i="2"/>
  <c r="I2288" i="2" s="1"/>
  <c r="H2289" i="2"/>
  <c r="I2289" i="2" s="1"/>
  <c r="H2290" i="2"/>
  <c r="I2290" i="2" s="1"/>
  <c r="H2291" i="2"/>
  <c r="I2291" i="2" s="1"/>
  <c r="H2292" i="2"/>
  <c r="I2292" i="2" s="1"/>
  <c r="H2293" i="2"/>
  <c r="I2293" i="2" s="1"/>
  <c r="H2294" i="2"/>
  <c r="I2294" i="2" s="1"/>
  <c r="H2295" i="2"/>
  <c r="I2295" i="2" s="1"/>
  <c r="H2296" i="2"/>
  <c r="I2296" i="2" s="1"/>
  <c r="H2297" i="2"/>
  <c r="I2297" i="2" s="1"/>
  <c r="H2298" i="2"/>
  <c r="I2298" i="2" s="1"/>
  <c r="H2299" i="2"/>
  <c r="I2299" i="2" s="1"/>
  <c r="H2300" i="2"/>
  <c r="I2300" i="2" s="1"/>
  <c r="H2301" i="2"/>
  <c r="I2301" i="2" s="1"/>
  <c r="H2302" i="2"/>
  <c r="I2302" i="2" s="1"/>
  <c r="H2303" i="2"/>
  <c r="I2303" i="2" s="1"/>
  <c r="H2304" i="2"/>
  <c r="I2304" i="2" s="1"/>
  <c r="H2305" i="2"/>
  <c r="I2305" i="2" s="1"/>
  <c r="H2306" i="2"/>
  <c r="I2306" i="2" s="1"/>
  <c r="H2307" i="2"/>
  <c r="I2307" i="2" s="1"/>
  <c r="H2308" i="2"/>
  <c r="I2308" i="2" s="1"/>
  <c r="H2309" i="2"/>
  <c r="I2309" i="2" s="1"/>
  <c r="H2310" i="2"/>
  <c r="I2310" i="2" s="1"/>
  <c r="H2311" i="2"/>
  <c r="I2311" i="2" s="1"/>
  <c r="H2312" i="2"/>
  <c r="I2312" i="2" s="1"/>
  <c r="H2313" i="2"/>
  <c r="I2313" i="2" s="1"/>
  <c r="H2314" i="2"/>
  <c r="I2314" i="2" s="1"/>
  <c r="H2315" i="2"/>
  <c r="I2315" i="2" s="1"/>
  <c r="H2316" i="2"/>
  <c r="I2316" i="2" s="1"/>
  <c r="H2317" i="2"/>
  <c r="I2317" i="2" s="1"/>
  <c r="H2318" i="2"/>
  <c r="I2318" i="2" s="1"/>
  <c r="H2319" i="2"/>
  <c r="I2319" i="2" s="1"/>
  <c r="H2320" i="2"/>
  <c r="I2320" i="2" s="1"/>
  <c r="H2321" i="2"/>
  <c r="I2321" i="2" s="1"/>
  <c r="H2322" i="2"/>
  <c r="I2322" i="2" s="1"/>
  <c r="H2323" i="2"/>
  <c r="I2323" i="2" s="1"/>
  <c r="H2324" i="2"/>
  <c r="I2324" i="2" s="1"/>
  <c r="H2325" i="2"/>
  <c r="I2325" i="2" s="1"/>
  <c r="H2326" i="2"/>
  <c r="I2326" i="2" s="1"/>
  <c r="H2327" i="2"/>
  <c r="I2327" i="2" s="1"/>
  <c r="H2328" i="2"/>
  <c r="I2328" i="2" s="1"/>
  <c r="H2329" i="2"/>
  <c r="I2329" i="2" s="1"/>
  <c r="H2330" i="2"/>
  <c r="I2330" i="2" s="1"/>
  <c r="H2331" i="2"/>
  <c r="I2331" i="2" s="1"/>
  <c r="H2332" i="2"/>
  <c r="I2332" i="2" s="1"/>
  <c r="H2333" i="2"/>
  <c r="I2333" i="2" s="1"/>
  <c r="H2334" i="2"/>
  <c r="I2334" i="2" s="1"/>
  <c r="H2335" i="2"/>
  <c r="I2335" i="2" s="1"/>
  <c r="H2336" i="2"/>
  <c r="I2336" i="2" s="1"/>
  <c r="H2337" i="2"/>
  <c r="I2337" i="2" s="1"/>
  <c r="H2338" i="2"/>
  <c r="I2338" i="2" s="1"/>
  <c r="H2339" i="2"/>
  <c r="I2339" i="2" s="1"/>
  <c r="H2340" i="2"/>
  <c r="I2340" i="2" s="1"/>
  <c r="H2341" i="2"/>
  <c r="I2341" i="2" s="1"/>
  <c r="H2342" i="2"/>
  <c r="I2342" i="2" s="1"/>
  <c r="H2343" i="2"/>
  <c r="I2343" i="2" s="1"/>
  <c r="H2344" i="2"/>
  <c r="I2344" i="2" s="1"/>
  <c r="H2345" i="2"/>
  <c r="I2345" i="2" s="1"/>
  <c r="H2346" i="2"/>
  <c r="I2346" i="2" s="1"/>
  <c r="H2347" i="2"/>
  <c r="I2347" i="2" s="1"/>
  <c r="H2348" i="2"/>
  <c r="I2348" i="2" s="1"/>
  <c r="H2349" i="2"/>
  <c r="I2349" i="2" s="1"/>
  <c r="H2350" i="2"/>
  <c r="I2350" i="2" s="1"/>
  <c r="H2351" i="2"/>
  <c r="I2351" i="2" s="1"/>
  <c r="H2352" i="2"/>
  <c r="I2352" i="2" s="1"/>
  <c r="H2353" i="2"/>
  <c r="I2353" i="2" s="1"/>
  <c r="H2354" i="2"/>
  <c r="I2354" i="2" s="1"/>
  <c r="H2355" i="2"/>
  <c r="I2355" i="2" s="1"/>
  <c r="H2356" i="2"/>
  <c r="I2356" i="2" s="1"/>
  <c r="H2357" i="2"/>
  <c r="I2357" i="2" s="1"/>
  <c r="H2358" i="2"/>
  <c r="I2358" i="2" s="1"/>
  <c r="H2359" i="2"/>
  <c r="I2359" i="2" s="1"/>
  <c r="H2360" i="2"/>
  <c r="I2360" i="2" s="1"/>
  <c r="H2361" i="2"/>
  <c r="I2361" i="2" s="1"/>
  <c r="H2362" i="2"/>
  <c r="I2362" i="2" s="1"/>
  <c r="H2363" i="2"/>
  <c r="I2363" i="2" s="1"/>
  <c r="H2364" i="2"/>
  <c r="I2364" i="2" s="1"/>
  <c r="H2365" i="2"/>
  <c r="I2365" i="2" s="1"/>
  <c r="H2366" i="2"/>
  <c r="I2366" i="2" s="1"/>
  <c r="H2367" i="2"/>
  <c r="I2367" i="2" s="1"/>
  <c r="H2368" i="2"/>
  <c r="I2368" i="2" s="1"/>
  <c r="H2369" i="2"/>
  <c r="I2369" i="2" s="1"/>
  <c r="H2370" i="2"/>
  <c r="I2370" i="2" s="1"/>
  <c r="H2371" i="2"/>
  <c r="I2371" i="2" s="1"/>
  <c r="H2372" i="2"/>
  <c r="I2372" i="2" s="1"/>
  <c r="H2373" i="2"/>
  <c r="I2373" i="2" s="1"/>
  <c r="H2374" i="2"/>
  <c r="I2374" i="2" s="1"/>
  <c r="H2375" i="2"/>
  <c r="I2375" i="2" s="1"/>
  <c r="H2376" i="2"/>
  <c r="I2376" i="2" s="1"/>
  <c r="H2377" i="2"/>
  <c r="I2377" i="2" s="1"/>
  <c r="H2378" i="2"/>
  <c r="I2378" i="2" s="1"/>
  <c r="H2379" i="2"/>
  <c r="I2379" i="2" s="1"/>
  <c r="H2380" i="2"/>
  <c r="I2380" i="2" s="1"/>
  <c r="H2381" i="2"/>
  <c r="I2381" i="2" s="1"/>
  <c r="H2382" i="2"/>
  <c r="I2382" i="2" s="1"/>
  <c r="H2383" i="2"/>
  <c r="I2383" i="2" s="1"/>
  <c r="H2384" i="2"/>
  <c r="I2384" i="2" s="1"/>
  <c r="H2385" i="2"/>
  <c r="I2385" i="2" s="1"/>
  <c r="H2386" i="2"/>
  <c r="I2386" i="2" s="1"/>
  <c r="H2387" i="2"/>
  <c r="I2387" i="2" s="1"/>
  <c r="H2388" i="2"/>
  <c r="I2388" i="2" s="1"/>
  <c r="H2389" i="2"/>
  <c r="I2389" i="2" s="1"/>
  <c r="H2390" i="2"/>
  <c r="I2390" i="2" s="1"/>
  <c r="H2391" i="2"/>
  <c r="I2391" i="2" s="1"/>
  <c r="H2392" i="2"/>
  <c r="I2392" i="2" s="1"/>
  <c r="H2393" i="2"/>
  <c r="I2393" i="2" s="1"/>
  <c r="H2394" i="2"/>
  <c r="I2394" i="2" s="1"/>
  <c r="H2395" i="2"/>
  <c r="I2395" i="2" s="1"/>
  <c r="H2396" i="2"/>
  <c r="I2396" i="2" s="1"/>
  <c r="H2397" i="2"/>
  <c r="I2397" i="2" s="1"/>
  <c r="H2398" i="2"/>
  <c r="I2398" i="2" s="1"/>
  <c r="H2399" i="2"/>
  <c r="I2399" i="2" s="1"/>
  <c r="H2400" i="2"/>
  <c r="I2400" i="2" s="1"/>
  <c r="H2401" i="2"/>
  <c r="I2401" i="2" s="1"/>
  <c r="H2402" i="2"/>
  <c r="I2402" i="2" s="1"/>
  <c r="H2403" i="2"/>
  <c r="I2403" i="2" s="1"/>
  <c r="H2404" i="2"/>
  <c r="I2404" i="2" s="1"/>
  <c r="H2405" i="2"/>
  <c r="I2405" i="2" s="1"/>
  <c r="H2406" i="2"/>
  <c r="I2406" i="2" s="1"/>
  <c r="H2407" i="2"/>
  <c r="I2407" i="2" s="1"/>
  <c r="H2408" i="2"/>
  <c r="I2408" i="2" s="1"/>
  <c r="H2409" i="2"/>
  <c r="I2409" i="2" s="1"/>
  <c r="H2410" i="2"/>
  <c r="I2410" i="2" s="1"/>
  <c r="H2411" i="2"/>
  <c r="I2411" i="2" s="1"/>
  <c r="H2412" i="2"/>
  <c r="I2412" i="2" s="1"/>
  <c r="H2413" i="2"/>
  <c r="I2413" i="2" s="1"/>
  <c r="H2414" i="2"/>
  <c r="I2414" i="2" s="1"/>
  <c r="H2415" i="2"/>
  <c r="I2415" i="2" s="1"/>
  <c r="H2416" i="2"/>
  <c r="I2416" i="2" s="1"/>
  <c r="H2417" i="2"/>
  <c r="I2417" i="2" s="1"/>
  <c r="H2418" i="2"/>
  <c r="I2418" i="2" s="1"/>
  <c r="H2419" i="2"/>
  <c r="I2419" i="2" s="1"/>
  <c r="H2420" i="2"/>
  <c r="I2420" i="2" s="1"/>
  <c r="H2421" i="2"/>
  <c r="I2421" i="2" s="1"/>
  <c r="H2422" i="2"/>
  <c r="I2422" i="2" s="1"/>
  <c r="H2423" i="2"/>
  <c r="I2423" i="2" s="1"/>
  <c r="H2424" i="2"/>
  <c r="I2424" i="2" s="1"/>
  <c r="H2425" i="2"/>
  <c r="I2425" i="2" s="1"/>
  <c r="H2426" i="2"/>
  <c r="I2426" i="2" s="1"/>
  <c r="H2427" i="2"/>
  <c r="I2427" i="2" s="1"/>
  <c r="H2428" i="2"/>
  <c r="I2428" i="2" s="1"/>
  <c r="H2429" i="2"/>
  <c r="I2429" i="2" s="1"/>
  <c r="H2430" i="2"/>
  <c r="I2430" i="2" s="1"/>
  <c r="H2431" i="2"/>
  <c r="I2431" i="2" s="1"/>
  <c r="H2432" i="2"/>
  <c r="I2432" i="2" s="1"/>
  <c r="H2433" i="2"/>
  <c r="I2433" i="2" s="1"/>
  <c r="H2434" i="2"/>
  <c r="I2434" i="2" s="1"/>
  <c r="H2435" i="2"/>
  <c r="I2435" i="2" s="1"/>
  <c r="H2436" i="2"/>
  <c r="I2436" i="2" s="1"/>
  <c r="H2437" i="2"/>
  <c r="I2437" i="2" s="1"/>
  <c r="H2438" i="2"/>
  <c r="I2438" i="2" s="1"/>
  <c r="H2439" i="2"/>
  <c r="I2439" i="2" s="1"/>
  <c r="H2440" i="2"/>
  <c r="I2440" i="2" s="1"/>
  <c r="H2441" i="2"/>
  <c r="I2441" i="2" s="1"/>
  <c r="H2442" i="2"/>
  <c r="I2442" i="2" s="1"/>
  <c r="H2443" i="2"/>
  <c r="I2443" i="2" s="1"/>
  <c r="H2444" i="2"/>
  <c r="I2444" i="2" s="1"/>
  <c r="H2445" i="2"/>
  <c r="I2445" i="2" s="1"/>
  <c r="H2446" i="2"/>
  <c r="I2446" i="2" s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I5" i="1"/>
  <c r="H6" i="2" s="1"/>
  <c r="I6" i="2" s="1"/>
  <c r="I6" i="1"/>
  <c r="I7" i="1"/>
  <c r="H9" i="2" s="1"/>
  <c r="I9" i="2" s="1"/>
  <c r="I8" i="1"/>
  <c r="H10" i="2" s="1"/>
  <c r="I10" i="2" s="1"/>
  <c r="I9" i="1"/>
  <c r="H7" i="2" s="1"/>
  <c r="I7" i="2" s="1"/>
  <c r="I10" i="1"/>
  <c r="H8" i="2" s="1"/>
  <c r="I8" i="2" s="1"/>
  <c r="I11" i="1"/>
  <c r="H11" i="2" s="1"/>
  <c r="I11" i="2" s="1"/>
  <c r="I12" i="1"/>
  <c r="H12" i="2" s="1"/>
  <c r="I12" i="2" s="1"/>
  <c r="I13" i="1"/>
  <c r="H13" i="2" s="1"/>
  <c r="I13" i="2" s="1"/>
  <c r="I14" i="1"/>
  <c r="H14" i="2" s="1"/>
  <c r="I14" i="2" s="1"/>
  <c r="I15" i="1"/>
  <c r="H15" i="2" s="1"/>
  <c r="I15" i="2" s="1"/>
  <c r="I16" i="1"/>
  <c r="H16" i="2" s="1"/>
  <c r="I16" i="2" s="1"/>
  <c r="I17" i="1"/>
  <c r="H17" i="2" s="1"/>
  <c r="I17" i="2" s="1"/>
  <c r="I18" i="1"/>
  <c r="H18" i="2" s="1"/>
  <c r="I18" i="2" s="1"/>
  <c r="I19" i="1"/>
  <c r="H20" i="2" s="1"/>
  <c r="I20" i="2" s="1"/>
  <c r="I20" i="1"/>
  <c r="H22" i="2" s="1"/>
  <c r="I22" i="2" s="1"/>
  <c r="I21" i="1"/>
  <c r="H24" i="2" s="1"/>
  <c r="I24" i="2" s="1"/>
  <c r="I22" i="1"/>
  <c r="H25" i="2" s="1"/>
  <c r="I25" i="2" s="1"/>
  <c r="I23" i="1"/>
  <c r="H23" i="2" s="1"/>
  <c r="I23" i="2" s="1"/>
  <c r="I24" i="1"/>
  <c r="H28" i="2" s="1"/>
  <c r="I28" i="2" s="1"/>
  <c r="I25" i="1"/>
  <c r="H21" i="2" s="1"/>
  <c r="I21" i="2" s="1"/>
  <c r="I26" i="1"/>
  <c r="H29" i="2" s="1"/>
  <c r="I29" i="2" s="1"/>
  <c r="I27" i="1"/>
  <c r="H30" i="2" s="1"/>
  <c r="I30" i="2" s="1"/>
  <c r="I28" i="1"/>
  <c r="H31" i="2" s="1"/>
  <c r="I31" i="2" s="1"/>
  <c r="I29" i="1"/>
  <c r="H32" i="2" s="1"/>
  <c r="I32" i="2" s="1"/>
  <c r="I30" i="1"/>
  <c r="H34" i="2" s="1"/>
  <c r="I34" i="2" s="1"/>
  <c r="I31" i="1"/>
  <c r="H33" i="2" s="1"/>
  <c r="I33" i="2" s="1"/>
  <c r="I32" i="1"/>
  <c r="H35" i="2" s="1"/>
  <c r="I35" i="2" s="1"/>
  <c r="I33" i="1"/>
  <c r="H36" i="2" s="1"/>
  <c r="I36" i="2" s="1"/>
  <c r="I34" i="1"/>
  <c r="H39" i="2" s="1"/>
  <c r="I39" i="2" s="1"/>
  <c r="I35" i="1"/>
  <c r="H38" i="2" s="1"/>
  <c r="I38" i="2" s="1"/>
  <c r="I36" i="1"/>
  <c r="H37" i="2" s="1"/>
  <c r="I37" i="2" s="1"/>
  <c r="I37" i="1"/>
  <c r="H40" i="2" s="1"/>
  <c r="I40" i="2" s="1"/>
  <c r="I38" i="1"/>
  <c r="H41" i="2" s="1"/>
  <c r="I41" i="2" s="1"/>
  <c r="I39" i="1"/>
  <c r="H42" i="2" s="1"/>
  <c r="I42" i="2" s="1"/>
  <c r="I40" i="1"/>
  <c r="H44" i="2" s="1"/>
  <c r="I44" i="2" s="1"/>
  <c r="I41" i="1"/>
  <c r="H43" i="2" s="1"/>
  <c r="I43" i="2" s="1"/>
  <c r="I42" i="1"/>
  <c r="H48" i="2" s="1"/>
  <c r="I48" i="2" s="1"/>
  <c r="I43" i="1"/>
  <c r="H45" i="2" s="1"/>
  <c r="I45" i="2" s="1"/>
  <c r="I44" i="1"/>
  <c r="H46" i="2" s="1"/>
  <c r="I46" i="2" s="1"/>
  <c r="I45" i="1"/>
  <c r="H47" i="2" s="1"/>
  <c r="I47" i="2" s="1"/>
  <c r="I46" i="1"/>
  <c r="H51" i="2" s="1"/>
  <c r="I51" i="2" s="1"/>
  <c r="I47" i="1"/>
  <c r="H49" i="2" s="1"/>
  <c r="I49" i="2" s="1"/>
  <c r="I48" i="1"/>
  <c r="H60" i="2" s="1"/>
  <c r="I60" i="2" s="1"/>
  <c r="I49" i="1"/>
  <c r="H59" i="2" s="1"/>
  <c r="I59" i="2" s="1"/>
  <c r="I50" i="1"/>
  <c r="H247" i="2" s="1"/>
  <c r="I247" i="2" s="1"/>
  <c r="I51" i="1"/>
  <c r="H53" i="2" s="1"/>
  <c r="I53" i="2" s="1"/>
  <c r="I52" i="1"/>
  <c r="H154" i="2" s="1"/>
  <c r="I154" i="2" s="1"/>
  <c r="I53" i="1"/>
  <c r="H55" i="2" s="1"/>
  <c r="I55" i="2" s="1"/>
  <c r="I54" i="1"/>
  <c r="H56" i="2" s="1"/>
  <c r="I56" i="2" s="1"/>
  <c r="I55" i="1"/>
  <c r="H57" i="2" s="1"/>
  <c r="I57" i="2" s="1"/>
  <c r="I56" i="1"/>
  <c r="H58" i="2" s="1"/>
  <c r="I58" i="2" s="1"/>
  <c r="I57" i="1"/>
  <c r="H61" i="2" s="1"/>
  <c r="I61" i="2" s="1"/>
  <c r="I58" i="1"/>
  <c r="H62" i="2" s="1"/>
  <c r="I62" i="2" s="1"/>
  <c r="I59" i="1"/>
  <c r="H63" i="2" s="1"/>
  <c r="I63" i="2" s="1"/>
  <c r="I60" i="1"/>
  <c r="H65" i="2" s="1"/>
  <c r="I65" i="2" s="1"/>
  <c r="I62" i="1"/>
  <c r="H71" i="2" s="1"/>
  <c r="I71" i="2" s="1"/>
  <c r="I63" i="1"/>
  <c r="H72" i="2" s="1"/>
  <c r="I72" i="2" s="1"/>
  <c r="I64" i="1"/>
  <c r="H67" i="2" s="1"/>
  <c r="I67" i="2" s="1"/>
  <c r="I65" i="1"/>
  <c r="H70" i="2" s="1"/>
  <c r="I70" i="2" s="1"/>
  <c r="I66" i="1"/>
  <c r="H73" i="2" s="1"/>
  <c r="I73" i="2" s="1"/>
  <c r="I67" i="1"/>
  <c r="H223" i="2" s="1"/>
  <c r="I223" i="2" s="1"/>
  <c r="I68" i="1"/>
  <c r="H84" i="2" s="1"/>
  <c r="I84" i="2" s="1"/>
  <c r="I69" i="1"/>
  <c r="H87" i="2" s="1"/>
  <c r="I87" i="2" s="1"/>
  <c r="I70" i="1"/>
  <c r="H75" i="2" s="1"/>
  <c r="I75" i="2" s="1"/>
  <c r="I71" i="1"/>
  <c r="H79" i="2" s="1"/>
  <c r="I79" i="2" s="1"/>
  <c r="I72" i="1"/>
  <c r="H80" i="2" s="1"/>
  <c r="I80" i="2" s="1"/>
  <c r="I73" i="1"/>
  <c r="H77" i="2" s="1"/>
  <c r="I77" i="2" s="1"/>
  <c r="I74" i="1"/>
  <c r="H78" i="2" s="1"/>
  <c r="I78" i="2" s="1"/>
  <c r="I75" i="1"/>
  <c r="H76" i="2" s="1"/>
  <c r="I76" i="2" s="1"/>
  <c r="I76" i="1"/>
  <c r="H81" i="2" s="1"/>
  <c r="I81" i="2" s="1"/>
  <c r="I77" i="1"/>
  <c r="H82" i="2" s="1"/>
  <c r="I82" i="2" s="1"/>
  <c r="I78" i="1"/>
  <c r="H83" i="2" s="1"/>
  <c r="I83" i="2" s="1"/>
  <c r="I79" i="1"/>
  <c r="H85" i="2" s="1"/>
  <c r="I85" i="2" s="1"/>
  <c r="I80" i="1"/>
  <c r="H86" i="2" s="1"/>
  <c r="I86" i="2" s="1"/>
  <c r="I81" i="1"/>
  <c r="H98" i="2" s="1"/>
  <c r="I98" i="2" s="1"/>
  <c r="I82" i="1"/>
  <c r="H88" i="2" s="1"/>
  <c r="I88" i="2" s="1"/>
  <c r="I83" i="1"/>
  <c r="H89" i="2" s="1"/>
  <c r="I89" i="2" s="1"/>
  <c r="I84" i="1"/>
  <c r="H91" i="2" s="1"/>
  <c r="I91" i="2" s="1"/>
  <c r="I85" i="1"/>
  <c r="H95" i="2" s="1"/>
  <c r="I95" i="2" s="1"/>
  <c r="I86" i="1"/>
  <c r="H92" i="2" s="1"/>
  <c r="I92" i="2" s="1"/>
  <c r="I87" i="1"/>
  <c r="H94" i="2" s="1"/>
  <c r="I94" i="2" s="1"/>
  <c r="I88" i="1"/>
  <c r="H90" i="2" s="1"/>
  <c r="I90" i="2" s="1"/>
  <c r="I89" i="1"/>
  <c r="H97" i="2" s="1"/>
  <c r="I97" i="2" s="1"/>
  <c r="I90" i="1"/>
  <c r="H100" i="2" s="1"/>
  <c r="I100" i="2" s="1"/>
  <c r="I91" i="1"/>
  <c r="H101" i="2" s="1"/>
  <c r="I101" i="2" s="1"/>
  <c r="I92" i="1"/>
  <c r="H102" i="2" s="1"/>
  <c r="I102" i="2" s="1"/>
  <c r="I93" i="1"/>
  <c r="H109" i="2" s="1"/>
  <c r="I109" i="2" s="1"/>
  <c r="I94" i="1"/>
  <c r="H110" i="2" s="1"/>
  <c r="I110" i="2" s="1"/>
  <c r="I95" i="1"/>
  <c r="H104" i="2" s="1"/>
  <c r="I104" i="2" s="1"/>
  <c r="I96" i="1"/>
  <c r="H105" i="2" s="1"/>
  <c r="I105" i="2" s="1"/>
  <c r="I97" i="1"/>
  <c r="H103" i="2" s="1"/>
  <c r="I103" i="2" s="1"/>
  <c r="I98" i="1"/>
  <c r="H108" i="2" s="1"/>
  <c r="I108" i="2" s="1"/>
  <c r="I99" i="1"/>
  <c r="H107" i="2" s="1"/>
  <c r="I107" i="2" s="1"/>
  <c r="I100" i="1"/>
  <c r="H106" i="2" s="1"/>
  <c r="I106" i="2" s="1"/>
  <c r="I101" i="1"/>
  <c r="H146" i="2" s="1"/>
  <c r="I146" i="2" s="1"/>
  <c r="I102" i="1"/>
  <c r="H145" i="2" s="1"/>
  <c r="I145" i="2" s="1"/>
  <c r="I103" i="1"/>
  <c r="H148" i="2" s="1"/>
  <c r="I148" i="2" s="1"/>
  <c r="I104" i="1"/>
  <c r="H149" i="2" s="1"/>
  <c r="I149" i="2" s="1"/>
  <c r="I105" i="1"/>
  <c r="H150" i="2" s="1"/>
  <c r="I150" i="2" s="1"/>
  <c r="I106" i="1"/>
  <c r="H151" i="2" s="1"/>
  <c r="I151" i="2" s="1"/>
  <c r="I107" i="1"/>
  <c r="H152" i="2" s="1"/>
  <c r="I152" i="2" s="1"/>
  <c r="I108" i="1"/>
  <c r="H153" i="2" s="1"/>
  <c r="I153" i="2" s="1"/>
  <c r="I109" i="1"/>
  <c r="H133" i="2" s="1"/>
  <c r="I133" i="2" s="1"/>
  <c r="I110" i="1"/>
  <c r="H136" i="2" s="1"/>
  <c r="I136" i="2" s="1"/>
  <c r="I111" i="1"/>
  <c r="H132" i="2" s="1"/>
  <c r="I132" i="2" s="1"/>
  <c r="I112" i="1"/>
  <c r="H134" i="2" s="1"/>
  <c r="I134" i="2" s="1"/>
  <c r="I113" i="1"/>
  <c r="H135" i="2" s="1"/>
  <c r="I135" i="2" s="1"/>
  <c r="I114" i="1"/>
  <c r="H137" i="2" s="1"/>
  <c r="I137" i="2" s="1"/>
  <c r="I115" i="1"/>
  <c r="H138" i="2" s="1"/>
  <c r="I138" i="2" s="1"/>
  <c r="I116" i="1"/>
  <c r="H140" i="2" s="1"/>
  <c r="I140" i="2" s="1"/>
  <c r="I117" i="1"/>
  <c r="H139" i="2" s="1"/>
  <c r="I139" i="2" s="1"/>
  <c r="I118" i="1"/>
  <c r="H143" i="2" s="1"/>
  <c r="I143" i="2" s="1"/>
  <c r="I119" i="1"/>
  <c r="H144" i="2" s="1"/>
  <c r="I144" i="2" s="1"/>
  <c r="I120" i="1"/>
  <c r="H327" i="2" s="1"/>
  <c r="I327" i="2" s="1"/>
  <c r="I121" i="1"/>
  <c r="H142" i="2" s="1"/>
  <c r="I142" i="2" s="1"/>
  <c r="I122" i="1"/>
  <c r="H111" i="2" s="1"/>
  <c r="I111" i="2" s="1"/>
  <c r="I123" i="1"/>
  <c r="H112" i="2" s="1"/>
  <c r="I112" i="2" s="1"/>
  <c r="I124" i="1"/>
  <c r="H114" i="2" s="1"/>
  <c r="I114" i="2" s="1"/>
  <c r="I125" i="1"/>
  <c r="H113" i="2" s="1"/>
  <c r="I113" i="2" s="1"/>
  <c r="I126" i="1"/>
  <c r="H115" i="2" s="1"/>
  <c r="I115" i="2" s="1"/>
  <c r="I127" i="1"/>
  <c r="H116" i="2" s="1"/>
  <c r="I116" i="2" s="1"/>
  <c r="I128" i="1"/>
  <c r="H117" i="2" s="1"/>
  <c r="I117" i="2" s="1"/>
  <c r="I129" i="1"/>
  <c r="H118" i="2" s="1"/>
  <c r="I118" i="2" s="1"/>
  <c r="I130" i="1"/>
  <c r="H119" i="2" s="1"/>
  <c r="I119" i="2" s="1"/>
  <c r="I131" i="1"/>
  <c r="H120" i="2" s="1"/>
  <c r="I120" i="2" s="1"/>
  <c r="I132" i="1"/>
  <c r="H121" i="2" s="1"/>
  <c r="I121" i="2" s="1"/>
  <c r="I133" i="1"/>
  <c r="H122" i="2" s="1"/>
  <c r="I122" i="2" s="1"/>
  <c r="I134" i="1"/>
  <c r="H123" i="2" s="1"/>
  <c r="I123" i="2" s="1"/>
  <c r="I135" i="1"/>
  <c r="H124" i="2" s="1"/>
  <c r="I124" i="2" s="1"/>
  <c r="I136" i="1"/>
  <c r="H126" i="2" s="1"/>
  <c r="I126" i="2" s="1"/>
  <c r="I137" i="1"/>
  <c r="H125" i="2" s="1"/>
  <c r="I125" i="2" s="1"/>
  <c r="I138" i="1"/>
  <c r="H127" i="2" s="1"/>
  <c r="I127" i="2" s="1"/>
  <c r="I139" i="1"/>
  <c r="H128" i="2" s="1"/>
  <c r="I128" i="2" s="1"/>
  <c r="I140" i="1"/>
  <c r="H130" i="2" s="1"/>
  <c r="I130" i="2" s="1"/>
  <c r="I141" i="1"/>
  <c r="H131" i="2" s="1"/>
  <c r="I131" i="2" s="1"/>
  <c r="I142" i="1"/>
  <c r="H129" i="2" s="1"/>
  <c r="I129" i="2" s="1"/>
  <c r="I143" i="1"/>
  <c r="H155" i="2" s="1"/>
  <c r="I155" i="2" s="1"/>
  <c r="I144" i="1"/>
  <c r="H147" i="2" s="1"/>
  <c r="I147" i="2" s="1"/>
  <c r="I145" i="1"/>
  <c r="H160" i="2" s="1"/>
  <c r="I160" i="2" s="1"/>
  <c r="I146" i="1"/>
  <c r="H156" i="2" s="1"/>
  <c r="I156" i="2" s="1"/>
  <c r="I147" i="1"/>
  <c r="H157" i="2" s="1"/>
  <c r="I157" i="2" s="1"/>
  <c r="I148" i="1"/>
  <c r="H158" i="2" s="1"/>
  <c r="I158" i="2" s="1"/>
  <c r="I149" i="1"/>
  <c r="H159" i="2" s="1"/>
  <c r="I159" i="2" s="1"/>
  <c r="I150" i="1"/>
  <c r="H161" i="2" s="1"/>
  <c r="I161" i="2" s="1"/>
  <c r="I151" i="1"/>
  <c r="H162" i="2" s="1"/>
  <c r="I162" i="2" s="1"/>
  <c r="I152" i="1"/>
  <c r="H163" i="2" s="1"/>
  <c r="I163" i="2" s="1"/>
  <c r="I153" i="1"/>
  <c r="H164" i="2" s="1"/>
  <c r="I164" i="2" s="1"/>
  <c r="I154" i="1"/>
  <c r="H165" i="2" s="1"/>
  <c r="I165" i="2" s="1"/>
  <c r="I155" i="1"/>
  <c r="H166" i="2" s="1"/>
  <c r="I166" i="2" s="1"/>
  <c r="I156" i="1"/>
  <c r="H167" i="2" s="1"/>
  <c r="I167" i="2" s="1"/>
  <c r="I157" i="1"/>
  <c r="H168" i="2" s="1"/>
  <c r="I168" i="2" s="1"/>
  <c r="I158" i="1"/>
  <c r="H26" i="2" s="1"/>
  <c r="I26" i="2" s="1"/>
  <c r="I159" i="1"/>
  <c r="H27" i="2" s="1"/>
  <c r="I27" i="2" s="1"/>
  <c r="I160" i="1"/>
  <c r="H50" i="2" s="1"/>
  <c r="I50" i="2" s="1"/>
  <c r="I161" i="1"/>
  <c r="H54" i="2" s="1"/>
  <c r="I54" i="2" s="1"/>
  <c r="I162" i="1"/>
  <c r="H64" i="2" s="1"/>
  <c r="I64" i="2" s="1"/>
  <c r="I163" i="1"/>
  <c r="H66" i="2" s="1"/>
  <c r="I66" i="2" s="1"/>
  <c r="I164" i="1"/>
  <c r="H200" i="2" s="1"/>
  <c r="I200" i="2" s="1"/>
  <c r="I165" i="1"/>
  <c r="H68" i="2" s="1"/>
  <c r="I68" i="2" s="1"/>
  <c r="I166" i="1"/>
  <c r="H93" i="2" s="1"/>
  <c r="I93" i="2" s="1"/>
  <c r="I167" i="1"/>
  <c r="H96" i="2" s="1"/>
  <c r="I96" i="2" s="1"/>
  <c r="I168" i="1"/>
  <c r="H191" i="2" s="1"/>
  <c r="I191" i="2" s="1"/>
  <c r="I169" i="1"/>
  <c r="H192" i="2" s="1"/>
  <c r="I192" i="2" s="1"/>
  <c r="I170" i="1"/>
  <c r="H190" i="2" s="1"/>
  <c r="I190" i="2" s="1"/>
  <c r="I171" i="1"/>
  <c r="H208" i="2" s="1"/>
  <c r="I208" i="2" s="1"/>
  <c r="I172" i="1"/>
  <c r="H195" i="2" s="1"/>
  <c r="I195" i="2" s="1"/>
  <c r="I173" i="1"/>
  <c r="H196" i="2" s="1"/>
  <c r="I196" i="2" s="1"/>
  <c r="I174" i="1"/>
  <c r="H197" i="2" s="1"/>
  <c r="I197" i="2" s="1"/>
  <c r="I175" i="1"/>
  <c r="H198" i="2" s="1"/>
  <c r="I198" i="2" s="1"/>
  <c r="I176" i="1"/>
  <c r="H199" i="2" s="1"/>
  <c r="I199" i="2" s="1"/>
  <c r="I177" i="1"/>
  <c r="H99" i="2" s="1"/>
  <c r="I99" i="2" s="1"/>
  <c r="I178" i="1"/>
  <c r="H169" i="2" s="1"/>
  <c r="I169" i="2" s="1"/>
  <c r="I179" i="1"/>
  <c r="H511" i="2" s="1"/>
  <c r="I511" i="2" s="1"/>
  <c r="I180" i="1"/>
  <c r="H171" i="2" s="1"/>
  <c r="I171" i="2" s="1"/>
  <c r="I181" i="1"/>
  <c r="H232" i="2" s="1"/>
  <c r="I232" i="2" s="1"/>
  <c r="I182" i="1"/>
  <c r="H173" i="2" s="1"/>
  <c r="I173" i="2" s="1"/>
  <c r="I183" i="1"/>
  <c r="H174" i="2" s="1"/>
  <c r="I174" i="2" s="1"/>
  <c r="I184" i="1"/>
  <c r="H175" i="2" s="1"/>
  <c r="I175" i="2" s="1"/>
  <c r="I185" i="1"/>
  <c r="H176" i="2" s="1"/>
  <c r="I176" i="2" s="1"/>
  <c r="I186" i="1"/>
  <c r="H177" i="2" s="1"/>
  <c r="I177" i="2" s="1"/>
  <c r="I187" i="1"/>
  <c r="H207" i="2" s="1"/>
  <c r="I207" i="2" s="1"/>
  <c r="I188" i="1"/>
  <c r="H287" i="2" s="1"/>
  <c r="I287" i="2" s="1"/>
  <c r="I189" i="1"/>
  <c r="H206" i="2" s="1"/>
  <c r="I206" i="2" s="1"/>
  <c r="I190" i="1"/>
  <c r="H213" i="2" s="1"/>
  <c r="I213" i="2" s="1"/>
  <c r="I191" i="1"/>
  <c r="H215" i="2" s="1"/>
  <c r="I215" i="2" s="1"/>
  <c r="I192" i="1"/>
  <c r="H216" i="2" s="1"/>
  <c r="I216" i="2" s="1"/>
  <c r="I193" i="1"/>
  <c r="H219" i="2" s="1"/>
  <c r="I219" i="2" s="1"/>
  <c r="I194" i="1"/>
  <c r="H220" i="2" s="1"/>
  <c r="I220" i="2" s="1"/>
  <c r="I195" i="1"/>
  <c r="H296" i="2" s="1"/>
  <c r="I296" i="2" s="1"/>
  <c r="I196" i="1"/>
  <c r="H225" i="2" s="1"/>
  <c r="I225" i="2" s="1"/>
  <c r="I197" i="1"/>
  <c r="H226" i="2" s="1"/>
  <c r="I226" i="2" s="1"/>
  <c r="I198" i="1"/>
  <c r="H227" i="2" s="1"/>
  <c r="I227" i="2" s="1"/>
  <c r="I199" i="1"/>
  <c r="H228" i="2" s="1"/>
  <c r="I228" i="2" s="1"/>
  <c r="I200" i="1"/>
  <c r="H352" i="2" s="1"/>
  <c r="I352" i="2" s="1"/>
  <c r="I201" i="1"/>
  <c r="H234" i="2" s="1"/>
  <c r="I234" i="2" s="1"/>
  <c r="I202" i="1"/>
  <c r="H235" i="2" s="1"/>
  <c r="I235" i="2" s="1"/>
  <c r="I203" i="1"/>
  <c r="H378" i="2" s="1"/>
  <c r="I378" i="2" s="1"/>
  <c r="I204" i="1"/>
  <c r="H238" i="2" s="1"/>
  <c r="I238" i="2" s="1"/>
  <c r="I205" i="1"/>
  <c r="H239" i="2" s="1"/>
  <c r="I239" i="2" s="1"/>
  <c r="I206" i="1"/>
  <c r="H240" i="2" s="1"/>
  <c r="I240" i="2" s="1"/>
  <c r="I207" i="1"/>
  <c r="H241" i="2" s="1"/>
  <c r="I241" i="2" s="1"/>
  <c r="I208" i="1"/>
  <c r="H242" i="2" s="1"/>
  <c r="I242" i="2" s="1"/>
  <c r="I209" i="1"/>
  <c r="H243" i="2" s="1"/>
  <c r="I243" i="2" s="1"/>
  <c r="I210" i="1"/>
  <c r="H244" i="2" s="1"/>
  <c r="I244" i="2" s="1"/>
  <c r="I211" i="1"/>
  <c r="H272" i="2" s="1"/>
  <c r="I272" i="2" s="1"/>
  <c r="I212" i="1"/>
  <c r="H562" i="2" s="1"/>
  <c r="I562" i="2" s="1"/>
  <c r="I213" i="1"/>
  <c r="H248" i="2" s="1"/>
  <c r="I248" i="2" s="1"/>
  <c r="I214" i="1"/>
  <c r="H249" i="2" s="1"/>
  <c r="I249" i="2" s="1"/>
  <c r="I215" i="1"/>
  <c r="H251" i="2" s="1"/>
  <c r="I251" i="2" s="1"/>
  <c r="I216" i="1"/>
  <c r="H252" i="2" s="1"/>
  <c r="I252" i="2" s="1"/>
  <c r="I217" i="1"/>
  <c r="H253" i="2" s="1"/>
  <c r="I253" i="2" s="1"/>
  <c r="I218" i="1"/>
  <c r="H255" i="2" s="1"/>
  <c r="I255" i="2" s="1"/>
  <c r="I219" i="1"/>
  <c r="H256" i="2" s="1"/>
  <c r="I256" i="2" s="1"/>
  <c r="I220" i="1"/>
  <c r="H257" i="2" s="1"/>
  <c r="I257" i="2" s="1"/>
  <c r="I221" i="1"/>
  <c r="H258" i="2" s="1"/>
  <c r="I258" i="2" s="1"/>
  <c r="I222" i="1"/>
  <c r="H259" i="2" s="1"/>
  <c r="I259" i="2" s="1"/>
  <c r="I223" i="1"/>
  <c r="H260" i="2" s="1"/>
  <c r="I260" i="2" s="1"/>
  <c r="I224" i="1"/>
  <c r="H261" i="2" s="1"/>
  <c r="I261" i="2" s="1"/>
  <c r="I225" i="1"/>
  <c r="H262" i="2" s="1"/>
  <c r="I262" i="2" s="1"/>
  <c r="I226" i="1"/>
  <c r="H263" i="2" s="1"/>
  <c r="I263" i="2" s="1"/>
  <c r="I227" i="1"/>
  <c r="H264" i="2" s="1"/>
  <c r="I264" i="2" s="1"/>
  <c r="I228" i="1"/>
  <c r="H266" i="2" s="1"/>
  <c r="I266" i="2" s="1"/>
  <c r="I229" i="1"/>
  <c r="H267" i="2" s="1"/>
  <c r="I267" i="2" s="1"/>
  <c r="I230" i="1"/>
  <c r="H271" i="2" s="1"/>
  <c r="I271" i="2" s="1"/>
  <c r="I231" i="1"/>
  <c r="H273" i="2" s="1"/>
  <c r="I273" i="2" s="1"/>
  <c r="I232" i="1"/>
  <c r="H274" i="2" s="1"/>
  <c r="I274" i="2" s="1"/>
  <c r="I233" i="1"/>
  <c r="H276" i="2" s="1"/>
  <c r="I276" i="2" s="1"/>
  <c r="I234" i="1"/>
  <c r="H278" i="2" s="1"/>
  <c r="I278" i="2" s="1"/>
  <c r="I235" i="1"/>
  <c r="H279" i="2" s="1"/>
  <c r="I279" i="2" s="1"/>
  <c r="I236" i="1"/>
  <c r="H280" i="2" s="1"/>
  <c r="I280" i="2" s="1"/>
  <c r="I237" i="1"/>
  <c r="H282" i="2" s="1"/>
  <c r="I282" i="2" s="1"/>
  <c r="I238" i="1"/>
  <c r="H288" i="2" s="1"/>
  <c r="I288" i="2" s="1"/>
  <c r="I239" i="1"/>
  <c r="H284" i="2" s="1"/>
  <c r="I284" i="2" s="1"/>
  <c r="I240" i="1"/>
  <c r="H285" i="2" s="1"/>
  <c r="I285" i="2" s="1"/>
  <c r="I241" i="1"/>
  <c r="H286" i="2" s="1"/>
  <c r="I286" i="2" s="1"/>
  <c r="I242" i="1"/>
  <c r="H289" i="2" s="1"/>
  <c r="I289" i="2" s="1"/>
  <c r="I243" i="1"/>
  <c r="H290" i="2" s="1"/>
  <c r="I290" i="2" s="1"/>
  <c r="I244" i="1"/>
  <c r="H292" i="2" s="1"/>
  <c r="I292" i="2" s="1"/>
  <c r="I245" i="1"/>
  <c r="H294" i="2" s="1"/>
  <c r="I294" i="2" s="1"/>
  <c r="I246" i="1"/>
  <c r="H295" i="2" s="1"/>
  <c r="I295" i="2" s="1"/>
  <c r="I247" i="1"/>
  <c r="H178" i="2" s="1"/>
  <c r="I178" i="2" s="1"/>
  <c r="I248" i="1"/>
  <c r="H179" i="2" s="1"/>
  <c r="I179" i="2" s="1"/>
  <c r="I249" i="1"/>
  <c r="H180" i="2" s="1"/>
  <c r="I180" i="2" s="1"/>
  <c r="I250" i="1"/>
  <c r="H181" i="2" s="1"/>
  <c r="I181" i="2" s="1"/>
  <c r="I251" i="1"/>
  <c r="H182" i="2" s="1"/>
  <c r="I182" i="2" s="1"/>
  <c r="I252" i="1"/>
  <c r="H183" i="2" s="1"/>
  <c r="I183" i="2" s="1"/>
  <c r="I253" i="1"/>
  <c r="H184" i="2" s="1"/>
  <c r="I184" i="2" s="1"/>
  <c r="I254" i="1"/>
  <c r="H185" i="2" s="1"/>
  <c r="I185" i="2" s="1"/>
  <c r="I255" i="1"/>
  <c r="H186" i="2" s="1"/>
  <c r="I186" i="2" s="1"/>
  <c r="I256" i="1"/>
  <c r="H302" i="2" s="1"/>
  <c r="I302" i="2" s="1"/>
  <c r="I257" i="1"/>
  <c r="H187" i="2" s="1"/>
  <c r="I187" i="2" s="1"/>
  <c r="I258" i="1"/>
  <c r="H188" i="2" s="1"/>
  <c r="I188" i="2" s="1"/>
  <c r="I259" i="1"/>
  <c r="H304" i="2" s="1"/>
  <c r="I304" i="2" s="1"/>
  <c r="I260" i="1"/>
  <c r="H305" i="2" s="1"/>
  <c r="I305" i="2" s="1"/>
  <c r="I261" i="1"/>
  <c r="H306" i="2" s="1"/>
  <c r="I306" i="2" s="1"/>
  <c r="I262" i="1"/>
  <c r="H307" i="2" s="1"/>
  <c r="I307" i="2" s="1"/>
  <c r="I263" i="1"/>
  <c r="H321" i="2" s="1"/>
  <c r="I321" i="2" s="1"/>
  <c r="I264" i="1"/>
  <c r="H364" i="2" s="1"/>
  <c r="I364" i="2" s="1"/>
  <c r="I265" i="1"/>
  <c r="H320" i="2" s="1"/>
  <c r="I320" i="2" s="1"/>
  <c r="I266" i="1"/>
  <c r="H311" i="2" s="1"/>
  <c r="I311" i="2" s="1"/>
  <c r="I267" i="1"/>
  <c r="H312" i="2" s="1"/>
  <c r="I312" i="2" s="1"/>
  <c r="I268" i="1"/>
  <c r="H313" i="2" s="1"/>
  <c r="I313" i="2" s="1"/>
  <c r="I269" i="1"/>
  <c r="H314" i="2" s="1"/>
  <c r="I314" i="2" s="1"/>
  <c r="I270" i="1"/>
  <c r="H315" i="2" s="1"/>
  <c r="I315" i="2" s="1"/>
  <c r="I271" i="1"/>
  <c r="H316" i="2" s="1"/>
  <c r="I316" i="2" s="1"/>
  <c r="I272" i="1"/>
  <c r="H317" i="2" s="1"/>
  <c r="I317" i="2" s="1"/>
  <c r="I273" i="1"/>
  <c r="H318" i="2" s="1"/>
  <c r="I318" i="2" s="1"/>
  <c r="I274" i="1"/>
  <c r="H512" i="2" s="1"/>
  <c r="I512" i="2" s="1"/>
  <c r="I275" i="1"/>
  <c r="H323" i="2" s="1"/>
  <c r="I323" i="2" s="1"/>
  <c r="I276" i="1"/>
  <c r="H325" i="2" s="1"/>
  <c r="I325" i="2" s="1"/>
  <c r="I277" i="1"/>
  <c r="H326" i="2" s="1"/>
  <c r="I326" i="2" s="1"/>
  <c r="I278" i="1"/>
  <c r="H328" i="2" s="1"/>
  <c r="I328" i="2" s="1"/>
  <c r="I279" i="1"/>
  <c r="H463" i="2" s="1"/>
  <c r="I463" i="2" s="1"/>
  <c r="I280" i="1"/>
  <c r="H330" i="2" s="1"/>
  <c r="I330" i="2" s="1"/>
  <c r="I281" i="1"/>
  <c r="H331" i="2" s="1"/>
  <c r="I331" i="2" s="1"/>
  <c r="I282" i="1"/>
  <c r="H332" i="2" s="1"/>
  <c r="I332" i="2" s="1"/>
  <c r="I283" i="1"/>
  <c r="H333" i="2" s="1"/>
  <c r="I333" i="2" s="1"/>
  <c r="I284" i="1"/>
  <c r="H334" i="2" s="1"/>
  <c r="I334" i="2" s="1"/>
  <c r="I285" i="1"/>
  <c r="H335" i="2" s="1"/>
  <c r="I335" i="2" s="1"/>
  <c r="I286" i="1"/>
  <c r="H336" i="2" s="1"/>
  <c r="I336" i="2" s="1"/>
  <c r="I287" i="1"/>
  <c r="H337" i="2" s="1"/>
  <c r="I337" i="2" s="1"/>
  <c r="I288" i="1"/>
  <c r="H351" i="2" s="1"/>
  <c r="I351" i="2" s="1"/>
  <c r="I289" i="1"/>
  <c r="H342" i="2" s="1"/>
  <c r="I342" i="2" s="1"/>
  <c r="I290" i="1"/>
  <c r="H343" i="2" s="1"/>
  <c r="I343" i="2" s="1"/>
  <c r="I291" i="1"/>
  <c r="H344" i="2" s="1"/>
  <c r="I344" i="2" s="1"/>
  <c r="I292" i="1"/>
  <c r="H346" i="2" s="1"/>
  <c r="I346" i="2" s="1"/>
  <c r="I293" i="1"/>
  <c r="H347" i="2" s="1"/>
  <c r="I347" i="2" s="1"/>
  <c r="I294" i="1"/>
  <c r="H349" i="2" s="1"/>
  <c r="I349" i="2" s="1"/>
  <c r="I295" i="1"/>
  <c r="H350" i="2" s="1"/>
  <c r="I350" i="2" s="1"/>
  <c r="I296" i="1"/>
  <c r="H354" i="2" s="1"/>
  <c r="I354" i="2" s="1"/>
  <c r="I297" i="1"/>
  <c r="H356" i="2" s="1"/>
  <c r="I356" i="2" s="1"/>
  <c r="I298" i="1"/>
  <c r="H357" i="2" s="1"/>
  <c r="I357" i="2" s="1"/>
  <c r="I299" i="1"/>
  <c r="H368" i="2" s="1"/>
  <c r="I368" i="2" s="1"/>
  <c r="I300" i="1"/>
  <c r="H359" i="2" s="1"/>
  <c r="I359" i="2" s="1"/>
  <c r="I301" i="1"/>
  <c r="H360" i="2" s="1"/>
  <c r="I360" i="2" s="1"/>
  <c r="I302" i="1"/>
  <c r="H362" i="2" s="1"/>
  <c r="I362" i="2" s="1"/>
  <c r="I303" i="1"/>
  <c r="H367" i="2" s="1"/>
  <c r="I367" i="2" s="1"/>
  <c r="I304" i="1"/>
  <c r="H369" i="2" s="1"/>
  <c r="I369" i="2" s="1"/>
  <c r="I305" i="1"/>
  <c r="H370" i="2" s="1"/>
  <c r="I370" i="2" s="1"/>
  <c r="I306" i="1"/>
  <c r="H371" i="2" s="1"/>
  <c r="I371" i="2" s="1"/>
  <c r="I307" i="1"/>
  <c r="H372" i="2" s="1"/>
  <c r="I372" i="2" s="1"/>
  <c r="I308" i="1"/>
  <c r="H373" i="2" s="1"/>
  <c r="I373" i="2" s="1"/>
  <c r="I309" i="1"/>
  <c r="H376" i="2" s="1"/>
  <c r="I376" i="2" s="1"/>
  <c r="I310" i="1"/>
  <c r="H375" i="2" s="1"/>
  <c r="I375" i="2" s="1"/>
  <c r="I311" i="1"/>
  <c r="H379" i="2" s="1"/>
  <c r="I379" i="2" s="1"/>
  <c r="I312" i="1"/>
  <c r="H380" i="2" s="1"/>
  <c r="I380" i="2" s="1"/>
  <c r="I313" i="1"/>
  <c r="I314" i="1"/>
  <c r="H392" i="2" s="1"/>
  <c r="I392" i="2" s="1"/>
  <c r="I315" i="1"/>
  <c r="H383" i="2" s="1"/>
  <c r="I383" i="2" s="1"/>
  <c r="I316" i="1"/>
  <c r="H384" i="2" s="1"/>
  <c r="I384" i="2" s="1"/>
  <c r="I317" i="1"/>
  <c r="H387" i="2" s="1"/>
  <c r="I387" i="2" s="1"/>
  <c r="I318" i="1"/>
  <c r="H388" i="2" s="1"/>
  <c r="I388" i="2" s="1"/>
  <c r="I319" i="1"/>
  <c r="H389" i="2" s="1"/>
  <c r="I389" i="2" s="1"/>
  <c r="I320" i="1"/>
  <c r="H393" i="2" s="1"/>
  <c r="I393" i="2" s="1"/>
  <c r="I321" i="1"/>
  <c r="H395" i="2" s="1"/>
  <c r="I395" i="2" s="1"/>
  <c r="I322" i="1"/>
  <c r="H396" i="2" s="1"/>
  <c r="I396" i="2" s="1"/>
  <c r="I323" i="1"/>
  <c r="H397" i="2" s="1"/>
  <c r="I397" i="2" s="1"/>
  <c r="I324" i="1"/>
  <c r="H400" i="2" s="1"/>
  <c r="I400" i="2" s="1"/>
  <c r="I325" i="1"/>
  <c r="H399" i="2" s="1"/>
  <c r="I399" i="2" s="1"/>
  <c r="I326" i="1"/>
  <c r="H401" i="2" s="1"/>
  <c r="I401" i="2" s="1"/>
  <c r="I327" i="1"/>
  <c r="H402" i="2" s="1"/>
  <c r="I402" i="2" s="1"/>
  <c r="I328" i="1"/>
  <c r="H403" i="2" s="1"/>
  <c r="I403" i="2" s="1"/>
  <c r="I329" i="1"/>
  <c r="H404" i="2" s="1"/>
  <c r="I404" i="2" s="1"/>
  <c r="I330" i="1"/>
  <c r="H482" i="2" s="1"/>
  <c r="I482" i="2" s="1"/>
  <c r="I331" i="1"/>
  <c r="H406" i="2" s="1"/>
  <c r="I406" i="2" s="1"/>
  <c r="I332" i="1"/>
  <c r="H407" i="2" s="1"/>
  <c r="I407" i="2" s="1"/>
  <c r="I333" i="1"/>
  <c r="H408" i="2" s="1"/>
  <c r="I408" i="2" s="1"/>
  <c r="I334" i="1"/>
  <c r="H409" i="2" s="1"/>
  <c r="I409" i="2" s="1"/>
  <c r="I335" i="1"/>
  <c r="H410" i="2" s="1"/>
  <c r="I410" i="2" s="1"/>
  <c r="I336" i="1"/>
  <c r="H412" i="2" s="1"/>
  <c r="I412" i="2" s="1"/>
  <c r="I337" i="1"/>
  <c r="H413" i="2" s="1"/>
  <c r="I413" i="2" s="1"/>
  <c r="I338" i="1"/>
  <c r="H415" i="2" s="1"/>
  <c r="I415" i="2" s="1"/>
  <c r="I339" i="1"/>
  <c r="H411" i="2" s="1"/>
  <c r="I411" i="2" s="1"/>
  <c r="I340" i="1"/>
  <c r="H416" i="2" s="1"/>
  <c r="I416" i="2" s="1"/>
  <c r="I341" i="1"/>
  <c r="H417" i="2" s="1"/>
  <c r="I417" i="2" s="1"/>
  <c r="I342" i="1"/>
  <c r="H471" i="2" s="1"/>
  <c r="I471" i="2" s="1"/>
  <c r="I343" i="1"/>
  <c r="H421" i="2" s="1"/>
  <c r="I421" i="2" s="1"/>
  <c r="I344" i="1"/>
  <c r="H423" i="2" s="1"/>
  <c r="I423" i="2" s="1"/>
  <c r="I345" i="1"/>
  <c r="H425" i="2" s="1"/>
  <c r="I425" i="2" s="1"/>
  <c r="I346" i="1"/>
  <c r="H514" i="2" s="1"/>
  <c r="I514" i="2" s="1"/>
  <c r="I347" i="1"/>
  <c r="H513" i="2" s="1"/>
  <c r="I513" i="2" s="1"/>
  <c r="I348" i="1"/>
  <c r="H431" i="2" s="1"/>
  <c r="I431" i="2" s="1"/>
  <c r="I349" i="1"/>
  <c r="H432" i="2" s="1"/>
  <c r="I432" i="2" s="1"/>
  <c r="I350" i="1"/>
  <c r="H433" i="2" s="1"/>
  <c r="I433" i="2" s="1"/>
  <c r="I351" i="1"/>
  <c r="H434" i="2" s="1"/>
  <c r="I434" i="2" s="1"/>
  <c r="I352" i="1"/>
  <c r="I353" i="1"/>
  <c r="H435" i="2" s="1"/>
  <c r="I435" i="2" s="1"/>
  <c r="I354" i="1"/>
  <c r="I355" i="1"/>
  <c r="H436" i="2" s="1"/>
  <c r="I436" i="2" s="1"/>
  <c r="I356" i="1"/>
  <c r="H455" i="2" s="1"/>
  <c r="I455" i="2" s="1"/>
  <c r="I357" i="1"/>
  <c r="H456" i="2" s="1"/>
  <c r="I456" i="2" s="1"/>
  <c r="I358" i="1"/>
  <c r="H439" i="2" s="1"/>
  <c r="I439" i="2" s="1"/>
  <c r="I359" i="1"/>
  <c r="H440" i="2" s="1"/>
  <c r="I440" i="2" s="1"/>
  <c r="I360" i="1"/>
  <c r="H475" i="2" s="1"/>
  <c r="I475" i="2" s="1"/>
  <c r="I361" i="1"/>
  <c r="H476" i="2" s="1"/>
  <c r="I476" i="2" s="1"/>
  <c r="I362" i="1"/>
  <c r="H477" i="2" s="1"/>
  <c r="I477" i="2" s="1"/>
  <c r="I363" i="1"/>
  <c r="H441" i="2" s="1"/>
  <c r="I441" i="2" s="1"/>
  <c r="I364" i="1"/>
  <c r="H442" i="2" s="1"/>
  <c r="I442" i="2" s="1"/>
  <c r="I365" i="1"/>
  <c r="H443" i="2" s="1"/>
  <c r="I443" i="2" s="1"/>
  <c r="I366" i="1"/>
  <c r="H444" i="2" s="1"/>
  <c r="I444" i="2" s="1"/>
  <c r="I367" i="1"/>
  <c r="H445" i="2" s="1"/>
  <c r="I445" i="2" s="1"/>
  <c r="I368" i="1"/>
  <c r="H446" i="2" s="1"/>
  <c r="I446" i="2" s="1"/>
  <c r="I369" i="1"/>
  <c r="H447" i="2" s="1"/>
  <c r="I447" i="2" s="1"/>
  <c r="I370" i="1"/>
  <c r="H448" i="2" s="1"/>
  <c r="I448" i="2" s="1"/>
  <c r="I371" i="1"/>
  <c r="H449" i="2" s="1"/>
  <c r="I449" i="2" s="1"/>
  <c r="I372" i="1"/>
  <c r="H452" i="2" s="1"/>
  <c r="I452" i="2" s="1"/>
  <c r="I373" i="1"/>
  <c r="H453" i="2" s="1"/>
  <c r="I453" i="2" s="1"/>
  <c r="I374" i="1"/>
  <c r="H454" i="2" s="1"/>
  <c r="I454" i="2" s="1"/>
  <c r="I375" i="1"/>
  <c r="H457" i="2" s="1"/>
  <c r="I457" i="2" s="1"/>
  <c r="I376" i="1"/>
  <c r="H458" i="2" s="1"/>
  <c r="I458" i="2" s="1"/>
  <c r="I377" i="1"/>
  <c r="H459" i="2" s="1"/>
  <c r="I459" i="2" s="1"/>
  <c r="I378" i="1"/>
  <c r="H460" i="2" s="1"/>
  <c r="I460" i="2" s="1"/>
  <c r="I379" i="1"/>
  <c r="H461" i="2" s="1"/>
  <c r="I461" i="2" s="1"/>
  <c r="I380" i="1"/>
  <c r="H464" i="2" s="1"/>
  <c r="I464" i="2" s="1"/>
  <c r="I381" i="1"/>
  <c r="H466" i="2" s="1"/>
  <c r="I466" i="2" s="1"/>
  <c r="I382" i="1"/>
  <c r="H469" i="2" s="1"/>
  <c r="I469" i="2" s="1"/>
  <c r="I383" i="1"/>
  <c r="H472" i="2" s="1"/>
  <c r="I472" i="2" s="1"/>
  <c r="I384" i="1"/>
  <c r="H473" i="2" s="1"/>
  <c r="I473" i="2" s="1"/>
  <c r="I385" i="1"/>
  <c r="H479" i="2" s="1"/>
  <c r="I479" i="2" s="1"/>
  <c r="I386" i="1"/>
  <c r="H481" i="2" s="1"/>
  <c r="I481" i="2" s="1"/>
  <c r="I387" i="1"/>
  <c r="H483" i="2" s="1"/>
  <c r="I483" i="2" s="1"/>
  <c r="I388" i="1"/>
  <c r="H484" i="2" s="1"/>
  <c r="I484" i="2" s="1"/>
  <c r="I389" i="1"/>
  <c r="H486" i="2" s="1"/>
  <c r="I486" i="2" s="1"/>
  <c r="I390" i="1"/>
  <c r="H487" i="2" s="1"/>
  <c r="I392" i="1"/>
  <c r="H492" i="2" s="1"/>
  <c r="I492" i="2" s="1"/>
  <c r="I393" i="1"/>
  <c r="H494" i="2" s="1"/>
  <c r="I494" i="2" s="1"/>
  <c r="I394" i="1"/>
  <c r="H495" i="2" s="1"/>
  <c r="I495" i="2" s="1"/>
  <c r="I395" i="1"/>
  <c r="H496" i="2" s="1"/>
  <c r="I496" i="2" s="1"/>
  <c r="I396" i="1"/>
  <c r="H500" i="2" s="1"/>
  <c r="I500" i="2" s="1"/>
  <c r="I398" i="1"/>
  <c r="H502" i="2" s="1"/>
  <c r="I502" i="2" s="1"/>
  <c r="I399" i="1"/>
  <c r="H503" i="2" s="1"/>
  <c r="I503" i="2" s="1"/>
  <c r="I400" i="1"/>
  <c r="H504" i="2" s="1"/>
  <c r="I504" i="2" s="1"/>
  <c r="I401" i="1"/>
  <c r="H505" i="2" s="1"/>
  <c r="I505" i="2" s="1"/>
  <c r="I402" i="1"/>
  <c r="H507" i="2" s="1"/>
  <c r="I507" i="2" s="1"/>
  <c r="I403" i="1"/>
  <c r="H550" i="2" s="1"/>
  <c r="I550" i="2" s="1"/>
  <c r="I404" i="1"/>
  <c r="H509" i="2" s="1"/>
  <c r="I509" i="2" s="1"/>
  <c r="I405" i="1"/>
  <c r="H510" i="2" s="1"/>
  <c r="I510" i="2" s="1"/>
  <c r="I406" i="1"/>
  <c r="H516" i="2" s="1"/>
  <c r="I516" i="2" s="1"/>
  <c r="I407" i="1"/>
  <c r="H517" i="2" s="1"/>
  <c r="I517" i="2" s="1"/>
  <c r="I408" i="1"/>
  <c r="H518" i="2" s="1"/>
  <c r="I518" i="2" s="1"/>
  <c r="I409" i="1"/>
  <c r="H519" i="2" s="1"/>
  <c r="I519" i="2" s="1"/>
  <c r="I410" i="1"/>
  <c r="H520" i="2" s="1"/>
  <c r="I520" i="2" s="1"/>
  <c r="I411" i="1"/>
  <c r="H298" i="2" s="1"/>
  <c r="I298" i="2" s="1"/>
  <c r="I412" i="1"/>
  <c r="H547" i="2" s="1"/>
  <c r="I547" i="2" s="1"/>
  <c r="I413" i="1"/>
  <c r="H527" i="2" s="1"/>
  <c r="I527" i="2" s="1"/>
  <c r="I414" i="1"/>
  <c r="H525" i="2" s="1"/>
  <c r="I525" i="2" s="1"/>
  <c r="I415" i="1"/>
  <c r="H526" i="2" s="1"/>
  <c r="I526" i="2" s="1"/>
  <c r="I416" i="1"/>
  <c r="H528" i="2" s="1"/>
  <c r="I528" i="2" s="1"/>
  <c r="I417" i="1"/>
  <c r="H530" i="2" s="1"/>
  <c r="I530" i="2" s="1"/>
  <c r="I418" i="1"/>
  <c r="H531" i="2" s="1"/>
  <c r="I531" i="2" s="1"/>
  <c r="I419" i="1"/>
  <c r="H532" i="2" s="1"/>
  <c r="I532" i="2" s="1"/>
  <c r="I420" i="1"/>
  <c r="H533" i="2" s="1"/>
  <c r="I533" i="2" s="1"/>
  <c r="I421" i="1"/>
  <c r="H534" i="2" s="1"/>
  <c r="I534" i="2" s="1"/>
  <c r="I422" i="1"/>
  <c r="H535" i="2" s="1"/>
  <c r="I535" i="2" s="1"/>
  <c r="I423" i="1"/>
  <c r="H544" i="2" s="1"/>
  <c r="I424" i="1"/>
  <c r="H545" i="2" s="1"/>
  <c r="I425" i="1"/>
  <c r="H536" i="2" s="1"/>
  <c r="I536" i="2" s="1"/>
  <c r="I426" i="1"/>
  <c r="H538" i="2" s="1"/>
  <c r="I538" i="2" s="1"/>
  <c r="I427" i="1"/>
  <c r="H539" i="2" s="1"/>
  <c r="I539" i="2" s="1"/>
  <c r="I428" i="1"/>
  <c r="H541" i="2" s="1"/>
  <c r="I541" i="2" s="1"/>
  <c r="I429" i="1"/>
  <c r="H542" i="2" s="1"/>
  <c r="I542" i="2" s="1"/>
  <c r="I430" i="1"/>
  <c r="H548" i="2" s="1"/>
  <c r="I548" i="2" s="1"/>
  <c r="I431" i="1"/>
  <c r="H553" i="2" s="1"/>
  <c r="I553" i="2" s="1"/>
  <c r="I432" i="1"/>
  <c r="H554" i="2" s="1"/>
  <c r="I554" i="2" s="1"/>
  <c r="I433" i="1"/>
  <c r="H555" i="2" s="1"/>
  <c r="I555" i="2" s="1"/>
  <c r="I434" i="1"/>
  <c r="H556" i="2" s="1"/>
  <c r="I556" i="2" s="1"/>
  <c r="I435" i="1"/>
  <c r="H557" i="2" s="1"/>
  <c r="I557" i="2" s="1"/>
  <c r="I436" i="1"/>
  <c r="H558" i="2" s="1"/>
  <c r="I558" i="2" s="1"/>
  <c r="I437" i="1"/>
  <c r="H559" i="2" s="1"/>
  <c r="I559" i="2" s="1"/>
  <c r="I438" i="1"/>
  <c r="H560" i="2" s="1"/>
  <c r="I560" i="2" s="1"/>
  <c r="I439" i="1"/>
  <c r="H561" i="2" s="1"/>
  <c r="I561" i="2" s="1"/>
  <c r="I440" i="1"/>
  <c r="H563" i="2" s="1"/>
  <c r="I563" i="2" s="1"/>
  <c r="I441" i="1"/>
  <c r="H564" i="2" s="1"/>
  <c r="I564" i="2" s="1"/>
  <c r="I442" i="1"/>
  <c r="H565" i="2" s="1"/>
  <c r="I565" i="2" s="1"/>
  <c r="I443" i="1"/>
  <c r="H566" i="2" s="1"/>
  <c r="I566" i="2" s="1"/>
  <c r="I444" i="1"/>
  <c r="H567" i="2" s="1"/>
  <c r="I567" i="2" s="1"/>
  <c r="I445" i="1"/>
  <c r="H568" i="2" s="1"/>
  <c r="I568" i="2" s="1"/>
  <c r="I446" i="1"/>
  <c r="H569" i="2" s="1"/>
  <c r="I569" i="2" s="1"/>
  <c r="I447" i="1"/>
  <c r="H570" i="2" s="1"/>
  <c r="I570" i="2" s="1"/>
  <c r="I448" i="1"/>
  <c r="H571" i="2" s="1"/>
  <c r="I571" i="2" s="1"/>
  <c r="I449" i="1"/>
  <c r="H572" i="2" s="1"/>
  <c r="I572" i="2" s="1"/>
  <c r="I450" i="1"/>
  <c r="I451" i="1"/>
  <c r="H575" i="2" s="1"/>
  <c r="I575" i="2" s="1"/>
  <c r="I452" i="1"/>
  <c r="H576" i="2" s="1"/>
  <c r="I576" i="2" s="1"/>
  <c r="I453" i="1"/>
  <c r="I454" i="1"/>
  <c r="H579" i="2" s="1"/>
  <c r="I579" i="2" s="1"/>
  <c r="I455" i="1"/>
  <c r="H580" i="2" s="1"/>
  <c r="I580" i="2" s="1"/>
  <c r="I456" i="1"/>
  <c r="I457" i="1"/>
  <c r="H582" i="2" s="1"/>
  <c r="I582" i="2" s="1"/>
  <c r="I458" i="1"/>
  <c r="H583" i="2" s="1"/>
  <c r="I583" i="2" s="1"/>
  <c r="I459" i="1"/>
  <c r="I460" i="1"/>
  <c r="H587" i="2" s="1"/>
  <c r="I587" i="2" s="1"/>
  <c r="I461" i="1"/>
  <c r="I462" i="1"/>
  <c r="I463" i="1"/>
  <c r="I464" i="1"/>
  <c r="I465" i="1"/>
  <c r="I466" i="1"/>
  <c r="H593" i="2" s="1"/>
  <c r="I593" i="2" s="1"/>
  <c r="I467" i="1"/>
  <c r="H594" i="2" s="1"/>
  <c r="I594" i="2" s="1"/>
  <c r="I468" i="1"/>
  <c r="I469" i="1"/>
  <c r="I470" i="1"/>
  <c r="I471" i="1"/>
  <c r="I472" i="1"/>
  <c r="I473" i="1"/>
  <c r="I474" i="1"/>
  <c r="I475" i="1"/>
  <c r="H612" i="2" s="1"/>
  <c r="I612" i="2" s="1"/>
  <c r="I476" i="1"/>
  <c r="I477" i="1"/>
  <c r="H611" i="2" s="1"/>
  <c r="I611" i="2" s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H677" i="2" s="1"/>
  <c r="I677" i="2" s="1"/>
  <c r="I508" i="1"/>
  <c r="I509" i="1"/>
  <c r="I510" i="1"/>
  <c r="I511" i="1"/>
  <c r="I512" i="1"/>
  <c r="I513" i="1"/>
  <c r="I514" i="1"/>
  <c r="I515" i="1"/>
  <c r="I516" i="1"/>
  <c r="I517" i="1"/>
  <c r="H691" i="2" s="1"/>
  <c r="I691" i="2" s="1"/>
  <c r="I518" i="1"/>
  <c r="I519" i="1"/>
  <c r="I520" i="1"/>
  <c r="H702" i="2" s="1"/>
  <c r="I702" i="2" s="1"/>
  <c r="I521" i="1"/>
  <c r="I522" i="1"/>
  <c r="I523" i="1"/>
  <c r="I524" i="1"/>
  <c r="I525" i="1"/>
  <c r="I526" i="1"/>
  <c r="I527" i="1"/>
  <c r="I528" i="1"/>
  <c r="H715" i="2" s="1"/>
  <c r="I715" i="2" s="1"/>
  <c r="I529" i="1"/>
  <c r="I530" i="1"/>
  <c r="H718" i="2" s="1"/>
  <c r="I718" i="2" s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H742" i="2" s="1"/>
  <c r="I742" i="2" s="1"/>
  <c r="I546" i="1"/>
  <c r="I547" i="1"/>
  <c r="I548" i="1"/>
  <c r="I549" i="1"/>
  <c r="I550" i="1"/>
  <c r="I551" i="1"/>
  <c r="I552" i="1"/>
  <c r="I553" i="1"/>
  <c r="H751" i="2" s="1"/>
  <c r="I751" i="2" s="1"/>
  <c r="I554" i="1"/>
  <c r="H752" i="2" s="1"/>
  <c r="I752" i="2" s="1"/>
  <c r="I555" i="1"/>
  <c r="H753" i="2" s="1"/>
  <c r="I753" i="2" s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5" i="3"/>
  <c r="J5" i="3" s="1"/>
  <c r="L5" i="3"/>
  <c r="I6" i="3"/>
  <c r="J6" i="3" s="1"/>
  <c r="L6" i="3"/>
  <c r="I7" i="3"/>
  <c r="J7" i="3" s="1"/>
  <c r="L7" i="3"/>
  <c r="I8" i="3"/>
  <c r="J8" i="3" s="1"/>
  <c r="L8" i="3"/>
  <c r="I9" i="3"/>
  <c r="J9" i="3" s="1"/>
  <c r="L9" i="3"/>
  <c r="I10" i="3"/>
  <c r="J10" i="3" s="1"/>
  <c r="L10" i="3"/>
  <c r="I11" i="3"/>
  <c r="J11" i="3" s="1"/>
  <c r="L11" i="3"/>
  <c r="I12" i="3"/>
  <c r="J12" i="3" s="1"/>
  <c r="L12" i="3"/>
  <c r="I13" i="3"/>
  <c r="J13" i="3" s="1"/>
  <c r="L13" i="3"/>
  <c r="I14" i="3"/>
  <c r="J14" i="3" s="1"/>
  <c r="L14" i="3"/>
  <c r="I15" i="3"/>
  <c r="J15" i="3" s="1"/>
  <c r="L15" i="3"/>
  <c r="I16" i="3"/>
  <c r="J16" i="3" s="1"/>
  <c r="L16" i="3"/>
  <c r="I17" i="3"/>
  <c r="J17" i="3" s="1"/>
  <c r="L17" i="3"/>
  <c r="I18" i="3"/>
  <c r="J18" i="3" s="1"/>
  <c r="L18" i="3"/>
  <c r="I19" i="3"/>
  <c r="J19" i="3" s="1"/>
  <c r="L19" i="3"/>
  <c r="I20" i="3"/>
  <c r="J20" i="3" s="1"/>
  <c r="L20" i="3"/>
  <c r="I21" i="3"/>
  <c r="J21" i="3" s="1"/>
  <c r="L21" i="3"/>
  <c r="I22" i="3"/>
  <c r="J22" i="3" s="1"/>
  <c r="L22" i="3"/>
  <c r="I23" i="3"/>
  <c r="J23" i="3" s="1"/>
  <c r="L23" i="3"/>
  <c r="I24" i="3"/>
  <c r="J24" i="3" s="1"/>
  <c r="L24" i="3"/>
  <c r="I25" i="3"/>
  <c r="J25" i="3" s="1"/>
  <c r="L25" i="3"/>
  <c r="I26" i="3"/>
  <c r="J26" i="3" s="1"/>
  <c r="L26" i="3"/>
  <c r="I27" i="3"/>
  <c r="J27" i="3" s="1"/>
  <c r="L27" i="3"/>
  <c r="I28" i="3"/>
  <c r="J28" i="3" s="1"/>
  <c r="L28" i="3"/>
  <c r="I29" i="3"/>
  <c r="J29" i="3" s="1"/>
  <c r="L29" i="3"/>
  <c r="I30" i="3"/>
  <c r="J30" i="3" s="1"/>
  <c r="L30" i="3"/>
  <c r="I31" i="3"/>
  <c r="J31" i="3" s="1"/>
  <c r="L31" i="3"/>
  <c r="I32" i="3"/>
  <c r="J32" i="3" s="1"/>
  <c r="L32" i="3"/>
  <c r="I33" i="3"/>
  <c r="J33" i="3" s="1"/>
  <c r="L33" i="3"/>
  <c r="I34" i="3"/>
  <c r="J34" i="3" s="1"/>
  <c r="L34" i="3"/>
  <c r="I35" i="3"/>
  <c r="J35" i="3" s="1"/>
  <c r="L35" i="3"/>
  <c r="I36" i="3"/>
  <c r="J36" i="3" s="1"/>
  <c r="L36" i="3"/>
  <c r="I37" i="3"/>
  <c r="J37" i="3" s="1"/>
  <c r="L37" i="3"/>
  <c r="I38" i="3"/>
  <c r="J38" i="3" s="1"/>
  <c r="L38" i="3"/>
  <c r="I39" i="3"/>
  <c r="J39" i="3" s="1"/>
  <c r="L39" i="3"/>
  <c r="I40" i="3"/>
  <c r="J40" i="3" s="1"/>
  <c r="L40" i="3"/>
  <c r="I41" i="3"/>
  <c r="J41" i="3" s="1"/>
  <c r="L41" i="3"/>
  <c r="I42" i="3"/>
  <c r="J42" i="3" s="1"/>
  <c r="L42" i="3"/>
  <c r="I43" i="3"/>
  <c r="J43" i="3" s="1"/>
  <c r="L43" i="3"/>
  <c r="I44" i="3"/>
  <c r="J44" i="3" s="1"/>
  <c r="L44" i="3"/>
  <c r="I45" i="3"/>
  <c r="J45" i="3" s="1"/>
  <c r="L45" i="3"/>
  <c r="I46" i="3"/>
  <c r="J46" i="3" s="1"/>
  <c r="L46" i="3"/>
  <c r="I47" i="3"/>
  <c r="J47" i="3" s="1"/>
  <c r="L47" i="3"/>
  <c r="I48" i="3"/>
  <c r="J48" i="3" s="1"/>
  <c r="L48" i="3"/>
  <c r="I49" i="3"/>
  <c r="J49" i="3" s="1"/>
  <c r="L49" i="3"/>
  <c r="I50" i="3"/>
  <c r="J50" i="3" s="1"/>
  <c r="L50" i="3"/>
  <c r="I51" i="3"/>
  <c r="J51" i="3" s="1"/>
  <c r="L51" i="3"/>
  <c r="I52" i="3"/>
  <c r="J52" i="3" s="1"/>
  <c r="L52" i="3"/>
  <c r="I53" i="3"/>
  <c r="J53" i="3" s="1"/>
  <c r="L53" i="3"/>
  <c r="I54" i="3"/>
  <c r="J54" i="3" s="1"/>
  <c r="L54" i="3"/>
  <c r="I55" i="3"/>
  <c r="J55" i="3" s="1"/>
  <c r="L55" i="3"/>
  <c r="I56" i="3"/>
  <c r="J56" i="3" s="1"/>
  <c r="L56" i="3"/>
  <c r="I57" i="3"/>
  <c r="J57" i="3" s="1"/>
  <c r="L57" i="3"/>
  <c r="I58" i="3"/>
  <c r="J58" i="3" s="1"/>
  <c r="L58" i="3"/>
  <c r="I59" i="3"/>
  <c r="J59" i="3" s="1"/>
  <c r="L59" i="3"/>
  <c r="I60" i="3"/>
  <c r="J60" i="3" s="1"/>
  <c r="L60" i="3"/>
  <c r="I61" i="3"/>
  <c r="J61" i="3" s="1"/>
  <c r="L61" i="3"/>
  <c r="I62" i="3"/>
  <c r="J62" i="3" s="1"/>
  <c r="L62" i="3"/>
  <c r="I63" i="3"/>
  <c r="J63" i="3" s="1"/>
  <c r="L63" i="3"/>
  <c r="I64" i="3"/>
  <c r="J64" i="3" s="1"/>
  <c r="L64" i="3"/>
  <c r="I65" i="3"/>
  <c r="J65" i="3" s="1"/>
  <c r="L65" i="3"/>
  <c r="I66" i="3"/>
  <c r="J66" i="3" s="1"/>
  <c r="L66" i="3"/>
  <c r="I67" i="3"/>
  <c r="J67" i="3" s="1"/>
  <c r="L67" i="3"/>
  <c r="I68" i="3"/>
  <c r="J68" i="3" s="1"/>
  <c r="L68" i="3"/>
  <c r="I69" i="3"/>
  <c r="J69" i="3" s="1"/>
  <c r="L69" i="3"/>
  <c r="I70" i="3"/>
  <c r="J70" i="3" s="1"/>
  <c r="L70" i="3"/>
  <c r="I71" i="3"/>
  <c r="J71" i="3" s="1"/>
  <c r="L71" i="3"/>
  <c r="I72" i="3"/>
  <c r="J72" i="3" s="1"/>
  <c r="L72" i="3"/>
  <c r="I73" i="3"/>
  <c r="J73" i="3" s="1"/>
  <c r="L73" i="3"/>
  <c r="I74" i="3"/>
  <c r="J74" i="3" s="1"/>
  <c r="L74" i="3"/>
  <c r="I75" i="3"/>
  <c r="J75" i="3" s="1"/>
  <c r="L75" i="3"/>
  <c r="I76" i="3"/>
  <c r="J76" i="3" s="1"/>
  <c r="L76" i="3"/>
  <c r="I77" i="3"/>
  <c r="J77" i="3" s="1"/>
  <c r="L77" i="3"/>
  <c r="I78" i="3"/>
  <c r="J78" i="3" s="1"/>
  <c r="L78" i="3"/>
  <c r="I79" i="3"/>
  <c r="J79" i="3" s="1"/>
  <c r="L79" i="3"/>
  <c r="I80" i="3"/>
  <c r="J80" i="3" s="1"/>
  <c r="L80" i="3"/>
  <c r="I81" i="3"/>
  <c r="J81" i="3" s="1"/>
  <c r="L81" i="3"/>
  <c r="I82" i="3"/>
  <c r="J82" i="3" s="1"/>
  <c r="L82" i="3"/>
  <c r="I83" i="3"/>
  <c r="J83" i="3" s="1"/>
  <c r="L83" i="3"/>
  <c r="I84" i="3"/>
  <c r="J84" i="3" s="1"/>
  <c r="L84" i="3"/>
  <c r="I85" i="3"/>
  <c r="J85" i="3" s="1"/>
  <c r="L85" i="3"/>
  <c r="I86" i="3"/>
  <c r="J86" i="3" s="1"/>
  <c r="L86" i="3"/>
  <c r="I87" i="3"/>
  <c r="J87" i="3" s="1"/>
  <c r="L87" i="3"/>
  <c r="I88" i="3"/>
  <c r="J88" i="3" s="1"/>
  <c r="L88" i="3"/>
  <c r="I89" i="3"/>
  <c r="J89" i="3" s="1"/>
  <c r="L89" i="3"/>
  <c r="I90" i="3"/>
  <c r="J90" i="3" s="1"/>
  <c r="L90" i="3"/>
  <c r="I91" i="3"/>
  <c r="J91" i="3" s="1"/>
  <c r="L91" i="3"/>
  <c r="I92" i="3"/>
  <c r="J92" i="3" s="1"/>
  <c r="L92" i="3"/>
  <c r="I93" i="3"/>
  <c r="J93" i="3" s="1"/>
  <c r="L93" i="3"/>
  <c r="I94" i="3"/>
  <c r="J94" i="3" s="1"/>
  <c r="L94" i="3"/>
  <c r="I95" i="3"/>
  <c r="J95" i="3" s="1"/>
  <c r="L95" i="3"/>
  <c r="I96" i="3"/>
  <c r="J96" i="3" s="1"/>
  <c r="L96" i="3"/>
  <c r="I97" i="3"/>
  <c r="J97" i="3" s="1"/>
  <c r="L97" i="3"/>
  <c r="I98" i="3"/>
  <c r="J98" i="3" s="1"/>
  <c r="L98" i="3"/>
  <c r="I99" i="3"/>
  <c r="J99" i="3" s="1"/>
  <c r="L99" i="3"/>
  <c r="I100" i="3"/>
  <c r="J100" i="3" s="1"/>
  <c r="L100" i="3"/>
  <c r="I101" i="3"/>
  <c r="J101" i="3" s="1"/>
  <c r="L101" i="3"/>
  <c r="I102" i="3"/>
  <c r="J102" i="3" s="1"/>
  <c r="L102" i="3"/>
  <c r="I103" i="3"/>
  <c r="J103" i="3" s="1"/>
  <c r="L103" i="3"/>
  <c r="I104" i="3"/>
  <c r="J104" i="3" s="1"/>
  <c r="L104" i="3"/>
  <c r="I105" i="3"/>
  <c r="J105" i="3" s="1"/>
  <c r="L105" i="3"/>
  <c r="I106" i="3"/>
  <c r="J106" i="3" s="1"/>
  <c r="L106" i="3"/>
  <c r="I107" i="3"/>
  <c r="J107" i="3" s="1"/>
  <c r="L107" i="3"/>
  <c r="I108" i="3"/>
  <c r="J108" i="3" s="1"/>
  <c r="L108" i="3"/>
  <c r="I109" i="3"/>
  <c r="J109" i="3" s="1"/>
  <c r="L109" i="3"/>
  <c r="I110" i="3"/>
  <c r="J110" i="3" s="1"/>
  <c r="L110" i="3"/>
  <c r="I111" i="3"/>
  <c r="J111" i="3" s="1"/>
  <c r="L111" i="3"/>
  <c r="I112" i="3"/>
  <c r="J112" i="3" s="1"/>
  <c r="L112" i="3"/>
  <c r="I113" i="3"/>
  <c r="J113" i="3" s="1"/>
  <c r="L113" i="3"/>
  <c r="I114" i="3"/>
  <c r="J114" i="3" s="1"/>
  <c r="L114" i="3"/>
  <c r="I115" i="3"/>
  <c r="J115" i="3" s="1"/>
  <c r="L115" i="3"/>
  <c r="I116" i="3"/>
  <c r="J116" i="3" s="1"/>
  <c r="L116" i="3"/>
  <c r="I117" i="3"/>
  <c r="J117" i="3" s="1"/>
  <c r="L117" i="3"/>
  <c r="I118" i="3"/>
  <c r="J118" i="3" s="1"/>
  <c r="L118" i="3"/>
  <c r="I119" i="3"/>
  <c r="J119" i="3" s="1"/>
  <c r="L119" i="3"/>
  <c r="I120" i="3"/>
  <c r="J120" i="3" s="1"/>
  <c r="L120" i="3"/>
  <c r="I121" i="3"/>
  <c r="J121" i="3" s="1"/>
  <c r="L121" i="3"/>
  <c r="I122" i="3"/>
  <c r="J122" i="3" s="1"/>
  <c r="L122" i="3"/>
  <c r="I123" i="3"/>
  <c r="J123" i="3" s="1"/>
  <c r="L123" i="3"/>
  <c r="I124" i="3"/>
  <c r="J124" i="3" s="1"/>
  <c r="L124" i="3"/>
  <c r="I125" i="3"/>
  <c r="J125" i="3" s="1"/>
  <c r="L125" i="3"/>
  <c r="I126" i="3"/>
  <c r="J126" i="3" s="1"/>
  <c r="L126" i="3"/>
  <c r="I127" i="3"/>
  <c r="J127" i="3" s="1"/>
  <c r="L127" i="3"/>
  <c r="I128" i="3"/>
  <c r="J128" i="3" s="1"/>
  <c r="L128" i="3"/>
  <c r="I129" i="3"/>
  <c r="J129" i="3" s="1"/>
  <c r="L129" i="3"/>
  <c r="I130" i="3"/>
  <c r="J130" i="3" s="1"/>
  <c r="L130" i="3"/>
  <c r="I131" i="3"/>
  <c r="J131" i="3" s="1"/>
  <c r="L131" i="3"/>
  <c r="I132" i="3"/>
  <c r="J132" i="3" s="1"/>
  <c r="L132" i="3"/>
  <c r="I133" i="3"/>
  <c r="J133" i="3" s="1"/>
  <c r="L133" i="3"/>
  <c r="I134" i="3"/>
  <c r="J134" i="3" s="1"/>
  <c r="L134" i="3"/>
  <c r="I135" i="3"/>
  <c r="J135" i="3" s="1"/>
  <c r="L135" i="3"/>
  <c r="I136" i="3"/>
  <c r="J136" i="3" s="1"/>
  <c r="L136" i="3"/>
  <c r="I137" i="3"/>
  <c r="J137" i="3" s="1"/>
  <c r="L137" i="3"/>
  <c r="I138" i="3"/>
  <c r="J138" i="3" s="1"/>
  <c r="L138" i="3"/>
  <c r="I139" i="3"/>
  <c r="J139" i="3" s="1"/>
  <c r="L139" i="3"/>
  <c r="I140" i="3"/>
  <c r="J140" i="3" s="1"/>
  <c r="L140" i="3"/>
  <c r="I141" i="3"/>
  <c r="J141" i="3" s="1"/>
  <c r="L141" i="3"/>
  <c r="I142" i="3"/>
  <c r="J142" i="3" s="1"/>
  <c r="L142" i="3"/>
  <c r="I143" i="3"/>
  <c r="J143" i="3" s="1"/>
  <c r="L143" i="3"/>
  <c r="I144" i="3"/>
  <c r="J144" i="3" s="1"/>
  <c r="L144" i="3"/>
  <c r="I145" i="3"/>
  <c r="J145" i="3" s="1"/>
  <c r="L145" i="3"/>
  <c r="I146" i="3"/>
  <c r="J146" i="3" s="1"/>
  <c r="L146" i="3"/>
  <c r="I147" i="3"/>
  <c r="J147" i="3" s="1"/>
  <c r="L147" i="3"/>
  <c r="I148" i="3"/>
  <c r="J148" i="3" s="1"/>
  <c r="L148" i="3"/>
  <c r="I149" i="3"/>
  <c r="J149" i="3" s="1"/>
  <c r="L149" i="3"/>
  <c r="I150" i="3"/>
  <c r="J150" i="3" s="1"/>
  <c r="L150" i="3"/>
  <c r="I151" i="3"/>
  <c r="J151" i="3" s="1"/>
  <c r="L151" i="3"/>
  <c r="I152" i="3"/>
  <c r="J152" i="3" s="1"/>
  <c r="L152" i="3"/>
  <c r="I153" i="3"/>
  <c r="J153" i="3" s="1"/>
  <c r="L153" i="3"/>
  <c r="I154" i="3"/>
  <c r="J154" i="3" s="1"/>
  <c r="L154" i="3"/>
  <c r="I155" i="3"/>
  <c r="J155" i="3" s="1"/>
  <c r="L155" i="3"/>
  <c r="I156" i="3"/>
  <c r="J156" i="3" s="1"/>
  <c r="L156" i="3"/>
  <c r="I157" i="3"/>
  <c r="J157" i="3" s="1"/>
  <c r="L157" i="3"/>
  <c r="I158" i="3"/>
  <c r="J158" i="3" s="1"/>
  <c r="L158" i="3"/>
  <c r="I159" i="3"/>
  <c r="J159" i="3" s="1"/>
  <c r="L159" i="3"/>
  <c r="I160" i="3"/>
  <c r="J160" i="3" s="1"/>
  <c r="L160" i="3"/>
  <c r="I161" i="3"/>
  <c r="J161" i="3" s="1"/>
  <c r="L161" i="3"/>
  <c r="I162" i="3"/>
  <c r="J162" i="3" s="1"/>
  <c r="L162" i="3"/>
  <c r="I163" i="3"/>
  <c r="J163" i="3" s="1"/>
  <c r="L163" i="3"/>
  <c r="I164" i="3"/>
  <c r="J164" i="3" s="1"/>
  <c r="L164" i="3"/>
  <c r="I165" i="3"/>
  <c r="J165" i="3" s="1"/>
  <c r="L165" i="3"/>
  <c r="I166" i="3"/>
  <c r="J166" i="3" s="1"/>
  <c r="L166" i="3"/>
  <c r="I167" i="3"/>
  <c r="J167" i="3" s="1"/>
  <c r="L167" i="3"/>
  <c r="I168" i="3"/>
  <c r="J168" i="3" s="1"/>
  <c r="L168" i="3"/>
  <c r="I169" i="3"/>
  <c r="J169" i="3" s="1"/>
  <c r="L169" i="3"/>
  <c r="I170" i="3"/>
  <c r="J170" i="3" s="1"/>
  <c r="L170" i="3"/>
  <c r="I171" i="3"/>
  <c r="J171" i="3" s="1"/>
  <c r="L171" i="3"/>
  <c r="I172" i="3"/>
  <c r="J172" i="3" s="1"/>
  <c r="L172" i="3"/>
  <c r="I173" i="3"/>
  <c r="J173" i="3" s="1"/>
  <c r="L173" i="3"/>
  <c r="I174" i="3"/>
  <c r="J174" i="3" s="1"/>
  <c r="L174" i="3"/>
  <c r="I175" i="3"/>
  <c r="J175" i="3" s="1"/>
  <c r="L175" i="3"/>
  <c r="I176" i="3"/>
  <c r="J176" i="3" s="1"/>
  <c r="L176" i="3"/>
  <c r="I177" i="3"/>
  <c r="J177" i="3" s="1"/>
  <c r="L177" i="3"/>
  <c r="I178" i="3"/>
  <c r="J178" i="3" s="1"/>
  <c r="L178" i="3"/>
  <c r="I179" i="3"/>
  <c r="J179" i="3" s="1"/>
  <c r="L179" i="3"/>
  <c r="I180" i="3"/>
  <c r="J180" i="3" s="1"/>
  <c r="L180" i="3"/>
  <c r="I181" i="3"/>
  <c r="J181" i="3" s="1"/>
  <c r="L181" i="3"/>
  <c r="I182" i="3"/>
  <c r="J182" i="3" s="1"/>
  <c r="L182" i="3"/>
  <c r="I183" i="3"/>
  <c r="J183" i="3" s="1"/>
  <c r="L183" i="3"/>
  <c r="I184" i="3"/>
  <c r="J184" i="3" s="1"/>
  <c r="L184" i="3"/>
  <c r="I185" i="3"/>
  <c r="J185" i="3" s="1"/>
  <c r="L185" i="3"/>
  <c r="I186" i="3"/>
  <c r="J186" i="3" s="1"/>
  <c r="L186" i="3"/>
  <c r="I187" i="3"/>
  <c r="J187" i="3" s="1"/>
  <c r="L187" i="3"/>
  <c r="I188" i="3"/>
  <c r="J188" i="3" s="1"/>
  <c r="L188" i="3"/>
  <c r="I189" i="3"/>
  <c r="J189" i="3" s="1"/>
  <c r="L189" i="3"/>
  <c r="I190" i="3"/>
  <c r="J190" i="3" s="1"/>
  <c r="L190" i="3"/>
  <c r="I191" i="3"/>
  <c r="J191" i="3" s="1"/>
  <c r="L191" i="3"/>
  <c r="I192" i="3"/>
  <c r="J192" i="3" s="1"/>
  <c r="L192" i="3"/>
  <c r="I193" i="3"/>
  <c r="J193" i="3" s="1"/>
  <c r="L193" i="3"/>
  <c r="I194" i="3"/>
  <c r="J194" i="3" s="1"/>
  <c r="L194" i="3"/>
  <c r="I195" i="3"/>
  <c r="J195" i="3" s="1"/>
  <c r="L195" i="3"/>
  <c r="I196" i="3"/>
  <c r="J196" i="3" s="1"/>
  <c r="L196" i="3"/>
  <c r="I197" i="3"/>
  <c r="J197" i="3" s="1"/>
  <c r="L197" i="3"/>
  <c r="I198" i="3"/>
  <c r="J198" i="3" s="1"/>
  <c r="L198" i="3"/>
  <c r="I199" i="3"/>
  <c r="J199" i="3" s="1"/>
  <c r="L199" i="3"/>
  <c r="I200" i="3"/>
  <c r="J200" i="3" s="1"/>
  <c r="L200" i="3"/>
  <c r="I201" i="3"/>
  <c r="J201" i="3" s="1"/>
  <c r="L201" i="3"/>
  <c r="I202" i="3"/>
  <c r="J202" i="3" s="1"/>
  <c r="L202" i="3"/>
  <c r="I203" i="3"/>
  <c r="J203" i="3" s="1"/>
  <c r="L203" i="3"/>
  <c r="I204" i="3"/>
  <c r="J204" i="3" s="1"/>
  <c r="L204" i="3"/>
  <c r="I205" i="3"/>
  <c r="J205" i="3" s="1"/>
  <c r="L205" i="3"/>
  <c r="I206" i="3"/>
  <c r="J206" i="3" s="1"/>
  <c r="L206" i="3"/>
  <c r="I207" i="3"/>
  <c r="J207" i="3" s="1"/>
  <c r="L207" i="3"/>
  <c r="I208" i="3"/>
  <c r="J208" i="3" s="1"/>
  <c r="L208" i="3"/>
  <c r="I209" i="3"/>
  <c r="J209" i="3" s="1"/>
  <c r="L209" i="3"/>
  <c r="I210" i="3"/>
  <c r="J210" i="3" s="1"/>
  <c r="L210" i="3"/>
  <c r="I211" i="3"/>
  <c r="J211" i="3" s="1"/>
  <c r="L211" i="3"/>
  <c r="I212" i="3"/>
  <c r="J212" i="3" s="1"/>
  <c r="L212" i="3"/>
  <c r="I213" i="3"/>
  <c r="J213" i="3" s="1"/>
  <c r="L213" i="3"/>
  <c r="I214" i="3"/>
  <c r="J214" i="3" s="1"/>
  <c r="L214" i="3"/>
  <c r="I215" i="3"/>
  <c r="J215" i="3" s="1"/>
  <c r="L215" i="3"/>
  <c r="I216" i="3"/>
  <c r="J216" i="3" s="1"/>
  <c r="L216" i="3"/>
  <c r="I217" i="3"/>
  <c r="J217" i="3" s="1"/>
  <c r="L217" i="3"/>
  <c r="I218" i="3"/>
  <c r="J218" i="3" s="1"/>
  <c r="L218" i="3"/>
  <c r="I219" i="3"/>
  <c r="J219" i="3" s="1"/>
  <c r="L219" i="3"/>
  <c r="I220" i="3"/>
  <c r="J220" i="3" s="1"/>
  <c r="L220" i="3"/>
  <c r="I221" i="3"/>
  <c r="J221" i="3" s="1"/>
  <c r="L221" i="3"/>
  <c r="I222" i="3"/>
  <c r="J222" i="3" s="1"/>
  <c r="L222" i="3"/>
  <c r="I223" i="3"/>
  <c r="J223" i="3" s="1"/>
  <c r="L223" i="3"/>
  <c r="I224" i="3"/>
  <c r="J224" i="3" s="1"/>
  <c r="L224" i="3"/>
  <c r="I225" i="3"/>
  <c r="J225" i="3" s="1"/>
  <c r="L225" i="3"/>
  <c r="I226" i="3"/>
  <c r="J226" i="3" s="1"/>
  <c r="L226" i="3"/>
  <c r="I227" i="3"/>
  <c r="J227" i="3" s="1"/>
  <c r="L227" i="3"/>
  <c r="I228" i="3"/>
  <c r="J228" i="3" s="1"/>
  <c r="L228" i="3"/>
  <c r="I229" i="3"/>
  <c r="J229" i="3" s="1"/>
  <c r="L229" i="3"/>
  <c r="I230" i="3"/>
  <c r="J230" i="3" s="1"/>
  <c r="L230" i="3"/>
  <c r="I231" i="3"/>
  <c r="J231" i="3" s="1"/>
  <c r="L231" i="3"/>
  <c r="I232" i="3"/>
  <c r="J232" i="3" s="1"/>
  <c r="L232" i="3"/>
  <c r="I233" i="3"/>
  <c r="J233" i="3" s="1"/>
  <c r="L233" i="3"/>
  <c r="I234" i="3"/>
  <c r="J234" i="3" s="1"/>
  <c r="L234" i="3"/>
  <c r="I235" i="3"/>
  <c r="J235" i="3" s="1"/>
  <c r="L235" i="3"/>
  <c r="I236" i="3"/>
  <c r="J236" i="3" s="1"/>
  <c r="L236" i="3"/>
  <c r="I237" i="3"/>
  <c r="J237" i="3" s="1"/>
  <c r="L237" i="3"/>
  <c r="I238" i="3"/>
  <c r="J238" i="3" s="1"/>
  <c r="L238" i="3"/>
  <c r="I239" i="3"/>
  <c r="J239" i="3" s="1"/>
  <c r="L239" i="3"/>
  <c r="I240" i="3"/>
  <c r="J240" i="3" s="1"/>
  <c r="L240" i="3"/>
  <c r="I241" i="3"/>
  <c r="J241" i="3" s="1"/>
  <c r="L241" i="3"/>
  <c r="I242" i="3"/>
  <c r="J242" i="3" s="1"/>
  <c r="L242" i="3"/>
  <c r="I243" i="3"/>
  <c r="J243" i="3" s="1"/>
  <c r="L243" i="3"/>
  <c r="I244" i="3"/>
  <c r="J244" i="3" s="1"/>
  <c r="L244" i="3"/>
  <c r="I245" i="3"/>
  <c r="J245" i="3" s="1"/>
  <c r="L245" i="3"/>
  <c r="I246" i="3"/>
  <c r="J246" i="3" s="1"/>
  <c r="L246" i="3"/>
  <c r="I247" i="3"/>
  <c r="J247" i="3" s="1"/>
  <c r="L247" i="3"/>
  <c r="I248" i="3"/>
  <c r="J248" i="3" s="1"/>
  <c r="L248" i="3"/>
  <c r="I249" i="3"/>
  <c r="J249" i="3" s="1"/>
  <c r="L249" i="3"/>
  <c r="I250" i="3"/>
  <c r="J250" i="3" s="1"/>
  <c r="L250" i="3"/>
  <c r="I251" i="3"/>
  <c r="J251" i="3" s="1"/>
  <c r="L251" i="3"/>
  <c r="I252" i="3"/>
  <c r="J252" i="3" s="1"/>
  <c r="L252" i="3"/>
  <c r="I253" i="3"/>
  <c r="J253" i="3" s="1"/>
  <c r="L253" i="3"/>
  <c r="I254" i="3"/>
  <c r="J254" i="3" s="1"/>
  <c r="L254" i="3"/>
  <c r="I255" i="3"/>
  <c r="J255" i="3" s="1"/>
  <c r="L255" i="3"/>
  <c r="I256" i="3"/>
  <c r="J256" i="3" s="1"/>
  <c r="L256" i="3"/>
  <c r="I257" i="3"/>
  <c r="J257" i="3" s="1"/>
  <c r="L257" i="3"/>
  <c r="I258" i="3"/>
  <c r="J258" i="3" s="1"/>
  <c r="L258" i="3"/>
  <c r="I259" i="3"/>
  <c r="J259" i="3" s="1"/>
  <c r="L259" i="3"/>
  <c r="I260" i="3"/>
  <c r="J260" i="3" s="1"/>
  <c r="L260" i="3"/>
  <c r="I261" i="3"/>
  <c r="J261" i="3" s="1"/>
  <c r="L261" i="3"/>
  <c r="I262" i="3"/>
  <c r="J262" i="3" s="1"/>
  <c r="L262" i="3"/>
  <c r="I263" i="3"/>
  <c r="J263" i="3" s="1"/>
  <c r="L263" i="3"/>
  <c r="I264" i="3"/>
  <c r="J264" i="3" s="1"/>
  <c r="L264" i="3"/>
  <c r="I265" i="3"/>
  <c r="J265" i="3" s="1"/>
  <c r="L265" i="3"/>
  <c r="I266" i="3"/>
  <c r="J266" i="3" s="1"/>
  <c r="L266" i="3"/>
  <c r="I267" i="3"/>
  <c r="J267" i="3" s="1"/>
  <c r="L267" i="3"/>
  <c r="I268" i="3"/>
  <c r="J268" i="3" s="1"/>
  <c r="L268" i="3"/>
  <c r="I269" i="3"/>
  <c r="J269" i="3" s="1"/>
  <c r="L269" i="3"/>
  <c r="I270" i="3"/>
  <c r="J270" i="3" s="1"/>
  <c r="L270" i="3"/>
  <c r="I271" i="3"/>
  <c r="J271" i="3" s="1"/>
  <c r="L271" i="3"/>
  <c r="I272" i="3"/>
  <c r="J272" i="3" s="1"/>
  <c r="L272" i="3"/>
  <c r="I273" i="3"/>
  <c r="J273" i="3" s="1"/>
  <c r="L273" i="3"/>
  <c r="I274" i="3"/>
  <c r="J274" i="3" s="1"/>
  <c r="L274" i="3"/>
  <c r="I275" i="3"/>
  <c r="J275" i="3" s="1"/>
  <c r="L275" i="3"/>
  <c r="I276" i="3"/>
  <c r="J276" i="3" s="1"/>
  <c r="L276" i="3"/>
  <c r="I277" i="3"/>
  <c r="J277" i="3" s="1"/>
  <c r="L277" i="3"/>
  <c r="I278" i="3"/>
  <c r="J278" i="3" s="1"/>
  <c r="L278" i="3"/>
  <c r="I279" i="3"/>
  <c r="J279" i="3" s="1"/>
  <c r="L279" i="3"/>
  <c r="I280" i="3"/>
  <c r="J280" i="3" s="1"/>
  <c r="L280" i="3"/>
  <c r="I281" i="3"/>
  <c r="J281" i="3" s="1"/>
  <c r="L281" i="3"/>
  <c r="I282" i="3"/>
  <c r="J282" i="3" s="1"/>
  <c r="L282" i="3"/>
  <c r="I283" i="3"/>
  <c r="J283" i="3" s="1"/>
  <c r="L283" i="3"/>
  <c r="I284" i="3"/>
  <c r="J284" i="3" s="1"/>
  <c r="L284" i="3"/>
  <c r="I285" i="3"/>
  <c r="J285" i="3" s="1"/>
  <c r="L285" i="3"/>
  <c r="I286" i="3"/>
  <c r="J286" i="3" s="1"/>
  <c r="L286" i="3"/>
  <c r="I287" i="3"/>
  <c r="J287" i="3" s="1"/>
  <c r="L287" i="3"/>
  <c r="I288" i="3"/>
  <c r="J288" i="3" s="1"/>
  <c r="L288" i="3"/>
  <c r="I289" i="3"/>
  <c r="J289" i="3" s="1"/>
  <c r="L289" i="3"/>
  <c r="I290" i="3"/>
  <c r="J290" i="3" s="1"/>
  <c r="L290" i="3"/>
  <c r="I291" i="3"/>
  <c r="J291" i="3" s="1"/>
  <c r="L291" i="3"/>
  <c r="I292" i="3"/>
  <c r="J292" i="3" s="1"/>
  <c r="L292" i="3"/>
  <c r="I293" i="3"/>
  <c r="J293" i="3" s="1"/>
  <c r="L293" i="3"/>
  <c r="I294" i="3"/>
  <c r="J294" i="3" s="1"/>
  <c r="L294" i="3"/>
  <c r="I295" i="3"/>
  <c r="J295" i="3" s="1"/>
  <c r="L295" i="3"/>
  <c r="I296" i="3"/>
  <c r="J296" i="3" s="1"/>
  <c r="L296" i="3"/>
  <c r="I297" i="3"/>
  <c r="J297" i="3" s="1"/>
  <c r="L297" i="3"/>
  <c r="I298" i="3"/>
  <c r="J298" i="3" s="1"/>
  <c r="L298" i="3"/>
  <c r="I299" i="3"/>
  <c r="J299" i="3" s="1"/>
  <c r="L299" i="3"/>
  <c r="I300" i="3"/>
  <c r="J300" i="3" s="1"/>
  <c r="L300" i="3"/>
  <c r="I301" i="3"/>
  <c r="J301" i="3" s="1"/>
  <c r="L301" i="3"/>
  <c r="I302" i="3"/>
  <c r="J302" i="3" s="1"/>
  <c r="L302" i="3"/>
  <c r="I303" i="3"/>
  <c r="J303" i="3" s="1"/>
  <c r="L303" i="3"/>
  <c r="I304" i="3"/>
  <c r="J304" i="3" s="1"/>
  <c r="L304" i="3"/>
  <c r="I305" i="3"/>
  <c r="J305" i="3" s="1"/>
  <c r="L305" i="3"/>
  <c r="I306" i="3"/>
  <c r="J306" i="3" s="1"/>
  <c r="L306" i="3"/>
  <c r="I307" i="3"/>
  <c r="J307" i="3" s="1"/>
  <c r="L307" i="3"/>
  <c r="I308" i="3"/>
  <c r="J308" i="3" s="1"/>
  <c r="L308" i="3"/>
  <c r="I309" i="3"/>
  <c r="J309" i="3" s="1"/>
  <c r="L309" i="3"/>
  <c r="I310" i="3"/>
  <c r="J310" i="3" s="1"/>
  <c r="L310" i="3"/>
  <c r="I311" i="3"/>
  <c r="J311" i="3" s="1"/>
  <c r="L311" i="3"/>
  <c r="I312" i="3"/>
  <c r="J312" i="3" s="1"/>
  <c r="L312" i="3"/>
  <c r="I313" i="3"/>
  <c r="J313" i="3" s="1"/>
  <c r="L313" i="3"/>
  <c r="I314" i="3"/>
  <c r="J314" i="3" s="1"/>
  <c r="L314" i="3"/>
  <c r="I315" i="3"/>
  <c r="J315" i="3" s="1"/>
  <c r="L315" i="3"/>
  <c r="I316" i="3"/>
  <c r="J316" i="3" s="1"/>
  <c r="L316" i="3"/>
  <c r="I317" i="3"/>
  <c r="J317" i="3" s="1"/>
  <c r="L317" i="3"/>
  <c r="I318" i="3"/>
  <c r="J318" i="3" s="1"/>
  <c r="L318" i="3"/>
  <c r="I319" i="3"/>
  <c r="J319" i="3" s="1"/>
  <c r="L319" i="3"/>
  <c r="I320" i="3"/>
  <c r="J320" i="3" s="1"/>
  <c r="L320" i="3"/>
  <c r="I321" i="3"/>
  <c r="J321" i="3" s="1"/>
  <c r="L321" i="3"/>
  <c r="I322" i="3"/>
  <c r="J322" i="3" s="1"/>
  <c r="L322" i="3"/>
  <c r="I323" i="3"/>
  <c r="J323" i="3" s="1"/>
  <c r="L323" i="3"/>
  <c r="I324" i="3"/>
  <c r="J324" i="3" s="1"/>
  <c r="L324" i="3"/>
  <c r="I325" i="3"/>
  <c r="J325" i="3" s="1"/>
  <c r="L325" i="3"/>
  <c r="I326" i="3"/>
  <c r="J326" i="3" s="1"/>
  <c r="L326" i="3"/>
  <c r="I327" i="3"/>
  <c r="J327" i="3" s="1"/>
  <c r="L327" i="3"/>
  <c r="I328" i="3"/>
  <c r="J328" i="3" s="1"/>
  <c r="L328" i="3"/>
  <c r="I329" i="3"/>
  <c r="J329" i="3" s="1"/>
  <c r="L329" i="3"/>
  <c r="I330" i="3"/>
  <c r="J330" i="3" s="1"/>
  <c r="L330" i="3"/>
  <c r="I331" i="3"/>
  <c r="J331" i="3" s="1"/>
  <c r="L331" i="3"/>
  <c r="I332" i="3"/>
  <c r="J332" i="3" s="1"/>
  <c r="L332" i="3"/>
  <c r="I333" i="3"/>
  <c r="J333" i="3" s="1"/>
  <c r="L333" i="3"/>
  <c r="I334" i="3"/>
  <c r="J334" i="3" s="1"/>
  <c r="L334" i="3"/>
  <c r="I335" i="3"/>
  <c r="J335" i="3" s="1"/>
  <c r="L335" i="3"/>
  <c r="I336" i="3"/>
  <c r="J336" i="3" s="1"/>
  <c r="L336" i="3"/>
  <c r="I337" i="3"/>
  <c r="J337" i="3" s="1"/>
  <c r="L337" i="3"/>
  <c r="I338" i="3"/>
  <c r="J338" i="3" s="1"/>
  <c r="L338" i="3"/>
  <c r="I339" i="3"/>
  <c r="J339" i="3" s="1"/>
  <c r="L339" i="3"/>
  <c r="I340" i="3"/>
  <c r="J340" i="3" s="1"/>
  <c r="L340" i="3"/>
  <c r="I341" i="3"/>
  <c r="J341" i="3" s="1"/>
  <c r="L341" i="3"/>
  <c r="I342" i="3"/>
  <c r="J342" i="3" s="1"/>
  <c r="L342" i="3"/>
  <c r="I343" i="3"/>
  <c r="J343" i="3" s="1"/>
  <c r="L343" i="3"/>
  <c r="I344" i="3"/>
  <c r="J344" i="3" s="1"/>
  <c r="L344" i="3"/>
  <c r="I345" i="3"/>
  <c r="J345" i="3" s="1"/>
  <c r="L345" i="3"/>
  <c r="I346" i="3"/>
  <c r="J346" i="3" s="1"/>
  <c r="L346" i="3"/>
  <c r="I347" i="3"/>
  <c r="J347" i="3" s="1"/>
  <c r="L347" i="3"/>
  <c r="I348" i="3"/>
  <c r="J348" i="3" s="1"/>
  <c r="L348" i="3"/>
  <c r="I349" i="3"/>
  <c r="J349" i="3" s="1"/>
  <c r="L349" i="3"/>
  <c r="I350" i="3"/>
  <c r="J350" i="3" s="1"/>
  <c r="L350" i="3"/>
  <c r="I351" i="3"/>
  <c r="J351" i="3" s="1"/>
  <c r="L351" i="3"/>
  <c r="I352" i="3"/>
  <c r="J352" i="3" s="1"/>
  <c r="L352" i="3"/>
  <c r="I353" i="3"/>
  <c r="J353" i="3" s="1"/>
  <c r="L353" i="3"/>
  <c r="I354" i="3"/>
  <c r="J354" i="3" s="1"/>
  <c r="L354" i="3"/>
  <c r="I355" i="3"/>
  <c r="J355" i="3" s="1"/>
  <c r="L355" i="3"/>
  <c r="I356" i="3"/>
  <c r="J356" i="3" s="1"/>
  <c r="L356" i="3"/>
  <c r="I357" i="3"/>
  <c r="J357" i="3" s="1"/>
  <c r="L357" i="3"/>
  <c r="I358" i="3"/>
  <c r="J358" i="3" s="1"/>
  <c r="L358" i="3"/>
  <c r="I359" i="3"/>
  <c r="J359" i="3" s="1"/>
  <c r="L359" i="3"/>
  <c r="I360" i="3"/>
  <c r="J360" i="3" s="1"/>
  <c r="L360" i="3"/>
  <c r="I361" i="3"/>
  <c r="J361" i="3" s="1"/>
  <c r="L361" i="3"/>
  <c r="I362" i="3"/>
  <c r="J362" i="3" s="1"/>
  <c r="L362" i="3"/>
  <c r="I363" i="3"/>
  <c r="J363" i="3" s="1"/>
  <c r="L363" i="3"/>
  <c r="I364" i="3"/>
  <c r="J364" i="3" s="1"/>
  <c r="L364" i="3"/>
  <c r="I365" i="3"/>
  <c r="J365" i="3" s="1"/>
  <c r="L365" i="3"/>
  <c r="I366" i="3"/>
  <c r="J366" i="3" s="1"/>
  <c r="L366" i="3"/>
  <c r="I367" i="3"/>
  <c r="J367" i="3" s="1"/>
  <c r="L367" i="3"/>
  <c r="I368" i="3"/>
  <c r="J368" i="3" s="1"/>
  <c r="L368" i="3"/>
  <c r="I369" i="3"/>
  <c r="J369" i="3" s="1"/>
  <c r="L369" i="3"/>
  <c r="I370" i="3"/>
  <c r="J370" i="3" s="1"/>
  <c r="L370" i="3"/>
  <c r="I371" i="3"/>
  <c r="J371" i="3" s="1"/>
  <c r="L371" i="3"/>
  <c r="I372" i="3"/>
  <c r="J372" i="3" s="1"/>
  <c r="L372" i="3"/>
  <c r="I373" i="3"/>
  <c r="J373" i="3" s="1"/>
  <c r="L373" i="3"/>
  <c r="I374" i="3"/>
  <c r="J374" i="3" s="1"/>
  <c r="L374" i="3"/>
  <c r="I375" i="3"/>
  <c r="J375" i="3" s="1"/>
  <c r="L375" i="3"/>
  <c r="I376" i="3"/>
  <c r="J376" i="3" s="1"/>
  <c r="L376" i="3"/>
  <c r="I377" i="3"/>
  <c r="J377" i="3" s="1"/>
  <c r="L377" i="3"/>
  <c r="I378" i="3"/>
  <c r="J378" i="3" s="1"/>
  <c r="L378" i="3"/>
  <c r="I379" i="3"/>
  <c r="J379" i="3" s="1"/>
  <c r="L379" i="3"/>
  <c r="I380" i="3"/>
  <c r="J380" i="3" s="1"/>
  <c r="L380" i="3"/>
  <c r="I381" i="3"/>
  <c r="J381" i="3" s="1"/>
  <c r="L381" i="3"/>
  <c r="I382" i="3"/>
  <c r="J382" i="3" s="1"/>
  <c r="L382" i="3"/>
  <c r="I383" i="3"/>
  <c r="J383" i="3" s="1"/>
  <c r="L383" i="3"/>
  <c r="I384" i="3"/>
  <c r="J384" i="3" s="1"/>
  <c r="L384" i="3"/>
  <c r="I385" i="3"/>
  <c r="J385" i="3" s="1"/>
  <c r="L385" i="3"/>
  <c r="I386" i="3"/>
  <c r="J386" i="3" s="1"/>
  <c r="L386" i="3"/>
  <c r="I387" i="3"/>
  <c r="J387" i="3" s="1"/>
  <c r="L387" i="3"/>
  <c r="I388" i="3"/>
  <c r="J388" i="3" s="1"/>
  <c r="L388" i="3"/>
  <c r="I389" i="3"/>
  <c r="J389" i="3" s="1"/>
  <c r="L389" i="3"/>
  <c r="I390" i="3"/>
  <c r="J390" i="3" s="1"/>
  <c r="L390" i="3"/>
  <c r="I391" i="3"/>
  <c r="J391" i="3" s="1"/>
  <c r="L391" i="3"/>
  <c r="I392" i="3"/>
  <c r="J392" i="3" s="1"/>
  <c r="L392" i="3"/>
  <c r="I393" i="3"/>
  <c r="J393" i="3" s="1"/>
  <c r="L393" i="3"/>
  <c r="I394" i="3"/>
  <c r="J394" i="3" s="1"/>
  <c r="L394" i="3"/>
  <c r="I395" i="3"/>
  <c r="J395" i="3" s="1"/>
  <c r="L395" i="3"/>
  <c r="I396" i="3"/>
  <c r="J396" i="3" s="1"/>
  <c r="L396" i="3"/>
  <c r="I397" i="3"/>
  <c r="J397" i="3" s="1"/>
  <c r="L397" i="3"/>
  <c r="I398" i="3"/>
  <c r="J398" i="3" s="1"/>
  <c r="L398" i="3"/>
  <c r="I399" i="3"/>
  <c r="J399" i="3" s="1"/>
  <c r="L399" i="3"/>
  <c r="I400" i="3"/>
  <c r="J400" i="3" s="1"/>
  <c r="L400" i="3"/>
  <c r="I401" i="3"/>
  <c r="J401" i="3" s="1"/>
  <c r="L401" i="3"/>
  <c r="I402" i="3"/>
  <c r="J402" i="3" s="1"/>
  <c r="L402" i="3"/>
  <c r="I403" i="3"/>
  <c r="J403" i="3" s="1"/>
  <c r="L403" i="3"/>
  <c r="I404" i="3"/>
  <c r="J404" i="3" s="1"/>
  <c r="L404" i="3"/>
  <c r="I405" i="3"/>
  <c r="J405" i="3" s="1"/>
  <c r="L405" i="3"/>
  <c r="I406" i="3"/>
  <c r="J406" i="3" s="1"/>
  <c r="L406" i="3"/>
  <c r="I407" i="3"/>
  <c r="J407" i="3" s="1"/>
  <c r="L407" i="3"/>
  <c r="I408" i="3"/>
  <c r="J408" i="3" s="1"/>
  <c r="L408" i="3"/>
  <c r="I409" i="3"/>
  <c r="J409" i="3" s="1"/>
  <c r="L409" i="3"/>
  <c r="I410" i="3"/>
  <c r="J410" i="3" s="1"/>
  <c r="L410" i="3"/>
  <c r="I411" i="3"/>
  <c r="J411" i="3" s="1"/>
  <c r="L411" i="3"/>
  <c r="I412" i="3"/>
  <c r="J412" i="3" s="1"/>
  <c r="L412" i="3"/>
  <c r="I413" i="3"/>
  <c r="J413" i="3" s="1"/>
  <c r="L413" i="3"/>
  <c r="I414" i="3"/>
  <c r="J414" i="3" s="1"/>
  <c r="L414" i="3"/>
  <c r="I415" i="3"/>
  <c r="J415" i="3" s="1"/>
  <c r="L415" i="3"/>
  <c r="I416" i="3"/>
  <c r="J416" i="3" s="1"/>
  <c r="L416" i="3"/>
  <c r="I417" i="3"/>
  <c r="J417" i="3" s="1"/>
  <c r="L417" i="3"/>
  <c r="I418" i="3"/>
  <c r="J418" i="3" s="1"/>
  <c r="L418" i="3"/>
  <c r="I419" i="3"/>
  <c r="J419" i="3" s="1"/>
  <c r="L419" i="3"/>
  <c r="I420" i="3"/>
  <c r="J420" i="3" s="1"/>
  <c r="L420" i="3"/>
  <c r="I421" i="3"/>
  <c r="J421" i="3" s="1"/>
  <c r="L421" i="3"/>
  <c r="I422" i="3"/>
  <c r="J422" i="3" s="1"/>
  <c r="L422" i="3"/>
  <c r="I423" i="3"/>
  <c r="J423" i="3" s="1"/>
  <c r="L423" i="3"/>
  <c r="I424" i="3"/>
  <c r="J424" i="3" s="1"/>
  <c r="L424" i="3"/>
  <c r="I425" i="3"/>
  <c r="J425" i="3" s="1"/>
  <c r="L425" i="3"/>
  <c r="I426" i="3"/>
  <c r="J426" i="3" s="1"/>
  <c r="L426" i="3"/>
  <c r="I427" i="3"/>
  <c r="J427" i="3" s="1"/>
  <c r="L427" i="3"/>
  <c r="I428" i="3"/>
  <c r="J428" i="3" s="1"/>
  <c r="L428" i="3"/>
  <c r="I429" i="3"/>
  <c r="J429" i="3" s="1"/>
  <c r="L429" i="3"/>
  <c r="I430" i="3"/>
  <c r="J430" i="3" s="1"/>
  <c r="L430" i="3"/>
  <c r="I431" i="3"/>
  <c r="J431" i="3" s="1"/>
  <c r="L431" i="3"/>
  <c r="I432" i="3"/>
  <c r="J432" i="3" s="1"/>
  <c r="L432" i="3"/>
  <c r="I433" i="3"/>
  <c r="J433" i="3" s="1"/>
  <c r="L433" i="3"/>
  <c r="I434" i="3"/>
  <c r="J434" i="3" s="1"/>
  <c r="L434" i="3"/>
  <c r="I435" i="3"/>
  <c r="J435" i="3" s="1"/>
  <c r="L435" i="3"/>
  <c r="I436" i="3"/>
  <c r="J436" i="3" s="1"/>
  <c r="L436" i="3"/>
  <c r="I437" i="3"/>
  <c r="J437" i="3" s="1"/>
  <c r="L437" i="3"/>
  <c r="I438" i="3"/>
  <c r="J438" i="3" s="1"/>
  <c r="L438" i="3"/>
  <c r="I439" i="3"/>
  <c r="J439" i="3" s="1"/>
  <c r="L439" i="3"/>
  <c r="I440" i="3"/>
  <c r="J440" i="3" s="1"/>
  <c r="L440" i="3"/>
  <c r="I441" i="3"/>
  <c r="J441" i="3" s="1"/>
  <c r="L441" i="3"/>
  <c r="I442" i="3"/>
  <c r="J442" i="3" s="1"/>
  <c r="L442" i="3"/>
  <c r="I443" i="3"/>
  <c r="J443" i="3" s="1"/>
  <c r="L443" i="3"/>
  <c r="I444" i="3"/>
  <c r="J444" i="3" s="1"/>
  <c r="L444" i="3"/>
  <c r="I445" i="3"/>
  <c r="J445" i="3" s="1"/>
  <c r="L445" i="3"/>
  <c r="I446" i="3"/>
  <c r="J446" i="3" s="1"/>
  <c r="L446" i="3"/>
  <c r="I447" i="3"/>
  <c r="J447" i="3" s="1"/>
  <c r="L447" i="3"/>
  <c r="I448" i="3"/>
  <c r="J448" i="3" s="1"/>
  <c r="L448" i="3"/>
  <c r="I449" i="3"/>
  <c r="J449" i="3" s="1"/>
  <c r="L449" i="3"/>
  <c r="I450" i="3"/>
  <c r="J450" i="3" s="1"/>
  <c r="L450" i="3"/>
  <c r="I451" i="3"/>
  <c r="J451" i="3" s="1"/>
  <c r="L451" i="3"/>
  <c r="I452" i="3"/>
  <c r="J452" i="3" s="1"/>
  <c r="L452" i="3"/>
  <c r="I453" i="3"/>
  <c r="J453" i="3" s="1"/>
  <c r="L453" i="3"/>
  <c r="I454" i="3"/>
  <c r="J454" i="3" s="1"/>
  <c r="L454" i="3"/>
  <c r="I455" i="3"/>
  <c r="J455" i="3" s="1"/>
  <c r="L455" i="3"/>
  <c r="I456" i="3"/>
  <c r="J456" i="3" s="1"/>
  <c r="L456" i="3"/>
  <c r="I457" i="3"/>
  <c r="J457" i="3" s="1"/>
  <c r="L457" i="3"/>
  <c r="I458" i="3"/>
  <c r="J458" i="3" s="1"/>
  <c r="L458" i="3"/>
  <c r="I459" i="3"/>
  <c r="J459" i="3" s="1"/>
  <c r="L459" i="3"/>
  <c r="I460" i="3"/>
  <c r="J460" i="3" s="1"/>
  <c r="L460" i="3"/>
  <c r="I461" i="3"/>
  <c r="J461" i="3" s="1"/>
  <c r="L461" i="3"/>
  <c r="I462" i="3"/>
  <c r="J462" i="3" s="1"/>
  <c r="L462" i="3"/>
  <c r="I463" i="3"/>
  <c r="J463" i="3" s="1"/>
  <c r="L463" i="3"/>
  <c r="I464" i="3"/>
  <c r="J464" i="3" s="1"/>
  <c r="L464" i="3"/>
  <c r="I465" i="3"/>
  <c r="J465" i="3" s="1"/>
  <c r="L465" i="3"/>
  <c r="I466" i="3"/>
  <c r="J466" i="3" s="1"/>
  <c r="L466" i="3"/>
  <c r="I467" i="3"/>
  <c r="J467" i="3" s="1"/>
  <c r="L467" i="3"/>
  <c r="I468" i="3"/>
  <c r="J468" i="3" s="1"/>
  <c r="L468" i="3"/>
  <c r="I469" i="3"/>
  <c r="J469" i="3" s="1"/>
  <c r="L469" i="3"/>
  <c r="I470" i="3"/>
  <c r="J470" i="3" s="1"/>
  <c r="L470" i="3"/>
  <c r="I471" i="3"/>
  <c r="J471" i="3" s="1"/>
  <c r="L471" i="3"/>
  <c r="I472" i="3"/>
  <c r="J472" i="3" s="1"/>
  <c r="L472" i="3"/>
  <c r="I473" i="3"/>
  <c r="J473" i="3" s="1"/>
  <c r="L473" i="3"/>
  <c r="I474" i="3"/>
  <c r="J474" i="3" s="1"/>
  <c r="L474" i="3"/>
  <c r="I475" i="3"/>
  <c r="J475" i="3" s="1"/>
  <c r="L475" i="3"/>
  <c r="I476" i="3"/>
  <c r="J476" i="3" s="1"/>
  <c r="L476" i="3"/>
  <c r="I477" i="3"/>
  <c r="J477" i="3" s="1"/>
  <c r="L477" i="3"/>
  <c r="I478" i="3"/>
  <c r="J478" i="3" s="1"/>
  <c r="L478" i="3"/>
  <c r="I479" i="3"/>
  <c r="J479" i="3" s="1"/>
  <c r="L479" i="3"/>
  <c r="I480" i="3"/>
  <c r="J480" i="3" s="1"/>
  <c r="L480" i="3"/>
  <c r="I481" i="3"/>
  <c r="J481" i="3" s="1"/>
  <c r="L481" i="3"/>
  <c r="I482" i="3"/>
  <c r="J482" i="3" s="1"/>
  <c r="L482" i="3"/>
  <c r="I483" i="3"/>
  <c r="J483" i="3" s="1"/>
  <c r="L483" i="3"/>
  <c r="I484" i="3"/>
  <c r="J484" i="3" s="1"/>
  <c r="L484" i="3"/>
  <c r="I485" i="3"/>
  <c r="J485" i="3" s="1"/>
  <c r="L485" i="3"/>
  <c r="I486" i="3"/>
  <c r="J486" i="3" s="1"/>
  <c r="L486" i="3"/>
  <c r="I487" i="3"/>
  <c r="J487" i="3" s="1"/>
  <c r="L487" i="3"/>
  <c r="I488" i="3"/>
  <c r="J488" i="3" s="1"/>
  <c r="L488" i="3"/>
  <c r="I489" i="3"/>
  <c r="J489" i="3" s="1"/>
  <c r="L489" i="3"/>
  <c r="I490" i="3"/>
  <c r="J490" i="3" s="1"/>
  <c r="L490" i="3"/>
  <c r="I491" i="3"/>
  <c r="J491" i="3" s="1"/>
  <c r="L491" i="3"/>
  <c r="I492" i="3"/>
  <c r="J492" i="3" s="1"/>
  <c r="L492" i="3"/>
  <c r="I493" i="3"/>
  <c r="J493" i="3" s="1"/>
  <c r="L493" i="3"/>
  <c r="I494" i="3"/>
  <c r="J494" i="3" s="1"/>
  <c r="L494" i="3"/>
  <c r="I495" i="3"/>
  <c r="J495" i="3" s="1"/>
  <c r="L495" i="3"/>
  <c r="I496" i="3"/>
  <c r="J496" i="3" s="1"/>
  <c r="L496" i="3"/>
  <c r="I497" i="3"/>
  <c r="J497" i="3" s="1"/>
  <c r="L497" i="3"/>
  <c r="I498" i="3"/>
  <c r="J498" i="3" s="1"/>
  <c r="L498" i="3"/>
  <c r="I499" i="3"/>
  <c r="J499" i="3" s="1"/>
  <c r="L499" i="3"/>
  <c r="I500" i="3"/>
  <c r="J500" i="3" s="1"/>
  <c r="L500" i="3"/>
  <c r="I501" i="3"/>
  <c r="J501" i="3" s="1"/>
  <c r="L501" i="3"/>
  <c r="I502" i="3"/>
  <c r="J502" i="3" s="1"/>
  <c r="L502" i="3"/>
  <c r="I503" i="3"/>
  <c r="J503" i="3" s="1"/>
  <c r="L503" i="3"/>
  <c r="I504" i="3"/>
  <c r="J504" i="3" s="1"/>
  <c r="L504" i="3"/>
  <c r="I505" i="3"/>
  <c r="J505" i="3" s="1"/>
  <c r="L505" i="3"/>
  <c r="I506" i="3"/>
  <c r="J506" i="3" s="1"/>
  <c r="L506" i="3"/>
  <c r="I507" i="3"/>
  <c r="J507" i="3" s="1"/>
  <c r="L507" i="3"/>
  <c r="I508" i="3"/>
  <c r="J508" i="3" s="1"/>
  <c r="L508" i="3"/>
  <c r="I509" i="3"/>
  <c r="J509" i="3" s="1"/>
  <c r="L509" i="3"/>
  <c r="I510" i="3"/>
  <c r="J510" i="3" s="1"/>
  <c r="L510" i="3"/>
  <c r="I511" i="3"/>
  <c r="J511" i="3" s="1"/>
  <c r="L511" i="3"/>
  <c r="I512" i="3"/>
  <c r="J512" i="3" s="1"/>
  <c r="L512" i="3"/>
  <c r="I513" i="3"/>
  <c r="J513" i="3" s="1"/>
  <c r="L513" i="3"/>
  <c r="I514" i="3"/>
  <c r="J514" i="3" s="1"/>
  <c r="L514" i="3"/>
  <c r="I515" i="3"/>
  <c r="J515" i="3" s="1"/>
  <c r="L515" i="3"/>
  <c r="I516" i="3"/>
  <c r="J516" i="3" s="1"/>
  <c r="L516" i="3"/>
  <c r="I517" i="3"/>
  <c r="J517" i="3" s="1"/>
  <c r="L517" i="3"/>
  <c r="I518" i="3"/>
  <c r="J518" i="3" s="1"/>
  <c r="L518" i="3"/>
  <c r="I519" i="3"/>
  <c r="J519" i="3" s="1"/>
  <c r="L519" i="3"/>
  <c r="I520" i="3"/>
  <c r="J520" i="3" s="1"/>
  <c r="L520" i="3"/>
  <c r="I521" i="3"/>
  <c r="J521" i="3" s="1"/>
  <c r="L521" i="3"/>
  <c r="I522" i="3"/>
  <c r="J522" i="3" s="1"/>
  <c r="L522" i="3"/>
  <c r="I523" i="3"/>
  <c r="J523" i="3" s="1"/>
  <c r="L523" i="3"/>
  <c r="I524" i="3"/>
  <c r="J524" i="3" s="1"/>
  <c r="L524" i="3"/>
  <c r="I525" i="3"/>
  <c r="J525" i="3" s="1"/>
  <c r="L525" i="3"/>
  <c r="I526" i="3"/>
  <c r="J526" i="3" s="1"/>
  <c r="L526" i="3"/>
  <c r="I527" i="3"/>
  <c r="J527" i="3" s="1"/>
  <c r="L527" i="3"/>
  <c r="L528" i="3"/>
  <c r="I529" i="3"/>
  <c r="J529" i="3" s="1"/>
  <c r="L529" i="3"/>
  <c r="I530" i="3"/>
  <c r="J530" i="3" s="1"/>
  <c r="L530" i="3"/>
  <c r="I531" i="3"/>
  <c r="J531" i="3" s="1"/>
  <c r="L531" i="3"/>
  <c r="I532" i="3"/>
  <c r="J532" i="3" s="1"/>
  <c r="L532" i="3"/>
  <c r="I533" i="3"/>
  <c r="J533" i="3" s="1"/>
  <c r="L533" i="3"/>
  <c r="I534" i="3"/>
  <c r="J534" i="3" s="1"/>
  <c r="L534" i="3"/>
  <c r="I535" i="3"/>
  <c r="J535" i="3" s="1"/>
  <c r="L535" i="3"/>
  <c r="I536" i="3"/>
  <c r="J536" i="3" s="1"/>
  <c r="L536" i="3"/>
  <c r="I537" i="3"/>
  <c r="J537" i="3" s="1"/>
  <c r="L537" i="3"/>
  <c r="I538" i="3"/>
  <c r="J538" i="3" s="1"/>
  <c r="L538" i="3"/>
  <c r="I539" i="3"/>
  <c r="J539" i="3" s="1"/>
  <c r="L539" i="3"/>
  <c r="I540" i="3"/>
  <c r="J540" i="3" s="1"/>
  <c r="L540" i="3"/>
  <c r="I541" i="3"/>
  <c r="J541" i="3" s="1"/>
  <c r="L541" i="3"/>
  <c r="I542" i="3"/>
  <c r="J542" i="3" s="1"/>
  <c r="L542" i="3"/>
  <c r="I543" i="3"/>
  <c r="J543" i="3" s="1"/>
  <c r="L543" i="3"/>
  <c r="I544" i="3"/>
  <c r="J544" i="3" s="1"/>
  <c r="L544" i="3"/>
  <c r="I545" i="3"/>
  <c r="J545" i="3" s="1"/>
  <c r="L545" i="3"/>
  <c r="I546" i="3"/>
  <c r="J546" i="3" s="1"/>
  <c r="L546" i="3"/>
  <c r="I547" i="3"/>
  <c r="J547" i="3" s="1"/>
  <c r="L547" i="3"/>
  <c r="I548" i="3"/>
  <c r="J548" i="3" s="1"/>
  <c r="L548" i="3"/>
  <c r="I549" i="3"/>
  <c r="J549" i="3" s="1"/>
  <c r="L549" i="3"/>
  <c r="I550" i="3"/>
  <c r="J550" i="3" s="1"/>
  <c r="L550" i="3"/>
  <c r="I551" i="3"/>
  <c r="J551" i="3" s="1"/>
  <c r="L551" i="3"/>
  <c r="I552" i="3"/>
  <c r="J552" i="3" s="1"/>
  <c r="L552" i="3"/>
  <c r="I553" i="3"/>
  <c r="J553" i="3" s="1"/>
  <c r="L553" i="3"/>
  <c r="I554" i="3"/>
  <c r="J554" i="3" s="1"/>
  <c r="L554" i="3"/>
  <c r="I555" i="3"/>
  <c r="J555" i="3" s="1"/>
  <c r="L555" i="3"/>
  <c r="I556" i="3"/>
  <c r="J556" i="3" s="1"/>
  <c r="L556" i="3"/>
  <c r="I557" i="3"/>
  <c r="J557" i="3" s="1"/>
  <c r="L557" i="3"/>
  <c r="I558" i="3"/>
  <c r="J558" i="3" s="1"/>
  <c r="L558" i="3"/>
  <c r="I559" i="3"/>
  <c r="J559" i="3" s="1"/>
  <c r="L559" i="3"/>
  <c r="I560" i="3"/>
  <c r="J560" i="3" s="1"/>
  <c r="L560" i="3"/>
  <c r="I561" i="3"/>
  <c r="J561" i="3" s="1"/>
  <c r="L561" i="3"/>
  <c r="I562" i="3"/>
  <c r="J562" i="3" s="1"/>
  <c r="L562" i="3"/>
  <c r="I563" i="3"/>
  <c r="J563" i="3" s="1"/>
  <c r="L563" i="3"/>
  <c r="I564" i="3"/>
  <c r="J564" i="3" s="1"/>
  <c r="L564" i="3"/>
  <c r="I565" i="3"/>
  <c r="J565" i="3" s="1"/>
  <c r="L565" i="3"/>
  <c r="I566" i="3"/>
  <c r="J566" i="3" s="1"/>
  <c r="L566" i="3"/>
  <c r="I567" i="3"/>
  <c r="J567" i="3" s="1"/>
  <c r="L567" i="3"/>
  <c r="I568" i="3"/>
  <c r="J568" i="3" s="1"/>
  <c r="L568" i="3"/>
  <c r="I569" i="3"/>
  <c r="J569" i="3" s="1"/>
  <c r="L569" i="3"/>
  <c r="I570" i="3"/>
  <c r="J570" i="3" s="1"/>
  <c r="L570" i="3"/>
  <c r="I571" i="3"/>
  <c r="J571" i="3" s="1"/>
  <c r="L571" i="3"/>
  <c r="I572" i="3"/>
  <c r="J572" i="3" s="1"/>
  <c r="L572" i="3"/>
  <c r="I573" i="3"/>
  <c r="J573" i="3" s="1"/>
  <c r="L573" i="3"/>
  <c r="I574" i="3"/>
  <c r="J574" i="3" s="1"/>
  <c r="L574" i="3"/>
  <c r="I575" i="3"/>
  <c r="J575" i="3" s="1"/>
  <c r="L575" i="3"/>
  <c r="I576" i="3"/>
  <c r="J576" i="3" s="1"/>
  <c r="L576" i="3"/>
  <c r="I577" i="3"/>
  <c r="J577" i="3" s="1"/>
  <c r="L577" i="3"/>
  <c r="I578" i="3"/>
  <c r="J578" i="3" s="1"/>
  <c r="L578" i="3"/>
  <c r="I579" i="3"/>
  <c r="J579" i="3" s="1"/>
  <c r="L579" i="3"/>
  <c r="I580" i="3"/>
  <c r="J580" i="3" s="1"/>
  <c r="L580" i="3"/>
  <c r="I581" i="3"/>
  <c r="J581" i="3" s="1"/>
  <c r="L581" i="3"/>
  <c r="I582" i="3"/>
  <c r="J582" i="3" s="1"/>
  <c r="L582" i="3"/>
  <c r="I583" i="3"/>
  <c r="J583" i="3" s="1"/>
  <c r="L583" i="3"/>
  <c r="I584" i="3"/>
  <c r="J584" i="3" s="1"/>
  <c r="L584" i="3"/>
  <c r="I585" i="3"/>
  <c r="J585" i="3" s="1"/>
  <c r="L585" i="3"/>
  <c r="I586" i="3"/>
  <c r="J586" i="3" s="1"/>
  <c r="L586" i="3"/>
  <c r="I587" i="3"/>
  <c r="J587" i="3" s="1"/>
  <c r="L587" i="3"/>
  <c r="I588" i="3"/>
  <c r="J588" i="3" s="1"/>
  <c r="L588" i="3"/>
  <c r="I589" i="3"/>
  <c r="J589" i="3" s="1"/>
  <c r="L589" i="3"/>
  <c r="I590" i="3"/>
  <c r="J590" i="3" s="1"/>
  <c r="L590" i="3"/>
  <c r="I591" i="3"/>
  <c r="J591" i="3" s="1"/>
  <c r="L591" i="3"/>
  <c r="I592" i="3"/>
  <c r="J592" i="3" s="1"/>
  <c r="L592" i="3"/>
  <c r="I593" i="3"/>
  <c r="J593" i="3" s="1"/>
  <c r="L593" i="3"/>
  <c r="I594" i="3"/>
  <c r="J594" i="3" s="1"/>
  <c r="L594" i="3"/>
  <c r="I595" i="3"/>
  <c r="J595" i="3" s="1"/>
  <c r="L595" i="3"/>
  <c r="I596" i="3"/>
  <c r="J596" i="3" s="1"/>
  <c r="L596" i="3"/>
  <c r="I597" i="3"/>
  <c r="J597" i="3" s="1"/>
  <c r="L597" i="3"/>
  <c r="I598" i="3"/>
  <c r="J598" i="3" s="1"/>
  <c r="L598" i="3"/>
  <c r="I599" i="3"/>
  <c r="J599" i="3" s="1"/>
  <c r="L599" i="3"/>
  <c r="I600" i="3"/>
  <c r="J600" i="3" s="1"/>
  <c r="L600" i="3"/>
  <c r="I601" i="3"/>
  <c r="J601" i="3" s="1"/>
  <c r="L601" i="3"/>
  <c r="I602" i="3"/>
  <c r="J602" i="3" s="1"/>
  <c r="L602" i="3"/>
  <c r="I603" i="3"/>
  <c r="J603" i="3" s="1"/>
  <c r="L603" i="3"/>
  <c r="I604" i="3"/>
  <c r="J604" i="3" s="1"/>
  <c r="L604" i="3"/>
  <c r="L605" i="3"/>
  <c r="I606" i="3"/>
  <c r="J606" i="3" s="1"/>
  <c r="L606" i="3"/>
  <c r="I607" i="3"/>
  <c r="J607" i="3" s="1"/>
  <c r="L607" i="3"/>
  <c r="I608" i="3"/>
  <c r="J608" i="3" s="1"/>
  <c r="L608" i="3"/>
  <c r="I609" i="3"/>
  <c r="J609" i="3" s="1"/>
  <c r="L609" i="3"/>
  <c r="I610" i="3"/>
  <c r="J610" i="3" s="1"/>
  <c r="L610" i="3"/>
  <c r="I611" i="3"/>
  <c r="J611" i="3" s="1"/>
  <c r="L611" i="3"/>
  <c r="I612" i="3"/>
  <c r="J612" i="3" s="1"/>
  <c r="L612" i="3"/>
  <c r="I613" i="3"/>
  <c r="J613" i="3" s="1"/>
  <c r="L613" i="3"/>
  <c r="I614" i="3"/>
  <c r="J614" i="3" s="1"/>
  <c r="L614" i="3"/>
  <c r="I615" i="3"/>
  <c r="J615" i="3" s="1"/>
  <c r="L615" i="3"/>
  <c r="I616" i="3"/>
  <c r="J616" i="3" s="1"/>
  <c r="L616" i="3"/>
  <c r="I617" i="3"/>
  <c r="J617" i="3" s="1"/>
  <c r="L617" i="3"/>
  <c r="I618" i="3"/>
  <c r="J618" i="3" s="1"/>
  <c r="L618" i="3"/>
  <c r="I619" i="3"/>
  <c r="J619" i="3" s="1"/>
  <c r="L619" i="3"/>
  <c r="I620" i="3"/>
  <c r="J620" i="3" s="1"/>
  <c r="L620" i="3"/>
  <c r="I621" i="3"/>
  <c r="J621" i="3" s="1"/>
  <c r="L621" i="3"/>
  <c r="I622" i="3"/>
  <c r="J622" i="3" s="1"/>
  <c r="L622" i="3"/>
  <c r="I623" i="3"/>
  <c r="J623" i="3" s="1"/>
  <c r="L623" i="3"/>
  <c r="I624" i="3"/>
  <c r="J624" i="3" s="1"/>
  <c r="L624" i="3"/>
  <c r="I625" i="3"/>
  <c r="J625" i="3" s="1"/>
  <c r="L625" i="3"/>
  <c r="I626" i="3"/>
  <c r="J626" i="3" s="1"/>
  <c r="L626" i="3"/>
  <c r="I627" i="3"/>
  <c r="J627" i="3" s="1"/>
  <c r="L627" i="3"/>
  <c r="I628" i="3"/>
  <c r="J628" i="3" s="1"/>
  <c r="L628" i="3"/>
  <c r="I629" i="3"/>
  <c r="J629" i="3" s="1"/>
  <c r="L629" i="3"/>
  <c r="I630" i="3"/>
  <c r="J630" i="3" s="1"/>
  <c r="L630" i="3"/>
  <c r="I631" i="3"/>
  <c r="J631" i="3" s="1"/>
  <c r="L631" i="3"/>
  <c r="I632" i="3"/>
  <c r="J632" i="3" s="1"/>
  <c r="L632" i="3"/>
  <c r="I633" i="3"/>
  <c r="J633" i="3" s="1"/>
  <c r="L633" i="3"/>
  <c r="I634" i="3"/>
  <c r="J634" i="3" s="1"/>
  <c r="L634" i="3"/>
  <c r="I635" i="3"/>
  <c r="J635" i="3" s="1"/>
  <c r="L635" i="3"/>
  <c r="I636" i="3"/>
  <c r="J636" i="3" s="1"/>
  <c r="L636" i="3"/>
  <c r="I637" i="3"/>
  <c r="J637" i="3" s="1"/>
  <c r="L637" i="3"/>
  <c r="I638" i="3"/>
  <c r="J638" i="3" s="1"/>
  <c r="L638" i="3"/>
  <c r="I639" i="3"/>
  <c r="J639" i="3" s="1"/>
  <c r="L639" i="3"/>
  <c r="I640" i="3"/>
  <c r="J640" i="3" s="1"/>
  <c r="L640" i="3"/>
  <c r="I641" i="3"/>
  <c r="J641" i="3" s="1"/>
  <c r="L641" i="3"/>
  <c r="I642" i="3"/>
  <c r="J642" i="3" s="1"/>
  <c r="L642" i="3"/>
  <c r="I643" i="3"/>
  <c r="J643" i="3" s="1"/>
  <c r="L643" i="3"/>
  <c r="I644" i="3"/>
  <c r="J644" i="3" s="1"/>
  <c r="L644" i="3"/>
  <c r="I645" i="3"/>
  <c r="J645" i="3" s="1"/>
  <c r="L645" i="3"/>
  <c r="I646" i="3"/>
  <c r="J646" i="3" s="1"/>
  <c r="L646" i="3"/>
  <c r="I647" i="3"/>
  <c r="J647" i="3" s="1"/>
  <c r="L647" i="3"/>
  <c r="I648" i="3"/>
  <c r="J648" i="3" s="1"/>
  <c r="L648" i="3"/>
  <c r="I649" i="3"/>
  <c r="J649" i="3" s="1"/>
  <c r="L649" i="3"/>
  <c r="I650" i="3"/>
  <c r="J650" i="3" s="1"/>
  <c r="L650" i="3"/>
  <c r="I651" i="3"/>
  <c r="J651" i="3" s="1"/>
  <c r="L651" i="3"/>
  <c r="I652" i="3"/>
  <c r="J652" i="3" s="1"/>
  <c r="L652" i="3"/>
  <c r="I653" i="3"/>
  <c r="J653" i="3" s="1"/>
  <c r="L653" i="3"/>
  <c r="I654" i="3"/>
  <c r="J654" i="3" s="1"/>
  <c r="L654" i="3"/>
  <c r="I655" i="3"/>
  <c r="J655" i="3" s="1"/>
  <c r="L655" i="3"/>
  <c r="I656" i="3"/>
  <c r="J656" i="3" s="1"/>
  <c r="L656" i="3"/>
  <c r="I657" i="3"/>
  <c r="J657" i="3" s="1"/>
  <c r="L657" i="3"/>
  <c r="I658" i="3"/>
  <c r="J658" i="3" s="1"/>
  <c r="L658" i="3"/>
  <c r="I659" i="3"/>
  <c r="J659" i="3" s="1"/>
  <c r="L659" i="3"/>
  <c r="I660" i="3"/>
  <c r="J660" i="3" s="1"/>
  <c r="L660" i="3"/>
  <c r="I661" i="3"/>
  <c r="J661" i="3" s="1"/>
  <c r="L661" i="3"/>
  <c r="I662" i="3"/>
  <c r="J662" i="3" s="1"/>
  <c r="L662" i="3"/>
  <c r="I663" i="3"/>
  <c r="J663" i="3" s="1"/>
  <c r="L663" i="3"/>
  <c r="I664" i="3"/>
  <c r="J664" i="3" s="1"/>
  <c r="L664" i="3"/>
  <c r="I665" i="3"/>
  <c r="J665" i="3" s="1"/>
  <c r="L665" i="3"/>
  <c r="I666" i="3"/>
  <c r="J666" i="3" s="1"/>
  <c r="L666" i="3"/>
  <c r="I667" i="3"/>
  <c r="J667" i="3" s="1"/>
  <c r="L667" i="3"/>
  <c r="I668" i="3"/>
  <c r="J668" i="3" s="1"/>
  <c r="L668" i="3"/>
  <c r="I669" i="3"/>
  <c r="J669" i="3" s="1"/>
  <c r="L669" i="3"/>
  <c r="I670" i="3"/>
  <c r="J670" i="3" s="1"/>
  <c r="L670" i="3"/>
  <c r="I671" i="3"/>
  <c r="J671" i="3" s="1"/>
  <c r="L671" i="3"/>
  <c r="I672" i="3"/>
  <c r="J672" i="3" s="1"/>
  <c r="L672" i="3"/>
  <c r="I673" i="3"/>
  <c r="J673" i="3" s="1"/>
  <c r="L673" i="3"/>
  <c r="I674" i="3"/>
  <c r="J674" i="3" s="1"/>
  <c r="L674" i="3"/>
  <c r="I675" i="3"/>
  <c r="J675" i="3" s="1"/>
  <c r="L675" i="3"/>
  <c r="I676" i="3"/>
  <c r="J676" i="3" s="1"/>
  <c r="L676" i="3"/>
  <c r="I677" i="3"/>
  <c r="J677" i="3" s="1"/>
  <c r="L677" i="3"/>
  <c r="I678" i="3"/>
  <c r="J678" i="3" s="1"/>
  <c r="L678" i="3"/>
  <c r="I679" i="3"/>
  <c r="J679" i="3" s="1"/>
  <c r="L679" i="3"/>
  <c r="I680" i="3"/>
  <c r="J680" i="3" s="1"/>
  <c r="L680" i="3"/>
  <c r="I681" i="3"/>
  <c r="J681" i="3" s="1"/>
  <c r="L681" i="3"/>
  <c r="I682" i="3"/>
  <c r="J682" i="3" s="1"/>
  <c r="L682" i="3"/>
  <c r="I683" i="3"/>
  <c r="J683" i="3" s="1"/>
  <c r="L683" i="3"/>
  <c r="I684" i="3"/>
  <c r="J684" i="3" s="1"/>
  <c r="L684" i="3"/>
  <c r="I685" i="3"/>
  <c r="J685" i="3" s="1"/>
  <c r="L685" i="3"/>
  <c r="I686" i="3"/>
  <c r="J686" i="3" s="1"/>
  <c r="L686" i="3"/>
  <c r="I687" i="3"/>
  <c r="J687" i="3" s="1"/>
  <c r="L687" i="3"/>
  <c r="I688" i="3"/>
  <c r="J688" i="3" s="1"/>
  <c r="L688" i="3"/>
  <c r="I689" i="3"/>
  <c r="J689" i="3" s="1"/>
  <c r="L689" i="3"/>
  <c r="I690" i="3"/>
  <c r="J690" i="3" s="1"/>
  <c r="L690" i="3"/>
  <c r="I691" i="3"/>
  <c r="J691" i="3" s="1"/>
  <c r="L691" i="3"/>
  <c r="I692" i="3"/>
  <c r="J692" i="3" s="1"/>
  <c r="L692" i="3"/>
  <c r="I693" i="3"/>
  <c r="J693" i="3" s="1"/>
  <c r="L693" i="3"/>
  <c r="I694" i="3"/>
  <c r="J694" i="3" s="1"/>
  <c r="L694" i="3"/>
  <c r="I695" i="3"/>
  <c r="J695" i="3" s="1"/>
  <c r="L695" i="3"/>
  <c r="I696" i="3"/>
  <c r="J696" i="3" s="1"/>
  <c r="L696" i="3"/>
  <c r="I697" i="3"/>
  <c r="J697" i="3" s="1"/>
  <c r="L697" i="3"/>
  <c r="I698" i="3"/>
  <c r="J698" i="3" s="1"/>
  <c r="L698" i="3"/>
  <c r="I699" i="3"/>
  <c r="J699" i="3" s="1"/>
  <c r="L699" i="3"/>
  <c r="I700" i="3"/>
  <c r="J700" i="3" s="1"/>
  <c r="L700" i="3"/>
  <c r="I701" i="3"/>
  <c r="J701" i="3" s="1"/>
  <c r="L701" i="3"/>
  <c r="I702" i="3"/>
  <c r="J702" i="3" s="1"/>
  <c r="L702" i="3"/>
  <c r="I703" i="3"/>
  <c r="J703" i="3" s="1"/>
  <c r="L703" i="3"/>
  <c r="I704" i="3"/>
  <c r="J704" i="3" s="1"/>
  <c r="L704" i="3"/>
  <c r="I705" i="3"/>
  <c r="J705" i="3" s="1"/>
  <c r="L705" i="3"/>
  <c r="I706" i="3"/>
  <c r="J706" i="3" s="1"/>
  <c r="L706" i="3"/>
  <c r="I707" i="3"/>
  <c r="J707" i="3" s="1"/>
  <c r="L707" i="3"/>
  <c r="I708" i="3"/>
  <c r="J708" i="3" s="1"/>
  <c r="L708" i="3"/>
  <c r="I709" i="3"/>
  <c r="J709" i="3" s="1"/>
  <c r="L709" i="3"/>
  <c r="I710" i="3"/>
  <c r="J710" i="3" s="1"/>
  <c r="L710" i="3"/>
  <c r="I711" i="3"/>
  <c r="J711" i="3" s="1"/>
  <c r="L711" i="3"/>
  <c r="I712" i="3"/>
  <c r="J712" i="3" s="1"/>
  <c r="L712" i="3"/>
  <c r="I713" i="3"/>
  <c r="J713" i="3" s="1"/>
  <c r="L713" i="3"/>
  <c r="I714" i="3"/>
  <c r="J714" i="3" s="1"/>
  <c r="L714" i="3"/>
  <c r="I715" i="3"/>
  <c r="J715" i="3" s="1"/>
  <c r="L715" i="3"/>
  <c r="I716" i="3"/>
  <c r="J716" i="3" s="1"/>
  <c r="L716" i="3"/>
  <c r="I717" i="3"/>
  <c r="J717" i="3" s="1"/>
  <c r="L717" i="3"/>
  <c r="I718" i="3"/>
  <c r="J718" i="3" s="1"/>
  <c r="L718" i="3"/>
  <c r="I719" i="3"/>
  <c r="J719" i="3" s="1"/>
  <c r="L719" i="3"/>
  <c r="I720" i="3"/>
  <c r="J720" i="3" s="1"/>
  <c r="L720" i="3"/>
  <c r="I721" i="3"/>
  <c r="J721" i="3" s="1"/>
  <c r="L721" i="3"/>
  <c r="I722" i="3"/>
  <c r="J722" i="3" s="1"/>
  <c r="L722" i="3"/>
  <c r="I723" i="3"/>
  <c r="J723" i="3" s="1"/>
  <c r="L723" i="3"/>
  <c r="I724" i="3"/>
  <c r="J724" i="3" s="1"/>
  <c r="L724" i="3"/>
  <c r="I725" i="3"/>
  <c r="J725" i="3" s="1"/>
  <c r="L725" i="3"/>
  <c r="I726" i="3"/>
  <c r="J726" i="3" s="1"/>
  <c r="L726" i="3"/>
  <c r="I727" i="3"/>
  <c r="J727" i="3" s="1"/>
  <c r="L727" i="3"/>
  <c r="I728" i="3"/>
  <c r="J728" i="3" s="1"/>
  <c r="L728" i="3"/>
  <c r="I729" i="3"/>
  <c r="J729" i="3" s="1"/>
  <c r="L729" i="3"/>
  <c r="I730" i="3"/>
  <c r="J730" i="3" s="1"/>
  <c r="L730" i="3"/>
  <c r="I731" i="3"/>
  <c r="J731" i="3" s="1"/>
  <c r="L731" i="3"/>
  <c r="I732" i="3"/>
  <c r="J732" i="3" s="1"/>
  <c r="L732" i="3"/>
  <c r="I733" i="3"/>
  <c r="J733" i="3" s="1"/>
  <c r="L733" i="3"/>
  <c r="I734" i="3"/>
  <c r="J734" i="3" s="1"/>
  <c r="L734" i="3"/>
  <c r="I735" i="3"/>
  <c r="J735" i="3" s="1"/>
  <c r="L735" i="3"/>
  <c r="I736" i="3"/>
  <c r="J736" i="3" s="1"/>
  <c r="L736" i="3"/>
  <c r="L737" i="3"/>
  <c r="I738" i="3"/>
  <c r="J738" i="3" s="1"/>
  <c r="L738" i="3"/>
  <c r="I739" i="3"/>
  <c r="J739" i="3" s="1"/>
  <c r="L739" i="3"/>
  <c r="I740" i="3"/>
  <c r="J740" i="3" s="1"/>
  <c r="L740" i="3"/>
  <c r="I741" i="3"/>
  <c r="J741" i="3" s="1"/>
  <c r="L741" i="3"/>
  <c r="I742" i="3"/>
  <c r="J742" i="3" s="1"/>
  <c r="L742" i="3"/>
  <c r="I743" i="3"/>
  <c r="J743" i="3" s="1"/>
  <c r="L743" i="3"/>
  <c r="I744" i="3"/>
  <c r="J744" i="3" s="1"/>
  <c r="L744" i="3"/>
  <c r="I745" i="3"/>
  <c r="J745" i="3" s="1"/>
  <c r="L745" i="3"/>
  <c r="I746" i="3"/>
  <c r="J746" i="3" s="1"/>
  <c r="L746" i="3"/>
  <c r="I747" i="3"/>
  <c r="J747" i="3" s="1"/>
  <c r="L747" i="3"/>
  <c r="I748" i="3"/>
  <c r="J748" i="3" s="1"/>
  <c r="L748" i="3"/>
  <c r="I749" i="3"/>
  <c r="J749" i="3" s="1"/>
  <c r="L749" i="3"/>
  <c r="I750" i="3"/>
  <c r="J750" i="3" s="1"/>
  <c r="L750" i="3"/>
  <c r="I751" i="3"/>
  <c r="J751" i="3" s="1"/>
  <c r="L751" i="3"/>
  <c r="I752" i="3"/>
  <c r="J752" i="3" s="1"/>
  <c r="L752" i="3"/>
  <c r="I753" i="3"/>
  <c r="J753" i="3" s="1"/>
  <c r="L753" i="3"/>
  <c r="I754" i="3"/>
  <c r="J754" i="3" s="1"/>
  <c r="L754" i="3"/>
  <c r="I755" i="3"/>
  <c r="J755" i="3" s="1"/>
  <c r="L755" i="3"/>
  <c r="I756" i="3"/>
  <c r="J756" i="3" s="1"/>
  <c r="L756" i="3"/>
  <c r="I757" i="3"/>
  <c r="J757" i="3" s="1"/>
  <c r="L757" i="3"/>
  <c r="I758" i="3"/>
  <c r="J758" i="3" s="1"/>
  <c r="L758" i="3"/>
  <c r="I759" i="3"/>
  <c r="J759" i="3" s="1"/>
  <c r="L759" i="3"/>
  <c r="I760" i="3"/>
  <c r="J760" i="3" s="1"/>
  <c r="L760" i="3"/>
  <c r="I761" i="3"/>
  <c r="J761" i="3" s="1"/>
  <c r="L761" i="3"/>
  <c r="I762" i="3"/>
  <c r="J762" i="3" s="1"/>
  <c r="L762" i="3"/>
  <c r="I763" i="3"/>
  <c r="J763" i="3" s="1"/>
  <c r="L763" i="3"/>
  <c r="I764" i="3"/>
  <c r="J764" i="3" s="1"/>
  <c r="L764" i="3"/>
  <c r="I765" i="3"/>
  <c r="J765" i="3" s="1"/>
  <c r="L765" i="3"/>
  <c r="I766" i="3"/>
  <c r="J766" i="3" s="1"/>
  <c r="L766" i="3"/>
  <c r="I767" i="3"/>
  <c r="J767" i="3" s="1"/>
  <c r="L767" i="3"/>
  <c r="I768" i="3"/>
  <c r="J768" i="3" s="1"/>
  <c r="L768" i="3"/>
  <c r="I769" i="3"/>
  <c r="J769" i="3" s="1"/>
  <c r="L769" i="3"/>
  <c r="I770" i="3"/>
  <c r="J770" i="3" s="1"/>
  <c r="L770" i="3"/>
  <c r="I771" i="3"/>
  <c r="J771" i="3" s="1"/>
  <c r="L771" i="3"/>
  <c r="I772" i="3"/>
  <c r="J772" i="3" s="1"/>
  <c r="L772" i="3"/>
  <c r="I773" i="3"/>
  <c r="J773" i="3" s="1"/>
  <c r="L773" i="3"/>
  <c r="I774" i="3"/>
  <c r="J774" i="3" s="1"/>
  <c r="L774" i="3"/>
  <c r="I775" i="3"/>
  <c r="J775" i="3" s="1"/>
  <c r="L775" i="3"/>
  <c r="I776" i="3"/>
  <c r="J776" i="3" s="1"/>
  <c r="L776" i="3"/>
  <c r="I777" i="3"/>
  <c r="J777" i="3" s="1"/>
  <c r="L777" i="3"/>
  <c r="I778" i="3"/>
  <c r="J778" i="3" s="1"/>
  <c r="L778" i="3"/>
  <c r="I779" i="3"/>
  <c r="J779" i="3" s="1"/>
  <c r="L779" i="3"/>
  <c r="I780" i="3"/>
  <c r="J780" i="3" s="1"/>
  <c r="L780" i="3"/>
  <c r="I781" i="3"/>
  <c r="J781" i="3" s="1"/>
  <c r="L781" i="3"/>
  <c r="I782" i="3"/>
  <c r="J782" i="3" s="1"/>
  <c r="L782" i="3"/>
  <c r="I783" i="3"/>
  <c r="J783" i="3" s="1"/>
  <c r="L783" i="3"/>
  <c r="I784" i="3"/>
  <c r="J784" i="3" s="1"/>
  <c r="L784" i="3"/>
  <c r="I785" i="3"/>
  <c r="J785" i="3" s="1"/>
  <c r="L785" i="3"/>
  <c r="L786" i="3"/>
  <c r="I787" i="3"/>
  <c r="J787" i="3" s="1"/>
  <c r="L787" i="3"/>
  <c r="I788" i="3"/>
  <c r="J788" i="3" s="1"/>
  <c r="L788" i="3"/>
  <c r="I789" i="3"/>
  <c r="J789" i="3" s="1"/>
  <c r="L789" i="3"/>
  <c r="I790" i="3"/>
  <c r="J790" i="3" s="1"/>
  <c r="L790" i="3"/>
  <c r="I791" i="3"/>
  <c r="J791" i="3" s="1"/>
  <c r="L791" i="3"/>
  <c r="I792" i="3"/>
  <c r="J792" i="3" s="1"/>
  <c r="L792" i="3"/>
  <c r="I793" i="3"/>
  <c r="J793" i="3" s="1"/>
  <c r="L793" i="3"/>
  <c r="I794" i="3"/>
  <c r="J794" i="3" s="1"/>
  <c r="L794" i="3"/>
  <c r="I795" i="3"/>
  <c r="J795" i="3" s="1"/>
  <c r="L795" i="3"/>
  <c r="I796" i="3"/>
  <c r="J796" i="3" s="1"/>
  <c r="L796" i="3"/>
  <c r="I797" i="3"/>
  <c r="J797" i="3" s="1"/>
  <c r="L797" i="3"/>
  <c r="I798" i="3"/>
  <c r="J798" i="3" s="1"/>
  <c r="L798" i="3"/>
  <c r="I799" i="3"/>
  <c r="J799" i="3" s="1"/>
  <c r="L799" i="3"/>
  <c r="I800" i="3"/>
  <c r="J800" i="3" s="1"/>
  <c r="L800" i="3"/>
  <c r="I801" i="3"/>
  <c r="J801" i="3" s="1"/>
  <c r="L801" i="3"/>
  <c r="I802" i="3"/>
  <c r="J802" i="3" s="1"/>
  <c r="L802" i="3"/>
  <c r="I803" i="3"/>
  <c r="J803" i="3" s="1"/>
  <c r="L803" i="3"/>
  <c r="I804" i="3"/>
  <c r="J804" i="3" s="1"/>
  <c r="L804" i="3"/>
  <c r="I805" i="3"/>
  <c r="J805" i="3" s="1"/>
  <c r="L805" i="3"/>
  <c r="I806" i="3"/>
  <c r="J806" i="3" s="1"/>
  <c r="L806" i="3"/>
  <c r="I807" i="3"/>
  <c r="J807" i="3" s="1"/>
  <c r="L807" i="3"/>
  <c r="I808" i="3"/>
  <c r="J808" i="3" s="1"/>
  <c r="L808" i="3"/>
  <c r="I809" i="3"/>
  <c r="J809" i="3" s="1"/>
  <c r="L809" i="3"/>
  <c r="I810" i="3"/>
  <c r="J810" i="3" s="1"/>
  <c r="L810" i="3"/>
  <c r="I811" i="3"/>
  <c r="J811" i="3" s="1"/>
  <c r="L811" i="3"/>
  <c r="I812" i="3"/>
  <c r="J812" i="3" s="1"/>
  <c r="L812" i="3"/>
  <c r="I813" i="3"/>
  <c r="J813" i="3" s="1"/>
  <c r="L813" i="3"/>
  <c r="I814" i="3"/>
  <c r="J814" i="3" s="1"/>
  <c r="L814" i="3"/>
  <c r="I815" i="3"/>
  <c r="J815" i="3" s="1"/>
  <c r="L815" i="3"/>
  <c r="I816" i="3"/>
  <c r="J816" i="3" s="1"/>
  <c r="L816" i="3"/>
  <c r="I817" i="3"/>
  <c r="J817" i="3" s="1"/>
  <c r="L817" i="3"/>
  <c r="L818" i="3"/>
  <c r="I819" i="3"/>
  <c r="J819" i="3" s="1"/>
  <c r="L819" i="3"/>
  <c r="I820" i="3"/>
  <c r="J820" i="3" s="1"/>
  <c r="L820" i="3"/>
  <c r="I821" i="3"/>
  <c r="J821" i="3" s="1"/>
  <c r="L821" i="3"/>
  <c r="I822" i="3"/>
  <c r="J822" i="3" s="1"/>
  <c r="L822" i="3"/>
  <c r="I823" i="3"/>
  <c r="J823" i="3" s="1"/>
  <c r="L823" i="3"/>
  <c r="I824" i="3"/>
  <c r="J824" i="3" s="1"/>
  <c r="L824" i="3"/>
  <c r="I825" i="3"/>
  <c r="J825" i="3" s="1"/>
  <c r="L825" i="3"/>
  <c r="I826" i="3"/>
  <c r="J826" i="3" s="1"/>
  <c r="L826" i="3"/>
  <c r="I827" i="3"/>
  <c r="J827" i="3" s="1"/>
  <c r="L827" i="3"/>
  <c r="I828" i="3"/>
  <c r="J828" i="3" s="1"/>
  <c r="L828" i="3"/>
  <c r="I829" i="3"/>
  <c r="J829" i="3" s="1"/>
  <c r="L829" i="3"/>
  <c r="I830" i="3"/>
  <c r="J830" i="3" s="1"/>
  <c r="L830" i="3"/>
  <c r="I831" i="3"/>
  <c r="J831" i="3" s="1"/>
  <c r="L831" i="3"/>
  <c r="I832" i="3"/>
  <c r="J832" i="3" s="1"/>
  <c r="L832" i="3"/>
  <c r="I833" i="3"/>
  <c r="J833" i="3" s="1"/>
  <c r="L833" i="3"/>
  <c r="I834" i="3"/>
  <c r="J834" i="3" s="1"/>
  <c r="L834" i="3"/>
  <c r="I835" i="3"/>
  <c r="J835" i="3" s="1"/>
  <c r="L835" i="3"/>
  <c r="I836" i="3"/>
  <c r="J836" i="3" s="1"/>
  <c r="L836" i="3"/>
  <c r="I837" i="3"/>
  <c r="J837" i="3" s="1"/>
  <c r="L837" i="3"/>
  <c r="I838" i="3"/>
  <c r="J838" i="3" s="1"/>
  <c r="L838" i="3"/>
  <c r="I839" i="3"/>
  <c r="J839" i="3" s="1"/>
  <c r="L839" i="3"/>
  <c r="I840" i="3"/>
  <c r="J840" i="3" s="1"/>
  <c r="L840" i="3"/>
  <c r="I841" i="3"/>
  <c r="J841" i="3" s="1"/>
  <c r="L841" i="3"/>
  <c r="I842" i="3"/>
  <c r="J842" i="3" s="1"/>
  <c r="L842" i="3"/>
  <c r="I843" i="3"/>
  <c r="J843" i="3" s="1"/>
  <c r="L843" i="3"/>
  <c r="I844" i="3"/>
  <c r="J844" i="3" s="1"/>
  <c r="L844" i="3"/>
  <c r="I845" i="3"/>
  <c r="J845" i="3" s="1"/>
  <c r="L845" i="3"/>
  <c r="I846" i="3"/>
  <c r="J846" i="3" s="1"/>
  <c r="L846" i="3"/>
  <c r="I847" i="3"/>
  <c r="J847" i="3" s="1"/>
  <c r="L847" i="3"/>
  <c r="I848" i="3"/>
  <c r="J848" i="3" s="1"/>
  <c r="L848" i="3"/>
  <c r="I849" i="3"/>
  <c r="J849" i="3" s="1"/>
  <c r="L849" i="3"/>
  <c r="I850" i="3"/>
  <c r="J850" i="3" s="1"/>
  <c r="L850" i="3"/>
  <c r="I851" i="3"/>
  <c r="J851" i="3" s="1"/>
  <c r="L851" i="3"/>
  <c r="I852" i="3"/>
  <c r="J852" i="3" s="1"/>
  <c r="L852" i="3"/>
  <c r="I853" i="3"/>
  <c r="J853" i="3" s="1"/>
  <c r="L853" i="3"/>
  <c r="I854" i="3"/>
  <c r="J854" i="3" s="1"/>
  <c r="L854" i="3"/>
  <c r="I855" i="3"/>
  <c r="J855" i="3" s="1"/>
  <c r="L855" i="3"/>
  <c r="I856" i="3"/>
  <c r="J856" i="3" s="1"/>
  <c r="L856" i="3"/>
  <c r="I857" i="3"/>
  <c r="J857" i="3" s="1"/>
  <c r="L857" i="3"/>
  <c r="I858" i="3"/>
  <c r="J858" i="3" s="1"/>
  <c r="L858" i="3"/>
  <c r="I859" i="3"/>
  <c r="J859" i="3" s="1"/>
  <c r="L859" i="3"/>
  <c r="I860" i="3"/>
  <c r="J860" i="3" s="1"/>
  <c r="L860" i="3"/>
  <c r="I861" i="3"/>
  <c r="J861" i="3" s="1"/>
  <c r="L861" i="3"/>
  <c r="I862" i="3"/>
  <c r="J862" i="3" s="1"/>
  <c r="L862" i="3"/>
  <c r="I863" i="3"/>
  <c r="J863" i="3" s="1"/>
  <c r="L863" i="3"/>
  <c r="I864" i="3"/>
  <c r="J864" i="3" s="1"/>
  <c r="L864" i="3"/>
  <c r="I865" i="3"/>
  <c r="J865" i="3" s="1"/>
  <c r="L865" i="3"/>
  <c r="I866" i="3"/>
  <c r="J866" i="3" s="1"/>
  <c r="L866" i="3"/>
  <c r="I867" i="3"/>
  <c r="J867" i="3" s="1"/>
  <c r="L867" i="3"/>
  <c r="I868" i="3"/>
  <c r="J868" i="3" s="1"/>
  <c r="L868" i="3"/>
  <c r="I869" i="3"/>
  <c r="J869" i="3" s="1"/>
  <c r="L869" i="3"/>
  <c r="I870" i="3"/>
  <c r="J870" i="3" s="1"/>
  <c r="L870" i="3"/>
  <c r="I871" i="3"/>
  <c r="J871" i="3" s="1"/>
  <c r="L871" i="3"/>
  <c r="I872" i="3"/>
  <c r="J872" i="3" s="1"/>
  <c r="L872" i="3"/>
  <c r="L873" i="3"/>
  <c r="I874" i="3"/>
  <c r="J874" i="3" s="1"/>
  <c r="L874" i="3"/>
  <c r="I875" i="3"/>
  <c r="J875" i="3" s="1"/>
  <c r="L875" i="3"/>
  <c r="I876" i="3"/>
  <c r="J876" i="3" s="1"/>
  <c r="L876" i="3"/>
  <c r="I877" i="3"/>
  <c r="J877" i="3" s="1"/>
  <c r="L877" i="3"/>
  <c r="I878" i="3"/>
  <c r="J878" i="3" s="1"/>
  <c r="L878" i="3"/>
  <c r="I879" i="3"/>
  <c r="J879" i="3" s="1"/>
  <c r="L879" i="3"/>
  <c r="I880" i="3"/>
  <c r="J880" i="3" s="1"/>
  <c r="L880" i="3"/>
  <c r="I881" i="3"/>
  <c r="J881" i="3" s="1"/>
  <c r="L881" i="3"/>
  <c r="I882" i="3"/>
  <c r="J882" i="3" s="1"/>
  <c r="L882" i="3"/>
  <c r="I883" i="3"/>
  <c r="J883" i="3" s="1"/>
  <c r="L883" i="3"/>
  <c r="I884" i="3"/>
  <c r="J884" i="3" s="1"/>
  <c r="L884" i="3"/>
  <c r="I885" i="3"/>
  <c r="J885" i="3" s="1"/>
  <c r="L885" i="3"/>
  <c r="I886" i="3"/>
  <c r="J886" i="3" s="1"/>
  <c r="L886" i="3"/>
  <c r="I887" i="3"/>
  <c r="J887" i="3" s="1"/>
  <c r="L887" i="3"/>
  <c r="I888" i="3"/>
  <c r="J888" i="3" s="1"/>
  <c r="L888" i="3"/>
  <c r="I889" i="3"/>
  <c r="J889" i="3" s="1"/>
  <c r="L889" i="3"/>
  <c r="I890" i="3"/>
  <c r="J890" i="3" s="1"/>
  <c r="L890" i="3"/>
  <c r="I891" i="3"/>
  <c r="J891" i="3" s="1"/>
  <c r="L891" i="3"/>
  <c r="I892" i="3"/>
  <c r="J892" i="3" s="1"/>
  <c r="L892" i="3"/>
  <c r="I893" i="3"/>
  <c r="J893" i="3" s="1"/>
  <c r="L893" i="3"/>
  <c r="I894" i="3"/>
  <c r="J894" i="3" s="1"/>
  <c r="L894" i="3"/>
  <c r="I895" i="3"/>
  <c r="J895" i="3" s="1"/>
  <c r="L895" i="3"/>
  <c r="I896" i="3"/>
  <c r="J896" i="3" s="1"/>
  <c r="L896" i="3"/>
  <c r="I897" i="3"/>
  <c r="J897" i="3" s="1"/>
  <c r="L897" i="3"/>
  <c r="I898" i="3"/>
  <c r="J898" i="3" s="1"/>
  <c r="L898" i="3"/>
  <c r="I899" i="3"/>
  <c r="J899" i="3" s="1"/>
  <c r="L899" i="3"/>
  <c r="I900" i="3"/>
  <c r="J900" i="3" s="1"/>
  <c r="L900" i="3"/>
  <c r="I901" i="3"/>
  <c r="J901" i="3" s="1"/>
  <c r="L901" i="3"/>
  <c r="I902" i="3"/>
  <c r="J902" i="3" s="1"/>
  <c r="L902" i="3"/>
  <c r="I903" i="3"/>
  <c r="J903" i="3" s="1"/>
  <c r="L903" i="3"/>
  <c r="I904" i="3"/>
  <c r="J904" i="3" s="1"/>
  <c r="L904" i="3"/>
  <c r="I905" i="3"/>
  <c r="J905" i="3" s="1"/>
  <c r="L905" i="3"/>
  <c r="I906" i="3"/>
  <c r="J906" i="3" s="1"/>
  <c r="L906" i="3"/>
  <c r="I907" i="3"/>
  <c r="J907" i="3" s="1"/>
  <c r="L907" i="3"/>
  <c r="I908" i="3"/>
  <c r="J908" i="3" s="1"/>
  <c r="L908" i="3"/>
  <c r="I909" i="3"/>
  <c r="J909" i="3" s="1"/>
  <c r="L909" i="3"/>
  <c r="I910" i="3"/>
  <c r="J910" i="3" s="1"/>
  <c r="L910" i="3"/>
  <c r="I911" i="3"/>
  <c r="J911" i="3" s="1"/>
  <c r="L911" i="3"/>
  <c r="I912" i="3"/>
  <c r="J912" i="3" s="1"/>
  <c r="L912" i="3"/>
  <c r="I913" i="3"/>
  <c r="J913" i="3" s="1"/>
  <c r="L913" i="3"/>
  <c r="I914" i="3"/>
  <c r="J914" i="3" s="1"/>
  <c r="L914" i="3"/>
  <c r="I915" i="3"/>
  <c r="J915" i="3" s="1"/>
  <c r="L915" i="3"/>
  <c r="I916" i="3"/>
  <c r="J916" i="3" s="1"/>
  <c r="L916" i="3"/>
  <c r="I917" i="3"/>
  <c r="J917" i="3" s="1"/>
  <c r="L917" i="3"/>
  <c r="I918" i="3"/>
  <c r="J918" i="3" s="1"/>
  <c r="L918" i="3"/>
  <c r="I919" i="3"/>
  <c r="J919" i="3" s="1"/>
  <c r="L919" i="3"/>
  <c r="I920" i="3"/>
  <c r="J920" i="3" s="1"/>
  <c r="L920" i="3"/>
  <c r="L921" i="3"/>
  <c r="I922" i="3"/>
  <c r="J922" i="3" s="1"/>
  <c r="L922" i="3"/>
  <c r="I923" i="3"/>
  <c r="J923" i="3" s="1"/>
  <c r="L923" i="3"/>
  <c r="I924" i="3"/>
  <c r="J924" i="3" s="1"/>
  <c r="L924" i="3"/>
  <c r="I925" i="3"/>
  <c r="J925" i="3" s="1"/>
  <c r="L925" i="3"/>
  <c r="I926" i="3"/>
  <c r="J926" i="3" s="1"/>
  <c r="L926" i="3"/>
  <c r="I927" i="3"/>
  <c r="J927" i="3" s="1"/>
  <c r="L927" i="3"/>
  <c r="I928" i="3"/>
  <c r="J928" i="3" s="1"/>
  <c r="L928" i="3"/>
  <c r="L929" i="3"/>
  <c r="I930" i="3"/>
  <c r="J930" i="3" s="1"/>
  <c r="L930" i="3"/>
  <c r="I931" i="3"/>
  <c r="J931" i="3" s="1"/>
  <c r="L931" i="3"/>
  <c r="I932" i="3"/>
  <c r="J932" i="3" s="1"/>
  <c r="L932" i="3"/>
  <c r="I933" i="3"/>
  <c r="J933" i="3" s="1"/>
  <c r="L933" i="3"/>
  <c r="I934" i="3"/>
  <c r="J934" i="3" s="1"/>
  <c r="L934" i="3"/>
  <c r="I935" i="3"/>
  <c r="J935" i="3" s="1"/>
  <c r="L935" i="3"/>
  <c r="I936" i="3"/>
  <c r="J936" i="3" s="1"/>
  <c r="L936" i="3"/>
  <c r="I937" i="3"/>
  <c r="J937" i="3" s="1"/>
  <c r="L937" i="3"/>
  <c r="I938" i="3"/>
  <c r="J938" i="3" s="1"/>
  <c r="L938" i="3"/>
  <c r="I939" i="3"/>
  <c r="J939" i="3" s="1"/>
  <c r="L939" i="3"/>
  <c r="I940" i="3"/>
  <c r="J940" i="3" s="1"/>
  <c r="L940" i="3"/>
  <c r="I941" i="3"/>
  <c r="J941" i="3" s="1"/>
  <c r="L941" i="3"/>
  <c r="I942" i="3"/>
  <c r="J942" i="3" s="1"/>
  <c r="L942" i="3"/>
  <c r="I943" i="3"/>
  <c r="J943" i="3" s="1"/>
  <c r="L943" i="3"/>
  <c r="I944" i="3"/>
  <c r="J944" i="3" s="1"/>
  <c r="L944" i="3"/>
  <c r="I945" i="3"/>
  <c r="J945" i="3" s="1"/>
  <c r="L945" i="3"/>
  <c r="I946" i="3"/>
  <c r="J946" i="3" s="1"/>
  <c r="L946" i="3"/>
  <c r="I947" i="3"/>
  <c r="J947" i="3" s="1"/>
  <c r="L947" i="3"/>
  <c r="I948" i="3"/>
  <c r="J948" i="3" s="1"/>
  <c r="L948" i="3"/>
  <c r="I949" i="3"/>
  <c r="J949" i="3" s="1"/>
  <c r="L949" i="3"/>
  <c r="I950" i="3"/>
  <c r="J950" i="3" s="1"/>
  <c r="L950" i="3"/>
  <c r="I951" i="3"/>
  <c r="J951" i="3" s="1"/>
  <c r="L951" i="3"/>
  <c r="I952" i="3"/>
  <c r="J952" i="3" s="1"/>
  <c r="L952" i="3"/>
  <c r="I953" i="3"/>
  <c r="J953" i="3" s="1"/>
  <c r="L953" i="3"/>
  <c r="I954" i="3"/>
  <c r="J954" i="3" s="1"/>
  <c r="L954" i="3"/>
  <c r="I955" i="3"/>
  <c r="J955" i="3" s="1"/>
  <c r="L955" i="3"/>
  <c r="I956" i="3"/>
  <c r="J956" i="3" s="1"/>
  <c r="L956" i="3"/>
  <c r="I957" i="3"/>
  <c r="J957" i="3" s="1"/>
  <c r="L957" i="3"/>
  <c r="I958" i="3"/>
  <c r="J958" i="3" s="1"/>
  <c r="L958" i="3"/>
  <c r="I959" i="3"/>
  <c r="J959" i="3" s="1"/>
  <c r="L959" i="3"/>
  <c r="I960" i="3"/>
  <c r="J960" i="3" s="1"/>
  <c r="L960" i="3"/>
  <c r="I961" i="3"/>
  <c r="J961" i="3" s="1"/>
  <c r="L961" i="3"/>
  <c r="I962" i="3"/>
  <c r="J962" i="3" s="1"/>
  <c r="L962" i="3"/>
  <c r="I963" i="3"/>
  <c r="J963" i="3" s="1"/>
  <c r="L963" i="3"/>
  <c r="I964" i="3"/>
  <c r="J964" i="3" s="1"/>
  <c r="L964" i="3"/>
  <c r="I965" i="3"/>
  <c r="J965" i="3" s="1"/>
  <c r="L965" i="3"/>
  <c r="I966" i="3"/>
  <c r="J966" i="3" s="1"/>
  <c r="L966" i="3"/>
  <c r="I967" i="3"/>
  <c r="J967" i="3" s="1"/>
  <c r="L967" i="3"/>
  <c r="I968" i="3"/>
  <c r="J968" i="3" s="1"/>
  <c r="L968" i="3"/>
  <c r="I969" i="3"/>
  <c r="J969" i="3" s="1"/>
  <c r="L969" i="3"/>
  <c r="I970" i="3"/>
  <c r="J970" i="3" s="1"/>
  <c r="L970" i="3"/>
  <c r="I971" i="3"/>
  <c r="J971" i="3" s="1"/>
  <c r="L971" i="3"/>
  <c r="I972" i="3"/>
  <c r="J972" i="3" s="1"/>
  <c r="L972" i="3"/>
  <c r="I973" i="3"/>
  <c r="J973" i="3" s="1"/>
  <c r="L973" i="3"/>
  <c r="I974" i="3"/>
  <c r="J974" i="3" s="1"/>
  <c r="L974" i="3"/>
  <c r="I975" i="3"/>
  <c r="J975" i="3" s="1"/>
  <c r="L975" i="3"/>
  <c r="I976" i="3"/>
  <c r="J976" i="3" s="1"/>
  <c r="L976" i="3"/>
  <c r="I977" i="3"/>
  <c r="J977" i="3" s="1"/>
  <c r="L977" i="3"/>
  <c r="I978" i="3"/>
  <c r="J978" i="3" s="1"/>
  <c r="L978" i="3"/>
  <c r="I979" i="3"/>
  <c r="J979" i="3" s="1"/>
  <c r="L979" i="3"/>
  <c r="I980" i="3"/>
  <c r="J980" i="3" s="1"/>
  <c r="L980" i="3"/>
  <c r="I981" i="3"/>
  <c r="J981" i="3" s="1"/>
  <c r="L981" i="3"/>
  <c r="I982" i="3"/>
  <c r="J982" i="3" s="1"/>
  <c r="L982" i="3"/>
  <c r="I983" i="3"/>
  <c r="J983" i="3" s="1"/>
  <c r="L983" i="3"/>
  <c r="I984" i="3"/>
  <c r="J984" i="3" s="1"/>
  <c r="L984" i="3"/>
  <c r="I985" i="3"/>
  <c r="J985" i="3" s="1"/>
  <c r="L985" i="3"/>
  <c r="I986" i="3"/>
  <c r="J986" i="3" s="1"/>
  <c r="L986" i="3"/>
  <c r="I987" i="3"/>
  <c r="J987" i="3" s="1"/>
  <c r="L987" i="3"/>
  <c r="I988" i="3"/>
  <c r="J988" i="3" s="1"/>
  <c r="L988" i="3"/>
  <c r="I989" i="3"/>
  <c r="J989" i="3" s="1"/>
  <c r="L989" i="3"/>
  <c r="I990" i="3"/>
  <c r="J990" i="3" s="1"/>
  <c r="L990" i="3"/>
  <c r="I991" i="3"/>
  <c r="J991" i="3" s="1"/>
  <c r="L991" i="3"/>
  <c r="I992" i="3"/>
  <c r="J992" i="3" s="1"/>
  <c r="L992" i="3"/>
  <c r="I993" i="3"/>
  <c r="J993" i="3" s="1"/>
  <c r="L993" i="3"/>
  <c r="I994" i="3"/>
  <c r="J994" i="3" s="1"/>
  <c r="L994" i="3"/>
  <c r="I995" i="3"/>
  <c r="J995" i="3" s="1"/>
  <c r="L995" i="3"/>
  <c r="I996" i="3"/>
  <c r="J996" i="3" s="1"/>
  <c r="L996" i="3"/>
  <c r="I997" i="3"/>
  <c r="J997" i="3" s="1"/>
  <c r="L997" i="3"/>
  <c r="I998" i="3"/>
  <c r="J998" i="3" s="1"/>
  <c r="L998" i="3"/>
  <c r="I999" i="3"/>
  <c r="J999" i="3" s="1"/>
  <c r="L999" i="3"/>
  <c r="I1000" i="3"/>
  <c r="J1000" i="3" s="1"/>
  <c r="L1000" i="3"/>
  <c r="I1001" i="3"/>
  <c r="J1001" i="3" s="1"/>
  <c r="L1001" i="3"/>
  <c r="I1002" i="3"/>
  <c r="J1002" i="3" s="1"/>
  <c r="L1002" i="3"/>
  <c r="I1003" i="3"/>
  <c r="J1003" i="3" s="1"/>
  <c r="L1003" i="3"/>
  <c r="I1004" i="3"/>
  <c r="J1004" i="3" s="1"/>
  <c r="L1004" i="3"/>
  <c r="I1005" i="3"/>
  <c r="J1005" i="3" s="1"/>
  <c r="L1005" i="3"/>
  <c r="I1006" i="3"/>
  <c r="J1006" i="3" s="1"/>
  <c r="L1006" i="3"/>
  <c r="I1007" i="3"/>
  <c r="J1007" i="3" s="1"/>
  <c r="L1007" i="3"/>
  <c r="I1008" i="3"/>
  <c r="J1008" i="3" s="1"/>
  <c r="L1008" i="3"/>
  <c r="I1009" i="3"/>
  <c r="J1009" i="3" s="1"/>
  <c r="L1009" i="3"/>
  <c r="I1010" i="3"/>
  <c r="J1010" i="3" s="1"/>
  <c r="L1010" i="3"/>
  <c r="I1011" i="3"/>
  <c r="J1011" i="3" s="1"/>
  <c r="L1011" i="3"/>
  <c r="I1012" i="3"/>
  <c r="J1012" i="3" s="1"/>
  <c r="L1012" i="3"/>
  <c r="I1013" i="3"/>
  <c r="J1013" i="3" s="1"/>
  <c r="L1013" i="3"/>
  <c r="I1014" i="3"/>
  <c r="J1014" i="3" s="1"/>
  <c r="L1014" i="3"/>
  <c r="I1015" i="3"/>
  <c r="J1015" i="3" s="1"/>
  <c r="L1015" i="3"/>
  <c r="I1016" i="3"/>
  <c r="J1016" i="3" s="1"/>
  <c r="L1016" i="3"/>
  <c r="I1017" i="3"/>
  <c r="J1017" i="3" s="1"/>
  <c r="L1017" i="3"/>
  <c r="I1018" i="3"/>
  <c r="J1018" i="3" s="1"/>
  <c r="L1018" i="3"/>
  <c r="I1019" i="3"/>
  <c r="J1019" i="3" s="1"/>
  <c r="L1019" i="3"/>
  <c r="I1020" i="3"/>
  <c r="J1020" i="3" s="1"/>
  <c r="L1020" i="3"/>
  <c r="I1021" i="3"/>
  <c r="J1021" i="3" s="1"/>
  <c r="L1021" i="3"/>
  <c r="I1022" i="3"/>
  <c r="J1022" i="3" s="1"/>
  <c r="L1022" i="3"/>
  <c r="I1023" i="3"/>
  <c r="J1023" i="3" s="1"/>
  <c r="L1023" i="3"/>
  <c r="I1024" i="3"/>
  <c r="J1024" i="3" s="1"/>
  <c r="L1024" i="3"/>
  <c r="I1025" i="3"/>
  <c r="J1025" i="3" s="1"/>
  <c r="L1025" i="3"/>
  <c r="I1026" i="3"/>
  <c r="J1026" i="3" s="1"/>
  <c r="L1026" i="3"/>
  <c r="I1027" i="3"/>
  <c r="J1027" i="3" s="1"/>
  <c r="L1027" i="3"/>
  <c r="I1028" i="3"/>
  <c r="J1028" i="3" s="1"/>
  <c r="L1028" i="3"/>
  <c r="I1029" i="3"/>
  <c r="J1029" i="3" s="1"/>
  <c r="L1029" i="3"/>
  <c r="I1030" i="3"/>
  <c r="J1030" i="3" s="1"/>
  <c r="L1030" i="3"/>
  <c r="I1031" i="3"/>
  <c r="J1031" i="3" s="1"/>
  <c r="L1031" i="3"/>
  <c r="I1032" i="3"/>
  <c r="J1032" i="3" s="1"/>
  <c r="L1032" i="3"/>
  <c r="I1033" i="3"/>
  <c r="J1033" i="3" s="1"/>
  <c r="L1033" i="3"/>
  <c r="I1034" i="3"/>
  <c r="J1034" i="3" s="1"/>
  <c r="L1034" i="3"/>
  <c r="I1035" i="3"/>
  <c r="J1035" i="3" s="1"/>
  <c r="L1035" i="3"/>
  <c r="I1036" i="3"/>
  <c r="J1036" i="3" s="1"/>
  <c r="L1036" i="3"/>
  <c r="I1037" i="3"/>
  <c r="J1037" i="3" s="1"/>
  <c r="L1037" i="3"/>
  <c r="I1038" i="3"/>
  <c r="J1038" i="3" s="1"/>
  <c r="L1038" i="3"/>
  <c r="I1039" i="3"/>
  <c r="J1039" i="3" s="1"/>
  <c r="L1039" i="3"/>
  <c r="I1040" i="3"/>
  <c r="J1040" i="3" s="1"/>
  <c r="L1040" i="3"/>
  <c r="I1041" i="3"/>
  <c r="J1041" i="3" s="1"/>
  <c r="L1041" i="3"/>
  <c r="I1042" i="3"/>
  <c r="J1042" i="3" s="1"/>
  <c r="L1042" i="3"/>
  <c r="I1043" i="3"/>
  <c r="J1043" i="3" s="1"/>
  <c r="L1043" i="3"/>
  <c r="I1044" i="3"/>
  <c r="J1044" i="3" s="1"/>
  <c r="L1044" i="3"/>
  <c r="I1045" i="3"/>
  <c r="J1045" i="3" s="1"/>
  <c r="L1045" i="3"/>
  <c r="I1046" i="3"/>
  <c r="J1046" i="3" s="1"/>
  <c r="L1046" i="3"/>
  <c r="I1047" i="3"/>
  <c r="J1047" i="3" s="1"/>
  <c r="L1047" i="3"/>
  <c r="I1048" i="3"/>
  <c r="J1048" i="3" s="1"/>
  <c r="L1048" i="3"/>
  <c r="I1049" i="3"/>
  <c r="J1049" i="3" s="1"/>
  <c r="L1049" i="3"/>
  <c r="I1050" i="3"/>
  <c r="J1050" i="3" s="1"/>
  <c r="L1050" i="3"/>
  <c r="I1051" i="3"/>
  <c r="J1051" i="3" s="1"/>
  <c r="L1051" i="3"/>
  <c r="I1052" i="3"/>
  <c r="J1052" i="3" s="1"/>
  <c r="L1052" i="3"/>
  <c r="I1053" i="3"/>
  <c r="J1053" i="3" s="1"/>
  <c r="L1053" i="3"/>
  <c r="I1054" i="3"/>
  <c r="J1054" i="3" s="1"/>
  <c r="L1054" i="3"/>
  <c r="I1055" i="3"/>
  <c r="J1055" i="3" s="1"/>
  <c r="L1055" i="3"/>
  <c r="I1056" i="3"/>
  <c r="J1056" i="3" s="1"/>
  <c r="L1056" i="3"/>
  <c r="I1057" i="3"/>
  <c r="J1057" i="3" s="1"/>
  <c r="L1057" i="3"/>
  <c r="I1058" i="3"/>
  <c r="J1058" i="3" s="1"/>
  <c r="L1058" i="3"/>
  <c r="I1059" i="3"/>
  <c r="J1059" i="3" s="1"/>
  <c r="L1059" i="3"/>
  <c r="I1060" i="3"/>
  <c r="J1060" i="3" s="1"/>
  <c r="L1060" i="3"/>
  <c r="I1061" i="3"/>
  <c r="J1061" i="3" s="1"/>
  <c r="L1061" i="3"/>
  <c r="I1062" i="3"/>
  <c r="J1062" i="3" s="1"/>
  <c r="L1062" i="3"/>
  <c r="I1063" i="3"/>
  <c r="J1063" i="3" s="1"/>
  <c r="L1063" i="3"/>
  <c r="I1064" i="3"/>
  <c r="J1064" i="3" s="1"/>
  <c r="L1064" i="3"/>
  <c r="I1065" i="3"/>
  <c r="J1065" i="3" s="1"/>
  <c r="L1065" i="3"/>
  <c r="I1066" i="3"/>
  <c r="J1066" i="3" s="1"/>
  <c r="L1066" i="3"/>
  <c r="I1067" i="3"/>
  <c r="J1067" i="3" s="1"/>
  <c r="L1067" i="3"/>
  <c r="I1068" i="3"/>
  <c r="J1068" i="3" s="1"/>
  <c r="L1068" i="3"/>
  <c r="I1069" i="3"/>
  <c r="J1069" i="3" s="1"/>
  <c r="L1069" i="3"/>
  <c r="I1070" i="3"/>
  <c r="J1070" i="3" s="1"/>
  <c r="L1070" i="3"/>
  <c r="I1071" i="3"/>
  <c r="J1071" i="3" s="1"/>
  <c r="L1071" i="3"/>
  <c r="I1072" i="3"/>
  <c r="J1072" i="3" s="1"/>
  <c r="L1072" i="3"/>
  <c r="I1073" i="3"/>
  <c r="J1073" i="3" s="1"/>
  <c r="L1073" i="3"/>
  <c r="I1074" i="3"/>
  <c r="J1074" i="3" s="1"/>
  <c r="L1074" i="3"/>
  <c r="I1075" i="3"/>
  <c r="J1075" i="3" s="1"/>
  <c r="L1075" i="3"/>
  <c r="I1076" i="3"/>
  <c r="J1076" i="3" s="1"/>
  <c r="L1076" i="3"/>
  <c r="I1077" i="3"/>
  <c r="J1077" i="3" s="1"/>
  <c r="L1077" i="3"/>
  <c r="I1078" i="3"/>
  <c r="J1078" i="3" s="1"/>
  <c r="L1078" i="3"/>
  <c r="I1079" i="3"/>
  <c r="J1079" i="3" s="1"/>
  <c r="L1079" i="3"/>
  <c r="I1080" i="3"/>
  <c r="J1080" i="3" s="1"/>
  <c r="L1080" i="3"/>
  <c r="I1081" i="3"/>
  <c r="J1081" i="3" s="1"/>
  <c r="L1081" i="3"/>
  <c r="I1082" i="3"/>
  <c r="J1082" i="3" s="1"/>
  <c r="L1082" i="3"/>
  <c r="L1083" i="3"/>
  <c r="I1084" i="3"/>
  <c r="J1084" i="3" s="1"/>
  <c r="L1084" i="3"/>
  <c r="I1085" i="3"/>
  <c r="J1085" i="3" s="1"/>
  <c r="L1085" i="3"/>
  <c r="I1086" i="3"/>
  <c r="J1086" i="3" s="1"/>
  <c r="L1086" i="3"/>
  <c r="I1087" i="3"/>
  <c r="J1087" i="3" s="1"/>
  <c r="L1087" i="3"/>
  <c r="I1088" i="3"/>
  <c r="J1088" i="3" s="1"/>
  <c r="L1088" i="3"/>
  <c r="I1089" i="3"/>
  <c r="J1089" i="3" s="1"/>
  <c r="L1089" i="3"/>
  <c r="I1090" i="3"/>
  <c r="J1090" i="3" s="1"/>
  <c r="L1090" i="3"/>
  <c r="I1091" i="3"/>
  <c r="J1091" i="3" s="1"/>
  <c r="L1091" i="3"/>
  <c r="I1092" i="3"/>
  <c r="J1092" i="3" s="1"/>
  <c r="L1092" i="3"/>
  <c r="I1093" i="3"/>
  <c r="J1093" i="3" s="1"/>
  <c r="L1093" i="3"/>
  <c r="I1094" i="3"/>
  <c r="J1094" i="3" s="1"/>
  <c r="L1094" i="3"/>
  <c r="I1095" i="3"/>
  <c r="J1095" i="3" s="1"/>
  <c r="L1095" i="3"/>
  <c r="I1096" i="3"/>
  <c r="J1096" i="3" s="1"/>
  <c r="L1096" i="3"/>
  <c r="I1097" i="3"/>
  <c r="J1097" i="3" s="1"/>
  <c r="L1097" i="3"/>
  <c r="I1098" i="3"/>
  <c r="J1098" i="3" s="1"/>
  <c r="L1098" i="3"/>
  <c r="I1099" i="3"/>
  <c r="J1099" i="3" s="1"/>
  <c r="L1099" i="3"/>
  <c r="I1100" i="3"/>
  <c r="J1100" i="3" s="1"/>
  <c r="L1100" i="3"/>
  <c r="I1101" i="3"/>
  <c r="J1101" i="3" s="1"/>
  <c r="L1101" i="3"/>
  <c r="I1102" i="3"/>
  <c r="J1102" i="3" s="1"/>
  <c r="L1102" i="3"/>
  <c r="I1103" i="3"/>
  <c r="J1103" i="3" s="1"/>
  <c r="L1103" i="3"/>
  <c r="I1104" i="3"/>
  <c r="J1104" i="3" s="1"/>
  <c r="L1104" i="3"/>
  <c r="L1105" i="3"/>
  <c r="I1106" i="3"/>
  <c r="J1106" i="3" s="1"/>
  <c r="L1106" i="3"/>
  <c r="I1107" i="3"/>
  <c r="J1107" i="3" s="1"/>
  <c r="L1107" i="3"/>
  <c r="I1108" i="3"/>
  <c r="J1108" i="3" s="1"/>
  <c r="L1108" i="3"/>
  <c r="I1109" i="3"/>
  <c r="J1109" i="3" s="1"/>
  <c r="L1109" i="3"/>
  <c r="I1110" i="3"/>
  <c r="J1110" i="3" s="1"/>
  <c r="L1110" i="3"/>
  <c r="I1111" i="3"/>
  <c r="J1111" i="3" s="1"/>
  <c r="L1111" i="3"/>
  <c r="I1112" i="3"/>
  <c r="J1112" i="3" s="1"/>
  <c r="L1112" i="3"/>
  <c r="I1113" i="3"/>
  <c r="J1113" i="3" s="1"/>
  <c r="L1113" i="3"/>
  <c r="I1114" i="3"/>
  <c r="J1114" i="3" s="1"/>
  <c r="L1114" i="3"/>
  <c r="L1115" i="3"/>
  <c r="L1116" i="3"/>
  <c r="L1117" i="3"/>
  <c r="L1118" i="3"/>
  <c r="L1119" i="3"/>
  <c r="L1120" i="3"/>
  <c r="L1121" i="3"/>
  <c r="I1122" i="3"/>
  <c r="J1122" i="3" s="1"/>
  <c r="L1122" i="3"/>
  <c r="I1123" i="3"/>
  <c r="J1123" i="3" s="1"/>
  <c r="L1123" i="3"/>
  <c r="I1124" i="3"/>
  <c r="J1124" i="3" s="1"/>
  <c r="L1124" i="3"/>
  <c r="I1125" i="3"/>
  <c r="J1125" i="3" s="1"/>
  <c r="L1125" i="3"/>
  <c r="I1126" i="3"/>
  <c r="J1126" i="3" s="1"/>
  <c r="L1126" i="3"/>
  <c r="L1127" i="3"/>
  <c r="I1128" i="3"/>
  <c r="J1128" i="3" s="1"/>
  <c r="L1128" i="3"/>
  <c r="I1129" i="3"/>
  <c r="J1129" i="3" s="1"/>
  <c r="L1129" i="3"/>
  <c r="I1130" i="3"/>
  <c r="J1130" i="3" s="1"/>
  <c r="L1130" i="3"/>
  <c r="I1131" i="3"/>
  <c r="J1131" i="3" s="1"/>
  <c r="L1131" i="3"/>
  <c r="I1132" i="3"/>
  <c r="J1132" i="3" s="1"/>
  <c r="L1132" i="3"/>
  <c r="I1133" i="3"/>
  <c r="J1133" i="3" s="1"/>
  <c r="L1133" i="3"/>
  <c r="I1134" i="3"/>
  <c r="J1134" i="3" s="1"/>
  <c r="L1134" i="3"/>
  <c r="I1135" i="3"/>
  <c r="J1135" i="3" s="1"/>
  <c r="L1135" i="3"/>
  <c r="I1136" i="3"/>
  <c r="J1136" i="3" s="1"/>
  <c r="L1136" i="3"/>
  <c r="I1137" i="3"/>
  <c r="J1137" i="3" s="1"/>
  <c r="L1137" i="3"/>
  <c r="I1138" i="3"/>
  <c r="J1138" i="3" s="1"/>
  <c r="L1138" i="3"/>
  <c r="I1139" i="3"/>
  <c r="J1139" i="3" s="1"/>
  <c r="L1139" i="3"/>
  <c r="I1140" i="3"/>
  <c r="J1140" i="3" s="1"/>
  <c r="L1140" i="3"/>
  <c r="I1141" i="3"/>
  <c r="J1141" i="3" s="1"/>
  <c r="L1141" i="3"/>
  <c r="I1142" i="3"/>
  <c r="J1142" i="3" s="1"/>
  <c r="L1142" i="3"/>
  <c r="I1143" i="3"/>
  <c r="J1143" i="3" s="1"/>
  <c r="L1143" i="3"/>
  <c r="I1144" i="3"/>
  <c r="J1144" i="3" s="1"/>
  <c r="L1144" i="3"/>
  <c r="L1145" i="3"/>
  <c r="L1146" i="3"/>
  <c r="I1147" i="3"/>
  <c r="J1147" i="3" s="1"/>
  <c r="L1147" i="3"/>
  <c r="I1148" i="3"/>
  <c r="J1148" i="3" s="1"/>
  <c r="L1148" i="3"/>
  <c r="I1149" i="3"/>
  <c r="J1149" i="3" s="1"/>
  <c r="L1149" i="3"/>
  <c r="I1150" i="3"/>
  <c r="J1150" i="3" s="1"/>
  <c r="L1150" i="3"/>
  <c r="I1151" i="3"/>
  <c r="J1151" i="3" s="1"/>
  <c r="L1151" i="3"/>
  <c r="I1152" i="3"/>
  <c r="J1152" i="3" s="1"/>
  <c r="L1152" i="3"/>
  <c r="I1153" i="3"/>
  <c r="J1153" i="3" s="1"/>
  <c r="L1153" i="3"/>
  <c r="I1154" i="3"/>
  <c r="J1154" i="3" s="1"/>
  <c r="L1154" i="3"/>
  <c r="I1155" i="3"/>
  <c r="J1155" i="3" s="1"/>
  <c r="L1155" i="3"/>
  <c r="I1156" i="3"/>
  <c r="J1156" i="3" s="1"/>
  <c r="L1156" i="3"/>
  <c r="I1157" i="3"/>
  <c r="J1157" i="3" s="1"/>
  <c r="L1157" i="3"/>
  <c r="I1158" i="3"/>
  <c r="J1158" i="3" s="1"/>
  <c r="L1158" i="3"/>
  <c r="I1159" i="3"/>
  <c r="J1159" i="3" s="1"/>
  <c r="L1159" i="3"/>
  <c r="I1160" i="3"/>
  <c r="J1160" i="3" s="1"/>
  <c r="L1160" i="3"/>
  <c r="I1161" i="3"/>
  <c r="J1161" i="3" s="1"/>
  <c r="L1161" i="3"/>
  <c r="I1162" i="3"/>
  <c r="J1162" i="3" s="1"/>
  <c r="L1162" i="3"/>
  <c r="I1163" i="3"/>
  <c r="J1163" i="3" s="1"/>
  <c r="L1163" i="3"/>
  <c r="I1164" i="3"/>
  <c r="J1164" i="3" s="1"/>
  <c r="L1164" i="3"/>
  <c r="I1165" i="3"/>
  <c r="J1165" i="3" s="1"/>
  <c r="L1165" i="3"/>
  <c r="I1166" i="3"/>
  <c r="J1166" i="3" s="1"/>
  <c r="L1166" i="3"/>
  <c r="I1167" i="3"/>
  <c r="J1167" i="3" s="1"/>
  <c r="L1167" i="3"/>
  <c r="I1168" i="3"/>
  <c r="J1168" i="3" s="1"/>
  <c r="L1168" i="3"/>
  <c r="I1169" i="3"/>
  <c r="J1169" i="3" s="1"/>
  <c r="L1169" i="3"/>
  <c r="I1170" i="3"/>
  <c r="J1170" i="3" s="1"/>
  <c r="L1170" i="3"/>
  <c r="I1171" i="3"/>
  <c r="J1171" i="3" s="1"/>
  <c r="L1171" i="3"/>
  <c r="I1172" i="3"/>
  <c r="J1172" i="3" s="1"/>
  <c r="L1172" i="3"/>
  <c r="I1173" i="3"/>
  <c r="J1173" i="3" s="1"/>
  <c r="L1173" i="3"/>
  <c r="I1174" i="3"/>
  <c r="J1174" i="3" s="1"/>
  <c r="L1174" i="3"/>
  <c r="I1175" i="3"/>
  <c r="J1175" i="3" s="1"/>
  <c r="L1175" i="3"/>
  <c r="I1176" i="3"/>
  <c r="J1176" i="3" s="1"/>
  <c r="L1176" i="3"/>
  <c r="I1177" i="3"/>
  <c r="J1177" i="3" s="1"/>
  <c r="L1177" i="3"/>
  <c r="I1178" i="3"/>
  <c r="J1178" i="3" s="1"/>
  <c r="L1178" i="3"/>
  <c r="I1179" i="3"/>
  <c r="J1179" i="3" s="1"/>
  <c r="L1179" i="3"/>
  <c r="I1180" i="3"/>
  <c r="J1180" i="3" s="1"/>
  <c r="L1180" i="3"/>
  <c r="I1181" i="3"/>
  <c r="J1181" i="3" s="1"/>
  <c r="L1181" i="3"/>
  <c r="I1182" i="3"/>
  <c r="J1182" i="3" s="1"/>
  <c r="I1183" i="3"/>
  <c r="J1183" i="3" s="1"/>
  <c r="L1183" i="3"/>
  <c r="I1184" i="3"/>
  <c r="J1184" i="3" s="1"/>
  <c r="L1184" i="3"/>
  <c r="I1185" i="3"/>
  <c r="J1185" i="3" s="1"/>
  <c r="L1185" i="3"/>
  <c r="I1186" i="3"/>
  <c r="J1186" i="3" s="1"/>
  <c r="L1186" i="3"/>
  <c r="I1187" i="3"/>
  <c r="J1187" i="3" s="1"/>
  <c r="L1187" i="3"/>
  <c r="I1188" i="3"/>
  <c r="J1188" i="3" s="1"/>
  <c r="L1188" i="3"/>
  <c r="I1189" i="3"/>
  <c r="J1189" i="3" s="1"/>
  <c r="L1189" i="3"/>
  <c r="I1190" i="3"/>
  <c r="J1190" i="3" s="1"/>
  <c r="L1190" i="3"/>
  <c r="I1191" i="3"/>
  <c r="J1191" i="3" s="1"/>
  <c r="L1191" i="3"/>
  <c r="I1192" i="3"/>
  <c r="J1192" i="3" s="1"/>
  <c r="L1192" i="3"/>
  <c r="I1193" i="3"/>
  <c r="J1193" i="3" s="1"/>
  <c r="L1193" i="3"/>
  <c r="I1194" i="3"/>
  <c r="J1194" i="3" s="1"/>
  <c r="L1194" i="3"/>
  <c r="I1195" i="3"/>
  <c r="J1195" i="3" s="1"/>
  <c r="L1195" i="3"/>
  <c r="I1196" i="3"/>
  <c r="J1196" i="3" s="1"/>
  <c r="L1196" i="3"/>
  <c r="I1197" i="3"/>
  <c r="J1197" i="3" s="1"/>
  <c r="L1197" i="3"/>
  <c r="I1198" i="3"/>
  <c r="J1198" i="3" s="1"/>
  <c r="L1198" i="3"/>
  <c r="I1199" i="3"/>
  <c r="J1199" i="3" s="1"/>
  <c r="L1199" i="3"/>
  <c r="I1200" i="3"/>
  <c r="J1200" i="3" s="1"/>
  <c r="I1201" i="3"/>
  <c r="J1201" i="3" s="1"/>
  <c r="L1201" i="3"/>
  <c r="I1202" i="3"/>
  <c r="J1202" i="3" s="1"/>
  <c r="L1202" i="3"/>
  <c r="I1203" i="3"/>
  <c r="J1203" i="3" s="1"/>
  <c r="L1203" i="3"/>
  <c r="I1204" i="3"/>
  <c r="J1204" i="3" s="1"/>
  <c r="L1204" i="3"/>
  <c r="I1205" i="3"/>
  <c r="J1205" i="3" s="1"/>
  <c r="L1205" i="3"/>
  <c r="I1206" i="3"/>
  <c r="J1206" i="3" s="1"/>
  <c r="L1206" i="3"/>
  <c r="I1207" i="3"/>
  <c r="J1207" i="3" s="1"/>
  <c r="L1207" i="3"/>
  <c r="I1208" i="3"/>
  <c r="J1208" i="3" s="1"/>
  <c r="L1208" i="3"/>
  <c r="I1209" i="3"/>
  <c r="J1209" i="3" s="1"/>
  <c r="L1209" i="3"/>
  <c r="I1210" i="3"/>
  <c r="J1210" i="3" s="1"/>
  <c r="L1210" i="3"/>
  <c r="I1211" i="3"/>
  <c r="J1211" i="3" s="1"/>
  <c r="L1211" i="3"/>
  <c r="I1212" i="3"/>
  <c r="J1212" i="3" s="1"/>
  <c r="L1212" i="3"/>
  <c r="I1213" i="3"/>
  <c r="J1213" i="3" s="1"/>
  <c r="L1213" i="3"/>
  <c r="I1214" i="3"/>
  <c r="J1214" i="3" s="1"/>
  <c r="L1214" i="3"/>
  <c r="I1215" i="3"/>
  <c r="J1215" i="3" s="1"/>
  <c r="I1216" i="3"/>
  <c r="J1216" i="3" s="1"/>
  <c r="L1216" i="3"/>
  <c r="I1217" i="3"/>
  <c r="J1217" i="3" s="1"/>
  <c r="L1217" i="3"/>
  <c r="I1218" i="3"/>
  <c r="J1218" i="3" s="1"/>
  <c r="L1218" i="3"/>
  <c r="I1219" i="3"/>
  <c r="J1219" i="3" s="1"/>
  <c r="L1219" i="3"/>
  <c r="I1220" i="3"/>
  <c r="J1220" i="3" s="1"/>
  <c r="L1220" i="3"/>
  <c r="I1221" i="3"/>
  <c r="J1221" i="3" s="1"/>
  <c r="L1221" i="3"/>
  <c r="I1222" i="3"/>
  <c r="J1222" i="3" s="1"/>
  <c r="L1222" i="3"/>
  <c r="I1223" i="3"/>
  <c r="J1223" i="3" s="1"/>
  <c r="L1223" i="3"/>
  <c r="I1224" i="3"/>
  <c r="J1224" i="3" s="1"/>
  <c r="L1224" i="3"/>
  <c r="I1225" i="3"/>
  <c r="J1225" i="3" s="1"/>
  <c r="L1225" i="3"/>
  <c r="I1226" i="3"/>
  <c r="J1226" i="3" s="1"/>
  <c r="L1226" i="3"/>
  <c r="I1227" i="3"/>
  <c r="J1227" i="3" s="1"/>
  <c r="L1227" i="3"/>
  <c r="I1228" i="3"/>
  <c r="J1228" i="3" s="1"/>
  <c r="L1228" i="3"/>
  <c r="I1229" i="3"/>
  <c r="J1229" i="3" s="1"/>
  <c r="L1229" i="3"/>
  <c r="I1230" i="3"/>
  <c r="J1230" i="3" s="1"/>
  <c r="I1231" i="3"/>
  <c r="J1231" i="3" s="1"/>
  <c r="L1231" i="3"/>
  <c r="I1232" i="3"/>
  <c r="J1232" i="3" s="1"/>
  <c r="L1232" i="3"/>
  <c r="I1233" i="3"/>
  <c r="J1233" i="3" s="1"/>
  <c r="L1233" i="3"/>
  <c r="I1234" i="3"/>
  <c r="J1234" i="3" s="1"/>
  <c r="L1234" i="3"/>
  <c r="I1235" i="3"/>
  <c r="J1235" i="3" s="1"/>
  <c r="L1235" i="3"/>
  <c r="I1236" i="3"/>
  <c r="J1236" i="3" s="1"/>
  <c r="L1236" i="3"/>
  <c r="I1237" i="3"/>
  <c r="J1237" i="3" s="1"/>
  <c r="L1237" i="3"/>
  <c r="I1238" i="3"/>
  <c r="J1238" i="3" s="1"/>
  <c r="L1238" i="3"/>
  <c r="I1239" i="3"/>
  <c r="J1239" i="3" s="1"/>
  <c r="L1239" i="3"/>
  <c r="I1240" i="3"/>
  <c r="J1240" i="3" s="1"/>
  <c r="L1240" i="3"/>
  <c r="I1241" i="3"/>
  <c r="J1241" i="3" s="1"/>
  <c r="L1241" i="3"/>
  <c r="I1242" i="3"/>
  <c r="J1242" i="3" s="1"/>
  <c r="L1242" i="3"/>
  <c r="I1243" i="3"/>
  <c r="J1243" i="3" s="1"/>
  <c r="L1243" i="3"/>
  <c r="I1244" i="3"/>
  <c r="J1244" i="3" s="1"/>
  <c r="L1244" i="3"/>
  <c r="I1245" i="3"/>
  <c r="J1245" i="3" s="1"/>
  <c r="I1246" i="3"/>
  <c r="J1246" i="3" s="1"/>
  <c r="L1246" i="3"/>
  <c r="L1247" i="3"/>
  <c r="I1248" i="3"/>
  <c r="J1248" i="3" s="1"/>
  <c r="L1248" i="3"/>
  <c r="I1249" i="3"/>
  <c r="J1249" i="3" s="1"/>
  <c r="L1249" i="3"/>
  <c r="I1250" i="3"/>
  <c r="J1250" i="3" s="1"/>
  <c r="L1250" i="3"/>
  <c r="I1251" i="3"/>
  <c r="J1251" i="3" s="1"/>
  <c r="L1251" i="3"/>
  <c r="I1252" i="3"/>
  <c r="J1252" i="3" s="1"/>
  <c r="L1252" i="3"/>
  <c r="I1253" i="3"/>
  <c r="J1253" i="3" s="1"/>
  <c r="L1253" i="3"/>
  <c r="I1254" i="3"/>
  <c r="J1254" i="3" s="1"/>
  <c r="L1254" i="3"/>
  <c r="I1255" i="3"/>
  <c r="J1255" i="3" s="1"/>
  <c r="L1255" i="3"/>
  <c r="I1256" i="3"/>
  <c r="J1256" i="3" s="1"/>
  <c r="L1256" i="3"/>
  <c r="I1257" i="3"/>
  <c r="J1257" i="3" s="1"/>
  <c r="L1257" i="3"/>
  <c r="I1258" i="3"/>
  <c r="J1258" i="3" s="1"/>
  <c r="L1258" i="3"/>
  <c r="I1259" i="3"/>
  <c r="J1259" i="3" s="1"/>
  <c r="L1259" i="3"/>
  <c r="I1260" i="3"/>
  <c r="J1260" i="3" s="1"/>
  <c r="L1260" i="3"/>
  <c r="L1261" i="3"/>
  <c r="L1262" i="3"/>
  <c r="L1263" i="3"/>
  <c r="L1264" i="3"/>
  <c r="I1265" i="3"/>
  <c r="J1265" i="3" s="1"/>
  <c r="L1265" i="3"/>
  <c r="I1266" i="3"/>
  <c r="J1266" i="3" s="1"/>
  <c r="L1266" i="3"/>
  <c r="I1267" i="3"/>
  <c r="J1267" i="3" s="1"/>
  <c r="L1267" i="3"/>
  <c r="I1268" i="3"/>
  <c r="J1268" i="3" s="1"/>
  <c r="L1268" i="3"/>
  <c r="I1269" i="3"/>
  <c r="J1269" i="3" s="1"/>
  <c r="L1269" i="3"/>
  <c r="I1270" i="3"/>
  <c r="J1270" i="3" s="1"/>
  <c r="L1270" i="3"/>
  <c r="I1271" i="3"/>
  <c r="J1271" i="3" s="1"/>
  <c r="L1271" i="3"/>
  <c r="I1272" i="3"/>
  <c r="J1272" i="3" s="1"/>
  <c r="L1272" i="3"/>
  <c r="I1273" i="3"/>
  <c r="J1273" i="3" s="1"/>
  <c r="L1273" i="3"/>
  <c r="I1275" i="3"/>
  <c r="J1275" i="3" s="1"/>
  <c r="L1275" i="3"/>
  <c r="I1276" i="3"/>
  <c r="J1276" i="3" s="1"/>
  <c r="L1276" i="3"/>
  <c r="I1277" i="3"/>
  <c r="J1277" i="3" s="1"/>
  <c r="L1277" i="3"/>
  <c r="I1278" i="3"/>
  <c r="J1278" i="3" s="1"/>
  <c r="L1278" i="3"/>
  <c r="I1279" i="3"/>
  <c r="J1279" i="3" s="1"/>
  <c r="L1279" i="3"/>
  <c r="I1280" i="3"/>
  <c r="J1280" i="3" s="1"/>
  <c r="L1280" i="3"/>
  <c r="I1281" i="3"/>
  <c r="J1281" i="3" s="1"/>
  <c r="L1281" i="3"/>
  <c r="I1282" i="3"/>
  <c r="J1282" i="3" s="1"/>
  <c r="L1282" i="3"/>
  <c r="I1283" i="3"/>
  <c r="J1283" i="3" s="1"/>
  <c r="L1283" i="3"/>
  <c r="I1284" i="3"/>
  <c r="J1284" i="3" s="1"/>
  <c r="L1284" i="3"/>
  <c r="I1285" i="3"/>
  <c r="J1285" i="3" s="1"/>
  <c r="L1285" i="3"/>
  <c r="I1286" i="3"/>
  <c r="J1286" i="3" s="1"/>
  <c r="L1286" i="3"/>
  <c r="I1287" i="3"/>
  <c r="J1287" i="3" s="1"/>
  <c r="L1287" i="3"/>
  <c r="I1288" i="3"/>
  <c r="J1288" i="3" s="1"/>
  <c r="L1288" i="3"/>
  <c r="I1289" i="3"/>
  <c r="J1289" i="3" s="1"/>
  <c r="L1289" i="3"/>
  <c r="I1290" i="3"/>
  <c r="J1290" i="3" s="1"/>
  <c r="L1290" i="3"/>
  <c r="I1291" i="3"/>
  <c r="J1291" i="3" s="1"/>
  <c r="L1291" i="3"/>
  <c r="I1292" i="3"/>
  <c r="J1292" i="3" s="1"/>
  <c r="L1292" i="3"/>
  <c r="I1293" i="3"/>
  <c r="J1293" i="3" s="1"/>
  <c r="L1293" i="3"/>
  <c r="I1294" i="3"/>
  <c r="J1294" i="3" s="1"/>
  <c r="L1294" i="3"/>
  <c r="I1295" i="3"/>
  <c r="J1295" i="3" s="1"/>
  <c r="L1295" i="3"/>
  <c r="I1296" i="3"/>
  <c r="J1296" i="3" s="1"/>
  <c r="L1296" i="3"/>
  <c r="I1297" i="3"/>
  <c r="J1297" i="3" s="1"/>
  <c r="L1297" i="3"/>
  <c r="I1298" i="3"/>
  <c r="J1298" i="3" s="1"/>
  <c r="L1298" i="3"/>
  <c r="I1299" i="3"/>
  <c r="J1299" i="3" s="1"/>
  <c r="L1299" i="3"/>
  <c r="I1300" i="3"/>
  <c r="J1300" i="3" s="1"/>
  <c r="L1300" i="3"/>
  <c r="I1301" i="3"/>
  <c r="J1301" i="3" s="1"/>
  <c r="L1301" i="3"/>
  <c r="I1302" i="3"/>
  <c r="J1302" i="3" s="1"/>
  <c r="L1302" i="3"/>
  <c r="I1303" i="3"/>
  <c r="J1303" i="3" s="1"/>
  <c r="L1303" i="3"/>
  <c r="I1304" i="3"/>
  <c r="J1304" i="3" s="1"/>
  <c r="L1304" i="3"/>
  <c r="I1305" i="3"/>
  <c r="J1305" i="3" s="1"/>
  <c r="L1305" i="3"/>
  <c r="I1306" i="3"/>
  <c r="J1306" i="3" s="1"/>
  <c r="L1306" i="3"/>
  <c r="I1307" i="3"/>
  <c r="J1307" i="3" s="1"/>
  <c r="L1307" i="3"/>
  <c r="I1308" i="3"/>
  <c r="J1308" i="3" s="1"/>
  <c r="L1308" i="3"/>
  <c r="I1309" i="3"/>
  <c r="J1309" i="3" s="1"/>
  <c r="L1309" i="3"/>
  <c r="I1310" i="3"/>
  <c r="J1310" i="3" s="1"/>
  <c r="L1310" i="3"/>
  <c r="I1311" i="3"/>
  <c r="J1311" i="3" s="1"/>
  <c r="L1311" i="3"/>
  <c r="I1312" i="3"/>
  <c r="J1312" i="3" s="1"/>
  <c r="L1312" i="3"/>
  <c r="I1313" i="3"/>
  <c r="J1313" i="3" s="1"/>
  <c r="L1313" i="3"/>
  <c r="I1314" i="3"/>
  <c r="J1314" i="3" s="1"/>
  <c r="L1314" i="3"/>
  <c r="I1315" i="3"/>
  <c r="J1315" i="3" s="1"/>
  <c r="L1315" i="3"/>
  <c r="I1316" i="3"/>
  <c r="J1316" i="3" s="1"/>
  <c r="L1316" i="3"/>
  <c r="I1317" i="3"/>
  <c r="J1317" i="3" s="1"/>
  <c r="L1317" i="3"/>
  <c r="I1326" i="3"/>
  <c r="J1326" i="3" s="1"/>
  <c r="M1323" i="3" s="1"/>
  <c r="L1326" i="3"/>
  <c r="I1327" i="3"/>
  <c r="J1327" i="3" s="1"/>
  <c r="L1327" i="3"/>
  <c r="I1328" i="3"/>
  <c r="J1328" i="3" s="1"/>
  <c r="L1328" i="3"/>
  <c r="I1329" i="3"/>
  <c r="J1329" i="3" s="1"/>
  <c r="L1329" i="3"/>
  <c r="I1330" i="3"/>
  <c r="J1330" i="3" s="1"/>
  <c r="L1330" i="3"/>
  <c r="I1331" i="3"/>
  <c r="J1331" i="3" s="1"/>
  <c r="L1331" i="3"/>
  <c r="I1332" i="3"/>
  <c r="J1332" i="3" s="1"/>
  <c r="L1332" i="3"/>
  <c r="I1333" i="3"/>
  <c r="J1333" i="3" s="1"/>
  <c r="L1333" i="3"/>
  <c r="I1334" i="3"/>
  <c r="J1334" i="3" s="1"/>
  <c r="L1334" i="3"/>
  <c r="I1335" i="3"/>
  <c r="J1335" i="3" s="1"/>
  <c r="L1335" i="3"/>
  <c r="I1336" i="3"/>
  <c r="J1336" i="3" s="1"/>
  <c r="L1336" i="3"/>
  <c r="I1337" i="3"/>
  <c r="J1337" i="3" s="1"/>
  <c r="L1337" i="3"/>
  <c r="I1338" i="3"/>
  <c r="J1338" i="3" s="1"/>
  <c r="L1338" i="3"/>
  <c r="I1339" i="3"/>
  <c r="J1339" i="3" s="1"/>
  <c r="L1339" i="3"/>
  <c r="I1340" i="3"/>
  <c r="J1340" i="3" s="1"/>
  <c r="L1340" i="3"/>
  <c r="I1341" i="3"/>
  <c r="J1341" i="3" s="1"/>
  <c r="L1341" i="3"/>
  <c r="I1342" i="3"/>
  <c r="J1342" i="3" s="1"/>
  <c r="L1342" i="3"/>
  <c r="I1343" i="3"/>
  <c r="J1343" i="3" s="1"/>
  <c r="L1343" i="3"/>
  <c r="I1344" i="3"/>
  <c r="J1344" i="3" s="1"/>
  <c r="L1344" i="3"/>
  <c r="I1345" i="3"/>
  <c r="J1345" i="3" s="1"/>
  <c r="L1345" i="3"/>
  <c r="I1346" i="3"/>
  <c r="J1346" i="3" s="1"/>
  <c r="L1346" i="3"/>
  <c r="I1347" i="3"/>
  <c r="J1347" i="3" s="1"/>
  <c r="L1347" i="3"/>
  <c r="I1348" i="3"/>
  <c r="J1348" i="3" s="1"/>
  <c r="L1348" i="3"/>
  <c r="I1349" i="3"/>
  <c r="J1349" i="3" s="1"/>
  <c r="M1349" i="3" s="1"/>
  <c r="L1349" i="3"/>
  <c r="I1350" i="3"/>
  <c r="J1350" i="3" s="1"/>
  <c r="L1350" i="3"/>
  <c r="I1351" i="3"/>
  <c r="J1351" i="3" s="1"/>
  <c r="L1351" i="3"/>
  <c r="I1352" i="3"/>
  <c r="J1352" i="3" s="1"/>
  <c r="L1352" i="3"/>
  <c r="I1353" i="3"/>
  <c r="J1353" i="3" s="1"/>
  <c r="L1353" i="3"/>
  <c r="I1354" i="3"/>
  <c r="J1354" i="3" s="1"/>
  <c r="L1354" i="3"/>
  <c r="I1355" i="3"/>
  <c r="J1355" i="3" s="1"/>
  <c r="L1355" i="3"/>
  <c r="I1356" i="3"/>
  <c r="J1356" i="3" s="1"/>
  <c r="L1356" i="3"/>
  <c r="I1357" i="3"/>
  <c r="J1357" i="3" s="1"/>
  <c r="L1357" i="3"/>
  <c r="I1358" i="3"/>
  <c r="J1358" i="3" s="1"/>
  <c r="L1358" i="3"/>
  <c r="I1359" i="3"/>
  <c r="J1359" i="3" s="1"/>
  <c r="L1359" i="3"/>
  <c r="I1360" i="3"/>
  <c r="J1360" i="3" s="1"/>
  <c r="L1360" i="3"/>
  <c r="I1361" i="3"/>
  <c r="J1361" i="3" s="1"/>
  <c r="L1361" i="3"/>
  <c r="I1362" i="3"/>
  <c r="J1362" i="3" s="1"/>
  <c r="L1362" i="3"/>
  <c r="I1363" i="3"/>
  <c r="J1363" i="3" s="1"/>
  <c r="L1363" i="3"/>
  <c r="I1364" i="3"/>
  <c r="J1364" i="3" s="1"/>
  <c r="L1364" i="3"/>
  <c r="I1365" i="3"/>
  <c r="J1365" i="3" s="1"/>
  <c r="L1365" i="3"/>
  <c r="I1366" i="3"/>
  <c r="J1366" i="3" s="1"/>
  <c r="L1366" i="3"/>
  <c r="I1367" i="3"/>
  <c r="J1367" i="3" s="1"/>
  <c r="L1367" i="3"/>
  <c r="I1368" i="3"/>
  <c r="J1368" i="3" s="1"/>
  <c r="L1368" i="3"/>
  <c r="I1369" i="3"/>
  <c r="J1369" i="3" s="1"/>
  <c r="L1369" i="3"/>
  <c r="I1371" i="3"/>
  <c r="J1371" i="3" s="1"/>
  <c r="L1371" i="3"/>
  <c r="I1372" i="3"/>
  <c r="J1372" i="3" s="1"/>
  <c r="L1372" i="3"/>
  <c r="I1373" i="3"/>
  <c r="J1373" i="3" s="1"/>
  <c r="L1373" i="3"/>
  <c r="I1374" i="3"/>
  <c r="J1374" i="3" s="1"/>
  <c r="L1374" i="3"/>
  <c r="I1375" i="3"/>
  <c r="J1375" i="3" s="1"/>
  <c r="L1375" i="3"/>
  <c r="I1376" i="3"/>
  <c r="J1376" i="3" s="1"/>
  <c r="L1376" i="3"/>
  <c r="I1377" i="3"/>
  <c r="J1377" i="3" s="1"/>
  <c r="L1377" i="3"/>
  <c r="I1378" i="3"/>
  <c r="J1378" i="3" s="1"/>
  <c r="L1378" i="3"/>
  <c r="I1379" i="3"/>
  <c r="J1379" i="3" s="1"/>
  <c r="L1379" i="3"/>
  <c r="I1380" i="3"/>
  <c r="J1380" i="3" s="1"/>
  <c r="L1380" i="3"/>
  <c r="I1381" i="3"/>
  <c r="J1381" i="3" s="1"/>
  <c r="L1381" i="3"/>
  <c r="I1382" i="3"/>
  <c r="J1382" i="3" s="1"/>
  <c r="L1382" i="3"/>
  <c r="I1383" i="3"/>
  <c r="J1383" i="3" s="1"/>
  <c r="L1383" i="3"/>
  <c r="I1384" i="3"/>
  <c r="J1384" i="3" s="1"/>
  <c r="L1384" i="3"/>
  <c r="I1385" i="3"/>
  <c r="J1385" i="3" s="1"/>
  <c r="K1385" i="3"/>
  <c r="L1385" i="3"/>
  <c r="I1386" i="3"/>
  <c r="J1386" i="3" s="1"/>
  <c r="L1386" i="3"/>
  <c r="I1387" i="3"/>
  <c r="J1387" i="3" s="1"/>
  <c r="L1387" i="3"/>
  <c r="I1388" i="3"/>
  <c r="J1388" i="3" s="1"/>
  <c r="L1388" i="3"/>
  <c r="I1389" i="3"/>
  <c r="J1389" i="3" s="1"/>
  <c r="L1389" i="3"/>
  <c r="I1390" i="3"/>
  <c r="J1390" i="3" s="1"/>
  <c r="L1390" i="3"/>
  <c r="I1391" i="3"/>
  <c r="J1391" i="3" s="1"/>
  <c r="L1391" i="3"/>
  <c r="I1392" i="3"/>
  <c r="J1392" i="3" s="1"/>
  <c r="L1392" i="3"/>
  <c r="I1393" i="3"/>
  <c r="J1393" i="3" s="1"/>
  <c r="L1393" i="3"/>
  <c r="I1394" i="3"/>
  <c r="J1394" i="3" s="1"/>
  <c r="L1394" i="3"/>
  <c r="I1395" i="3"/>
  <c r="J1395" i="3" s="1"/>
  <c r="L1395" i="3"/>
  <c r="I1396" i="3"/>
  <c r="J1396" i="3" s="1"/>
  <c r="L1396" i="3"/>
  <c r="I1397" i="3"/>
  <c r="J1397" i="3" s="1"/>
  <c r="L1397" i="3"/>
  <c r="I1398" i="3"/>
  <c r="J1398" i="3" s="1"/>
  <c r="L1398" i="3"/>
  <c r="I1399" i="3"/>
  <c r="J1399" i="3" s="1"/>
  <c r="L1399" i="3"/>
  <c r="I1400" i="3"/>
  <c r="J1400" i="3" s="1"/>
  <c r="L1400" i="3"/>
  <c r="I1401" i="3"/>
  <c r="J1401" i="3" s="1"/>
  <c r="L1401" i="3"/>
  <c r="I1402" i="3"/>
  <c r="J1402" i="3" s="1"/>
  <c r="L1402" i="3"/>
  <c r="I1403" i="3"/>
  <c r="J1403" i="3" s="1"/>
  <c r="L1403" i="3"/>
  <c r="I1404" i="3"/>
  <c r="J1404" i="3" s="1"/>
  <c r="L1404" i="3"/>
  <c r="I1405" i="3"/>
  <c r="J1405" i="3" s="1"/>
  <c r="L1405" i="3"/>
  <c r="I1406" i="3"/>
  <c r="J1406" i="3" s="1"/>
  <c r="L1406" i="3"/>
  <c r="I1407" i="3"/>
  <c r="J1407" i="3" s="1"/>
  <c r="L1407" i="3"/>
  <c r="I1408" i="3"/>
  <c r="J1408" i="3" s="1"/>
  <c r="L1408" i="3"/>
  <c r="I1409" i="3"/>
  <c r="J1409" i="3" s="1"/>
  <c r="L1409" i="3"/>
  <c r="I1410" i="3"/>
  <c r="J1410" i="3" s="1"/>
  <c r="L1410" i="3"/>
  <c r="I1411" i="3"/>
  <c r="J1411" i="3" s="1"/>
  <c r="L1411" i="3"/>
  <c r="I1412" i="3"/>
  <c r="J1412" i="3" s="1"/>
  <c r="L1412" i="3"/>
  <c r="I1413" i="3"/>
  <c r="J1413" i="3" s="1"/>
  <c r="L1413" i="3"/>
  <c r="I1414" i="3"/>
  <c r="J1414" i="3" s="1"/>
  <c r="L1414" i="3"/>
  <c r="I1415" i="3"/>
  <c r="J1415" i="3" s="1"/>
  <c r="L1415" i="3"/>
  <c r="I1416" i="3"/>
  <c r="J1416" i="3" s="1"/>
  <c r="L1416" i="3"/>
  <c r="I1417" i="3"/>
  <c r="J1417" i="3" s="1"/>
  <c r="L1417" i="3"/>
  <c r="I1418" i="3"/>
  <c r="J1418" i="3" s="1"/>
  <c r="L1418" i="3"/>
  <c r="I1419" i="3"/>
  <c r="J1419" i="3" s="1"/>
  <c r="L1419" i="3"/>
  <c r="I1420" i="3"/>
  <c r="J1420" i="3" s="1"/>
  <c r="L1420" i="3"/>
  <c r="I1421" i="3"/>
  <c r="J1421" i="3" s="1"/>
  <c r="L1421" i="3"/>
  <c r="I1422" i="3"/>
  <c r="J1422" i="3" s="1"/>
  <c r="L1422" i="3"/>
  <c r="I1423" i="3"/>
  <c r="J1423" i="3" s="1"/>
  <c r="L1423" i="3"/>
  <c r="I1424" i="3"/>
  <c r="J1424" i="3" s="1"/>
  <c r="L1424" i="3"/>
  <c r="I1425" i="3"/>
  <c r="J1425" i="3" s="1"/>
  <c r="L1425" i="3"/>
  <c r="I1426" i="3"/>
  <c r="J1426" i="3" s="1"/>
  <c r="L1426" i="3"/>
  <c r="I1427" i="3"/>
  <c r="J1427" i="3" s="1"/>
  <c r="L1427" i="3"/>
  <c r="I1428" i="3"/>
  <c r="J1428" i="3" s="1"/>
  <c r="L1428" i="3"/>
  <c r="I1429" i="3"/>
  <c r="J1429" i="3" s="1"/>
  <c r="L1429" i="3"/>
  <c r="I1430" i="3"/>
  <c r="J1430" i="3" s="1"/>
  <c r="L1430" i="3"/>
  <c r="I1431" i="3"/>
  <c r="J1431" i="3" s="1"/>
  <c r="L1431" i="3"/>
  <c r="I1432" i="3"/>
  <c r="J1432" i="3" s="1"/>
  <c r="L1432" i="3"/>
  <c r="I1433" i="3"/>
  <c r="J1433" i="3" s="1"/>
  <c r="L1433" i="3"/>
  <c r="I1434" i="3"/>
  <c r="J1434" i="3" s="1"/>
  <c r="L1434" i="3"/>
  <c r="I1435" i="3"/>
  <c r="J1435" i="3" s="1"/>
  <c r="L1435" i="3"/>
  <c r="I1436" i="3"/>
  <c r="J1436" i="3" s="1"/>
  <c r="L1436" i="3"/>
  <c r="I1437" i="3"/>
  <c r="J1437" i="3" s="1"/>
  <c r="L1437" i="3"/>
  <c r="I1438" i="3"/>
  <c r="J1438" i="3" s="1"/>
  <c r="L1438" i="3"/>
  <c r="I1439" i="3"/>
  <c r="J1439" i="3" s="1"/>
  <c r="L1439" i="3"/>
  <c r="I1440" i="3"/>
  <c r="J1440" i="3" s="1"/>
  <c r="L1440" i="3"/>
  <c r="I1441" i="3"/>
  <c r="J1441" i="3" s="1"/>
  <c r="L1441" i="3"/>
  <c r="I1442" i="3"/>
  <c r="J1442" i="3" s="1"/>
  <c r="L1442" i="3"/>
  <c r="I1443" i="3"/>
  <c r="J1443" i="3" s="1"/>
  <c r="L1443" i="3"/>
  <c r="I1444" i="3"/>
  <c r="J1444" i="3" s="1"/>
  <c r="L1444" i="3"/>
  <c r="I1445" i="3"/>
  <c r="J1445" i="3" s="1"/>
  <c r="L1445" i="3"/>
  <c r="I1446" i="3"/>
  <c r="J1446" i="3" s="1"/>
  <c r="L1446" i="3"/>
  <c r="I1447" i="3"/>
  <c r="J1447" i="3" s="1"/>
  <c r="L1447" i="3"/>
  <c r="I1448" i="3"/>
  <c r="J1448" i="3" s="1"/>
  <c r="L1448" i="3"/>
  <c r="I1449" i="3"/>
  <c r="J1449" i="3" s="1"/>
  <c r="L1449" i="3"/>
  <c r="I1450" i="3"/>
  <c r="J1450" i="3" s="1"/>
  <c r="L1450" i="3"/>
  <c r="I1451" i="3"/>
  <c r="J1451" i="3" s="1"/>
  <c r="L1451" i="3"/>
  <c r="I1452" i="3"/>
  <c r="J1452" i="3" s="1"/>
  <c r="L1452" i="3"/>
  <c r="I1453" i="3"/>
  <c r="J1453" i="3" s="1"/>
  <c r="L1453" i="3"/>
  <c r="I1454" i="3"/>
  <c r="J1454" i="3" s="1"/>
  <c r="L1454" i="3"/>
  <c r="I1455" i="3"/>
  <c r="J1455" i="3" s="1"/>
  <c r="L1455" i="3"/>
  <c r="I1456" i="3"/>
  <c r="J1456" i="3" s="1"/>
  <c r="L1456" i="3"/>
  <c r="I1457" i="3"/>
  <c r="J1457" i="3" s="1"/>
  <c r="L1457" i="3"/>
  <c r="I1458" i="3"/>
  <c r="J1458" i="3" s="1"/>
  <c r="L1458" i="3"/>
  <c r="I1459" i="3"/>
  <c r="J1459" i="3" s="1"/>
  <c r="L1459" i="3"/>
  <c r="I1460" i="3"/>
  <c r="J1460" i="3" s="1"/>
  <c r="L1460" i="3"/>
  <c r="I1461" i="3"/>
  <c r="J1461" i="3" s="1"/>
  <c r="L1461" i="3"/>
  <c r="I1462" i="3"/>
  <c r="J1462" i="3" s="1"/>
  <c r="L1462" i="3"/>
  <c r="I1463" i="3"/>
  <c r="J1463" i="3" s="1"/>
  <c r="L1463" i="3"/>
  <c r="I1464" i="3"/>
  <c r="J1464" i="3" s="1"/>
  <c r="L1464" i="3"/>
  <c r="I1465" i="3"/>
  <c r="J1465" i="3" s="1"/>
  <c r="L1465" i="3"/>
  <c r="I1466" i="3"/>
  <c r="J1466" i="3" s="1"/>
  <c r="L1466" i="3"/>
  <c r="I1467" i="3"/>
  <c r="J1467" i="3" s="1"/>
  <c r="L1467" i="3"/>
  <c r="I1468" i="3"/>
  <c r="J1468" i="3" s="1"/>
  <c r="L1468" i="3"/>
  <c r="I1469" i="3"/>
  <c r="J1469" i="3" s="1"/>
  <c r="L1469" i="3"/>
  <c r="I1470" i="3"/>
  <c r="J1470" i="3" s="1"/>
  <c r="L1470" i="3"/>
  <c r="I1471" i="3"/>
  <c r="J1471" i="3" s="1"/>
  <c r="L1471" i="3"/>
  <c r="I1472" i="3"/>
  <c r="J1472" i="3" s="1"/>
  <c r="L1472" i="3"/>
  <c r="I1473" i="3"/>
  <c r="J1473" i="3" s="1"/>
  <c r="L1473" i="3"/>
  <c r="I1474" i="3"/>
  <c r="J1474" i="3" s="1"/>
  <c r="L1474" i="3"/>
  <c r="I1475" i="3"/>
  <c r="J1475" i="3" s="1"/>
  <c r="L1475" i="3"/>
  <c r="I1476" i="3"/>
  <c r="J1476" i="3" s="1"/>
  <c r="L1476" i="3"/>
  <c r="I1477" i="3"/>
  <c r="J1477" i="3" s="1"/>
  <c r="L1477" i="3"/>
  <c r="I1478" i="3"/>
  <c r="J1478" i="3" s="1"/>
  <c r="L1478" i="3"/>
  <c r="I1479" i="3"/>
  <c r="J1479" i="3" s="1"/>
  <c r="L1479" i="3"/>
  <c r="I1480" i="3"/>
  <c r="J1480" i="3" s="1"/>
  <c r="L1480" i="3"/>
  <c r="I1481" i="3"/>
  <c r="J1481" i="3" s="1"/>
  <c r="L1481" i="3"/>
  <c r="I1482" i="3"/>
  <c r="J1482" i="3" s="1"/>
  <c r="L1482" i="3"/>
  <c r="I1483" i="3"/>
  <c r="J1483" i="3" s="1"/>
  <c r="L1483" i="3"/>
  <c r="I1484" i="3"/>
  <c r="J1484" i="3" s="1"/>
  <c r="L1484" i="3"/>
  <c r="I1485" i="3"/>
  <c r="J1485" i="3" s="1"/>
  <c r="L1485" i="3"/>
  <c r="I1486" i="3"/>
  <c r="J1486" i="3" s="1"/>
  <c r="L1486" i="3"/>
  <c r="I1487" i="3"/>
  <c r="J1487" i="3" s="1"/>
  <c r="L1487" i="3"/>
  <c r="I1488" i="3"/>
  <c r="J1488" i="3" s="1"/>
  <c r="L1488" i="3"/>
  <c r="I1489" i="3"/>
  <c r="J1489" i="3" s="1"/>
  <c r="L1489" i="3"/>
  <c r="I1490" i="3"/>
  <c r="J1490" i="3" s="1"/>
  <c r="L1490" i="3"/>
  <c r="I1491" i="3"/>
  <c r="J1491" i="3" s="1"/>
  <c r="L1491" i="3"/>
  <c r="I1492" i="3"/>
  <c r="J1492" i="3" s="1"/>
  <c r="L1492" i="3"/>
  <c r="I1493" i="3"/>
  <c r="J1493" i="3" s="1"/>
  <c r="L1493" i="3"/>
  <c r="I1494" i="3"/>
  <c r="J1494" i="3" s="1"/>
  <c r="L1494" i="3"/>
  <c r="I1495" i="3"/>
  <c r="J1495" i="3" s="1"/>
  <c r="L1495" i="3"/>
  <c r="I1496" i="3"/>
  <c r="J1496" i="3" s="1"/>
  <c r="L1496" i="3"/>
  <c r="I1497" i="3"/>
  <c r="J1497" i="3" s="1"/>
  <c r="L1497" i="3"/>
  <c r="I1498" i="3"/>
  <c r="J1498" i="3" s="1"/>
  <c r="L1498" i="3"/>
  <c r="I1499" i="3"/>
  <c r="J1499" i="3" s="1"/>
  <c r="L1499" i="3"/>
  <c r="I1500" i="3"/>
  <c r="J1500" i="3" s="1"/>
  <c r="L1500" i="3"/>
  <c r="I1501" i="3"/>
  <c r="J1501" i="3" s="1"/>
  <c r="L1501" i="3"/>
  <c r="I1502" i="3"/>
  <c r="J1502" i="3" s="1"/>
  <c r="L1502" i="3"/>
  <c r="I1503" i="3"/>
  <c r="J1503" i="3" s="1"/>
  <c r="L1503" i="3"/>
  <c r="I1504" i="3"/>
  <c r="J1504" i="3" s="1"/>
  <c r="L1504" i="3"/>
  <c r="I1505" i="3"/>
  <c r="J1505" i="3" s="1"/>
  <c r="L1505" i="3"/>
  <c r="I1506" i="3"/>
  <c r="J1506" i="3" s="1"/>
  <c r="L1506" i="3"/>
  <c r="I1507" i="3"/>
  <c r="J1507" i="3" s="1"/>
  <c r="L1507" i="3"/>
  <c r="I1508" i="3"/>
  <c r="J1508" i="3" s="1"/>
  <c r="L1508" i="3"/>
  <c r="I1509" i="3"/>
  <c r="J1509" i="3" s="1"/>
  <c r="L1509" i="3"/>
  <c r="I1510" i="3"/>
  <c r="J1510" i="3" s="1"/>
  <c r="L1510" i="3"/>
  <c r="I1511" i="3"/>
  <c r="J1511" i="3" s="1"/>
  <c r="L1511" i="3"/>
  <c r="I1512" i="3"/>
  <c r="J1512" i="3" s="1"/>
  <c r="L1512" i="3"/>
  <c r="I1513" i="3"/>
  <c r="J1513" i="3" s="1"/>
  <c r="L1513" i="3"/>
  <c r="I1528" i="3"/>
  <c r="J1528" i="3" s="1"/>
  <c r="L1528" i="3"/>
  <c r="I1529" i="3"/>
  <c r="J1529" i="3" s="1"/>
  <c r="L1529" i="3"/>
  <c r="I1530" i="3"/>
  <c r="J1530" i="3" s="1"/>
  <c r="L1530" i="3"/>
  <c r="I1531" i="3"/>
  <c r="J1531" i="3" s="1"/>
  <c r="L1531" i="3"/>
  <c r="I1532" i="3"/>
  <c r="J1532" i="3" s="1"/>
  <c r="L1532" i="3"/>
  <c r="I1533" i="3"/>
  <c r="J1533" i="3" s="1"/>
  <c r="L1533" i="3"/>
  <c r="I1534" i="3"/>
  <c r="J1534" i="3" s="1"/>
  <c r="L1534" i="3"/>
  <c r="I1535" i="3"/>
  <c r="J1535" i="3" s="1"/>
  <c r="L1535" i="3"/>
  <c r="I1536" i="3"/>
  <c r="J1536" i="3" s="1"/>
  <c r="L1536" i="3"/>
  <c r="I1537" i="3"/>
  <c r="J1537" i="3" s="1"/>
  <c r="L1537" i="3"/>
  <c r="I1538" i="3"/>
  <c r="J1538" i="3" s="1"/>
  <c r="L1538" i="3"/>
  <c r="I1539" i="3"/>
  <c r="J1539" i="3" s="1"/>
  <c r="L1539" i="3"/>
  <c r="I1540" i="3"/>
  <c r="J1540" i="3" s="1"/>
  <c r="L1540" i="3"/>
  <c r="I1541" i="3"/>
  <c r="J1541" i="3" s="1"/>
  <c r="L1541" i="3"/>
  <c r="I1542" i="3"/>
  <c r="J1542" i="3" s="1"/>
  <c r="L1542" i="3"/>
  <c r="I1543" i="3"/>
  <c r="J1543" i="3" s="1"/>
  <c r="L1543" i="3"/>
  <c r="I1544" i="3"/>
  <c r="J1544" i="3" s="1"/>
  <c r="L1544" i="3"/>
  <c r="I1545" i="3"/>
  <c r="J1545" i="3" s="1"/>
  <c r="L1545" i="3"/>
  <c r="I1546" i="3"/>
  <c r="J1546" i="3" s="1"/>
  <c r="L1546" i="3"/>
  <c r="I1547" i="3"/>
  <c r="J1547" i="3" s="1"/>
  <c r="L1547" i="3"/>
  <c r="I1548" i="3"/>
  <c r="J1548" i="3" s="1"/>
  <c r="L1548" i="3"/>
  <c r="I1549" i="3"/>
  <c r="J1549" i="3" s="1"/>
  <c r="L1549" i="3"/>
  <c r="I1550" i="3"/>
  <c r="J1550" i="3" s="1"/>
  <c r="L1550" i="3"/>
  <c r="I1551" i="3"/>
  <c r="J1551" i="3" s="1"/>
  <c r="L1551" i="3"/>
  <c r="I1552" i="3"/>
  <c r="J1552" i="3" s="1"/>
  <c r="L1552" i="3"/>
  <c r="I1553" i="3"/>
  <c r="J1553" i="3" s="1"/>
  <c r="L1553" i="3"/>
  <c r="I1554" i="3"/>
  <c r="J1554" i="3" s="1"/>
  <c r="L1554" i="3"/>
  <c r="I1555" i="3"/>
  <c r="J1555" i="3" s="1"/>
  <c r="L1555" i="3"/>
  <c r="I1556" i="3"/>
  <c r="J1556" i="3" s="1"/>
  <c r="L1556" i="3"/>
  <c r="I1557" i="3"/>
  <c r="J1557" i="3" s="1"/>
  <c r="L1557" i="3"/>
  <c r="I1558" i="3"/>
  <c r="J1558" i="3" s="1"/>
  <c r="L1558" i="3"/>
  <c r="I1559" i="3"/>
  <c r="J1559" i="3" s="1"/>
  <c r="L1559" i="3"/>
  <c r="I1560" i="3"/>
  <c r="J1560" i="3" s="1"/>
  <c r="L1560" i="3"/>
  <c r="I1561" i="3"/>
  <c r="J1561" i="3" s="1"/>
  <c r="L1561" i="3"/>
  <c r="I1562" i="3"/>
  <c r="J1562" i="3" s="1"/>
  <c r="L1562" i="3"/>
  <c r="I1563" i="3"/>
  <c r="J1563" i="3" s="1"/>
  <c r="L1563" i="3"/>
  <c r="I1564" i="3"/>
  <c r="J1564" i="3" s="1"/>
  <c r="L1564" i="3"/>
  <c r="I1565" i="3"/>
  <c r="J1565" i="3" s="1"/>
  <c r="L1565" i="3"/>
  <c r="I1566" i="3"/>
  <c r="J1566" i="3" s="1"/>
  <c r="L1566" i="3"/>
  <c r="I1567" i="3"/>
  <c r="J1567" i="3" s="1"/>
  <c r="L1567" i="3"/>
  <c r="I1568" i="3"/>
  <c r="J1568" i="3" s="1"/>
  <c r="L1568" i="3"/>
  <c r="I1569" i="3"/>
  <c r="J1569" i="3" s="1"/>
  <c r="L1569" i="3"/>
  <c r="I1570" i="3"/>
  <c r="J1570" i="3" s="1"/>
  <c r="L1570" i="3"/>
  <c r="I1571" i="3"/>
  <c r="J1571" i="3" s="1"/>
  <c r="L1571" i="3"/>
  <c r="I1572" i="3"/>
  <c r="J1572" i="3" s="1"/>
  <c r="L1572" i="3"/>
  <c r="I1573" i="3"/>
  <c r="J1573" i="3" s="1"/>
  <c r="L1573" i="3"/>
  <c r="I1574" i="3"/>
  <c r="J1574" i="3" s="1"/>
  <c r="L1574" i="3"/>
  <c r="I1575" i="3"/>
  <c r="J1575" i="3" s="1"/>
  <c r="L1575" i="3"/>
  <c r="I1576" i="3"/>
  <c r="J1576" i="3" s="1"/>
  <c r="L1576" i="3"/>
  <c r="I1577" i="3"/>
  <c r="J1577" i="3" s="1"/>
  <c r="L1577" i="3"/>
  <c r="I1578" i="3"/>
  <c r="J1578" i="3" s="1"/>
  <c r="L1578" i="3"/>
  <c r="I1579" i="3"/>
  <c r="J1579" i="3" s="1"/>
  <c r="L1579" i="3"/>
  <c r="I1580" i="3"/>
  <c r="J1580" i="3" s="1"/>
  <c r="L1580" i="3"/>
  <c r="I1581" i="3"/>
  <c r="J1581" i="3" s="1"/>
  <c r="L1581" i="3"/>
  <c r="I1582" i="3"/>
  <c r="J1582" i="3" s="1"/>
  <c r="L1582" i="3"/>
  <c r="I1583" i="3"/>
  <c r="J1583" i="3" s="1"/>
  <c r="L1583" i="3"/>
  <c r="I1584" i="3"/>
  <c r="J1584" i="3" s="1"/>
  <c r="L1584" i="3"/>
  <c r="I1585" i="3"/>
  <c r="J1585" i="3" s="1"/>
  <c r="L1585" i="3"/>
  <c r="I1586" i="3"/>
  <c r="J1586" i="3" s="1"/>
  <c r="L1586" i="3"/>
  <c r="I1587" i="3"/>
  <c r="J1587" i="3" s="1"/>
  <c r="L1587" i="3"/>
  <c r="I1588" i="3"/>
  <c r="J1588" i="3" s="1"/>
  <c r="L1588" i="3"/>
  <c r="I1589" i="3"/>
  <c r="J1589" i="3" s="1"/>
  <c r="L1589" i="3"/>
  <c r="I1590" i="3"/>
  <c r="J1590" i="3" s="1"/>
  <c r="L1590" i="3"/>
  <c r="I1591" i="3"/>
  <c r="J1591" i="3" s="1"/>
  <c r="L1591" i="3"/>
  <c r="I1592" i="3"/>
  <c r="J1592" i="3" s="1"/>
  <c r="L1592" i="3"/>
  <c r="I1593" i="3"/>
  <c r="J1593" i="3" s="1"/>
  <c r="L1593" i="3"/>
  <c r="I1594" i="3"/>
  <c r="J1594" i="3" s="1"/>
  <c r="L1594" i="3"/>
  <c r="I1595" i="3"/>
  <c r="J1595" i="3" s="1"/>
  <c r="L1595" i="3"/>
  <c r="I1596" i="3"/>
  <c r="J1596" i="3" s="1"/>
  <c r="L1596" i="3"/>
  <c r="I1597" i="3"/>
  <c r="J1597" i="3" s="1"/>
  <c r="L1597" i="3"/>
  <c r="I1598" i="3"/>
  <c r="J1598" i="3" s="1"/>
  <c r="L1598" i="3"/>
  <c r="I1599" i="3"/>
  <c r="J1599" i="3" s="1"/>
  <c r="L1599" i="3"/>
  <c r="I1600" i="3"/>
  <c r="J1600" i="3" s="1"/>
  <c r="L1600" i="3"/>
  <c r="I1601" i="3"/>
  <c r="J1601" i="3" s="1"/>
  <c r="L1601" i="3"/>
  <c r="I1602" i="3"/>
  <c r="J1602" i="3" s="1"/>
  <c r="L1602" i="3"/>
  <c r="I1603" i="3"/>
  <c r="J1603" i="3" s="1"/>
  <c r="L1603" i="3"/>
  <c r="I1604" i="3"/>
  <c r="J1604" i="3" s="1"/>
  <c r="L1604" i="3"/>
  <c r="I1605" i="3"/>
  <c r="J1605" i="3" s="1"/>
  <c r="L1605" i="3"/>
  <c r="I1606" i="3"/>
  <c r="J1606" i="3" s="1"/>
  <c r="L1606" i="3"/>
  <c r="I1607" i="3"/>
  <c r="J1607" i="3" s="1"/>
  <c r="L1607" i="3"/>
  <c r="I1608" i="3"/>
  <c r="J1608" i="3" s="1"/>
  <c r="L1608" i="3"/>
  <c r="I1609" i="3"/>
  <c r="J1609" i="3" s="1"/>
  <c r="L1609" i="3"/>
  <c r="I1610" i="3"/>
  <c r="J1610" i="3" s="1"/>
  <c r="L1610" i="3"/>
  <c r="I1611" i="3"/>
  <c r="J1611" i="3" s="1"/>
  <c r="L1611" i="3"/>
  <c r="I1612" i="3"/>
  <c r="J1612" i="3" s="1"/>
  <c r="L1612" i="3"/>
  <c r="I1613" i="3"/>
  <c r="J1613" i="3" s="1"/>
  <c r="L1613" i="3"/>
  <c r="I1614" i="3"/>
  <c r="J1614" i="3" s="1"/>
  <c r="L1614" i="3"/>
  <c r="I1615" i="3"/>
  <c r="J1615" i="3" s="1"/>
  <c r="L1615" i="3"/>
  <c r="I1616" i="3"/>
  <c r="J1616" i="3" s="1"/>
  <c r="L1616" i="3"/>
  <c r="I1617" i="3"/>
  <c r="J1617" i="3" s="1"/>
  <c r="L1617" i="3"/>
  <c r="I1618" i="3"/>
  <c r="J1618" i="3" s="1"/>
  <c r="L1618" i="3"/>
  <c r="I1619" i="3"/>
  <c r="J1619" i="3" s="1"/>
  <c r="L1619" i="3"/>
  <c r="I1620" i="3"/>
  <c r="J1620" i="3" s="1"/>
  <c r="L1620" i="3"/>
  <c r="I1621" i="3"/>
  <c r="J1621" i="3" s="1"/>
  <c r="L1621" i="3"/>
  <c r="I1622" i="3"/>
  <c r="J1622" i="3" s="1"/>
  <c r="L1622" i="3"/>
  <c r="I1623" i="3"/>
  <c r="J1623" i="3" s="1"/>
  <c r="L1623" i="3"/>
  <c r="I1624" i="3"/>
  <c r="J1624" i="3" s="1"/>
  <c r="L1624" i="3"/>
  <c r="I1625" i="3"/>
  <c r="J1625" i="3" s="1"/>
  <c r="L1625" i="3"/>
  <c r="I1626" i="3"/>
  <c r="J1626" i="3" s="1"/>
  <c r="L1626" i="3"/>
  <c r="I1627" i="3"/>
  <c r="J1627" i="3" s="1"/>
  <c r="L1627" i="3"/>
  <c r="I1628" i="3"/>
  <c r="J1628" i="3" s="1"/>
  <c r="L1628" i="3"/>
  <c r="I1629" i="3"/>
  <c r="J1629" i="3" s="1"/>
  <c r="L1629" i="3"/>
  <c r="I1630" i="3"/>
  <c r="J1630" i="3" s="1"/>
  <c r="L1630" i="3"/>
  <c r="I1631" i="3"/>
  <c r="J1631" i="3" s="1"/>
  <c r="L1631" i="3"/>
  <c r="I1632" i="3"/>
  <c r="J1632" i="3" s="1"/>
  <c r="L1632" i="3"/>
  <c r="I1633" i="3"/>
  <c r="J1633" i="3" s="1"/>
  <c r="L1633" i="3"/>
  <c r="I1634" i="3"/>
  <c r="J1634" i="3" s="1"/>
  <c r="L1634" i="3"/>
  <c r="I1635" i="3"/>
  <c r="J1635" i="3" s="1"/>
  <c r="L1635" i="3"/>
  <c r="I1636" i="3"/>
  <c r="J1636" i="3" s="1"/>
  <c r="L1636" i="3"/>
  <c r="I1637" i="3"/>
  <c r="J1637" i="3" s="1"/>
  <c r="L1637" i="3"/>
  <c r="I1638" i="3"/>
  <c r="J1638" i="3" s="1"/>
  <c r="L1638" i="3"/>
  <c r="I1639" i="3"/>
  <c r="J1639" i="3" s="1"/>
  <c r="L1639" i="3"/>
  <c r="I1640" i="3"/>
  <c r="J1640" i="3" s="1"/>
  <c r="L1640" i="3"/>
  <c r="I1641" i="3"/>
  <c r="J1641" i="3" s="1"/>
  <c r="L1641" i="3"/>
  <c r="I1642" i="3"/>
  <c r="J1642" i="3" s="1"/>
  <c r="L1642" i="3"/>
  <c r="I1643" i="3"/>
  <c r="J1643" i="3" s="1"/>
  <c r="L1643" i="3"/>
  <c r="I1644" i="3"/>
  <c r="J1644" i="3" s="1"/>
  <c r="L1644" i="3"/>
  <c r="I1645" i="3"/>
  <c r="J1645" i="3" s="1"/>
  <c r="L1645" i="3"/>
  <c r="I1646" i="3"/>
  <c r="J1646" i="3" s="1"/>
  <c r="L1646" i="3"/>
  <c r="I1647" i="3"/>
  <c r="J1647" i="3" s="1"/>
  <c r="L1647" i="3"/>
  <c r="I1648" i="3"/>
  <c r="J1648" i="3" s="1"/>
  <c r="L1648" i="3"/>
  <c r="I1649" i="3"/>
  <c r="J1649" i="3" s="1"/>
  <c r="L1649" i="3"/>
  <c r="I1650" i="3"/>
  <c r="J1650" i="3" s="1"/>
  <c r="L1650" i="3"/>
  <c r="I1651" i="3"/>
  <c r="J1651" i="3" s="1"/>
  <c r="L1651" i="3"/>
  <c r="I1652" i="3"/>
  <c r="J1652" i="3" s="1"/>
  <c r="L1652" i="3"/>
  <c r="I1653" i="3"/>
  <c r="J1653" i="3" s="1"/>
  <c r="L1653" i="3"/>
  <c r="I1654" i="3"/>
  <c r="J1654" i="3" s="1"/>
  <c r="L1654" i="3"/>
  <c r="I1655" i="3"/>
  <c r="J1655" i="3" s="1"/>
  <c r="L1655" i="3"/>
  <c r="I1656" i="3"/>
  <c r="J1656" i="3" s="1"/>
  <c r="L1656" i="3"/>
  <c r="I1657" i="3"/>
  <c r="J1657" i="3" s="1"/>
  <c r="L1657" i="3"/>
  <c r="I1658" i="3"/>
  <c r="J1658" i="3" s="1"/>
  <c r="L1658" i="3"/>
  <c r="I1659" i="3"/>
  <c r="J1659" i="3" s="1"/>
  <c r="L1659" i="3"/>
  <c r="I1660" i="3"/>
  <c r="J1660" i="3" s="1"/>
  <c r="L1660" i="3"/>
  <c r="I1661" i="3"/>
  <c r="J1661" i="3" s="1"/>
  <c r="L1661" i="3"/>
  <c r="I1662" i="3"/>
  <c r="J1662" i="3" s="1"/>
  <c r="L1662" i="3"/>
  <c r="I1663" i="3"/>
  <c r="J1663" i="3" s="1"/>
  <c r="L1663" i="3"/>
  <c r="I1664" i="3"/>
  <c r="J1664" i="3" s="1"/>
  <c r="L1664" i="3"/>
  <c r="I1665" i="3"/>
  <c r="J1665" i="3" s="1"/>
  <c r="L1665" i="3"/>
  <c r="I1666" i="3"/>
  <c r="J1666" i="3" s="1"/>
  <c r="L1666" i="3"/>
  <c r="I1667" i="3"/>
  <c r="J1667" i="3" s="1"/>
  <c r="L1667" i="3"/>
  <c r="I1668" i="3"/>
  <c r="J1668" i="3" s="1"/>
  <c r="L1668" i="3"/>
  <c r="I1669" i="3"/>
  <c r="J1669" i="3" s="1"/>
  <c r="L1669" i="3"/>
  <c r="I1670" i="3"/>
  <c r="J1670" i="3" s="1"/>
  <c r="L1670" i="3"/>
  <c r="I1671" i="3"/>
  <c r="J1671" i="3" s="1"/>
  <c r="L1671" i="3"/>
  <c r="I1672" i="3"/>
  <c r="J1672" i="3" s="1"/>
  <c r="L1672" i="3"/>
  <c r="I1673" i="3"/>
  <c r="J1673" i="3" s="1"/>
  <c r="L1673" i="3"/>
  <c r="I1674" i="3"/>
  <c r="J1674" i="3" s="1"/>
  <c r="L1674" i="3"/>
  <c r="I1675" i="3"/>
  <c r="J1675" i="3" s="1"/>
  <c r="L1675" i="3"/>
  <c r="I1676" i="3"/>
  <c r="J1676" i="3" s="1"/>
  <c r="L1676" i="3"/>
  <c r="I1677" i="3"/>
  <c r="J1677" i="3" s="1"/>
  <c r="L1677" i="3"/>
  <c r="I1678" i="3"/>
  <c r="J1678" i="3" s="1"/>
  <c r="L1678" i="3"/>
  <c r="I1679" i="3"/>
  <c r="J1679" i="3" s="1"/>
  <c r="L1679" i="3"/>
  <c r="I1680" i="3"/>
  <c r="J1680" i="3" s="1"/>
  <c r="L1680" i="3"/>
  <c r="I1681" i="3"/>
  <c r="J1681" i="3" s="1"/>
  <c r="L1681" i="3"/>
  <c r="I1682" i="3"/>
  <c r="J1682" i="3" s="1"/>
  <c r="L1682" i="3"/>
  <c r="I1683" i="3"/>
  <c r="J1683" i="3" s="1"/>
  <c r="L1683" i="3"/>
  <c r="I1684" i="3"/>
  <c r="J1684" i="3" s="1"/>
  <c r="L1684" i="3"/>
  <c r="I1685" i="3"/>
  <c r="J1685" i="3" s="1"/>
  <c r="L1685" i="3"/>
  <c r="I1686" i="3"/>
  <c r="J1686" i="3" s="1"/>
  <c r="L1686" i="3"/>
  <c r="I1687" i="3"/>
  <c r="J1687" i="3" s="1"/>
  <c r="L1687" i="3"/>
  <c r="I1688" i="3"/>
  <c r="J1688" i="3" s="1"/>
  <c r="L1688" i="3"/>
  <c r="I1689" i="3"/>
  <c r="J1689" i="3" s="1"/>
  <c r="L1689" i="3"/>
  <c r="I1690" i="3"/>
  <c r="J1690" i="3" s="1"/>
  <c r="L1690" i="3"/>
  <c r="I1691" i="3"/>
  <c r="J1691" i="3" s="1"/>
  <c r="L1691" i="3"/>
  <c r="I1692" i="3"/>
  <c r="J1692" i="3" s="1"/>
  <c r="L1692" i="3"/>
  <c r="I1693" i="3"/>
  <c r="J1693" i="3" s="1"/>
  <c r="L1693" i="3"/>
  <c r="I1694" i="3"/>
  <c r="J1694" i="3" s="1"/>
  <c r="L1694" i="3"/>
  <c r="I1695" i="3"/>
  <c r="J1695" i="3" s="1"/>
  <c r="L1695" i="3"/>
  <c r="I1696" i="3"/>
  <c r="J1696" i="3" s="1"/>
  <c r="L1696" i="3"/>
  <c r="I1697" i="3"/>
  <c r="J1697" i="3" s="1"/>
  <c r="L1697" i="3"/>
  <c r="I1698" i="3"/>
  <c r="J1698" i="3" s="1"/>
  <c r="L1698" i="3"/>
  <c r="I1699" i="3"/>
  <c r="J1699" i="3" s="1"/>
  <c r="L1699" i="3"/>
  <c r="I1700" i="3"/>
  <c r="J1700" i="3" s="1"/>
  <c r="L1700" i="3"/>
  <c r="I1701" i="3"/>
  <c r="J1701" i="3" s="1"/>
  <c r="L1701" i="3"/>
  <c r="I1702" i="3"/>
  <c r="J1702" i="3" s="1"/>
  <c r="L1702" i="3"/>
  <c r="I1703" i="3"/>
  <c r="J1703" i="3" s="1"/>
  <c r="L1703" i="3"/>
  <c r="I1704" i="3"/>
  <c r="J1704" i="3" s="1"/>
  <c r="L1704" i="3"/>
  <c r="I1705" i="3"/>
  <c r="J1705" i="3" s="1"/>
  <c r="L1705" i="3"/>
  <c r="I1706" i="3"/>
  <c r="J1706" i="3" s="1"/>
  <c r="L1706" i="3"/>
  <c r="I1707" i="3"/>
  <c r="J1707" i="3" s="1"/>
  <c r="L1707" i="3"/>
  <c r="I1708" i="3"/>
  <c r="J1708" i="3" s="1"/>
  <c r="L1708" i="3"/>
  <c r="I1709" i="3"/>
  <c r="J1709" i="3" s="1"/>
  <c r="L1709" i="3"/>
  <c r="I1710" i="3"/>
  <c r="J1710" i="3" s="1"/>
  <c r="L1710" i="3"/>
  <c r="I1711" i="3"/>
  <c r="J1711" i="3" s="1"/>
  <c r="L1711" i="3"/>
  <c r="I1712" i="3"/>
  <c r="J1712" i="3" s="1"/>
  <c r="L1712" i="3"/>
  <c r="I1713" i="3"/>
  <c r="J1713" i="3" s="1"/>
  <c r="L1713" i="3"/>
  <c r="I1714" i="3"/>
  <c r="J1714" i="3" s="1"/>
  <c r="L1714" i="3"/>
  <c r="I1715" i="3"/>
  <c r="J1715" i="3" s="1"/>
  <c r="L1715" i="3"/>
  <c r="I1716" i="3"/>
  <c r="J1716" i="3" s="1"/>
  <c r="L1716" i="3"/>
  <c r="I1717" i="3"/>
  <c r="J1717" i="3" s="1"/>
  <c r="L1717" i="3"/>
  <c r="I1718" i="3"/>
  <c r="J1718" i="3" s="1"/>
  <c r="L1718" i="3"/>
  <c r="I1719" i="3"/>
  <c r="J1719" i="3" s="1"/>
  <c r="L1719" i="3"/>
  <c r="I1720" i="3"/>
  <c r="J1720" i="3" s="1"/>
  <c r="L1720" i="3"/>
  <c r="I1721" i="3"/>
  <c r="J1721" i="3" s="1"/>
  <c r="L1721" i="3"/>
  <c r="I1722" i="3"/>
  <c r="J1722" i="3" s="1"/>
  <c r="L1722" i="3"/>
  <c r="I1723" i="3"/>
  <c r="J1723" i="3" s="1"/>
  <c r="L1723" i="3"/>
  <c r="I1724" i="3"/>
  <c r="J1724" i="3" s="1"/>
  <c r="L1724" i="3"/>
  <c r="I1725" i="3"/>
  <c r="J1725" i="3" s="1"/>
  <c r="L1725" i="3"/>
  <c r="I1726" i="3"/>
  <c r="J1726" i="3" s="1"/>
  <c r="L1726" i="3"/>
  <c r="I1728" i="3"/>
  <c r="J1728" i="3" s="1"/>
  <c r="M1727" i="3" s="1"/>
  <c r="L1728" i="3"/>
  <c r="I1729" i="3"/>
  <c r="J1729" i="3" s="1"/>
  <c r="L1729" i="3"/>
  <c r="I1730" i="3"/>
  <c r="J1730" i="3" s="1"/>
  <c r="L1730" i="3"/>
  <c r="I1731" i="3"/>
  <c r="J1731" i="3" s="1"/>
  <c r="L1731" i="3"/>
  <c r="I1732" i="3"/>
  <c r="J1732" i="3" s="1"/>
  <c r="L1732" i="3"/>
  <c r="I1733" i="3"/>
  <c r="J1733" i="3" s="1"/>
  <c r="L1733" i="3"/>
  <c r="I1734" i="3"/>
  <c r="J1734" i="3" s="1"/>
  <c r="L1734" i="3"/>
  <c r="I1735" i="3"/>
  <c r="J1735" i="3" s="1"/>
  <c r="L1735" i="3"/>
  <c r="I1736" i="3"/>
  <c r="J1736" i="3" s="1"/>
  <c r="L1736" i="3"/>
  <c r="I1737" i="3"/>
  <c r="J1737" i="3" s="1"/>
  <c r="L1737" i="3"/>
  <c r="I1738" i="3"/>
  <c r="J1738" i="3" s="1"/>
  <c r="L1738" i="3"/>
  <c r="I1739" i="3"/>
  <c r="J1739" i="3" s="1"/>
  <c r="L1739" i="3"/>
  <c r="I1740" i="3"/>
  <c r="J1740" i="3" s="1"/>
  <c r="L1740" i="3"/>
  <c r="I1741" i="3"/>
  <c r="J1741" i="3" s="1"/>
  <c r="L1741" i="3"/>
  <c r="I1742" i="3"/>
  <c r="J1742" i="3" s="1"/>
  <c r="L1742" i="3"/>
  <c r="I1743" i="3"/>
  <c r="J1743" i="3" s="1"/>
  <c r="L1743" i="3"/>
  <c r="I1744" i="3"/>
  <c r="J1744" i="3" s="1"/>
  <c r="L1744" i="3"/>
  <c r="I1745" i="3"/>
  <c r="J1745" i="3" s="1"/>
  <c r="L1745" i="3"/>
  <c r="I1746" i="3"/>
  <c r="J1746" i="3" s="1"/>
  <c r="L1746" i="3"/>
  <c r="I1747" i="3"/>
  <c r="J1747" i="3" s="1"/>
  <c r="L1747" i="3"/>
  <c r="I1748" i="3"/>
  <c r="J1748" i="3" s="1"/>
  <c r="L1748" i="3"/>
  <c r="I1749" i="3"/>
  <c r="J1749" i="3" s="1"/>
  <c r="L1749" i="3"/>
  <c r="I1750" i="3"/>
  <c r="J1750" i="3" s="1"/>
  <c r="L1750" i="3"/>
  <c r="I1751" i="3"/>
  <c r="J1751" i="3" s="1"/>
  <c r="L1751" i="3"/>
  <c r="I1752" i="3"/>
  <c r="J1752" i="3" s="1"/>
  <c r="L1752" i="3"/>
  <c r="I1753" i="3"/>
  <c r="J1753" i="3" s="1"/>
  <c r="L1753" i="3"/>
  <c r="I1754" i="3"/>
  <c r="J1754" i="3" s="1"/>
  <c r="L1754" i="3"/>
  <c r="I1755" i="3"/>
  <c r="J1755" i="3" s="1"/>
  <c r="L1755" i="3"/>
  <c r="I1756" i="3"/>
  <c r="J1756" i="3" s="1"/>
  <c r="L1756" i="3"/>
  <c r="I1757" i="3"/>
  <c r="J1757" i="3" s="1"/>
  <c r="L1757" i="3"/>
  <c r="I1758" i="3"/>
  <c r="J1758" i="3" s="1"/>
  <c r="L1758" i="3"/>
  <c r="I1759" i="3"/>
  <c r="J1759" i="3" s="1"/>
  <c r="L1759" i="3"/>
  <c r="I1760" i="3"/>
  <c r="J1760" i="3" s="1"/>
  <c r="L1760" i="3"/>
  <c r="I1761" i="3"/>
  <c r="J1761" i="3" s="1"/>
  <c r="L1761" i="3"/>
  <c r="I1762" i="3"/>
  <c r="J1762" i="3" s="1"/>
  <c r="L1762" i="3"/>
  <c r="I1763" i="3"/>
  <c r="J1763" i="3" s="1"/>
  <c r="L1763" i="3"/>
  <c r="I1764" i="3"/>
  <c r="J1764" i="3" s="1"/>
  <c r="L1764" i="3"/>
  <c r="I1765" i="3"/>
  <c r="J1765" i="3" s="1"/>
  <c r="L1765" i="3"/>
  <c r="I1766" i="3"/>
  <c r="J1766" i="3" s="1"/>
  <c r="L1766" i="3"/>
  <c r="I1767" i="3"/>
  <c r="J1767" i="3" s="1"/>
  <c r="L1767" i="3"/>
  <c r="I1768" i="3"/>
  <c r="J1768" i="3" s="1"/>
  <c r="L1768" i="3"/>
  <c r="I1769" i="3"/>
  <c r="J1769" i="3" s="1"/>
  <c r="L1769" i="3"/>
  <c r="I1770" i="3"/>
  <c r="J1770" i="3" s="1"/>
  <c r="L1770" i="3"/>
  <c r="I1771" i="3"/>
  <c r="J1771" i="3" s="1"/>
  <c r="L1771" i="3"/>
  <c r="I1772" i="3"/>
  <c r="J1772" i="3" s="1"/>
  <c r="L1772" i="3"/>
  <c r="I1773" i="3"/>
  <c r="J1773" i="3" s="1"/>
  <c r="L1773" i="3"/>
  <c r="I1774" i="3"/>
  <c r="J1774" i="3" s="1"/>
  <c r="L1774" i="3"/>
  <c r="I1775" i="3"/>
  <c r="J1775" i="3" s="1"/>
  <c r="L1775" i="3"/>
  <c r="I1776" i="3"/>
  <c r="J1776" i="3" s="1"/>
  <c r="L1776" i="3"/>
  <c r="I1777" i="3"/>
  <c r="J1777" i="3" s="1"/>
  <c r="L1777" i="3"/>
  <c r="I1778" i="3"/>
  <c r="J1778" i="3" s="1"/>
  <c r="L1778" i="3"/>
  <c r="I1779" i="3"/>
  <c r="J1779" i="3" s="1"/>
  <c r="L1779" i="3"/>
  <c r="I1780" i="3"/>
  <c r="J1780" i="3" s="1"/>
  <c r="L1780" i="3"/>
  <c r="I1781" i="3"/>
  <c r="J1781" i="3" s="1"/>
  <c r="L1781" i="3"/>
  <c r="I1782" i="3"/>
  <c r="J1782" i="3" s="1"/>
  <c r="L1782" i="3"/>
  <c r="I1788" i="3"/>
  <c r="J1788" i="3" s="1"/>
  <c r="L1788" i="3"/>
  <c r="I1789" i="3"/>
  <c r="J1789" i="3" s="1"/>
  <c r="L1789" i="3"/>
  <c r="I1790" i="3"/>
  <c r="J1790" i="3" s="1"/>
  <c r="L1790" i="3"/>
  <c r="I1791" i="3"/>
  <c r="J1791" i="3" s="1"/>
  <c r="L1791" i="3"/>
  <c r="I1792" i="3"/>
  <c r="J1792" i="3" s="1"/>
  <c r="L1792" i="3"/>
  <c r="I1793" i="3"/>
  <c r="J1793" i="3" s="1"/>
  <c r="L1793" i="3"/>
  <c r="I1794" i="3"/>
  <c r="J1794" i="3" s="1"/>
  <c r="L1794" i="3"/>
  <c r="I1795" i="3"/>
  <c r="J1795" i="3" s="1"/>
  <c r="L1795" i="3"/>
  <c r="I1796" i="3"/>
  <c r="J1796" i="3" s="1"/>
  <c r="L1796" i="3"/>
  <c r="I1797" i="3"/>
  <c r="J1797" i="3" s="1"/>
  <c r="L1797" i="3"/>
  <c r="I1798" i="3"/>
  <c r="J1798" i="3" s="1"/>
  <c r="L1798" i="3"/>
  <c r="I1799" i="3"/>
  <c r="J1799" i="3" s="1"/>
  <c r="L1799" i="3"/>
  <c r="I1800" i="3"/>
  <c r="J1800" i="3" s="1"/>
  <c r="L1800" i="3"/>
  <c r="I1801" i="3"/>
  <c r="J1801" i="3" s="1"/>
  <c r="L1801" i="3"/>
  <c r="I1802" i="3"/>
  <c r="J1802" i="3" s="1"/>
  <c r="L1802" i="3"/>
  <c r="I1803" i="3"/>
  <c r="J1803" i="3" s="1"/>
  <c r="L1803" i="3"/>
  <c r="I1804" i="3"/>
  <c r="J1804" i="3" s="1"/>
  <c r="L1804" i="3"/>
  <c r="I1805" i="3"/>
  <c r="J1805" i="3" s="1"/>
  <c r="L1805" i="3"/>
  <c r="I1806" i="3"/>
  <c r="J1806" i="3" s="1"/>
  <c r="L1806" i="3"/>
  <c r="I1807" i="3"/>
  <c r="J1807" i="3" s="1"/>
  <c r="L1807" i="3"/>
  <c r="I1808" i="3"/>
  <c r="J1808" i="3" s="1"/>
  <c r="L1808" i="3"/>
  <c r="I1809" i="3"/>
  <c r="J1809" i="3" s="1"/>
  <c r="L1809" i="3"/>
  <c r="I1810" i="3"/>
  <c r="J1810" i="3" s="1"/>
  <c r="L1810" i="3"/>
  <c r="I1811" i="3"/>
  <c r="J1811" i="3" s="1"/>
  <c r="L1811" i="3"/>
  <c r="I1812" i="3"/>
  <c r="J1812" i="3" s="1"/>
  <c r="L1812" i="3"/>
  <c r="I1813" i="3"/>
  <c r="J1813" i="3" s="1"/>
  <c r="L1813" i="3"/>
  <c r="I1814" i="3"/>
  <c r="J1814" i="3" s="1"/>
  <c r="L1814" i="3"/>
  <c r="I1815" i="3"/>
  <c r="J1815" i="3" s="1"/>
  <c r="L1815" i="3"/>
  <c r="I1816" i="3"/>
  <c r="J1816" i="3" s="1"/>
  <c r="L1816" i="3"/>
  <c r="I1817" i="3"/>
  <c r="J1817" i="3" s="1"/>
  <c r="L1817" i="3"/>
  <c r="I1818" i="3"/>
  <c r="J1818" i="3" s="1"/>
  <c r="L1818" i="3"/>
  <c r="I1819" i="3"/>
  <c r="J1819" i="3" s="1"/>
  <c r="L1819" i="3"/>
  <c r="I1820" i="3"/>
  <c r="J1820" i="3" s="1"/>
  <c r="L1820" i="3"/>
  <c r="I1821" i="3"/>
  <c r="J1821" i="3" s="1"/>
  <c r="L1821" i="3"/>
  <c r="I1822" i="3"/>
  <c r="J1822" i="3" s="1"/>
  <c r="L1822" i="3"/>
  <c r="I1823" i="3"/>
  <c r="J1823" i="3" s="1"/>
  <c r="L1823" i="3"/>
  <c r="I1824" i="3"/>
  <c r="J1824" i="3" s="1"/>
  <c r="L1824" i="3"/>
  <c r="I1825" i="3"/>
  <c r="J1825" i="3" s="1"/>
  <c r="M1822" i="3" s="1"/>
  <c r="L1825" i="3"/>
  <c r="I1826" i="3"/>
  <c r="J1826" i="3" s="1"/>
  <c r="L1826" i="3"/>
  <c r="I1827" i="3"/>
  <c r="J1827" i="3" s="1"/>
  <c r="K1827" i="3"/>
  <c r="L1827" i="3"/>
  <c r="I1836" i="3"/>
  <c r="J1836" i="3" s="1"/>
  <c r="L1836" i="3"/>
  <c r="I1837" i="3"/>
  <c r="J1837" i="3" s="1"/>
  <c r="L1837" i="3"/>
  <c r="I1838" i="3"/>
  <c r="J1838" i="3" s="1"/>
  <c r="L1838" i="3"/>
  <c r="I1839" i="3"/>
  <c r="J1839" i="3" s="1"/>
  <c r="L1839" i="3"/>
  <c r="I1840" i="3"/>
  <c r="J1840" i="3" s="1"/>
  <c r="L1840" i="3"/>
  <c r="I1854" i="3"/>
  <c r="J1854" i="3" s="1"/>
  <c r="L1854" i="3"/>
  <c r="I1855" i="3"/>
  <c r="J1855" i="3" s="1"/>
  <c r="L1855" i="3"/>
  <c r="I1856" i="3"/>
  <c r="J1856" i="3" s="1"/>
  <c r="L1856" i="3"/>
  <c r="I1857" i="3"/>
  <c r="J1857" i="3" s="1"/>
  <c r="L1857" i="3"/>
  <c r="I1858" i="3"/>
  <c r="J1858" i="3" s="1"/>
  <c r="L1858" i="3"/>
  <c r="I1859" i="3"/>
  <c r="J1859" i="3" s="1"/>
  <c r="L1859" i="3"/>
  <c r="I1860" i="3"/>
  <c r="J1860" i="3" s="1"/>
  <c r="L1860" i="3"/>
  <c r="I1861" i="3"/>
  <c r="J1861" i="3" s="1"/>
  <c r="L1861" i="3"/>
  <c r="I1862" i="3"/>
  <c r="J1862" i="3" s="1"/>
  <c r="L1862" i="3"/>
  <c r="I1863" i="3"/>
  <c r="J1863" i="3" s="1"/>
  <c r="L1863" i="3"/>
  <c r="I1864" i="3"/>
  <c r="J1864" i="3" s="1"/>
  <c r="L1864" i="3"/>
  <c r="I1865" i="3"/>
  <c r="J1865" i="3" s="1"/>
  <c r="L1865" i="3"/>
  <c r="I1866" i="3"/>
  <c r="J1866" i="3" s="1"/>
  <c r="L1866" i="3"/>
  <c r="I1867" i="3"/>
  <c r="J1867" i="3" s="1"/>
  <c r="L1867" i="3"/>
  <c r="I1868" i="3"/>
  <c r="J1868" i="3" s="1"/>
  <c r="L1868" i="3"/>
  <c r="I1869" i="3"/>
  <c r="J1869" i="3" s="1"/>
  <c r="L1869" i="3"/>
  <c r="I1870" i="3"/>
  <c r="J1870" i="3" s="1"/>
  <c r="L1870" i="3"/>
  <c r="I1871" i="3"/>
  <c r="J1871" i="3" s="1"/>
  <c r="L1871" i="3"/>
  <c r="I1872" i="3"/>
  <c r="J1872" i="3" s="1"/>
  <c r="L1872" i="3"/>
  <c r="I1873" i="3"/>
  <c r="J1873" i="3" s="1"/>
  <c r="L1873" i="3"/>
  <c r="I1874" i="3"/>
  <c r="J1874" i="3" s="1"/>
  <c r="L1874" i="3"/>
  <c r="I1875" i="3"/>
  <c r="J1875" i="3" s="1"/>
  <c r="L1875" i="3"/>
  <c r="I1876" i="3"/>
  <c r="J1876" i="3" s="1"/>
  <c r="L1876" i="3"/>
  <c r="I1877" i="3"/>
  <c r="J1877" i="3" s="1"/>
  <c r="L1877" i="3"/>
  <c r="I1878" i="3"/>
  <c r="J1878" i="3" s="1"/>
  <c r="L1878" i="3"/>
  <c r="I1879" i="3"/>
  <c r="J1879" i="3" s="1"/>
  <c r="L1879" i="3"/>
  <c r="I1880" i="3"/>
  <c r="J1880" i="3" s="1"/>
  <c r="L1880" i="3"/>
  <c r="I1881" i="3"/>
  <c r="J1881" i="3" s="1"/>
  <c r="L1881" i="3"/>
  <c r="I1882" i="3"/>
  <c r="J1882" i="3" s="1"/>
  <c r="L1882" i="3"/>
  <c r="I1883" i="3"/>
  <c r="J1883" i="3" s="1"/>
  <c r="L1883" i="3"/>
  <c r="I1884" i="3"/>
  <c r="J1884" i="3" s="1"/>
  <c r="L1884" i="3"/>
  <c r="I1885" i="3"/>
  <c r="J1885" i="3" s="1"/>
  <c r="L1885" i="3"/>
  <c r="I1886" i="3"/>
  <c r="J1886" i="3" s="1"/>
  <c r="L1886" i="3"/>
  <c r="I1887" i="3"/>
  <c r="J1887" i="3" s="1"/>
  <c r="L1887" i="3"/>
  <c r="I1888" i="3"/>
  <c r="J1888" i="3" s="1"/>
  <c r="L1888" i="3"/>
  <c r="I1898" i="3"/>
  <c r="J1898" i="3" s="1"/>
  <c r="L1898" i="3"/>
  <c r="I1899" i="3"/>
  <c r="J1899" i="3" s="1"/>
  <c r="L1899" i="3"/>
  <c r="I1900" i="3"/>
  <c r="J1900" i="3" s="1"/>
  <c r="L1900" i="3"/>
  <c r="I1901" i="3"/>
  <c r="J1901" i="3" s="1"/>
  <c r="L1901" i="3"/>
  <c r="I1902" i="3"/>
  <c r="J1902" i="3" s="1"/>
  <c r="L1902" i="3"/>
  <c r="I1903" i="3"/>
  <c r="J1903" i="3" s="1"/>
  <c r="L1903" i="3"/>
  <c r="I1905" i="3"/>
  <c r="J1905" i="3" s="1"/>
  <c r="M1904" i="3" s="1"/>
  <c r="L1905" i="3"/>
  <c r="I1906" i="3"/>
  <c r="J1906" i="3" s="1"/>
  <c r="L1906" i="3"/>
  <c r="I1907" i="3"/>
  <c r="J1907" i="3" s="1"/>
  <c r="L1907" i="3"/>
  <c r="I1908" i="3"/>
  <c r="J1908" i="3" s="1"/>
  <c r="L1908" i="3"/>
  <c r="I1909" i="3"/>
  <c r="J1909" i="3" s="1"/>
  <c r="L1909" i="3"/>
  <c r="I1910" i="3"/>
  <c r="J1910" i="3" s="1"/>
  <c r="L1910" i="3"/>
  <c r="I1911" i="3"/>
  <c r="J1911" i="3" s="1"/>
  <c r="L1911" i="3"/>
  <c r="I1912" i="3"/>
  <c r="J1912" i="3" s="1"/>
  <c r="L1912" i="3"/>
  <c r="I1913" i="3"/>
  <c r="J1913" i="3" s="1"/>
  <c r="L1913" i="3"/>
  <c r="I1914" i="3"/>
  <c r="J1914" i="3" s="1"/>
  <c r="L1914" i="3"/>
  <c r="I1915" i="3"/>
  <c r="J1915" i="3" s="1"/>
  <c r="L1915" i="3"/>
  <c r="I1916" i="3"/>
  <c r="J1916" i="3" s="1"/>
  <c r="L1916" i="3"/>
  <c r="I1917" i="3"/>
  <c r="J1917" i="3" s="1"/>
  <c r="L1917" i="3"/>
  <c r="I1918" i="3"/>
  <c r="J1918" i="3" s="1"/>
  <c r="L1918" i="3"/>
  <c r="I1919" i="3"/>
  <c r="J1919" i="3" s="1"/>
  <c r="L1919" i="3"/>
  <c r="I1920" i="3"/>
  <c r="J1920" i="3" s="1"/>
  <c r="L1920" i="3"/>
  <c r="I1921" i="3"/>
  <c r="J1921" i="3" s="1"/>
  <c r="L1921" i="3"/>
  <c r="I1922" i="3"/>
  <c r="J1922" i="3" s="1"/>
  <c r="L1922" i="3"/>
  <c r="I1923" i="3"/>
  <c r="J1923" i="3" s="1"/>
  <c r="L1923" i="3"/>
  <c r="I1924" i="3"/>
  <c r="J1924" i="3" s="1"/>
  <c r="L1924" i="3"/>
  <c r="I1925" i="3"/>
  <c r="J1925" i="3" s="1"/>
  <c r="L1925" i="3"/>
  <c r="I1926" i="3"/>
  <c r="J1926" i="3" s="1"/>
  <c r="L1926" i="3"/>
  <c r="I1927" i="3"/>
  <c r="J1927" i="3" s="1"/>
  <c r="L1927" i="3"/>
  <c r="I1928" i="3"/>
  <c r="J1928" i="3" s="1"/>
  <c r="L1928" i="3"/>
  <c r="I1929" i="3"/>
  <c r="J1929" i="3" s="1"/>
  <c r="L1929" i="3"/>
  <c r="I1930" i="3"/>
  <c r="J1930" i="3" s="1"/>
  <c r="L1930" i="3"/>
  <c r="I1931" i="3"/>
  <c r="J1931" i="3" s="1"/>
  <c r="L1931" i="3"/>
  <c r="I1933" i="3"/>
  <c r="J1933" i="3" s="1"/>
  <c r="L1933" i="3"/>
  <c r="I1934" i="3"/>
  <c r="J1934" i="3" s="1"/>
  <c r="L1934" i="3"/>
  <c r="I1935" i="3"/>
  <c r="J1935" i="3" s="1"/>
  <c r="L1935" i="3"/>
  <c r="I1936" i="3"/>
  <c r="J1936" i="3" s="1"/>
  <c r="L1936" i="3"/>
  <c r="I1937" i="3"/>
  <c r="J1937" i="3" s="1"/>
  <c r="L1937" i="3"/>
  <c r="I1938" i="3"/>
  <c r="J1938" i="3" s="1"/>
  <c r="L1938" i="3"/>
  <c r="I1939" i="3"/>
  <c r="J1939" i="3" s="1"/>
  <c r="L1939" i="3"/>
  <c r="I1940" i="3"/>
  <c r="J1940" i="3" s="1"/>
  <c r="L1940" i="3"/>
  <c r="I1941" i="3"/>
  <c r="J1941" i="3" s="1"/>
  <c r="L1941" i="3"/>
  <c r="I1942" i="3"/>
  <c r="J1942" i="3" s="1"/>
  <c r="L1942" i="3"/>
  <c r="I1943" i="3"/>
  <c r="J1943" i="3" s="1"/>
  <c r="L1943" i="3"/>
  <c r="I1955" i="3"/>
  <c r="J1955" i="3" s="1"/>
  <c r="L1955" i="3"/>
  <c r="I1956" i="3"/>
  <c r="J1956" i="3" s="1"/>
  <c r="L1956" i="3"/>
  <c r="I1957" i="3"/>
  <c r="J1957" i="3" s="1"/>
  <c r="L1957" i="3"/>
  <c r="I1958" i="3"/>
  <c r="J1958" i="3" s="1"/>
  <c r="L1958" i="3"/>
  <c r="I1959" i="3"/>
  <c r="J1959" i="3" s="1"/>
  <c r="L1959" i="3"/>
  <c r="I1960" i="3"/>
  <c r="J1960" i="3" s="1"/>
  <c r="L1960" i="3"/>
  <c r="I1961" i="3"/>
  <c r="J1961" i="3" s="1"/>
  <c r="L1961" i="3"/>
  <c r="I1962" i="3"/>
  <c r="J1962" i="3" s="1"/>
  <c r="L1962" i="3"/>
  <c r="I1963" i="3"/>
  <c r="J1963" i="3" s="1"/>
  <c r="L1963" i="3"/>
  <c r="I1964" i="3"/>
  <c r="J1964" i="3" s="1"/>
  <c r="L1964" i="3"/>
  <c r="I1965" i="3"/>
  <c r="J1965" i="3" s="1"/>
  <c r="L1965" i="3"/>
  <c r="I1966" i="3"/>
  <c r="J1966" i="3" s="1"/>
  <c r="L1966" i="3"/>
  <c r="I1967" i="3"/>
  <c r="J1967" i="3" s="1"/>
  <c r="L1967" i="3"/>
  <c r="I1968" i="3"/>
  <c r="J1968" i="3" s="1"/>
  <c r="L1968" i="3"/>
  <c r="I1969" i="3"/>
  <c r="J1969" i="3" s="1"/>
  <c r="L1969" i="3"/>
  <c r="I1970" i="3"/>
  <c r="J1970" i="3" s="1"/>
  <c r="L1970" i="3"/>
  <c r="I1971" i="3"/>
  <c r="J1971" i="3" s="1"/>
  <c r="L1971" i="3"/>
  <c r="I1972" i="3"/>
  <c r="J1972" i="3" s="1"/>
  <c r="L1972" i="3"/>
  <c r="I1973" i="3"/>
  <c r="J1973" i="3" s="1"/>
  <c r="L1973" i="3"/>
  <c r="I1974" i="3"/>
  <c r="J1974" i="3" s="1"/>
  <c r="L1974" i="3"/>
  <c r="I1975" i="3"/>
  <c r="J1975" i="3" s="1"/>
  <c r="L1975" i="3"/>
  <c r="I1976" i="3"/>
  <c r="J1976" i="3" s="1"/>
  <c r="L1976" i="3"/>
  <c r="I1977" i="3"/>
  <c r="J1977" i="3" s="1"/>
  <c r="L1977" i="3"/>
  <c r="I1978" i="3"/>
  <c r="J1978" i="3" s="1"/>
  <c r="L1978" i="3"/>
  <c r="I1979" i="3"/>
  <c r="J1979" i="3" s="1"/>
  <c r="L1979" i="3"/>
  <c r="I1980" i="3"/>
  <c r="J1980" i="3" s="1"/>
  <c r="L1980" i="3"/>
  <c r="I1981" i="3"/>
  <c r="J1981" i="3" s="1"/>
  <c r="L1981" i="3"/>
  <c r="I1982" i="3"/>
  <c r="J1982" i="3" s="1"/>
  <c r="L1982" i="3"/>
  <c r="I1983" i="3"/>
  <c r="J1983" i="3" s="1"/>
  <c r="L1983" i="3"/>
  <c r="I1984" i="3"/>
  <c r="J1984" i="3" s="1"/>
  <c r="L1984" i="3"/>
  <c r="I1985" i="3"/>
  <c r="J1985" i="3" s="1"/>
  <c r="L1985" i="3"/>
  <c r="I1986" i="3"/>
  <c r="J1986" i="3" s="1"/>
  <c r="L1986" i="3"/>
  <c r="I1987" i="3"/>
  <c r="J1987" i="3" s="1"/>
  <c r="L1987" i="3"/>
  <c r="I1988" i="3"/>
  <c r="J1988" i="3" s="1"/>
  <c r="L1988" i="3"/>
  <c r="I1989" i="3"/>
  <c r="J1989" i="3" s="1"/>
  <c r="L1989" i="3"/>
  <c r="I1990" i="3"/>
  <c r="J1990" i="3" s="1"/>
  <c r="L1990" i="3"/>
  <c r="I1991" i="3"/>
  <c r="J1991" i="3" s="1"/>
  <c r="L1991" i="3"/>
  <c r="I1992" i="3"/>
  <c r="J1992" i="3" s="1"/>
  <c r="L1992" i="3"/>
  <c r="I1993" i="3"/>
  <c r="J1993" i="3" s="1"/>
  <c r="L1993" i="3"/>
  <c r="I1994" i="3"/>
  <c r="J1994" i="3" s="1"/>
  <c r="L1994" i="3"/>
  <c r="I1995" i="3"/>
  <c r="J1995" i="3" s="1"/>
  <c r="L1995" i="3"/>
  <c r="I1996" i="3"/>
  <c r="J1996" i="3" s="1"/>
  <c r="L1996" i="3"/>
  <c r="I1997" i="3"/>
  <c r="J1997" i="3" s="1"/>
  <c r="L1997" i="3"/>
  <c r="I1998" i="3"/>
  <c r="J1998" i="3" s="1"/>
  <c r="L1998" i="3"/>
  <c r="I1999" i="3"/>
  <c r="J1999" i="3" s="1"/>
  <c r="L1999" i="3"/>
  <c r="I2000" i="3"/>
  <c r="J2000" i="3" s="1"/>
  <c r="L2000" i="3"/>
  <c r="I2001" i="3"/>
  <c r="J2001" i="3" s="1"/>
  <c r="L2001" i="3"/>
  <c r="I2002" i="3"/>
  <c r="J2002" i="3" s="1"/>
  <c r="L2002" i="3"/>
  <c r="I2003" i="3"/>
  <c r="J2003" i="3" s="1"/>
  <c r="L2003" i="3"/>
  <c r="I2004" i="3"/>
  <c r="J2004" i="3" s="1"/>
  <c r="L2004" i="3"/>
  <c r="I2005" i="3"/>
  <c r="J2005" i="3" s="1"/>
  <c r="L2005" i="3"/>
  <c r="I2006" i="3"/>
  <c r="J2006" i="3" s="1"/>
  <c r="L2006" i="3"/>
  <c r="I2007" i="3"/>
  <c r="J2007" i="3" s="1"/>
  <c r="L2007" i="3"/>
  <c r="I2008" i="3"/>
  <c r="J2008" i="3" s="1"/>
  <c r="L2008" i="3"/>
  <c r="I2009" i="3"/>
  <c r="J2009" i="3" s="1"/>
  <c r="L2009" i="3"/>
  <c r="I2010" i="3"/>
  <c r="J2010" i="3" s="1"/>
  <c r="L2010" i="3"/>
  <c r="I2011" i="3"/>
  <c r="J2011" i="3" s="1"/>
  <c r="L2011" i="3"/>
  <c r="I2012" i="3"/>
  <c r="J2012" i="3" s="1"/>
  <c r="L2012" i="3"/>
  <c r="I2013" i="3"/>
  <c r="J2013" i="3" s="1"/>
  <c r="L2013" i="3"/>
  <c r="I2014" i="3"/>
  <c r="J2014" i="3" s="1"/>
  <c r="L2014" i="3"/>
  <c r="I2015" i="3"/>
  <c r="J2015" i="3" s="1"/>
  <c r="L2015" i="3"/>
  <c r="I2016" i="3"/>
  <c r="J2016" i="3" s="1"/>
  <c r="L2016" i="3"/>
  <c r="I2017" i="3"/>
  <c r="J2017" i="3" s="1"/>
  <c r="L2017" i="3"/>
  <c r="I2018" i="3"/>
  <c r="J2018" i="3" s="1"/>
  <c r="L2018" i="3"/>
  <c r="I2019" i="3"/>
  <c r="J2019" i="3" s="1"/>
  <c r="L2019" i="3"/>
  <c r="I2020" i="3"/>
  <c r="J2020" i="3" s="1"/>
  <c r="L2020" i="3"/>
  <c r="I2021" i="3"/>
  <c r="J2021" i="3" s="1"/>
  <c r="L2021" i="3"/>
  <c r="I2022" i="3"/>
  <c r="J2022" i="3" s="1"/>
  <c r="L2022" i="3"/>
  <c r="I2023" i="3"/>
  <c r="J2023" i="3" s="1"/>
  <c r="L2023" i="3"/>
  <c r="I2024" i="3"/>
  <c r="J2024" i="3" s="1"/>
  <c r="L2024" i="3"/>
  <c r="I2025" i="3"/>
  <c r="J2025" i="3" s="1"/>
  <c r="L2025" i="3"/>
  <c r="I2026" i="3"/>
  <c r="J2026" i="3" s="1"/>
  <c r="L2026" i="3"/>
  <c r="I2027" i="3"/>
  <c r="J2027" i="3" s="1"/>
  <c r="L2027" i="3"/>
  <c r="I2028" i="3"/>
  <c r="J2028" i="3" s="1"/>
  <c r="L2028" i="3"/>
  <c r="I2029" i="3"/>
  <c r="J2029" i="3" s="1"/>
  <c r="L2029" i="3"/>
  <c r="I2030" i="3"/>
  <c r="J2030" i="3" s="1"/>
  <c r="L2030" i="3"/>
  <c r="I2031" i="3"/>
  <c r="J2031" i="3" s="1"/>
  <c r="L2031" i="3"/>
  <c r="I2032" i="3"/>
  <c r="J2032" i="3" s="1"/>
  <c r="L2032" i="3"/>
  <c r="I2033" i="3"/>
  <c r="J2033" i="3" s="1"/>
  <c r="L2033" i="3"/>
  <c r="I2034" i="3"/>
  <c r="J2034" i="3" s="1"/>
  <c r="L2034" i="3"/>
  <c r="I2035" i="3"/>
  <c r="J2035" i="3" s="1"/>
  <c r="L2035" i="3"/>
  <c r="I2036" i="3"/>
  <c r="J2036" i="3" s="1"/>
  <c r="L2036" i="3"/>
  <c r="I2037" i="3"/>
  <c r="J2037" i="3" s="1"/>
  <c r="L2037" i="3"/>
  <c r="I2038" i="3"/>
  <c r="J2038" i="3" s="1"/>
  <c r="L2038" i="3"/>
  <c r="I2039" i="3"/>
  <c r="J2039" i="3" s="1"/>
  <c r="L2039" i="3"/>
  <c r="I2040" i="3"/>
  <c r="J2040" i="3" s="1"/>
  <c r="L2040" i="3"/>
  <c r="I2041" i="3"/>
  <c r="J2041" i="3" s="1"/>
  <c r="L2041" i="3"/>
  <c r="I2042" i="3"/>
  <c r="J2042" i="3" s="1"/>
  <c r="L2042" i="3"/>
  <c r="I2043" i="3"/>
  <c r="J2043" i="3" s="1"/>
  <c r="L2043" i="3"/>
  <c r="I2044" i="3"/>
  <c r="J2044" i="3" s="1"/>
  <c r="L2044" i="3"/>
  <c r="I2045" i="3"/>
  <c r="J2045" i="3" s="1"/>
  <c r="L2045" i="3"/>
  <c r="I2046" i="3"/>
  <c r="J2046" i="3" s="1"/>
  <c r="L2046" i="3"/>
  <c r="I2047" i="3"/>
  <c r="J2047" i="3" s="1"/>
  <c r="L2047" i="3"/>
  <c r="I2048" i="3"/>
  <c r="J2048" i="3" s="1"/>
  <c r="L2048" i="3"/>
  <c r="I2049" i="3"/>
  <c r="J2049" i="3" s="1"/>
  <c r="L2049" i="3"/>
  <c r="I2050" i="3"/>
  <c r="J2050" i="3" s="1"/>
  <c r="L2050" i="3"/>
  <c r="I2051" i="3"/>
  <c r="J2051" i="3" s="1"/>
  <c r="L2051" i="3"/>
  <c r="I2052" i="3"/>
  <c r="J2052" i="3" s="1"/>
  <c r="L2052" i="3"/>
  <c r="I2053" i="3"/>
  <c r="J2053" i="3" s="1"/>
  <c r="L2053" i="3"/>
  <c r="I2054" i="3"/>
  <c r="J2054" i="3" s="1"/>
  <c r="L2054" i="3"/>
  <c r="I2055" i="3"/>
  <c r="J2055" i="3" s="1"/>
  <c r="L2055" i="3"/>
  <c r="I2056" i="3"/>
  <c r="J2056" i="3" s="1"/>
  <c r="L2056" i="3"/>
  <c r="I2057" i="3"/>
  <c r="J2057" i="3" s="1"/>
  <c r="L2057" i="3"/>
  <c r="I2058" i="3"/>
  <c r="J2058" i="3" s="1"/>
  <c r="L2058" i="3"/>
  <c r="I2059" i="3"/>
  <c r="J2059" i="3" s="1"/>
  <c r="L2059" i="3"/>
  <c r="I2060" i="3"/>
  <c r="J2060" i="3" s="1"/>
  <c r="L2060" i="3"/>
  <c r="I2061" i="3"/>
  <c r="J2061" i="3" s="1"/>
  <c r="L2061" i="3"/>
  <c r="I2062" i="3"/>
  <c r="J2062" i="3" s="1"/>
  <c r="L2062" i="3"/>
  <c r="I2063" i="3"/>
  <c r="J2063" i="3" s="1"/>
  <c r="L2063" i="3"/>
  <c r="I2064" i="3"/>
  <c r="J2064" i="3" s="1"/>
  <c r="L2064" i="3"/>
  <c r="I2065" i="3"/>
  <c r="J2065" i="3" s="1"/>
  <c r="L2065" i="3"/>
  <c r="I2066" i="3"/>
  <c r="J2066" i="3" s="1"/>
  <c r="L2066" i="3"/>
  <c r="I2067" i="3"/>
  <c r="J2067" i="3" s="1"/>
  <c r="L2067" i="3"/>
  <c r="I2068" i="3"/>
  <c r="J2068" i="3" s="1"/>
  <c r="L2068" i="3"/>
  <c r="I2069" i="3"/>
  <c r="J2069" i="3" s="1"/>
  <c r="L2069" i="3"/>
  <c r="I2070" i="3"/>
  <c r="J2070" i="3" s="1"/>
  <c r="L2070" i="3"/>
  <c r="I2071" i="3"/>
  <c r="J2071" i="3" s="1"/>
  <c r="L2071" i="3"/>
  <c r="I2072" i="3"/>
  <c r="J2072" i="3" s="1"/>
  <c r="L2072" i="3"/>
  <c r="I2073" i="3"/>
  <c r="J2073" i="3" s="1"/>
  <c r="L2073" i="3"/>
  <c r="I2074" i="3"/>
  <c r="J2074" i="3" s="1"/>
  <c r="L2074" i="3"/>
  <c r="I2075" i="3"/>
  <c r="J2075" i="3" s="1"/>
  <c r="L2075" i="3"/>
  <c r="I2076" i="3"/>
  <c r="J2076" i="3" s="1"/>
  <c r="L2076" i="3"/>
  <c r="I2077" i="3"/>
  <c r="J2077" i="3" s="1"/>
  <c r="L2077" i="3"/>
  <c r="I2078" i="3"/>
  <c r="J2078" i="3" s="1"/>
  <c r="L2078" i="3"/>
  <c r="I2079" i="3"/>
  <c r="J2079" i="3" s="1"/>
  <c r="L2079" i="3"/>
  <c r="I2080" i="3"/>
  <c r="J2080" i="3" s="1"/>
  <c r="L2080" i="3"/>
  <c r="I2081" i="3"/>
  <c r="J2081" i="3" s="1"/>
  <c r="L2081" i="3"/>
  <c r="I2082" i="3"/>
  <c r="J2082" i="3" s="1"/>
  <c r="L2082" i="3"/>
  <c r="I2083" i="3"/>
  <c r="J2083" i="3" s="1"/>
  <c r="L2083" i="3"/>
  <c r="I2084" i="3"/>
  <c r="J2084" i="3" s="1"/>
  <c r="L2084" i="3"/>
  <c r="I2085" i="3"/>
  <c r="J2085" i="3" s="1"/>
  <c r="L2085" i="3"/>
  <c r="I2086" i="3"/>
  <c r="J2086" i="3" s="1"/>
  <c r="L2086" i="3"/>
  <c r="I2087" i="3"/>
  <c r="J2087" i="3" s="1"/>
  <c r="L2087" i="3"/>
  <c r="I2088" i="3"/>
  <c r="J2088" i="3" s="1"/>
  <c r="L2088" i="3"/>
  <c r="I2089" i="3"/>
  <c r="J2089" i="3" s="1"/>
  <c r="L2089" i="3"/>
  <c r="I2090" i="3"/>
  <c r="J2090" i="3" s="1"/>
  <c r="L2090" i="3"/>
  <c r="I2091" i="3"/>
  <c r="J2091" i="3" s="1"/>
  <c r="L2091" i="3"/>
  <c r="I2092" i="3"/>
  <c r="J2092" i="3" s="1"/>
  <c r="L2092" i="3"/>
  <c r="I2093" i="3"/>
  <c r="J2093" i="3" s="1"/>
  <c r="L2093" i="3"/>
  <c r="I2094" i="3"/>
  <c r="J2094" i="3" s="1"/>
  <c r="M2094" i="3" s="1"/>
  <c r="L2094" i="3"/>
  <c r="I2096" i="3"/>
  <c r="J2096" i="3" s="1"/>
  <c r="L2096" i="3"/>
  <c r="I2097" i="3"/>
  <c r="J2097" i="3" s="1"/>
  <c r="L2097" i="3"/>
  <c r="I2098" i="3"/>
  <c r="J2098" i="3" s="1"/>
  <c r="L2098" i="3"/>
  <c r="I2099" i="3"/>
  <c r="J2099" i="3" s="1"/>
  <c r="L2099" i="3"/>
  <c r="I2100" i="3"/>
  <c r="J2100" i="3" s="1"/>
  <c r="L2100" i="3"/>
  <c r="I2101" i="3"/>
  <c r="J2101" i="3" s="1"/>
  <c r="L2101" i="3"/>
  <c r="I2102" i="3"/>
  <c r="J2102" i="3" s="1"/>
  <c r="M2098" i="3" s="1"/>
  <c r="L2102" i="3"/>
  <c r="I2103" i="3"/>
  <c r="J2103" i="3" s="1"/>
  <c r="L2103" i="3"/>
  <c r="I2104" i="3"/>
  <c r="J2104" i="3" s="1"/>
  <c r="L2104" i="3"/>
  <c r="I2105" i="3"/>
  <c r="J2105" i="3" s="1"/>
  <c r="L2105" i="3"/>
  <c r="I2106" i="3"/>
  <c r="J2106" i="3" s="1"/>
  <c r="L2106" i="3"/>
  <c r="I2107" i="3"/>
  <c r="J2107" i="3" s="1"/>
  <c r="L2107" i="3"/>
  <c r="I2108" i="3"/>
  <c r="J2108" i="3" s="1"/>
  <c r="L2108" i="3"/>
  <c r="I2109" i="3"/>
  <c r="J2109" i="3" s="1"/>
  <c r="L2109" i="3"/>
  <c r="I2110" i="3"/>
  <c r="J2110" i="3" s="1"/>
  <c r="L2110" i="3"/>
  <c r="I2111" i="3"/>
  <c r="J2111" i="3" s="1"/>
  <c r="L2111" i="3"/>
  <c r="I2112" i="3"/>
  <c r="J2112" i="3" s="1"/>
  <c r="L2112" i="3"/>
  <c r="I2113" i="3"/>
  <c r="J2113" i="3" s="1"/>
  <c r="L2113" i="3"/>
  <c r="I2114" i="3"/>
  <c r="J2114" i="3" s="1"/>
  <c r="L2114" i="3"/>
  <c r="I2115" i="3"/>
  <c r="J2115" i="3" s="1"/>
  <c r="L2115" i="3"/>
  <c r="I2116" i="3"/>
  <c r="J2116" i="3" s="1"/>
  <c r="L2116" i="3"/>
  <c r="I2117" i="3"/>
  <c r="J2117" i="3" s="1"/>
  <c r="L2117" i="3"/>
  <c r="I2118" i="3"/>
  <c r="J2118" i="3" s="1"/>
  <c r="L2118" i="3"/>
  <c r="I2119" i="3"/>
  <c r="J2119" i="3" s="1"/>
  <c r="L2119" i="3"/>
  <c r="I2120" i="3"/>
  <c r="J2120" i="3" s="1"/>
  <c r="L2120" i="3"/>
  <c r="I2121" i="3"/>
  <c r="J2121" i="3" s="1"/>
  <c r="L2121" i="3"/>
  <c r="I2122" i="3"/>
  <c r="J2122" i="3" s="1"/>
  <c r="L2122" i="3"/>
  <c r="I2123" i="3"/>
  <c r="J2123" i="3" s="1"/>
  <c r="L2123" i="3"/>
  <c r="I2124" i="3"/>
  <c r="J2124" i="3" s="1"/>
  <c r="L2124" i="3"/>
  <c r="I2125" i="3"/>
  <c r="J2125" i="3" s="1"/>
  <c r="L2125" i="3"/>
  <c r="I2126" i="3"/>
  <c r="J2126" i="3" s="1"/>
  <c r="L2126" i="3"/>
  <c r="I2127" i="3"/>
  <c r="J2127" i="3" s="1"/>
  <c r="L2127" i="3"/>
  <c r="I2128" i="3"/>
  <c r="J2128" i="3" s="1"/>
  <c r="L2128" i="3"/>
  <c r="I2129" i="3"/>
  <c r="J2129" i="3" s="1"/>
  <c r="L2129" i="3"/>
  <c r="I2130" i="3"/>
  <c r="J2130" i="3" s="1"/>
  <c r="L2130" i="3"/>
  <c r="I2131" i="3"/>
  <c r="J2131" i="3" s="1"/>
  <c r="L2131" i="3"/>
  <c r="I2132" i="3"/>
  <c r="J2132" i="3" s="1"/>
  <c r="L2132" i="3"/>
  <c r="I2133" i="3"/>
  <c r="J2133" i="3" s="1"/>
  <c r="L2133" i="3"/>
  <c r="I2134" i="3"/>
  <c r="J2134" i="3" s="1"/>
  <c r="L2134" i="3"/>
  <c r="I2135" i="3"/>
  <c r="J2135" i="3" s="1"/>
  <c r="L2135" i="3"/>
  <c r="I2136" i="3"/>
  <c r="J2136" i="3" s="1"/>
  <c r="L2136" i="3"/>
  <c r="I2137" i="3"/>
  <c r="J2137" i="3" s="1"/>
  <c r="L2137" i="3"/>
  <c r="I2138" i="3"/>
  <c r="J2138" i="3" s="1"/>
  <c r="L2138" i="3"/>
  <c r="I2139" i="3"/>
  <c r="J2139" i="3" s="1"/>
  <c r="L2139" i="3"/>
  <c r="I2140" i="3"/>
  <c r="J2140" i="3" s="1"/>
  <c r="L2140" i="3"/>
  <c r="I2141" i="3"/>
  <c r="J2141" i="3" s="1"/>
  <c r="L2141" i="3"/>
  <c r="I2142" i="3"/>
  <c r="J2142" i="3" s="1"/>
  <c r="L2142" i="3"/>
  <c r="I2143" i="3"/>
  <c r="J2143" i="3" s="1"/>
  <c r="L2143" i="3"/>
  <c r="I2144" i="3"/>
  <c r="J2144" i="3" s="1"/>
  <c r="L2144" i="3"/>
  <c r="I2145" i="3"/>
  <c r="J2145" i="3" s="1"/>
  <c r="L2145" i="3"/>
  <c r="I2146" i="3"/>
  <c r="J2146" i="3" s="1"/>
  <c r="K2146" i="3"/>
  <c r="L2146" i="3"/>
  <c r="I2147" i="3"/>
  <c r="J2147" i="3" s="1"/>
  <c r="L2147" i="3"/>
  <c r="I2148" i="3"/>
  <c r="J2148" i="3" s="1"/>
  <c r="L2148" i="3"/>
  <c r="I2149" i="3"/>
  <c r="J2149" i="3" s="1"/>
  <c r="L2149" i="3"/>
  <c r="I2150" i="3"/>
  <c r="J2150" i="3" s="1"/>
  <c r="L2150" i="3"/>
  <c r="I2151" i="3"/>
  <c r="J2151" i="3" s="1"/>
  <c r="L2151" i="3"/>
  <c r="I2152" i="3"/>
  <c r="J2152" i="3" s="1"/>
  <c r="L2152" i="3"/>
  <c r="I2153" i="3"/>
  <c r="J2153" i="3" s="1"/>
  <c r="L2153" i="3"/>
  <c r="I2154" i="3"/>
  <c r="J2154" i="3" s="1"/>
  <c r="L2154" i="3"/>
  <c r="I2155" i="3"/>
  <c r="J2155" i="3" s="1"/>
  <c r="K2155" i="3"/>
  <c r="L2155" i="3"/>
  <c r="I2156" i="3"/>
  <c r="J2156" i="3" s="1"/>
  <c r="K2156" i="3"/>
  <c r="L2156" i="3"/>
  <c r="I2161" i="3"/>
  <c r="J2161" i="3" s="1"/>
  <c r="L2161" i="3"/>
  <c r="I2162" i="3"/>
  <c r="J2162" i="3" s="1"/>
  <c r="K2162" i="3"/>
  <c r="L2162" i="3"/>
  <c r="I2163" i="3"/>
  <c r="J2163" i="3" s="1"/>
  <c r="K2163" i="3"/>
  <c r="L2163" i="3"/>
  <c r="I2164" i="3"/>
  <c r="J2164" i="3" s="1"/>
  <c r="K2164" i="3"/>
  <c r="L2164" i="3"/>
  <c r="I2165" i="3"/>
  <c r="J2165" i="3" s="1"/>
  <c r="K2165" i="3"/>
  <c r="L2165" i="3"/>
  <c r="I2166" i="3"/>
  <c r="J2166" i="3" s="1"/>
  <c r="K2166" i="3"/>
  <c r="L2166" i="3"/>
  <c r="I2167" i="3"/>
  <c r="J2167" i="3" s="1"/>
  <c r="K2167" i="3"/>
  <c r="L2167" i="3"/>
  <c r="I2168" i="3"/>
  <c r="J2168" i="3" s="1"/>
  <c r="K2168" i="3"/>
  <c r="L2168" i="3"/>
  <c r="I2169" i="3"/>
  <c r="J2169" i="3" s="1"/>
  <c r="K2169" i="3"/>
  <c r="L2169" i="3"/>
  <c r="I2170" i="3"/>
  <c r="J2170" i="3" s="1"/>
  <c r="K2170" i="3"/>
  <c r="L2170" i="3"/>
  <c r="I2171" i="3"/>
  <c r="J2171" i="3" s="1"/>
  <c r="K2171" i="3"/>
  <c r="L2171" i="3"/>
  <c r="I2172" i="3"/>
  <c r="J2172" i="3" s="1"/>
  <c r="K2172" i="3"/>
  <c r="L2172" i="3"/>
  <c r="I2173" i="3"/>
  <c r="J2173" i="3" s="1"/>
  <c r="K2173" i="3"/>
  <c r="L2173" i="3"/>
  <c r="I2174" i="3"/>
  <c r="J2174" i="3" s="1"/>
  <c r="K2174" i="3"/>
  <c r="L2174" i="3"/>
  <c r="I2175" i="3"/>
  <c r="J2175" i="3" s="1"/>
  <c r="K2175" i="3"/>
  <c r="L2175" i="3"/>
  <c r="I2176" i="3"/>
  <c r="J2176" i="3" s="1"/>
  <c r="K2176" i="3"/>
  <c r="L2176" i="3"/>
  <c r="I2177" i="3"/>
  <c r="J2177" i="3" s="1"/>
  <c r="K2177" i="3"/>
  <c r="L2177" i="3"/>
  <c r="I2178" i="3"/>
  <c r="J2178" i="3" s="1"/>
  <c r="K2178" i="3"/>
  <c r="L2178" i="3"/>
  <c r="I2179" i="3"/>
  <c r="J2179" i="3" s="1"/>
  <c r="K2179" i="3"/>
  <c r="L2179" i="3"/>
  <c r="I2180" i="3"/>
  <c r="J2180" i="3" s="1"/>
  <c r="K2180" i="3"/>
  <c r="L2180" i="3"/>
  <c r="I2181" i="3"/>
  <c r="J2181" i="3" s="1"/>
  <c r="K2181" i="3"/>
  <c r="L2181" i="3"/>
  <c r="I2182" i="3"/>
  <c r="J2182" i="3" s="1"/>
  <c r="K2182" i="3"/>
  <c r="L2182" i="3"/>
  <c r="I2183" i="3"/>
  <c r="J2183" i="3" s="1"/>
  <c r="K2183" i="3"/>
  <c r="L2183" i="3"/>
  <c r="I2184" i="3"/>
  <c r="J2184" i="3" s="1"/>
  <c r="K2184" i="3"/>
  <c r="L2184" i="3"/>
  <c r="I2185" i="3"/>
  <c r="J2185" i="3" s="1"/>
  <c r="K2185" i="3"/>
  <c r="L2185" i="3"/>
  <c r="I2186" i="3"/>
  <c r="J2186" i="3" s="1"/>
  <c r="K2186" i="3"/>
  <c r="L2186" i="3"/>
  <c r="I2187" i="3"/>
  <c r="J2187" i="3" s="1"/>
  <c r="K2187" i="3"/>
  <c r="L2187" i="3"/>
  <c r="I2188" i="3"/>
  <c r="J2188" i="3" s="1"/>
  <c r="K2188" i="3"/>
  <c r="L2188" i="3"/>
  <c r="I2189" i="3"/>
  <c r="J2189" i="3" s="1"/>
  <c r="K2189" i="3"/>
  <c r="L2189" i="3"/>
  <c r="I2190" i="3"/>
  <c r="J2190" i="3" s="1"/>
  <c r="K2190" i="3"/>
  <c r="L2190" i="3"/>
  <c r="I2191" i="3"/>
  <c r="J2191" i="3" s="1"/>
  <c r="K2191" i="3"/>
  <c r="L2191" i="3"/>
  <c r="I2192" i="3"/>
  <c r="J2192" i="3" s="1"/>
  <c r="K2192" i="3"/>
  <c r="L2192" i="3"/>
  <c r="I2193" i="3"/>
  <c r="J2193" i="3" s="1"/>
  <c r="K2193" i="3"/>
  <c r="L2193" i="3"/>
  <c r="I2194" i="3"/>
  <c r="J2194" i="3" s="1"/>
  <c r="K2194" i="3"/>
  <c r="L2194" i="3"/>
  <c r="I2195" i="3"/>
  <c r="J2195" i="3" s="1"/>
  <c r="K2195" i="3"/>
  <c r="L2195" i="3"/>
  <c r="I2196" i="3"/>
  <c r="J2196" i="3" s="1"/>
  <c r="K2196" i="3"/>
  <c r="L2196" i="3"/>
  <c r="I2197" i="3"/>
  <c r="J2197" i="3" s="1"/>
  <c r="K2197" i="3"/>
  <c r="L2197" i="3"/>
  <c r="I2198" i="3"/>
  <c r="J2198" i="3" s="1"/>
  <c r="K2198" i="3"/>
  <c r="L2198" i="3"/>
  <c r="I2199" i="3"/>
  <c r="J2199" i="3" s="1"/>
  <c r="K2199" i="3"/>
  <c r="L2199" i="3"/>
  <c r="I2200" i="3"/>
  <c r="J2200" i="3" s="1"/>
  <c r="K2200" i="3"/>
  <c r="L2200" i="3"/>
  <c r="I2201" i="3"/>
  <c r="J2201" i="3" s="1"/>
  <c r="K2201" i="3"/>
  <c r="L2201" i="3"/>
  <c r="I2202" i="3"/>
  <c r="J2202" i="3" s="1"/>
  <c r="K2202" i="3"/>
  <c r="L2202" i="3"/>
  <c r="I2203" i="3"/>
  <c r="J2203" i="3" s="1"/>
  <c r="K2203" i="3"/>
  <c r="L2203" i="3"/>
  <c r="I2204" i="3"/>
  <c r="J2204" i="3" s="1"/>
  <c r="K2204" i="3"/>
  <c r="L2204" i="3"/>
  <c r="I2205" i="3"/>
  <c r="J2205" i="3" s="1"/>
  <c r="K2205" i="3"/>
  <c r="L2205" i="3"/>
  <c r="I2206" i="3"/>
  <c r="J2206" i="3" s="1"/>
  <c r="K2206" i="3"/>
  <c r="L2206" i="3"/>
  <c r="I2207" i="3"/>
  <c r="J2207" i="3" s="1"/>
  <c r="K2207" i="3"/>
  <c r="L2207" i="3"/>
  <c r="I2208" i="3"/>
  <c r="J2208" i="3" s="1"/>
  <c r="K2208" i="3"/>
  <c r="L2208" i="3"/>
  <c r="I2209" i="3"/>
  <c r="J2209" i="3" s="1"/>
  <c r="K2209" i="3"/>
  <c r="L2209" i="3"/>
  <c r="I2210" i="3"/>
  <c r="J2210" i="3" s="1"/>
  <c r="K2210" i="3"/>
  <c r="L2210" i="3"/>
  <c r="I2211" i="3"/>
  <c r="J2211" i="3" s="1"/>
  <c r="K2211" i="3"/>
  <c r="L2211" i="3"/>
  <c r="I2212" i="3"/>
  <c r="J2212" i="3" s="1"/>
  <c r="K2212" i="3"/>
  <c r="L2212" i="3"/>
  <c r="I2213" i="3"/>
  <c r="J2213" i="3" s="1"/>
  <c r="K2213" i="3"/>
  <c r="L2213" i="3"/>
  <c r="I2214" i="3"/>
  <c r="J2214" i="3" s="1"/>
  <c r="K2214" i="3"/>
  <c r="L2214" i="3"/>
  <c r="I2215" i="3"/>
  <c r="J2215" i="3" s="1"/>
  <c r="K2215" i="3"/>
  <c r="L2215" i="3"/>
  <c r="I2216" i="3"/>
  <c r="J2216" i="3" s="1"/>
  <c r="K2216" i="3"/>
  <c r="L2216" i="3"/>
  <c r="I2217" i="3"/>
  <c r="J2217" i="3" s="1"/>
  <c r="K2217" i="3"/>
  <c r="L2217" i="3"/>
  <c r="I2218" i="3"/>
  <c r="J2218" i="3" s="1"/>
  <c r="K2218" i="3"/>
  <c r="L2218" i="3"/>
  <c r="I2219" i="3"/>
  <c r="J2219" i="3" s="1"/>
  <c r="K2219" i="3"/>
  <c r="L2219" i="3"/>
  <c r="I2220" i="3"/>
  <c r="J2220" i="3" s="1"/>
  <c r="K2220" i="3"/>
  <c r="L2220" i="3"/>
  <c r="I2221" i="3"/>
  <c r="J2221" i="3" s="1"/>
  <c r="K2221" i="3"/>
  <c r="L2221" i="3"/>
  <c r="I2222" i="3"/>
  <c r="J2222" i="3" s="1"/>
  <c r="K2222" i="3"/>
  <c r="L2222" i="3"/>
  <c r="I2223" i="3"/>
  <c r="J2223" i="3" s="1"/>
  <c r="K2223" i="3"/>
  <c r="L2223" i="3"/>
  <c r="I2224" i="3"/>
  <c r="J2224" i="3" s="1"/>
  <c r="K2224" i="3"/>
  <c r="L2224" i="3"/>
  <c r="I2225" i="3"/>
  <c r="J2225" i="3" s="1"/>
  <c r="K2225" i="3"/>
  <c r="L2225" i="3"/>
  <c r="I2226" i="3"/>
  <c r="J2226" i="3" s="1"/>
  <c r="K2226" i="3"/>
  <c r="L2226" i="3"/>
  <c r="I2227" i="3"/>
  <c r="J2227" i="3" s="1"/>
  <c r="K2227" i="3"/>
  <c r="L2227" i="3"/>
  <c r="I2228" i="3"/>
  <c r="J2228" i="3" s="1"/>
  <c r="K2228" i="3"/>
  <c r="L2228" i="3"/>
  <c r="I2229" i="3"/>
  <c r="J2229" i="3" s="1"/>
  <c r="K2229" i="3"/>
  <c r="L2229" i="3"/>
  <c r="I2230" i="3"/>
  <c r="J2230" i="3" s="1"/>
  <c r="K2230" i="3"/>
  <c r="L2230" i="3"/>
  <c r="I2231" i="3"/>
  <c r="J2231" i="3" s="1"/>
  <c r="K2231" i="3"/>
  <c r="L2231" i="3"/>
  <c r="I2232" i="3"/>
  <c r="J2232" i="3" s="1"/>
  <c r="K2232" i="3"/>
  <c r="L2232" i="3"/>
  <c r="I2233" i="3"/>
  <c r="J2233" i="3" s="1"/>
  <c r="K2233" i="3"/>
  <c r="L2233" i="3"/>
  <c r="I2234" i="3"/>
  <c r="J2234" i="3" s="1"/>
  <c r="K2234" i="3"/>
  <c r="L2234" i="3"/>
  <c r="I2235" i="3"/>
  <c r="J2235" i="3" s="1"/>
  <c r="K2235" i="3"/>
  <c r="L2235" i="3"/>
  <c r="I2236" i="3"/>
  <c r="J2236" i="3" s="1"/>
  <c r="K2236" i="3"/>
  <c r="L2236" i="3"/>
  <c r="I2237" i="3"/>
  <c r="J2237" i="3" s="1"/>
  <c r="K2237" i="3"/>
  <c r="L2237" i="3"/>
  <c r="I2238" i="3"/>
  <c r="J2238" i="3" s="1"/>
  <c r="K2238" i="3"/>
  <c r="L2238" i="3"/>
  <c r="I2239" i="3"/>
  <c r="J2239" i="3" s="1"/>
  <c r="K2239" i="3"/>
  <c r="L2239" i="3"/>
  <c r="I2240" i="3"/>
  <c r="J2240" i="3" s="1"/>
  <c r="K2240" i="3"/>
  <c r="L2240" i="3"/>
  <c r="I2241" i="3"/>
  <c r="J2241" i="3" s="1"/>
  <c r="K2241" i="3"/>
  <c r="L2241" i="3"/>
  <c r="I2242" i="3"/>
  <c r="J2242" i="3" s="1"/>
  <c r="K2242" i="3"/>
  <c r="L2242" i="3"/>
  <c r="I2243" i="3"/>
  <c r="J2243" i="3" s="1"/>
  <c r="K2243" i="3"/>
  <c r="L2243" i="3"/>
  <c r="I2244" i="3"/>
  <c r="J2244" i="3" s="1"/>
  <c r="K2244" i="3"/>
  <c r="L2244" i="3"/>
  <c r="I2245" i="3"/>
  <c r="J2245" i="3" s="1"/>
  <c r="K2245" i="3"/>
  <c r="L2245" i="3"/>
  <c r="I2246" i="3"/>
  <c r="J2246" i="3" s="1"/>
  <c r="K2246" i="3"/>
  <c r="L2246" i="3"/>
  <c r="I2247" i="3"/>
  <c r="J2247" i="3" s="1"/>
  <c r="K2247" i="3"/>
  <c r="L2247" i="3"/>
  <c r="I2248" i="3"/>
  <c r="J2248" i="3" s="1"/>
  <c r="K2248" i="3"/>
  <c r="L2248" i="3"/>
  <c r="I2249" i="3"/>
  <c r="J2249" i="3" s="1"/>
  <c r="K2249" i="3"/>
  <c r="L2249" i="3"/>
  <c r="I2250" i="3"/>
  <c r="J2250" i="3" s="1"/>
  <c r="K2250" i="3"/>
  <c r="L2250" i="3"/>
  <c r="I2251" i="3"/>
  <c r="J2251" i="3" s="1"/>
  <c r="K2251" i="3"/>
  <c r="L2251" i="3"/>
  <c r="I2252" i="3"/>
  <c r="J2252" i="3" s="1"/>
  <c r="K2252" i="3"/>
  <c r="L2252" i="3"/>
  <c r="I2253" i="3"/>
  <c r="J2253" i="3" s="1"/>
  <c r="K2253" i="3"/>
  <c r="L2253" i="3"/>
  <c r="I2254" i="3"/>
  <c r="J2254" i="3" s="1"/>
  <c r="K2254" i="3"/>
  <c r="L2254" i="3"/>
  <c r="I2255" i="3"/>
  <c r="J2255" i="3" s="1"/>
  <c r="K2255" i="3"/>
  <c r="L2255" i="3"/>
  <c r="I2256" i="3"/>
  <c r="J2256" i="3" s="1"/>
  <c r="K2256" i="3"/>
  <c r="L2256" i="3"/>
  <c r="I2257" i="3"/>
  <c r="J2257" i="3" s="1"/>
  <c r="K2257" i="3"/>
  <c r="L2257" i="3"/>
  <c r="I2258" i="3"/>
  <c r="J2258" i="3" s="1"/>
  <c r="K2258" i="3"/>
  <c r="L2258" i="3"/>
  <c r="I2259" i="3"/>
  <c r="J2259" i="3" s="1"/>
  <c r="K2259" i="3"/>
  <c r="L2259" i="3"/>
  <c r="I2260" i="3"/>
  <c r="J2260" i="3" s="1"/>
  <c r="K2260" i="3"/>
  <c r="L2260" i="3"/>
  <c r="I2261" i="3"/>
  <c r="J2261" i="3" s="1"/>
  <c r="K2261" i="3"/>
  <c r="L2261" i="3"/>
  <c r="I2262" i="3"/>
  <c r="J2262" i="3" s="1"/>
  <c r="K2262" i="3"/>
  <c r="L2262" i="3"/>
  <c r="I2263" i="3"/>
  <c r="J2263" i="3" s="1"/>
  <c r="K2263" i="3"/>
  <c r="L2263" i="3"/>
  <c r="I2264" i="3"/>
  <c r="J2264" i="3" s="1"/>
  <c r="K2264" i="3"/>
  <c r="L2264" i="3"/>
  <c r="I2265" i="3"/>
  <c r="J2265" i="3" s="1"/>
  <c r="K2265" i="3"/>
  <c r="L2265" i="3"/>
  <c r="I2266" i="3"/>
  <c r="J2266" i="3" s="1"/>
  <c r="K2266" i="3"/>
  <c r="L2266" i="3"/>
  <c r="I2267" i="3"/>
  <c r="J2267" i="3" s="1"/>
  <c r="K2267" i="3"/>
  <c r="L2267" i="3"/>
  <c r="I2268" i="3"/>
  <c r="J2268" i="3" s="1"/>
  <c r="K2268" i="3"/>
  <c r="L2268" i="3"/>
  <c r="I2269" i="3"/>
  <c r="J2269" i="3" s="1"/>
  <c r="K2269" i="3"/>
  <c r="L2269" i="3"/>
  <c r="I2270" i="3"/>
  <c r="J2270" i="3" s="1"/>
  <c r="K2270" i="3"/>
  <c r="L2270" i="3"/>
  <c r="I2271" i="3"/>
  <c r="J2271" i="3" s="1"/>
  <c r="K2271" i="3"/>
  <c r="L2271" i="3"/>
  <c r="I2272" i="3"/>
  <c r="J2272" i="3" s="1"/>
  <c r="K2272" i="3"/>
  <c r="L2272" i="3"/>
  <c r="I2273" i="3"/>
  <c r="J2273" i="3" s="1"/>
  <c r="K2273" i="3"/>
  <c r="L2273" i="3"/>
  <c r="I2274" i="3"/>
  <c r="J2274" i="3" s="1"/>
  <c r="K2274" i="3"/>
  <c r="L2274" i="3"/>
  <c r="I2275" i="3"/>
  <c r="J2275" i="3" s="1"/>
  <c r="K2275" i="3"/>
  <c r="L2275" i="3"/>
  <c r="I2276" i="3"/>
  <c r="J2276" i="3" s="1"/>
  <c r="K2276" i="3"/>
  <c r="L2276" i="3"/>
  <c r="I2277" i="3"/>
  <c r="J2277" i="3" s="1"/>
  <c r="K2277" i="3"/>
  <c r="L2277" i="3"/>
  <c r="I2278" i="3"/>
  <c r="J2278" i="3" s="1"/>
  <c r="K2278" i="3"/>
  <c r="L2278" i="3"/>
  <c r="I2279" i="3"/>
  <c r="J2279" i="3" s="1"/>
  <c r="K2279" i="3"/>
  <c r="L2279" i="3"/>
  <c r="I2280" i="3"/>
  <c r="J2280" i="3" s="1"/>
  <c r="K2280" i="3"/>
  <c r="L2280" i="3"/>
  <c r="I2281" i="3"/>
  <c r="J2281" i="3" s="1"/>
  <c r="K2281" i="3"/>
  <c r="L2281" i="3"/>
  <c r="I2282" i="3"/>
  <c r="J2282" i="3" s="1"/>
  <c r="K2282" i="3"/>
  <c r="L2282" i="3"/>
  <c r="I2283" i="3"/>
  <c r="J2283" i="3" s="1"/>
  <c r="K2283" i="3"/>
  <c r="L2283" i="3"/>
  <c r="I2284" i="3"/>
  <c r="J2284" i="3" s="1"/>
  <c r="K2284" i="3"/>
  <c r="L2284" i="3"/>
  <c r="I2285" i="3"/>
  <c r="J2285" i="3" s="1"/>
  <c r="K2285" i="3"/>
  <c r="L2285" i="3"/>
  <c r="I2286" i="3"/>
  <c r="J2286" i="3" s="1"/>
  <c r="K2286" i="3"/>
  <c r="L2286" i="3"/>
  <c r="I2287" i="3"/>
  <c r="J2287" i="3" s="1"/>
  <c r="K2287" i="3"/>
  <c r="L2287" i="3"/>
  <c r="I2288" i="3"/>
  <c r="J2288" i="3" s="1"/>
  <c r="K2288" i="3"/>
  <c r="L2288" i="3"/>
  <c r="I2289" i="3"/>
  <c r="J2289" i="3" s="1"/>
  <c r="K2289" i="3"/>
  <c r="L2289" i="3"/>
  <c r="I2290" i="3"/>
  <c r="J2290" i="3" s="1"/>
  <c r="K2290" i="3"/>
  <c r="L2290" i="3"/>
  <c r="I2291" i="3"/>
  <c r="J2291" i="3" s="1"/>
  <c r="K2291" i="3"/>
  <c r="L2291" i="3"/>
  <c r="I2292" i="3"/>
  <c r="J2292" i="3" s="1"/>
  <c r="K2292" i="3"/>
  <c r="L2292" i="3"/>
  <c r="I2293" i="3"/>
  <c r="J2293" i="3" s="1"/>
  <c r="K2293" i="3"/>
  <c r="L2293" i="3"/>
  <c r="I2294" i="3"/>
  <c r="J2294" i="3" s="1"/>
  <c r="K2294" i="3"/>
  <c r="L2294" i="3"/>
  <c r="I2295" i="3"/>
  <c r="J2295" i="3" s="1"/>
  <c r="K2295" i="3"/>
  <c r="L2295" i="3"/>
  <c r="I2296" i="3"/>
  <c r="J2296" i="3" s="1"/>
  <c r="K2296" i="3"/>
  <c r="L2296" i="3"/>
  <c r="I2297" i="3"/>
  <c r="J2297" i="3" s="1"/>
  <c r="K2297" i="3"/>
  <c r="L2297" i="3"/>
  <c r="I2298" i="3"/>
  <c r="J2298" i="3" s="1"/>
  <c r="K2298" i="3"/>
  <c r="L2298" i="3"/>
  <c r="I2299" i="3"/>
  <c r="J2299" i="3" s="1"/>
  <c r="K2299" i="3"/>
  <c r="L2299" i="3"/>
  <c r="I2300" i="3"/>
  <c r="J2300" i="3" s="1"/>
  <c r="K2300" i="3"/>
  <c r="L2300" i="3"/>
  <c r="I2301" i="3"/>
  <c r="J2301" i="3" s="1"/>
  <c r="K2301" i="3"/>
  <c r="L2301" i="3"/>
  <c r="I2302" i="3"/>
  <c r="J2302" i="3" s="1"/>
  <c r="K2302" i="3"/>
  <c r="L2302" i="3"/>
  <c r="I2303" i="3"/>
  <c r="J2303" i="3" s="1"/>
  <c r="K2303" i="3"/>
  <c r="L2303" i="3"/>
  <c r="I2304" i="3"/>
  <c r="J2304" i="3" s="1"/>
  <c r="K2304" i="3"/>
  <c r="L2304" i="3"/>
  <c r="I2305" i="3"/>
  <c r="J2305" i="3" s="1"/>
  <c r="K2305" i="3"/>
  <c r="L2305" i="3"/>
  <c r="I2306" i="3"/>
  <c r="J2306" i="3" s="1"/>
  <c r="K2306" i="3"/>
  <c r="L2306" i="3"/>
  <c r="I2307" i="3"/>
  <c r="J2307" i="3" s="1"/>
  <c r="K2307" i="3"/>
  <c r="L2307" i="3"/>
  <c r="I2308" i="3"/>
  <c r="J2308" i="3" s="1"/>
  <c r="K2308" i="3"/>
  <c r="L2308" i="3"/>
  <c r="I2309" i="3"/>
  <c r="J2309" i="3" s="1"/>
  <c r="K2309" i="3"/>
  <c r="L2309" i="3"/>
  <c r="I2310" i="3"/>
  <c r="J2310" i="3" s="1"/>
  <c r="K2310" i="3"/>
  <c r="L2310" i="3"/>
  <c r="I2311" i="3"/>
  <c r="J2311" i="3" s="1"/>
  <c r="K2311" i="3"/>
  <c r="L2311" i="3"/>
  <c r="I2312" i="3"/>
  <c r="J2312" i="3" s="1"/>
  <c r="K2312" i="3"/>
  <c r="L2312" i="3"/>
  <c r="I2313" i="3"/>
  <c r="J2313" i="3" s="1"/>
  <c r="K2313" i="3"/>
  <c r="L2313" i="3"/>
  <c r="I2314" i="3"/>
  <c r="J2314" i="3" s="1"/>
  <c r="K2314" i="3"/>
  <c r="L2314" i="3"/>
  <c r="I2315" i="3"/>
  <c r="J2315" i="3" s="1"/>
  <c r="K2315" i="3"/>
  <c r="L2315" i="3"/>
  <c r="I2316" i="3"/>
  <c r="J2316" i="3" s="1"/>
  <c r="K2316" i="3"/>
  <c r="L2316" i="3"/>
  <c r="I2317" i="3"/>
  <c r="J2317" i="3" s="1"/>
  <c r="K2317" i="3"/>
  <c r="L2317" i="3"/>
  <c r="I2318" i="3"/>
  <c r="J2318" i="3" s="1"/>
  <c r="K2318" i="3"/>
  <c r="L2318" i="3"/>
  <c r="I2319" i="3"/>
  <c r="J2319" i="3" s="1"/>
  <c r="K2319" i="3"/>
  <c r="L2319" i="3"/>
  <c r="I2320" i="3"/>
  <c r="J2320" i="3" s="1"/>
  <c r="K2320" i="3"/>
  <c r="L2320" i="3"/>
  <c r="I2321" i="3"/>
  <c r="J2321" i="3" s="1"/>
  <c r="K2321" i="3"/>
  <c r="L2321" i="3"/>
  <c r="I2322" i="3"/>
  <c r="J2322" i="3" s="1"/>
  <c r="K2322" i="3"/>
  <c r="L2322" i="3"/>
  <c r="I2323" i="3"/>
  <c r="J2323" i="3" s="1"/>
  <c r="K2323" i="3"/>
  <c r="L2323" i="3"/>
  <c r="I2324" i="3"/>
  <c r="J2324" i="3" s="1"/>
  <c r="K2324" i="3"/>
  <c r="L2324" i="3"/>
  <c r="I2325" i="3"/>
  <c r="J2325" i="3" s="1"/>
  <c r="K2325" i="3"/>
  <c r="L2325" i="3"/>
  <c r="I2326" i="3"/>
  <c r="J2326" i="3" s="1"/>
  <c r="K2326" i="3"/>
  <c r="L2326" i="3"/>
  <c r="I2327" i="3"/>
  <c r="J2327" i="3" s="1"/>
  <c r="K2327" i="3"/>
  <c r="L2327" i="3"/>
  <c r="I2328" i="3"/>
  <c r="J2328" i="3" s="1"/>
  <c r="K2328" i="3"/>
  <c r="L2328" i="3"/>
  <c r="I2329" i="3"/>
  <c r="J2329" i="3" s="1"/>
  <c r="K2329" i="3"/>
  <c r="L2329" i="3"/>
  <c r="I2330" i="3"/>
  <c r="J2330" i="3" s="1"/>
  <c r="K2330" i="3"/>
  <c r="L2330" i="3"/>
  <c r="I2331" i="3"/>
  <c r="J2331" i="3" s="1"/>
  <c r="K2331" i="3"/>
  <c r="L2331" i="3"/>
  <c r="I2332" i="3"/>
  <c r="J2332" i="3" s="1"/>
  <c r="K2332" i="3"/>
  <c r="L2332" i="3"/>
  <c r="I2333" i="3"/>
  <c r="J2333" i="3" s="1"/>
  <c r="K2333" i="3"/>
  <c r="L2333" i="3"/>
  <c r="I2334" i="3"/>
  <c r="J2334" i="3" s="1"/>
  <c r="K2334" i="3"/>
  <c r="L2334" i="3"/>
  <c r="I2335" i="3"/>
  <c r="J2335" i="3" s="1"/>
  <c r="K2335" i="3"/>
  <c r="L2335" i="3"/>
  <c r="I2336" i="3"/>
  <c r="J2336" i="3" s="1"/>
  <c r="K2336" i="3"/>
  <c r="L2336" i="3"/>
  <c r="I2337" i="3"/>
  <c r="J2337" i="3" s="1"/>
  <c r="K2337" i="3"/>
  <c r="L2337" i="3"/>
  <c r="I2338" i="3"/>
  <c r="J2338" i="3" s="1"/>
  <c r="K2338" i="3"/>
  <c r="L2338" i="3"/>
  <c r="I2339" i="3"/>
  <c r="J2339" i="3" s="1"/>
  <c r="K2339" i="3"/>
  <c r="L2339" i="3"/>
  <c r="I2340" i="3"/>
  <c r="J2340" i="3" s="1"/>
  <c r="K2340" i="3"/>
  <c r="L2340" i="3"/>
  <c r="I2341" i="3"/>
  <c r="J2341" i="3" s="1"/>
  <c r="K2341" i="3"/>
  <c r="L2341" i="3"/>
  <c r="I2342" i="3"/>
  <c r="J2342" i="3" s="1"/>
  <c r="K2342" i="3"/>
  <c r="L2342" i="3"/>
  <c r="I2343" i="3"/>
  <c r="J2343" i="3" s="1"/>
  <c r="K2343" i="3"/>
  <c r="L2343" i="3"/>
  <c r="I2344" i="3"/>
  <c r="J2344" i="3" s="1"/>
  <c r="K2344" i="3"/>
  <c r="L2344" i="3"/>
  <c r="I2345" i="3"/>
  <c r="J2345" i="3" s="1"/>
  <c r="K2345" i="3"/>
  <c r="L2345" i="3"/>
  <c r="I2346" i="3"/>
  <c r="J2346" i="3" s="1"/>
  <c r="K2346" i="3"/>
  <c r="L2346" i="3"/>
  <c r="I2347" i="3"/>
  <c r="J2347" i="3" s="1"/>
  <c r="K2347" i="3"/>
  <c r="L2347" i="3"/>
  <c r="I2348" i="3"/>
  <c r="J2348" i="3" s="1"/>
  <c r="K2348" i="3"/>
  <c r="L2348" i="3"/>
  <c r="I2349" i="3"/>
  <c r="J2349" i="3" s="1"/>
  <c r="K2349" i="3"/>
  <c r="L2349" i="3"/>
  <c r="I2350" i="3"/>
  <c r="J2350" i="3" s="1"/>
  <c r="K2350" i="3"/>
  <c r="L2350" i="3"/>
  <c r="I2351" i="3"/>
  <c r="J2351" i="3" s="1"/>
  <c r="K2351" i="3"/>
  <c r="L2351" i="3"/>
  <c r="I2352" i="3"/>
  <c r="J2352" i="3" s="1"/>
  <c r="K2352" i="3"/>
  <c r="L2352" i="3"/>
  <c r="I2353" i="3"/>
  <c r="J2353" i="3" s="1"/>
  <c r="K2353" i="3"/>
  <c r="L2353" i="3"/>
  <c r="I2354" i="3"/>
  <c r="J2354" i="3" s="1"/>
  <c r="K2354" i="3"/>
  <c r="L2354" i="3"/>
  <c r="I2355" i="3"/>
  <c r="J2355" i="3" s="1"/>
  <c r="K2355" i="3"/>
  <c r="L2355" i="3"/>
  <c r="I2356" i="3"/>
  <c r="J2356" i="3" s="1"/>
  <c r="K2356" i="3"/>
  <c r="L2356" i="3"/>
  <c r="I2357" i="3"/>
  <c r="J2357" i="3" s="1"/>
  <c r="K2357" i="3"/>
  <c r="L2357" i="3"/>
  <c r="I2358" i="3"/>
  <c r="J2358" i="3" s="1"/>
  <c r="K2358" i="3"/>
  <c r="L2358" i="3"/>
  <c r="I2359" i="3"/>
  <c r="J2359" i="3" s="1"/>
  <c r="K2359" i="3"/>
  <c r="L2359" i="3"/>
  <c r="I2360" i="3"/>
  <c r="J2360" i="3" s="1"/>
  <c r="K2360" i="3"/>
  <c r="L2360" i="3"/>
  <c r="I2361" i="3"/>
  <c r="J2361" i="3" s="1"/>
  <c r="K2361" i="3"/>
  <c r="L2361" i="3"/>
  <c r="I2362" i="3"/>
  <c r="J2362" i="3" s="1"/>
  <c r="K2362" i="3"/>
  <c r="L2362" i="3"/>
  <c r="I2363" i="3"/>
  <c r="J2363" i="3" s="1"/>
  <c r="K2363" i="3"/>
  <c r="L2363" i="3"/>
  <c r="I2364" i="3"/>
  <c r="J2364" i="3" s="1"/>
  <c r="K2364" i="3"/>
  <c r="L2364" i="3"/>
  <c r="I2365" i="3"/>
  <c r="J2365" i="3" s="1"/>
  <c r="K2365" i="3"/>
  <c r="L2365" i="3"/>
  <c r="I2366" i="3"/>
  <c r="J2366" i="3" s="1"/>
  <c r="K2366" i="3"/>
  <c r="L2366" i="3"/>
  <c r="I2367" i="3"/>
  <c r="J2367" i="3" s="1"/>
  <c r="K2367" i="3"/>
  <c r="L2367" i="3"/>
  <c r="I2368" i="3"/>
  <c r="J2368" i="3" s="1"/>
  <c r="K2368" i="3"/>
  <c r="L2368" i="3"/>
  <c r="I2369" i="3"/>
  <c r="J2369" i="3" s="1"/>
  <c r="K2369" i="3"/>
  <c r="L2369" i="3"/>
  <c r="I2370" i="3"/>
  <c r="J2370" i="3" s="1"/>
  <c r="K2370" i="3"/>
  <c r="L2370" i="3"/>
  <c r="I2371" i="3"/>
  <c r="J2371" i="3" s="1"/>
  <c r="K2371" i="3"/>
  <c r="L2371" i="3"/>
  <c r="I2372" i="3"/>
  <c r="J2372" i="3" s="1"/>
  <c r="K2372" i="3"/>
  <c r="L2372" i="3"/>
  <c r="I2373" i="3"/>
  <c r="J2373" i="3" s="1"/>
  <c r="K2373" i="3"/>
  <c r="L2373" i="3"/>
  <c r="I2374" i="3"/>
  <c r="J2374" i="3" s="1"/>
  <c r="K2374" i="3"/>
  <c r="L2374" i="3"/>
  <c r="I2375" i="3"/>
  <c r="J2375" i="3" s="1"/>
  <c r="K2375" i="3"/>
  <c r="L2375" i="3"/>
  <c r="I2376" i="3"/>
  <c r="J2376" i="3" s="1"/>
  <c r="K2376" i="3"/>
  <c r="L2376" i="3"/>
  <c r="I2377" i="3"/>
  <c r="J2377" i="3" s="1"/>
  <c r="K2377" i="3"/>
  <c r="L2377" i="3"/>
  <c r="I2378" i="3"/>
  <c r="J2378" i="3" s="1"/>
  <c r="K2378" i="3"/>
  <c r="L2378" i="3"/>
  <c r="I2379" i="3"/>
  <c r="J2379" i="3" s="1"/>
  <c r="K2379" i="3"/>
  <c r="L2379" i="3"/>
  <c r="I2380" i="3"/>
  <c r="J2380" i="3" s="1"/>
  <c r="K2380" i="3"/>
  <c r="L2380" i="3"/>
  <c r="I2381" i="3"/>
  <c r="J2381" i="3" s="1"/>
  <c r="K2381" i="3"/>
  <c r="L2381" i="3"/>
  <c r="I2382" i="3"/>
  <c r="J2382" i="3" s="1"/>
  <c r="K2382" i="3"/>
  <c r="L2382" i="3"/>
  <c r="I2383" i="3"/>
  <c r="J2383" i="3" s="1"/>
  <c r="K2383" i="3"/>
  <c r="L2383" i="3"/>
  <c r="I2384" i="3"/>
  <c r="J2384" i="3" s="1"/>
  <c r="K2384" i="3"/>
  <c r="L2384" i="3"/>
  <c r="I2385" i="3"/>
  <c r="J2385" i="3" s="1"/>
  <c r="K2385" i="3"/>
  <c r="L2385" i="3"/>
  <c r="I2386" i="3"/>
  <c r="J2386" i="3" s="1"/>
  <c r="K2386" i="3"/>
  <c r="L2386" i="3"/>
  <c r="I2387" i="3"/>
  <c r="J2387" i="3" s="1"/>
  <c r="K2387" i="3"/>
  <c r="L2387" i="3"/>
  <c r="I2388" i="3"/>
  <c r="J2388" i="3" s="1"/>
  <c r="K2388" i="3"/>
  <c r="L2388" i="3"/>
  <c r="I2389" i="3"/>
  <c r="J2389" i="3" s="1"/>
  <c r="K2389" i="3"/>
  <c r="L2389" i="3"/>
  <c r="I2390" i="3"/>
  <c r="J2390" i="3" s="1"/>
  <c r="K2390" i="3"/>
  <c r="L2390" i="3"/>
  <c r="I2391" i="3"/>
  <c r="J2391" i="3" s="1"/>
  <c r="K2391" i="3"/>
  <c r="L2391" i="3"/>
  <c r="I2392" i="3"/>
  <c r="J2392" i="3" s="1"/>
  <c r="K2392" i="3"/>
  <c r="L2392" i="3"/>
  <c r="I2393" i="3"/>
  <c r="J2393" i="3" s="1"/>
  <c r="K2393" i="3"/>
  <c r="L2393" i="3"/>
  <c r="I2394" i="3"/>
  <c r="J2394" i="3" s="1"/>
  <c r="K2394" i="3"/>
  <c r="L2394" i="3"/>
  <c r="I2395" i="3"/>
  <c r="J2395" i="3" s="1"/>
  <c r="K2395" i="3"/>
  <c r="L2395" i="3"/>
  <c r="I2396" i="3"/>
  <c r="J2396" i="3" s="1"/>
  <c r="K2396" i="3"/>
  <c r="L2396" i="3"/>
  <c r="I2397" i="3"/>
  <c r="J2397" i="3" s="1"/>
  <c r="K2397" i="3"/>
  <c r="L2397" i="3"/>
  <c r="I2398" i="3"/>
  <c r="J2398" i="3" s="1"/>
  <c r="K2398" i="3"/>
  <c r="L2398" i="3"/>
  <c r="I2399" i="3"/>
  <c r="J2399" i="3" s="1"/>
  <c r="K2399" i="3"/>
  <c r="L2399" i="3"/>
  <c r="I2400" i="3"/>
  <c r="J2400" i="3" s="1"/>
  <c r="K2400" i="3"/>
  <c r="L2400" i="3"/>
  <c r="I2401" i="3"/>
  <c r="J2401" i="3" s="1"/>
  <c r="K2401" i="3"/>
  <c r="L2401" i="3"/>
  <c r="I2402" i="3"/>
  <c r="J2402" i="3" s="1"/>
  <c r="K2402" i="3"/>
  <c r="L2402" i="3"/>
  <c r="I2403" i="3"/>
  <c r="J2403" i="3" s="1"/>
  <c r="K2403" i="3"/>
  <c r="L2403" i="3"/>
  <c r="I2404" i="3"/>
  <c r="J2404" i="3" s="1"/>
  <c r="K2404" i="3"/>
  <c r="L2404" i="3"/>
  <c r="I2405" i="3"/>
  <c r="J2405" i="3" s="1"/>
  <c r="K2405" i="3"/>
  <c r="L2405" i="3"/>
  <c r="I2406" i="3"/>
  <c r="J2406" i="3" s="1"/>
  <c r="K2406" i="3"/>
  <c r="L2406" i="3"/>
  <c r="I2407" i="3"/>
  <c r="J2407" i="3" s="1"/>
  <c r="K2407" i="3"/>
  <c r="L2407" i="3"/>
  <c r="I2408" i="3"/>
  <c r="J2408" i="3" s="1"/>
  <c r="K2408" i="3"/>
  <c r="L2408" i="3"/>
  <c r="I2409" i="3"/>
  <c r="J2409" i="3" s="1"/>
  <c r="K2409" i="3"/>
  <c r="L2409" i="3"/>
  <c r="I2410" i="3"/>
  <c r="J2410" i="3" s="1"/>
  <c r="K2410" i="3"/>
  <c r="L2410" i="3"/>
  <c r="I2411" i="3"/>
  <c r="J2411" i="3" s="1"/>
  <c r="K2411" i="3"/>
  <c r="L2411" i="3"/>
  <c r="I2412" i="3"/>
  <c r="J2412" i="3" s="1"/>
  <c r="K2412" i="3"/>
  <c r="L2412" i="3"/>
  <c r="I2413" i="3"/>
  <c r="J2413" i="3" s="1"/>
  <c r="K2413" i="3"/>
  <c r="L2413" i="3"/>
  <c r="I2414" i="3"/>
  <c r="J2414" i="3" s="1"/>
  <c r="K2414" i="3"/>
  <c r="L2414" i="3"/>
  <c r="I2415" i="3"/>
  <c r="J2415" i="3" s="1"/>
  <c r="K2415" i="3"/>
  <c r="L2415" i="3"/>
  <c r="I2416" i="3"/>
  <c r="J2416" i="3" s="1"/>
  <c r="K2416" i="3"/>
  <c r="L2416" i="3"/>
  <c r="I2417" i="3"/>
  <c r="J2417" i="3" s="1"/>
  <c r="K2417" i="3"/>
  <c r="L2417" i="3"/>
  <c r="I2418" i="3"/>
  <c r="J2418" i="3" s="1"/>
  <c r="K2418" i="3"/>
  <c r="L2418" i="3"/>
  <c r="I2419" i="3"/>
  <c r="J2419" i="3" s="1"/>
  <c r="K2419" i="3"/>
  <c r="L2419" i="3"/>
  <c r="I2420" i="3"/>
  <c r="J2420" i="3" s="1"/>
  <c r="K2420" i="3"/>
  <c r="L2420" i="3"/>
  <c r="I2421" i="3"/>
  <c r="J2421" i="3" s="1"/>
  <c r="K2421" i="3"/>
  <c r="L2421" i="3"/>
  <c r="I2422" i="3"/>
  <c r="J2422" i="3" s="1"/>
  <c r="K2422" i="3"/>
  <c r="L2422" i="3"/>
  <c r="I2423" i="3"/>
  <c r="J2423" i="3" s="1"/>
  <c r="K2423" i="3"/>
  <c r="L2423" i="3"/>
  <c r="I2424" i="3"/>
  <c r="J2424" i="3" s="1"/>
  <c r="K2424" i="3"/>
  <c r="L2424" i="3"/>
  <c r="I2425" i="3"/>
  <c r="J2425" i="3" s="1"/>
  <c r="K2425" i="3"/>
  <c r="L2425" i="3"/>
  <c r="I2426" i="3"/>
  <c r="J2426" i="3" s="1"/>
  <c r="K2426" i="3"/>
  <c r="L2426" i="3"/>
  <c r="I2427" i="3"/>
  <c r="J2427" i="3" s="1"/>
  <c r="K2427" i="3"/>
  <c r="L2427" i="3"/>
  <c r="I2428" i="3"/>
  <c r="J2428" i="3" s="1"/>
  <c r="K2428" i="3"/>
  <c r="L2428" i="3"/>
  <c r="I2429" i="3"/>
  <c r="J2429" i="3" s="1"/>
  <c r="K2429" i="3"/>
  <c r="L2429" i="3"/>
  <c r="I2430" i="3"/>
  <c r="J2430" i="3" s="1"/>
  <c r="K2430" i="3"/>
  <c r="L2430" i="3"/>
  <c r="I2431" i="3"/>
  <c r="J2431" i="3" s="1"/>
  <c r="K2431" i="3"/>
  <c r="L2431" i="3"/>
  <c r="I2432" i="3"/>
  <c r="J2432" i="3" s="1"/>
  <c r="K2432" i="3"/>
  <c r="L2432" i="3"/>
  <c r="I2433" i="3"/>
  <c r="J2433" i="3" s="1"/>
  <c r="K2433" i="3"/>
  <c r="L2433" i="3"/>
  <c r="I2434" i="3"/>
  <c r="J2434" i="3" s="1"/>
  <c r="K2434" i="3"/>
  <c r="L2434" i="3"/>
  <c r="I2435" i="3"/>
  <c r="J2435" i="3" s="1"/>
  <c r="K2435" i="3"/>
  <c r="L2435" i="3"/>
  <c r="I2436" i="3"/>
  <c r="J2436" i="3" s="1"/>
  <c r="K2436" i="3"/>
  <c r="L2436" i="3"/>
  <c r="I2437" i="3"/>
  <c r="J2437" i="3" s="1"/>
  <c r="K2437" i="3"/>
  <c r="L2437" i="3"/>
  <c r="I2438" i="3"/>
  <c r="J2438" i="3" s="1"/>
  <c r="K2438" i="3"/>
  <c r="L2438" i="3"/>
  <c r="I2439" i="3"/>
  <c r="J2439" i="3" s="1"/>
  <c r="K2439" i="3"/>
  <c r="L2439" i="3"/>
  <c r="I2440" i="3"/>
  <c r="J2440" i="3" s="1"/>
  <c r="K2440" i="3"/>
  <c r="L2440" i="3"/>
  <c r="I2441" i="3"/>
  <c r="J2441" i="3" s="1"/>
  <c r="K2441" i="3"/>
  <c r="L2441" i="3"/>
  <c r="I2442" i="3"/>
  <c r="J2442" i="3" s="1"/>
  <c r="K2442" i="3"/>
  <c r="L2442" i="3"/>
  <c r="I2443" i="3"/>
  <c r="J2443" i="3" s="1"/>
  <c r="K2443" i="3"/>
  <c r="L2443" i="3"/>
  <c r="I2444" i="3"/>
  <c r="J2444" i="3" s="1"/>
  <c r="K2444" i="3"/>
  <c r="L2444" i="3"/>
  <c r="I2445" i="3"/>
  <c r="J2445" i="3" s="1"/>
  <c r="K2445" i="3"/>
  <c r="L2445" i="3"/>
  <c r="I2446" i="3"/>
  <c r="J2446" i="3" s="1"/>
  <c r="K2446" i="3"/>
  <c r="L2446" i="3"/>
  <c r="I2447" i="3"/>
  <c r="J2447" i="3" s="1"/>
  <c r="K2447" i="3"/>
  <c r="L2447" i="3"/>
  <c r="I2448" i="3"/>
  <c r="J2448" i="3" s="1"/>
  <c r="K2448" i="3"/>
  <c r="L2448" i="3"/>
  <c r="I2449" i="3"/>
  <c r="J2449" i="3" s="1"/>
  <c r="K2449" i="3"/>
  <c r="L2449" i="3"/>
  <c r="I2450" i="3"/>
  <c r="J2450" i="3" s="1"/>
  <c r="K2450" i="3"/>
  <c r="L2450" i="3"/>
  <c r="I2451" i="3"/>
  <c r="J2451" i="3" s="1"/>
  <c r="K2451" i="3"/>
  <c r="L2451" i="3"/>
  <c r="I2452" i="3"/>
  <c r="J2452" i="3" s="1"/>
  <c r="K2452" i="3"/>
  <c r="L2452" i="3"/>
  <c r="I2453" i="3"/>
  <c r="J2453" i="3" s="1"/>
  <c r="K2453" i="3"/>
  <c r="L2453" i="3"/>
  <c r="I2454" i="3"/>
  <c r="J2454" i="3" s="1"/>
  <c r="K2454" i="3"/>
  <c r="L2454" i="3"/>
  <c r="I2455" i="3"/>
  <c r="J2455" i="3" s="1"/>
  <c r="K2455" i="3"/>
  <c r="L2455" i="3"/>
  <c r="I2456" i="3"/>
  <c r="J2456" i="3" s="1"/>
  <c r="K2456" i="3"/>
  <c r="L2456" i="3"/>
  <c r="I2457" i="3"/>
  <c r="J2457" i="3" s="1"/>
  <c r="K2457" i="3"/>
  <c r="L2457" i="3"/>
  <c r="I2458" i="3"/>
  <c r="J2458" i="3" s="1"/>
  <c r="K2458" i="3"/>
  <c r="L2458" i="3"/>
  <c r="I2459" i="3"/>
  <c r="J2459" i="3" s="1"/>
  <c r="K2459" i="3"/>
  <c r="L2459" i="3"/>
  <c r="I2460" i="3"/>
  <c r="J2460" i="3" s="1"/>
  <c r="K2460" i="3"/>
  <c r="L2460" i="3"/>
  <c r="I2461" i="3"/>
  <c r="J2461" i="3" s="1"/>
  <c r="K2461" i="3"/>
  <c r="L2461" i="3"/>
  <c r="I2462" i="3"/>
  <c r="J2462" i="3" s="1"/>
  <c r="K2462" i="3"/>
  <c r="L2462" i="3"/>
  <c r="I2463" i="3"/>
  <c r="J2463" i="3" s="1"/>
  <c r="K2463" i="3"/>
  <c r="L2463" i="3"/>
  <c r="I2464" i="3"/>
  <c r="J2464" i="3" s="1"/>
  <c r="K2464" i="3"/>
  <c r="L2464" i="3"/>
  <c r="I2465" i="3"/>
  <c r="J2465" i="3" s="1"/>
  <c r="K2465" i="3"/>
  <c r="L2465" i="3"/>
  <c r="I2466" i="3"/>
  <c r="J2466" i="3" s="1"/>
  <c r="K2466" i="3"/>
  <c r="L2466" i="3"/>
  <c r="I2467" i="3"/>
  <c r="J2467" i="3" s="1"/>
  <c r="K2467" i="3"/>
  <c r="L2467" i="3"/>
  <c r="I2468" i="3"/>
  <c r="J2468" i="3" s="1"/>
  <c r="K2468" i="3"/>
  <c r="L2468" i="3"/>
  <c r="I2469" i="3"/>
  <c r="J2469" i="3" s="1"/>
  <c r="K2469" i="3"/>
  <c r="L2469" i="3"/>
  <c r="I2470" i="3"/>
  <c r="J2470" i="3" s="1"/>
  <c r="K2470" i="3"/>
  <c r="L2470" i="3"/>
  <c r="I2471" i="3"/>
  <c r="J2471" i="3" s="1"/>
  <c r="K2471" i="3"/>
  <c r="L2471" i="3"/>
  <c r="I2472" i="3"/>
  <c r="J2472" i="3" s="1"/>
  <c r="K2472" i="3"/>
  <c r="L2472" i="3"/>
  <c r="I2473" i="3"/>
  <c r="J2473" i="3" s="1"/>
  <c r="K2473" i="3"/>
  <c r="L2473" i="3"/>
  <c r="I2474" i="3"/>
  <c r="J2474" i="3" s="1"/>
  <c r="K2474" i="3"/>
  <c r="L2474" i="3"/>
  <c r="I2475" i="3"/>
  <c r="J2475" i="3" s="1"/>
  <c r="K2475" i="3"/>
  <c r="L2475" i="3"/>
  <c r="I2476" i="3"/>
  <c r="J2476" i="3" s="1"/>
  <c r="K2476" i="3"/>
  <c r="L2476" i="3"/>
  <c r="I2477" i="3"/>
  <c r="J2477" i="3" s="1"/>
  <c r="K2477" i="3"/>
  <c r="L2477" i="3"/>
  <c r="I2478" i="3"/>
  <c r="J2478" i="3" s="1"/>
  <c r="K2478" i="3"/>
  <c r="L2478" i="3"/>
  <c r="I2479" i="3"/>
  <c r="J2479" i="3" s="1"/>
  <c r="K2479" i="3"/>
  <c r="L2479" i="3"/>
  <c r="I2480" i="3"/>
  <c r="J2480" i="3" s="1"/>
  <c r="K2480" i="3"/>
  <c r="L2480" i="3"/>
  <c r="I2481" i="3"/>
  <c r="J2481" i="3" s="1"/>
  <c r="K2481" i="3"/>
  <c r="L2481" i="3"/>
  <c r="I2482" i="3"/>
  <c r="J2482" i="3" s="1"/>
  <c r="K2482" i="3"/>
  <c r="L2482" i="3"/>
  <c r="I2483" i="3"/>
  <c r="J2483" i="3" s="1"/>
  <c r="K2483" i="3"/>
  <c r="L2483" i="3"/>
  <c r="I2484" i="3"/>
  <c r="J2484" i="3" s="1"/>
  <c r="K2484" i="3"/>
  <c r="L2484" i="3"/>
  <c r="I2485" i="3"/>
  <c r="J2485" i="3" s="1"/>
  <c r="K2485" i="3"/>
  <c r="L2485" i="3"/>
  <c r="I2486" i="3"/>
  <c r="J2486" i="3" s="1"/>
  <c r="K2486" i="3"/>
  <c r="L2486" i="3"/>
  <c r="I2487" i="3"/>
  <c r="J2487" i="3" s="1"/>
  <c r="K2487" i="3"/>
  <c r="L2487" i="3"/>
  <c r="I2488" i="3"/>
  <c r="J2488" i="3" s="1"/>
  <c r="K2488" i="3"/>
  <c r="L2488" i="3"/>
  <c r="I2489" i="3"/>
  <c r="J2489" i="3" s="1"/>
  <c r="K2489" i="3"/>
  <c r="L2489" i="3"/>
  <c r="I2490" i="3"/>
  <c r="J2490" i="3" s="1"/>
  <c r="K2490" i="3"/>
  <c r="L2490" i="3"/>
  <c r="I2491" i="3"/>
  <c r="J2491" i="3" s="1"/>
  <c r="K2491" i="3"/>
  <c r="L2491" i="3"/>
  <c r="I2492" i="3"/>
  <c r="J2492" i="3" s="1"/>
  <c r="K2492" i="3"/>
  <c r="L2492" i="3"/>
  <c r="I2493" i="3"/>
  <c r="J2493" i="3" s="1"/>
  <c r="K2493" i="3"/>
  <c r="L2493" i="3"/>
  <c r="I2494" i="3"/>
  <c r="J2494" i="3" s="1"/>
  <c r="K2494" i="3"/>
  <c r="L2494" i="3"/>
  <c r="I2495" i="3"/>
  <c r="J2495" i="3" s="1"/>
  <c r="K2495" i="3"/>
  <c r="L2495" i="3"/>
  <c r="I2496" i="3"/>
  <c r="J2496" i="3" s="1"/>
  <c r="K2496" i="3"/>
  <c r="L2496" i="3"/>
  <c r="I2497" i="3"/>
  <c r="J2497" i="3" s="1"/>
  <c r="K2497" i="3"/>
  <c r="L2497" i="3"/>
  <c r="I2498" i="3"/>
  <c r="J2498" i="3" s="1"/>
  <c r="K2498" i="3"/>
  <c r="L2498" i="3"/>
  <c r="I2499" i="3"/>
  <c r="J2499" i="3" s="1"/>
  <c r="K2499" i="3"/>
  <c r="L2499" i="3"/>
  <c r="I2500" i="3"/>
  <c r="J2500" i="3" s="1"/>
  <c r="K2500" i="3"/>
  <c r="L2500" i="3"/>
  <c r="I2501" i="3"/>
  <c r="J2501" i="3" s="1"/>
  <c r="K2501" i="3"/>
  <c r="L2501" i="3"/>
  <c r="I2502" i="3"/>
  <c r="J2502" i="3" s="1"/>
  <c r="K2502" i="3"/>
  <c r="L2502" i="3"/>
  <c r="I2503" i="3"/>
  <c r="J2503" i="3" s="1"/>
  <c r="K2503" i="3"/>
  <c r="L2503" i="3"/>
  <c r="I2504" i="3"/>
  <c r="J2504" i="3" s="1"/>
  <c r="K2504" i="3"/>
  <c r="L2504" i="3"/>
  <c r="I2505" i="3"/>
  <c r="J2505" i="3" s="1"/>
  <c r="K2505" i="3"/>
  <c r="L2505" i="3"/>
  <c r="I2506" i="3"/>
  <c r="J2506" i="3" s="1"/>
  <c r="K2506" i="3"/>
  <c r="L2506" i="3"/>
  <c r="I2507" i="3"/>
  <c r="J2507" i="3" s="1"/>
  <c r="K2507" i="3"/>
  <c r="L2507" i="3"/>
  <c r="I2508" i="3"/>
  <c r="J2508" i="3" s="1"/>
  <c r="K2508" i="3"/>
  <c r="L2508" i="3"/>
  <c r="I2509" i="3"/>
  <c r="J2509" i="3" s="1"/>
  <c r="K2509" i="3"/>
  <c r="L2509" i="3"/>
  <c r="I2510" i="3"/>
  <c r="J2510" i="3" s="1"/>
  <c r="K2510" i="3"/>
  <c r="L2510" i="3"/>
  <c r="I2511" i="3"/>
  <c r="J2511" i="3" s="1"/>
  <c r="K2511" i="3"/>
  <c r="L2511" i="3"/>
  <c r="I2512" i="3"/>
  <c r="J2512" i="3" s="1"/>
  <c r="K2512" i="3"/>
  <c r="L2512" i="3"/>
  <c r="I2513" i="3"/>
  <c r="J2513" i="3" s="1"/>
  <c r="K2513" i="3"/>
  <c r="L2513" i="3"/>
  <c r="I2514" i="3"/>
  <c r="J2514" i="3" s="1"/>
  <c r="K2514" i="3"/>
  <c r="L2514" i="3"/>
  <c r="I2515" i="3"/>
  <c r="J2515" i="3" s="1"/>
  <c r="K2515" i="3"/>
  <c r="L2515" i="3"/>
  <c r="I2516" i="3"/>
  <c r="J2516" i="3" s="1"/>
  <c r="K2516" i="3"/>
  <c r="L2516" i="3"/>
  <c r="I2517" i="3"/>
  <c r="J2517" i="3" s="1"/>
  <c r="K2517" i="3"/>
  <c r="L2517" i="3"/>
  <c r="I2518" i="3"/>
  <c r="J2518" i="3" s="1"/>
  <c r="K2518" i="3"/>
  <c r="L2518" i="3"/>
  <c r="I2519" i="3"/>
  <c r="J2519" i="3" s="1"/>
  <c r="K2519" i="3"/>
  <c r="L2519" i="3"/>
  <c r="I2520" i="3"/>
  <c r="J2520" i="3" s="1"/>
  <c r="K2520" i="3"/>
  <c r="L2520" i="3"/>
  <c r="I2521" i="3"/>
  <c r="J2521" i="3" s="1"/>
  <c r="K2521" i="3"/>
  <c r="L2521" i="3"/>
  <c r="I2522" i="3"/>
  <c r="J2522" i="3" s="1"/>
  <c r="K2522" i="3"/>
  <c r="L2522" i="3"/>
  <c r="I2523" i="3"/>
  <c r="J2523" i="3" s="1"/>
  <c r="K2523" i="3"/>
  <c r="L2523" i="3"/>
  <c r="I2524" i="3"/>
  <c r="J2524" i="3" s="1"/>
  <c r="K2524" i="3"/>
  <c r="L2524" i="3"/>
  <c r="I2525" i="3"/>
  <c r="J2525" i="3" s="1"/>
  <c r="K2525" i="3"/>
  <c r="L2525" i="3"/>
  <c r="I2526" i="3"/>
  <c r="J2526" i="3" s="1"/>
  <c r="K2526" i="3"/>
  <c r="L2526" i="3"/>
  <c r="I2527" i="3"/>
  <c r="J2527" i="3" s="1"/>
  <c r="K2527" i="3"/>
  <c r="L2527" i="3"/>
  <c r="I2528" i="3"/>
  <c r="J2528" i="3" s="1"/>
  <c r="K2528" i="3"/>
  <c r="L2528" i="3"/>
  <c r="I2529" i="3"/>
  <c r="J2529" i="3" s="1"/>
  <c r="K2529" i="3"/>
  <c r="L2529" i="3"/>
  <c r="I2530" i="3"/>
  <c r="J2530" i="3" s="1"/>
  <c r="K2530" i="3"/>
  <c r="L2530" i="3"/>
  <c r="I2531" i="3"/>
  <c r="J2531" i="3" s="1"/>
  <c r="K2531" i="3"/>
  <c r="L2531" i="3"/>
  <c r="I2532" i="3"/>
  <c r="J2532" i="3" s="1"/>
  <c r="K2532" i="3"/>
  <c r="L2532" i="3"/>
  <c r="I2533" i="3"/>
  <c r="J2533" i="3" s="1"/>
  <c r="K2533" i="3"/>
  <c r="L2533" i="3"/>
  <c r="I2534" i="3"/>
  <c r="J2534" i="3" s="1"/>
  <c r="K2534" i="3"/>
  <c r="L2534" i="3"/>
  <c r="I2535" i="3"/>
  <c r="J2535" i="3" s="1"/>
  <c r="K2535" i="3"/>
  <c r="L2535" i="3"/>
  <c r="I2536" i="3"/>
  <c r="J2536" i="3" s="1"/>
  <c r="K2536" i="3"/>
  <c r="L2536" i="3"/>
  <c r="I2537" i="3"/>
  <c r="J2537" i="3" s="1"/>
  <c r="K2537" i="3"/>
  <c r="L2537" i="3"/>
  <c r="I2538" i="3"/>
  <c r="J2538" i="3" s="1"/>
  <c r="K2538" i="3"/>
  <c r="L2538" i="3"/>
  <c r="I2539" i="3"/>
  <c r="J2539" i="3" s="1"/>
  <c r="K2539" i="3"/>
  <c r="L2539" i="3"/>
  <c r="I2540" i="3"/>
  <c r="J2540" i="3" s="1"/>
  <c r="K2540" i="3"/>
  <c r="L2540" i="3"/>
  <c r="I2541" i="3"/>
  <c r="J2541" i="3" s="1"/>
  <c r="K2541" i="3"/>
  <c r="L2541" i="3"/>
  <c r="I2542" i="3"/>
  <c r="J2542" i="3" s="1"/>
  <c r="K2542" i="3"/>
  <c r="L2542" i="3"/>
  <c r="I2543" i="3"/>
  <c r="J2543" i="3" s="1"/>
  <c r="K2543" i="3"/>
  <c r="L2543" i="3"/>
  <c r="I2544" i="3"/>
  <c r="J2544" i="3" s="1"/>
  <c r="K2544" i="3"/>
  <c r="L2544" i="3"/>
  <c r="I2545" i="3"/>
  <c r="J2545" i="3" s="1"/>
  <c r="K2545" i="3"/>
  <c r="L2545" i="3"/>
  <c r="I2546" i="3"/>
  <c r="J2546" i="3" s="1"/>
  <c r="K2546" i="3"/>
  <c r="L2546" i="3"/>
  <c r="I2547" i="3"/>
  <c r="J2547" i="3" s="1"/>
  <c r="K2547" i="3"/>
  <c r="L2547" i="3"/>
  <c r="I2548" i="3"/>
  <c r="J2548" i="3" s="1"/>
  <c r="K2548" i="3"/>
  <c r="L2548" i="3"/>
  <c r="I2549" i="3"/>
  <c r="J2549" i="3" s="1"/>
  <c r="K2549" i="3"/>
  <c r="L2549" i="3"/>
  <c r="I2550" i="3"/>
  <c r="J2550" i="3" s="1"/>
  <c r="K2550" i="3"/>
  <c r="L2550" i="3"/>
  <c r="I2551" i="3"/>
  <c r="J2551" i="3" s="1"/>
  <c r="K2551" i="3"/>
  <c r="L2551" i="3"/>
  <c r="I2552" i="3"/>
  <c r="J2552" i="3" s="1"/>
  <c r="K2552" i="3"/>
  <c r="L2552" i="3"/>
  <c r="I2553" i="3"/>
  <c r="J2553" i="3" s="1"/>
  <c r="K2553" i="3"/>
  <c r="L2553" i="3"/>
  <c r="I2554" i="3"/>
  <c r="J2554" i="3" s="1"/>
  <c r="K2554" i="3"/>
  <c r="L2554" i="3"/>
  <c r="I2555" i="3"/>
  <c r="J2555" i="3" s="1"/>
  <c r="K2555" i="3"/>
  <c r="L2555" i="3"/>
  <c r="I2556" i="3"/>
  <c r="J2556" i="3" s="1"/>
  <c r="K2556" i="3"/>
  <c r="L2556" i="3"/>
  <c r="I2557" i="3"/>
  <c r="J2557" i="3" s="1"/>
  <c r="K2557" i="3"/>
  <c r="L2557" i="3"/>
  <c r="I2558" i="3"/>
  <c r="J2558" i="3" s="1"/>
  <c r="K2558" i="3"/>
  <c r="L2558" i="3"/>
  <c r="I2559" i="3"/>
  <c r="J2559" i="3" s="1"/>
  <c r="K2559" i="3"/>
  <c r="L2559" i="3"/>
  <c r="I2560" i="3"/>
  <c r="J2560" i="3" s="1"/>
  <c r="K2560" i="3"/>
  <c r="L2560" i="3"/>
  <c r="I2561" i="3"/>
  <c r="J2561" i="3" s="1"/>
  <c r="K2561" i="3"/>
  <c r="L2561" i="3"/>
  <c r="I2562" i="3"/>
  <c r="J2562" i="3" s="1"/>
  <c r="K2562" i="3"/>
  <c r="L2562" i="3"/>
  <c r="I2563" i="3"/>
  <c r="J2563" i="3" s="1"/>
  <c r="K2563" i="3"/>
  <c r="L2563" i="3"/>
  <c r="I2564" i="3"/>
  <c r="J2564" i="3" s="1"/>
  <c r="K2564" i="3"/>
  <c r="L2564" i="3"/>
  <c r="I2565" i="3"/>
  <c r="J2565" i="3" s="1"/>
  <c r="K2565" i="3"/>
  <c r="L2565" i="3"/>
  <c r="I2566" i="3"/>
  <c r="J2566" i="3" s="1"/>
  <c r="K2566" i="3"/>
  <c r="L2566" i="3"/>
  <c r="I2567" i="3"/>
  <c r="J2567" i="3" s="1"/>
  <c r="K2567" i="3"/>
  <c r="L2567" i="3"/>
  <c r="I2568" i="3"/>
  <c r="J2568" i="3" s="1"/>
  <c r="K2568" i="3"/>
  <c r="L2568" i="3"/>
  <c r="I2569" i="3"/>
  <c r="J2569" i="3" s="1"/>
  <c r="K2569" i="3"/>
  <c r="L2569" i="3"/>
  <c r="I2570" i="3"/>
  <c r="J2570" i="3" s="1"/>
  <c r="K2570" i="3"/>
  <c r="L2570" i="3"/>
  <c r="I2571" i="3"/>
  <c r="J2571" i="3" s="1"/>
  <c r="K2571" i="3"/>
  <c r="L2571" i="3"/>
  <c r="I2572" i="3"/>
  <c r="J2572" i="3" s="1"/>
  <c r="K2572" i="3"/>
  <c r="L2572" i="3"/>
  <c r="I2573" i="3"/>
  <c r="J2573" i="3" s="1"/>
  <c r="K2573" i="3"/>
  <c r="L2573" i="3"/>
  <c r="I2574" i="3"/>
  <c r="J2574" i="3" s="1"/>
  <c r="K2574" i="3"/>
  <c r="L2574" i="3"/>
  <c r="I2575" i="3"/>
  <c r="J2575" i="3" s="1"/>
  <c r="K2575" i="3"/>
  <c r="L2575" i="3"/>
  <c r="I2576" i="3"/>
  <c r="J2576" i="3" s="1"/>
  <c r="K2576" i="3"/>
  <c r="L2576" i="3"/>
  <c r="I2577" i="3"/>
  <c r="J2577" i="3" s="1"/>
  <c r="K2577" i="3"/>
  <c r="L2577" i="3"/>
  <c r="I2578" i="3"/>
  <c r="J2578" i="3" s="1"/>
  <c r="K2578" i="3"/>
  <c r="L2578" i="3"/>
  <c r="I2579" i="3"/>
  <c r="J2579" i="3" s="1"/>
  <c r="K2579" i="3"/>
  <c r="L2579" i="3"/>
  <c r="I2580" i="3"/>
  <c r="J2580" i="3" s="1"/>
  <c r="K2580" i="3"/>
  <c r="L2580" i="3"/>
  <c r="I2581" i="3"/>
  <c r="J2581" i="3" s="1"/>
  <c r="K2581" i="3"/>
  <c r="L2581" i="3"/>
  <c r="I2582" i="3"/>
  <c r="J2582" i="3" s="1"/>
  <c r="K2582" i="3"/>
  <c r="L2582" i="3"/>
  <c r="I2583" i="3"/>
  <c r="J2583" i="3" s="1"/>
  <c r="K2583" i="3"/>
  <c r="L2583" i="3"/>
  <c r="I2584" i="3"/>
  <c r="J2584" i="3" s="1"/>
  <c r="K2584" i="3"/>
  <c r="L2584" i="3"/>
  <c r="I2585" i="3"/>
  <c r="J2585" i="3" s="1"/>
  <c r="K2585" i="3"/>
  <c r="L2585" i="3"/>
  <c r="I2586" i="3"/>
  <c r="J2586" i="3" s="1"/>
  <c r="K2586" i="3"/>
  <c r="L2586" i="3"/>
  <c r="I2587" i="3"/>
  <c r="J2587" i="3" s="1"/>
  <c r="K2587" i="3"/>
  <c r="L2587" i="3"/>
  <c r="I2588" i="3"/>
  <c r="J2588" i="3" s="1"/>
  <c r="K2588" i="3"/>
  <c r="L2588" i="3"/>
  <c r="I2589" i="3"/>
  <c r="J2589" i="3" s="1"/>
  <c r="K2589" i="3"/>
  <c r="L2589" i="3"/>
  <c r="I2590" i="3"/>
  <c r="J2590" i="3" s="1"/>
  <c r="K2590" i="3"/>
  <c r="L2590" i="3"/>
  <c r="I2591" i="3"/>
  <c r="J2591" i="3" s="1"/>
  <c r="K2591" i="3"/>
  <c r="L2591" i="3"/>
  <c r="I2592" i="3"/>
  <c r="J2592" i="3" s="1"/>
  <c r="K2592" i="3"/>
  <c r="L2592" i="3"/>
  <c r="I2593" i="3"/>
  <c r="J2593" i="3" s="1"/>
  <c r="K2593" i="3"/>
  <c r="L2593" i="3"/>
  <c r="I2594" i="3"/>
  <c r="J2594" i="3" s="1"/>
  <c r="K2594" i="3"/>
  <c r="L2594" i="3"/>
  <c r="I2595" i="3"/>
  <c r="J2595" i="3" s="1"/>
  <c r="K2595" i="3"/>
  <c r="L2595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36" i="3"/>
  <c r="F1837" i="3"/>
  <c r="F1838" i="3"/>
  <c r="F1839" i="3"/>
  <c r="F1840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97" i="3"/>
  <c r="F1898" i="3"/>
  <c r="F1899" i="3"/>
  <c r="F1900" i="3"/>
  <c r="F1901" i="3"/>
  <c r="F1902" i="3"/>
  <c r="F1903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3" i="3"/>
  <c r="F1934" i="3"/>
  <c r="F1935" i="3"/>
  <c r="F1936" i="3"/>
  <c r="F1937" i="3"/>
  <c r="F1938" i="3"/>
  <c r="F1939" i="3"/>
  <c r="F1940" i="3"/>
  <c r="F1941" i="3"/>
  <c r="F1942" i="3"/>
  <c r="F1943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6" i="3"/>
  <c r="F2097" i="3"/>
  <c r="F2098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J750" i="2" l="1"/>
  <c r="J743" i="2"/>
  <c r="M2147" i="3"/>
  <c r="M2129" i="3"/>
  <c r="M1800" i="3"/>
  <c r="M2124" i="3"/>
  <c r="J739" i="2"/>
  <c r="J730" i="2"/>
  <c r="M1619" i="3"/>
  <c r="M2090" i="3"/>
  <c r="M2086" i="3"/>
  <c r="M2063" i="3"/>
  <c r="M1907" i="3"/>
  <c r="M1816" i="3"/>
  <c r="M1930" i="3"/>
  <c r="M1418" i="3"/>
  <c r="M1933" i="3"/>
  <c r="M1942" i="3"/>
  <c r="M1863" i="3"/>
  <c r="M1926" i="3"/>
  <c r="M1898" i="3"/>
  <c r="M1879" i="3"/>
  <c r="M1874" i="3"/>
  <c r="M1860" i="3"/>
  <c r="M1854" i="3"/>
  <c r="M1836" i="3"/>
  <c r="M1812" i="3"/>
  <c r="M1792" i="3"/>
  <c r="M1778" i="3"/>
  <c r="M1765" i="3"/>
  <c r="M1802" i="3"/>
  <c r="M1788" i="3"/>
  <c r="M1775" i="3"/>
  <c r="J671" i="2"/>
  <c r="M1769" i="3"/>
  <c r="M1754" i="3"/>
  <c r="M1578" i="3"/>
  <c r="M1528" i="3"/>
  <c r="M1716" i="3"/>
  <c r="M1704" i="3"/>
  <c r="M1681" i="3"/>
  <c r="M1656" i="3"/>
  <c r="M1616" i="3"/>
  <c r="M1612" i="3"/>
  <c r="M1539" i="3"/>
  <c r="M1484" i="3"/>
  <c r="M1442" i="3"/>
  <c r="M1386" i="3"/>
  <c r="M1627" i="3"/>
  <c r="M1453" i="3"/>
  <c r="M1431" i="3"/>
  <c r="M1421" i="3"/>
  <c r="M1405" i="3"/>
  <c r="M1670" i="3"/>
  <c r="M1742" i="3"/>
  <c r="M1730" i="3"/>
  <c r="M1609" i="3"/>
  <c r="M1601" i="3"/>
  <c r="M1593" i="3"/>
  <c r="M1581" i="3"/>
  <c r="M1511" i="3"/>
  <c r="M1693" i="3"/>
  <c r="M1667" i="3"/>
  <c r="M1650" i="3"/>
  <c r="M1643" i="3"/>
  <c r="M1636" i="3"/>
  <c r="M1574" i="3"/>
  <c r="M1564" i="3"/>
  <c r="M1557" i="3"/>
  <c r="M1548" i="3"/>
  <c r="M1543" i="3"/>
  <c r="M1534" i="3"/>
  <c r="M1508" i="3"/>
  <c r="M1495" i="3"/>
  <c r="M1474" i="3"/>
  <c r="M1462" i="3"/>
  <c r="M1397" i="3"/>
  <c r="M1380" i="3"/>
  <c r="M1368" i="3"/>
  <c r="M1375" i="3"/>
  <c r="M1382" i="3"/>
  <c r="M1373" i="3"/>
  <c r="M1351" i="3"/>
  <c r="M1364" i="3"/>
  <c r="M1359" i="3"/>
  <c r="M1315" i="3"/>
  <c r="M1338" i="3"/>
  <c r="M1327" i="3"/>
  <c r="H543" i="2"/>
  <c r="I543" i="2" s="1"/>
  <c r="H485" i="2"/>
  <c r="I485" i="2" s="1"/>
  <c r="H546" i="2"/>
  <c r="I546" i="2" s="1"/>
  <c r="H478" i="2"/>
  <c r="I478" i="2" s="1"/>
  <c r="H470" i="2"/>
  <c r="I470" i="2" s="1"/>
  <c r="H462" i="2"/>
  <c r="I462" i="2" s="1"/>
  <c r="H438" i="2"/>
  <c r="I438" i="2" s="1"/>
  <c r="H430" i="2"/>
  <c r="I430" i="2" s="1"/>
  <c r="H422" i="2"/>
  <c r="I422" i="2" s="1"/>
  <c r="H414" i="2"/>
  <c r="I414" i="2" s="1"/>
  <c r="H398" i="2"/>
  <c r="I398" i="2" s="1"/>
  <c r="H390" i="2"/>
  <c r="I390" i="2" s="1"/>
  <c r="H382" i="2"/>
  <c r="I382" i="2" s="1"/>
  <c r="H374" i="2"/>
  <c r="I374" i="2" s="1"/>
  <c r="H366" i="2"/>
  <c r="I366" i="2" s="1"/>
  <c r="H358" i="2"/>
  <c r="I358" i="2" s="1"/>
  <c r="H310" i="2"/>
  <c r="I310" i="2" s="1"/>
  <c r="H270" i="2"/>
  <c r="I270" i="2" s="1"/>
  <c r="H254" i="2"/>
  <c r="I254" i="2" s="1"/>
  <c r="H246" i="2"/>
  <c r="I246" i="2" s="1"/>
  <c r="H230" i="2"/>
  <c r="I230" i="2" s="1"/>
  <c r="H222" i="2"/>
  <c r="I222" i="2" s="1"/>
  <c r="H214" i="2"/>
  <c r="I214" i="2" s="1"/>
  <c r="H493" i="2"/>
  <c r="I493" i="2" s="1"/>
  <c r="H437" i="2"/>
  <c r="I437" i="2" s="1"/>
  <c r="H429" i="2"/>
  <c r="I429" i="2" s="1"/>
  <c r="H405" i="2"/>
  <c r="I405" i="2" s="1"/>
  <c r="H381" i="2"/>
  <c r="I381" i="2" s="1"/>
  <c r="H365" i="2"/>
  <c r="I365" i="2" s="1"/>
  <c r="H341" i="2"/>
  <c r="I341" i="2" s="1"/>
  <c r="H309" i="2"/>
  <c r="I309" i="2" s="1"/>
  <c r="H301" i="2"/>
  <c r="I301" i="2" s="1"/>
  <c r="H293" i="2"/>
  <c r="I293" i="2" s="1"/>
  <c r="H277" i="2"/>
  <c r="I277" i="2" s="1"/>
  <c r="H269" i="2"/>
  <c r="I269" i="2" s="1"/>
  <c r="H245" i="2"/>
  <c r="I245" i="2" s="1"/>
  <c r="H237" i="2"/>
  <c r="I237" i="2" s="1"/>
  <c r="H229" i="2"/>
  <c r="I229" i="2" s="1"/>
  <c r="H221" i="2"/>
  <c r="I221" i="2" s="1"/>
  <c r="H205" i="2"/>
  <c r="I205" i="2" s="1"/>
  <c r="H189" i="2"/>
  <c r="I189" i="2" s="1"/>
  <c r="H141" i="2"/>
  <c r="I141" i="2" s="1"/>
  <c r="H52" i="2"/>
  <c r="I52" i="2" s="1"/>
  <c r="H552" i="2"/>
  <c r="I552" i="2" s="1"/>
  <c r="H524" i="2"/>
  <c r="I524" i="2" s="1"/>
  <c r="H508" i="2"/>
  <c r="I508" i="2" s="1"/>
  <c r="H468" i="2"/>
  <c r="I468" i="2" s="1"/>
  <c r="H428" i="2"/>
  <c r="I428" i="2" s="1"/>
  <c r="H420" i="2"/>
  <c r="I420" i="2" s="1"/>
  <c r="H348" i="2"/>
  <c r="I348" i="2" s="1"/>
  <c r="H340" i="2"/>
  <c r="I340" i="2" s="1"/>
  <c r="H324" i="2"/>
  <c r="I324" i="2" s="1"/>
  <c r="H308" i="2"/>
  <c r="I308" i="2" s="1"/>
  <c r="H300" i="2"/>
  <c r="I300" i="2" s="1"/>
  <c r="H268" i="2"/>
  <c r="I268" i="2" s="1"/>
  <c r="H236" i="2"/>
  <c r="I236" i="2" s="1"/>
  <c r="H212" i="2"/>
  <c r="I212" i="2" s="1"/>
  <c r="H204" i="2"/>
  <c r="I204" i="2" s="1"/>
  <c r="H172" i="2"/>
  <c r="I172" i="2" s="1"/>
  <c r="H551" i="2"/>
  <c r="I551" i="2" s="1"/>
  <c r="H540" i="2"/>
  <c r="I540" i="2" s="1"/>
  <c r="H523" i="2"/>
  <c r="I523" i="2" s="1"/>
  <c r="H515" i="2"/>
  <c r="I515" i="2" s="1"/>
  <c r="H499" i="2"/>
  <c r="I499" i="2" s="1"/>
  <c r="H467" i="2"/>
  <c r="I467" i="2" s="1"/>
  <c r="H451" i="2"/>
  <c r="I451" i="2" s="1"/>
  <c r="H427" i="2"/>
  <c r="I427" i="2" s="1"/>
  <c r="H419" i="2"/>
  <c r="I419" i="2" s="1"/>
  <c r="H363" i="2"/>
  <c r="I363" i="2" s="1"/>
  <c r="H355" i="2"/>
  <c r="I355" i="2" s="1"/>
  <c r="H339" i="2"/>
  <c r="I339" i="2" s="1"/>
  <c r="H299" i="2"/>
  <c r="I299" i="2" s="1"/>
  <c r="H291" i="2"/>
  <c r="I291" i="2" s="1"/>
  <c r="H283" i="2"/>
  <c r="I283" i="2" s="1"/>
  <c r="H275" i="2"/>
  <c r="I275" i="2" s="1"/>
  <c r="H211" i="2"/>
  <c r="I211" i="2" s="1"/>
  <c r="H203" i="2"/>
  <c r="I203" i="2" s="1"/>
  <c r="H74" i="2"/>
  <c r="I74" i="2" s="1"/>
  <c r="H522" i="2"/>
  <c r="I522" i="2" s="1"/>
  <c r="H506" i="2"/>
  <c r="I506" i="2" s="1"/>
  <c r="H498" i="2"/>
  <c r="I498" i="2" s="1"/>
  <c r="H490" i="2"/>
  <c r="H474" i="2"/>
  <c r="I474" i="2" s="1"/>
  <c r="H450" i="2"/>
  <c r="I450" i="2" s="1"/>
  <c r="H426" i="2"/>
  <c r="I426" i="2" s="1"/>
  <c r="H418" i="2"/>
  <c r="I418" i="2" s="1"/>
  <c r="H394" i="2"/>
  <c r="I394" i="2" s="1"/>
  <c r="H386" i="2"/>
  <c r="I386" i="2" s="1"/>
  <c r="H338" i="2"/>
  <c r="I338" i="2" s="1"/>
  <c r="H322" i="2"/>
  <c r="I322" i="2" s="1"/>
  <c r="H250" i="2"/>
  <c r="I250" i="2" s="1"/>
  <c r="H218" i="2"/>
  <c r="I218" i="2" s="1"/>
  <c r="H210" i="2"/>
  <c r="I210" i="2" s="1"/>
  <c r="H202" i="2"/>
  <c r="I202" i="2" s="1"/>
  <c r="H194" i="2"/>
  <c r="I194" i="2" s="1"/>
  <c r="H170" i="2"/>
  <c r="I170" i="2" s="1"/>
  <c r="H549" i="2"/>
  <c r="I549" i="2" s="1"/>
  <c r="H537" i="2"/>
  <c r="I537" i="2" s="1"/>
  <c r="H529" i="2"/>
  <c r="I529" i="2" s="1"/>
  <c r="H521" i="2"/>
  <c r="I521" i="2" s="1"/>
  <c r="H497" i="2"/>
  <c r="I497" i="2" s="1"/>
  <c r="H489" i="2"/>
  <c r="I489" i="2" s="1"/>
  <c r="H465" i="2"/>
  <c r="I465" i="2" s="1"/>
  <c r="H385" i="2"/>
  <c r="I385" i="2" s="1"/>
  <c r="H377" i="2"/>
  <c r="I377" i="2" s="1"/>
  <c r="H361" i="2"/>
  <c r="I361" i="2" s="1"/>
  <c r="H353" i="2"/>
  <c r="I353" i="2" s="1"/>
  <c r="H345" i="2"/>
  <c r="I345" i="2" s="1"/>
  <c r="H329" i="2"/>
  <c r="I329" i="2" s="1"/>
  <c r="H297" i="2"/>
  <c r="I297" i="2" s="1"/>
  <c r="H281" i="2"/>
  <c r="I281" i="2" s="1"/>
  <c r="H265" i="2"/>
  <c r="I265" i="2" s="1"/>
  <c r="H233" i="2"/>
  <c r="I233" i="2" s="1"/>
  <c r="H217" i="2"/>
  <c r="I217" i="2" s="1"/>
  <c r="H209" i="2"/>
  <c r="I209" i="2" s="1"/>
  <c r="H201" i="2"/>
  <c r="I201" i="2" s="1"/>
  <c r="H193" i="2"/>
  <c r="I193" i="2" s="1"/>
  <c r="H488" i="2"/>
  <c r="I488" i="2" s="1"/>
  <c r="H480" i="2"/>
  <c r="I480" i="2" s="1"/>
  <c r="H424" i="2"/>
  <c r="I424" i="2" s="1"/>
  <c r="H224" i="2"/>
  <c r="I224" i="2" s="1"/>
  <c r="H391" i="2"/>
  <c r="I391" i="2" s="1"/>
  <c r="H319" i="2"/>
  <c r="I319" i="2" s="1"/>
  <c r="H303" i="2"/>
  <c r="I303" i="2" s="1"/>
  <c r="H231" i="2"/>
  <c r="I231" i="2" s="1"/>
  <c r="J553" i="2"/>
  <c r="K553" i="2" s="1"/>
  <c r="M1279" i="3"/>
  <c r="M1296" i="3"/>
  <c r="M1302" i="3"/>
  <c r="M1285" i="3"/>
  <c r="M1277" i="3"/>
  <c r="M1267" i="3"/>
  <c r="M1275" i="3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K101" i="3"/>
  <c r="J9" i="1"/>
  <c r="F10" i="1"/>
  <c r="F11" i="1"/>
  <c r="K468" i="3" s="1"/>
  <c r="D12" i="1"/>
  <c r="F12" i="1" s="1"/>
  <c r="D13" i="1"/>
  <c r="F13" i="1" s="1"/>
  <c r="D14" i="1"/>
  <c r="F14" i="1" s="1"/>
  <c r="D15" i="1"/>
  <c r="F15" i="1" s="1"/>
  <c r="D16" i="1"/>
  <c r="F16" i="1" s="1"/>
  <c r="D17" i="1"/>
  <c r="F17" i="1" s="1"/>
  <c r="J17" i="1" s="1"/>
  <c r="D18" i="1"/>
  <c r="F18" i="1" s="1"/>
  <c r="D19" i="1"/>
  <c r="F19" i="1" s="1"/>
  <c r="D20" i="1"/>
  <c r="F20" i="1" s="1"/>
  <c r="K1027" i="3" s="1"/>
  <c r="D21" i="1"/>
  <c r="F21" i="1" s="1"/>
  <c r="D22" i="1"/>
  <c r="F22" i="1" s="1"/>
  <c r="D23" i="1"/>
  <c r="F23" i="1" s="1"/>
  <c r="D24" i="1"/>
  <c r="F24" i="1" s="1"/>
  <c r="K916" i="3" s="1"/>
  <c r="D25" i="1"/>
  <c r="F25" i="1" s="1"/>
  <c r="D26" i="1"/>
  <c r="D27" i="1"/>
  <c r="F27" i="1" s="1"/>
  <c r="D28" i="1"/>
  <c r="F28" i="1" s="1"/>
  <c r="K913" i="3" s="1"/>
  <c r="D29" i="1"/>
  <c r="D30" i="1"/>
  <c r="F30" i="1" s="1"/>
  <c r="K84" i="3" s="1"/>
  <c r="D31" i="1"/>
  <c r="F31" i="1" s="1"/>
  <c r="D32" i="1"/>
  <c r="F32" i="1" s="1"/>
  <c r="K242" i="3" s="1"/>
  <c r="D33" i="1"/>
  <c r="F33" i="1" s="1"/>
  <c r="D34" i="1"/>
  <c r="F34" i="1" s="1"/>
  <c r="J34" i="1" s="1"/>
  <c r="D35" i="1"/>
  <c r="D36" i="1"/>
  <c r="F36" i="1" s="1"/>
  <c r="K265" i="3" s="1"/>
  <c r="D37" i="1"/>
  <c r="F37" i="1" s="1"/>
  <c r="D38" i="1"/>
  <c r="F38" i="1" s="1"/>
  <c r="K1028" i="3" s="1"/>
  <c r="D39" i="1"/>
  <c r="F39" i="1" s="1"/>
  <c r="D40" i="1"/>
  <c r="D41" i="1"/>
  <c r="F41" i="1" s="1"/>
  <c r="D42" i="1"/>
  <c r="F42" i="1" s="1"/>
  <c r="J42" i="1" s="1"/>
  <c r="D43" i="1"/>
  <c r="F43" i="1" s="1"/>
  <c r="D44" i="1"/>
  <c r="F44" i="1" s="1"/>
  <c r="K1050" i="3" s="1"/>
  <c r="D45" i="1"/>
  <c r="F45" i="1" s="1"/>
  <c r="D46" i="1"/>
  <c r="F46" i="1" s="1"/>
  <c r="K751" i="3" s="1"/>
  <c r="D47" i="1"/>
  <c r="D48" i="1"/>
  <c r="F48" i="1" s="1"/>
  <c r="K1076" i="3" s="1"/>
  <c r="D49" i="1"/>
  <c r="F49" i="1" s="1"/>
  <c r="D50" i="1"/>
  <c r="F50" i="1" s="1"/>
  <c r="J50" i="1" s="1"/>
  <c r="D51" i="1"/>
  <c r="F51" i="1" s="1"/>
  <c r="D52" i="1"/>
  <c r="D53" i="1"/>
  <c r="F53" i="1" s="1"/>
  <c r="D54" i="1"/>
  <c r="F54" i="1" s="1"/>
  <c r="K1074" i="3" s="1"/>
  <c r="D55" i="1"/>
  <c r="F55" i="1" s="1"/>
  <c r="D56" i="1"/>
  <c r="F56" i="1" s="1"/>
  <c r="K1041" i="3" s="1"/>
  <c r="D57" i="1"/>
  <c r="F57" i="1" s="1"/>
  <c r="D58" i="1"/>
  <c r="F58" i="1" s="1"/>
  <c r="J58" i="1" s="1"/>
  <c r="D59" i="1"/>
  <c r="F59" i="1" s="1"/>
  <c r="D60" i="1"/>
  <c r="F60" i="1" s="1"/>
  <c r="D61" i="1"/>
  <c r="F61" i="1" s="1"/>
  <c r="D62" i="1"/>
  <c r="F62" i="1" s="1"/>
  <c r="D63" i="1"/>
  <c r="F63" i="1" s="1"/>
  <c r="D64" i="1"/>
  <c r="D65" i="1"/>
  <c r="D66" i="1"/>
  <c r="D67" i="1"/>
  <c r="D68" i="1"/>
  <c r="D69" i="1"/>
  <c r="F69" i="1" s="1"/>
  <c r="D70" i="1"/>
  <c r="F70" i="1" s="1"/>
  <c r="D71" i="1"/>
  <c r="F71" i="1" s="1"/>
  <c r="D72" i="1"/>
  <c r="D73" i="1"/>
  <c r="D74" i="1"/>
  <c r="D75" i="1"/>
  <c r="F75" i="1" s="1"/>
  <c r="D76" i="1"/>
  <c r="D77" i="1"/>
  <c r="F77" i="1" s="1"/>
  <c r="D78" i="1"/>
  <c r="F78" i="1" s="1"/>
  <c r="D79" i="1"/>
  <c r="F79" i="1" s="1"/>
  <c r="D80" i="1"/>
  <c r="D81" i="1"/>
  <c r="D82" i="1"/>
  <c r="D83" i="1"/>
  <c r="D84" i="1"/>
  <c r="F84" i="1" s="1"/>
  <c r="D85" i="1"/>
  <c r="F85" i="1" s="1"/>
  <c r="D86" i="1"/>
  <c r="D87" i="1"/>
  <c r="F87" i="1" s="1"/>
  <c r="D88" i="1"/>
  <c r="F88" i="1" s="1"/>
  <c r="D89" i="1"/>
  <c r="F89" i="1" s="1"/>
  <c r="D90" i="1"/>
  <c r="F90" i="1" s="1"/>
  <c r="K1111" i="3" s="1"/>
  <c r="D91" i="1"/>
  <c r="F91" i="1" s="1"/>
  <c r="D92" i="1"/>
  <c r="D93" i="1"/>
  <c r="D94" i="1"/>
  <c r="D95" i="1"/>
  <c r="F95" i="1" s="1"/>
  <c r="D96" i="1"/>
  <c r="F96" i="1" s="1"/>
  <c r="D97" i="1"/>
  <c r="F97" i="1" s="1"/>
  <c r="D98" i="1"/>
  <c r="D99" i="1"/>
  <c r="F99" i="1" s="1"/>
  <c r="K96" i="3" s="1"/>
  <c r="D100" i="1"/>
  <c r="F100" i="1" s="1"/>
  <c r="D101" i="1"/>
  <c r="D102" i="1"/>
  <c r="D103" i="1"/>
  <c r="F103" i="1" s="1"/>
  <c r="D104" i="1"/>
  <c r="F104" i="1" s="1"/>
  <c r="D105" i="1"/>
  <c r="F105" i="1" s="1"/>
  <c r="D106" i="1"/>
  <c r="F106" i="1" s="1"/>
  <c r="D107" i="1"/>
  <c r="D108" i="1"/>
  <c r="F108" i="1" s="1"/>
  <c r="K1517" i="3" s="1"/>
  <c r="D109" i="1"/>
  <c r="F109" i="1" s="1"/>
  <c r="D110" i="1"/>
  <c r="F110" i="1" s="1"/>
  <c r="D111" i="1"/>
  <c r="D112" i="1"/>
  <c r="F112" i="1" s="1"/>
  <c r="D113" i="1"/>
  <c r="F113" i="1" s="1"/>
  <c r="D114" i="1"/>
  <c r="F114" i="1" s="1"/>
  <c r="D115" i="1"/>
  <c r="F115" i="1" s="1"/>
  <c r="D116" i="1"/>
  <c r="F116" i="1" s="1"/>
  <c r="D117" i="1"/>
  <c r="F117" i="1" s="1"/>
  <c r="D118" i="1"/>
  <c r="F118" i="1" s="1"/>
  <c r="D119" i="1"/>
  <c r="F119" i="1" s="1"/>
  <c r="D120" i="1"/>
  <c r="F120" i="1" s="1"/>
  <c r="D121" i="1"/>
  <c r="F121" i="1" s="1"/>
  <c r="D122" i="1"/>
  <c r="F122" i="1" s="1"/>
  <c r="D123" i="1"/>
  <c r="F123" i="1" s="1"/>
  <c r="D124" i="1"/>
  <c r="F124" i="1" s="1"/>
  <c r="D125" i="1"/>
  <c r="F125" i="1" s="1"/>
  <c r="D126" i="1"/>
  <c r="D127" i="1"/>
  <c r="D128" i="1"/>
  <c r="F128" i="1" s="1"/>
  <c r="D129" i="1"/>
  <c r="F129" i="1" s="1"/>
  <c r="D130" i="1"/>
  <c r="F130" i="1" s="1"/>
  <c r="D131" i="1"/>
  <c r="F131" i="1" s="1"/>
  <c r="K139" i="3" s="1"/>
  <c r="D132" i="1"/>
  <c r="F132" i="1" s="1"/>
  <c r="D133" i="1"/>
  <c r="F133" i="1" s="1"/>
  <c r="D134" i="1"/>
  <c r="D135" i="1"/>
  <c r="F135" i="1" s="1"/>
  <c r="D136" i="1"/>
  <c r="F136" i="1" s="1"/>
  <c r="D137" i="1"/>
  <c r="D138" i="1"/>
  <c r="F138" i="1" s="1"/>
  <c r="D139" i="1"/>
  <c r="F139" i="1" s="1"/>
  <c r="K243" i="3" s="1"/>
  <c r="D140" i="1"/>
  <c r="F140" i="1" s="1"/>
  <c r="D141" i="1"/>
  <c r="F141" i="1" s="1"/>
  <c r="D142" i="1"/>
  <c r="D143" i="1"/>
  <c r="F143" i="1" s="1"/>
  <c r="D144" i="1"/>
  <c r="D145" i="1"/>
  <c r="F145" i="1" s="1"/>
  <c r="J145" i="1" s="1"/>
  <c r="D146" i="1"/>
  <c r="F146" i="1" s="1"/>
  <c r="D147" i="1"/>
  <c r="D148" i="1"/>
  <c r="F148" i="1" s="1"/>
  <c r="K1281" i="3" s="1"/>
  <c r="D149" i="1"/>
  <c r="F149" i="1" s="1"/>
  <c r="D150" i="1"/>
  <c r="F150" i="1" s="1"/>
  <c r="D151" i="1"/>
  <c r="F151" i="1" s="1"/>
  <c r="D152" i="1"/>
  <c r="F152" i="1" s="1"/>
  <c r="D153" i="1"/>
  <c r="F153" i="1" s="1"/>
  <c r="K1504" i="3" s="1"/>
  <c r="D154" i="1"/>
  <c r="F154" i="1" s="1"/>
  <c r="D155" i="1"/>
  <c r="F155" i="1" s="1"/>
  <c r="D156" i="1"/>
  <c r="F156" i="1" s="1"/>
  <c r="D157" i="1"/>
  <c r="F157" i="1" s="1"/>
  <c r="D158" i="1"/>
  <c r="D159" i="1"/>
  <c r="F159" i="1" s="1"/>
  <c r="D160" i="1"/>
  <c r="F160" i="1" s="1"/>
  <c r="D161" i="1"/>
  <c r="F161" i="1" s="1"/>
  <c r="D162" i="1"/>
  <c r="F162" i="1" s="1"/>
  <c r="D163" i="1"/>
  <c r="F163" i="1" s="1"/>
  <c r="D164" i="1"/>
  <c r="F164" i="1" s="1"/>
  <c r="D165" i="1"/>
  <c r="F165" i="1" s="1"/>
  <c r="D166" i="1"/>
  <c r="F166" i="1" s="1"/>
  <c r="D167" i="1"/>
  <c r="D168" i="1"/>
  <c r="F168" i="1" s="1"/>
  <c r="D169" i="1"/>
  <c r="F169" i="1" s="1"/>
  <c r="D170" i="1"/>
  <c r="F170" i="1" s="1"/>
  <c r="D171" i="1"/>
  <c r="F171" i="1" s="1"/>
  <c r="K181" i="3" s="1"/>
  <c r="D172" i="1"/>
  <c r="F172" i="1" s="1"/>
  <c r="D173" i="1"/>
  <c r="D174" i="1"/>
  <c r="F174" i="1" s="1"/>
  <c r="D175" i="1"/>
  <c r="D176" i="1"/>
  <c r="F176" i="1" s="1"/>
  <c r="D177" i="1"/>
  <c r="D178" i="1"/>
  <c r="F178" i="1" s="1"/>
  <c r="D179" i="1"/>
  <c r="F179" i="1" s="1"/>
  <c r="K158" i="3" s="1"/>
  <c r="D180" i="1"/>
  <c r="F180" i="1" s="1"/>
  <c r="D181" i="1"/>
  <c r="F181" i="1" s="1"/>
  <c r="D182" i="1"/>
  <c r="D183" i="1"/>
  <c r="F183" i="1" s="1"/>
  <c r="D184" i="1"/>
  <c r="F184" i="1" s="1"/>
  <c r="K1331" i="3" s="1"/>
  <c r="D185" i="1"/>
  <c r="F185" i="1" s="1"/>
  <c r="D186" i="1"/>
  <c r="F186" i="1" s="1"/>
  <c r="D187" i="1"/>
  <c r="F187" i="1" s="1"/>
  <c r="K32" i="3" s="1"/>
  <c r="D188" i="1"/>
  <c r="F188" i="1" s="1"/>
  <c r="D189" i="1"/>
  <c r="F189" i="1" s="1"/>
  <c r="D190" i="1"/>
  <c r="F190" i="1" s="1"/>
  <c r="D191" i="1"/>
  <c r="F191" i="1" s="1"/>
  <c r="D192" i="1"/>
  <c r="F192" i="1" s="1"/>
  <c r="D193" i="1"/>
  <c r="F193" i="1" s="1"/>
  <c r="K1817" i="3" s="1"/>
  <c r="D194" i="1"/>
  <c r="F194" i="1" s="1"/>
  <c r="D195" i="1"/>
  <c r="F195" i="1" s="1"/>
  <c r="D196" i="1"/>
  <c r="D197" i="1"/>
  <c r="F197" i="1" s="1"/>
  <c r="D198" i="1"/>
  <c r="D199" i="1"/>
  <c r="F199" i="1" s="1"/>
  <c r="K1607" i="3" s="1"/>
  <c r="D200" i="1"/>
  <c r="F200" i="1" s="1"/>
  <c r="D201" i="1"/>
  <c r="D202" i="1"/>
  <c r="F202" i="1" s="1"/>
  <c r="D203" i="1"/>
  <c r="F203" i="1" s="1"/>
  <c r="D204" i="1"/>
  <c r="D205" i="1"/>
  <c r="F205" i="1" s="1"/>
  <c r="K2072" i="3" s="1"/>
  <c r="D206" i="1"/>
  <c r="D207" i="1"/>
  <c r="D208" i="1"/>
  <c r="F208" i="1" s="1"/>
  <c r="D209" i="1"/>
  <c r="D210" i="1"/>
  <c r="F210" i="1" s="1"/>
  <c r="D211" i="1"/>
  <c r="F211" i="1" s="1"/>
  <c r="K231" i="3" s="1"/>
  <c r="D212" i="1"/>
  <c r="F212" i="1" s="1"/>
  <c r="K1898" i="3" s="1"/>
  <c r="D213" i="1"/>
  <c r="F213" i="1" s="1"/>
  <c r="D214" i="1"/>
  <c r="F214" i="1" s="1"/>
  <c r="D215" i="1"/>
  <c r="F215" i="1" s="1"/>
  <c r="D216" i="1"/>
  <c r="F216" i="1" s="1"/>
  <c r="D217" i="1"/>
  <c r="F217" i="1" s="1"/>
  <c r="D218" i="1"/>
  <c r="F218" i="1" s="1"/>
  <c r="D219" i="1"/>
  <c r="F219" i="1" s="1"/>
  <c r="K2064" i="3" s="1"/>
  <c r="D220" i="1"/>
  <c r="F220" i="1" s="1"/>
  <c r="K1494" i="3" s="1"/>
  <c r="D221" i="1"/>
  <c r="F221" i="1" s="1"/>
  <c r="D222" i="1"/>
  <c r="F222" i="1" s="1"/>
  <c r="K1944" i="3" s="1"/>
  <c r="D223" i="1"/>
  <c r="F223" i="1" s="1"/>
  <c r="D224" i="1"/>
  <c r="F224" i="1" s="1"/>
  <c r="D225" i="1"/>
  <c r="F225" i="1" s="1"/>
  <c r="D226" i="1"/>
  <c r="D227" i="1"/>
  <c r="F227" i="1" s="1"/>
  <c r="D228" i="1"/>
  <c r="D229" i="1"/>
  <c r="F229" i="1" s="1"/>
  <c r="D230" i="1"/>
  <c r="D231" i="1"/>
  <c r="D232" i="1"/>
  <c r="F232" i="1" s="1"/>
  <c r="D233" i="1"/>
  <c r="D234" i="1"/>
  <c r="D235" i="1"/>
  <c r="F235" i="1" s="1"/>
  <c r="D236" i="1"/>
  <c r="F236" i="1" s="1"/>
  <c r="D237" i="1"/>
  <c r="F237" i="1" s="1"/>
  <c r="D238" i="1"/>
  <c r="D239" i="1"/>
  <c r="F239" i="1" s="1"/>
  <c r="D240" i="1"/>
  <c r="F240" i="1" s="1"/>
  <c r="D241" i="1"/>
  <c r="F241" i="1" s="1"/>
  <c r="D242" i="1"/>
  <c r="F242" i="1" s="1"/>
  <c r="J242" i="1" s="1"/>
  <c r="D243" i="1"/>
  <c r="F243" i="1" s="1"/>
  <c r="D244" i="1"/>
  <c r="F244" i="1" s="1"/>
  <c r="D245" i="1"/>
  <c r="F245" i="1" s="1"/>
  <c r="D246" i="1"/>
  <c r="F246" i="1" s="1"/>
  <c r="D247" i="1"/>
  <c r="D248" i="1"/>
  <c r="F248" i="1" s="1"/>
  <c r="D249" i="1"/>
  <c r="D250" i="1"/>
  <c r="D251" i="1"/>
  <c r="F251" i="1" s="1"/>
  <c r="K1783" i="3" s="1"/>
  <c r="D252" i="1"/>
  <c r="D253" i="1"/>
  <c r="D254" i="1"/>
  <c r="D255" i="1"/>
  <c r="D256" i="1"/>
  <c r="D257" i="1"/>
  <c r="F257" i="1" s="1"/>
  <c r="D258" i="1"/>
  <c r="F258" i="1" s="1"/>
  <c r="J188" i="2" s="1"/>
  <c r="D259" i="1"/>
  <c r="D260" i="1"/>
  <c r="F260" i="1" s="1"/>
  <c r="D261" i="1"/>
  <c r="F261" i="1" s="1"/>
  <c r="J261" i="1" s="1"/>
  <c r="D262" i="1"/>
  <c r="F262" i="1" s="1"/>
  <c r="D263" i="1"/>
  <c r="F263" i="1" s="1"/>
  <c r="D264" i="1"/>
  <c r="F264" i="1" s="1"/>
  <c r="D265" i="1"/>
  <c r="F265" i="1" s="1"/>
  <c r="K1608" i="3" s="1"/>
  <c r="D266" i="1"/>
  <c r="F266" i="1" s="1"/>
  <c r="D267" i="1"/>
  <c r="F267" i="1" s="1"/>
  <c r="K1856" i="3" s="1"/>
  <c r="D268" i="1"/>
  <c r="F268" i="1" s="1"/>
  <c r="D269" i="1"/>
  <c r="F269" i="1" s="1"/>
  <c r="J269" i="1" s="1"/>
  <c r="D270" i="1"/>
  <c r="F270" i="1" s="1"/>
  <c r="D271" i="1"/>
  <c r="F271" i="1" s="1"/>
  <c r="D272" i="1"/>
  <c r="F272" i="1" s="1"/>
  <c r="D273" i="1"/>
  <c r="F273" i="1" s="1"/>
  <c r="D274" i="1"/>
  <c r="F274" i="1" s="1"/>
  <c r="K1853" i="3" s="1"/>
  <c r="D275" i="1"/>
  <c r="F275" i="1" s="1"/>
  <c r="D276" i="1"/>
  <c r="F276" i="1" s="1"/>
  <c r="D277" i="1"/>
  <c r="F277" i="1" s="1"/>
  <c r="K1467" i="3" s="1"/>
  <c r="D278" i="1"/>
  <c r="F278" i="1" s="1"/>
  <c r="K1398" i="3" s="1"/>
  <c r="D279" i="1"/>
  <c r="F279" i="1" s="1"/>
  <c r="K1954" i="3" s="1"/>
  <c r="D280" i="1"/>
  <c r="F280" i="1" s="1"/>
  <c r="K1861" i="3" s="1"/>
  <c r="D281" i="1"/>
  <c r="F281" i="1" s="1"/>
  <c r="K1846" i="3" s="1"/>
  <c r="D282" i="1"/>
  <c r="F282" i="1" s="1"/>
  <c r="D283" i="1"/>
  <c r="F283" i="1" s="1"/>
  <c r="D284" i="1"/>
  <c r="F284" i="1" s="1"/>
  <c r="D285" i="1"/>
  <c r="F285" i="1" s="1"/>
  <c r="D286" i="1"/>
  <c r="F286" i="1" s="1"/>
  <c r="D287" i="1"/>
  <c r="F287" i="1" s="1"/>
  <c r="D288" i="1"/>
  <c r="F288" i="1" s="1"/>
  <c r="K1539" i="3" s="1"/>
  <c r="D289" i="1"/>
  <c r="F289" i="1" s="1"/>
  <c r="D290" i="1"/>
  <c r="F290" i="1" s="1"/>
  <c r="K1362" i="3" s="1"/>
  <c r="D291" i="1"/>
  <c r="F291" i="1" s="1"/>
  <c r="D292" i="1"/>
  <c r="F292" i="1" s="1"/>
  <c r="D293" i="1"/>
  <c r="F293" i="1" s="1"/>
  <c r="D294" i="1"/>
  <c r="F294" i="1" s="1"/>
  <c r="D295" i="1"/>
  <c r="F295" i="1" s="1"/>
  <c r="D296" i="1"/>
  <c r="F296" i="1" s="1"/>
  <c r="D297" i="1"/>
  <c r="F297" i="1" s="1"/>
  <c r="D298" i="1"/>
  <c r="F298" i="1" s="1"/>
  <c r="J298" i="1" s="1"/>
  <c r="D299" i="1"/>
  <c r="F299" i="1" s="1"/>
  <c r="D300" i="1"/>
  <c r="F300" i="1" s="1"/>
  <c r="D301" i="1"/>
  <c r="F301" i="1" s="1"/>
  <c r="K1554" i="3" s="1"/>
  <c r="D302" i="1"/>
  <c r="F302" i="1" s="1"/>
  <c r="J302" i="1" s="1"/>
  <c r="D303" i="1"/>
  <c r="F303" i="1" s="1"/>
  <c r="D304" i="1"/>
  <c r="F304" i="1" s="1"/>
  <c r="D305" i="1"/>
  <c r="F305" i="1" s="1"/>
  <c r="J305" i="1" s="1"/>
  <c r="D306" i="1"/>
  <c r="F306" i="1" s="1"/>
  <c r="D307" i="1"/>
  <c r="F307" i="1" s="1"/>
  <c r="J307" i="1" s="1"/>
  <c r="D308" i="1"/>
  <c r="F308" i="1" s="1"/>
  <c r="K2111" i="3" s="1"/>
  <c r="D309" i="1"/>
  <c r="F309" i="1" s="1"/>
  <c r="D310" i="1"/>
  <c r="F310" i="1" s="1"/>
  <c r="J310" i="1" s="1"/>
  <c r="D311" i="1"/>
  <c r="F311" i="1" s="1"/>
  <c r="J311" i="1" s="1"/>
  <c r="D312" i="1"/>
  <c r="F312" i="1" s="1"/>
  <c r="D313" i="1"/>
  <c r="D314" i="1"/>
  <c r="F314" i="1" s="1"/>
  <c r="D315" i="1"/>
  <c r="F315" i="1" s="1"/>
  <c r="D316" i="1"/>
  <c r="F316" i="1" s="1"/>
  <c r="D317" i="1"/>
  <c r="F317" i="1" s="1"/>
  <c r="K1455" i="3" s="1"/>
  <c r="D318" i="1"/>
  <c r="F318" i="1" s="1"/>
  <c r="D319" i="1"/>
  <c r="F319" i="1" s="1"/>
  <c r="D320" i="1"/>
  <c r="F320" i="1" s="1"/>
  <c r="K1963" i="3" s="1"/>
  <c r="D321" i="1"/>
  <c r="F321" i="1" s="1"/>
  <c r="K1364" i="3" s="1"/>
  <c r="D322" i="1"/>
  <c r="F322" i="1" s="1"/>
  <c r="D323" i="1"/>
  <c r="F323" i="1" s="1"/>
  <c r="D324" i="1"/>
  <c r="F324" i="1" s="1"/>
  <c r="D325" i="1"/>
  <c r="F325" i="1" s="1"/>
  <c r="D326" i="1"/>
  <c r="F326" i="1" s="1"/>
  <c r="D327" i="1"/>
  <c r="F327" i="1" s="1"/>
  <c r="D328" i="1"/>
  <c r="F328" i="1" s="1"/>
  <c r="D329" i="1"/>
  <c r="F329" i="1" s="1"/>
  <c r="D330" i="1"/>
  <c r="F330" i="1" s="1"/>
  <c r="D331" i="1"/>
  <c r="F331" i="1" s="1"/>
  <c r="K1815" i="3" s="1"/>
  <c r="D332" i="1"/>
  <c r="F332" i="1" s="1"/>
  <c r="D333" i="1"/>
  <c r="F333" i="1" s="1"/>
  <c r="D334" i="1"/>
  <c r="F334" i="1" s="1"/>
  <c r="D335" i="1"/>
  <c r="F335" i="1" s="1"/>
  <c r="J335" i="1" s="1"/>
  <c r="D336" i="1"/>
  <c r="F336" i="1" s="1"/>
  <c r="J336" i="1" s="1"/>
  <c r="D337" i="1"/>
  <c r="F337" i="1" s="1"/>
  <c r="J337" i="1" s="1"/>
  <c r="D338" i="1"/>
  <c r="F338" i="1" s="1"/>
  <c r="D339" i="1"/>
  <c r="F339" i="1" s="1"/>
  <c r="J339" i="1" s="1"/>
  <c r="D340" i="1"/>
  <c r="F340" i="1" s="1"/>
  <c r="D341" i="1"/>
  <c r="F341" i="1" s="1"/>
  <c r="K1556" i="3" s="1"/>
  <c r="D342" i="1"/>
  <c r="F342" i="1" s="1"/>
  <c r="K2151" i="3" s="1"/>
  <c r="D343" i="1"/>
  <c r="F343" i="1" s="1"/>
  <c r="D344" i="1"/>
  <c r="F344" i="1" s="1"/>
  <c r="K1836" i="3" s="1"/>
  <c r="D345" i="1"/>
  <c r="F345" i="1" s="1"/>
  <c r="D346" i="1"/>
  <c r="F346" i="1" s="1"/>
  <c r="K1302" i="3" s="1"/>
  <c r="D347" i="1"/>
  <c r="F347" i="1" s="1"/>
  <c r="K1572" i="3" s="1"/>
  <c r="D348" i="1"/>
  <c r="F348" i="1" s="1"/>
  <c r="D349" i="1"/>
  <c r="F349" i="1" s="1"/>
  <c r="K1381" i="3" s="1"/>
  <c r="D350" i="1"/>
  <c r="F350" i="1" s="1"/>
  <c r="D351" i="1"/>
  <c r="F351" i="1" s="1"/>
  <c r="D352" i="1"/>
  <c r="D353" i="1"/>
  <c r="F353" i="1" s="1"/>
  <c r="D354" i="1"/>
  <c r="D355" i="1"/>
  <c r="F355" i="1" s="1"/>
  <c r="K2140" i="3" s="1"/>
  <c r="D356" i="1"/>
  <c r="F356" i="1" s="1"/>
  <c r="D357" i="1"/>
  <c r="F357" i="1" s="1"/>
  <c r="D358" i="1"/>
  <c r="F358" i="1" s="1"/>
  <c r="D359" i="1"/>
  <c r="F359" i="1" s="1"/>
  <c r="D360" i="1"/>
  <c r="F360" i="1" s="1"/>
  <c r="D361" i="1"/>
  <c r="F361" i="1" s="1"/>
  <c r="J361" i="1" s="1"/>
  <c r="D362" i="1"/>
  <c r="F362" i="1" s="1"/>
  <c r="J362" i="1" s="1"/>
  <c r="D364" i="1"/>
  <c r="F364" i="1" s="1"/>
  <c r="D365" i="1"/>
  <c r="F365" i="1" s="1"/>
  <c r="K1602" i="3" s="1"/>
  <c r="D366" i="1"/>
  <c r="F366" i="1" s="1"/>
  <c r="J366" i="1" s="1"/>
  <c r="D367" i="1"/>
  <c r="F367" i="1" s="1"/>
  <c r="J367" i="1" s="1"/>
  <c r="D368" i="1"/>
  <c r="F368" i="1" s="1"/>
  <c r="D369" i="1"/>
  <c r="F369" i="1" s="1"/>
  <c r="D370" i="1"/>
  <c r="F370" i="1" s="1"/>
  <c r="D371" i="1"/>
  <c r="F371" i="1" s="1"/>
  <c r="K1953" i="3" s="1"/>
  <c r="D372" i="1"/>
  <c r="F372" i="1" s="1"/>
  <c r="D373" i="1"/>
  <c r="F373" i="1" s="1"/>
  <c r="D374" i="1"/>
  <c r="F374" i="1" s="1"/>
  <c r="D375" i="1"/>
  <c r="F375" i="1" s="1"/>
  <c r="J375" i="1" s="1"/>
  <c r="D376" i="1"/>
  <c r="F376" i="1" s="1"/>
  <c r="J376" i="1" s="1"/>
  <c r="D377" i="1"/>
  <c r="F377" i="1" s="1"/>
  <c r="D378" i="1"/>
  <c r="F378" i="1" s="1"/>
  <c r="J378" i="1" s="1"/>
  <c r="D379" i="1"/>
  <c r="F379" i="1" s="1"/>
  <c r="K1851" i="3" s="1"/>
  <c r="D380" i="1"/>
  <c r="F380" i="1" s="1"/>
  <c r="J380" i="1" s="1"/>
  <c r="D381" i="1"/>
  <c r="F381" i="1" s="1"/>
  <c r="J381" i="1" s="1"/>
  <c r="D382" i="1"/>
  <c r="F382" i="1" s="1"/>
  <c r="J382" i="1" s="1"/>
  <c r="D383" i="1"/>
  <c r="F383" i="1" s="1"/>
  <c r="D384" i="1"/>
  <c r="F384" i="1" s="1"/>
  <c r="J384" i="1" s="1"/>
  <c r="D385" i="1"/>
  <c r="F385" i="1" s="1"/>
  <c r="K1505" i="3" s="1"/>
  <c r="D386" i="1"/>
  <c r="D387" i="1"/>
  <c r="F387" i="1" s="1"/>
  <c r="D388" i="1"/>
  <c r="F388" i="1" s="1"/>
  <c r="J388" i="1" s="1"/>
  <c r="D389" i="1"/>
  <c r="F389" i="1" s="1"/>
  <c r="D391" i="1"/>
  <c r="F391" i="1" s="1"/>
  <c r="K1506" i="3" s="1"/>
  <c r="D392" i="1"/>
  <c r="F392" i="1" s="1"/>
  <c r="J392" i="1" s="1"/>
  <c r="D393" i="1"/>
  <c r="F393" i="1" s="1"/>
  <c r="K2109" i="3" s="1"/>
  <c r="D394" i="1"/>
  <c r="F394" i="1" s="1"/>
  <c r="D395" i="1"/>
  <c r="F395" i="1" s="1"/>
  <c r="D396" i="1"/>
  <c r="F396" i="1" s="1"/>
  <c r="D397" i="1"/>
  <c r="F397" i="1" s="1"/>
  <c r="D398" i="1"/>
  <c r="F398" i="1" s="1"/>
  <c r="K1525" i="3" s="1"/>
  <c r="D399" i="1"/>
  <c r="F399" i="1" s="1"/>
  <c r="D400" i="1"/>
  <c r="F400" i="1" s="1"/>
  <c r="D401" i="1"/>
  <c r="F401" i="1" s="1"/>
  <c r="J401" i="1" s="1"/>
  <c r="D402" i="1"/>
  <c r="F402" i="1" s="1"/>
  <c r="D403" i="1"/>
  <c r="F403" i="1" s="1"/>
  <c r="K2058" i="3" s="1"/>
  <c r="D404" i="1"/>
  <c r="D405" i="1"/>
  <c r="F405" i="1" s="1"/>
  <c r="D406" i="1"/>
  <c r="F406" i="1" s="1"/>
  <c r="K2061" i="3" s="1"/>
  <c r="D407" i="1"/>
  <c r="F407" i="1" s="1"/>
  <c r="J407" i="1" s="1"/>
  <c r="D408" i="1"/>
  <c r="F408" i="1" s="1"/>
  <c r="D409" i="1"/>
  <c r="F409" i="1" s="1"/>
  <c r="D410" i="1"/>
  <c r="F410" i="1" s="1"/>
  <c r="K2136" i="3" s="1"/>
  <c r="D411" i="1"/>
  <c r="F411" i="1" s="1"/>
  <c r="J411" i="1" s="1"/>
  <c r="D412" i="1"/>
  <c r="F412" i="1" s="1"/>
  <c r="D413" i="1"/>
  <c r="F413" i="1" s="1"/>
  <c r="K2094" i="3" s="1"/>
  <c r="D414" i="1"/>
  <c r="F414" i="1" s="1"/>
  <c r="D415" i="1"/>
  <c r="F415" i="1" s="1"/>
  <c r="D416" i="1"/>
  <c r="F416" i="1" s="1"/>
  <c r="J416" i="1" s="1"/>
  <c r="D417" i="1"/>
  <c r="F417" i="1" s="1"/>
  <c r="D418" i="1"/>
  <c r="F418" i="1" s="1"/>
  <c r="D419" i="1"/>
  <c r="F419" i="1" s="1"/>
  <c r="D420" i="1"/>
  <c r="F420" i="1" s="1"/>
  <c r="J420" i="1" s="1"/>
  <c r="D421" i="1"/>
  <c r="F421" i="1" s="1"/>
  <c r="D422" i="1"/>
  <c r="F422" i="1" s="1"/>
  <c r="D425" i="1"/>
  <c r="F425" i="1" s="1"/>
  <c r="K1844" i="3" s="1"/>
  <c r="D426" i="1"/>
  <c r="F426" i="1" s="1"/>
  <c r="J426" i="1" s="1"/>
  <c r="D427" i="1"/>
  <c r="F427" i="1" s="1"/>
  <c r="D428" i="1"/>
  <c r="F428" i="1" s="1"/>
  <c r="K1855" i="3" s="1"/>
  <c r="D429" i="1"/>
  <c r="F429" i="1" s="1"/>
  <c r="J429" i="1" s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F478" i="1" s="1"/>
  <c r="J478" i="1" s="1"/>
  <c r="D479" i="1"/>
  <c r="F479" i="1" s="1"/>
  <c r="K1847" i="3" s="1"/>
  <c r="D480" i="1"/>
  <c r="D481" i="1"/>
  <c r="D482" i="1"/>
  <c r="F482" i="1" s="1"/>
  <c r="J482" i="1" s="1"/>
  <c r="D483" i="1"/>
  <c r="F483" i="1" s="1"/>
  <c r="J483" i="1" s="1"/>
  <c r="D484" i="1"/>
  <c r="D485" i="1"/>
  <c r="F485" i="1" s="1"/>
  <c r="J485" i="1" s="1"/>
  <c r="D486" i="1"/>
  <c r="F486" i="1" s="1"/>
  <c r="D487" i="1"/>
  <c r="D488" i="1"/>
  <c r="D489" i="1"/>
  <c r="D490" i="1"/>
  <c r="F490" i="1" s="1"/>
  <c r="J490" i="1" s="1"/>
  <c r="D491" i="1"/>
  <c r="F491" i="1" s="1"/>
  <c r="J491" i="1" s="1"/>
  <c r="D492" i="1"/>
  <c r="D493" i="1"/>
  <c r="D494" i="1"/>
  <c r="D495" i="1"/>
  <c r="D496" i="1"/>
  <c r="D497" i="1"/>
  <c r="F497" i="1" s="1"/>
  <c r="J497" i="1" s="1"/>
  <c r="D498" i="1"/>
  <c r="F498" i="1" s="1"/>
  <c r="K2053" i="3" s="1"/>
  <c r="D499" i="1"/>
  <c r="F499" i="1" s="1"/>
  <c r="D500" i="1"/>
  <c r="D501" i="1"/>
  <c r="D502" i="1"/>
  <c r="D503" i="1"/>
  <c r="D504" i="1"/>
  <c r="F504" i="1" s="1"/>
  <c r="J504" i="1" s="1"/>
  <c r="D505" i="1"/>
  <c r="F505" i="1" s="1"/>
  <c r="K2149" i="3" s="1"/>
  <c r="D506" i="1"/>
  <c r="F506" i="1" s="1"/>
  <c r="J506" i="1" s="1"/>
  <c r="D507" i="1"/>
  <c r="F507" i="1" s="1"/>
  <c r="K2095" i="3" s="1"/>
  <c r="D508" i="1"/>
  <c r="D509" i="1"/>
  <c r="F509" i="1" s="1"/>
  <c r="D510" i="1"/>
  <c r="F510" i="1" s="1"/>
  <c r="D511" i="1"/>
  <c r="F511" i="1" s="1"/>
  <c r="D512" i="1"/>
  <c r="D513" i="1"/>
  <c r="F513" i="1" s="1"/>
  <c r="J513" i="1" s="1"/>
  <c r="D514" i="1"/>
  <c r="F514" i="1" s="1"/>
  <c r="J514" i="1" s="1"/>
  <c r="D515" i="1"/>
  <c r="F515" i="1" s="1"/>
  <c r="D516" i="1"/>
  <c r="F516" i="1" s="1"/>
  <c r="J516" i="1" s="1"/>
  <c r="D517" i="1"/>
  <c r="D518" i="1"/>
  <c r="D519" i="1"/>
  <c r="D520" i="1"/>
  <c r="D521" i="1"/>
  <c r="F521" i="1" s="1"/>
  <c r="D522" i="1"/>
  <c r="F522" i="1" s="1"/>
  <c r="J522" i="1" s="1"/>
  <c r="D523" i="1"/>
  <c r="D524" i="1"/>
  <c r="D525" i="1"/>
  <c r="D526" i="1"/>
  <c r="F526" i="1" s="1"/>
  <c r="J526" i="1" s="1"/>
  <c r="D527" i="1"/>
  <c r="F527" i="1" s="1"/>
  <c r="J527" i="1" s="1"/>
  <c r="D528" i="1"/>
  <c r="D529" i="1"/>
  <c r="F529" i="1" s="1"/>
  <c r="D530" i="1"/>
  <c r="F530" i="1" s="1"/>
  <c r="J530" i="1" s="1"/>
  <c r="D531" i="1"/>
  <c r="F531" i="1" s="1"/>
  <c r="J531" i="1" s="1"/>
  <c r="D532" i="1"/>
  <c r="D533" i="1"/>
  <c r="D534" i="1"/>
  <c r="F534" i="1" s="1"/>
  <c r="J534" i="1" s="1"/>
  <c r="D535" i="1"/>
  <c r="D536" i="1"/>
  <c r="F536" i="1" s="1"/>
  <c r="J536" i="1" s="1"/>
  <c r="D537" i="1"/>
  <c r="F537" i="1" s="1"/>
  <c r="J537" i="1" s="1"/>
  <c r="D538" i="1"/>
  <c r="F538" i="1" s="1"/>
  <c r="J538" i="1" s="1"/>
  <c r="D539" i="1"/>
  <c r="F539" i="1" s="1"/>
  <c r="J539" i="1" s="1"/>
  <c r="D540" i="1"/>
  <c r="D541" i="1"/>
  <c r="D542" i="1"/>
  <c r="F542" i="1" s="1"/>
  <c r="J542" i="1" s="1"/>
  <c r="D543" i="1"/>
  <c r="F543" i="1" s="1"/>
  <c r="J543" i="1" s="1"/>
  <c r="D544" i="1"/>
  <c r="F544" i="1" s="1"/>
  <c r="J544" i="1" s="1"/>
  <c r="D545" i="1"/>
  <c r="D546" i="1"/>
  <c r="F546" i="1" s="1"/>
  <c r="J546" i="1" s="1"/>
  <c r="D547" i="1"/>
  <c r="F547" i="1" s="1"/>
  <c r="J547" i="1" s="1"/>
  <c r="D548" i="1"/>
  <c r="D549" i="1"/>
  <c r="D550" i="1"/>
  <c r="F550" i="1" s="1"/>
  <c r="J550" i="1" s="1"/>
  <c r="D551" i="1"/>
  <c r="F551" i="1" s="1"/>
  <c r="J551" i="1" s="1"/>
  <c r="D552" i="1"/>
  <c r="D553" i="1"/>
  <c r="F553" i="1" s="1"/>
  <c r="J553" i="1" s="1"/>
  <c r="D554" i="1"/>
  <c r="F554" i="1" s="1"/>
  <c r="J554" i="1" s="1"/>
  <c r="D555" i="1"/>
  <c r="F555" i="1" s="1"/>
  <c r="J555" i="1" s="1"/>
  <c r="D556" i="1"/>
  <c r="D557" i="1"/>
  <c r="D558" i="1"/>
  <c r="F558" i="1" s="1"/>
  <c r="J558" i="1" s="1"/>
  <c r="D559" i="1"/>
  <c r="F559" i="1" s="1"/>
  <c r="J559" i="1" s="1"/>
  <c r="D560" i="1"/>
  <c r="F560" i="1" s="1"/>
  <c r="J560" i="1" s="1"/>
  <c r="D561" i="1"/>
  <c r="F561" i="1" s="1"/>
  <c r="J561" i="1" s="1"/>
  <c r="D562" i="1"/>
  <c r="F562" i="1" s="1"/>
  <c r="J562" i="1" s="1"/>
  <c r="D563" i="1"/>
  <c r="F563" i="1" s="1"/>
  <c r="J563" i="1" s="1"/>
  <c r="D564" i="1"/>
  <c r="F564" i="1" s="1"/>
  <c r="J564" i="1" s="1"/>
  <c r="D565" i="1"/>
  <c r="F565" i="1" s="1"/>
  <c r="J565" i="1" s="1"/>
  <c r="D566" i="1"/>
  <c r="F566" i="1" s="1"/>
  <c r="J566" i="1" s="1"/>
  <c r="D567" i="1"/>
  <c r="F567" i="1" s="1"/>
  <c r="J567" i="1" s="1"/>
  <c r="D568" i="1"/>
  <c r="F568" i="1" s="1"/>
  <c r="J568" i="1" s="1"/>
  <c r="D569" i="1"/>
  <c r="F569" i="1" s="1"/>
  <c r="J569" i="1" s="1"/>
  <c r="D570" i="1"/>
  <c r="F570" i="1" s="1"/>
  <c r="J570" i="1" s="1"/>
  <c r="D571" i="1"/>
  <c r="F571" i="1" s="1"/>
  <c r="J571" i="1" s="1"/>
  <c r="D572" i="1"/>
  <c r="F572" i="1" s="1"/>
  <c r="J572" i="1" s="1"/>
  <c r="D573" i="1"/>
  <c r="F573" i="1" s="1"/>
  <c r="J573" i="1" s="1"/>
  <c r="D574" i="1"/>
  <c r="F574" i="1" s="1"/>
  <c r="J574" i="1" s="1"/>
  <c r="D575" i="1"/>
  <c r="F575" i="1" s="1"/>
  <c r="J575" i="1" s="1"/>
  <c r="D576" i="1"/>
  <c r="F576" i="1" s="1"/>
  <c r="J576" i="1" s="1"/>
  <c r="D577" i="1"/>
  <c r="F577" i="1" s="1"/>
  <c r="J577" i="1" s="1"/>
  <c r="D578" i="1"/>
  <c r="F578" i="1" s="1"/>
  <c r="J578" i="1" s="1"/>
  <c r="D579" i="1"/>
  <c r="F579" i="1" s="1"/>
  <c r="J579" i="1" s="1"/>
  <c r="D580" i="1"/>
  <c r="F580" i="1" s="1"/>
  <c r="J580" i="1" s="1"/>
  <c r="D581" i="1"/>
  <c r="F581" i="1" s="1"/>
  <c r="J581" i="1" s="1"/>
  <c r="D582" i="1"/>
  <c r="F582" i="1" s="1"/>
  <c r="J582" i="1" s="1"/>
  <c r="D583" i="1"/>
  <c r="F583" i="1" s="1"/>
  <c r="J583" i="1" s="1"/>
  <c r="D584" i="1"/>
  <c r="F584" i="1" s="1"/>
  <c r="J584" i="1" s="1"/>
  <c r="D585" i="1"/>
  <c r="F585" i="1" s="1"/>
  <c r="J585" i="1" s="1"/>
  <c r="D586" i="1"/>
  <c r="F586" i="1" s="1"/>
  <c r="J586" i="1" s="1"/>
  <c r="D587" i="1"/>
  <c r="F587" i="1" s="1"/>
  <c r="J587" i="1" s="1"/>
  <c r="D588" i="1"/>
  <c r="F588" i="1" s="1"/>
  <c r="J588" i="1" s="1"/>
  <c r="D589" i="1"/>
  <c r="F589" i="1" s="1"/>
  <c r="J589" i="1" s="1"/>
  <c r="D590" i="1"/>
  <c r="F590" i="1" s="1"/>
  <c r="J590" i="1" s="1"/>
  <c r="D591" i="1"/>
  <c r="F591" i="1" s="1"/>
  <c r="J591" i="1" s="1"/>
  <c r="D592" i="1"/>
  <c r="F592" i="1" s="1"/>
  <c r="J592" i="1" s="1"/>
  <c r="D593" i="1"/>
  <c r="F593" i="1" s="1"/>
  <c r="J593" i="1" s="1"/>
  <c r="D594" i="1"/>
  <c r="F594" i="1" s="1"/>
  <c r="J594" i="1" s="1"/>
  <c r="D595" i="1"/>
  <c r="F595" i="1" s="1"/>
  <c r="J595" i="1" s="1"/>
  <c r="D596" i="1"/>
  <c r="F596" i="1" s="1"/>
  <c r="J596" i="1" s="1"/>
  <c r="D597" i="1"/>
  <c r="F597" i="1" s="1"/>
  <c r="J597" i="1" s="1"/>
  <c r="D598" i="1"/>
  <c r="F598" i="1" s="1"/>
  <c r="J598" i="1" s="1"/>
  <c r="D599" i="1"/>
  <c r="F599" i="1" s="1"/>
  <c r="J599" i="1" s="1"/>
  <c r="D600" i="1"/>
  <c r="F600" i="1" s="1"/>
  <c r="J600" i="1" s="1"/>
  <c r="D601" i="1"/>
  <c r="F601" i="1" s="1"/>
  <c r="J601" i="1" s="1"/>
  <c r="D602" i="1"/>
  <c r="F602" i="1" s="1"/>
  <c r="J602" i="1" s="1"/>
  <c r="D603" i="1"/>
  <c r="F603" i="1" s="1"/>
  <c r="J603" i="1" s="1"/>
  <c r="D604" i="1"/>
  <c r="F604" i="1" s="1"/>
  <c r="J604" i="1" s="1"/>
  <c r="D605" i="1"/>
  <c r="F605" i="1" s="1"/>
  <c r="J605" i="1" s="1"/>
  <c r="D606" i="1"/>
  <c r="F606" i="1" s="1"/>
  <c r="J606" i="1" s="1"/>
  <c r="D607" i="1"/>
  <c r="F607" i="1" s="1"/>
  <c r="J607" i="1" s="1"/>
  <c r="D608" i="1"/>
  <c r="F608" i="1" s="1"/>
  <c r="J608" i="1" s="1"/>
  <c r="D609" i="1"/>
  <c r="F609" i="1" s="1"/>
  <c r="J609" i="1" s="1"/>
  <c r="D610" i="1"/>
  <c r="F610" i="1" s="1"/>
  <c r="J610" i="1" s="1"/>
  <c r="D611" i="1"/>
  <c r="F611" i="1" s="1"/>
  <c r="J611" i="1" s="1"/>
  <c r="D612" i="1"/>
  <c r="F612" i="1" s="1"/>
  <c r="J612" i="1" s="1"/>
  <c r="D613" i="1"/>
  <c r="F613" i="1" s="1"/>
  <c r="J613" i="1" s="1"/>
  <c r="D614" i="1"/>
  <c r="F614" i="1" s="1"/>
  <c r="J614" i="1" s="1"/>
  <c r="D615" i="1"/>
  <c r="F615" i="1" s="1"/>
  <c r="J615" i="1" s="1"/>
  <c r="D616" i="1"/>
  <c r="F616" i="1" s="1"/>
  <c r="J616" i="1" s="1"/>
  <c r="D617" i="1"/>
  <c r="F617" i="1" s="1"/>
  <c r="J617" i="1" s="1"/>
  <c r="D618" i="1"/>
  <c r="F618" i="1" s="1"/>
  <c r="J618" i="1" s="1"/>
  <c r="D619" i="1"/>
  <c r="F619" i="1" s="1"/>
  <c r="J619" i="1" s="1"/>
  <c r="D620" i="1"/>
  <c r="F620" i="1" s="1"/>
  <c r="J620" i="1" s="1"/>
  <c r="D621" i="1"/>
  <c r="F621" i="1" s="1"/>
  <c r="J621" i="1" s="1"/>
  <c r="D622" i="1"/>
  <c r="F622" i="1" s="1"/>
  <c r="J622" i="1" s="1"/>
  <c r="D623" i="1"/>
  <c r="F623" i="1" s="1"/>
  <c r="J623" i="1" s="1"/>
  <c r="D624" i="1"/>
  <c r="F624" i="1" s="1"/>
  <c r="J624" i="1" s="1"/>
  <c r="D625" i="1"/>
  <c r="F625" i="1" s="1"/>
  <c r="J625" i="1" s="1"/>
  <c r="D626" i="1"/>
  <c r="F626" i="1" s="1"/>
  <c r="J626" i="1" s="1"/>
  <c r="D627" i="1"/>
  <c r="F627" i="1" s="1"/>
  <c r="J627" i="1" s="1"/>
  <c r="D628" i="1"/>
  <c r="F628" i="1" s="1"/>
  <c r="J628" i="1" s="1"/>
  <c r="D629" i="1"/>
  <c r="F629" i="1" s="1"/>
  <c r="J629" i="1" s="1"/>
  <c r="D630" i="1"/>
  <c r="F630" i="1" s="1"/>
  <c r="J630" i="1" s="1"/>
  <c r="D631" i="1"/>
  <c r="F631" i="1" s="1"/>
  <c r="J631" i="1" s="1"/>
  <c r="D632" i="1"/>
  <c r="F632" i="1" s="1"/>
  <c r="J632" i="1" s="1"/>
  <c r="D633" i="1"/>
  <c r="F633" i="1" s="1"/>
  <c r="J633" i="1" s="1"/>
  <c r="D634" i="1"/>
  <c r="F634" i="1" s="1"/>
  <c r="J634" i="1" s="1"/>
  <c r="D635" i="1"/>
  <c r="F635" i="1" s="1"/>
  <c r="J635" i="1" s="1"/>
  <c r="D636" i="1"/>
  <c r="F636" i="1" s="1"/>
  <c r="J636" i="1" s="1"/>
  <c r="D637" i="1"/>
  <c r="F637" i="1" s="1"/>
  <c r="J637" i="1" s="1"/>
  <c r="D638" i="1"/>
  <c r="F638" i="1" s="1"/>
  <c r="J638" i="1" s="1"/>
  <c r="D639" i="1"/>
  <c r="F639" i="1" s="1"/>
  <c r="J639" i="1" s="1"/>
  <c r="D640" i="1"/>
  <c r="F640" i="1" s="1"/>
  <c r="J640" i="1" s="1"/>
  <c r="D641" i="1"/>
  <c r="F641" i="1" s="1"/>
  <c r="J641" i="1" s="1"/>
  <c r="D642" i="1"/>
  <c r="F642" i="1" s="1"/>
  <c r="J642" i="1" s="1"/>
  <c r="D643" i="1"/>
  <c r="F643" i="1" s="1"/>
  <c r="J643" i="1" s="1"/>
  <c r="D644" i="1"/>
  <c r="F644" i="1" s="1"/>
  <c r="J644" i="1" s="1"/>
  <c r="D645" i="1"/>
  <c r="F645" i="1" s="1"/>
  <c r="J645" i="1" s="1"/>
  <c r="D646" i="1"/>
  <c r="F646" i="1" s="1"/>
  <c r="J646" i="1" s="1"/>
  <c r="D647" i="1"/>
  <c r="F647" i="1" s="1"/>
  <c r="J647" i="1" s="1"/>
  <c r="D648" i="1"/>
  <c r="F648" i="1" s="1"/>
  <c r="J648" i="1" s="1"/>
  <c r="D649" i="1"/>
  <c r="F649" i="1" s="1"/>
  <c r="J649" i="1" s="1"/>
  <c r="D650" i="1"/>
  <c r="F650" i="1" s="1"/>
  <c r="J650" i="1" s="1"/>
  <c r="D651" i="1"/>
  <c r="F651" i="1" s="1"/>
  <c r="J651" i="1" s="1"/>
  <c r="D652" i="1"/>
  <c r="F652" i="1" s="1"/>
  <c r="J652" i="1" s="1"/>
  <c r="D653" i="1"/>
  <c r="F653" i="1" s="1"/>
  <c r="J653" i="1" s="1"/>
  <c r="D654" i="1"/>
  <c r="F654" i="1" s="1"/>
  <c r="J654" i="1" s="1"/>
  <c r="D655" i="1"/>
  <c r="F655" i="1" s="1"/>
  <c r="J655" i="1" s="1"/>
  <c r="D656" i="1"/>
  <c r="F656" i="1" s="1"/>
  <c r="J656" i="1" s="1"/>
  <c r="D657" i="1"/>
  <c r="F657" i="1" s="1"/>
  <c r="J657" i="1" s="1"/>
  <c r="D658" i="1"/>
  <c r="D659" i="1"/>
  <c r="F659" i="1" s="1"/>
  <c r="J659" i="1" s="1"/>
  <c r="D660" i="1"/>
  <c r="F660" i="1" s="1"/>
  <c r="J660" i="1" s="1"/>
  <c r="D661" i="1"/>
  <c r="F661" i="1" s="1"/>
  <c r="J661" i="1" s="1"/>
  <c r="D662" i="1"/>
  <c r="F662" i="1" s="1"/>
  <c r="J662" i="1" s="1"/>
  <c r="D663" i="1"/>
  <c r="F663" i="1" s="1"/>
  <c r="J663" i="1" s="1"/>
  <c r="D664" i="1"/>
  <c r="F664" i="1" s="1"/>
  <c r="J664" i="1" s="1"/>
  <c r="D665" i="1"/>
  <c r="F665" i="1" s="1"/>
  <c r="J665" i="1" s="1"/>
  <c r="D666" i="1"/>
  <c r="D667" i="1"/>
  <c r="F667" i="1" s="1"/>
  <c r="J667" i="1" s="1"/>
  <c r="D668" i="1"/>
  <c r="F668" i="1" s="1"/>
  <c r="J668" i="1" s="1"/>
  <c r="D669" i="1"/>
  <c r="F669" i="1" s="1"/>
  <c r="J669" i="1" s="1"/>
  <c r="D670" i="1"/>
  <c r="F670" i="1" s="1"/>
  <c r="J670" i="1" s="1"/>
  <c r="D671" i="1"/>
  <c r="F671" i="1" s="1"/>
  <c r="J671" i="1" s="1"/>
  <c r="D672" i="1"/>
  <c r="F672" i="1" s="1"/>
  <c r="J672" i="1" s="1"/>
  <c r="D673" i="1"/>
  <c r="F673" i="1" s="1"/>
  <c r="J673" i="1" s="1"/>
  <c r="D674" i="1"/>
  <c r="D675" i="1"/>
  <c r="F675" i="1" s="1"/>
  <c r="J675" i="1" s="1"/>
  <c r="D676" i="1"/>
  <c r="F676" i="1" s="1"/>
  <c r="J676" i="1" s="1"/>
  <c r="D677" i="1"/>
  <c r="F677" i="1" s="1"/>
  <c r="J677" i="1" s="1"/>
  <c r="D678" i="1"/>
  <c r="F678" i="1" s="1"/>
  <c r="J678" i="1" s="1"/>
  <c r="D679" i="1"/>
  <c r="F679" i="1" s="1"/>
  <c r="J679" i="1" s="1"/>
  <c r="D680" i="1"/>
  <c r="F680" i="1" s="1"/>
  <c r="J680" i="1" s="1"/>
  <c r="D681" i="1"/>
  <c r="F681" i="1" s="1"/>
  <c r="J681" i="1" s="1"/>
  <c r="D682" i="1"/>
  <c r="D683" i="1"/>
  <c r="F683" i="1" s="1"/>
  <c r="J683" i="1" s="1"/>
  <c r="D684" i="1"/>
  <c r="F684" i="1" s="1"/>
  <c r="J684" i="1" s="1"/>
  <c r="D685" i="1"/>
  <c r="F685" i="1" s="1"/>
  <c r="J685" i="1" s="1"/>
  <c r="D686" i="1"/>
  <c r="F686" i="1" s="1"/>
  <c r="J686" i="1" s="1"/>
  <c r="D687" i="1"/>
  <c r="F687" i="1" s="1"/>
  <c r="J687" i="1" s="1"/>
  <c r="D688" i="1"/>
  <c r="F688" i="1" s="1"/>
  <c r="J688" i="1" s="1"/>
  <c r="D689" i="1"/>
  <c r="F689" i="1" s="1"/>
  <c r="J689" i="1" s="1"/>
  <c r="D690" i="1"/>
  <c r="D691" i="1"/>
  <c r="F691" i="1" s="1"/>
  <c r="J691" i="1" s="1"/>
  <c r="D692" i="1"/>
  <c r="F692" i="1" s="1"/>
  <c r="J692" i="1" s="1"/>
  <c r="D693" i="1"/>
  <c r="F693" i="1" s="1"/>
  <c r="J693" i="1" s="1"/>
  <c r="D694" i="1"/>
  <c r="F694" i="1" s="1"/>
  <c r="J694" i="1" s="1"/>
  <c r="D695" i="1"/>
  <c r="F695" i="1" s="1"/>
  <c r="J695" i="1" s="1"/>
  <c r="D696" i="1"/>
  <c r="F696" i="1" s="1"/>
  <c r="J696" i="1" s="1"/>
  <c r="D697" i="1"/>
  <c r="F697" i="1" s="1"/>
  <c r="J697" i="1" s="1"/>
  <c r="D698" i="1"/>
  <c r="D699" i="1"/>
  <c r="F699" i="1" s="1"/>
  <c r="J699" i="1" s="1"/>
  <c r="D700" i="1"/>
  <c r="F700" i="1" s="1"/>
  <c r="J700" i="1" s="1"/>
  <c r="D701" i="1"/>
  <c r="F701" i="1" s="1"/>
  <c r="J701" i="1" s="1"/>
  <c r="D702" i="1"/>
  <c r="F702" i="1" s="1"/>
  <c r="J702" i="1" s="1"/>
  <c r="D703" i="1"/>
  <c r="F703" i="1" s="1"/>
  <c r="J703" i="1" s="1"/>
  <c r="D704" i="1"/>
  <c r="F704" i="1" s="1"/>
  <c r="J704" i="1" s="1"/>
  <c r="D705" i="1"/>
  <c r="F705" i="1" s="1"/>
  <c r="J705" i="1" s="1"/>
  <c r="D706" i="1"/>
  <c r="D707" i="1"/>
  <c r="F707" i="1" s="1"/>
  <c r="J707" i="1" s="1"/>
  <c r="D708" i="1"/>
  <c r="F708" i="1" s="1"/>
  <c r="J708" i="1" s="1"/>
  <c r="D709" i="1"/>
  <c r="F709" i="1" s="1"/>
  <c r="J709" i="1" s="1"/>
  <c r="D710" i="1"/>
  <c r="F710" i="1" s="1"/>
  <c r="J710" i="1" s="1"/>
  <c r="D711" i="1"/>
  <c r="F711" i="1" s="1"/>
  <c r="J711" i="1" s="1"/>
  <c r="D712" i="1"/>
  <c r="D713" i="1"/>
  <c r="F713" i="1" s="1"/>
  <c r="J713" i="1" s="1"/>
  <c r="D714" i="1"/>
  <c r="D715" i="1"/>
  <c r="F715" i="1" s="1"/>
  <c r="J715" i="1" s="1"/>
  <c r="D716" i="1"/>
  <c r="D717" i="1"/>
  <c r="F717" i="1" s="1"/>
  <c r="J717" i="1" s="1"/>
  <c r="D718" i="1"/>
  <c r="F718" i="1" s="1"/>
  <c r="J718" i="1" s="1"/>
  <c r="D719" i="1"/>
  <c r="F719" i="1" s="1"/>
  <c r="J719" i="1" s="1"/>
  <c r="D720" i="1"/>
  <c r="D721" i="1"/>
  <c r="F721" i="1" s="1"/>
  <c r="J721" i="1" s="1"/>
  <c r="D722" i="1"/>
  <c r="D723" i="1"/>
  <c r="F723" i="1" s="1"/>
  <c r="J723" i="1" s="1"/>
  <c r="D724" i="1"/>
  <c r="D725" i="1"/>
  <c r="F725" i="1" s="1"/>
  <c r="J725" i="1" s="1"/>
  <c r="D726" i="1"/>
  <c r="F726" i="1" s="1"/>
  <c r="J726" i="1" s="1"/>
  <c r="D727" i="1"/>
  <c r="F727" i="1" s="1"/>
  <c r="J727" i="1" s="1"/>
  <c r="D728" i="1"/>
  <c r="D729" i="1"/>
  <c r="F729" i="1" s="1"/>
  <c r="J729" i="1" s="1"/>
  <c r="D730" i="1"/>
  <c r="D731" i="1"/>
  <c r="F731" i="1" s="1"/>
  <c r="J731" i="1" s="1"/>
  <c r="D732" i="1"/>
  <c r="D733" i="1"/>
  <c r="F733" i="1" s="1"/>
  <c r="J733" i="1" s="1"/>
  <c r="D734" i="1"/>
  <c r="F734" i="1" s="1"/>
  <c r="J734" i="1" s="1"/>
  <c r="D735" i="1"/>
  <c r="F735" i="1" s="1"/>
  <c r="J735" i="1" s="1"/>
  <c r="D736" i="1"/>
  <c r="D737" i="1"/>
  <c r="F737" i="1" s="1"/>
  <c r="J737" i="1" s="1"/>
  <c r="D738" i="1"/>
  <c r="D739" i="1"/>
  <c r="F739" i="1" s="1"/>
  <c r="J739" i="1" s="1"/>
  <c r="D740" i="1"/>
  <c r="D741" i="1"/>
  <c r="F741" i="1" s="1"/>
  <c r="J741" i="1" s="1"/>
  <c r="D742" i="1"/>
  <c r="F742" i="1" s="1"/>
  <c r="J742" i="1" s="1"/>
  <c r="D743" i="1"/>
  <c r="F743" i="1" s="1"/>
  <c r="J743" i="1" s="1"/>
  <c r="D744" i="1"/>
  <c r="D745" i="1"/>
  <c r="F745" i="1" s="1"/>
  <c r="J745" i="1" s="1"/>
  <c r="D746" i="1"/>
  <c r="D747" i="1"/>
  <c r="F747" i="1" s="1"/>
  <c r="J747" i="1" s="1"/>
  <c r="D748" i="1"/>
  <c r="D749" i="1"/>
  <c r="F749" i="1" s="1"/>
  <c r="J749" i="1" s="1"/>
  <c r="D750" i="1"/>
  <c r="F750" i="1" s="1"/>
  <c r="J750" i="1" s="1"/>
  <c r="D751" i="1"/>
  <c r="F751" i="1" s="1"/>
  <c r="J751" i="1" s="1"/>
  <c r="D752" i="1"/>
  <c r="D753" i="1"/>
  <c r="F753" i="1" s="1"/>
  <c r="J753" i="1" s="1"/>
  <c r="D754" i="1"/>
  <c r="D755" i="1"/>
  <c r="F755" i="1" s="1"/>
  <c r="J755" i="1" s="1"/>
  <c r="D756" i="1"/>
  <c r="D757" i="1"/>
  <c r="F757" i="1" s="1"/>
  <c r="J757" i="1" s="1"/>
  <c r="D758" i="1"/>
  <c r="F758" i="1" s="1"/>
  <c r="J758" i="1" s="1"/>
  <c r="D759" i="1"/>
  <c r="F759" i="1" s="1"/>
  <c r="J759" i="1" s="1"/>
  <c r="D760" i="1"/>
  <c r="D761" i="1"/>
  <c r="F761" i="1" s="1"/>
  <c r="J761" i="1" s="1"/>
  <c r="D762" i="1"/>
  <c r="D763" i="1"/>
  <c r="F763" i="1" s="1"/>
  <c r="J763" i="1" s="1"/>
  <c r="D764" i="1"/>
  <c r="D765" i="1"/>
  <c r="F765" i="1" s="1"/>
  <c r="J765" i="1" s="1"/>
  <c r="D766" i="1"/>
  <c r="F766" i="1" s="1"/>
  <c r="J766" i="1" s="1"/>
  <c r="D767" i="1"/>
  <c r="F767" i="1" s="1"/>
  <c r="J767" i="1" s="1"/>
  <c r="D768" i="1"/>
  <c r="D769" i="1"/>
  <c r="F769" i="1" s="1"/>
  <c r="J769" i="1" s="1"/>
  <c r="D770" i="1"/>
  <c r="D771" i="1"/>
  <c r="F771" i="1" s="1"/>
  <c r="J771" i="1" s="1"/>
  <c r="D772" i="1"/>
  <c r="D773" i="1"/>
  <c r="F773" i="1" s="1"/>
  <c r="J773" i="1" s="1"/>
  <c r="D774" i="1"/>
  <c r="F774" i="1" s="1"/>
  <c r="J774" i="1" s="1"/>
  <c r="D775" i="1"/>
  <c r="F775" i="1" s="1"/>
  <c r="J775" i="1" s="1"/>
  <c r="D776" i="1"/>
  <c r="D777" i="1"/>
  <c r="F777" i="1" s="1"/>
  <c r="J777" i="1" s="1"/>
  <c r="D778" i="1"/>
  <c r="D779" i="1"/>
  <c r="F779" i="1" s="1"/>
  <c r="J779" i="1" s="1"/>
  <c r="D780" i="1"/>
  <c r="D781" i="1"/>
  <c r="F781" i="1" s="1"/>
  <c r="J781" i="1" s="1"/>
  <c r="D782" i="1"/>
  <c r="F782" i="1" s="1"/>
  <c r="J782" i="1" s="1"/>
  <c r="D783" i="1"/>
  <c r="F783" i="1" s="1"/>
  <c r="J783" i="1" s="1"/>
  <c r="D784" i="1"/>
  <c r="D785" i="1"/>
  <c r="F785" i="1" s="1"/>
  <c r="J785" i="1" s="1"/>
  <c r="D786" i="1"/>
  <c r="D787" i="1"/>
  <c r="F787" i="1" s="1"/>
  <c r="J787" i="1" s="1"/>
  <c r="D788" i="1"/>
  <c r="D789" i="1"/>
  <c r="F789" i="1" s="1"/>
  <c r="J789" i="1" s="1"/>
  <c r="D790" i="1"/>
  <c r="F790" i="1" s="1"/>
  <c r="J790" i="1" s="1"/>
  <c r="D791" i="1"/>
  <c r="F791" i="1" s="1"/>
  <c r="J791" i="1" s="1"/>
  <c r="D792" i="1"/>
  <c r="D793" i="1"/>
  <c r="F793" i="1" s="1"/>
  <c r="J793" i="1" s="1"/>
  <c r="D794" i="1"/>
  <c r="D795" i="1"/>
  <c r="F795" i="1" s="1"/>
  <c r="J795" i="1" s="1"/>
  <c r="D796" i="1"/>
  <c r="D797" i="1"/>
  <c r="F797" i="1" s="1"/>
  <c r="J797" i="1" s="1"/>
  <c r="D798" i="1"/>
  <c r="F798" i="1" s="1"/>
  <c r="J798" i="1" s="1"/>
  <c r="D799" i="1"/>
  <c r="F799" i="1" s="1"/>
  <c r="J799" i="1" s="1"/>
  <c r="D800" i="1"/>
  <c r="D801" i="1"/>
  <c r="F801" i="1" s="1"/>
  <c r="J801" i="1" s="1"/>
  <c r="D802" i="1"/>
  <c r="D803" i="1"/>
  <c r="F803" i="1" s="1"/>
  <c r="J803" i="1" s="1"/>
  <c r="D804" i="1"/>
  <c r="D805" i="1"/>
  <c r="F805" i="1" s="1"/>
  <c r="J805" i="1" s="1"/>
  <c r="D806" i="1"/>
  <c r="F806" i="1" s="1"/>
  <c r="J806" i="1" s="1"/>
  <c r="D807" i="1"/>
  <c r="F807" i="1" s="1"/>
  <c r="J807" i="1" s="1"/>
  <c r="D808" i="1"/>
  <c r="D809" i="1"/>
  <c r="F809" i="1" s="1"/>
  <c r="J809" i="1" s="1"/>
  <c r="D810" i="1"/>
  <c r="D811" i="1"/>
  <c r="F811" i="1" s="1"/>
  <c r="J811" i="1" s="1"/>
  <c r="D812" i="1"/>
  <c r="D813" i="1"/>
  <c r="F813" i="1" s="1"/>
  <c r="J813" i="1" s="1"/>
  <c r="D814" i="1"/>
  <c r="D815" i="1"/>
  <c r="D816" i="1"/>
  <c r="D817" i="1"/>
  <c r="F817" i="1" s="1"/>
  <c r="J817" i="1" s="1"/>
  <c r="D818" i="1"/>
  <c r="D819" i="1"/>
  <c r="F819" i="1" s="1"/>
  <c r="J819" i="1" s="1"/>
  <c r="D820" i="1"/>
  <c r="D821" i="1"/>
  <c r="F821" i="1" s="1"/>
  <c r="J821" i="1" s="1"/>
  <c r="D822" i="1"/>
  <c r="D823" i="1"/>
  <c r="D824" i="1"/>
  <c r="D825" i="1"/>
  <c r="F825" i="1" s="1"/>
  <c r="J825" i="1" s="1"/>
  <c r="D826" i="1"/>
  <c r="D827" i="1"/>
  <c r="F827" i="1" s="1"/>
  <c r="J827" i="1" s="1"/>
  <c r="D828" i="1"/>
  <c r="D829" i="1"/>
  <c r="F829" i="1" s="1"/>
  <c r="J829" i="1" s="1"/>
  <c r="D830" i="1"/>
  <c r="D831" i="1"/>
  <c r="D832" i="1"/>
  <c r="D833" i="1"/>
  <c r="F833" i="1" s="1"/>
  <c r="J833" i="1" s="1"/>
  <c r="D834" i="1"/>
  <c r="D835" i="1"/>
  <c r="F835" i="1" s="1"/>
  <c r="J835" i="1" s="1"/>
  <c r="D836" i="1"/>
  <c r="D837" i="1"/>
  <c r="F837" i="1" s="1"/>
  <c r="J837" i="1" s="1"/>
  <c r="D838" i="1"/>
  <c r="D839" i="1"/>
  <c r="D840" i="1"/>
  <c r="D841" i="1"/>
  <c r="F841" i="1" s="1"/>
  <c r="J841" i="1" s="1"/>
  <c r="D842" i="1"/>
  <c r="D843" i="1"/>
  <c r="F843" i="1" s="1"/>
  <c r="J843" i="1" s="1"/>
  <c r="D844" i="1"/>
  <c r="D845" i="1"/>
  <c r="D846" i="1"/>
  <c r="D847" i="1"/>
  <c r="D848" i="1"/>
  <c r="D849" i="1"/>
  <c r="F849" i="1" s="1"/>
  <c r="J849" i="1" s="1"/>
  <c r="D850" i="1"/>
  <c r="D851" i="1"/>
  <c r="F851" i="1" s="1"/>
  <c r="J851" i="1" s="1"/>
  <c r="D852" i="1"/>
  <c r="D853" i="1"/>
  <c r="D854" i="1"/>
  <c r="D855" i="1"/>
  <c r="D856" i="1"/>
  <c r="D857" i="1"/>
  <c r="F857" i="1" s="1"/>
  <c r="J857" i="1" s="1"/>
  <c r="D858" i="1"/>
  <c r="D859" i="1"/>
  <c r="F859" i="1" s="1"/>
  <c r="J859" i="1" s="1"/>
  <c r="D860" i="1"/>
  <c r="D861" i="1"/>
  <c r="D862" i="1"/>
  <c r="D863" i="1"/>
  <c r="D864" i="1"/>
  <c r="D865" i="1"/>
  <c r="F865" i="1" s="1"/>
  <c r="J865" i="1" s="1"/>
  <c r="D866" i="1"/>
  <c r="D867" i="1"/>
  <c r="D868" i="1"/>
  <c r="D869" i="1"/>
  <c r="D870" i="1"/>
  <c r="D871" i="1"/>
  <c r="D872" i="1"/>
  <c r="D873" i="1"/>
  <c r="F873" i="1" s="1"/>
  <c r="J873" i="1" s="1"/>
  <c r="D874" i="1"/>
  <c r="D875" i="1"/>
  <c r="D876" i="1"/>
  <c r="D877" i="1"/>
  <c r="D878" i="1"/>
  <c r="D879" i="1"/>
  <c r="D880" i="1"/>
  <c r="D881" i="1"/>
  <c r="F881" i="1" s="1"/>
  <c r="J881" i="1" s="1"/>
  <c r="D882" i="1"/>
  <c r="D883" i="1"/>
  <c r="D884" i="1"/>
  <c r="D885" i="1"/>
  <c r="D886" i="1"/>
  <c r="D887" i="1"/>
  <c r="D888" i="1"/>
  <c r="D889" i="1"/>
  <c r="F889" i="1" s="1"/>
  <c r="J889" i="1" s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J515" i="1" l="1"/>
  <c r="K2159" i="3"/>
  <c r="F557" i="1"/>
  <c r="J557" i="1" s="1"/>
  <c r="F556" i="1"/>
  <c r="J556" i="1" s="1"/>
  <c r="F552" i="1"/>
  <c r="J552" i="1" s="1"/>
  <c r="F549" i="1"/>
  <c r="J549" i="1" s="1"/>
  <c r="F548" i="1"/>
  <c r="J548" i="1" s="1"/>
  <c r="K2112" i="3"/>
  <c r="K2154" i="3"/>
  <c r="K2110" i="3"/>
  <c r="K2153" i="3"/>
  <c r="K2108" i="3"/>
  <c r="K2152" i="3"/>
  <c r="J374" i="1"/>
  <c r="K2145" i="3"/>
  <c r="J377" i="1"/>
  <c r="K2142" i="3"/>
  <c r="K2132" i="3"/>
  <c r="K2139" i="3"/>
  <c r="K2125" i="3"/>
  <c r="K2134" i="3"/>
  <c r="K2137" i="3"/>
  <c r="K2054" i="3"/>
  <c r="K2135" i="3"/>
  <c r="K2119" i="3"/>
  <c r="K2133" i="3"/>
  <c r="K2116" i="3"/>
  <c r="K2130" i="3"/>
  <c r="K1932" i="3"/>
  <c r="K1800" i="3"/>
  <c r="J427" i="1"/>
  <c r="K2126" i="3"/>
  <c r="K1606" i="3"/>
  <c r="K2124" i="3"/>
  <c r="J297" i="1"/>
  <c r="K2123" i="3"/>
  <c r="J273" i="1"/>
  <c r="K2122" i="3"/>
  <c r="F228" i="1"/>
  <c r="J228" i="1" s="1"/>
  <c r="J338" i="1"/>
  <c r="K2121" i="3"/>
  <c r="J402" i="1"/>
  <c r="K2120" i="3"/>
  <c r="K2113" i="3"/>
  <c r="K2118" i="3"/>
  <c r="K1957" i="3"/>
  <c r="K2114" i="3"/>
  <c r="F545" i="1"/>
  <c r="J545" i="1" s="1"/>
  <c r="F541" i="1"/>
  <c r="J541" i="1" s="1"/>
  <c r="F540" i="1"/>
  <c r="J540" i="1" s="1"/>
  <c r="F535" i="1"/>
  <c r="J535" i="1" s="1"/>
  <c r="F533" i="1"/>
  <c r="J533" i="1" s="1"/>
  <c r="F532" i="1"/>
  <c r="J532" i="1" s="1"/>
  <c r="K2096" i="3"/>
  <c r="J415" i="1"/>
  <c r="K2055" i="3"/>
  <c r="K1929" i="3"/>
  <c r="J334" i="1"/>
  <c r="J351" i="1"/>
  <c r="K2042" i="3"/>
  <c r="K2098" i="3"/>
  <c r="K2057" i="3"/>
  <c r="K2093" i="3"/>
  <c r="J529" i="1"/>
  <c r="K2092" i="3"/>
  <c r="J486" i="1"/>
  <c r="K2091" i="3"/>
  <c r="K1961" i="3"/>
  <c r="K2089" i="3"/>
  <c r="K2030" i="3"/>
  <c r="K2087" i="3"/>
  <c r="J284" i="1"/>
  <c r="K2086" i="3"/>
  <c r="J283" i="1"/>
  <c r="K2085" i="3"/>
  <c r="J282" i="1"/>
  <c r="K2084" i="3"/>
  <c r="J270" i="1"/>
  <c r="K2083" i="3"/>
  <c r="F256" i="1"/>
  <c r="K2082" i="3" s="1"/>
  <c r="F233" i="1"/>
  <c r="K1429" i="3" s="1"/>
  <c r="F231" i="1"/>
  <c r="K2077" i="3" s="1"/>
  <c r="F230" i="1"/>
  <c r="K2076" i="3" s="1"/>
  <c r="K2071" i="3"/>
  <c r="K2075" i="3"/>
  <c r="F198" i="1"/>
  <c r="K2069" i="3" s="1"/>
  <c r="F158" i="1"/>
  <c r="J158" i="1" s="1"/>
  <c r="F238" i="1"/>
  <c r="K719" i="3" s="1"/>
  <c r="F234" i="1"/>
  <c r="K2067" i="3" s="1"/>
  <c r="F206" i="1"/>
  <c r="K2073" i="3" s="1"/>
  <c r="F226" i="1"/>
  <c r="K2063" i="3" s="1"/>
  <c r="K2037" i="3"/>
  <c r="K2062" i="3"/>
  <c r="K2044" i="3"/>
  <c r="K2059" i="3"/>
  <c r="K2041" i="3"/>
  <c r="K2052" i="3"/>
  <c r="K2038" i="3"/>
  <c r="K2049" i="3"/>
  <c r="K2036" i="3"/>
  <c r="K2048" i="3"/>
  <c r="K2034" i="3"/>
  <c r="K2047" i="3"/>
  <c r="K2033" i="3"/>
  <c r="K2046" i="3"/>
  <c r="K2032" i="3"/>
  <c r="K2045" i="3"/>
  <c r="J498" i="1"/>
  <c r="K2043" i="3"/>
  <c r="K2017" i="3"/>
  <c r="K2039" i="3"/>
  <c r="K2019" i="3"/>
  <c r="K2031" i="3"/>
  <c r="K2016" i="3"/>
  <c r="K2029" i="3"/>
  <c r="K2011" i="3"/>
  <c r="K2025" i="3"/>
  <c r="K1763" i="3"/>
  <c r="K2024" i="3"/>
  <c r="K1951" i="3"/>
  <c r="K2023" i="3"/>
  <c r="K2013" i="3"/>
  <c r="K2022" i="3"/>
  <c r="K2010" i="3"/>
  <c r="K2021" i="3"/>
  <c r="K2009" i="3"/>
  <c r="K2020" i="3"/>
  <c r="K2000" i="3"/>
  <c r="K2014" i="3"/>
  <c r="K2003" i="3"/>
  <c r="K2008" i="3"/>
  <c r="K1995" i="3"/>
  <c r="K2006" i="3"/>
  <c r="K1994" i="3"/>
  <c r="K2005" i="3"/>
  <c r="K1991" i="3"/>
  <c r="K2002" i="3"/>
  <c r="K1989" i="3"/>
  <c r="K1998" i="3"/>
  <c r="K1988" i="3"/>
  <c r="K1997" i="3"/>
  <c r="K1987" i="3"/>
  <c r="K1996" i="3"/>
  <c r="K1979" i="3"/>
  <c r="K1992" i="3"/>
  <c r="K1972" i="3"/>
  <c r="K1986" i="3"/>
  <c r="K1978" i="3"/>
  <c r="K1984" i="3"/>
  <c r="K1970" i="3"/>
  <c r="K1983" i="3"/>
  <c r="J413" i="1"/>
  <c r="K1981" i="3"/>
  <c r="K1958" i="3"/>
  <c r="K1977" i="3"/>
  <c r="K1758" i="3"/>
  <c r="K1975" i="3"/>
  <c r="K1967" i="3"/>
  <c r="K1974" i="3"/>
  <c r="K1960" i="3"/>
  <c r="K1973" i="3"/>
  <c r="K1946" i="3"/>
  <c r="K1966" i="3"/>
  <c r="K1766" i="3"/>
  <c r="K1965" i="3"/>
  <c r="J505" i="1"/>
  <c r="K1962" i="3"/>
  <c r="K1889" i="3"/>
  <c r="K1762" i="3"/>
  <c r="K1955" i="3"/>
  <c r="K1950" i="3"/>
  <c r="K1948" i="3"/>
  <c r="K1945" i="3"/>
  <c r="K1833" i="3"/>
  <c r="K1952" i="3"/>
  <c r="J208" i="1"/>
  <c r="K1943" i="3"/>
  <c r="F207" i="1"/>
  <c r="K2074" i="3" s="1"/>
  <c r="K1928" i="3"/>
  <c r="K1890" i="3"/>
  <c r="K1941" i="3"/>
  <c r="J371" i="1"/>
  <c r="K1864" i="3"/>
  <c r="K1848" i="3"/>
  <c r="K1892" i="3"/>
  <c r="K1940" i="3"/>
  <c r="K1869" i="3"/>
  <c r="K1938" i="3"/>
  <c r="J271" i="1"/>
  <c r="K1937" i="3"/>
  <c r="J368" i="1"/>
  <c r="K1936" i="3"/>
  <c r="J300" i="1"/>
  <c r="K1935" i="3"/>
  <c r="J360" i="1"/>
  <c r="K1930" i="3"/>
  <c r="K1600" i="3"/>
  <c r="K1931" i="3"/>
  <c r="J510" i="1"/>
  <c r="J509" i="1"/>
  <c r="K1923" i="3"/>
  <c r="J405" i="1"/>
  <c r="J276" i="1"/>
  <c r="K1918" i="3"/>
  <c r="J308" i="1"/>
  <c r="K1917" i="3"/>
  <c r="K1761" i="3"/>
  <c r="K1916" i="3"/>
  <c r="K1897" i="3"/>
  <c r="K1891" i="3"/>
  <c r="K1913" i="3"/>
  <c r="K1895" i="3"/>
  <c r="K1914" i="3"/>
  <c r="K1896" i="3"/>
  <c r="K1915" i="3"/>
  <c r="K1823" i="3"/>
  <c r="K1910" i="3"/>
  <c r="K1832" i="3"/>
  <c r="K1909" i="3"/>
  <c r="K1901" i="3"/>
  <c r="K1904" i="3"/>
  <c r="K1908" i="3"/>
  <c r="K1825" i="3"/>
  <c r="K1903" i="3"/>
  <c r="J262" i="1"/>
  <c r="K1900" i="3"/>
  <c r="J219" i="1"/>
  <c r="K1899" i="3"/>
  <c r="K1830" i="3"/>
  <c r="K1835" i="3"/>
  <c r="K1831" i="3"/>
  <c r="K1834" i="3"/>
  <c r="K1841" i="3"/>
  <c r="K1829" i="3"/>
  <c r="K1868" i="3"/>
  <c r="K1828" i="3"/>
  <c r="F209" i="1"/>
  <c r="F201" i="1"/>
  <c r="K1882" i="3" s="1"/>
  <c r="F196" i="1"/>
  <c r="J196" i="1" s="1"/>
  <c r="F175" i="1"/>
  <c r="K1880" i="3" s="1"/>
  <c r="F173" i="1"/>
  <c r="K1879" i="3" s="1"/>
  <c r="K1875" i="3"/>
  <c r="K1842" i="3"/>
  <c r="K1849" i="3"/>
  <c r="K1862" i="3"/>
  <c r="K1886" i="3"/>
  <c r="J379" i="1"/>
  <c r="K1765" i="3"/>
  <c r="J479" i="1"/>
  <c r="K1499" i="3"/>
  <c r="K1865" i="3"/>
  <c r="K1874" i="3"/>
  <c r="J507" i="1"/>
  <c r="K1873" i="3"/>
  <c r="J364" i="1"/>
  <c r="K1872" i="3"/>
  <c r="K1866" i="3"/>
  <c r="K1812" i="3"/>
  <c r="K1863" i="3"/>
  <c r="F528" i="1"/>
  <c r="J528" i="1" s="1"/>
  <c r="F525" i="1"/>
  <c r="J525" i="1" s="1"/>
  <c r="F524" i="1"/>
  <c r="J524" i="1" s="1"/>
  <c r="F523" i="1"/>
  <c r="J523" i="1" s="1"/>
  <c r="J280" i="1"/>
  <c r="K1859" i="3"/>
  <c r="J370" i="1"/>
  <c r="K1857" i="3"/>
  <c r="K1435" i="3"/>
  <c r="K1854" i="3"/>
  <c r="K1797" i="3"/>
  <c r="K1840" i="3"/>
  <c r="K1807" i="3"/>
  <c r="K1839" i="3"/>
  <c r="J511" i="1"/>
  <c r="K1837" i="3"/>
  <c r="J521" i="1"/>
  <c r="K1826" i="3"/>
  <c r="F520" i="1"/>
  <c r="F519" i="1"/>
  <c r="J519" i="1" s="1"/>
  <c r="F518" i="1"/>
  <c r="K2027" i="3" s="1"/>
  <c r="K1642" i="3"/>
  <c r="K1821" i="3"/>
  <c r="J320" i="1"/>
  <c r="K1819" i="3"/>
  <c r="K1299" i="3"/>
  <c r="K1818" i="3"/>
  <c r="K1274" i="3"/>
  <c r="K1803" i="3"/>
  <c r="K1805" i="3"/>
  <c r="F517" i="1"/>
  <c r="J517" i="1" s="1"/>
  <c r="J299" i="1"/>
  <c r="K1811" i="3"/>
  <c r="K1771" i="3"/>
  <c r="K1804" i="3"/>
  <c r="K1788" i="3"/>
  <c r="K1802" i="3"/>
  <c r="K1793" i="3"/>
  <c r="K1798" i="3"/>
  <c r="K1772" i="3"/>
  <c r="K1796" i="3"/>
  <c r="K1756" i="3"/>
  <c r="K1795" i="3"/>
  <c r="F512" i="1"/>
  <c r="K1905" i="3" s="1"/>
  <c r="F255" i="1"/>
  <c r="K1786" i="3" s="1"/>
  <c r="F182" i="1"/>
  <c r="F508" i="1"/>
  <c r="J508" i="1" s="1"/>
  <c r="J355" i="1"/>
  <c r="K1769" i="3"/>
  <c r="F503" i="1"/>
  <c r="J503" i="1" s="1"/>
  <c r="F502" i="1"/>
  <c r="J502" i="1" s="1"/>
  <c r="K1757" i="3"/>
  <c r="K1767" i="3"/>
  <c r="K1751" i="3"/>
  <c r="K1743" i="3"/>
  <c r="K1760" i="3"/>
  <c r="F204" i="1"/>
  <c r="K2065" i="3" s="1"/>
  <c r="K1745" i="3"/>
  <c r="K1755" i="3"/>
  <c r="K1734" i="3"/>
  <c r="K1752" i="3"/>
  <c r="K1737" i="3"/>
  <c r="K1750" i="3"/>
  <c r="K1740" i="3"/>
  <c r="K1748" i="3"/>
  <c r="K1735" i="3"/>
  <c r="K1747" i="3"/>
  <c r="K1739" i="3"/>
  <c r="K1746" i="3"/>
  <c r="K1733" i="3"/>
  <c r="K1744" i="3"/>
  <c r="K1719" i="3"/>
  <c r="K1726" i="3"/>
  <c r="K1738" i="3"/>
  <c r="K1717" i="3"/>
  <c r="K1732" i="3"/>
  <c r="J387" i="1"/>
  <c r="K1730" i="3"/>
  <c r="J326" i="1"/>
  <c r="K1729" i="3"/>
  <c r="K1713" i="3"/>
  <c r="K1725" i="3"/>
  <c r="K1711" i="3"/>
  <c r="K1723" i="3"/>
  <c r="K1710" i="3"/>
  <c r="K1722" i="3"/>
  <c r="K1709" i="3"/>
  <c r="K1721" i="3"/>
  <c r="K1708" i="3"/>
  <c r="K1720" i="3"/>
  <c r="J400" i="1"/>
  <c r="K1718" i="3"/>
  <c r="K1700" i="3"/>
  <c r="K1714" i="3"/>
  <c r="K1695" i="3"/>
  <c r="K1707" i="3"/>
  <c r="K1706" i="3"/>
  <c r="K1694" i="3"/>
  <c r="K1705" i="3"/>
  <c r="K1689" i="3"/>
  <c r="K1703" i="3"/>
  <c r="K1687" i="3"/>
  <c r="K1702" i="3"/>
  <c r="K1682" i="3"/>
  <c r="K1701" i="3"/>
  <c r="K1686" i="3"/>
  <c r="K1698" i="3"/>
  <c r="K1685" i="3"/>
  <c r="K1697" i="3"/>
  <c r="K1684" i="3"/>
  <c r="K1696" i="3"/>
  <c r="K1679" i="3"/>
  <c r="K1692" i="3"/>
  <c r="K1671" i="3"/>
  <c r="K1691" i="3"/>
  <c r="J210" i="1"/>
  <c r="K1690" i="3"/>
  <c r="K1673" i="3"/>
  <c r="K1683" i="3"/>
  <c r="K1675" i="3"/>
  <c r="K1678" i="3"/>
  <c r="K1680" i="3"/>
  <c r="J499" i="1"/>
  <c r="K1674" i="3"/>
  <c r="K1277" i="3"/>
  <c r="K1672" i="3"/>
  <c r="F501" i="1"/>
  <c r="J501" i="1" s="1"/>
  <c r="J350" i="1"/>
  <c r="K1666" i="3"/>
  <c r="J403" i="1"/>
  <c r="K1665" i="3"/>
  <c r="J389" i="1"/>
  <c r="K1663" i="3"/>
  <c r="F883" i="1"/>
  <c r="J883" i="1" s="1"/>
  <c r="F867" i="1"/>
  <c r="J867" i="1" s="1"/>
  <c r="F891" i="1"/>
  <c r="J891" i="1" s="1"/>
  <c r="F875" i="1"/>
  <c r="J875" i="1" s="1"/>
  <c r="F247" i="1"/>
  <c r="J247" i="1" s="1"/>
  <c r="F177" i="1"/>
  <c r="K1655" i="3" s="1"/>
  <c r="F147" i="1"/>
  <c r="K1654" i="3" s="1"/>
  <c r="F144" i="1"/>
  <c r="F142" i="1"/>
  <c r="K1652" i="3" s="1"/>
  <c r="F127" i="1"/>
  <c r="K1649" i="3" s="1"/>
  <c r="F86" i="1"/>
  <c r="K30" i="3" s="1"/>
  <c r="F67" i="1"/>
  <c r="K1645" i="3" s="1"/>
  <c r="F29" i="1"/>
  <c r="J198" i="1"/>
  <c r="K1616" i="3"/>
  <c r="K1636" i="3"/>
  <c r="K1595" i="3"/>
  <c r="K1619" i="3"/>
  <c r="K1623" i="3"/>
  <c r="K1621" i="3"/>
  <c r="K1624" i="3"/>
  <c r="K1622" i="3"/>
  <c r="K1614" i="3"/>
  <c r="K1620" i="3"/>
  <c r="K1615" i="3"/>
  <c r="K1618" i="3"/>
  <c r="K1601" i="3"/>
  <c r="K1612" i="3"/>
  <c r="F500" i="1"/>
  <c r="K2147" i="3" s="1"/>
  <c r="K1594" i="3"/>
  <c r="K1611" i="3"/>
  <c r="K1522" i="3"/>
  <c r="K1605" i="3"/>
  <c r="F496" i="1"/>
  <c r="F495" i="1"/>
  <c r="J495" i="1" s="1"/>
  <c r="F494" i="1"/>
  <c r="J494" i="1" s="1"/>
  <c r="F493" i="1"/>
  <c r="J493" i="1" s="1"/>
  <c r="F492" i="1"/>
  <c r="J492" i="1" s="1"/>
  <c r="K1569" i="3"/>
  <c r="K1543" i="3"/>
  <c r="K1593" i="3"/>
  <c r="J112" i="1"/>
  <c r="K1591" i="3"/>
  <c r="F111" i="1"/>
  <c r="K1590" i="3" s="1"/>
  <c r="F83" i="1"/>
  <c r="F82" i="1"/>
  <c r="F80" i="1"/>
  <c r="K1587" i="3" s="1"/>
  <c r="F252" i="1"/>
  <c r="K1784" i="3" s="1"/>
  <c r="F254" i="1"/>
  <c r="F101" i="1"/>
  <c r="K1312" i="3" s="1"/>
  <c r="F134" i="1"/>
  <c r="K178" i="3" s="1"/>
  <c r="F253" i="1"/>
  <c r="K2080" i="3" s="1"/>
  <c r="F249" i="1"/>
  <c r="F126" i="1"/>
  <c r="K1787" i="3" s="1"/>
  <c r="J345" i="1"/>
  <c r="K1573" i="3"/>
  <c r="K1562" i="3"/>
  <c r="K1566" i="3"/>
  <c r="K1553" i="3"/>
  <c r="K1567" i="3"/>
  <c r="K1549" i="3"/>
  <c r="K1565" i="3"/>
  <c r="K1548" i="3"/>
  <c r="K1564" i="3"/>
  <c r="F489" i="1"/>
  <c r="F488" i="1"/>
  <c r="J488" i="1" s="1"/>
  <c r="F487" i="1"/>
  <c r="J487" i="1" s="1"/>
  <c r="F484" i="1"/>
  <c r="J484" i="1" s="1"/>
  <c r="F481" i="1"/>
  <c r="F480" i="1"/>
  <c r="J480" i="1" s="1"/>
  <c r="K1551" i="3"/>
  <c r="K1563" i="3"/>
  <c r="K1397" i="3"/>
  <c r="K1560" i="3"/>
  <c r="K1333" i="3"/>
  <c r="K1558" i="3"/>
  <c r="K1518" i="3"/>
  <c r="K1552" i="3"/>
  <c r="K1501" i="3"/>
  <c r="K1547" i="3"/>
  <c r="K1513" i="3"/>
  <c r="K1546" i="3"/>
  <c r="K1497" i="3"/>
  <c r="K1545" i="3"/>
  <c r="K1515" i="3"/>
  <c r="K1544" i="3"/>
  <c r="J369" i="1"/>
  <c r="K1538" i="3"/>
  <c r="F98" i="1"/>
  <c r="F107" i="1"/>
  <c r="F81" i="1"/>
  <c r="K1527" i="3" s="1"/>
  <c r="F137" i="1"/>
  <c r="J306" i="1"/>
  <c r="K1521" i="3"/>
  <c r="K1336" i="3"/>
  <c r="K1519" i="3"/>
  <c r="K1532" i="3"/>
  <c r="K1528" i="3"/>
  <c r="K1512" i="3"/>
  <c r="F477" i="1"/>
  <c r="J477" i="1" s="1"/>
  <c r="F476" i="1"/>
  <c r="F475" i="1"/>
  <c r="J475" i="1" s="1"/>
  <c r="F474" i="1"/>
  <c r="J474" i="1" s="1"/>
  <c r="K1537" i="3"/>
  <c r="J418" i="1"/>
  <c r="K1490" i="3"/>
  <c r="K1487" i="3"/>
  <c r="K1511" i="3"/>
  <c r="K1388" i="3"/>
  <c r="K1500" i="3"/>
  <c r="K1492" i="3"/>
  <c r="K1496" i="3"/>
  <c r="K1306" i="3"/>
  <c r="K1495" i="3"/>
  <c r="K1473" i="3"/>
  <c r="K1493" i="3"/>
  <c r="K1480" i="3"/>
  <c r="K1488" i="3"/>
  <c r="K1477" i="3"/>
  <c r="K1486" i="3"/>
  <c r="K1469" i="3"/>
  <c r="K1483" i="3"/>
  <c r="K1472" i="3"/>
  <c r="K1482" i="3"/>
  <c r="K1466" i="3"/>
  <c r="K1479" i="3"/>
  <c r="K1465" i="3"/>
  <c r="K1478" i="3"/>
  <c r="K1464" i="3"/>
  <c r="J419" i="1"/>
  <c r="K1468" i="3"/>
  <c r="J422" i="1"/>
  <c r="K1461" i="3"/>
  <c r="K1449" i="3"/>
  <c r="K1460" i="3"/>
  <c r="K1448" i="3"/>
  <c r="K1459" i="3"/>
  <c r="J277" i="1"/>
  <c r="K1458" i="3"/>
  <c r="K1445" i="3"/>
  <c r="K1457" i="3"/>
  <c r="K1444" i="3"/>
  <c r="K1456" i="3"/>
  <c r="K1441" i="3"/>
  <c r="K1450" i="3"/>
  <c r="K1437" i="3"/>
  <c r="K1452" i="3"/>
  <c r="K1424" i="3"/>
  <c r="K1436" i="3"/>
  <c r="K1421" i="3"/>
  <c r="K1432" i="3"/>
  <c r="K1430" i="3"/>
  <c r="K1431" i="3"/>
  <c r="K1411" i="3"/>
  <c r="K1425" i="3"/>
  <c r="K1409" i="3"/>
  <c r="K1423" i="3"/>
  <c r="F40" i="1"/>
  <c r="J40" i="1" s="1"/>
  <c r="J417" i="1"/>
  <c r="J421" i="1"/>
  <c r="K1415" i="3"/>
  <c r="K1322" i="3"/>
  <c r="K1414" i="3"/>
  <c r="K1181" i="3"/>
  <c r="K1413" i="3"/>
  <c r="K1393" i="3"/>
  <c r="K1410" i="3"/>
  <c r="K1383" i="3"/>
  <c r="K1408" i="3"/>
  <c r="F854" i="1"/>
  <c r="J854" i="1" s="1"/>
  <c r="F846" i="1"/>
  <c r="J846" i="1" s="1"/>
  <c r="F838" i="1"/>
  <c r="J838" i="1" s="1"/>
  <c r="F830" i="1"/>
  <c r="J830" i="1" s="1"/>
  <c r="F822" i="1"/>
  <c r="J822" i="1" s="1"/>
  <c r="F814" i="1"/>
  <c r="J814" i="1" s="1"/>
  <c r="F890" i="1"/>
  <c r="J890" i="1" s="1"/>
  <c r="F882" i="1"/>
  <c r="J882" i="1" s="1"/>
  <c r="F874" i="1"/>
  <c r="J874" i="1" s="1"/>
  <c r="F866" i="1"/>
  <c r="J866" i="1" s="1"/>
  <c r="F858" i="1"/>
  <c r="J858" i="1" s="1"/>
  <c r="F850" i="1"/>
  <c r="J850" i="1" s="1"/>
  <c r="F842" i="1"/>
  <c r="J842" i="1" s="1"/>
  <c r="F834" i="1"/>
  <c r="J834" i="1" s="1"/>
  <c r="F826" i="1"/>
  <c r="J826" i="1" s="1"/>
  <c r="F818" i="1"/>
  <c r="J818" i="1" s="1"/>
  <c r="F810" i="1"/>
  <c r="J810" i="1" s="1"/>
  <c r="F802" i="1"/>
  <c r="J802" i="1" s="1"/>
  <c r="F794" i="1"/>
  <c r="J794" i="1" s="1"/>
  <c r="F786" i="1"/>
  <c r="J786" i="1" s="1"/>
  <c r="F778" i="1"/>
  <c r="J778" i="1" s="1"/>
  <c r="F770" i="1"/>
  <c r="J770" i="1" s="1"/>
  <c r="F762" i="1"/>
  <c r="J762" i="1" s="1"/>
  <c r="F754" i="1"/>
  <c r="J754" i="1" s="1"/>
  <c r="F746" i="1"/>
  <c r="J746" i="1" s="1"/>
  <c r="F738" i="1"/>
  <c r="J738" i="1" s="1"/>
  <c r="F730" i="1"/>
  <c r="J730" i="1" s="1"/>
  <c r="F722" i="1"/>
  <c r="J722" i="1" s="1"/>
  <c r="F714" i="1"/>
  <c r="J714" i="1" s="1"/>
  <c r="F706" i="1"/>
  <c r="J706" i="1" s="1"/>
  <c r="F698" i="1"/>
  <c r="J698" i="1" s="1"/>
  <c r="F690" i="1"/>
  <c r="J690" i="1" s="1"/>
  <c r="F682" i="1"/>
  <c r="J682" i="1" s="1"/>
  <c r="F674" i="1"/>
  <c r="J674" i="1" s="1"/>
  <c r="F666" i="1"/>
  <c r="J666" i="1" s="1"/>
  <c r="F658" i="1"/>
  <c r="J658" i="1" s="1"/>
  <c r="K1402" i="3"/>
  <c r="F852" i="1"/>
  <c r="J852" i="1" s="1"/>
  <c r="F844" i="1"/>
  <c r="J844" i="1" s="1"/>
  <c r="F836" i="1"/>
  <c r="J836" i="1" s="1"/>
  <c r="F828" i="1"/>
  <c r="J828" i="1" s="1"/>
  <c r="F820" i="1"/>
  <c r="J820" i="1" s="1"/>
  <c r="F812" i="1"/>
  <c r="J812" i="1" s="1"/>
  <c r="F804" i="1"/>
  <c r="J804" i="1" s="1"/>
  <c r="F796" i="1"/>
  <c r="J796" i="1" s="1"/>
  <c r="F788" i="1"/>
  <c r="J788" i="1" s="1"/>
  <c r="F780" i="1"/>
  <c r="J780" i="1" s="1"/>
  <c r="F772" i="1"/>
  <c r="J772" i="1" s="1"/>
  <c r="F764" i="1"/>
  <c r="J764" i="1" s="1"/>
  <c r="F756" i="1"/>
  <c r="J756" i="1" s="1"/>
  <c r="F748" i="1"/>
  <c r="J748" i="1" s="1"/>
  <c r="F740" i="1"/>
  <c r="J740" i="1" s="1"/>
  <c r="F732" i="1"/>
  <c r="J732" i="1" s="1"/>
  <c r="F724" i="1"/>
  <c r="J724" i="1" s="1"/>
  <c r="F716" i="1"/>
  <c r="J716" i="1" s="1"/>
  <c r="K1399" i="3"/>
  <c r="K1404" i="3"/>
  <c r="J108" i="1"/>
  <c r="K1403" i="3"/>
  <c r="K1280" i="3"/>
  <c r="K1400" i="3"/>
  <c r="K1389" i="3"/>
  <c r="K1396" i="3"/>
  <c r="F915" i="1"/>
  <c r="J915" i="1" s="1"/>
  <c r="F907" i="1"/>
  <c r="J907" i="1" s="1"/>
  <c r="F899" i="1"/>
  <c r="J899" i="1" s="1"/>
  <c r="J318" i="1"/>
  <c r="K1391" i="3"/>
  <c r="K1379" i="3"/>
  <c r="K1394" i="3"/>
  <c r="K1339" i="3"/>
  <c r="K1386" i="3"/>
  <c r="K1373" i="3"/>
  <c r="K1384" i="3"/>
  <c r="K1279" i="3"/>
  <c r="K1382" i="3"/>
  <c r="J218" i="1"/>
  <c r="K1380" i="3"/>
  <c r="F313" i="1"/>
  <c r="F352" i="1"/>
  <c r="F354" i="1"/>
  <c r="J301" i="1"/>
  <c r="K1378" i="3"/>
  <c r="J258" i="1"/>
  <c r="K1377" i="3"/>
  <c r="F897" i="1"/>
  <c r="J897" i="1" s="1"/>
  <c r="J425" i="1"/>
  <c r="K1370" i="3"/>
  <c r="K1314" i="3"/>
  <c r="K1371" i="3"/>
  <c r="F905" i="1"/>
  <c r="J905" i="1" s="1"/>
  <c r="F250" i="1"/>
  <c r="K1320" i="3"/>
  <c r="K1368" i="3"/>
  <c r="F473" i="1"/>
  <c r="K1634" i="3" s="1"/>
  <c r="F472" i="1"/>
  <c r="F471" i="1"/>
  <c r="J471" i="1" s="1"/>
  <c r="F470" i="1"/>
  <c r="F469" i="1"/>
  <c r="J469" i="1" s="1"/>
  <c r="J105" i="1"/>
  <c r="K1367" i="3"/>
  <c r="J523" i="2"/>
  <c r="F404" i="1"/>
  <c r="K2160" i="3" s="1"/>
  <c r="F76" i="1"/>
  <c r="J76" i="1" s="1"/>
  <c r="F92" i="1"/>
  <c r="F910" i="1"/>
  <c r="J910" i="1" s="1"/>
  <c r="F902" i="1"/>
  <c r="J902" i="1" s="1"/>
  <c r="F894" i="1"/>
  <c r="J894" i="1" s="1"/>
  <c r="F886" i="1"/>
  <c r="J886" i="1" s="1"/>
  <c r="F878" i="1"/>
  <c r="J878" i="1" s="1"/>
  <c r="F870" i="1"/>
  <c r="J870" i="1" s="1"/>
  <c r="F862" i="1"/>
  <c r="J862" i="1" s="1"/>
  <c r="F926" i="1"/>
  <c r="J926" i="1" s="1"/>
  <c r="F918" i="1"/>
  <c r="J918" i="1" s="1"/>
  <c r="F913" i="1"/>
  <c r="J913" i="1" s="1"/>
  <c r="F933" i="1"/>
  <c r="J933" i="1" s="1"/>
  <c r="F925" i="1"/>
  <c r="J925" i="1" s="1"/>
  <c r="F917" i="1"/>
  <c r="J917" i="1" s="1"/>
  <c r="F909" i="1"/>
  <c r="J909" i="1" s="1"/>
  <c r="F901" i="1"/>
  <c r="J901" i="1" s="1"/>
  <c r="F893" i="1"/>
  <c r="J893" i="1" s="1"/>
  <c r="F885" i="1"/>
  <c r="J885" i="1" s="1"/>
  <c r="F877" i="1"/>
  <c r="J877" i="1" s="1"/>
  <c r="F869" i="1"/>
  <c r="J869" i="1" s="1"/>
  <c r="F861" i="1"/>
  <c r="J861" i="1" s="1"/>
  <c r="F853" i="1"/>
  <c r="J853" i="1" s="1"/>
  <c r="F845" i="1"/>
  <c r="J845" i="1" s="1"/>
  <c r="F934" i="1"/>
  <c r="J934" i="1" s="1"/>
  <c r="F938" i="1"/>
  <c r="J938" i="1" s="1"/>
  <c r="F930" i="1"/>
  <c r="J930" i="1" s="1"/>
  <c r="F922" i="1"/>
  <c r="J922" i="1" s="1"/>
  <c r="F914" i="1"/>
  <c r="J914" i="1" s="1"/>
  <c r="F906" i="1"/>
  <c r="J906" i="1" s="1"/>
  <c r="F898" i="1"/>
  <c r="J898" i="1" s="1"/>
  <c r="K1283" i="3"/>
  <c r="K1363" i="3"/>
  <c r="K1358" i="3"/>
  <c r="K1361" i="3"/>
  <c r="F947" i="1"/>
  <c r="J947" i="1" s="1"/>
  <c r="F939" i="1"/>
  <c r="J939" i="1" s="1"/>
  <c r="F931" i="1"/>
  <c r="J931" i="1" s="1"/>
  <c r="F923" i="1"/>
  <c r="J923" i="1" s="1"/>
  <c r="K1318" i="3"/>
  <c r="K1360" i="3"/>
  <c r="F936" i="1"/>
  <c r="J936" i="1" s="1"/>
  <c r="F928" i="1"/>
  <c r="J928" i="1" s="1"/>
  <c r="F920" i="1"/>
  <c r="J920" i="1" s="1"/>
  <c r="F912" i="1"/>
  <c r="J912" i="1" s="1"/>
  <c r="F904" i="1"/>
  <c r="J904" i="1" s="1"/>
  <c r="F896" i="1"/>
  <c r="J896" i="1" s="1"/>
  <c r="F888" i="1"/>
  <c r="J888" i="1" s="1"/>
  <c r="F880" i="1"/>
  <c r="J880" i="1" s="1"/>
  <c r="F872" i="1"/>
  <c r="J872" i="1" s="1"/>
  <c r="F864" i="1"/>
  <c r="J864" i="1" s="1"/>
  <c r="F856" i="1"/>
  <c r="J856" i="1" s="1"/>
  <c r="F848" i="1"/>
  <c r="J848" i="1" s="1"/>
  <c r="F840" i="1"/>
  <c r="J840" i="1" s="1"/>
  <c r="F832" i="1"/>
  <c r="J832" i="1" s="1"/>
  <c r="F824" i="1"/>
  <c r="J824" i="1" s="1"/>
  <c r="F816" i="1"/>
  <c r="J816" i="1" s="1"/>
  <c r="F808" i="1"/>
  <c r="J808" i="1" s="1"/>
  <c r="F800" i="1"/>
  <c r="J800" i="1" s="1"/>
  <c r="F792" i="1"/>
  <c r="J792" i="1" s="1"/>
  <c r="F784" i="1"/>
  <c r="J784" i="1" s="1"/>
  <c r="F776" i="1"/>
  <c r="J776" i="1" s="1"/>
  <c r="F768" i="1"/>
  <c r="J768" i="1" s="1"/>
  <c r="F760" i="1"/>
  <c r="J760" i="1" s="1"/>
  <c r="F752" i="1"/>
  <c r="J752" i="1" s="1"/>
  <c r="F744" i="1"/>
  <c r="J744" i="1" s="1"/>
  <c r="F736" i="1"/>
  <c r="J736" i="1" s="1"/>
  <c r="F728" i="1"/>
  <c r="J728" i="1" s="1"/>
  <c r="F720" i="1"/>
  <c r="J720" i="1" s="1"/>
  <c r="F712" i="1"/>
  <c r="J712" i="1" s="1"/>
  <c r="K1357" i="3"/>
  <c r="J414" i="1"/>
  <c r="K1355" i="3"/>
  <c r="K1356" i="3"/>
  <c r="K1214" i="3"/>
  <c r="K1199" i="3"/>
  <c r="K1244" i="3"/>
  <c r="K1229" i="3"/>
  <c r="F468" i="1"/>
  <c r="K1325" i="3"/>
  <c r="K1321" i="3"/>
  <c r="K1326" i="3"/>
  <c r="K1319" i="3"/>
  <c r="K1346" i="3"/>
  <c r="K1324" i="3"/>
  <c r="K1347" i="3"/>
  <c r="K1323" i="3"/>
  <c r="F969" i="1"/>
  <c r="J969" i="1" s="1"/>
  <c r="F961" i="1"/>
  <c r="J961" i="1" s="1"/>
  <c r="F953" i="1"/>
  <c r="J953" i="1" s="1"/>
  <c r="F945" i="1"/>
  <c r="J945" i="1" s="1"/>
  <c r="F937" i="1"/>
  <c r="J937" i="1" s="1"/>
  <c r="F929" i="1"/>
  <c r="J929" i="1" s="1"/>
  <c r="F921" i="1"/>
  <c r="J921" i="1" s="1"/>
  <c r="F949" i="1"/>
  <c r="J949" i="1" s="1"/>
  <c r="F941" i="1"/>
  <c r="J941" i="1" s="1"/>
  <c r="F942" i="1"/>
  <c r="J942" i="1" s="1"/>
  <c r="K1352" i="3"/>
  <c r="K1349" i="3"/>
  <c r="F102" i="1"/>
  <c r="J102" i="1" s="1"/>
  <c r="F94" i="1"/>
  <c r="J94" i="1" s="1"/>
  <c r="F93" i="1"/>
  <c r="J93" i="1" s="1"/>
  <c r="F957" i="1"/>
  <c r="J957" i="1" s="1"/>
  <c r="K1344" i="3"/>
  <c r="K1351" i="3"/>
  <c r="K1311" i="3"/>
  <c r="K1341" i="3"/>
  <c r="F965" i="1"/>
  <c r="J965" i="1" s="1"/>
  <c r="F467" i="1"/>
  <c r="F466" i="1"/>
  <c r="J466" i="1" s="1"/>
  <c r="F465" i="1"/>
  <c r="J465" i="1" s="1"/>
  <c r="F464" i="1"/>
  <c r="J464" i="1" s="1"/>
  <c r="F463" i="1"/>
  <c r="K2161" i="3" s="1"/>
  <c r="F462" i="1"/>
  <c r="J462" i="1" s="1"/>
  <c r="F461" i="1"/>
  <c r="J461" i="1" s="1"/>
  <c r="F460" i="1"/>
  <c r="J460" i="1" s="1"/>
  <c r="F459" i="1"/>
  <c r="K2141" i="3" s="1"/>
  <c r="F457" i="1"/>
  <c r="F458" i="1"/>
  <c r="K1335" i="3"/>
  <c r="K1330" i="3"/>
  <c r="F456" i="1"/>
  <c r="J456" i="1" s="1"/>
  <c r="F455" i="1"/>
  <c r="F454" i="1"/>
  <c r="F952" i="1"/>
  <c r="J952" i="1" s="1"/>
  <c r="F944" i="1"/>
  <c r="J944" i="1" s="1"/>
  <c r="F911" i="1"/>
  <c r="J911" i="1" s="1"/>
  <c r="F895" i="1"/>
  <c r="J895" i="1" s="1"/>
  <c r="F879" i="1"/>
  <c r="J879" i="1" s="1"/>
  <c r="F863" i="1"/>
  <c r="J863" i="1" s="1"/>
  <c r="F847" i="1"/>
  <c r="J847" i="1" s="1"/>
  <c r="F839" i="1"/>
  <c r="J839" i="1" s="1"/>
  <c r="F823" i="1"/>
  <c r="J823" i="1" s="1"/>
  <c r="F815" i="1"/>
  <c r="J815" i="1" s="1"/>
  <c r="F903" i="1"/>
  <c r="J903" i="1" s="1"/>
  <c r="F887" i="1"/>
  <c r="J887" i="1" s="1"/>
  <c r="F871" i="1"/>
  <c r="J871" i="1" s="1"/>
  <c r="F855" i="1"/>
  <c r="J855" i="1" s="1"/>
  <c r="F831" i="1"/>
  <c r="J831" i="1" s="1"/>
  <c r="K1316" i="3"/>
  <c r="K1328" i="3"/>
  <c r="K1309" i="3"/>
  <c r="K1329" i="3"/>
  <c r="J349" i="1"/>
  <c r="K1317" i="3"/>
  <c r="F453" i="1"/>
  <c r="K2148" i="3" s="1"/>
  <c r="F452" i="1"/>
  <c r="J452" i="1" s="1"/>
  <c r="F451" i="1"/>
  <c r="J451" i="1" s="1"/>
  <c r="F450" i="1"/>
  <c r="K1808" i="3" s="1"/>
  <c r="K1313" i="3"/>
  <c r="K1308" i="3"/>
  <c r="K1304" i="3"/>
  <c r="K1305" i="3"/>
  <c r="K1307" i="3"/>
  <c r="K1282" i="3"/>
  <c r="K1301" i="3"/>
  <c r="F449" i="1"/>
  <c r="J449" i="1" s="1"/>
  <c r="F448" i="1"/>
  <c r="F447" i="1"/>
  <c r="F446" i="1"/>
  <c r="J446" i="1" s="1"/>
  <c r="F445" i="1"/>
  <c r="F444" i="1"/>
  <c r="F443" i="1"/>
  <c r="J443" i="1" s="1"/>
  <c r="F442" i="1"/>
  <c r="F441" i="1"/>
  <c r="J441" i="1" s="1"/>
  <c r="F440" i="1"/>
  <c r="K1667" i="3" s="1"/>
  <c r="F167" i="1"/>
  <c r="J167" i="1" s="1"/>
  <c r="K1298" i="3"/>
  <c r="J130" i="1"/>
  <c r="K1296" i="3"/>
  <c r="F962" i="1"/>
  <c r="J962" i="1" s="1"/>
  <c r="F954" i="1"/>
  <c r="J954" i="1" s="1"/>
  <c r="F946" i="1"/>
  <c r="J946" i="1" s="1"/>
  <c r="F955" i="1"/>
  <c r="J955" i="1" s="1"/>
  <c r="F74" i="1"/>
  <c r="F73" i="1"/>
  <c r="F72" i="1"/>
  <c r="K1586" i="3" s="1"/>
  <c r="F68" i="1"/>
  <c r="K1585" i="3" s="1"/>
  <c r="F66" i="1"/>
  <c r="K1603" i="3" s="1"/>
  <c r="F65" i="1"/>
  <c r="F64" i="1"/>
  <c r="K1583" i="3" s="1"/>
  <c r="F47" i="1"/>
  <c r="K1272" i="3"/>
  <c r="K1269" i="3"/>
  <c r="K1270" i="3"/>
  <c r="K1268" i="3"/>
  <c r="F52" i="1"/>
  <c r="J52" i="1" s="1"/>
  <c r="F974" i="1"/>
  <c r="J974" i="1" s="1"/>
  <c r="F950" i="1"/>
  <c r="J950" i="1" s="1"/>
  <c r="F966" i="1"/>
  <c r="J966" i="1" s="1"/>
  <c r="F958" i="1"/>
  <c r="J958" i="1" s="1"/>
  <c r="F35" i="1"/>
  <c r="J35" i="1" s="1"/>
  <c r="F26" i="1"/>
  <c r="K1644" i="3" s="1"/>
  <c r="F959" i="1"/>
  <c r="J959" i="1" s="1"/>
  <c r="F951" i="1"/>
  <c r="J951" i="1" s="1"/>
  <c r="F943" i="1"/>
  <c r="J943" i="1" s="1"/>
  <c r="F935" i="1"/>
  <c r="J935" i="1" s="1"/>
  <c r="F927" i="1"/>
  <c r="J927" i="1" s="1"/>
  <c r="F919" i="1"/>
  <c r="J919" i="1" s="1"/>
  <c r="J212" i="1"/>
  <c r="K1284" i="3"/>
  <c r="F973" i="1"/>
  <c r="J973" i="1" s="1"/>
  <c r="J372" i="1"/>
  <c r="K1278" i="3"/>
  <c r="K1276" i="3"/>
  <c r="J331" i="1"/>
  <c r="K1275" i="3"/>
  <c r="F439" i="1"/>
  <c r="F438" i="1"/>
  <c r="F437" i="1"/>
  <c r="F436" i="1"/>
  <c r="F435" i="1"/>
  <c r="F434" i="1"/>
  <c r="F433" i="1"/>
  <c r="J433" i="1" s="1"/>
  <c r="F432" i="1"/>
  <c r="K2107" i="3" s="1"/>
  <c r="F981" i="1"/>
  <c r="J981" i="1" s="1"/>
  <c r="K1271" i="3"/>
  <c r="F960" i="1"/>
  <c r="J960" i="1" s="1"/>
  <c r="F967" i="1"/>
  <c r="J967" i="1" s="1"/>
  <c r="F975" i="1"/>
  <c r="J975" i="1" s="1"/>
  <c r="F986" i="1"/>
  <c r="J986" i="1" s="1"/>
  <c r="F978" i="1"/>
  <c r="J978" i="1" s="1"/>
  <c r="F970" i="1"/>
  <c r="J970" i="1" s="1"/>
  <c r="F982" i="1"/>
  <c r="J982" i="1" s="1"/>
  <c r="F977" i="1"/>
  <c r="J977" i="1" s="1"/>
  <c r="J365" i="1"/>
  <c r="K1273" i="3"/>
  <c r="J265" i="1"/>
  <c r="J428" i="1"/>
  <c r="F968" i="1"/>
  <c r="J968" i="1" s="1"/>
  <c r="F990" i="1"/>
  <c r="J990" i="1" s="1"/>
  <c r="F976" i="1"/>
  <c r="J976" i="1" s="1"/>
  <c r="F998" i="1"/>
  <c r="J998" i="1" s="1"/>
  <c r="F989" i="1"/>
  <c r="J989" i="1" s="1"/>
  <c r="F987" i="1"/>
  <c r="J987" i="1" s="1"/>
  <c r="F979" i="1"/>
  <c r="J979" i="1" s="1"/>
  <c r="F971" i="1"/>
  <c r="J971" i="1" s="1"/>
  <c r="F963" i="1"/>
  <c r="J963" i="1" s="1"/>
  <c r="F988" i="1"/>
  <c r="J988" i="1" s="1"/>
  <c r="F980" i="1"/>
  <c r="J980" i="1" s="1"/>
  <c r="F972" i="1"/>
  <c r="J972" i="1" s="1"/>
  <c r="F964" i="1"/>
  <c r="J964" i="1" s="1"/>
  <c r="F956" i="1"/>
  <c r="J956" i="1" s="1"/>
  <c r="F948" i="1"/>
  <c r="J948" i="1" s="1"/>
  <c r="F940" i="1"/>
  <c r="J940" i="1" s="1"/>
  <c r="F932" i="1"/>
  <c r="J932" i="1" s="1"/>
  <c r="F924" i="1"/>
  <c r="J924" i="1" s="1"/>
  <c r="F916" i="1"/>
  <c r="J916" i="1" s="1"/>
  <c r="F908" i="1"/>
  <c r="J908" i="1" s="1"/>
  <c r="F900" i="1"/>
  <c r="J900" i="1" s="1"/>
  <c r="F892" i="1"/>
  <c r="J892" i="1" s="1"/>
  <c r="F884" i="1"/>
  <c r="J884" i="1" s="1"/>
  <c r="F876" i="1"/>
  <c r="J876" i="1" s="1"/>
  <c r="F868" i="1"/>
  <c r="J868" i="1" s="1"/>
  <c r="F860" i="1"/>
  <c r="J860" i="1" s="1"/>
  <c r="F994" i="1"/>
  <c r="J994" i="1" s="1"/>
  <c r="F985" i="1"/>
  <c r="J985" i="1" s="1"/>
  <c r="F984" i="1"/>
  <c r="J984" i="1" s="1"/>
  <c r="F983" i="1"/>
  <c r="J983" i="1" s="1"/>
  <c r="F1000" i="1"/>
  <c r="J1000" i="1" s="1"/>
  <c r="F992" i="1"/>
  <c r="J992" i="1" s="1"/>
  <c r="F995" i="1"/>
  <c r="J995" i="1" s="1"/>
  <c r="F993" i="1"/>
  <c r="J993" i="1" s="1"/>
  <c r="F999" i="1"/>
  <c r="J999" i="1" s="1"/>
  <c r="F991" i="1"/>
  <c r="J991" i="1" s="1"/>
  <c r="F997" i="1"/>
  <c r="J997" i="1" s="1"/>
  <c r="F996" i="1"/>
  <c r="J996" i="1" s="1"/>
  <c r="J399" i="1"/>
  <c r="K1083" i="3"/>
  <c r="J383" i="1"/>
  <c r="K955" i="3"/>
  <c r="K981" i="3"/>
  <c r="K968" i="3"/>
  <c r="K994" i="3"/>
  <c r="K941" i="3"/>
  <c r="J359" i="1"/>
  <c r="K897" i="3"/>
  <c r="K1015" i="3"/>
  <c r="K1099" i="3"/>
  <c r="K1121" i="3"/>
  <c r="K1108" i="3"/>
  <c r="K1126" i="3"/>
  <c r="K1252" i="3"/>
  <c r="K894" i="3"/>
  <c r="K914" i="3"/>
  <c r="K922" i="3"/>
  <c r="K1020" i="3"/>
  <c r="K1070" i="3"/>
  <c r="K1148" i="3"/>
  <c r="K1137" i="3"/>
  <c r="K1047" i="3"/>
  <c r="K1079" i="3"/>
  <c r="K1257" i="3"/>
  <c r="J343" i="1"/>
  <c r="K1183" i="3"/>
  <c r="K1251" i="3"/>
  <c r="K1216" i="3"/>
  <c r="K1246" i="3"/>
  <c r="K1201" i="3"/>
  <c r="K1231" i="3"/>
  <c r="J327" i="1"/>
  <c r="K621" i="3"/>
  <c r="K1129" i="3"/>
  <c r="J319" i="1"/>
  <c r="K882" i="3"/>
  <c r="K816" i="3"/>
  <c r="K888" i="3"/>
  <c r="J303" i="1"/>
  <c r="K1030" i="3"/>
  <c r="K1001" i="3"/>
  <c r="J295" i="1"/>
  <c r="K793" i="3"/>
  <c r="J287" i="1"/>
  <c r="K444" i="3"/>
  <c r="K397" i="3"/>
  <c r="J279" i="1"/>
  <c r="K443" i="3"/>
  <c r="J263" i="1"/>
  <c r="K462" i="3"/>
  <c r="K451" i="3"/>
  <c r="J239" i="1"/>
  <c r="K287" i="3"/>
  <c r="J223" i="1"/>
  <c r="K536" i="3"/>
  <c r="J215" i="1"/>
  <c r="K167" i="3"/>
  <c r="K152" i="3"/>
  <c r="K404" i="3"/>
  <c r="K284" i="3"/>
  <c r="K250" i="3"/>
  <c r="K220" i="3"/>
  <c r="K230" i="3"/>
  <c r="K754" i="3"/>
  <c r="K593" i="3"/>
  <c r="K173" i="3"/>
  <c r="J199" i="1"/>
  <c r="K356" i="3"/>
  <c r="K368" i="3"/>
  <c r="K320" i="3"/>
  <c r="K332" i="3"/>
  <c r="K476" i="3"/>
  <c r="K488" i="3"/>
  <c r="K500" i="3"/>
  <c r="K511" i="3"/>
  <c r="J191" i="1"/>
  <c r="K170" i="3"/>
  <c r="K264" i="3"/>
  <c r="K762" i="3"/>
  <c r="K780" i="3"/>
  <c r="K747" i="3"/>
  <c r="K794" i="3"/>
  <c r="J183" i="1"/>
  <c r="K424" i="3"/>
  <c r="K527" i="3"/>
  <c r="J159" i="1"/>
  <c r="K421" i="3"/>
  <c r="K278" i="3"/>
  <c r="K710" i="3"/>
  <c r="K724" i="3"/>
  <c r="K641" i="3"/>
  <c r="K755" i="3"/>
  <c r="K908" i="3"/>
  <c r="J151" i="1"/>
  <c r="K610" i="3"/>
  <c r="J143" i="1"/>
  <c r="K117" i="3"/>
  <c r="K255" i="3"/>
  <c r="K9" i="3"/>
  <c r="K31" i="3"/>
  <c r="K54" i="3"/>
  <c r="K46" i="3"/>
  <c r="K19" i="3"/>
  <c r="J135" i="1"/>
  <c r="J119" i="1"/>
  <c r="K767" i="3"/>
  <c r="J103" i="1"/>
  <c r="K338" i="3"/>
  <c r="K362" i="3"/>
  <c r="K374" i="3"/>
  <c r="K326" i="3"/>
  <c r="K449" i="3"/>
  <c r="K668" i="3"/>
  <c r="K653" i="3"/>
  <c r="K683" i="3"/>
  <c r="J95" i="1"/>
  <c r="K239" i="3"/>
  <c r="K171" i="3"/>
  <c r="J87" i="1"/>
  <c r="K211" i="3"/>
  <c r="K302" i="3"/>
  <c r="K614" i="3"/>
  <c r="K813" i="3"/>
  <c r="K1011" i="3"/>
  <c r="J79" i="1"/>
  <c r="K432" i="3"/>
  <c r="K892" i="3"/>
  <c r="K1082" i="3"/>
  <c r="K886" i="3"/>
  <c r="K1254" i="3"/>
  <c r="J71" i="1"/>
  <c r="K1155" i="3"/>
  <c r="J63" i="1"/>
  <c r="K165" i="3"/>
  <c r="J55" i="1"/>
  <c r="K40" i="3"/>
  <c r="J39" i="1"/>
  <c r="K479" i="3"/>
  <c r="K491" i="3"/>
  <c r="K503" i="3"/>
  <c r="K1031" i="3"/>
  <c r="J31" i="1"/>
  <c r="K390" i="3"/>
  <c r="K290" i="3"/>
  <c r="K463" i="3"/>
  <c r="J23" i="1"/>
  <c r="K445" i="3"/>
  <c r="K16" i="3"/>
  <c r="K95" i="3"/>
  <c r="K305" i="3"/>
  <c r="J16" i="1"/>
  <c r="K515" i="3"/>
  <c r="J8" i="1"/>
  <c r="K20" i="3"/>
  <c r="K73" i="3"/>
  <c r="K60" i="3"/>
  <c r="K146" i="3"/>
  <c r="K89" i="3"/>
  <c r="K382" i="3"/>
  <c r="K440" i="3"/>
  <c r="K726" i="3"/>
  <c r="K120" i="3"/>
  <c r="J44" i="1"/>
  <c r="J56" i="1"/>
  <c r="J406" i="1"/>
  <c r="K1219" i="3"/>
  <c r="K1234" i="3"/>
  <c r="K1204" i="3"/>
  <c r="K1171" i="3"/>
  <c r="K1189" i="3"/>
  <c r="J398" i="1"/>
  <c r="K1096" i="3"/>
  <c r="K1265" i="3"/>
  <c r="J358" i="1"/>
  <c r="K1116" i="3"/>
  <c r="J342" i="1"/>
  <c r="K670" i="3"/>
  <c r="K655" i="3"/>
  <c r="K685" i="3"/>
  <c r="K835" i="3"/>
  <c r="K991" i="3"/>
  <c r="K1203" i="3"/>
  <c r="K1120" i="3"/>
  <c r="K1170" i="3"/>
  <c r="K846" i="3"/>
  <c r="K938" i="3"/>
  <c r="K978" i="3"/>
  <c r="K1188" i="3"/>
  <c r="K824" i="3"/>
  <c r="K952" i="3"/>
  <c r="K1218" i="3"/>
  <c r="K925" i="3"/>
  <c r="K965" i="3"/>
  <c r="K1233" i="3"/>
  <c r="K857" i="3"/>
  <c r="K921" i="3"/>
  <c r="K1125" i="3"/>
  <c r="K1161" i="3"/>
  <c r="J294" i="1"/>
  <c r="K791" i="3"/>
  <c r="J286" i="1"/>
  <c r="K1150" i="3"/>
  <c r="K1113" i="3"/>
  <c r="J278" i="1"/>
  <c r="K396" i="3"/>
  <c r="K538" i="3"/>
  <c r="K585" i="3"/>
  <c r="K783" i="3"/>
  <c r="K915" i="3"/>
  <c r="J246" i="1"/>
  <c r="K740" i="3"/>
  <c r="K517" i="3"/>
  <c r="K617" i="3"/>
  <c r="K852" i="3"/>
  <c r="K830" i="3"/>
  <c r="K1058" i="3"/>
  <c r="K841" i="3"/>
  <c r="K863" i="3"/>
  <c r="K259" i="3"/>
  <c r="J222" i="1"/>
  <c r="K577" i="3"/>
  <c r="K691" i="3"/>
  <c r="K805" i="3"/>
  <c r="K1138" i="3"/>
  <c r="K350" i="3"/>
  <c r="J214" i="1"/>
  <c r="J190" i="1"/>
  <c r="K191" i="3"/>
  <c r="K179" i="3"/>
  <c r="K203" i="3"/>
  <c r="K303" i="3"/>
  <c r="K572" i="3"/>
  <c r="K587" i="3"/>
  <c r="K1106" i="3"/>
  <c r="K812" i="3"/>
  <c r="K881" i="3"/>
  <c r="J174" i="1"/>
  <c r="K134" i="3"/>
  <c r="J166" i="1"/>
  <c r="K292" i="3"/>
  <c r="J150" i="1"/>
  <c r="K98" i="3"/>
  <c r="J118" i="1"/>
  <c r="K646" i="3"/>
  <c r="K676" i="3"/>
  <c r="K728" i="3"/>
  <c r="K661" i="3"/>
  <c r="J110" i="1"/>
  <c r="K156" i="3"/>
  <c r="K66" i="3"/>
  <c r="K58" i="3"/>
  <c r="K50" i="3"/>
  <c r="K42" i="3"/>
  <c r="K118" i="3"/>
  <c r="K380" i="3"/>
  <c r="K422" i="3"/>
  <c r="K103" i="3"/>
  <c r="K377" i="3"/>
  <c r="K391" i="3"/>
  <c r="K111" i="3"/>
  <c r="K464" i="3"/>
  <c r="K474" i="3"/>
  <c r="K486" i="3"/>
  <c r="K498" i="3"/>
  <c r="K552" i="3"/>
  <c r="K566" i="3"/>
  <c r="K586" i="3"/>
  <c r="K598" i="3"/>
  <c r="K664" i="3"/>
  <c r="K778" i="3"/>
  <c r="K509" i="3"/>
  <c r="K521" i="3"/>
  <c r="K575" i="3"/>
  <c r="K625" i="3"/>
  <c r="K649" i="3"/>
  <c r="K679" i="3"/>
  <c r="K689" i="3"/>
  <c r="K739" i="3"/>
  <c r="K753" i="3"/>
  <c r="K877" i="3"/>
  <c r="K870" i="3"/>
  <c r="K810" i="3"/>
  <c r="K902" i="3"/>
  <c r="K1043" i="3"/>
  <c r="K392" i="3"/>
  <c r="K582" i="3"/>
  <c r="K112" i="3"/>
  <c r="K249" i="3"/>
  <c r="K630" i="3"/>
  <c r="K142" i="3"/>
  <c r="K197" i="3"/>
  <c r="K1135" i="3"/>
  <c r="K79" i="3"/>
  <c r="K138" i="3"/>
  <c r="K315" i="3"/>
  <c r="K23" i="3"/>
  <c r="K412" i="3"/>
  <c r="K420" i="3"/>
  <c r="K254" i="3"/>
  <c r="K116" i="3"/>
  <c r="K409" i="3"/>
  <c r="K24" i="3"/>
  <c r="K147" i="3"/>
  <c r="J24" i="1"/>
  <c r="J7" i="1"/>
  <c r="J373" i="1"/>
  <c r="K1060" i="3"/>
  <c r="J357" i="1"/>
  <c r="K1195" i="3"/>
  <c r="K1210" i="3"/>
  <c r="K1240" i="3"/>
  <c r="K1095" i="3"/>
  <c r="K1225" i="3"/>
  <c r="K1177" i="3"/>
  <c r="J341" i="1"/>
  <c r="K803" i="3"/>
  <c r="J333" i="1"/>
  <c r="K927" i="3"/>
  <c r="K1115" i="3"/>
  <c r="J325" i="1"/>
  <c r="K604" i="3"/>
  <c r="K731" i="3"/>
  <c r="K769" i="3"/>
  <c r="K801" i="3"/>
  <c r="K1024" i="3"/>
  <c r="J317" i="1"/>
  <c r="K823" i="3"/>
  <c r="K856" i="3"/>
  <c r="K834" i="3"/>
  <c r="K845" i="3"/>
  <c r="J309" i="1"/>
  <c r="K961" i="3"/>
  <c r="K1007" i="3"/>
  <c r="K974" i="3"/>
  <c r="K934" i="3"/>
  <c r="K948" i="3"/>
  <c r="K1016" i="3"/>
  <c r="J293" i="1"/>
  <c r="K1091" i="3"/>
  <c r="K1014" i="3"/>
  <c r="K1022" i="3"/>
  <c r="K1260" i="3"/>
  <c r="J285" i="1"/>
  <c r="K746" i="3"/>
  <c r="K1179" i="3"/>
  <c r="K1227" i="3"/>
  <c r="K1242" i="3"/>
  <c r="K1212" i="3"/>
  <c r="K1197" i="3"/>
  <c r="J245" i="1"/>
  <c r="K869" i="3"/>
  <c r="J237" i="1"/>
  <c r="K434" i="3"/>
  <c r="K232" i="3"/>
  <c r="K345" i="3"/>
  <c r="K307" i="3"/>
  <c r="K456" i="3"/>
  <c r="K600" i="3"/>
  <c r="K615" i="3"/>
  <c r="K1068" i="3"/>
  <c r="J229" i="1"/>
  <c r="K799" i="3"/>
  <c r="J221" i="1"/>
  <c r="K304" i="3"/>
  <c r="K385" i="3"/>
  <c r="K692" i="3"/>
  <c r="K1141" i="3"/>
  <c r="K804" i="3"/>
  <c r="J213" i="1"/>
  <c r="K1066" i="3"/>
  <c r="K1185" i="3"/>
  <c r="J205" i="1"/>
  <c r="K1118" i="3"/>
  <c r="K1123" i="3"/>
  <c r="J197" i="1"/>
  <c r="K285" i="3"/>
  <c r="J189" i="1"/>
  <c r="K1157" i="3"/>
  <c r="J181" i="1"/>
  <c r="K106" i="3"/>
  <c r="K153" i="3"/>
  <c r="K81" i="3"/>
  <c r="K94" i="3"/>
  <c r="K281" i="3"/>
  <c r="K346" i="3"/>
  <c r="K306" i="3"/>
  <c r="K260" i="3"/>
  <c r="K314" i="3"/>
  <c r="K268" i="3"/>
  <c r="K273" i="3"/>
  <c r="K121" i="3"/>
  <c r="K163" i="3"/>
  <c r="K166" i="3"/>
  <c r="K251" i="3"/>
  <c r="J165" i="1"/>
  <c r="K291" i="3"/>
  <c r="J157" i="1"/>
  <c r="K185" i="3"/>
  <c r="K750" i="3"/>
  <c r="K819" i="3"/>
  <c r="K1145" i="3"/>
  <c r="K1166" i="3"/>
  <c r="J149" i="1"/>
  <c r="K67" i="3"/>
  <c r="K450" i="3"/>
  <c r="J141" i="1"/>
  <c r="K1158" i="3"/>
  <c r="J133" i="1"/>
  <c r="K6" i="3"/>
  <c r="K132" i="3"/>
  <c r="K76" i="3"/>
  <c r="K12" i="3"/>
  <c r="K149" i="3"/>
  <c r="K426" i="3"/>
  <c r="K247" i="3"/>
  <c r="K299" i="3"/>
  <c r="K431" i="3"/>
  <c r="K206" i="3"/>
  <c r="K471" i="3"/>
  <c r="K792" i="3"/>
  <c r="J125" i="1"/>
  <c r="K137" i="3"/>
  <c r="K63" i="3"/>
  <c r="K22" i="3"/>
  <c r="K399" i="3"/>
  <c r="J117" i="1"/>
  <c r="K124" i="3"/>
  <c r="J109" i="1"/>
  <c r="K698" i="3"/>
  <c r="K772" i="3"/>
  <c r="K539" i="3"/>
  <c r="K547" i="3"/>
  <c r="K619" i="3"/>
  <c r="K727" i="3"/>
  <c r="J85" i="1"/>
  <c r="K354" i="3"/>
  <c r="K366" i="3"/>
  <c r="K330" i="3"/>
  <c r="K318" i="3"/>
  <c r="K341" i="3"/>
  <c r="K648" i="3"/>
  <c r="K678" i="3"/>
  <c r="K688" i="3"/>
  <c r="K663" i="3"/>
  <c r="K697" i="3"/>
  <c r="K807" i="3"/>
  <c r="K822" i="3"/>
  <c r="K844" i="3"/>
  <c r="K833" i="3"/>
  <c r="K855" i="3"/>
  <c r="K25" i="3"/>
  <c r="J77" i="1"/>
  <c r="K402" i="3"/>
  <c r="K252" i="3"/>
  <c r="K879" i="3"/>
  <c r="K129" i="3"/>
  <c r="J69" i="1"/>
  <c r="K592" i="3"/>
  <c r="K1215" i="3"/>
  <c r="K1230" i="3"/>
  <c r="K1182" i="3"/>
  <c r="K1200" i="3"/>
  <c r="K1245" i="3"/>
  <c r="J53" i="1"/>
  <c r="K1073" i="3"/>
  <c r="J45" i="1"/>
  <c r="K415" i="3"/>
  <c r="J37" i="1"/>
  <c r="K642" i="3"/>
  <c r="J21" i="1"/>
  <c r="K316" i="3"/>
  <c r="K595" i="3"/>
  <c r="J14" i="1"/>
  <c r="K8" i="3"/>
  <c r="K21" i="3"/>
  <c r="K83" i="3"/>
  <c r="K27" i="3"/>
  <c r="K41" i="3"/>
  <c r="K82" i="3"/>
  <c r="K128" i="3"/>
  <c r="K209" i="3"/>
  <c r="J6" i="1"/>
  <c r="K771" i="3"/>
  <c r="K217" i="3"/>
  <c r="J70" i="1"/>
  <c r="J48" i="1"/>
  <c r="J412" i="1"/>
  <c r="K1144" i="3"/>
  <c r="K1168" i="3"/>
  <c r="J396" i="1"/>
  <c r="K1049" i="3"/>
  <c r="K1165" i="3"/>
  <c r="K1040" i="3"/>
  <c r="K1146" i="3"/>
  <c r="K1054" i="3"/>
  <c r="K1017" i="3"/>
  <c r="K1131" i="3"/>
  <c r="J356" i="1"/>
  <c r="K1194" i="3"/>
  <c r="K1094" i="3"/>
  <c r="K1176" i="3"/>
  <c r="K1224" i="3"/>
  <c r="K1209" i="3"/>
  <c r="K1239" i="3"/>
  <c r="J348" i="1"/>
  <c r="K928" i="3"/>
  <c r="J340" i="1"/>
  <c r="K1243" i="3"/>
  <c r="K1180" i="3"/>
  <c r="K1228" i="3"/>
  <c r="K1198" i="3"/>
  <c r="K1213" i="3"/>
  <c r="J332" i="1"/>
  <c r="K848" i="3"/>
  <c r="K826" i="3"/>
  <c r="K859" i="3"/>
  <c r="K837" i="3"/>
  <c r="J324" i="1"/>
  <c r="K730" i="3"/>
  <c r="K768" i="3"/>
  <c r="K605" i="3"/>
  <c r="K1023" i="3"/>
  <c r="K1085" i="3"/>
  <c r="K998" i="3"/>
  <c r="K800" i="3"/>
  <c r="K1032" i="3"/>
  <c r="K1128" i="3"/>
  <c r="K1071" i="3"/>
  <c r="J316" i="1"/>
  <c r="K735" i="3"/>
  <c r="J292" i="1"/>
  <c r="K528" i="3"/>
  <c r="K1013" i="3"/>
  <c r="J268" i="1"/>
  <c r="K909" i="3"/>
  <c r="J260" i="1"/>
  <c r="K1162" i="3"/>
  <c r="J244" i="1"/>
  <c r="K652" i="3"/>
  <c r="K682" i="3"/>
  <c r="K690" i="3"/>
  <c r="K667" i="3"/>
  <c r="K1101" i="3"/>
  <c r="J236" i="1"/>
  <c r="K387" i="3"/>
  <c r="J220" i="1"/>
  <c r="K1081" i="3"/>
  <c r="J188" i="1"/>
  <c r="K175" i="3"/>
  <c r="K386" i="3"/>
  <c r="K388" i="3"/>
  <c r="K228" i="3"/>
  <c r="K221" i="3"/>
  <c r="K289" i="3"/>
  <c r="K784" i="3"/>
  <c r="K871" i="3"/>
  <c r="K44" i="3"/>
  <c r="K52" i="3"/>
  <c r="J180" i="1"/>
  <c r="K28" i="3"/>
  <c r="J172" i="1"/>
  <c r="J164" i="1"/>
  <c r="K37" i="3"/>
  <c r="J156" i="1"/>
  <c r="K64" i="3"/>
  <c r="K672" i="3"/>
  <c r="K702" i="3"/>
  <c r="K637" i="3"/>
  <c r="K657" i="3"/>
  <c r="K687" i="3"/>
  <c r="J148" i="1"/>
  <c r="K13" i="3"/>
  <c r="K553" i="3"/>
  <c r="K721" i="3"/>
  <c r="J140" i="1"/>
  <c r="K162" i="3"/>
  <c r="K225" i="3"/>
  <c r="K811" i="3"/>
  <c r="J132" i="1"/>
  <c r="K5" i="3"/>
  <c r="K148" i="3"/>
  <c r="K11" i="3"/>
  <c r="K182" i="3"/>
  <c r="K205" i="3"/>
  <c r="K131" i="3"/>
  <c r="K276" i="3"/>
  <c r="K298" i="3"/>
  <c r="K336" i="3"/>
  <c r="K360" i="3"/>
  <c r="K372" i="3"/>
  <c r="K75" i="3"/>
  <c r="K379" i="3"/>
  <c r="K194" i="3"/>
  <c r="K324" i="3"/>
  <c r="K246" i="3"/>
  <c r="K809" i="3"/>
  <c r="K815" i="3"/>
  <c r="K868" i="3"/>
  <c r="K878" i="3"/>
  <c r="K889" i="3"/>
  <c r="K883" i="3"/>
  <c r="J124" i="1"/>
  <c r="K187" i="3"/>
  <c r="K340" i="3"/>
  <c r="K344" i="3"/>
  <c r="K364" i="3"/>
  <c r="K376" i="3"/>
  <c r="K204" i="3"/>
  <c r="K199" i="3"/>
  <c r="K328" i="3"/>
  <c r="K508" i="3"/>
  <c r="K485" i="3"/>
  <c r="K497" i="3"/>
  <c r="J116" i="1"/>
  <c r="K714" i="3"/>
  <c r="K711" i="3"/>
  <c r="K773" i="3"/>
  <c r="K777" i="3"/>
  <c r="K1046" i="3"/>
  <c r="J100" i="1"/>
  <c r="K352" i="3"/>
  <c r="K439" i="3"/>
  <c r="K266" i="3"/>
  <c r="K461" i="3"/>
  <c r="J84" i="1"/>
  <c r="K695" i="3"/>
  <c r="K1005" i="3"/>
  <c r="J60" i="1"/>
  <c r="K1134" i="3"/>
  <c r="K570" i="3"/>
  <c r="K910" i="3"/>
  <c r="K917" i="3"/>
  <c r="K901" i="3"/>
  <c r="K29" i="3"/>
  <c r="K174" i="3"/>
  <c r="K454" i="3"/>
  <c r="J20" i="1"/>
  <c r="J90" i="1"/>
  <c r="J62" i="1"/>
  <c r="J395" i="1"/>
  <c r="K919" i="3"/>
  <c r="J347" i="1"/>
  <c r="K1109" i="3"/>
  <c r="K1163" i="3"/>
  <c r="K1136" i="3"/>
  <c r="K1048" i="3"/>
  <c r="K1080" i="3"/>
  <c r="K1124" i="3"/>
  <c r="K1186" i="3"/>
  <c r="K1103" i="3"/>
  <c r="K1119" i="3"/>
  <c r="K1149" i="3"/>
  <c r="J323" i="1"/>
  <c r="K975" i="3"/>
  <c r="K962" i="3"/>
  <c r="K988" i="3"/>
  <c r="K949" i="3"/>
  <c r="K935" i="3"/>
  <c r="J315" i="1"/>
  <c r="K558" i="3"/>
  <c r="K737" i="3"/>
  <c r="J291" i="1"/>
  <c r="K1140" i="3"/>
  <c r="J275" i="1"/>
  <c r="K703" i="3"/>
  <c r="K898" i="3"/>
  <c r="K895" i="3"/>
  <c r="J267" i="1"/>
  <c r="K709" i="3"/>
  <c r="K872" i="3"/>
  <c r="J251" i="1"/>
  <c r="K706" i="3"/>
  <c r="J243" i="1"/>
  <c r="K1139" i="3"/>
  <c r="J235" i="1"/>
  <c r="K438" i="3"/>
  <c r="K351" i="3"/>
  <c r="K542" i="3"/>
  <c r="K1057" i="3"/>
  <c r="K271" i="3"/>
  <c r="J227" i="1"/>
  <c r="K17" i="3"/>
  <c r="J211" i="1"/>
  <c r="K584" i="3"/>
  <c r="K155" i="3"/>
  <c r="J203" i="1"/>
  <c r="K321" i="3"/>
  <c r="J195" i="1"/>
  <c r="K357" i="3"/>
  <c r="K369" i="3"/>
  <c r="K227" i="3"/>
  <c r="K620" i="3"/>
  <c r="K481" i="3"/>
  <c r="K493" i="3"/>
  <c r="K505" i="3"/>
  <c r="K196" i="3"/>
  <c r="J187" i="1"/>
  <c r="K61" i="3"/>
  <c r="J179" i="1"/>
  <c r="K1100" i="3"/>
  <c r="K193" i="3"/>
  <c r="J171" i="1"/>
  <c r="K408" i="3"/>
  <c r="K428" i="3"/>
  <c r="K62" i="3"/>
  <c r="K548" i="3"/>
  <c r="K143" i="3"/>
  <c r="J163" i="1"/>
  <c r="K513" i="3"/>
  <c r="K1153" i="3"/>
  <c r="J155" i="1"/>
  <c r="K634" i="3"/>
  <c r="K92" i="3"/>
  <c r="J139" i="1"/>
  <c r="K104" i="3"/>
  <c r="K460" i="3"/>
  <c r="K576" i="3"/>
  <c r="K109" i="3"/>
  <c r="J131" i="1"/>
  <c r="K210" i="3"/>
  <c r="K215" i="3"/>
  <c r="K393" i="3"/>
  <c r="K401" i="3"/>
  <c r="K534" i="3"/>
  <c r="K635" i="3"/>
  <c r="J123" i="1"/>
  <c r="K411" i="3"/>
  <c r="K69" i="3"/>
  <c r="J115" i="1"/>
  <c r="K478" i="3"/>
  <c r="K490" i="3"/>
  <c r="K502" i="3"/>
  <c r="K550" i="3"/>
  <c r="K662" i="3"/>
  <c r="K734" i="3"/>
  <c r="K647" i="3"/>
  <c r="K677" i="3"/>
  <c r="K765" i="3"/>
  <c r="K775" i="3"/>
  <c r="K797" i="3"/>
  <c r="K65" i="3"/>
  <c r="J99" i="1"/>
  <c r="K383" i="3"/>
  <c r="K590" i="3"/>
  <c r="K571" i="3"/>
  <c r="K633" i="3"/>
  <c r="J91" i="1"/>
  <c r="K696" i="3"/>
  <c r="K873" i="3"/>
  <c r="K1143" i="3"/>
  <c r="K224" i="3"/>
  <c r="J75" i="1"/>
  <c r="K72" i="3"/>
  <c r="J59" i="1"/>
  <c r="K400" i="3"/>
  <c r="K764" i="3"/>
  <c r="K796" i="3"/>
  <c r="K130" i="3"/>
  <c r="J51" i="1"/>
  <c r="K880" i="3"/>
  <c r="J43" i="1"/>
  <c r="K1018" i="3"/>
  <c r="K241" i="3"/>
  <c r="J27" i="1"/>
  <c r="J19" i="1"/>
  <c r="K569" i="3"/>
  <c r="K918" i="3"/>
  <c r="K903" i="3"/>
  <c r="J12" i="1"/>
  <c r="K469" i="3"/>
  <c r="K39" i="3"/>
  <c r="K18" i="3"/>
  <c r="J15" i="1"/>
  <c r="J32" i="1"/>
  <c r="J410" i="1"/>
  <c r="K900" i="3"/>
  <c r="K976" i="3"/>
  <c r="K936" i="3"/>
  <c r="K950" i="3"/>
  <c r="K963" i="3"/>
  <c r="K989" i="3"/>
  <c r="K1097" i="3"/>
  <c r="J394" i="1"/>
  <c r="K920" i="3"/>
  <c r="J346" i="1"/>
  <c r="K781" i="3"/>
  <c r="K1039" i="3"/>
  <c r="K1078" i="3"/>
  <c r="K1156" i="3"/>
  <c r="K906" i="3"/>
  <c r="K1051" i="3"/>
  <c r="J330" i="1"/>
  <c r="K701" i="3"/>
  <c r="J322" i="1"/>
  <c r="K1235" i="3"/>
  <c r="K1190" i="3"/>
  <c r="K1172" i="3"/>
  <c r="K1220" i="3"/>
  <c r="K1248" i="3"/>
  <c r="K1205" i="3"/>
  <c r="J314" i="1"/>
  <c r="K1160" i="3"/>
  <c r="J290" i="1"/>
  <c r="K885" i="3"/>
  <c r="K891" i="3"/>
  <c r="J274" i="1"/>
  <c r="K821" i="3"/>
  <c r="K933" i="3"/>
  <c r="K1237" i="3"/>
  <c r="K986" i="3"/>
  <c r="K1174" i="3"/>
  <c r="K1222" i="3"/>
  <c r="K832" i="3"/>
  <c r="K854" i="3"/>
  <c r="K960" i="3"/>
  <c r="K1192" i="3"/>
  <c r="K843" i="3"/>
  <c r="K865" i="3"/>
  <c r="K973" i="3"/>
  <c r="K1249" i="3"/>
  <c r="K947" i="3"/>
  <c r="K997" i="3"/>
  <c r="K1207" i="3"/>
  <c r="J266" i="1"/>
  <c r="K601" i="3"/>
  <c r="J234" i="1"/>
  <c r="K1059" i="3"/>
  <c r="J202" i="1"/>
  <c r="K564" i="3"/>
  <c r="K612" i="3"/>
  <c r="K718" i="3"/>
  <c r="K788" i="3"/>
  <c r="J194" i="1"/>
  <c r="K151" i="3"/>
  <c r="K213" i="3"/>
  <c r="K245" i="3"/>
  <c r="K790" i="3"/>
  <c r="K1264" i="3"/>
  <c r="J186" i="1"/>
  <c r="K113" i="3"/>
  <c r="J178" i="1"/>
  <c r="K56" i="3"/>
  <c r="K48" i="3"/>
  <c r="K606" i="3"/>
  <c r="J170" i="1"/>
  <c r="K85" i="3"/>
  <c r="K97" i="3"/>
  <c r="K102" i="3"/>
  <c r="K233" i="3"/>
  <c r="J162" i="1"/>
  <c r="K705" i="3"/>
  <c r="K1110" i="3"/>
  <c r="K1061" i="3"/>
  <c r="J154" i="1"/>
  <c r="K71" i="3"/>
  <c r="K91" i="3"/>
  <c r="K86" i="3"/>
  <c r="K144" i="3"/>
  <c r="K87" i="3"/>
  <c r="K223" i="3"/>
  <c r="K1044" i="3"/>
  <c r="J146" i="1"/>
  <c r="K99" i="3"/>
  <c r="K169" i="3"/>
  <c r="J138" i="1"/>
  <c r="K141" i="3"/>
  <c r="K195" i="3"/>
  <c r="K208" i="3"/>
  <c r="K183" i="3"/>
  <c r="K327" i="3"/>
  <c r="K269" i="3"/>
  <c r="K308" i="3"/>
  <c r="K282" i="3"/>
  <c r="K26" i="3"/>
  <c r="K339" i="3"/>
  <c r="K363" i="3"/>
  <c r="K375" i="3"/>
  <c r="K403" i="3"/>
  <c r="K423" i="3"/>
  <c r="K222" i="3"/>
  <c r="K483" i="3"/>
  <c r="K495" i="3"/>
  <c r="K507" i="3"/>
  <c r="J122" i="1"/>
  <c r="K145" i="3"/>
  <c r="K88" i="3"/>
  <c r="K157" i="3"/>
  <c r="K416" i="3"/>
  <c r="K279" i="3"/>
  <c r="K126" i="3"/>
  <c r="K311" i="3"/>
  <c r="K381" i="3"/>
  <c r="K588" i="3"/>
  <c r="K776" i="3"/>
  <c r="K561" i="3"/>
  <c r="K573" i="3"/>
  <c r="K757" i="3"/>
  <c r="J114" i="1"/>
  <c r="K68" i="3"/>
  <c r="K119" i="3"/>
  <c r="K160" i="3"/>
  <c r="K430" i="3"/>
  <c r="K257" i="3"/>
  <c r="K425" i="3"/>
  <c r="K466" i="3"/>
  <c r="K470" i="3"/>
  <c r="K480" i="3"/>
  <c r="K492" i="3"/>
  <c r="K504" i="3"/>
  <c r="K622" i="3"/>
  <c r="K666" i="3"/>
  <c r="K758" i="3"/>
  <c r="K766" i="3"/>
  <c r="K774" i="3"/>
  <c r="K523" i="3"/>
  <c r="K525" i="3"/>
  <c r="K549" i="3"/>
  <c r="K611" i="3"/>
  <c r="K651" i="3"/>
  <c r="K681" i="3"/>
  <c r="K733" i="3"/>
  <c r="K787" i="3"/>
  <c r="K798" i="3"/>
  <c r="J106" i="1"/>
  <c r="K313" i="3"/>
  <c r="K736" i="3"/>
  <c r="K795" i="3"/>
  <c r="K15" i="3"/>
  <c r="K1055" i="3"/>
  <c r="K93" i="3"/>
  <c r="K161" i="3"/>
  <c r="K57" i="3"/>
  <c r="K49" i="3"/>
  <c r="K14" i="3"/>
  <c r="K38" i="3"/>
  <c r="K110" i="3"/>
  <c r="K115" i="3"/>
  <c r="K154" i="3"/>
  <c r="K100" i="3"/>
  <c r="K123" i="3"/>
  <c r="K136" i="3"/>
  <c r="K105" i="3"/>
  <c r="K378" i="3"/>
  <c r="K398" i="3"/>
  <c r="K406" i="3"/>
  <c r="K410" i="3"/>
  <c r="K418" i="3"/>
  <c r="K286" i="3"/>
  <c r="K272" i="3"/>
  <c r="K216" i="3"/>
  <c r="K262" i="3"/>
  <c r="K267" i="3"/>
  <c r="K168" i="3"/>
  <c r="K349" i="3"/>
  <c r="K389" i="3"/>
  <c r="K427" i="3"/>
  <c r="K437" i="3"/>
  <c r="K280" i="3"/>
  <c r="K297" i="3"/>
  <c r="K235" i="3"/>
  <c r="K258" i="3"/>
  <c r="K312" i="3"/>
  <c r="K472" i="3"/>
  <c r="K522" i="3"/>
  <c r="K530" i="3"/>
  <c r="K540" i="3"/>
  <c r="K544" i="3"/>
  <c r="K578" i="3"/>
  <c r="K626" i="3"/>
  <c r="K632" i="3"/>
  <c r="K712" i="3"/>
  <c r="K455" i="3"/>
  <c r="K459" i="3"/>
  <c r="K465" i="3"/>
  <c r="K467" i="3"/>
  <c r="K551" i="3"/>
  <c r="K563" i="3"/>
  <c r="K591" i="3"/>
  <c r="K603" i="3"/>
  <c r="K623" i="3"/>
  <c r="K693" i="3"/>
  <c r="K715" i="3"/>
  <c r="K729" i="3"/>
  <c r="K107" i="3"/>
  <c r="K414" i="3"/>
  <c r="K74" i="3"/>
  <c r="K226" i="3"/>
  <c r="K90" i="3"/>
  <c r="K108" i="3"/>
  <c r="J30" i="1"/>
  <c r="J78" i="1"/>
  <c r="J22" i="1"/>
  <c r="J5" i="1"/>
  <c r="J38" i="1"/>
  <c r="J409" i="1"/>
  <c r="K926" i="3"/>
  <c r="K929" i="3"/>
  <c r="J393" i="1"/>
  <c r="K1202" i="3"/>
  <c r="K1232" i="3"/>
  <c r="K1169" i="3"/>
  <c r="K1217" i="3"/>
  <c r="K1187" i="3"/>
  <c r="J385" i="1"/>
  <c r="K964" i="3"/>
  <c r="K1258" i="3"/>
  <c r="K990" i="3"/>
  <c r="K937" i="3"/>
  <c r="K977" i="3"/>
  <c r="K1253" i="3"/>
  <c r="K951" i="3"/>
  <c r="J353" i="1"/>
  <c r="K1122" i="3"/>
  <c r="K1117" i="3"/>
  <c r="K1159" i="3"/>
  <c r="J329" i="1"/>
  <c r="K616" i="3"/>
  <c r="K867" i="3"/>
  <c r="K802" i="3"/>
  <c r="K806" i="3"/>
  <c r="K814" i="3"/>
  <c r="K1062" i="3"/>
  <c r="J321" i="1"/>
  <c r="K638" i="3"/>
  <c r="K640" i="3"/>
  <c r="K559" i="3"/>
  <c r="K761" i="3"/>
  <c r="K911" i="3"/>
  <c r="K818" i="3"/>
  <c r="J289" i="1"/>
  <c r="K946" i="3"/>
  <c r="K932" i="3"/>
  <c r="K972" i="3"/>
  <c r="K959" i="3"/>
  <c r="K985" i="3"/>
  <c r="J281" i="1"/>
  <c r="K700" i="3"/>
  <c r="K782" i="3"/>
  <c r="J257" i="1"/>
  <c r="K234" i="3"/>
  <c r="K347" i="3"/>
  <c r="J241" i="1"/>
  <c r="K294" i="3"/>
  <c r="J233" i="1"/>
  <c r="K317" i="3"/>
  <c r="K353" i="3"/>
  <c r="K365" i="3"/>
  <c r="K329" i="3"/>
  <c r="K658" i="3"/>
  <c r="K477" i="3"/>
  <c r="K489" i="3"/>
  <c r="K501" i="3"/>
  <c r="K643" i="3"/>
  <c r="K673" i="3"/>
  <c r="K825" i="3"/>
  <c r="K847" i="3"/>
  <c r="K836" i="3"/>
  <c r="K858" i="3"/>
  <c r="J225" i="1"/>
  <c r="K293" i="3"/>
  <c r="J217" i="1"/>
  <c r="K10" i="3"/>
  <c r="J193" i="1"/>
  <c r="K150" i="3"/>
  <c r="K212" i="3"/>
  <c r="K244" i="3"/>
  <c r="K789" i="3"/>
  <c r="K1263" i="3"/>
  <c r="J185" i="1"/>
  <c r="K122" i="3"/>
  <c r="K200" i="3"/>
  <c r="K384" i="3"/>
  <c r="K274" i="3"/>
  <c r="K270" i="3"/>
  <c r="K188" i="3"/>
  <c r="K263" i="3"/>
  <c r="K283" i="3"/>
  <c r="K295" i="3"/>
  <c r="K300" i="3"/>
  <c r="J169" i="1"/>
  <c r="K55" i="3"/>
  <c r="K47" i="3"/>
  <c r="K912" i="3"/>
  <c r="K1090" i="3"/>
  <c r="K1019" i="3"/>
  <c r="K1087" i="3"/>
  <c r="J161" i="1"/>
  <c r="K1004" i="3"/>
  <c r="J153" i="1"/>
  <c r="K779" i="3"/>
  <c r="K1037" i="3"/>
  <c r="J129" i="1"/>
  <c r="K253" i="3"/>
  <c r="K1034" i="3"/>
  <c r="K875" i="3"/>
  <c r="K1067" i="3"/>
  <c r="J121" i="1"/>
  <c r="K310" i="3"/>
  <c r="J113" i="1"/>
  <c r="K1084" i="3"/>
  <c r="K1077" i="3"/>
  <c r="J97" i="1"/>
  <c r="K457" i="3"/>
  <c r="J89" i="1"/>
  <c r="K1112" i="3"/>
  <c r="J57" i="1"/>
  <c r="K405" i="3"/>
  <c r="K447" i="3"/>
  <c r="K512" i="3"/>
  <c r="K596" i="3"/>
  <c r="K1088" i="3"/>
  <c r="K924" i="3"/>
  <c r="K1056" i="3"/>
  <c r="J49" i="1"/>
  <c r="K1142" i="3"/>
  <c r="J41" i="1"/>
  <c r="K448" i="3"/>
  <c r="K1003" i="3"/>
  <c r="J33" i="1"/>
  <c r="K725" i="3"/>
  <c r="J25" i="1"/>
  <c r="K452" i="3"/>
  <c r="J18" i="1"/>
  <c r="K568" i="3"/>
  <c r="J10" i="1"/>
  <c r="K763" i="3"/>
  <c r="K159" i="3"/>
  <c r="K135" i="3"/>
  <c r="J46" i="1"/>
  <c r="J28" i="1"/>
  <c r="J13" i="1"/>
  <c r="J11" i="1"/>
  <c r="J408" i="1"/>
  <c r="K1006" i="3"/>
  <c r="J344" i="1"/>
  <c r="K557" i="3"/>
  <c r="K717" i="3"/>
  <c r="K817" i="3"/>
  <c r="J328" i="1"/>
  <c r="K999" i="3"/>
  <c r="K1072" i="3"/>
  <c r="K1130" i="3"/>
  <c r="K1033" i="3"/>
  <c r="J312" i="1"/>
  <c r="K543" i="3"/>
  <c r="J304" i="1"/>
  <c r="K904" i="3"/>
  <c r="K1026" i="3"/>
  <c r="J296" i="1"/>
  <c r="K644" i="3"/>
  <c r="K674" i="3"/>
  <c r="K659" i="3"/>
  <c r="K1184" i="3"/>
  <c r="K954" i="3"/>
  <c r="K940" i="3"/>
  <c r="K980" i="3"/>
  <c r="K967" i="3"/>
  <c r="K993" i="3"/>
  <c r="J288" i="1"/>
  <c r="K1010" i="3"/>
  <c r="J272" i="1"/>
  <c r="K1029" i="3"/>
  <c r="J264" i="1"/>
  <c r="K537" i="3"/>
  <c r="K650" i="3"/>
  <c r="K680" i="3"/>
  <c r="J248" i="1"/>
  <c r="K744" i="3"/>
  <c r="J240" i="1"/>
  <c r="K288" i="3"/>
  <c r="J232" i="1"/>
  <c r="K348" i="3"/>
  <c r="K436" i="3"/>
  <c r="K325" i="3"/>
  <c r="K337" i="3"/>
  <c r="K361" i="3"/>
  <c r="K373" i="3"/>
  <c r="K407" i="3"/>
  <c r="K413" i="3"/>
  <c r="K419" i="3"/>
  <c r="K458" i="3"/>
  <c r="K484" i="3"/>
  <c r="K496" i="3"/>
  <c r="K518" i="3"/>
  <c r="K554" i="3"/>
  <c r="K574" i="3"/>
  <c r="K602" i="3"/>
  <c r="K618" i="3"/>
  <c r="K541" i="3"/>
  <c r="K545" i="3"/>
  <c r="K589" i="3"/>
  <c r="K613" i="3"/>
  <c r="K749" i="3"/>
  <c r="K759" i="3"/>
  <c r="K896" i="3"/>
  <c r="K899" i="3"/>
  <c r="J224" i="1"/>
  <c r="K760" i="3"/>
  <c r="J216" i="1"/>
  <c r="K516" i="3"/>
  <c r="K748" i="3"/>
  <c r="K752" i="3"/>
  <c r="K770" i="3"/>
  <c r="K599" i="3"/>
  <c r="K741" i="3"/>
  <c r="J200" i="1"/>
  <c r="K334" i="3"/>
  <c r="K358" i="3"/>
  <c r="K370" i="3"/>
  <c r="K184" i="3"/>
  <c r="K301" i="3"/>
  <c r="K429" i="3"/>
  <c r="K322" i="3"/>
  <c r="K482" i="3"/>
  <c r="K494" i="3"/>
  <c r="K506" i="3"/>
  <c r="K546" i="3"/>
  <c r="K654" i="3"/>
  <c r="K684" i="3"/>
  <c r="K704" i="3"/>
  <c r="K742" i="3"/>
  <c r="K669" i="3"/>
  <c r="K861" i="3"/>
  <c r="K828" i="3"/>
  <c r="K850" i="3"/>
  <c r="K839" i="3"/>
  <c r="J192" i="1"/>
  <c r="K218" i="3"/>
  <c r="K261" i="3"/>
  <c r="K229" i="3"/>
  <c r="K562" i="3"/>
  <c r="K581" i="3"/>
  <c r="J184" i="1"/>
  <c r="K219" i="3"/>
  <c r="K594" i="3"/>
  <c r="K583" i="3"/>
  <c r="K1069" i="3"/>
  <c r="K1114" i="3"/>
  <c r="K1000" i="3"/>
  <c r="K1025" i="3"/>
  <c r="K1151" i="3"/>
  <c r="K1053" i="3"/>
  <c r="J176" i="1"/>
  <c r="K1012" i="3"/>
  <c r="K33" i="3"/>
  <c r="J168" i="1"/>
  <c r="K114" i="3"/>
  <c r="J160" i="1"/>
  <c r="K1038" i="3"/>
  <c r="K1152" i="3"/>
  <c r="K192" i="3"/>
  <c r="K53" i="3"/>
  <c r="J152" i="1"/>
  <c r="K45" i="3"/>
  <c r="J136" i="1"/>
  <c r="K164" i="3"/>
  <c r="K177" i="3"/>
  <c r="K201" i="3"/>
  <c r="K342" i="3"/>
  <c r="K189" i="3"/>
  <c r="K207" i="3"/>
  <c r="K355" i="3"/>
  <c r="K367" i="3"/>
  <c r="K309" i="3"/>
  <c r="K331" i="3"/>
  <c r="K319" i="3"/>
  <c r="K256" i="3"/>
  <c r="K535" i="3"/>
  <c r="K853" i="3"/>
  <c r="K1036" i="3"/>
  <c r="K820" i="3"/>
  <c r="K842" i="3"/>
  <c r="K864" i="3"/>
  <c r="K831" i="3"/>
  <c r="K907" i="3"/>
  <c r="J128" i="1"/>
  <c r="K236" i="3"/>
  <c r="J120" i="1"/>
  <c r="K198" i="3"/>
  <c r="K186" i="3"/>
  <c r="K323" i="3"/>
  <c r="K335" i="3"/>
  <c r="K359" i="3"/>
  <c r="K371" i="3"/>
  <c r="K851" i="3"/>
  <c r="K862" i="3"/>
  <c r="K808" i="3"/>
  <c r="K840" i="3"/>
  <c r="K829" i="3"/>
  <c r="J104" i="1"/>
  <c r="K435" i="3"/>
  <c r="K514" i="3"/>
  <c r="K520" i="3"/>
  <c r="K624" i="3"/>
  <c r="K660" i="3"/>
  <c r="K519" i="3"/>
  <c r="K597" i="3"/>
  <c r="K645" i="3"/>
  <c r="K675" i="3"/>
  <c r="K699" i="3"/>
  <c r="K876" i="3"/>
  <c r="K1002" i="3"/>
  <c r="J96" i="1"/>
  <c r="K172" i="3"/>
  <c r="K240" i="3"/>
  <c r="J88" i="1"/>
  <c r="K732" i="3"/>
  <c r="K707" i="3"/>
  <c r="K275" i="3"/>
  <c r="K524" i="3"/>
  <c r="K556" i="3"/>
  <c r="K580" i="3"/>
  <c r="K656" i="3"/>
  <c r="K686" i="3"/>
  <c r="K627" i="3"/>
  <c r="K671" i="3"/>
  <c r="K723" i="3"/>
  <c r="K343" i="3"/>
  <c r="K722" i="3"/>
  <c r="K238" i="3"/>
  <c r="K333" i="3"/>
  <c r="J54" i="1"/>
  <c r="J36" i="1"/>
  <c r="J435" i="1" l="1"/>
  <c r="K2157" i="3"/>
  <c r="J436" i="1"/>
  <c r="K2158" i="3"/>
  <c r="K1907" i="3"/>
  <c r="K2150" i="3"/>
  <c r="K943" i="3"/>
  <c r="J231" i="1"/>
  <c r="J453" i="1"/>
  <c r="K2144" i="3"/>
  <c r="K2138" i="3"/>
  <c r="K2115" i="3"/>
  <c r="K2129" i="3"/>
  <c r="K2117" i="3"/>
  <c r="K2131" i="3"/>
  <c r="K296" i="3"/>
  <c r="J230" i="1"/>
  <c r="K446" i="3"/>
  <c r="K442" i="3"/>
  <c r="J226" i="1"/>
  <c r="J313" i="1"/>
  <c r="K2128" i="3"/>
  <c r="J481" i="1"/>
  <c r="K2127" i="3"/>
  <c r="K2104" i="3"/>
  <c r="J177" i="1"/>
  <c r="K567" i="3"/>
  <c r="K36" i="3"/>
  <c r="K70" i="3"/>
  <c r="J256" i="1"/>
  <c r="K665" i="3"/>
  <c r="K531" i="3"/>
  <c r="K579" i="3"/>
  <c r="K2101" i="3"/>
  <c r="K2100" i="3"/>
  <c r="K2103" i="3"/>
  <c r="K1412" i="3"/>
  <c r="K2102" i="3"/>
  <c r="K2099" i="3"/>
  <c r="J437" i="1"/>
  <c r="K2106" i="3"/>
  <c r="J434" i="1"/>
  <c r="K2105" i="3"/>
  <c r="K1964" i="3"/>
  <c r="K2097" i="3"/>
  <c r="K1640" i="3"/>
  <c r="J520" i="1"/>
  <c r="K2090" i="3"/>
  <c r="K2060" i="3"/>
  <c r="K2088" i="3"/>
  <c r="K979" i="3"/>
  <c r="K565" i="3"/>
  <c r="K1127" i="3"/>
  <c r="K555" i="3"/>
  <c r="K966" i="3"/>
  <c r="J238" i="1"/>
  <c r="K992" i="3"/>
  <c r="K953" i="3"/>
  <c r="K939" i="3"/>
  <c r="K1660" i="3"/>
  <c r="K2081" i="3"/>
  <c r="K1098" i="3"/>
  <c r="K2079" i="3"/>
  <c r="K1446" i="3"/>
  <c r="K2078" i="3"/>
  <c r="K1884" i="3"/>
  <c r="K2070" i="3"/>
  <c r="K1295" i="3"/>
  <c r="K2068" i="3"/>
  <c r="J206" i="1"/>
  <c r="K2066" i="3"/>
  <c r="K2050" i="3"/>
  <c r="K2056" i="3"/>
  <c r="K2026" i="3"/>
  <c r="K2035" i="3"/>
  <c r="K2007" i="3"/>
  <c r="K2018" i="3"/>
  <c r="K1999" i="3"/>
  <c r="K2012" i="3"/>
  <c r="K1985" i="3"/>
  <c r="K2001" i="3"/>
  <c r="K1976" i="3"/>
  <c r="K1990" i="3"/>
  <c r="K77" i="3"/>
  <c r="J173" i="1"/>
  <c r="J518" i="1"/>
  <c r="K1980" i="3"/>
  <c r="J468" i="1"/>
  <c r="K1971" i="3"/>
  <c r="K1768" i="3"/>
  <c r="K1968" i="3"/>
  <c r="K1956" i="3"/>
  <c r="K1893" i="3"/>
  <c r="K1959" i="3"/>
  <c r="K1947" i="3"/>
  <c r="K1949" i="3"/>
  <c r="J207" i="1"/>
  <c r="K1942" i="3"/>
  <c r="K1920" i="3"/>
  <c r="K78" i="3"/>
  <c r="J175" i="1"/>
  <c r="K1871" i="3"/>
  <c r="K1933" i="3"/>
  <c r="J439" i="1"/>
  <c r="K1922" i="3"/>
  <c r="J438" i="1"/>
  <c r="K1921" i="3"/>
  <c r="J404" i="1"/>
  <c r="K1919" i="3"/>
  <c r="K1912" i="3"/>
  <c r="K1894" i="3"/>
  <c r="K1822" i="3"/>
  <c r="K1911" i="3"/>
  <c r="K1799" i="3"/>
  <c r="K1906" i="3"/>
  <c r="K1770" i="3"/>
  <c r="J201" i="1"/>
  <c r="K1816" i="3"/>
  <c r="K1902" i="3"/>
  <c r="K1657" i="3"/>
  <c r="K1881" i="3"/>
  <c r="J209" i="1"/>
  <c r="K1888" i="3"/>
  <c r="J204" i="1"/>
  <c r="K1887" i="3"/>
  <c r="K887" i="3"/>
  <c r="K433" i="3"/>
  <c r="J80" i="1"/>
  <c r="K893" i="3"/>
  <c r="K1877" i="3"/>
  <c r="K1843" i="3"/>
  <c r="K1885" i="3"/>
  <c r="K1852" i="3"/>
  <c r="K1878" i="3"/>
  <c r="K1845" i="3"/>
  <c r="K1867" i="3"/>
  <c r="K1876" i="3"/>
  <c r="K1824" i="3"/>
  <c r="K1870" i="3"/>
  <c r="J470" i="1"/>
  <c r="K1838" i="3"/>
  <c r="K1809" i="3"/>
  <c r="K1820" i="3"/>
  <c r="K1810" i="3"/>
  <c r="K1813" i="3"/>
  <c r="J147" i="1"/>
  <c r="K1065" i="3"/>
  <c r="K1568" i="3"/>
  <c r="K1806" i="3"/>
  <c r="J512" i="1"/>
  <c r="K1801" i="3"/>
  <c r="K1764" i="3"/>
  <c r="K1794" i="3"/>
  <c r="K1630" i="3"/>
  <c r="K1792" i="3"/>
  <c r="J489" i="1"/>
  <c r="K1791" i="3"/>
  <c r="K1535" i="3"/>
  <c r="K1789" i="3"/>
  <c r="K1780" i="3"/>
  <c r="K1785" i="3"/>
  <c r="K1778" i="3"/>
  <c r="K1782" i="3"/>
  <c r="J255" i="1"/>
  <c r="K1781" i="3"/>
  <c r="K1776" i="3"/>
  <c r="K1779" i="3"/>
  <c r="K1727" i="3"/>
  <c r="J182" i="1"/>
  <c r="K1777" i="3"/>
  <c r="K533" i="3"/>
  <c r="K608" i="3"/>
  <c r="K394" i="3"/>
  <c r="J67" i="1"/>
  <c r="K1650" i="3"/>
  <c r="K1775" i="3"/>
  <c r="K1417" i="3"/>
  <c r="K1773" i="3"/>
  <c r="J445" i="1"/>
  <c r="K1774" i="3"/>
  <c r="K1749" i="3"/>
  <c r="K1759" i="3"/>
  <c r="K1167" i="3"/>
  <c r="K1715" i="3"/>
  <c r="K1753" i="3"/>
  <c r="K720" i="3"/>
  <c r="K1092" i="3"/>
  <c r="K1627" i="3"/>
  <c r="K1741" i="3"/>
  <c r="K1255" i="3"/>
  <c r="K1297" i="3"/>
  <c r="K1724" i="3"/>
  <c r="K1736" i="3"/>
  <c r="K1637" i="3"/>
  <c r="K1728" i="3"/>
  <c r="K1102" i="3"/>
  <c r="K127" i="3"/>
  <c r="K1699" i="3"/>
  <c r="K1712" i="3"/>
  <c r="K1223" i="3"/>
  <c r="K930" i="3"/>
  <c r="K1286" i="3"/>
  <c r="K1133" i="3"/>
  <c r="K1250" i="3"/>
  <c r="K957" i="3"/>
  <c r="K944" i="3"/>
  <c r="K1147" i="3"/>
  <c r="K1256" i="3"/>
  <c r="K1259" i="3"/>
  <c r="K1107" i="3"/>
  <c r="K1238" i="3"/>
  <c r="K1193" i="3"/>
  <c r="K995" i="3"/>
  <c r="K1208" i="3"/>
  <c r="K1175" i="3"/>
  <c r="K1343" i="3"/>
  <c r="K983" i="3"/>
  <c r="K970" i="3"/>
  <c r="J101" i="1"/>
  <c r="K1327" i="3"/>
  <c r="K1677" i="3"/>
  <c r="K1688" i="3"/>
  <c r="K180" i="3"/>
  <c r="J127" i="1"/>
  <c r="K874" i="3"/>
  <c r="J142" i="1"/>
  <c r="K1406" i="3"/>
  <c r="K1507" i="3"/>
  <c r="J496" i="1"/>
  <c r="K1676" i="3"/>
  <c r="K1420" i="3"/>
  <c r="J458" i="1"/>
  <c r="K1669" i="3"/>
  <c r="J457" i="1"/>
  <c r="K1668" i="3"/>
  <c r="K1533" i="3"/>
  <c r="K1664" i="3"/>
  <c r="K1662" i="3"/>
  <c r="K1529" i="3"/>
  <c r="K1659" i="3"/>
  <c r="J472" i="1"/>
  <c r="K1661" i="3"/>
  <c r="J249" i="1"/>
  <c r="K1658" i="3"/>
  <c r="J432" i="1"/>
  <c r="K1656" i="3"/>
  <c r="J144" i="1"/>
  <c r="K1653" i="3"/>
  <c r="K1516" i="3"/>
  <c r="K1651" i="3"/>
  <c r="K1592" i="3"/>
  <c r="K1648" i="3"/>
  <c r="K1523" i="3"/>
  <c r="K1647" i="3"/>
  <c r="J86" i="1"/>
  <c r="K1646" i="3"/>
  <c r="K1093" i="3"/>
  <c r="K785" i="3"/>
  <c r="J81" i="1"/>
  <c r="J29" i="1"/>
  <c r="K1643" i="3"/>
  <c r="K1261" i="3"/>
  <c r="K708" i="3"/>
  <c r="K636" i="3"/>
  <c r="K202" i="3"/>
  <c r="K51" i="3"/>
  <c r="K1610" i="3"/>
  <c r="K1641" i="3"/>
  <c r="J500" i="1"/>
  <c r="K1639" i="3"/>
  <c r="K1609" i="3"/>
  <c r="K1638" i="3"/>
  <c r="K1629" i="3"/>
  <c r="K1635" i="3"/>
  <c r="J252" i="1"/>
  <c r="K1632" i="3"/>
  <c r="K1628" i="3"/>
  <c r="K1625" i="3"/>
  <c r="K1597" i="3"/>
  <c r="K1631" i="3"/>
  <c r="K1617" i="3"/>
  <c r="K1633" i="3"/>
  <c r="J354" i="1"/>
  <c r="K1626" i="3"/>
  <c r="K1390" i="3"/>
  <c r="K1454" i="3"/>
  <c r="K1485" i="3"/>
  <c r="K1443" i="3"/>
  <c r="K1475" i="3"/>
  <c r="K1550" i="3"/>
  <c r="K1439" i="3"/>
  <c r="K1463" i="3"/>
  <c r="K1541" i="3"/>
  <c r="K1427" i="3"/>
  <c r="K1508" i="3"/>
  <c r="K1604" i="3"/>
  <c r="K1613" i="3"/>
  <c r="K176" i="3"/>
  <c r="J111" i="1"/>
  <c r="K1045" i="3"/>
  <c r="K510" i="3"/>
  <c r="J134" i="1"/>
  <c r="K59" i="3"/>
  <c r="K866" i="3"/>
  <c r="K190" i="3"/>
  <c r="J352" i="1"/>
  <c r="K1599" i="3"/>
  <c r="K499" i="3"/>
  <c r="K140" i="3"/>
  <c r="K487" i="3"/>
  <c r="K43" i="3"/>
  <c r="K475" i="3"/>
  <c r="K1598" i="3"/>
  <c r="K1502" i="3"/>
  <c r="K1596" i="3"/>
  <c r="J83" i="1"/>
  <c r="K1589" i="3"/>
  <c r="J82" i="1"/>
  <c r="K1588" i="3"/>
  <c r="K1288" i="3"/>
  <c r="K1584" i="3"/>
  <c r="K1582" i="3"/>
  <c r="K1581" i="3"/>
  <c r="K1580" i="3"/>
  <c r="J254" i="1"/>
  <c r="K248" i="3"/>
  <c r="K1578" i="3"/>
  <c r="K1561" i="3"/>
  <c r="K1577" i="3"/>
  <c r="K1571" i="3"/>
  <c r="K1576" i="3"/>
  <c r="J253" i="1"/>
  <c r="K1575" i="3"/>
  <c r="J126" i="1"/>
  <c r="K1574" i="3"/>
  <c r="J450" i="1"/>
  <c r="K1570" i="3"/>
  <c r="J137" i="1"/>
  <c r="K1164" i="3"/>
  <c r="K1089" i="3"/>
  <c r="J250" i="1"/>
  <c r="K743" i="3"/>
  <c r="K609" i="3"/>
  <c r="K7" i="3"/>
  <c r="K1266" i="3"/>
  <c r="K607" i="3"/>
  <c r="K1559" i="3"/>
  <c r="K1354" i="3"/>
  <c r="J98" i="1"/>
  <c r="K1555" i="3"/>
  <c r="K1359" i="3"/>
  <c r="J440" i="1"/>
  <c r="K1540" i="3"/>
  <c r="J107" i="1"/>
  <c r="K1526" i="3"/>
  <c r="J476" i="1"/>
  <c r="K1524" i="3"/>
  <c r="J448" i="1"/>
  <c r="K1534" i="3"/>
  <c r="J447" i="1"/>
  <c r="K1531" i="3"/>
  <c r="J459" i="1"/>
  <c r="K1530" i="3"/>
  <c r="K1086" i="3"/>
  <c r="K1510" i="3"/>
  <c r="K1395" i="3"/>
  <c r="K1503" i="3"/>
  <c r="K1491" i="3"/>
  <c r="K1498" i="3"/>
  <c r="K1481" i="3"/>
  <c r="K1489" i="3"/>
  <c r="K1470" i="3"/>
  <c r="K1476" i="3"/>
  <c r="K1447" i="3"/>
  <c r="K1471" i="3"/>
  <c r="K1438" i="3"/>
  <c r="K1451" i="3"/>
  <c r="K1433" i="3"/>
  <c r="K1434" i="3"/>
  <c r="K1407" i="3"/>
  <c r="K1426" i="3"/>
  <c r="K1416" i="3"/>
  <c r="K1422" i="3"/>
  <c r="K125" i="3"/>
  <c r="K905" i="3"/>
  <c r="K1052" i="3"/>
  <c r="K756" i="3"/>
  <c r="K560" i="3"/>
  <c r="K417" i="3"/>
  <c r="K277" i="3"/>
  <c r="K133" i="3"/>
  <c r="K1419" i="3"/>
  <c r="J444" i="1"/>
  <c r="K1418" i="3"/>
  <c r="K1401" i="3"/>
  <c r="K1154" i="3"/>
  <c r="J66" i="1"/>
  <c r="K1365" i="3"/>
  <c r="J467" i="1"/>
  <c r="K1387" i="3"/>
  <c r="J454" i="1"/>
  <c r="K1392" i="3"/>
  <c r="K1369" i="3"/>
  <c r="K1376" i="3"/>
  <c r="J455" i="1"/>
  <c r="K1375" i="3"/>
  <c r="K1342" i="3"/>
  <c r="K1374" i="3"/>
  <c r="J473" i="1"/>
  <c r="K1372" i="3"/>
  <c r="K884" i="3"/>
  <c r="K1042" i="3"/>
  <c r="K890" i="3"/>
  <c r="K1075" i="3"/>
  <c r="K1035" i="3"/>
  <c r="J92" i="1"/>
  <c r="K1310" i="3"/>
  <c r="K1353" i="3"/>
  <c r="K1366" i="3"/>
  <c r="K745" i="3"/>
  <c r="J73" i="1"/>
  <c r="K631" i="3"/>
  <c r="K526" i="3"/>
  <c r="K1021" i="3"/>
  <c r="K237" i="3"/>
  <c r="K1132" i="3"/>
  <c r="K441" i="3"/>
  <c r="K713" i="3"/>
  <c r="K473" i="3"/>
  <c r="K786" i="3"/>
  <c r="K716" i="3"/>
  <c r="K694" i="3"/>
  <c r="K1350" i="3"/>
  <c r="K1348" i="3"/>
  <c r="K1338" i="3"/>
  <c r="K629" i="3"/>
  <c r="K1340" i="3"/>
  <c r="K1345" i="3"/>
  <c r="J463" i="1"/>
  <c r="K1337" i="3"/>
  <c r="K639" i="3"/>
  <c r="J65" i="1"/>
  <c r="K1289" i="3"/>
  <c r="K1334" i="3"/>
  <c r="J442" i="1"/>
  <c r="K1315" i="3"/>
  <c r="K34" i="3"/>
  <c r="K738" i="3"/>
  <c r="K1064" i="3"/>
  <c r="K532" i="3"/>
  <c r="K214" i="3"/>
  <c r="K1303" i="3"/>
  <c r="K628" i="3"/>
  <c r="J47" i="1"/>
  <c r="K1292" i="3"/>
  <c r="K1300" i="3"/>
  <c r="K395" i="3"/>
  <c r="K1063" i="3"/>
  <c r="J74" i="1"/>
  <c r="K1293" i="3"/>
  <c r="J72" i="1"/>
  <c r="K1291" i="3"/>
  <c r="J68" i="1"/>
  <c r="K1290" i="3"/>
  <c r="K1267" i="3"/>
  <c r="J64" i="1"/>
  <c r="K1287" i="3"/>
  <c r="J26" i="1"/>
  <c r="K1285" i="3"/>
  <c r="G545" i="2"/>
  <c r="D424" i="1" s="1"/>
  <c r="F424" i="1" s="1"/>
  <c r="K2143" i="3" s="1"/>
  <c r="G544" i="2"/>
  <c r="D423" i="1" s="1"/>
  <c r="F423" i="1" s="1"/>
  <c r="J423" i="1" s="1"/>
  <c r="K1860" i="3" l="1"/>
  <c r="K1927" i="3"/>
  <c r="J424" i="1"/>
  <c r="K1858" i="3"/>
  <c r="I544" i="2"/>
  <c r="D430" i="1"/>
  <c r="F430" i="1" s="1"/>
  <c r="K2051" i="3" s="1"/>
  <c r="I545" i="2"/>
  <c r="D431" i="1"/>
  <c r="F431" i="1" s="1"/>
  <c r="J431" i="1" s="1"/>
  <c r="K2028" i="3" l="1"/>
  <c r="K2040" i="3"/>
  <c r="K2004" i="3"/>
  <c r="K2015" i="3"/>
  <c r="K1982" i="3"/>
  <c r="K1993" i="3"/>
  <c r="K1934" i="3"/>
  <c r="K1969" i="3"/>
  <c r="K1883" i="3"/>
  <c r="K1850" i="3"/>
  <c r="K1790" i="3"/>
  <c r="K1814" i="3"/>
  <c r="K1742" i="3"/>
  <c r="K1754" i="3"/>
  <c r="K1716" i="3"/>
  <c r="K1731" i="3"/>
  <c r="K1693" i="3"/>
  <c r="K1704" i="3"/>
  <c r="K1670" i="3"/>
  <c r="K1681" i="3"/>
  <c r="K1542" i="3"/>
  <c r="K1579" i="3"/>
  <c r="K1484" i="3"/>
  <c r="K1514" i="3"/>
  <c r="K1462" i="3"/>
  <c r="K1474" i="3"/>
  <c r="K1442" i="3"/>
  <c r="K1453" i="3"/>
  <c r="K1428" i="3"/>
  <c r="K1440" i="3"/>
  <c r="J430" i="1"/>
  <c r="K1405" i="3"/>
  <c r="I1" i="7"/>
  <c r="H1264" i="3" l="1"/>
  <c r="I1264" i="3" s="1"/>
  <c r="J1264" i="3" s="1"/>
  <c r="H1263" i="3"/>
  <c r="I1263" i="3" s="1"/>
  <c r="J1263" i="3" s="1"/>
  <c r="M1263" i="3" l="1"/>
  <c r="H929" i="3"/>
  <c r="I929" i="3" s="1"/>
  <c r="J929" i="3" s="1"/>
  <c r="H1262" i="3" l="1"/>
  <c r="I1262" i="3" s="1"/>
  <c r="J1262" i="3" s="1"/>
  <c r="H1261" i="3"/>
  <c r="I1261" i="3" s="1"/>
  <c r="J1261" i="3" s="1"/>
  <c r="S1" i="7" l="1"/>
  <c r="R1" i="7"/>
  <c r="Q1" i="7"/>
  <c r="G1247" i="3" l="1"/>
  <c r="I1247" i="3" l="1"/>
  <c r="J1247" i="3" s="1"/>
  <c r="E386" i="1"/>
  <c r="F386" i="1" s="1"/>
  <c r="H1146" i="3"/>
  <c r="I1146" i="3" s="1"/>
  <c r="J1146" i="3" s="1"/>
  <c r="H1145" i="3"/>
  <c r="I1145" i="3" s="1"/>
  <c r="J1145" i="3" s="1"/>
  <c r="K1509" i="3" l="1"/>
  <c r="K1939" i="3"/>
  <c r="K984" i="3"/>
  <c r="J386" i="1"/>
  <c r="K931" i="3"/>
  <c r="K945" i="3"/>
  <c r="K1173" i="3"/>
  <c r="K1206" i="3"/>
  <c r="K1191" i="3"/>
  <c r="K958" i="3"/>
  <c r="K971" i="3"/>
  <c r="K996" i="3"/>
  <c r="K1221" i="3"/>
  <c r="K1008" i="3"/>
  <c r="K1247" i="3"/>
  <c r="K1236" i="3"/>
  <c r="H1127" i="3"/>
  <c r="I1127" i="3" s="1"/>
  <c r="J1127" i="3" s="1"/>
  <c r="H1117" i="3" l="1"/>
  <c r="I1117" i="3" s="1"/>
  <c r="J1117" i="3" s="1"/>
  <c r="H1118" i="3"/>
  <c r="I1118" i="3" s="1"/>
  <c r="J1118" i="3" s="1"/>
  <c r="H1119" i="3"/>
  <c r="I1119" i="3" s="1"/>
  <c r="J1119" i="3" s="1"/>
  <c r="H1120" i="3"/>
  <c r="I1120" i="3" s="1"/>
  <c r="J1120" i="3" s="1"/>
  <c r="H1121" i="3"/>
  <c r="I1121" i="3" s="1"/>
  <c r="J1121" i="3" s="1"/>
  <c r="H1116" i="3" l="1"/>
  <c r="I1116" i="3" s="1"/>
  <c r="J1116" i="3" s="1"/>
  <c r="H1115" i="3"/>
  <c r="I1115" i="3" s="1"/>
  <c r="J1115" i="3" s="1"/>
  <c r="H1105" i="3" l="1"/>
  <c r="G1105" i="3"/>
  <c r="I1105" i="3" l="1"/>
  <c r="J1105" i="3" s="1"/>
  <c r="E259" i="1"/>
  <c r="F259" i="1" s="1"/>
  <c r="F1" i="4"/>
  <c r="K1211" i="3" l="1"/>
  <c r="K860" i="3"/>
  <c r="K956" i="3"/>
  <c r="K942" i="3"/>
  <c r="J259" i="1"/>
  <c r="K982" i="3"/>
  <c r="K1104" i="3"/>
  <c r="K529" i="3"/>
  <c r="K1178" i="3"/>
  <c r="K849" i="3"/>
  <c r="K827" i="3"/>
  <c r="K1226" i="3"/>
  <c r="K1105" i="3"/>
  <c r="K923" i="3"/>
  <c r="K1262" i="3"/>
  <c r="K1241" i="3"/>
  <c r="K969" i="3"/>
  <c r="K1196" i="3"/>
  <c r="K1009" i="3"/>
  <c r="K987" i="3"/>
  <c r="K838" i="3"/>
  <c r="H1083" i="3"/>
  <c r="I1083" i="3" s="1"/>
  <c r="J1083" i="3" s="1"/>
  <c r="M1077" i="3" l="1"/>
  <c r="M1071" i="3"/>
  <c r="M1032" i="3" l="1"/>
  <c r="M1051" i="3" l="1"/>
  <c r="G397" i="1"/>
  <c r="I397" i="1" l="1"/>
  <c r="H501" i="2" s="1"/>
  <c r="I501" i="2" s="1"/>
  <c r="G391" i="1"/>
  <c r="G490" i="2"/>
  <c r="G487" i="2"/>
  <c r="J397" i="1" l="1"/>
  <c r="I391" i="1"/>
  <c r="H491" i="2" s="1"/>
  <c r="I491" i="2" s="1"/>
  <c r="D390" i="1"/>
  <c r="F390" i="1" s="1"/>
  <c r="I487" i="2"/>
  <c r="I490" i="2"/>
  <c r="D363" i="1"/>
  <c r="F363" i="1" s="1"/>
  <c r="H921" i="3"/>
  <c r="I921" i="3" s="1"/>
  <c r="J921" i="3" s="1"/>
  <c r="K1925" i="3" l="1"/>
  <c r="K1924" i="3"/>
  <c r="K1520" i="3"/>
  <c r="K1926" i="3"/>
  <c r="K1332" i="3"/>
  <c r="K1557" i="3"/>
  <c r="J363" i="1"/>
  <c r="K1536" i="3"/>
  <c r="J391" i="1"/>
  <c r="J390" i="1"/>
  <c r="K1294" i="3"/>
  <c r="I4" i="5"/>
  <c r="H786" i="3" l="1"/>
  <c r="I786" i="3" s="1"/>
  <c r="J786" i="3" s="1"/>
  <c r="M901" i="3" l="1"/>
  <c r="M2" i="6"/>
  <c r="I1" i="4"/>
  <c r="K1" i="5"/>
  <c r="H818" i="3" l="1"/>
  <c r="I818" i="3" s="1"/>
  <c r="J818" i="3" s="1"/>
  <c r="Q1" i="4" l="1"/>
  <c r="R1" i="4"/>
  <c r="S1" i="4"/>
  <c r="P1" i="4"/>
  <c r="H873" i="3" l="1"/>
  <c r="I873" i="3" s="1"/>
  <c r="J873" i="3" s="1"/>
  <c r="G61" i="1" l="1"/>
  <c r="I61" i="1" l="1"/>
  <c r="H69" i="2" s="1"/>
  <c r="I69" i="2" s="1"/>
  <c r="L1182" i="3"/>
  <c r="L1230" i="3"/>
  <c r="L1200" i="3"/>
  <c r="L1245" i="3"/>
  <c r="L1215" i="3"/>
  <c r="J61" i="1"/>
  <c r="M1144" i="3"/>
  <c r="M1257" i="3" l="1"/>
  <c r="M1187" i="3"/>
  <c r="M1202" i="3"/>
  <c r="M1217" i="3"/>
  <c r="M1247" i="3"/>
  <c r="M1169" i="3"/>
  <c r="M1252" i="3"/>
  <c r="M1232" i="3"/>
  <c r="M1156" i="3"/>
  <c r="M1147" i="3"/>
  <c r="M1128" i="3"/>
  <c r="M1010" i="3"/>
  <c r="H4" i="2"/>
  <c r="I4" i="1"/>
  <c r="H5" i="2" s="1"/>
  <c r="I5" i="2" s="1"/>
  <c r="H737" i="3" l="1"/>
  <c r="I737" i="3" s="1"/>
  <c r="J737" i="3" s="1"/>
  <c r="H605" i="3" l="1"/>
  <c r="I605" i="3" s="1"/>
  <c r="J605" i="3" s="1"/>
  <c r="K190" i="2" l="1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189" i="2"/>
  <c r="L4" i="3" l="1"/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8" i="1"/>
  <c r="A179" i="1"/>
  <c r="A180" i="1"/>
  <c r="A181" i="1"/>
  <c r="A182" i="1"/>
  <c r="A183" i="1"/>
  <c r="A184" i="1"/>
  <c r="A185" i="1"/>
  <c r="A186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H528" i="3" l="1"/>
  <c r="I528" i="3" s="1"/>
  <c r="J528" i="3" s="1"/>
  <c r="I4" i="2" l="1"/>
  <c r="F4" i="2"/>
  <c r="J97" i="2" l="1"/>
  <c r="J145" i="2"/>
  <c r="J79" i="2"/>
  <c r="J56" i="2"/>
  <c r="J152" i="2"/>
  <c r="J45" i="2"/>
  <c r="J19" i="2"/>
  <c r="J150" i="2"/>
  <c r="J80" i="2"/>
  <c r="J58" i="2"/>
  <c r="J131" i="2"/>
  <c r="J184" i="2"/>
  <c r="K4" i="3"/>
  <c r="J108" i="2"/>
  <c r="J89" i="2"/>
  <c r="J60" i="2"/>
  <c r="J134" i="2"/>
  <c r="J146" i="2"/>
  <c r="J84" i="2"/>
  <c r="J55" i="2"/>
  <c r="J41" i="2"/>
  <c r="J50" i="2"/>
  <c r="J115" i="2"/>
  <c r="J110" i="2"/>
  <c r="J46" i="2"/>
  <c r="J88" i="2"/>
  <c r="J109" i="2"/>
  <c r="J153" i="2"/>
  <c r="J69" i="2"/>
  <c r="J54" i="2"/>
  <c r="J160" i="2"/>
  <c r="J67" i="2"/>
  <c r="J59" i="2"/>
  <c r="J38" i="2"/>
  <c r="J65" i="2"/>
  <c r="J100" i="2"/>
  <c r="J147" i="2"/>
  <c r="J129" i="2"/>
  <c r="J51" i="2"/>
  <c r="J29" i="2"/>
  <c r="J154" i="2"/>
  <c r="J164" i="2"/>
  <c r="J98" i="2"/>
  <c r="J144" i="2"/>
  <c r="J36" i="2"/>
  <c r="J157" i="2"/>
  <c r="J135" i="2"/>
  <c r="J90" i="2"/>
  <c r="J140" i="2"/>
  <c r="J101" i="2"/>
  <c r="J91" i="2"/>
  <c r="J143" i="2"/>
  <c r="J40" i="2"/>
  <c r="J166" i="2"/>
  <c r="J70" i="2"/>
  <c r="J49" i="2"/>
  <c r="J32" i="2"/>
  <c r="J31" i="2"/>
  <c r="J22" i="2"/>
  <c r="J28" i="2"/>
  <c r="J162" i="2"/>
  <c r="J165" i="2"/>
  <c r="J126" i="2"/>
  <c r="J141" i="2"/>
  <c r="J149" i="2"/>
  <c r="J77" i="2"/>
  <c r="J42" i="2"/>
  <c r="J25" i="2"/>
  <c r="J9" i="2"/>
  <c r="J168" i="2"/>
  <c r="J113" i="2"/>
  <c r="J133" i="2"/>
  <c r="J81" i="2"/>
  <c r="J47" i="2"/>
  <c r="J33" i="2"/>
  <c r="J16" i="2"/>
  <c r="J163" i="2"/>
  <c r="J123" i="2"/>
  <c r="J94" i="2"/>
  <c r="J6" i="2"/>
  <c r="J128" i="2"/>
  <c r="J112" i="2"/>
  <c r="J78" i="2"/>
  <c r="J62" i="2"/>
  <c r="J14" i="2"/>
  <c r="J106" i="2"/>
  <c r="J95" i="2"/>
  <c r="J87" i="2"/>
  <c r="J52" i="2"/>
  <c r="J39" i="2"/>
  <c r="J125" i="2"/>
  <c r="J142" i="2"/>
  <c r="J61" i="2"/>
  <c r="J30" i="2"/>
  <c r="J12" i="2"/>
  <c r="J93" i="2"/>
  <c r="J161" i="2"/>
  <c r="J121" i="2"/>
  <c r="J158" i="2"/>
  <c r="J119" i="2"/>
  <c r="J137" i="2"/>
  <c r="J74" i="2"/>
  <c r="J35" i="2"/>
  <c r="J17" i="2"/>
  <c r="J96" i="2"/>
  <c r="J124" i="2"/>
  <c r="J148" i="2"/>
  <c r="J92" i="2"/>
  <c r="J75" i="2"/>
  <c r="J57" i="2"/>
  <c r="J44" i="2"/>
  <c r="J21" i="2"/>
  <c r="J8" i="2"/>
  <c r="J64" i="2"/>
  <c r="J156" i="2"/>
  <c r="J117" i="2"/>
  <c r="J105" i="2"/>
  <c r="J34" i="2"/>
  <c r="J15" i="2"/>
  <c r="J68" i="2"/>
  <c r="J159" i="2"/>
  <c r="J122" i="2"/>
  <c r="J139" i="2"/>
  <c r="J23" i="2"/>
  <c r="J10" i="2"/>
  <c r="J136" i="2"/>
  <c r="J85" i="2"/>
  <c r="J72" i="2"/>
  <c r="J13" i="2"/>
  <c r="J66" i="2"/>
  <c r="J120" i="2"/>
  <c r="J138" i="2"/>
  <c r="J107" i="2"/>
  <c r="J73" i="2"/>
  <c r="J53" i="2"/>
  <c r="J37" i="2"/>
  <c r="J24" i="2"/>
  <c r="J4" i="2"/>
  <c r="L4" i="2" s="1"/>
  <c r="J102" i="2"/>
  <c r="J82" i="2"/>
  <c r="J48" i="2"/>
  <c r="J118" i="2"/>
  <c r="J103" i="2"/>
  <c r="J86" i="2"/>
  <c r="J20" i="2"/>
  <c r="J26" i="2"/>
  <c r="J130" i="2"/>
  <c r="J114" i="2"/>
  <c r="J11" i="2"/>
  <c r="J167" i="2"/>
  <c r="J127" i="2"/>
  <c r="J111" i="2"/>
  <c r="J151" i="2"/>
  <c r="J76" i="2"/>
  <c r="J63" i="2"/>
  <c r="J43" i="2"/>
  <c r="J7" i="2"/>
  <c r="J27" i="2"/>
  <c r="J155" i="2"/>
  <c r="J116" i="2"/>
  <c r="J132" i="2"/>
  <c r="J104" i="2"/>
  <c r="J83" i="2"/>
  <c r="J71" i="2"/>
  <c r="J18" i="2"/>
  <c r="I4" i="3" l="1"/>
  <c r="J4" i="3" s="1"/>
  <c r="F4" i="3"/>
  <c r="J178" i="2" l="1"/>
  <c r="J186" i="2"/>
  <c r="J180" i="2"/>
  <c r="J183" i="2"/>
  <c r="J185" i="2"/>
  <c r="J173" i="2"/>
  <c r="J181" i="2"/>
  <c r="J182" i="2"/>
  <c r="J179" i="2"/>
  <c r="J170" i="2"/>
  <c r="J174" i="2"/>
  <c r="J171" i="2"/>
  <c r="J175" i="2"/>
  <c r="J99" i="2"/>
  <c r="J187" i="2"/>
  <c r="J176" i="2"/>
  <c r="J172" i="2"/>
  <c r="J169" i="2"/>
  <c r="J177" i="2"/>
  <c r="L4" i="1" l="1"/>
  <c r="K35" i="3"/>
  <c r="K80" i="3"/>
  <c r="K453" i="3"/>
  <c r="J4" i="1"/>
  <c r="K4" i="1" s="1"/>
  <c r="J5" i="2"/>
  <c r="L1" i="3" l="1"/>
</calcChain>
</file>

<file path=xl/comments1.xml><?xml version="1.0" encoding="utf-8"?>
<comments xmlns="http://schemas.openxmlformats.org/spreadsheetml/2006/main">
  <authors>
    <author>Author</author>
  </authors>
  <commentList>
    <comment ref="D458" authorId="0" shapeId="0">
      <text>
        <r>
          <rPr>
            <b/>
            <sz val="9"/>
            <color indexed="81"/>
            <rFont val="Tahoma"/>
            <family val="2"/>
          </rPr>
          <t>CE NUMERO DE FACTURE
EST DUPLIQUE MAIS C'EST PAS DU MEME SOCIETE!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502" authorId="0" shapeId="0">
      <text>
        <r>
          <rPr>
            <b/>
            <sz val="9"/>
            <color indexed="81"/>
            <rFont val="Tahoma"/>
            <family val="2"/>
          </rPr>
          <t>CE NUMERO DE FACTURE
EST DUPLIQUE MAIS C'EST PAS DU MEME SOCIETE!</t>
        </r>
      </text>
    </comment>
    <comment ref="D511" authorId="0" shapeId="0">
      <text>
        <r>
          <rPr>
            <b/>
            <sz val="9"/>
            <color indexed="81"/>
            <rFont val="Tahoma"/>
            <family val="2"/>
          </rPr>
          <t>CE NUMERO DE FACTURE
EST DUPLIQUE MAIS C'EST PAS DU MEME SOCIETE!</t>
        </r>
      </text>
    </comment>
    <comment ref="D621" authorId="0" shapeId="0">
      <text>
        <r>
          <rPr>
            <b/>
            <sz val="9"/>
            <color indexed="81"/>
            <rFont val="Tahoma"/>
            <family val="2"/>
          </rPr>
          <t>CE NUMERO DE FACTURE
EST DUPLIQUE MAIS C'EST PAS DU MEME SOCIETE!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L1" authorId="0" shapeId="0">
      <text>
        <r>
          <rPr>
            <b/>
            <sz val="10"/>
            <color indexed="81"/>
            <rFont val="Tahoma"/>
            <family val="2"/>
          </rPr>
          <t>Author:</t>
        </r>
        <r>
          <rPr>
            <sz val="10"/>
            <color indexed="81"/>
            <rFont val="Tahoma"/>
            <family val="2"/>
          </rPr>
          <t xml:space="preserve">
THE REASON YOU HAVE 4 CELLS TO USE FOR SEARCHING IS TO GET EACH RESULT WITH ANY ORDER OF THE WORDS OR DIGITS YOU ENTER IN THESE 4 CELLS.</t>
        </r>
      </text>
    </comment>
  </commentList>
</comments>
</file>

<file path=xl/sharedStrings.xml><?xml version="1.0" encoding="utf-8"?>
<sst xmlns="http://schemas.openxmlformats.org/spreadsheetml/2006/main" count="8238" uniqueCount="1705">
  <si>
    <t xml:space="preserve">Code </t>
  </si>
  <si>
    <t xml:space="preserve">Nom du produit </t>
  </si>
  <si>
    <t>Entrant</t>
  </si>
  <si>
    <t xml:space="preserve">Vente </t>
  </si>
  <si>
    <t>Stock</t>
  </si>
  <si>
    <t>Prix total/DH</t>
  </si>
  <si>
    <t>Valeur du stock/DH</t>
  </si>
  <si>
    <t>Code</t>
  </si>
  <si>
    <t>Nom du produit</t>
  </si>
  <si>
    <t>Quantité</t>
  </si>
  <si>
    <t xml:space="preserve">Entrant </t>
  </si>
  <si>
    <t>P.U./DH</t>
  </si>
  <si>
    <t>Vente</t>
  </si>
  <si>
    <t xml:space="preserve">Client </t>
  </si>
  <si>
    <t xml:space="preserve">Date </t>
  </si>
  <si>
    <t>N° Facture</t>
  </si>
  <si>
    <t xml:space="preserve">Fournisseur </t>
  </si>
  <si>
    <t xml:space="preserve">N° facture </t>
  </si>
  <si>
    <t>Total TTC</t>
  </si>
  <si>
    <t>SFCPP26</t>
  </si>
  <si>
    <t>SAC FOND CARRE POIGNE PLAT 26*17*28 70G</t>
  </si>
  <si>
    <t>COQUILLE MEAL BOX 2 COMP BLANC</t>
  </si>
  <si>
    <t>GANT VINYL EXTRA PREMIUM GLOVE MEDIUM</t>
  </si>
  <si>
    <t>ROULEAU ALUMINIUM EXTRA PACK 200M</t>
  </si>
  <si>
    <t>BARQUETTE MICRON ONDABLE 2 COMP AVEC CVL 300PCS</t>
  </si>
  <si>
    <t>BARQUETTE POLYSTER 2 COMP CARTON 100PCS</t>
  </si>
  <si>
    <t>POT DE SAUCE 20CC</t>
  </si>
  <si>
    <t>BV500</t>
  </si>
  <si>
    <t>BARQUETTE VITA PACK 500ML AVEC CVL</t>
  </si>
  <si>
    <t>SERVIETTE</t>
  </si>
  <si>
    <t>FILM ALIMENTAIRE 900G PET</t>
  </si>
  <si>
    <t>BARQUETTE ALUMINIUM 808</t>
  </si>
  <si>
    <t>BA808</t>
  </si>
  <si>
    <t>PAILLE ENVELOPPE NOIR 100/50PCS</t>
  </si>
  <si>
    <t>GANT VINYL EXTRA PREMIUM GLOVE LARGE</t>
  </si>
  <si>
    <t>ROULEAU ALUMINIUM GOLDEN 200M</t>
  </si>
  <si>
    <t>ESSUIE MAIN PROF</t>
  </si>
  <si>
    <t>SERVIETTE DE TABLE SEVAN 1PLI</t>
  </si>
  <si>
    <t>PAPIER ZIGZAG</t>
  </si>
  <si>
    <t>BARQUETTE ALUMINIUM 250</t>
  </si>
  <si>
    <t>BARQUETTE ALUMINIUM 420</t>
  </si>
  <si>
    <t>GOBLET EN CARTON 8OZ AVEC CVL</t>
  </si>
  <si>
    <t>BOL EN CARTON BLANC AVEC CVL 12OZ</t>
  </si>
  <si>
    <t>SERVIETTE DE TABLE 1PLI SEVAN</t>
  </si>
  <si>
    <t>BOL SALADE ET CVL BLANC 38OZ CARTON 300PCS</t>
  </si>
  <si>
    <t>PAILLE ARTISTIQUE 100</t>
  </si>
  <si>
    <t>POT DE SAUCE EN PLAST INJECTION TRANS 50ML</t>
  </si>
  <si>
    <t>BOITE PIZZA 24</t>
  </si>
  <si>
    <t>BOITE PIZZA 26</t>
  </si>
  <si>
    <t>BOITE PIZZA 29</t>
  </si>
  <si>
    <t>BARQUETTE ALUMINIUM RECT 1200ML AVEC CVL</t>
  </si>
  <si>
    <t>BS750</t>
  </si>
  <si>
    <t>BOL SALADE ET CVL KRAFT 750CC CARTON 400PCS</t>
  </si>
  <si>
    <t>GVM</t>
  </si>
  <si>
    <t>BARQUETTE MICRON ONDABLE 3 COMP AVEC CVL 300PCS</t>
  </si>
  <si>
    <t>BARQUETTE ALUMINIUM 83808</t>
  </si>
  <si>
    <t>GVE</t>
  </si>
  <si>
    <t>GVP</t>
  </si>
  <si>
    <t>PSPI30</t>
  </si>
  <si>
    <t>POT DE SAUCE EN PLAST INJECTION TRANS 30ML</t>
  </si>
  <si>
    <t>PSI50</t>
  </si>
  <si>
    <t>BK14.5</t>
  </si>
  <si>
    <t>BOX KRAFT 14,5*8,5*6 CARTON 500PCS</t>
  </si>
  <si>
    <t>SSS</t>
  </si>
  <si>
    <t>PS2OZ</t>
  </si>
  <si>
    <t>POT DE SAUCE 2OZ NOIRE</t>
  </si>
  <si>
    <t>TP</t>
  </si>
  <si>
    <t>TRIPOD PIZZA EN PLASTIQUE</t>
  </si>
  <si>
    <t>COUTEAU ECOLUXE NOIR</t>
  </si>
  <si>
    <t>CENN</t>
  </si>
  <si>
    <t>GB16</t>
  </si>
  <si>
    <t>GOBLET 16OZ EN PLAST COCKTAIL+CVL BOMBE</t>
  </si>
  <si>
    <t>BSMO</t>
  </si>
  <si>
    <t>PS2OZC</t>
  </si>
  <si>
    <t>PSIG</t>
  </si>
  <si>
    <t>PAPIER SANDWISH INGRAISSABLE GRIS PACK 2,5KG</t>
  </si>
  <si>
    <t>BSCN</t>
  </si>
  <si>
    <t>BOL SALADE EN CARTON NEUTRE AVEC CVL 750CC/1PCS</t>
  </si>
  <si>
    <t>BARQUETTE SUSHI PET 160*91 L-ST1</t>
  </si>
  <si>
    <t>FPE300</t>
  </si>
  <si>
    <t>FILM PVC ETIRABLE 300*30 ECO</t>
  </si>
  <si>
    <t>SSFP</t>
  </si>
  <si>
    <t>SACHET SANDWISH FOND PLAT 10*3*24</t>
  </si>
  <si>
    <t>BARQUETTE SUSHI 216*136 ET CVL CARTON 400PCS</t>
  </si>
  <si>
    <t>PS1OZC</t>
  </si>
  <si>
    <t>POT DE SAUCE 1OZ AVEC CVL CARTON 1000</t>
  </si>
  <si>
    <t>POT DE SAUCE 2OZ AVEC CVL CARTON 1000</t>
  </si>
  <si>
    <t>PH</t>
  </si>
  <si>
    <t>PAPIER HYGIENIQUE</t>
  </si>
  <si>
    <t>ETY</t>
  </si>
  <si>
    <t>ESSUIE TOUT YES MAXIS CITRON</t>
  </si>
  <si>
    <t>GLN</t>
  </si>
  <si>
    <t>GANT NITRILE NOIR LARGE/100PCS</t>
  </si>
  <si>
    <t>B2CP</t>
  </si>
  <si>
    <t>BKSC750</t>
  </si>
  <si>
    <t>P2OZS</t>
  </si>
  <si>
    <t>RGA200</t>
  </si>
  <si>
    <t>SALADIER PLAST CARRE G375CC</t>
  </si>
  <si>
    <t>SPC</t>
  </si>
  <si>
    <t>BRA1200</t>
  </si>
  <si>
    <t>B26P</t>
  </si>
  <si>
    <t>ESSUIE MAIN GKEM1KG</t>
  </si>
  <si>
    <t>BA83820</t>
  </si>
  <si>
    <t>BARQUETTE ALUMINIUM 83820/200MP</t>
  </si>
  <si>
    <t>BARQUETTE ALUMINIUM 83420</t>
  </si>
  <si>
    <t>BARQUETTE ROND 500</t>
  </si>
  <si>
    <t>BR500</t>
  </si>
  <si>
    <t>B16T</t>
  </si>
  <si>
    <t>GOBLET 16OZ TRSP SMART +CV BB</t>
  </si>
  <si>
    <t>FPEE</t>
  </si>
  <si>
    <t>FILM PVC ETIRABLE EXTRA 500*45 1,5KG</t>
  </si>
  <si>
    <t>SER</t>
  </si>
  <si>
    <t>MB</t>
  </si>
  <si>
    <t>MOUCHOIR BISSU 550</t>
  </si>
  <si>
    <t>MB2C</t>
  </si>
  <si>
    <t>BRK1000</t>
  </si>
  <si>
    <t>BRK2000</t>
  </si>
  <si>
    <t>BOITE REPAS KRAFT 2000CC CARTON 150PCS</t>
  </si>
  <si>
    <t>BOITE REPAS KRAFT 1000CC CARTON 250PCS</t>
  </si>
  <si>
    <t>OMB2C</t>
  </si>
  <si>
    <t>2CBM</t>
  </si>
  <si>
    <t>BOL SOUPE MICRON ONDABLE ET CVL 460CC CARTON 450PCS</t>
  </si>
  <si>
    <t>BP24BA</t>
  </si>
  <si>
    <t>BOITE PIZZA N°24 BON APPETIT FRESH/50</t>
  </si>
  <si>
    <t>BBK</t>
  </si>
  <si>
    <t>BOITE BURGER KRAFT 11,5*11,5*7 CARTON 460PCS</t>
  </si>
  <si>
    <t>PSIN</t>
  </si>
  <si>
    <t>SVT1</t>
  </si>
  <si>
    <t>ESS</t>
  </si>
  <si>
    <t>BARQUETTE CARRE TRANS EN PET 12OZ</t>
  </si>
  <si>
    <t>BCT12</t>
  </si>
  <si>
    <t>CPBCT</t>
  </si>
  <si>
    <t>CVL PLAT POUR BARQUETTE CARRE TRANS EN PET</t>
  </si>
  <si>
    <t>12BCB</t>
  </si>
  <si>
    <t>PI280</t>
  </si>
  <si>
    <t>G14OZ</t>
  </si>
  <si>
    <t>PAPIER HYGIENIQUE INDUSTRIEL 280</t>
  </si>
  <si>
    <t>14GOZ</t>
  </si>
  <si>
    <t>GOBLET 14OZ TRANSP SMART +CVBB</t>
  </si>
  <si>
    <t>FA600</t>
  </si>
  <si>
    <t>FILM ALIMENTAIRE 600G PET</t>
  </si>
  <si>
    <t>LBK19</t>
  </si>
  <si>
    <t>LUNCH BOX KRAFT 19*11*7,5 CARTON 200</t>
  </si>
  <si>
    <t>PBB20</t>
  </si>
  <si>
    <t>TOTAL DE FACTURE</t>
  </si>
  <si>
    <t>14OZG</t>
  </si>
  <si>
    <t>26PB</t>
  </si>
  <si>
    <t>24BP</t>
  </si>
  <si>
    <t>ST1</t>
  </si>
  <si>
    <t>ST2</t>
  </si>
  <si>
    <t>BARQUETTE SUSHI ST1 160*91*20</t>
  </si>
  <si>
    <t>BARQUETTE SUSHI ST2 218*90*20+CVRC</t>
  </si>
  <si>
    <t>BARQUETTE SUSHI ST5 216*136*20+CVRCL</t>
  </si>
  <si>
    <t>29BP</t>
  </si>
  <si>
    <t>CVL DE PLATEAU 5 COMP THERMOFOME ECO PET TRANS</t>
  </si>
  <si>
    <t>PLATEAU 5 COMP THERMOFORME BLANC</t>
  </si>
  <si>
    <t>P5CT</t>
  </si>
  <si>
    <t>CP5T</t>
  </si>
  <si>
    <t>CP</t>
  </si>
  <si>
    <t>CUILLERE PETIT</t>
  </si>
  <si>
    <t>B24P</t>
  </si>
  <si>
    <t>CMB</t>
  </si>
  <si>
    <t>CLB</t>
  </si>
  <si>
    <t>COQUILLE LUNCH BOX LARGE HB10 BLANC</t>
  </si>
  <si>
    <t>RAS</t>
  </si>
  <si>
    <t>ROULEAU ALUMINIUM SOFTIS 08</t>
  </si>
  <si>
    <t>LVG</t>
  </si>
  <si>
    <t>GANT VINYL LARGE/100PCS</t>
  </si>
  <si>
    <t>EMK</t>
  </si>
  <si>
    <t>CMO</t>
  </si>
  <si>
    <t>COUPE MACEDONIA</t>
  </si>
  <si>
    <t>GC4OZ</t>
  </si>
  <si>
    <t>CBC4OZ</t>
  </si>
  <si>
    <t>CVL GOBLET 4OZ BLANC BON APETIT</t>
  </si>
  <si>
    <t>BCB8</t>
  </si>
  <si>
    <t>BOL EN CARTON BLANC AVEC CVL 8OZ</t>
  </si>
  <si>
    <t>PN26</t>
  </si>
  <si>
    <t>POT A NOUILLE 26OZ BLANC</t>
  </si>
  <si>
    <t>BK26</t>
  </si>
  <si>
    <t>BOL KRAFT 26OZ ET CVL</t>
  </si>
  <si>
    <t>PME</t>
  </si>
  <si>
    <t>900FA</t>
  </si>
  <si>
    <t>FILM ALIMENTAIRE 900GR</t>
  </si>
  <si>
    <t>GEC</t>
  </si>
  <si>
    <t>SDT</t>
  </si>
  <si>
    <t>PAN</t>
  </si>
  <si>
    <t>BK32</t>
  </si>
  <si>
    <t>BOL SALADE ET CVL KRAFT 32OZ CARTON 300PCS</t>
  </si>
  <si>
    <t>BK18</t>
  </si>
  <si>
    <t>BOX KRAFT 18*10,5*7CM CARTON 500PCS</t>
  </si>
  <si>
    <t>KBL19</t>
  </si>
  <si>
    <t>LUNCH BOX KRAFT BONNE APETIT 19*11*7,5 CARTON 200</t>
  </si>
  <si>
    <t>BF</t>
  </si>
  <si>
    <t>FOURCHETTE BLANC 60PCS</t>
  </si>
  <si>
    <t>BA760</t>
  </si>
  <si>
    <t>BARQUETTE ALUMINIUM 81760 (3COMP)</t>
  </si>
  <si>
    <t>BA2C670</t>
  </si>
  <si>
    <t>BARQUETTE ALUMINIUM 81620 (2COMP)</t>
  </si>
  <si>
    <t>2OZPS</t>
  </si>
  <si>
    <t>760BA</t>
  </si>
  <si>
    <t>COQUILLE HAMBURGER BOX LARGE HB6</t>
  </si>
  <si>
    <t>CHB</t>
  </si>
  <si>
    <t>BARQUETTE ALUMINIUM 81200</t>
  </si>
  <si>
    <t>B1200</t>
  </si>
  <si>
    <t>19LB</t>
  </si>
  <si>
    <t>L19B</t>
  </si>
  <si>
    <t>KGEM</t>
  </si>
  <si>
    <t>ESSUIE MAIN 1KG LISSE</t>
  </si>
  <si>
    <t>GIPS</t>
  </si>
  <si>
    <t>GP12</t>
  </si>
  <si>
    <t>NPS2</t>
  </si>
  <si>
    <t>PVC</t>
  </si>
  <si>
    <t>100GV</t>
  </si>
  <si>
    <t>POT A NOUILLE PATE BLANC 26OZ</t>
  </si>
  <si>
    <t>BSST1</t>
  </si>
  <si>
    <t>PAN26</t>
  </si>
  <si>
    <t>BARQUETTE ALUMINIUM 802</t>
  </si>
  <si>
    <t>BA802</t>
  </si>
  <si>
    <t>BARQUETTE ALUMINIUM 83890</t>
  </si>
  <si>
    <t>890BA</t>
  </si>
  <si>
    <t>SR750</t>
  </si>
  <si>
    <t>SALADIER R 750</t>
  </si>
  <si>
    <t>EFA</t>
  </si>
  <si>
    <t>FILM ALIMENTAIRE ELEGENCE</t>
  </si>
  <si>
    <t>LF</t>
  </si>
  <si>
    <t>FOURCHETTE LUX</t>
  </si>
  <si>
    <t>LC</t>
  </si>
  <si>
    <t>CUILLERE LUX</t>
  </si>
  <si>
    <t>1200B</t>
  </si>
  <si>
    <t>BOM3</t>
  </si>
  <si>
    <t>BOM2</t>
  </si>
  <si>
    <t>CUILLERE ECOLUXE TRANSPARENT</t>
  </si>
  <si>
    <t>TEC</t>
  </si>
  <si>
    <t>B500ML</t>
  </si>
  <si>
    <t>BARQUETTE VITA PACK 500ML 5PCS</t>
  </si>
  <si>
    <t>POSA</t>
  </si>
  <si>
    <t>2MCB</t>
  </si>
  <si>
    <t>GOLD</t>
  </si>
  <si>
    <t>GANT POLYETHLENE</t>
  </si>
  <si>
    <t>PG</t>
  </si>
  <si>
    <t>83BA4</t>
  </si>
  <si>
    <t>FILM ALIMENTAIRE 400G</t>
  </si>
  <si>
    <t>400G</t>
  </si>
  <si>
    <t>250BA</t>
  </si>
  <si>
    <t>PAAR</t>
  </si>
  <si>
    <t>802BA</t>
  </si>
  <si>
    <t>G4OZ</t>
  </si>
  <si>
    <t>GOBLET 4OZ AVEC CVL</t>
  </si>
  <si>
    <t>S5T</t>
  </si>
  <si>
    <t>FOURCHETTE ECOLUXE</t>
  </si>
  <si>
    <t>FTE</t>
  </si>
  <si>
    <t>CTE</t>
  </si>
  <si>
    <t>GKE</t>
  </si>
  <si>
    <t>POT DE SAUCE 1OZ 30ML</t>
  </si>
  <si>
    <t>30PS</t>
  </si>
  <si>
    <t>FILM ALIMENTAIRE VIOLET</t>
  </si>
  <si>
    <t>FAV</t>
  </si>
  <si>
    <t>BARQUETTE ST5</t>
  </si>
  <si>
    <t>SBT5</t>
  </si>
  <si>
    <t>G200</t>
  </si>
  <si>
    <t>EXPAC</t>
  </si>
  <si>
    <t>GANT VINYL NOIR EXTRA PREMIUM GLOVE LARGE</t>
  </si>
  <si>
    <t>PNGV</t>
  </si>
  <si>
    <t>SALADIER PLAST ROND 375CC</t>
  </si>
  <si>
    <t>S375</t>
  </si>
  <si>
    <t>B850</t>
  </si>
  <si>
    <t>BARQUETTE ALUMINIUM 81850</t>
  </si>
  <si>
    <t>SALADIER ROND 750</t>
  </si>
  <si>
    <t>BARQUETTE TRAITEUR 750CC MICRON ONDABLE CARTON 250PCS</t>
  </si>
  <si>
    <t>MO750</t>
  </si>
  <si>
    <t>7KB</t>
  </si>
  <si>
    <t>50PE</t>
  </si>
  <si>
    <t>GOBLET 4OZ A CAFE EN CARTON KRAFT</t>
  </si>
  <si>
    <t>GOBLET 8OZ A CAFE EN CARTON KRAFT</t>
  </si>
  <si>
    <t>GOZ4</t>
  </si>
  <si>
    <t>GOZ8</t>
  </si>
  <si>
    <t>12OZ</t>
  </si>
  <si>
    <t>BARQUETTE ALUMINIUM 890</t>
  </si>
  <si>
    <t>890AB</t>
  </si>
  <si>
    <t>420AB</t>
  </si>
  <si>
    <t>250AB</t>
  </si>
  <si>
    <t>BARQUETTE 150CC</t>
  </si>
  <si>
    <t>150CC</t>
  </si>
  <si>
    <t>G900</t>
  </si>
  <si>
    <t>G600</t>
  </si>
  <si>
    <t>ROULEAU ALUMINIUM 200</t>
  </si>
  <si>
    <t>200RA</t>
  </si>
  <si>
    <t>GOBLET 14OZ EN PLAST TRANS SMART + CV PLAT</t>
  </si>
  <si>
    <t xml:space="preserve">GOBLET 12OZ EN PLAST TRANS SMART+CV </t>
  </si>
  <si>
    <t>GOBLET 14OZ EN PLASTIQUE TRANS SMART AVEC CVL PLAT</t>
  </si>
  <si>
    <t>14ST</t>
  </si>
  <si>
    <t>PKG</t>
  </si>
  <si>
    <t>PALETTE COULEUR EN KG</t>
  </si>
  <si>
    <t>PAPZ</t>
  </si>
  <si>
    <t>BARQUETTE VITA PACK 1000ML+CV</t>
  </si>
  <si>
    <t>VP1000</t>
  </si>
  <si>
    <t>1000SR</t>
  </si>
  <si>
    <t>SALADIER ROND 1000</t>
  </si>
  <si>
    <t>BOITE CARRE 500</t>
  </si>
  <si>
    <t>500BC</t>
  </si>
  <si>
    <t>GOBLET 4OZ EN CARTON BON APETIT ECO GB</t>
  </si>
  <si>
    <t>CCPO</t>
  </si>
  <si>
    <t>COUTEAU ECOLUXE</t>
  </si>
  <si>
    <t>750TB</t>
  </si>
  <si>
    <t>TB</t>
  </si>
  <si>
    <t>BCS38</t>
  </si>
  <si>
    <t>B216S</t>
  </si>
  <si>
    <t>BOL SALADE ET CVL KRAFT 550CC CARTON 400PCS</t>
  </si>
  <si>
    <t>BS550</t>
  </si>
  <si>
    <t>750D</t>
  </si>
  <si>
    <t>RAPPORT JOURNAL 31/12/2023</t>
  </si>
  <si>
    <t>FA1</t>
  </si>
  <si>
    <t>FA2</t>
  </si>
  <si>
    <t>FA3</t>
  </si>
  <si>
    <t>FA4</t>
  </si>
  <si>
    <t>FA5</t>
  </si>
  <si>
    <t>BARQUETTE VITAPACK 750ML AVEC CVL</t>
  </si>
  <si>
    <t>BV750</t>
  </si>
  <si>
    <t>FOURCHETTE ECOLUXE TRANSPARENTE</t>
  </si>
  <si>
    <t>FET</t>
  </si>
  <si>
    <t>PS20</t>
  </si>
  <si>
    <t>FA24/0004</t>
  </si>
  <si>
    <t>PS30</t>
  </si>
  <si>
    <t>F/2024/00029</t>
  </si>
  <si>
    <t>FA-24/0001</t>
  </si>
  <si>
    <t>FA7</t>
  </si>
  <si>
    <t>FA8</t>
  </si>
  <si>
    <t>FA9</t>
  </si>
  <si>
    <t>750BV</t>
  </si>
  <si>
    <t>FA24/0024</t>
  </si>
  <si>
    <t>GOBLET 6OZ</t>
  </si>
  <si>
    <t>PALETTE A GLACE BLANC</t>
  </si>
  <si>
    <t>ASSIETTE BLANC</t>
  </si>
  <si>
    <t>GOBLET 8OZ</t>
  </si>
  <si>
    <t>G6OZ</t>
  </si>
  <si>
    <t>PGB</t>
  </si>
  <si>
    <t>AB</t>
  </si>
  <si>
    <t>G8ZO</t>
  </si>
  <si>
    <t>FA24/0005</t>
  </si>
  <si>
    <t>BA8</t>
  </si>
  <si>
    <t>BARQUETTE ALUMINIUM 81890 AVEC CVL</t>
  </si>
  <si>
    <t>200M</t>
  </si>
  <si>
    <t>VINN</t>
  </si>
  <si>
    <t>GANT VINYL NOIR EXTRA PREMIUM GLOVE MEDIUM</t>
  </si>
  <si>
    <t>EPGL</t>
  </si>
  <si>
    <t>20TP</t>
  </si>
  <si>
    <t>POT DE SAUCE EN PLAST TRANSP 20ML</t>
  </si>
  <si>
    <t>NP250</t>
  </si>
  <si>
    <t>SK22</t>
  </si>
  <si>
    <t>NOODLES 250G LA PAGODE</t>
  </si>
  <si>
    <t xml:space="preserve">SAC KRAFT 22*17*28 </t>
  </si>
  <si>
    <t>FA10</t>
  </si>
  <si>
    <t>FA11</t>
  </si>
  <si>
    <t>FA12</t>
  </si>
  <si>
    <t>FA13</t>
  </si>
  <si>
    <t>FA14</t>
  </si>
  <si>
    <t>FA15</t>
  </si>
  <si>
    <t>BARQUETTE VITA PACK 750ML AVEC CVL</t>
  </si>
  <si>
    <t>FA16</t>
  </si>
  <si>
    <t>POT DE SAUCE 1OZ 30ML HP</t>
  </si>
  <si>
    <t>FA17</t>
  </si>
  <si>
    <t>FVE290</t>
  </si>
  <si>
    <t>FA24/0001</t>
  </si>
  <si>
    <t>FILM ETIRABLE VIOLET 290mm kg</t>
  </si>
  <si>
    <t>FA18</t>
  </si>
  <si>
    <t>PC6T</t>
  </si>
  <si>
    <t>PC6N</t>
  </si>
  <si>
    <t>FC24000293</t>
  </si>
  <si>
    <t>FA20240205</t>
  </si>
  <si>
    <t>RDC</t>
  </si>
  <si>
    <t>ROULEAU DE CAISSE THERMIQUE 70X80 CT 50RLX</t>
  </si>
  <si>
    <t>FA014918</t>
  </si>
  <si>
    <t>V750P</t>
  </si>
  <si>
    <t>S750R</t>
  </si>
  <si>
    <t>FA24/0026</t>
  </si>
  <si>
    <t>FA19</t>
  </si>
  <si>
    <t>FA20</t>
  </si>
  <si>
    <t>FA21</t>
  </si>
  <si>
    <t>FA014919</t>
  </si>
  <si>
    <t>F/2024/00337</t>
  </si>
  <si>
    <t>FA23</t>
  </si>
  <si>
    <t>AU VIEUX FOUR</t>
  </si>
  <si>
    <t>FC24000583</t>
  </si>
  <si>
    <t>FA24</t>
  </si>
  <si>
    <t>FA25</t>
  </si>
  <si>
    <t>FA27</t>
  </si>
  <si>
    <t>FA28</t>
  </si>
  <si>
    <t>LGPE</t>
  </si>
  <si>
    <t>FA2400070</t>
  </si>
  <si>
    <t>PR200</t>
  </si>
  <si>
    <t>FA2400053</t>
  </si>
  <si>
    <t>FA2400033</t>
  </si>
  <si>
    <t>PAILLE 6MM CODE ENVELOPPE TRANS 100/50 PCS</t>
  </si>
  <si>
    <t>PAILLE 6MM CODE ENVELOPPE NOIR 100/50 PCS</t>
  </si>
  <si>
    <t>FA29</t>
  </si>
  <si>
    <t>S22K</t>
  </si>
  <si>
    <t>FA202300044</t>
  </si>
  <si>
    <t>FA30</t>
  </si>
  <si>
    <t>FA31</t>
  </si>
  <si>
    <t>FA32</t>
  </si>
  <si>
    <t>FA33</t>
  </si>
  <si>
    <t>FA2400349</t>
  </si>
  <si>
    <t>FA2400749</t>
  </si>
  <si>
    <t>GECO</t>
  </si>
  <si>
    <t>CGECO</t>
  </si>
  <si>
    <t>P1OZ</t>
  </si>
  <si>
    <t>F/2024/00608</t>
  </si>
  <si>
    <t>PAPIER SANDWISH PACK 2,5KG</t>
  </si>
  <si>
    <t>2,5KG</t>
  </si>
  <si>
    <t>FILM ALIMENTAIRE 45*500</t>
  </si>
  <si>
    <t>F45</t>
  </si>
  <si>
    <t>SACHET VERGER KG</t>
  </si>
  <si>
    <t>KGSV</t>
  </si>
  <si>
    <t>FDM2024016047</t>
  </si>
  <si>
    <t>GNVG</t>
  </si>
  <si>
    <t>FA2400081</t>
  </si>
  <si>
    <t>FA34</t>
  </si>
  <si>
    <t>ROULEAU DE CAISSE THERMIQUE 70X80</t>
  </si>
  <si>
    <t>CDR</t>
  </si>
  <si>
    <t>FA014960</t>
  </si>
  <si>
    <t>FA35</t>
  </si>
  <si>
    <t>FA36</t>
  </si>
  <si>
    <t>FA37</t>
  </si>
  <si>
    <t>MC</t>
  </si>
  <si>
    <t>COUTEAU ECOLUXE TRANS</t>
  </si>
  <si>
    <t>TCE</t>
  </si>
  <si>
    <t>FA24/0052</t>
  </si>
  <si>
    <t>FA38</t>
  </si>
  <si>
    <t>FA39</t>
  </si>
  <si>
    <t>FA2402207</t>
  </si>
  <si>
    <t>TOTAL NEGATIF</t>
  </si>
  <si>
    <t>FA40</t>
  </si>
  <si>
    <t>PAEC</t>
  </si>
  <si>
    <t>AGITATEUR EN PLAST ECON TRANSP 1000P</t>
  </si>
  <si>
    <t>FA2400110</t>
  </si>
  <si>
    <t>FA41</t>
  </si>
  <si>
    <t>FA42</t>
  </si>
  <si>
    <t>FA43</t>
  </si>
  <si>
    <t>EGOUTOIR 250 GRS</t>
  </si>
  <si>
    <t>E250</t>
  </si>
  <si>
    <t>CM</t>
  </si>
  <si>
    <t>CVL DE COUPE MACEDONIA</t>
  </si>
  <si>
    <t>CCM</t>
  </si>
  <si>
    <t>COUPE DESSERT</t>
  </si>
  <si>
    <t>DC</t>
  </si>
  <si>
    <t>CVL DE COUPE DESSERT</t>
  </si>
  <si>
    <t>CDC</t>
  </si>
  <si>
    <t>300M</t>
  </si>
  <si>
    <t>RA200</t>
  </si>
  <si>
    <t>FA24/0044</t>
  </si>
  <si>
    <t>FA44</t>
  </si>
  <si>
    <t>FA45</t>
  </si>
  <si>
    <t>FA46</t>
  </si>
  <si>
    <t>FA47</t>
  </si>
  <si>
    <t>FA48</t>
  </si>
  <si>
    <t>FA49</t>
  </si>
  <si>
    <t>FA50</t>
  </si>
  <si>
    <t>FA51</t>
  </si>
  <si>
    <t>FA52</t>
  </si>
  <si>
    <t>S26FC</t>
  </si>
  <si>
    <t>FAC2402STP00072</t>
  </si>
  <si>
    <t>8OZ</t>
  </si>
  <si>
    <t>GOBLET 8OZ AVEC CVL</t>
  </si>
  <si>
    <t>FA-24/0035</t>
  </si>
  <si>
    <t>ZP</t>
  </si>
  <si>
    <t>FA20240483</t>
  </si>
  <si>
    <t>FA53</t>
  </si>
  <si>
    <t>FA54</t>
  </si>
  <si>
    <t>CP5MM</t>
  </si>
  <si>
    <t>CLICHE POLYMERE EP° 5MM</t>
  </si>
  <si>
    <t>FA000143</t>
  </si>
  <si>
    <t>TYPE DE PAIMENT</t>
  </si>
  <si>
    <t>ESP</t>
  </si>
  <si>
    <t>CHEQUE</t>
  </si>
  <si>
    <t>LETTRE</t>
  </si>
  <si>
    <t>FA55</t>
  </si>
  <si>
    <t>FA56</t>
  </si>
  <si>
    <t>FA22</t>
  </si>
  <si>
    <t>FA26</t>
  </si>
  <si>
    <t>KS22</t>
  </si>
  <si>
    <t>FA202300080</t>
  </si>
  <si>
    <t>VR</t>
  </si>
  <si>
    <t>FA57</t>
  </si>
  <si>
    <t>SERV</t>
  </si>
  <si>
    <t>FA12129</t>
  </si>
  <si>
    <t>FA58</t>
  </si>
  <si>
    <t>CDA</t>
  </si>
  <si>
    <t xml:space="preserve">COUPE DESSERT ARISSA ET CVL 230CC </t>
  </si>
  <si>
    <t>F/2024/01/0035</t>
  </si>
  <si>
    <t>BOITE BURGER KRAFT 11,5*11,5*7 CARTON</t>
  </si>
  <si>
    <t>FA59</t>
  </si>
  <si>
    <t>FA014984</t>
  </si>
  <si>
    <t>4OZ</t>
  </si>
  <si>
    <t>C4OZ</t>
  </si>
  <si>
    <t>CVL DE GOBLET 4OZ NOIR BON APPETIT</t>
  </si>
  <si>
    <t>GOBLET 4OZ EN CARTON BON APPETIT ECO GB</t>
  </si>
  <si>
    <t>FA2403197</t>
  </si>
  <si>
    <t>FILM ETIRABLE VIOLET 450MM KG</t>
  </si>
  <si>
    <t>FEV</t>
  </si>
  <si>
    <t>FA2401005</t>
  </si>
  <si>
    <t>BA670</t>
  </si>
  <si>
    <t>BA420</t>
  </si>
  <si>
    <t>FA2024-0311</t>
  </si>
  <si>
    <t xml:space="preserve">BARQUETTE MICRON ONDABLE 1 COMP </t>
  </si>
  <si>
    <t>BMO</t>
  </si>
  <si>
    <t>F/2024/01/0143</t>
  </si>
  <si>
    <t>BMO2</t>
  </si>
  <si>
    <t xml:space="preserve">BARQUETTE MICRON ONDABLE 2 COMP </t>
  </si>
  <si>
    <t>F/2024/01/0134</t>
  </si>
  <si>
    <t>BT500</t>
  </si>
  <si>
    <t>F/2024/01/0103</t>
  </si>
  <si>
    <t>CDE</t>
  </si>
  <si>
    <t>CURE DENT ENVELOPE</t>
  </si>
  <si>
    <t>F/2024/01/0063</t>
  </si>
  <si>
    <t>2BMO</t>
  </si>
  <si>
    <t>F/2024/01/0062</t>
  </si>
  <si>
    <t>F/2024/01/0015</t>
  </si>
  <si>
    <t xml:space="preserve">BARQUETTE MICRON ONDABLE 3 COMP </t>
  </si>
  <si>
    <t>B1C</t>
  </si>
  <si>
    <t>B3C</t>
  </si>
  <si>
    <t>F/2024/01/0004</t>
  </si>
  <si>
    <t>FA60</t>
  </si>
  <si>
    <t>BA815</t>
  </si>
  <si>
    <t>BARQUETTE ALUMINIUM 815</t>
  </si>
  <si>
    <t>FA000079</t>
  </si>
  <si>
    <t>FA000078</t>
  </si>
  <si>
    <t>FA000077</t>
  </si>
  <si>
    <t>FA000075</t>
  </si>
  <si>
    <t>FA61</t>
  </si>
  <si>
    <t>15600 PAR LETTRE</t>
  </si>
  <si>
    <t>FA62</t>
  </si>
  <si>
    <t>FA63</t>
  </si>
  <si>
    <t>FAC2402STP00120</t>
  </si>
  <si>
    <t>FA64</t>
  </si>
  <si>
    <t>FA65</t>
  </si>
  <si>
    <t>PAILLE CODE 6MM 500 NOIR</t>
  </si>
  <si>
    <t>P500</t>
  </si>
  <si>
    <t>P6MM</t>
  </si>
  <si>
    <t>PAILLE ENVELOPPE 6MM CODE 100 TRANS</t>
  </si>
  <si>
    <t>FA2024071</t>
  </si>
  <si>
    <t>FC24001767</t>
  </si>
  <si>
    <t>FA000068</t>
  </si>
  <si>
    <t>BA250</t>
  </si>
  <si>
    <t>ROULEAU ALUMINIUM SOFTIS 200 ECO</t>
  </si>
  <si>
    <t>SOFTIS</t>
  </si>
  <si>
    <t>FA2400019</t>
  </si>
  <si>
    <t>EXTRA</t>
  </si>
  <si>
    <t>FA2400078</t>
  </si>
  <si>
    <t>ALBA8</t>
  </si>
  <si>
    <t>FA000082</t>
  </si>
  <si>
    <t>FA000083</t>
  </si>
  <si>
    <t>B808</t>
  </si>
  <si>
    <t>FA000081</t>
  </si>
  <si>
    <t>TEF</t>
  </si>
  <si>
    <t>FA24/0089</t>
  </si>
  <si>
    <t>FA66</t>
  </si>
  <si>
    <t>FA67</t>
  </si>
  <si>
    <t>420B</t>
  </si>
  <si>
    <t>BARQUETTE SALADE TRAITEUR 500CC</t>
  </si>
  <si>
    <t>FA68</t>
  </si>
  <si>
    <t>FA69</t>
  </si>
  <si>
    <t>B890</t>
  </si>
  <si>
    <t>CUILLERE BLANC</t>
  </si>
  <si>
    <t>CB</t>
  </si>
  <si>
    <t>FA-24/0050</t>
  </si>
  <si>
    <t>FA70</t>
  </si>
  <si>
    <t>FA71</t>
  </si>
  <si>
    <t>FA24/0108</t>
  </si>
  <si>
    <t>FA72</t>
  </si>
  <si>
    <t>FA-24/0025</t>
  </si>
  <si>
    <t>GOBLET 14OZ COCKTAIL SMART +CVBB</t>
  </si>
  <si>
    <t>GS14</t>
  </si>
  <si>
    <t>420BA</t>
  </si>
  <si>
    <t>FA-24/0051</t>
  </si>
  <si>
    <t>BARQUETTE ALUMINIUM 83670</t>
  </si>
  <si>
    <t>ROULEAU ALUMINIUM 300M</t>
  </si>
  <si>
    <t>FA24/0102</t>
  </si>
  <si>
    <t>FA73</t>
  </si>
  <si>
    <t>FA74</t>
  </si>
  <si>
    <t>FA75</t>
  </si>
  <si>
    <t>FA76</t>
  </si>
  <si>
    <t>FA77</t>
  </si>
  <si>
    <t>GGEL</t>
  </si>
  <si>
    <t>GEVM</t>
  </si>
  <si>
    <t>EP200</t>
  </si>
  <si>
    <t>FA2400115</t>
  </si>
  <si>
    <t>F/2024/01407</t>
  </si>
  <si>
    <t>FA78</t>
  </si>
  <si>
    <t>FA79</t>
  </si>
  <si>
    <t>FA80</t>
  </si>
  <si>
    <t>FA20240747</t>
  </si>
  <si>
    <t>FA81</t>
  </si>
  <si>
    <t>FA82</t>
  </si>
  <si>
    <t>FA83</t>
  </si>
  <si>
    <t>FA84</t>
  </si>
  <si>
    <t>FA85</t>
  </si>
  <si>
    <t>FAR500</t>
  </si>
  <si>
    <t>FILM ALIMENTAIRE ROTANA 45*500</t>
  </si>
  <si>
    <t>GC8OZ</t>
  </si>
  <si>
    <t>PHJG</t>
  </si>
  <si>
    <t>PAPIER HYGIENIQUE JUMBO PROF GAUFREE</t>
  </si>
  <si>
    <t>FA280</t>
  </si>
  <si>
    <t>FILM ALIMENTAIRE VIOLET 280MM 500GR</t>
  </si>
  <si>
    <t>1KG</t>
  </si>
  <si>
    <t>FPS</t>
  </si>
  <si>
    <t>FILM PVC STRECH VIOLET</t>
  </si>
  <si>
    <t>PEP</t>
  </si>
  <si>
    <t>POT EN PLASTIQUE PP 250ML</t>
  </si>
  <si>
    <t>CPEP</t>
  </si>
  <si>
    <t>CVL ROND EN PLAST POUR POT 250ML</t>
  </si>
  <si>
    <t>CEPB</t>
  </si>
  <si>
    <t>CVL PLAT BLANC POUR PHDC8</t>
  </si>
  <si>
    <t>FA20240830</t>
  </si>
  <si>
    <t>FILM ALIMENTAIRE ORIGINAL 45*500</t>
  </si>
  <si>
    <t>F45O</t>
  </si>
  <si>
    <t>SCA</t>
  </si>
  <si>
    <t>SAC PN BLANC UNI 28/40/10</t>
  </si>
  <si>
    <t>RAG200</t>
  </si>
  <si>
    <t>FA24/0145</t>
  </si>
  <si>
    <t>PS1</t>
  </si>
  <si>
    <t>F/2024/01587</t>
  </si>
  <si>
    <t>FA86</t>
  </si>
  <si>
    <t>FA87</t>
  </si>
  <si>
    <t>FA88</t>
  </si>
  <si>
    <t>FA92</t>
  </si>
  <si>
    <t>FA93</t>
  </si>
  <si>
    <t>FA89</t>
  </si>
  <si>
    <t>FA90</t>
  </si>
  <si>
    <t>FA91</t>
  </si>
  <si>
    <t>BARQUETTE TRAITEUR 500CC</t>
  </si>
  <si>
    <t>500CC</t>
  </si>
  <si>
    <t>F/2024/0470</t>
  </si>
  <si>
    <t>GOBLET KRAFT 4OZ</t>
  </si>
  <si>
    <t>4GOZ</t>
  </si>
  <si>
    <t>C4GOZ</t>
  </si>
  <si>
    <t>CVL DE GOBLET 4OZ</t>
  </si>
  <si>
    <t>SET FOURCHETTE ET COUTEAU ET SERVIETTE</t>
  </si>
  <si>
    <t>SFCS</t>
  </si>
  <si>
    <t>F/2024/0408</t>
  </si>
  <si>
    <t>BARQUETTE TRAITEUR 500CC MICRON-ONDABLE TRANS</t>
  </si>
  <si>
    <t>BM500</t>
  </si>
  <si>
    <t>F/2024/0402</t>
  </si>
  <si>
    <t>BOL SALADE ET CVL BLANC 38OZ</t>
  </si>
  <si>
    <t>BS38</t>
  </si>
  <si>
    <t>POT DE SAUCE 2OZ ET CVL</t>
  </si>
  <si>
    <t>PC2OZ</t>
  </si>
  <si>
    <t>F/2024/0381</t>
  </si>
  <si>
    <t>BOL SOUPE MICRON ONDABLE ET CVL 460CC</t>
  </si>
  <si>
    <t>B460</t>
  </si>
  <si>
    <t>BARQUETTE MICRON ONDABLE 2 COMP AVEC CVL</t>
  </si>
  <si>
    <t>BM2</t>
  </si>
  <si>
    <t>F/2024/0345</t>
  </si>
  <si>
    <t>BMOT</t>
  </si>
  <si>
    <t>F/2024/0340</t>
  </si>
  <si>
    <t>BARQUETTE SUSHI 205*275 ET CVL CARTON</t>
  </si>
  <si>
    <t>B205</t>
  </si>
  <si>
    <t>BRBK</t>
  </si>
  <si>
    <t>BOITE REPAS KRAFT BLANC</t>
  </si>
  <si>
    <t>F/2024/0313</t>
  </si>
  <si>
    <t>BMC2</t>
  </si>
  <si>
    <t>F/2024/0244</t>
  </si>
  <si>
    <t>BARQUETTE MICRON ONDABLE 1 COMP AVEC CVL</t>
  </si>
  <si>
    <t>BMC1</t>
  </si>
  <si>
    <t>F/2024/0236</t>
  </si>
  <si>
    <t>F/2024/0219</t>
  </si>
  <si>
    <t>F/2024/0217</t>
  </si>
  <si>
    <t>GPVM</t>
  </si>
  <si>
    <t>FA2400117</t>
  </si>
  <si>
    <t>R200A</t>
  </si>
  <si>
    <t>FA2400128</t>
  </si>
  <si>
    <t>FA94</t>
  </si>
  <si>
    <t>BARQUETTE 150CARRE</t>
  </si>
  <si>
    <t>B150</t>
  </si>
  <si>
    <t>B250A</t>
  </si>
  <si>
    <t>FA-24/0068</t>
  </si>
  <si>
    <t>FA24/0156</t>
  </si>
  <si>
    <t>FA95</t>
  </si>
  <si>
    <t>B750</t>
  </si>
  <si>
    <t>BN16</t>
  </si>
  <si>
    <t>BOL SOUPE/NOUILLE ET CVL 16OZ</t>
  </si>
  <si>
    <t>SB38</t>
  </si>
  <si>
    <t>B500CC</t>
  </si>
  <si>
    <t>BS160</t>
  </si>
  <si>
    <t>BARQUETTE SUSHI 218*90 ET CVL</t>
  </si>
  <si>
    <t>BARQUETTE SUSHI 160*91 ET CVL</t>
  </si>
  <si>
    <t>BS218</t>
  </si>
  <si>
    <t>F/2024/0713</t>
  </si>
  <si>
    <t xml:space="preserve">BARQUETTE SUSHI 216*136 ET CVL </t>
  </si>
  <si>
    <t>BS216</t>
  </si>
  <si>
    <t>POT DE SAUCE 1OZ ET CVL</t>
  </si>
  <si>
    <t>PSC1</t>
  </si>
  <si>
    <t>PSC2</t>
  </si>
  <si>
    <t>BOLE SOUPE 16OZ MICRON ONDABLE</t>
  </si>
  <si>
    <t>BSM16</t>
  </si>
  <si>
    <t>F/2024/01739</t>
  </si>
  <si>
    <t>FA96</t>
  </si>
  <si>
    <t>FA97</t>
  </si>
  <si>
    <t>FA98</t>
  </si>
  <si>
    <t>FA6</t>
  </si>
  <si>
    <t>FA99</t>
  </si>
  <si>
    <t>Qt réstante</t>
  </si>
  <si>
    <t>FA100</t>
  </si>
  <si>
    <t>FEN</t>
  </si>
  <si>
    <t>FOURCHETTE ECOLUXE NOIRE</t>
  </si>
  <si>
    <t>FA24/0160</t>
  </si>
  <si>
    <t>FA101</t>
  </si>
  <si>
    <t>FA102</t>
  </si>
  <si>
    <t>FA103</t>
  </si>
  <si>
    <t>FA104</t>
  </si>
  <si>
    <t>FA105</t>
  </si>
  <si>
    <t>FA106</t>
  </si>
  <si>
    <t>FA107</t>
  </si>
  <si>
    <t>FA108</t>
  </si>
  <si>
    <t>FA109</t>
  </si>
  <si>
    <t>FA110</t>
  </si>
  <si>
    <t>FA111</t>
  </si>
  <si>
    <t>FA112</t>
  </si>
  <si>
    <t>FA113</t>
  </si>
  <si>
    <t>FA114</t>
  </si>
  <si>
    <t>FC24003150</t>
  </si>
  <si>
    <t>FA115</t>
  </si>
  <si>
    <t>FA24/0134</t>
  </si>
  <si>
    <t>POL</t>
  </si>
  <si>
    <t>PAG</t>
  </si>
  <si>
    <t>B420A</t>
  </si>
  <si>
    <t>PGAB</t>
  </si>
  <si>
    <t>PAGB</t>
  </si>
  <si>
    <t>FA116</t>
  </si>
  <si>
    <t>FA117</t>
  </si>
  <si>
    <t>COEC</t>
  </si>
  <si>
    <t>PBG</t>
  </si>
  <si>
    <t>FA24/0168</t>
  </si>
  <si>
    <t>FA118</t>
  </si>
  <si>
    <t>FA119</t>
  </si>
  <si>
    <t>FA015089</t>
  </si>
  <si>
    <t>F/2024/01995</t>
  </si>
  <si>
    <t>BOUTEILLE PLASTIQUE TRANS 330ML AVEC BOUCHON</t>
  </si>
  <si>
    <t>BP330</t>
  </si>
  <si>
    <t>FC24003298</t>
  </si>
  <si>
    <t>FA120</t>
  </si>
  <si>
    <t>F/2024/0659</t>
  </si>
  <si>
    <t>PS8</t>
  </si>
  <si>
    <t>POT DESSERT 8OZ</t>
  </si>
  <si>
    <t>CVL DE PLAT GOBLET TRANS</t>
  </si>
  <si>
    <t>CPG</t>
  </si>
  <si>
    <t>F/2024/0622</t>
  </si>
  <si>
    <t>BOITE SANDWISH KRAFT 19*10*9</t>
  </si>
  <si>
    <t>BSK</t>
  </si>
  <si>
    <t>F/2024/0617</t>
  </si>
  <si>
    <t>SBK</t>
  </si>
  <si>
    <t>BOL SALADE BLANC 500CC</t>
  </si>
  <si>
    <t>BSB</t>
  </si>
  <si>
    <t>F/2024/0593</t>
  </si>
  <si>
    <t>F/2024/0566</t>
  </si>
  <si>
    <t>B500T</t>
  </si>
  <si>
    <t>F/2024/0538</t>
  </si>
  <si>
    <t>F/2024/0512</t>
  </si>
  <si>
    <t>F/2024/0503</t>
  </si>
  <si>
    <t>F/2024/0497</t>
  </si>
  <si>
    <t>F/2024/0491</t>
  </si>
  <si>
    <t>2CBO</t>
  </si>
  <si>
    <t>FA121</t>
  </si>
  <si>
    <t>FA2400189</t>
  </si>
  <si>
    <t>FA2400126</t>
  </si>
  <si>
    <t>FA2400154</t>
  </si>
  <si>
    <t>FA2400209</t>
  </si>
  <si>
    <t>ROULEAU ALUMINIUM GOLDEN 300M</t>
  </si>
  <si>
    <t>RA300</t>
  </si>
  <si>
    <t>RAS200</t>
  </si>
  <si>
    <t>GVEL</t>
  </si>
  <si>
    <t>PSP50</t>
  </si>
  <si>
    <t>GANT NOIR VINYL EXTRA PREMIUM GLOVE LARGE</t>
  </si>
  <si>
    <t>GNP</t>
  </si>
  <si>
    <t>RAG</t>
  </si>
  <si>
    <t xml:space="preserve">GOBLET EN PLAST TRANS 250CC </t>
  </si>
  <si>
    <t>G250</t>
  </si>
  <si>
    <t>ROULEAU ALUMINIUM SOFTIS 1KG</t>
  </si>
  <si>
    <t>RAS1</t>
  </si>
  <si>
    <t>PSPT</t>
  </si>
  <si>
    <t>AB420</t>
  </si>
  <si>
    <t>BARQUETTE ALUMINIUM 31808 ROND</t>
  </si>
  <si>
    <t>BA80</t>
  </si>
  <si>
    <t>SACHET PLASTIQUE</t>
  </si>
  <si>
    <t>SP</t>
  </si>
  <si>
    <t>FA2024-0649</t>
  </si>
  <si>
    <t>FA122</t>
  </si>
  <si>
    <t>FOR</t>
  </si>
  <si>
    <t>FA24/0183</t>
  </si>
  <si>
    <t>B670</t>
  </si>
  <si>
    <t>FA-24/0085</t>
  </si>
  <si>
    <t>COU</t>
  </si>
  <si>
    <t>FA24/0189</t>
  </si>
  <si>
    <t>FA123</t>
  </si>
  <si>
    <t>FA124</t>
  </si>
  <si>
    <t>CLEANPACK</t>
  </si>
  <si>
    <t>BST5</t>
  </si>
  <si>
    <t>FA2024-0689</t>
  </si>
  <si>
    <t>FA125</t>
  </si>
  <si>
    <t>FA126</t>
  </si>
  <si>
    <t>F/2024/02349</t>
  </si>
  <si>
    <t>FA127</t>
  </si>
  <si>
    <t>FA128</t>
  </si>
  <si>
    <t>B29P</t>
  </si>
  <si>
    <t>FA000263</t>
  </si>
  <si>
    <t>FILM ALIMENTAIRE 45CM 1.5KG</t>
  </si>
  <si>
    <t>BA25</t>
  </si>
  <si>
    <t>FA000262</t>
  </si>
  <si>
    <t>QUANTITE DE STOCK</t>
  </si>
  <si>
    <t>PRIX D'ACHAT</t>
  </si>
  <si>
    <t>FA129</t>
  </si>
  <si>
    <t>FA130</t>
  </si>
  <si>
    <t>FA131</t>
  </si>
  <si>
    <t>FA132</t>
  </si>
  <si>
    <t>FA133</t>
  </si>
  <si>
    <t>FA134</t>
  </si>
  <si>
    <t>TOTAL DE FACTURE TTC</t>
  </si>
  <si>
    <t>FA135</t>
  </si>
  <si>
    <t>FA136</t>
  </si>
  <si>
    <t>FA137</t>
  </si>
  <si>
    <t>SAC PN BLANC NI 30*40*10</t>
  </si>
  <si>
    <t>SAC PN BLANC UNI 40*45*10</t>
  </si>
  <si>
    <t>SP40</t>
  </si>
  <si>
    <t>SP45</t>
  </si>
  <si>
    <t>FA24040045</t>
  </si>
  <si>
    <t>SAC PN BLANC 30*22</t>
  </si>
  <si>
    <t>SAC PN BLANC 40*30</t>
  </si>
  <si>
    <t>SAC PN BLANC 40*45</t>
  </si>
  <si>
    <t>SB22</t>
  </si>
  <si>
    <t>SB30</t>
  </si>
  <si>
    <t>S45P</t>
  </si>
  <si>
    <t>FA24050005</t>
  </si>
  <si>
    <t>FA138</t>
  </si>
  <si>
    <t>FA139</t>
  </si>
  <si>
    <t>FA140</t>
  </si>
  <si>
    <t>FA141</t>
  </si>
  <si>
    <t xml:space="preserve">SERVIETTE DE TABLE </t>
  </si>
  <si>
    <t>ST</t>
  </si>
  <si>
    <t>ESM</t>
  </si>
  <si>
    <t>FILM ALIMENTAIRE 900GR GM 30X300</t>
  </si>
  <si>
    <t>FA900</t>
  </si>
  <si>
    <t>FA1300</t>
  </si>
  <si>
    <t>FILM ALIMENTAIRE 1300GR GM 45X500</t>
  </si>
  <si>
    <t>FA20241177</t>
  </si>
  <si>
    <t>G14B</t>
  </si>
  <si>
    <t>BPN24</t>
  </si>
  <si>
    <t>FA2410026</t>
  </si>
  <si>
    <t>B550S</t>
  </si>
  <si>
    <t>PIQUE BAMBOU 15CM</t>
  </si>
  <si>
    <t>P15B</t>
  </si>
  <si>
    <t>BOL</t>
  </si>
  <si>
    <t xml:space="preserve">BOL SOUP 16OZ MICRON ONDABLE </t>
  </si>
  <si>
    <t>F/2024/0726</t>
  </si>
  <si>
    <t>F/2024/0710</t>
  </si>
  <si>
    <t>BOL SOUP/NOUILLE BLANC ET CVL</t>
  </si>
  <si>
    <t>BOL SOUP/NOUILLE KRAFT ET CVL</t>
  </si>
  <si>
    <t>BSN</t>
  </si>
  <si>
    <t>BSNB</t>
  </si>
  <si>
    <t>F/2024/0688</t>
  </si>
  <si>
    <t>POT DE SAUCE 1OZ AVEC CVL</t>
  </si>
  <si>
    <t>1OZPS</t>
  </si>
  <si>
    <t>F/2024/0701</t>
  </si>
  <si>
    <t>BARQUETTE MICRON ONDABLE 3 COMP AVEC CVL</t>
  </si>
  <si>
    <t>BM3</t>
  </si>
  <si>
    <t>BARQUETTE TRAITEUR 750CC MICRON ONDABLE</t>
  </si>
  <si>
    <t>F/2024/0716</t>
  </si>
  <si>
    <t>FA142</t>
  </si>
  <si>
    <t>FA143</t>
  </si>
  <si>
    <t>PAILLE ENVELOPPEE CODE 100 TRANS</t>
  </si>
  <si>
    <t>PAILLE ENVELOPPEE CODE 100 NOIR</t>
  </si>
  <si>
    <t>PT</t>
  </si>
  <si>
    <t>PN</t>
  </si>
  <si>
    <t>FA20240225</t>
  </si>
  <si>
    <t>FA144</t>
  </si>
  <si>
    <t>FA145</t>
  </si>
  <si>
    <t>FA146</t>
  </si>
  <si>
    <t>TPP</t>
  </si>
  <si>
    <t>FC24003701</t>
  </si>
  <si>
    <t>FA015131</t>
  </si>
  <si>
    <t>FA147</t>
  </si>
  <si>
    <t>FA148</t>
  </si>
  <si>
    <t>FA149</t>
  </si>
  <si>
    <t>FA150</t>
  </si>
  <si>
    <t>FA151</t>
  </si>
  <si>
    <t>FA152</t>
  </si>
  <si>
    <t>FA153</t>
  </si>
  <si>
    <t>FA154</t>
  </si>
  <si>
    <t>FA155</t>
  </si>
  <si>
    <t>FA156</t>
  </si>
  <si>
    <t>SPN</t>
  </si>
  <si>
    <t>FA24050067</t>
  </si>
  <si>
    <t>SAC PN NOIR 35*30 /KG</t>
  </si>
  <si>
    <t>FA157</t>
  </si>
  <si>
    <t>FA158</t>
  </si>
  <si>
    <t>FC24004221</t>
  </si>
  <si>
    <t>COME</t>
  </si>
  <si>
    <t>200GL</t>
  </si>
  <si>
    <t>FA2400233</t>
  </si>
  <si>
    <t>F/2024/02622</t>
  </si>
  <si>
    <t>FA159</t>
  </si>
  <si>
    <t>FA160</t>
  </si>
  <si>
    <t>FA161</t>
  </si>
  <si>
    <t>FA162</t>
  </si>
  <si>
    <t>FA163</t>
  </si>
  <si>
    <t>FA164</t>
  </si>
  <si>
    <t>FA165</t>
  </si>
  <si>
    <t>G14P</t>
  </si>
  <si>
    <t>GOBLET 4OZ EN CARTON BONNE APPETIT SANS CVL</t>
  </si>
  <si>
    <t>G4G</t>
  </si>
  <si>
    <t>CVL GOBLET 4OZ NOIR BON APPETIT</t>
  </si>
  <si>
    <t>CG4</t>
  </si>
  <si>
    <t>BN24</t>
  </si>
  <si>
    <t>RECT</t>
  </si>
  <si>
    <t>FA2411596</t>
  </si>
  <si>
    <t>R%</t>
  </si>
  <si>
    <t>PU HT/DH</t>
  </si>
  <si>
    <t>PU AVEC REMISE</t>
  </si>
  <si>
    <t>Inventaire des produits en stock</t>
  </si>
  <si>
    <t>FA167</t>
  </si>
  <si>
    <t>FIL</t>
  </si>
  <si>
    <t>FA2401006</t>
  </si>
  <si>
    <t>POT DE SAUCE 1OZ SANS CVL TRANSPARENT</t>
  </si>
  <si>
    <t>CVL DE POT DE SAUCE NOIR/TRANS 1OZ</t>
  </si>
  <si>
    <t>PSS1</t>
  </si>
  <si>
    <t>CPSS</t>
  </si>
  <si>
    <t>F/2024/00857</t>
  </si>
  <si>
    <t>F/2024/03067</t>
  </si>
  <si>
    <t>GOBLET 14OZ TRANS SMART + CVL BB</t>
  </si>
  <si>
    <t>GST</t>
  </si>
  <si>
    <t>FA-24/0106</t>
  </si>
  <si>
    <t>STD</t>
  </si>
  <si>
    <t>FA20241353</t>
  </si>
  <si>
    <t>FA168</t>
  </si>
  <si>
    <t>FA169</t>
  </si>
  <si>
    <t>FA170</t>
  </si>
  <si>
    <t>FA171</t>
  </si>
  <si>
    <t>FA172</t>
  </si>
  <si>
    <t>FA173</t>
  </si>
  <si>
    <t>FA166</t>
  </si>
  <si>
    <t>FA174</t>
  </si>
  <si>
    <t>FA175</t>
  </si>
  <si>
    <t>FA176</t>
  </si>
  <si>
    <t>FA177</t>
  </si>
  <si>
    <t>FA178</t>
  </si>
  <si>
    <t>BOITE PIZZA N°40</t>
  </si>
  <si>
    <t>BDP40</t>
  </si>
  <si>
    <t>BOITE PIZZA N°24</t>
  </si>
  <si>
    <t>BDP24</t>
  </si>
  <si>
    <t>BOITE PIZZA N°29</t>
  </si>
  <si>
    <t>BDP29</t>
  </si>
  <si>
    <t>FA179</t>
  </si>
  <si>
    <t>BT5</t>
  </si>
  <si>
    <t>F/2024/1237</t>
  </si>
  <si>
    <t>F/2024/1146</t>
  </si>
  <si>
    <t>BMO3</t>
  </si>
  <si>
    <t>BOX NOUILLE ET PATE 32OZ BLANC</t>
  </si>
  <si>
    <t>BNP</t>
  </si>
  <si>
    <t>BAGUETTE SUSHI BAMBOU ENVELOPPE</t>
  </si>
  <si>
    <t>BSEB</t>
  </si>
  <si>
    <t>BS16</t>
  </si>
  <si>
    <t>F/2024/1134</t>
  </si>
  <si>
    <t>BRKK</t>
  </si>
  <si>
    <t>BOITE BURGER KRAFT BONNE APPETIT 11,5*11,5*7 CARTON</t>
  </si>
  <si>
    <t>BBKA</t>
  </si>
  <si>
    <t>F/2024/1025</t>
  </si>
  <si>
    <t>BOL SALADE ET CVL KRAFT 32OZ</t>
  </si>
  <si>
    <t>BS32K</t>
  </si>
  <si>
    <t>F/2024/0965</t>
  </si>
  <si>
    <t>OBM</t>
  </si>
  <si>
    <t>F/2024/0961</t>
  </si>
  <si>
    <t>F/2024/0950</t>
  </si>
  <si>
    <t>FA180</t>
  </si>
  <si>
    <t>FA181</t>
  </si>
  <si>
    <t>FA182</t>
  </si>
  <si>
    <t>FA183</t>
  </si>
  <si>
    <t>FA184</t>
  </si>
  <si>
    <t>FC24005064</t>
  </si>
  <si>
    <t>TIGE BROCHETTE BAMBOU 20CM</t>
  </si>
  <si>
    <t>FA185</t>
  </si>
  <si>
    <t>FA186</t>
  </si>
  <si>
    <t>AL200</t>
  </si>
  <si>
    <t>PS2</t>
  </si>
  <si>
    <t>FA2024138</t>
  </si>
  <si>
    <t>GEG</t>
  </si>
  <si>
    <t>FA2400336</t>
  </si>
  <si>
    <t>F/2024/03352</t>
  </si>
  <si>
    <t>SOFT2</t>
  </si>
  <si>
    <t>FA2400279</t>
  </si>
  <si>
    <t>ROULEAU ALUMINIUM DU CHEF PRO 300</t>
  </si>
  <si>
    <t>R300</t>
  </si>
  <si>
    <t>FA2024102</t>
  </si>
  <si>
    <t>A420</t>
  </si>
  <si>
    <t>ROULEAU ALUMINIUM 200 PROCLEAN BLEU</t>
  </si>
  <si>
    <t>RAPB</t>
  </si>
  <si>
    <t>FA2024134</t>
  </si>
  <si>
    <t>RAEP2</t>
  </si>
  <si>
    <t>FA2400324</t>
  </si>
  <si>
    <t>MOTS DE RECHERCHE:</t>
  </si>
  <si>
    <t>TOTAL MONAITAIRE =&gt;</t>
  </si>
  <si>
    <t>QUANTITE TOTAL  =&gt;</t>
  </si>
  <si>
    <t>F/2024/0928</t>
  </si>
  <si>
    <t>F/2024/0902</t>
  </si>
  <si>
    <t>B216</t>
  </si>
  <si>
    <t>F/2024/0889</t>
  </si>
  <si>
    <t>F/2024/0829</t>
  </si>
  <si>
    <t>B160</t>
  </si>
  <si>
    <t>F/2024/0808</t>
  </si>
  <si>
    <t>F/2024/0784</t>
  </si>
  <si>
    <t>SOR29</t>
  </si>
  <si>
    <t>BOITE PIZZA 29*50 SOR</t>
  </si>
  <si>
    <t>FV24-024339</t>
  </si>
  <si>
    <t>Date</t>
  </si>
  <si>
    <t>FOURNISEUR</t>
  </si>
  <si>
    <t>*/01/*</t>
  </si>
  <si>
    <t>*/02/*</t>
  </si>
  <si>
    <t>*/03/*</t>
  </si>
  <si>
    <t>*/04/*</t>
  </si>
  <si>
    <t>*/05/*</t>
  </si>
  <si>
    <t>*/06/*</t>
  </si>
  <si>
    <t>*/07/*</t>
  </si>
  <si>
    <t>*/08/*</t>
  </si>
  <si>
    <t>*/09/*</t>
  </si>
  <si>
    <t>*/10/*</t>
  </si>
  <si>
    <t>*/11/*</t>
  </si>
  <si>
    <t>*/12/*</t>
  </si>
  <si>
    <t>Client</t>
  </si>
  <si>
    <t>TOTAL MONAITAIRE HT =&gt;</t>
  </si>
  <si>
    <t>FA187</t>
  </si>
  <si>
    <t>TOTAL MONAITAIRE HT=&gt;</t>
  </si>
  <si>
    <t>FA188</t>
  </si>
  <si>
    <t>FA189</t>
  </si>
  <si>
    <t>FA20240345</t>
  </si>
  <si>
    <t>FA20240344</t>
  </si>
  <si>
    <t>FILM ALIMENTAIRE 45CM 1,3KG PET</t>
  </si>
  <si>
    <t>F45C</t>
  </si>
  <si>
    <t>420F</t>
  </si>
  <si>
    <t>FA000384</t>
  </si>
  <si>
    <t>FC24005081</t>
  </si>
  <si>
    <t>FC24005436</t>
  </si>
  <si>
    <t>NFE</t>
  </si>
  <si>
    <t>FA24/0276</t>
  </si>
  <si>
    <t>AFE</t>
  </si>
  <si>
    <t>FA20241580</t>
  </si>
  <si>
    <t>29/26/2024</t>
  </si>
  <si>
    <t>FA190</t>
  </si>
  <si>
    <t>FA191</t>
  </si>
  <si>
    <t>FA192</t>
  </si>
  <si>
    <t>CHERCHEUR VENTES</t>
  </si>
  <si>
    <t>CHERCHEUR ACHATS</t>
  </si>
  <si>
    <t>CHERCHEUR STOCK</t>
  </si>
  <si>
    <t>FA193</t>
  </si>
  <si>
    <t>FA194</t>
  </si>
  <si>
    <t>FA195</t>
  </si>
  <si>
    <t>FA196</t>
  </si>
  <si>
    <t>31/06/2024</t>
  </si>
  <si>
    <t>FA197</t>
  </si>
  <si>
    <t>FA24070010</t>
  </si>
  <si>
    <t>S40</t>
  </si>
  <si>
    <t>CARTON CKB 282 G LAIZE 72</t>
  </si>
  <si>
    <t>CCG</t>
  </si>
  <si>
    <t>FA11576</t>
  </si>
  <si>
    <t>FA11577</t>
  </si>
  <si>
    <t>FA198</t>
  </si>
  <si>
    <t>FA199</t>
  </si>
  <si>
    <t>FA200</t>
  </si>
  <si>
    <t>FA201</t>
  </si>
  <si>
    <t>FA202</t>
  </si>
  <si>
    <t>BP29</t>
  </si>
  <si>
    <t>FCA-0005624</t>
  </si>
  <si>
    <t>BARQUETTE TRAITEUR 750CC MICRON ONDABLE TRANS</t>
  </si>
  <si>
    <t>F/2024/1360</t>
  </si>
  <si>
    <t>F/2024/1358</t>
  </si>
  <si>
    <t>F/2024/1355</t>
  </si>
  <si>
    <t>F/2024/1277</t>
  </si>
  <si>
    <t>BTM</t>
  </si>
  <si>
    <t>F/2024/1257</t>
  </si>
  <si>
    <t>BMTO</t>
  </si>
  <si>
    <t>F/2024/1239</t>
  </si>
  <si>
    <t>FA203</t>
  </si>
  <si>
    <t>FA24/0278</t>
  </si>
  <si>
    <t>FOECO</t>
  </si>
  <si>
    <t>FA24/0242</t>
  </si>
  <si>
    <t>FA204</t>
  </si>
  <si>
    <t>FA205</t>
  </si>
  <si>
    <t>FA206</t>
  </si>
  <si>
    <t>FA207</t>
  </si>
  <si>
    <t>FA208</t>
  </si>
  <si>
    <t>FA209</t>
  </si>
  <si>
    <t>FA210</t>
  </si>
  <si>
    <t>FA211</t>
  </si>
  <si>
    <t>BA89</t>
  </si>
  <si>
    <t>FA-24/0127</t>
  </si>
  <si>
    <t>BARQUETTE ALUMINIUM 83820/2 COMP</t>
  </si>
  <si>
    <t>BA820</t>
  </si>
  <si>
    <t>FA-24/0128</t>
  </si>
  <si>
    <t>FA212</t>
  </si>
  <si>
    <t>FA-24/0129</t>
  </si>
  <si>
    <t>FA2400376</t>
  </si>
  <si>
    <t>PSP</t>
  </si>
  <si>
    <t>FA2400380</t>
  </si>
  <si>
    <t>ROULEAU ALUMINIUM 30M</t>
  </si>
  <si>
    <t>RA30</t>
  </si>
  <si>
    <t>FA2400403</t>
  </si>
  <si>
    <t>FA213</t>
  </si>
  <si>
    <t>FA214</t>
  </si>
  <si>
    <t>FA215</t>
  </si>
  <si>
    <t>B750M</t>
  </si>
  <si>
    <t>FA216</t>
  </si>
  <si>
    <t>FA217</t>
  </si>
  <si>
    <t>FA218</t>
  </si>
  <si>
    <t>FA219</t>
  </si>
  <si>
    <t>FA220</t>
  </si>
  <si>
    <t>FA221</t>
  </si>
  <si>
    <t>FA222</t>
  </si>
  <si>
    <t>FA223</t>
  </si>
  <si>
    <t>FA224</t>
  </si>
  <si>
    <t>FA225</t>
  </si>
  <si>
    <t>FA2400326</t>
  </si>
  <si>
    <t>2OZP</t>
  </si>
  <si>
    <t>FA202400291</t>
  </si>
  <si>
    <t>SAC FOND CARRE POIGNE PLAT 32*16*33</t>
  </si>
  <si>
    <t>SFCP</t>
  </si>
  <si>
    <t>FA226</t>
  </si>
  <si>
    <t>FILM ALIMENTAIRE ARAX 30*300</t>
  </si>
  <si>
    <t>ARA</t>
  </si>
  <si>
    <t>FILM ALIMENTAIRE 30*300</t>
  </si>
  <si>
    <t>AF30</t>
  </si>
  <si>
    <t>FA20241810</t>
  </si>
  <si>
    <t xml:space="preserve">ESSUIE MAIN 1KG </t>
  </si>
  <si>
    <t>EM</t>
  </si>
  <si>
    <t>FAO</t>
  </si>
  <si>
    <t>MOUCHOIR ROTANA 600</t>
  </si>
  <si>
    <t>MR</t>
  </si>
  <si>
    <t>MOUCHOIR SWEET 600</t>
  </si>
  <si>
    <t>MS</t>
  </si>
  <si>
    <t>FA20241784</t>
  </si>
  <si>
    <t>FA227</t>
  </si>
  <si>
    <t>FA228</t>
  </si>
  <si>
    <t>FA229</t>
  </si>
  <si>
    <t>FC24006666</t>
  </si>
  <si>
    <t>BAAL</t>
  </si>
  <si>
    <t>FA000512</t>
  </si>
  <si>
    <t xml:space="preserve">BARQUETTE POLYSTER 3 COMP </t>
  </si>
  <si>
    <t>BP3</t>
  </si>
  <si>
    <t>FA000511</t>
  </si>
  <si>
    <t>BA76</t>
  </si>
  <si>
    <t>FA-24/0144</t>
  </si>
  <si>
    <t>BA90</t>
  </si>
  <si>
    <t>FA-24/0143</t>
  </si>
  <si>
    <t>ROULEAU DE CAISSE THERMIQUE 80X80</t>
  </si>
  <si>
    <t>RDC80</t>
  </si>
  <si>
    <t>FA33440</t>
  </si>
  <si>
    <t>ES1K</t>
  </si>
  <si>
    <t>FA230</t>
  </si>
  <si>
    <t>FA231</t>
  </si>
  <si>
    <t>FA232</t>
  </si>
  <si>
    <t>FA233</t>
  </si>
  <si>
    <t>FA234</t>
  </si>
  <si>
    <t>FA235</t>
  </si>
  <si>
    <t>FA236</t>
  </si>
  <si>
    <t>FA237</t>
  </si>
  <si>
    <t>FA238</t>
  </si>
  <si>
    <t>FA239</t>
  </si>
  <si>
    <t>B40</t>
  </si>
  <si>
    <t>FC24006907</t>
  </si>
  <si>
    <t>FA240</t>
  </si>
  <si>
    <t>FA241</t>
  </si>
  <si>
    <t>FA242</t>
  </si>
  <si>
    <t>FA243</t>
  </si>
  <si>
    <t>FA244</t>
  </si>
  <si>
    <t>FA245</t>
  </si>
  <si>
    <t>FA246</t>
  </si>
  <si>
    <t>FA247</t>
  </si>
  <si>
    <t>FA248</t>
  </si>
  <si>
    <t>FA249</t>
  </si>
  <si>
    <t>FA250</t>
  </si>
  <si>
    <t>FC24007013</t>
  </si>
  <si>
    <t>FA251</t>
  </si>
  <si>
    <t>RAPPORT JOURNAL DE L'ANNE PROCHAINE</t>
  </si>
  <si>
    <t>RAPPORT JOURNAL</t>
  </si>
  <si>
    <t>FA252</t>
  </si>
  <si>
    <t>FA2400413</t>
  </si>
  <si>
    <t>FA2400418</t>
  </si>
  <si>
    <t>FA2400446</t>
  </si>
  <si>
    <t>REX</t>
  </si>
  <si>
    <t>B2C</t>
  </si>
  <si>
    <t>GNE</t>
  </si>
  <si>
    <t>RGA</t>
  </si>
  <si>
    <t>GOBLET 4OZ SANS CVL EN CARTON BON APETIT ECO GB</t>
  </si>
  <si>
    <t>FA253</t>
  </si>
  <si>
    <t>FA-24/0150</t>
  </si>
  <si>
    <t>G12TP</t>
  </si>
  <si>
    <t>FA2418906</t>
  </si>
  <si>
    <t>FA254</t>
  </si>
  <si>
    <t>POT DE SAUCE 2OZ EN PLASTIQUE</t>
  </si>
  <si>
    <t>PS2O</t>
  </si>
  <si>
    <t>FC24007059</t>
  </si>
  <si>
    <t>TAPIS SUSHI MAKISU</t>
  </si>
  <si>
    <t>TSM</t>
  </si>
  <si>
    <t>N250P</t>
  </si>
  <si>
    <t>MST</t>
  </si>
  <si>
    <t>STM</t>
  </si>
  <si>
    <t>F2024/1324</t>
  </si>
  <si>
    <t>1PS</t>
  </si>
  <si>
    <t>F/2024/1678</t>
  </si>
  <si>
    <t>F/2024/1627</t>
  </si>
  <si>
    <t>CD230</t>
  </si>
  <si>
    <t>F/2024/1596</t>
  </si>
  <si>
    <t>BPN32</t>
  </si>
  <si>
    <t>F/2024/1575</t>
  </si>
  <si>
    <t>F/2024/1536</t>
  </si>
  <si>
    <t>BSKC</t>
  </si>
  <si>
    <t>F/2024/1493</t>
  </si>
  <si>
    <t>BT750</t>
  </si>
  <si>
    <t>F/2024/1483</t>
  </si>
  <si>
    <t>F/2024/1479</t>
  </si>
  <si>
    <t>MO16</t>
  </si>
  <si>
    <t>F/2024/1459</t>
  </si>
  <si>
    <t>BT</t>
  </si>
  <si>
    <t>F/2024/1398</t>
  </si>
  <si>
    <t>F/2024/1385</t>
  </si>
  <si>
    <t>FC24007104</t>
  </si>
  <si>
    <t>POT DE SAUCE 1OZ PROCLEAN</t>
  </si>
  <si>
    <t>PRO</t>
  </si>
  <si>
    <t>FA2024191</t>
  </si>
  <si>
    <t>FA20241974</t>
  </si>
  <si>
    <t>FA255</t>
  </si>
  <si>
    <t>FA256</t>
  </si>
  <si>
    <t>FA257</t>
  </si>
  <si>
    <t>S BIG UP STICK 10ML</t>
  </si>
  <si>
    <t>SBU</t>
  </si>
  <si>
    <t>THON TAM 2KG</t>
  </si>
  <si>
    <t>TT2</t>
  </si>
  <si>
    <t>OLIVE NOIR SIOF 3KG</t>
  </si>
  <si>
    <t>ONS</t>
  </si>
  <si>
    <t>SPB</t>
  </si>
  <si>
    <t>SAUCE PIZZA BANGOR 1KG</t>
  </si>
  <si>
    <t>KETCHUP STAR 2KG</t>
  </si>
  <si>
    <t>KS2</t>
  </si>
  <si>
    <t>MS2</t>
  </si>
  <si>
    <t>MOUTARDE STAR OK 2KG</t>
  </si>
  <si>
    <t>SPB5</t>
  </si>
  <si>
    <t>SAUCE PIZZA BANGOR 5KG</t>
  </si>
  <si>
    <t>KSS</t>
  </si>
  <si>
    <t>KETCHUP STAR SACHET 10G CARTON DE 220</t>
  </si>
  <si>
    <t>MOUTARDE STAR SACHET 7G CARTON DE 220</t>
  </si>
  <si>
    <t>MSS</t>
  </si>
  <si>
    <t>FA2024-08-273</t>
  </si>
  <si>
    <t>FA258</t>
  </si>
  <si>
    <t>FA259</t>
  </si>
  <si>
    <t>FA260</t>
  </si>
  <si>
    <t>Total negatif</t>
  </si>
  <si>
    <t>FA261</t>
  </si>
  <si>
    <t>FA262</t>
  </si>
  <si>
    <t>GOBLET 7OZ</t>
  </si>
  <si>
    <t>G7</t>
  </si>
  <si>
    <t>BARQUETTE ALUMINIUM 831200</t>
  </si>
  <si>
    <t>BA1200</t>
  </si>
  <si>
    <t>G16</t>
  </si>
  <si>
    <t>FA-24/0153</t>
  </si>
  <si>
    <t>BA</t>
  </si>
  <si>
    <t>G16C</t>
  </si>
  <si>
    <t>GOBLET 16OZ COCKTAIL SMART + CVBB</t>
  </si>
  <si>
    <t>GOBLET 16OZ TRSP SMART + CVBB</t>
  </si>
  <si>
    <t>G16T</t>
  </si>
  <si>
    <t>ROULEAU ALUMINIUM 200 ECO</t>
  </si>
  <si>
    <t>RA200E</t>
  </si>
  <si>
    <t>FA-24/0155</t>
  </si>
  <si>
    <t>BARQUETTE ALUMINIUM 83760 (3COMP)</t>
  </si>
  <si>
    <t>B760A</t>
  </si>
  <si>
    <t>B890A</t>
  </si>
  <si>
    <t>B808A</t>
  </si>
  <si>
    <t>FA-24/0154</t>
  </si>
  <si>
    <t>LISTES DES SOCIETE JUSTQU'AU JOUR</t>
  </si>
  <si>
    <t>FA263</t>
  </si>
  <si>
    <t>HT</t>
  </si>
  <si>
    <t>FA264</t>
  </si>
  <si>
    <t>FA265</t>
  </si>
  <si>
    <t>CUILLERE JETABLE ECO BLANCHE 100U</t>
  </si>
  <si>
    <t>CJE</t>
  </si>
  <si>
    <t>FA2024209</t>
  </si>
  <si>
    <t>GANT VINYL TRANSPARENT</t>
  </si>
  <si>
    <t>GANT VINYL NOIR</t>
  </si>
  <si>
    <t>GVT</t>
  </si>
  <si>
    <t>GVN</t>
  </si>
  <si>
    <t>FA2024210</t>
  </si>
  <si>
    <t>FA266</t>
  </si>
  <si>
    <t>FA267</t>
  </si>
  <si>
    <t>FA268</t>
  </si>
  <si>
    <t>FOURCHETTE LUXE TRANSPARENTE/100</t>
  </si>
  <si>
    <t>F100E</t>
  </si>
  <si>
    <t>FC24007288</t>
  </si>
  <si>
    <t>FA269</t>
  </si>
  <si>
    <t>FA270</t>
  </si>
  <si>
    <t>G14PT</t>
  </si>
  <si>
    <t>BAR</t>
  </si>
  <si>
    <t>BARR</t>
  </si>
  <si>
    <t>FA2420111</t>
  </si>
  <si>
    <t>GOBLET 8OZ NOIR BON APPETIT</t>
  </si>
  <si>
    <t>CVL DE GOBLET 8OZ NOIR BON APPETIT</t>
  </si>
  <si>
    <t>G8N</t>
  </si>
  <si>
    <t>CG8B</t>
  </si>
  <si>
    <t>FA2418907</t>
  </si>
  <si>
    <t>FA271</t>
  </si>
  <si>
    <t>BA67</t>
  </si>
  <si>
    <t>BOL BLANC 38OZ AVEC CVL</t>
  </si>
  <si>
    <t>BB38</t>
  </si>
  <si>
    <t>BOL BLANC 750CC AVEC CVL</t>
  </si>
  <si>
    <t>BB750</t>
  </si>
  <si>
    <t>BOL BLANC 16OZ AVEC CVL</t>
  </si>
  <si>
    <t>BB16</t>
  </si>
  <si>
    <t>POT CARTONIER BLANC 26OZ AVEC CVL</t>
  </si>
  <si>
    <t>PCB</t>
  </si>
  <si>
    <t>SCOTCH RUBAN ADHESIF 50*100</t>
  </si>
  <si>
    <t>SRA</t>
  </si>
  <si>
    <t>B670A</t>
  </si>
  <si>
    <t>FA2024-1387</t>
  </si>
  <si>
    <t>SPB40*45</t>
  </si>
  <si>
    <t>FA24080089</t>
  </si>
  <si>
    <t>NT SAC PN BLANCE UNI 30*40*10</t>
  </si>
  <si>
    <t>SPB30</t>
  </si>
  <si>
    <t>FA24080126</t>
  </si>
  <si>
    <t>SAC PN BLANCE 40*45</t>
  </si>
  <si>
    <t>FA272</t>
  </si>
  <si>
    <t>PRIX HT/DH</t>
  </si>
  <si>
    <t>FA273</t>
  </si>
  <si>
    <t>FA274</t>
  </si>
  <si>
    <t>FA33527</t>
  </si>
  <si>
    <t>FLT</t>
  </si>
  <si>
    <t>FC24007585</t>
  </si>
  <si>
    <t>FA275</t>
  </si>
  <si>
    <t>FA276</t>
  </si>
  <si>
    <t>FA277</t>
  </si>
  <si>
    <t>FA000609</t>
  </si>
  <si>
    <t>FA000608</t>
  </si>
  <si>
    <t>BOPI</t>
  </si>
  <si>
    <t>BOP26</t>
  </si>
  <si>
    <t>BARQUETTE ALUMINIUM 685</t>
  </si>
  <si>
    <t>BA6</t>
  </si>
  <si>
    <t>BP26</t>
  </si>
  <si>
    <t>BPI29</t>
  </si>
  <si>
    <t>FA278</t>
  </si>
  <si>
    <t>FA279</t>
  </si>
  <si>
    <t>FC24007683</t>
  </si>
  <si>
    <t>FA281</t>
  </si>
  <si>
    <t>FA282</t>
  </si>
  <si>
    <t>FA283</t>
  </si>
  <si>
    <t>FA284</t>
  </si>
  <si>
    <t>FA285</t>
  </si>
  <si>
    <t>FA286</t>
  </si>
  <si>
    <t>FA287</t>
  </si>
  <si>
    <t>FC24007763</t>
  </si>
  <si>
    <t>FA288</t>
  </si>
  <si>
    <t>FA289</t>
  </si>
  <si>
    <t>GOBLET 12OZ EN PLAST TRANS SMART AVEC CVL PLAT</t>
  </si>
  <si>
    <t>FA290</t>
  </si>
  <si>
    <t>FA291</t>
  </si>
  <si>
    <t>FA292</t>
  </si>
  <si>
    <t>FA293</t>
  </si>
  <si>
    <t>FA294</t>
  </si>
  <si>
    <t>FA295</t>
  </si>
  <si>
    <t>FA296</t>
  </si>
  <si>
    <t>FA297</t>
  </si>
  <si>
    <t>FA298</t>
  </si>
  <si>
    <t>FA299</t>
  </si>
  <si>
    <t>FA300</t>
  </si>
  <si>
    <t>FA301</t>
  </si>
  <si>
    <t>FA302</t>
  </si>
  <si>
    <t>FC24007827</t>
  </si>
  <si>
    <t>FA20240891</t>
  </si>
  <si>
    <t>PE6</t>
  </si>
  <si>
    <t>PAILLE ENVELOPPE 100 TRANS</t>
  </si>
  <si>
    <t>FA20240908</t>
  </si>
  <si>
    <t>FC24007855</t>
  </si>
  <si>
    <t>FA20242198</t>
  </si>
  <si>
    <t>ARAX</t>
  </si>
  <si>
    <t>FILM ALIMENTAIRE ARAX G.M 900GR 30*300</t>
  </si>
  <si>
    <t>MS600</t>
  </si>
  <si>
    <t>SERVIETTE SEVAN</t>
  </si>
  <si>
    <t>SV</t>
  </si>
  <si>
    <t>FA303</t>
  </si>
  <si>
    <t>FA304</t>
  </si>
  <si>
    <t>FA305</t>
  </si>
  <si>
    <t>FA306</t>
  </si>
  <si>
    <t>FA307</t>
  </si>
  <si>
    <t>FC24007865</t>
  </si>
  <si>
    <t>FC24007910</t>
  </si>
  <si>
    <t>CVS</t>
  </si>
  <si>
    <t>SET COUVERT 4PCS</t>
  </si>
  <si>
    <t>FA2024-1503</t>
  </si>
  <si>
    <t>FA308</t>
  </si>
  <si>
    <t>RAEP</t>
  </si>
  <si>
    <t>FA2400487</t>
  </si>
  <si>
    <t>FA309</t>
  </si>
  <si>
    <t>SAC KRAFT ECRU 26*17*28 IMP</t>
  </si>
  <si>
    <t>SKE</t>
  </si>
  <si>
    <t>dh</t>
  </si>
  <si>
    <t>MIN PRIX:</t>
  </si>
  <si>
    <t>MAX PRIX:</t>
  </si>
  <si>
    <t>BATR</t>
  </si>
  <si>
    <t>F/2024/2176</t>
  </si>
  <si>
    <t>BTR</t>
  </si>
  <si>
    <t>BARQUETTE TRAITEUR 1000CC MICRON-ONDABLE TRANS</t>
  </si>
  <si>
    <t>BT1000</t>
  </si>
  <si>
    <t>F/2024/2145</t>
  </si>
  <si>
    <t>BAB</t>
  </si>
  <si>
    <t>F/2024/2139</t>
  </si>
  <si>
    <t>BT7</t>
  </si>
  <si>
    <t>F/2024/2098</t>
  </si>
  <si>
    <t>BOL SALADE NOIR ET CVL 750CC</t>
  </si>
  <si>
    <t>BSN7</t>
  </si>
  <si>
    <t>F/2024/2088</t>
  </si>
  <si>
    <t>F/2024/2056</t>
  </si>
  <si>
    <t>BOSA</t>
  </si>
  <si>
    <t>F/2024/2040</t>
  </si>
  <si>
    <t>F/2024/1973</t>
  </si>
  <si>
    <t>F/2024/1958</t>
  </si>
  <si>
    <t>PG2</t>
  </si>
  <si>
    <t>POTE GOBLET 2 COMP EN CARTON</t>
  </si>
  <si>
    <t>F/2024/1938</t>
  </si>
  <si>
    <t>FA33553</t>
  </si>
  <si>
    <t>BT7M</t>
  </si>
  <si>
    <t>F/2024/1914</t>
  </si>
  <si>
    <t xml:space="preserve">BOL SALADE ET CVL BLANC 38OZ </t>
  </si>
  <si>
    <t>B38OZS</t>
  </si>
  <si>
    <t>F/2024/1892</t>
  </si>
  <si>
    <t>BM3O</t>
  </si>
  <si>
    <t>F/2024/1842</t>
  </si>
  <si>
    <t>BOITE BURGER KRAFT BONNE APPETIT 11,5*11,5*7</t>
  </si>
  <si>
    <t>BBK11</t>
  </si>
  <si>
    <t>BOX KRAFT 14,5*8,5*6</t>
  </si>
  <si>
    <t>BK14</t>
  </si>
  <si>
    <t>F/2024/1762</t>
  </si>
  <si>
    <t>F/2024/1752</t>
  </si>
  <si>
    <t>BOL SALADE ET CVL KRAFT 550CC</t>
  </si>
  <si>
    <t>BSCK</t>
  </si>
  <si>
    <t>F/2024/1698</t>
  </si>
  <si>
    <t>FA310</t>
  </si>
  <si>
    <t>FA311</t>
  </si>
  <si>
    <t>FA312</t>
  </si>
  <si>
    <t>FA313</t>
  </si>
  <si>
    <t>FA314</t>
  </si>
  <si>
    <t>FA315</t>
  </si>
  <si>
    <t>FC24008152</t>
  </si>
  <si>
    <t>FC24008146</t>
  </si>
  <si>
    <t>C6OZ</t>
  </si>
  <si>
    <t>COUPE 6OZ</t>
  </si>
  <si>
    <t>CC6OZ</t>
  </si>
  <si>
    <t>CVL DE COUPE 6OZ</t>
  </si>
  <si>
    <t>BOL 500 MICRON ONDABLE</t>
  </si>
  <si>
    <t>B5M</t>
  </si>
  <si>
    <t>COMA</t>
  </si>
  <si>
    <t>COUPE MACEDONIA AVEC CVL</t>
  </si>
  <si>
    <t>GAPO</t>
  </si>
  <si>
    <t>PAILLE 6MM</t>
  </si>
  <si>
    <t>P6M</t>
  </si>
  <si>
    <t>FA24/0355</t>
  </si>
  <si>
    <t>FA316</t>
  </si>
  <si>
    <t>FA317</t>
  </si>
  <si>
    <t>FC24008291</t>
  </si>
  <si>
    <t>FA24/0391</t>
  </si>
  <si>
    <t>FOURCHETTE LUXE TRANSPARENTE</t>
  </si>
  <si>
    <t>CUILLERE LUXE TRANSPARENTE</t>
  </si>
  <si>
    <t>COUTEAU LUXE TRANSPARENTE</t>
  </si>
  <si>
    <t>FLU</t>
  </si>
  <si>
    <t>CLU</t>
  </si>
  <si>
    <t>COLU</t>
  </si>
  <si>
    <t>FA318</t>
  </si>
  <si>
    <t>FA319</t>
  </si>
  <si>
    <t>FA320</t>
  </si>
  <si>
    <t>FA321</t>
  </si>
  <si>
    <t>FA24100003</t>
  </si>
  <si>
    <t>FA322</t>
  </si>
  <si>
    <t>FA323</t>
  </si>
  <si>
    <t>FA324</t>
  </si>
  <si>
    <t>FA325</t>
  </si>
  <si>
    <t>FA326</t>
  </si>
  <si>
    <t>FA327</t>
  </si>
  <si>
    <t>FC24008642</t>
  </si>
  <si>
    <t>FA328</t>
  </si>
  <si>
    <t>FA329</t>
  </si>
  <si>
    <t>FA330</t>
  </si>
  <si>
    <t>FA2423635</t>
  </si>
  <si>
    <t>CME2</t>
  </si>
  <si>
    <t>FA2400518</t>
  </si>
  <si>
    <t>FA331</t>
  </si>
  <si>
    <t>FA332</t>
  </si>
  <si>
    <t>FA333</t>
  </si>
  <si>
    <t>FA334</t>
  </si>
  <si>
    <t>FA335</t>
  </si>
  <si>
    <t>FA336</t>
  </si>
  <si>
    <t>FA337</t>
  </si>
  <si>
    <t>FA338</t>
  </si>
  <si>
    <t>FA339</t>
  </si>
  <si>
    <t>FA340</t>
  </si>
  <si>
    <t>FA341</t>
  </si>
  <si>
    <t>CPO</t>
  </si>
  <si>
    <t>FA000983</t>
  </si>
  <si>
    <t>FA2024-1644</t>
  </si>
  <si>
    <t>SB48</t>
  </si>
  <si>
    <t>SAC BR 48*26</t>
  </si>
  <si>
    <t>FA24100039</t>
  </si>
  <si>
    <t>FA342</t>
  </si>
  <si>
    <t>FA343</t>
  </si>
  <si>
    <t>FA2400489</t>
  </si>
  <si>
    <t>FA2400436</t>
  </si>
  <si>
    <t>FA2400460</t>
  </si>
  <si>
    <t>FOURCHETTE EN PLAST TRANS ECO 100</t>
  </si>
  <si>
    <t>FPT</t>
  </si>
  <si>
    <t>CUILLERE EN PLAST TRANS ECO 100</t>
  </si>
  <si>
    <t>CTP</t>
  </si>
  <si>
    <t>RA8S</t>
  </si>
  <si>
    <t>FA2400422</t>
  </si>
  <si>
    <t>G14S</t>
  </si>
  <si>
    <t>FA2424076</t>
  </si>
  <si>
    <t>FA344</t>
  </si>
  <si>
    <t>FA345</t>
  </si>
  <si>
    <t>FA346</t>
  </si>
  <si>
    <t>FC24008924</t>
  </si>
  <si>
    <t>SSA</t>
  </si>
  <si>
    <t>SAUCE SALSINO ALGERIENNE 4,7KG</t>
  </si>
  <si>
    <t>KSS10</t>
  </si>
  <si>
    <t>KETCHUP STAR SACHET 10G*220</t>
  </si>
  <si>
    <t>MOUTARDE STAR SACHET 7G*220</t>
  </si>
  <si>
    <t>MSS7</t>
  </si>
  <si>
    <t>FA2024-10-089</t>
  </si>
  <si>
    <t>BOITE PIZZA 20</t>
  </si>
  <si>
    <t>BP20</t>
  </si>
  <si>
    <t>29PB</t>
  </si>
  <si>
    <t>BA42</t>
  </si>
  <si>
    <t>FA000869</t>
  </si>
  <si>
    <t>FA347</t>
  </si>
  <si>
    <t>BA890</t>
  </si>
  <si>
    <t>KTS</t>
  </si>
  <si>
    <t>SPB1</t>
  </si>
  <si>
    <t>FA2024-10-168</t>
  </si>
  <si>
    <t>FA348</t>
  </si>
  <si>
    <t>FA349</t>
  </si>
  <si>
    <t>FA350</t>
  </si>
  <si>
    <t>FA351</t>
  </si>
  <si>
    <t>SERVIETTE SWEET 1PLIS</t>
  </si>
  <si>
    <t>SS1</t>
  </si>
  <si>
    <t>FA20242541</t>
  </si>
  <si>
    <t>FA352</t>
  </si>
  <si>
    <t>FA353</t>
  </si>
  <si>
    <t>FA2424889</t>
  </si>
  <si>
    <t>FA354</t>
  </si>
  <si>
    <t>F/2024/2269</t>
  </si>
  <si>
    <t xml:space="preserve">BOUTEILLE DE 330CC CARTON </t>
  </si>
  <si>
    <t>B330</t>
  </si>
  <si>
    <t>B2MO</t>
  </si>
  <si>
    <t>F/2024/2299</t>
  </si>
  <si>
    <t>SK17</t>
  </si>
  <si>
    <t>FA2024116</t>
  </si>
  <si>
    <t>BA83890</t>
  </si>
  <si>
    <t>FA24/0426</t>
  </si>
  <si>
    <t>FA355</t>
  </si>
  <si>
    <t>FA356</t>
  </si>
  <si>
    <t>FA357</t>
  </si>
  <si>
    <t>FA358</t>
  </si>
  <si>
    <t>FA359</t>
  </si>
  <si>
    <t>MAKISU</t>
  </si>
  <si>
    <t>FA360</t>
  </si>
  <si>
    <t>FA361</t>
  </si>
  <si>
    <t>FA362</t>
  </si>
  <si>
    <t>A890B</t>
  </si>
  <si>
    <t>SSA4</t>
  </si>
  <si>
    <t>FA2024-10-339</t>
  </si>
  <si>
    <t>SPB1KG</t>
  </si>
  <si>
    <t>FA2024-10-207</t>
  </si>
  <si>
    <t>FC24009244</t>
  </si>
  <si>
    <t>FA000958</t>
  </si>
  <si>
    <t>BP</t>
  </si>
  <si>
    <t>B26PI</t>
  </si>
  <si>
    <t>FILM ALIMENTAIRE 35CM 4KG</t>
  </si>
  <si>
    <t>FA35CM</t>
  </si>
  <si>
    <t>FA000871</t>
  </si>
  <si>
    <t>P.U.HT/DH</t>
  </si>
  <si>
    <t>FA24100179</t>
  </si>
  <si>
    <t>FA363</t>
  </si>
  <si>
    <t>FA364</t>
  </si>
  <si>
    <t>FA365</t>
  </si>
  <si>
    <t>FA366</t>
  </si>
  <si>
    <t>FA367</t>
  </si>
  <si>
    <t>FA368</t>
  </si>
  <si>
    <t>FA369</t>
  </si>
  <si>
    <t>FA370</t>
  </si>
  <si>
    <t>FA371</t>
  </si>
  <si>
    <t>FA372</t>
  </si>
  <si>
    <t>FA373</t>
  </si>
  <si>
    <t>FA374</t>
  </si>
  <si>
    <t>FA375</t>
  </si>
  <si>
    <t>FA376</t>
  </si>
  <si>
    <t>FA377</t>
  </si>
  <si>
    <t>FA378</t>
  </si>
  <si>
    <t>FC24009600</t>
  </si>
  <si>
    <t>FA379</t>
  </si>
  <si>
    <t>FA380</t>
  </si>
  <si>
    <t>FA381</t>
  </si>
  <si>
    <t>FA382</t>
  </si>
  <si>
    <t>CLEAN</t>
  </si>
  <si>
    <t>FA383</t>
  </si>
  <si>
    <t>FA384</t>
  </si>
  <si>
    <t>FA385</t>
  </si>
  <si>
    <t>FA386</t>
  </si>
  <si>
    <t>FA387</t>
  </si>
  <si>
    <t>FA388</t>
  </si>
  <si>
    <t>FA389</t>
  </si>
  <si>
    <t>FA390</t>
  </si>
  <si>
    <t>LUNCH BOX KRAFT A FENETRE</t>
  </si>
  <si>
    <t>LBAF</t>
  </si>
  <si>
    <t>FA-2024/1306</t>
  </si>
  <si>
    <t>FA391</t>
  </si>
  <si>
    <t>FA2024121</t>
  </si>
  <si>
    <t>FA392</t>
  </si>
  <si>
    <t>FA393</t>
  </si>
  <si>
    <t>FA394</t>
  </si>
  <si>
    <t>FA395</t>
  </si>
  <si>
    <t>FA396</t>
  </si>
  <si>
    <t>FA397</t>
  </si>
  <si>
    <t>BPN29</t>
  </si>
  <si>
    <t>FC24009817</t>
  </si>
  <si>
    <t>FA398</t>
  </si>
  <si>
    <t>FA399</t>
  </si>
  <si>
    <t>FA400</t>
  </si>
  <si>
    <t>FA401</t>
  </si>
  <si>
    <t>FA402</t>
  </si>
  <si>
    <t>TIGE SUSHI BAMBOU ENVELOPPE</t>
  </si>
  <si>
    <t>FA403</t>
  </si>
  <si>
    <t>BA12</t>
  </si>
  <si>
    <t>FA-24/0193</t>
  </si>
  <si>
    <t>FA404</t>
  </si>
  <si>
    <t>670A</t>
  </si>
  <si>
    <t>FA24/0456</t>
  </si>
  <si>
    <t>FA24/0457</t>
  </si>
  <si>
    <t>MACA</t>
  </si>
  <si>
    <t>FA2400627</t>
  </si>
  <si>
    <t>FA2400532</t>
  </si>
  <si>
    <t>BA8189</t>
  </si>
  <si>
    <t>BARQUETTE ALUMINIUM 81420</t>
  </si>
  <si>
    <t>B42A</t>
  </si>
  <si>
    <t>FA2400502</t>
  </si>
  <si>
    <t>FA2400662</t>
  </si>
  <si>
    <t>BATR5</t>
  </si>
  <si>
    <t>F/2024/2525</t>
  </si>
  <si>
    <t>BT750M</t>
  </si>
  <si>
    <t>F/2024/2518</t>
  </si>
  <si>
    <t>7BT</t>
  </si>
  <si>
    <t>F/2024/2454</t>
  </si>
  <si>
    <t>PS2Z</t>
  </si>
  <si>
    <t>F/2024/2435</t>
  </si>
  <si>
    <t>F/2024/2411</t>
  </si>
  <si>
    <t>B75T</t>
  </si>
  <si>
    <t>BARQUETTE TRAITEUR 750 MICRON</t>
  </si>
  <si>
    <t>F/2024/2404</t>
  </si>
  <si>
    <t>BA50TR</t>
  </si>
  <si>
    <t>F/2024/2400</t>
  </si>
  <si>
    <t>BP31</t>
  </si>
  <si>
    <t>BOITE PIZZA 31*31 PACK 100 VIERGE</t>
  </si>
  <si>
    <t>F/2024/2343</t>
  </si>
  <si>
    <t>BM3CP</t>
  </si>
  <si>
    <t>F/2024/2323</t>
  </si>
  <si>
    <t>BT33</t>
  </si>
  <si>
    <t>F/2024/2320</t>
  </si>
  <si>
    <t xml:space="preserve">BARQUETTE TRAITEUR 500CC </t>
  </si>
  <si>
    <t>TRBA</t>
  </si>
  <si>
    <t>F/2024/2302</t>
  </si>
  <si>
    <t>FA405</t>
  </si>
  <si>
    <t>FA406</t>
  </si>
  <si>
    <t>FA407</t>
  </si>
  <si>
    <t xml:space="preserve">BOUTEILLE PLAST TANS DE 330CC CARTON </t>
  </si>
  <si>
    <t>BPT</t>
  </si>
  <si>
    <t>FC24010148</t>
  </si>
  <si>
    <t>FA408</t>
  </si>
  <si>
    <t>FA409</t>
  </si>
  <si>
    <t>FA410</t>
  </si>
  <si>
    <t>FA411</t>
  </si>
  <si>
    <t>FA412</t>
  </si>
  <si>
    <t>TRIPOD</t>
  </si>
  <si>
    <t>PIZZA 40</t>
  </si>
  <si>
    <t>FA413</t>
  </si>
  <si>
    <t>SAC KRAFT 28*17*29 POIGNEE</t>
  </si>
  <si>
    <t>SK28</t>
  </si>
  <si>
    <t xml:space="preserve">PAPIER SANDWISH BLANC </t>
  </si>
  <si>
    <t>PSB</t>
  </si>
  <si>
    <t>BOITE KRAFT A FENETRE 32OZ</t>
  </si>
  <si>
    <t>B32K</t>
  </si>
  <si>
    <t>BO38</t>
  </si>
  <si>
    <t>ALBA89</t>
  </si>
  <si>
    <t>ALBA80</t>
  </si>
  <si>
    <t>FA2024-1961</t>
  </si>
  <si>
    <t>SERVA</t>
  </si>
  <si>
    <t>FILOR</t>
  </si>
  <si>
    <t>FIL30</t>
  </si>
  <si>
    <t>ESS1</t>
  </si>
  <si>
    <t>FA20242922</t>
  </si>
  <si>
    <t>BMO7</t>
  </si>
  <si>
    <t>F/2024/2326</t>
  </si>
  <si>
    <t>FA001087</t>
  </si>
  <si>
    <t>BA24</t>
  </si>
  <si>
    <t>FA001086</t>
  </si>
  <si>
    <t>FA414</t>
  </si>
  <si>
    <t>Quantité entrant</t>
  </si>
  <si>
    <t>MOUCHOIR</t>
  </si>
  <si>
    <t>SUPLYER'S NAME</t>
  </si>
  <si>
    <t>CLIENT'S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</si>
</sst>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.000"/>
    <numFmt numFmtId="165" formatCode="0.00000"/>
    <numFmt numFmtId="166" formatCode="_-* #,##0.00\ [$DH-380C]_-;\-* #,##0.00\ [$DH-380C]_-;_-* &quot;-&quot;??\ [$DH-380C]_-;_-@_-"/>
    <numFmt numFmtId="167" formatCode="_-* #,##0.00\ [$MAD]_-;\-* #,##0.00\ [$MAD]_-;_-* &quot;-&quot;??\ [$MAD]_-;_-@_-"/>
    <numFmt numFmtId="168" formatCode="0.0%"/>
  </numFmts>
  <fonts count="6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0"/>
      <color theme="5" tint="-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color theme="5" tint="0.59999389629810485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33CCFF"/>
      <name val="Calibri"/>
      <family val="2"/>
      <scheme val="minor"/>
    </font>
    <font>
      <b/>
      <sz val="12"/>
      <color rgb="FF3366FF"/>
      <name val="Calibri"/>
      <family val="2"/>
    </font>
    <font>
      <sz val="14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36"/>
      <color theme="3" tint="0.59999389629810485"/>
      <name val="Calibri"/>
      <family val="2"/>
      <scheme val="minor"/>
    </font>
    <font>
      <b/>
      <sz val="12"/>
      <color rgb="FF92D050"/>
      <name val="Calibri"/>
      <family val="2"/>
      <scheme val="minor"/>
    </font>
    <font>
      <b/>
      <sz val="14"/>
      <color rgb="FF3366FF"/>
      <name val="Calibri"/>
      <family val="2"/>
    </font>
    <font>
      <b/>
      <sz val="12"/>
      <color rgb="FF66FFFF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FF0000"/>
      <name val="Calibri"/>
      <family val="2"/>
    </font>
    <font>
      <b/>
      <sz val="9"/>
      <color indexed="81"/>
      <name val="Tahoma"/>
      <family val="2"/>
    </font>
    <font>
      <b/>
      <sz val="2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theme="0"/>
      <name val="Calibri"/>
      <family val="2"/>
      <scheme val="minor"/>
    </font>
    <font>
      <b/>
      <sz val="18"/>
      <color rgb="FFFF6600"/>
      <name val="Calibri"/>
      <family val="2"/>
    </font>
    <font>
      <b/>
      <sz val="18"/>
      <color theme="1"/>
      <name val="Calibri"/>
      <family val="2"/>
      <scheme val="minor"/>
    </font>
    <font>
      <b/>
      <sz val="38"/>
      <color theme="6" tint="0.39997558519241921"/>
      <name val="Calibri"/>
      <family val="2"/>
      <scheme val="minor"/>
    </font>
    <font>
      <b/>
      <sz val="14"/>
      <color theme="6" tint="0.39997558519241921"/>
      <name val="Calibri"/>
      <family val="2"/>
      <scheme val="minor"/>
    </font>
    <font>
      <b/>
      <sz val="12"/>
      <color theme="6" tint="0.39997558519241921"/>
      <name val="Calibri"/>
      <family val="2"/>
      <scheme val="minor"/>
    </font>
    <font>
      <b/>
      <sz val="18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b/>
      <sz val="36"/>
      <color theme="3" tint="-0.249977111117893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18"/>
      <color theme="0"/>
      <name val="Calibri"/>
      <family val="2"/>
      <scheme val="minor"/>
    </font>
    <font>
      <b/>
      <sz val="16"/>
      <color rgb="FF008080"/>
      <name val="Calibri"/>
      <family val="2"/>
    </font>
    <font>
      <b/>
      <u val="double"/>
      <sz val="12"/>
      <color rgb="FF3366FF"/>
      <name val="Calibri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b/>
      <sz val="12"/>
      <color theme="5" tint="-0.249977111117893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900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5B3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95B35A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 style="thin">
        <color indexed="64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1" fillId="14" borderId="0" applyNumberFormat="0" applyBorder="0" applyAlignment="0" applyProtection="0"/>
    <xf numFmtId="9" fontId="3" fillId="0" borderId="0" applyFont="0" applyFill="0" applyBorder="0" applyAlignment="0" applyProtection="0"/>
  </cellStyleXfs>
  <cellXfs count="379">
    <xf numFmtId="0" fontId="0" fillId="0" borderId="0" xfId="0"/>
    <xf numFmtId="0" fontId="0" fillId="3" borderId="0" xfId="0" applyFill="1"/>
    <xf numFmtId="0" fontId="0" fillId="20" borderId="0" xfId="0" applyFill="1"/>
    <xf numFmtId="2" fontId="0" fillId="0" borderId="0" xfId="0" applyNumberFormat="1"/>
    <xf numFmtId="0" fontId="9" fillId="0" borderId="0" xfId="0" applyFont="1" applyAlignment="1">
      <alignment horizontal="center" vertical="center"/>
    </xf>
    <xf numFmtId="0" fontId="22" fillId="0" borderId="0" xfId="0" applyFont="1" applyAlignment="1">
      <alignment wrapText="1"/>
    </xf>
    <xf numFmtId="0" fontId="4" fillId="3" borderId="2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18" fillId="3" borderId="2" xfId="0" applyFont="1" applyFill="1" applyBorder="1" applyAlignment="1">
      <alignment horizontal="center" vertical="center" wrapText="1"/>
    </xf>
    <xf numFmtId="0" fontId="4" fillId="3" borderId="31" xfId="0" applyFont="1" applyFill="1" applyBorder="1" applyAlignment="1">
      <alignment horizontal="center" vertical="center" wrapText="1"/>
    </xf>
    <xf numFmtId="0" fontId="0" fillId="0" borderId="0" xfId="0" applyFill="1"/>
    <xf numFmtId="14" fontId="0" fillId="0" borderId="0" xfId="0" applyNumberFormat="1"/>
    <xf numFmtId="0" fontId="0" fillId="21" borderId="0" xfId="0" applyFill="1"/>
    <xf numFmtId="0" fontId="0" fillId="22" borderId="0" xfId="0" applyFill="1"/>
    <xf numFmtId="0" fontId="22" fillId="23" borderId="0" xfId="0" applyFont="1" applyFill="1" applyAlignment="1">
      <alignment wrapText="1"/>
    </xf>
    <xf numFmtId="0" fontId="0" fillId="23" borderId="0" xfId="0" applyFill="1"/>
    <xf numFmtId="0" fontId="26" fillId="23" borderId="0" xfId="0" applyFont="1" applyFill="1" applyAlignment="1">
      <alignment horizontal="center" vertical="center" wrapText="1"/>
    </xf>
    <xf numFmtId="0" fontId="4" fillId="24" borderId="0" xfId="0" applyFont="1" applyFill="1" applyAlignment="1">
      <alignment horizontal="center" vertical="center"/>
    </xf>
    <xf numFmtId="0" fontId="23" fillId="2" borderId="34" xfId="0" applyFont="1" applyFill="1" applyBorder="1" applyAlignment="1">
      <alignment horizontal="center" vertical="center"/>
    </xf>
    <xf numFmtId="0" fontId="0" fillId="3" borderId="34" xfId="0" applyFill="1" applyBorder="1"/>
    <xf numFmtId="0" fontId="4" fillId="3" borderId="34" xfId="0" applyFont="1" applyFill="1" applyBorder="1" applyAlignment="1">
      <alignment horizontal="center" vertical="center"/>
    </xf>
    <xf numFmtId="164" fontId="4" fillId="3" borderId="34" xfId="0" applyNumberFormat="1" applyFont="1" applyFill="1" applyBorder="1" applyAlignment="1">
      <alignment horizontal="center" vertical="center"/>
    </xf>
    <xf numFmtId="43" fontId="4" fillId="3" borderId="34" xfId="1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33" fillId="22" borderId="37" xfId="0" applyFont="1" applyFill="1" applyBorder="1" applyAlignment="1">
      <alignment horizontal="center" vertical="center" wrapText="1"/>
    </xf>
    <xf numFmtId="0" fontId="24" fillId="2" borderId="38" xfId="0" applyFont="1" applyFill="1" applyBorder="1" applyAlignment="1">
      <alignment horizontal="center" vertical="center"/>
    </xf>
    <xf numFmtId="0" fontId="0" fillId="26" borderId="0" xfId="0" applyFill="1"/>
    <xf numFmtId="0" fontId="7" fillId="3" borderId="34" xfId="0" applyFont="1" applyFill="1" applyBorder="1" applyAlignment="1">
      <alignment horizontal="center" wrapText="1"/>
    </xf>
    <xf numFmtId="0" fontId="0" fillId="28" borderId="0" xfId="0" applyFill="1"/>
    <xf numFmtId="0" fontId="0" fillId="10" borderId="10" xfId="0" applyFill="1" applyBorder="1" applyProtection="1"/>
    <xf numFmtId="164" fontId="0" fillId="10" borderId="4" xfId="0" applyNumberFormat="1" applyFill="1" applyBorder="1" applyAlignment="1" applyProtection="1">
      <alignment horizontal="center" vertical="center"/>
    </xf>
    <xf numFmtId="164" fontId="0" fillId="0" borderId="9" xfId="0" applyNumberFormat="1" applyBorder="1" applyAlignment="1" applyProtection="1">
      <alignment horizontal="center" vertical="center"/>
    </xf>
    <xf numFmtId="164" fontId="0" fillId="4" borderId="9" xfId="0" applyNumberFormat="1" applyFill="1" applyBorder="1" applyAlignment="1" applyProtection="1">
      <alignment horizontal="center" vertical="center"/>
    </xf>
    <xf numFmtId="2" fontId="0" fillId="0" borderId="11" xfId="1" applyNumberFormat="1" applyFont="1" applyBorder="1" applyAlignment="1" applyProtection="1">
      <alignment horizontal="center" vertical="center"/>
    </xf>
    <xf numFmtId="2" fontId="0" fillId="0" borderId="12" xfId="1" applyNumberFormat="1" applyFont="1" applyBorder="1" applyAlignment="1" applyProtection="1">
      <alignment horizontal="center" vertical="center"/>
    </xf>
    <xf numFmtId="0" fontId="0" fillId="4" borderId="3" xfId="0" applyFill="1" applyBorder="1" applyAlignment="1" applyProtection="1">
      <alignment horizontal="center"/>
    </xf>
    <xf numFmtId="0" fontId="2" fillId="11" borderId="6" xfId="0" applyFont="1" applyFill="1" applyBorder="1" applyAlignment="1" applyProtection="1">
      <alignment horizontal="center"/>
    </xf>
    <xf numFmtId="164" fontId="4" fillId="15" borderId="3" xfId="0" applyNumberFormat="1" applyFont="1" applyFill="1" applyBorder="1" applyAlignment="1" applyProtection="1">
      <alignment horizontal="center" vertical="center"/>
    </xf>
    <xf numFmtId="2" fontId="0" fillId="4" borderId="3" xfId="0" applyNumberFormat="1" applyFill="1" applyBorder="1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164" fontId="0" fillId="0" borderId="0" xfId="0" applyNumberFormat="1" applyAlignment="1" applyProtection="1">
      <alignment horizontal="center" vertical="center"/>
    </xf>
    <xf numFmtId="43" fontId="0" fillId="0" borderId="0" xfId="1" applyFont="1" applyAlignment="1" applyProtection="1">
      <alignment horizontal="center" vertical="center"/>
    </xf>
    <xf numFmtId="0" fontId="4" fillId="3" borderId="2" xfId="0" applyFont="1" applyFill="1" applyBorder="1" applyAlignment="1" applyProtection="1">
      <alignment horizontal="center" vertical="center"/>
    </xf>
    <xf numFmtId="164" fontId="4" fillId="3" borderId="2" xfId="0" applyNumberFormat="1" applyFont="1" applyFill="1" applyBorder="1" applyAlignment="1" applyProtection="1">
      <alignment horizontal="center" vertical="center"/>
    </xf>
    <xf numFmtId="43" fontId="4" fillId="3" borderId="31" xfId="1" applyFont="1" applyFill="1" applyBorder="1" applyAlignment="1" applyProtection="1">
      <alignment horizontal="center" vertical="center"/>
    </xf>
    <xf numFmtId="0" fontId="18" fillId="3" borderId="12" xfId="1" applyNumberFormat="1" applyFont="1" applyFill="1" applyBorder="1" applyAlignment="1" applyProtection="1">
      <alignment horizontal="center" vertical="center" wrapText="1"/>
    </xf>
    <xf numFmtId="0" fontId="5" fillId="3" borderId="22" xfId="1" applyNumberFormat="1" applyFont="1" applyFill="1" applyBorder="1" applyAlignment="1" applyProtection="1">
      <alignment horizontal="center" vertical="center" wrapText="1"/>
    </xf>
    <xf numFmtId="0" fontId="16" fillId="6" borderId="0" xfId="0" applyFont="1" applyFill="1" applyAlignment="1" applyProtection="1">
      <alignment horizontal="center" vertical="center" wrapText="1"/>
    </xf>
    <xf numFmtId="0" fontId="16" fillId="3" borderId="11" xfId="0" applyFont="1" applyFill="1" applyBorder="1" applyAlignment="1" applyProtection="1">
      <alignment horizontal="center" vertical="center" wrapText="1"/>
    </xf>
    <xf numFmtId="0" fontId="0" fillId="9" borderId="19" xfId="0" applyFill="1" applyBorder="1" applyAlignment="1" applyProtection="1">
      <alignment horizontal="center" vertical="center"/>
    </xf>
    <xf numFmtId="43" fontId="0" fillId="5" borderId="6" xfId="0" applyNumberFormat="1" applyFill="1" applyBorder="1" applyAlignment="1" applyProtection="1">
      <alignment horizontal="center" vertical="center"/>
    </xf>
    <xf numFmtId="0" fontId="7" fillId="7" borderId="11" xfId="0" applyFont="1" applyFill="1" applyBorder="1" applyAlignment="1" applyProtection="1">
      <alignment horizontal="center" vertical="center"/>
    </xf>
    <xf numFmtId="0" fontId="0" fillId="9" borderId="22" xfId="0" applyFill="1" applyBorder="1" applyAlignment="1" applyProtection="1">
      <alignment horizontal="center" vertical="center"/>
    </xf>
    <xf numFmtId="0" fontId="0" fillId="9" borderId="11" xfId="0" applyFill="1" applyBorder="1" applyAlignment="1" applyProtection="1">
      <alignment horizontal="center" vertical="center"/>
    </xf>
    <xf numFmtId="14" fontId="0" fillId="9" borderId="11" xfId="0" applyNumberFormat="1" applyFill="1" applyBorder="1" applyAlignment="1" applyProtection="1">
      <alignment horizontal="center" vertical="center"/>
    </xf>
    <xf numFmtId="0" fontId="0" fillId="9" borderId="12" xfId="0" applyFill="1" applyBorder="1" applyAlignment="1" applyProtection="1">
      <alignment horizontal="center" vertical="center"/>
    </xf>
    <xf numFmtId="0" fontId="0" fillId="9" borderId="16" xfId="0" applyFill="1" applyBorder="1" applyAlignment="1" applyProtection="1">
      <alignment horizontal="center" vertical="center"/>
    </xf>
    <xf numFmtId="0" fontId="0" fillId="9" borderId="0" xfId="0" applyFill="1" applyAlignment="1" applyProtection="1">
      <alignment horizontal="center" vertical="center"/>
    </xf>
    <xf numFmtId="0" fontId="0" fillId="9" borderId="21" xfId="0" applyFill="1" applyBorder="1" applyAlignment="1" applyProtection="1">
      <alignment horizontal="center" vertical="center"/>
    </xf>
    <xf numFmtId="164" fontId="0" fillId="9" borderId="11" xfId="0" applyNumberFormat="1" applyFill="1" applyBorder="1" applyAlignment="1" applyProtection="1">
      <alignment horizontal="center" vertical="center"/>
    </xf>
    <xf numFmtId="14" fontId="0" fillId="9" borderId="21" xfId="0" applyNumberFormat="1" applyFill="1" applyBorder="1" applyAlignment="1" applyProtection="1">
      <alignment horizontal="center" vertical="center"/>
    </xf>
    <xf numFmtId="43" fontId="0" fillId="0" borderId="6" xfId="0" applyNumberFormat="1" applyBorder="1" applyAlignment="1" applyProtection="1">
      <alignment horizontal="center" vertical="center"/>
    </xf>
    <xf numFmtId="0" fontId="0" fillId="9" borderId="22" xfId="0" applyFont="1" applyFill="1" applyBorder="1" applyAlignment="1" applyProtection="1">
      <alignment horizontal="center" vertical="center"/>
    </xf>
    <xf numFmtId="0" fontId="0" fillId="9" borderId="0" xfId="0" applyFill="1" applyBorder="1" applyAlignment="1" applyProtection="1">
      <alignment horizontal="center" vertical="center"/>
    </xf>
    <xf numFmtId="14" fontId="0" fillId="9" borderId="12" xfId="0" applyNumberFormat="1" applyFill="1" applyBorder="1" applyAlignment="1" applyProtection="1">
      <alignment horizontal="center" vertical="center" wrapText="1"/>
    </xf>
    <xf numFmtId="43" fontId="0" fillId="0" borderId="20" xfId="0" applyNumberFormat="1" applyBorder="1" applyAlignment="1" applyProtection="1">
      <alignment horizontal="center" vertical="center"/>
    </xf>
    <xf numFmtId="0" fontId="7" fillId="7" borderId="23" xfId="0" applyFont="1" applyFill="1" applyBorder="1" applyAlignment="1" applyProtection="1">
      <alignment horizontal="center" vertical="center"/>
    </xf>
    <xf numFmtId="14" fontId="0" fillId="9" borderId="11" xfId="0" applyNumberFormat="1" applyFill="1" applyBorder="1" applyAlignment="1" applyProtection="1">
      <alignment horizontal="center" vertical="center" wrapText="1"/>
    </xf>
    <xf numFmtId="14" fontId="0" fillId="9" borderId="21" xfId="0" applyNumberFormat="1" applyFill="1" applyBorder="1" applyAlignment="1" applyProtection="1">
      <alignment horizontal="center" vertical="center" wrapText="1"/>
    </xf>
    <xf numFmtId="43" fontId="5" fillId="2" borderId="6" xfId="0" applyNumberFormat="1" applyFont="1" applyFill="1" applyBorder="1" applyAlignment="1" applyProtection="1">
      <alignment horizontal="center" vertical="center"/>
    </xf>
    <xf numFmtId="0" fontId="17" fillId="11" borderId="12" xfId="1" applyNumberFormat="1" applyFont="1" applyFill="1" applyBorder="1" applyAlignment="1" applyProtection="1">
      <alignment horizontal="center" vertical="center"/>
    </xf>
    <xf numFmtId="0" fontId="17" fillId="11" borderId="22" xfId="1" applyNumberFormat="1" applyFont="1" applyFill="1" applyBorder="1" applyAlignment="1" applyProtection="1">
      <alignment horizontal="center" vertical="center"/>
    </xf>
    <xf numFmtId="43" fontId="0" fillId="0" borderId="0" xfId="0" applyNumberFormat="1" applyBorder="1" applyAlignment="1" applyProtection="1">
      <alignment horizontal="center" vertical="center"/>
    </xf>
    <xf numFmtId="0" fontId="0" fillId="9" borderId="12" xfId="0" applyFill="1" applyBorder="1" applyAlignment="1" applyProtection="1">
      <alignment horizontal="center" vertical="center"/>
    </xf>
    <xf numFmtId="14" fontId="0" fillId="9" borderId="12" xfId="0" applyNumberFormat="1" applyFill="1" applyBorder="1" applyAlignment="1" applyProtection="1">
      <alignment horizontal="center" vertical="center"/>
    </xf>
    <xf numFmtId="164" fontId="0" fillId="9" borderId="28" xfId="0" applyNumberFormat="1" applyFill="1" applyBorder="1" applyAlignment="1" applyProtection="1">
      <alignment horizontal="center" vertical="center"/>
    </xf>
    <xf numFmtId="164" fontId="0" fillId="9" borderId="27" xfId="0" applyNumberFormat="1" applyFill="1" applyBorder="1" applyAlignment="1" applyProtection="1">
      <alignment horizontal="center" vertical="center"/>
    </xf>
    <xf numFmtId="164" fontId="0" fillId="9" borderId="29" xfId="0" applyNumberFormat="1" applyFill="1" applyBorder="1" applyAlignment="1" applyProtection="1">
      <alignment horizontal="center" vertical="center"/>
    </xf>
    <xf numFmtId="164" fontId="0" fillId="9" borderId="30" xfId="0" applyNumberFormat="1" applyFill="1" applyBorder="1" applyAlignment="1" applyProtection="1">
      <alignment horizontal="center" vertical="center"/>
    </xf>
    <xf numFmtId="164" fontId="0" fillId="9" borderId="27" xfId="0" applyNumberFormat="1" applyFont="1" applyFill="1" applyBorder="1" applyAlignment="1" applyProtection="1">
      <alignment horizontal="center" vertical="center"/>
    </xf>
    <xf numFmtId="2" fontId="9" fillId="9" borderId="28" xfId="0" applyNumberFormat="1" applyFont="1" applyFill="1" applyBorder="1" applyAlignment="1" applyProtection="1">
      <alignment horizontal="center" vertical="center" wrapText="1"/>
    </xf>
    <xf numFmtId="164" fontId="9" fillId="9" borderId="28" xfId="0" applyNumberFormat="1" applyFont="1" applyFill="1" applyBorder="1" applyAlignment="1" applyProtection="1">
      <alignment horizontal="center" vertical="center" wrapText="1"/>
    </xf>
    <xf numFmtId="164" fontId="0" fillId="9" borderId="19" xfId="0" applyNumberFormat="1" applyFill="1" applyBorder="1" applyAlignment="1" applyProtection="1">
      <alignment horizontal="center" vertical="center"/>
    </xf>
    <xf numFmtId="164" fontId="0" fillId="9" borderId="0" xfId="0" applyNumberFormat="1" applyFill="1" applyBorder="1" applyAlignment="1" applyProtection="1">
      <alignment horizontal="center" vertical="center"/>
    </xf>
    <xf numFmtId="164" fontId="0" fillId="9" borderId="28" xfId="0" applyNumberFormat="1" applyFont="1" applyFill="1" applyBorder="1" applyAlignment="1" applyProtection="1">
      <alignment horizontal="center" vertical="center"/>
    </xf>
    <xf numFmtId="164" fontId="0" fillId="9" borderId="20" xfId="0" applyNumberFormat="1" applyFill="1" applyBorder="1" applyAlignment="1" applyProtection="1">
      <alignment horizontal="center" vertical="center"/>
    </xf>
    <xf numFmtId="164" fontId="0" fillId="9" borderId="0" xfId="0" applyNumberFormat="1" applyFont="1" applyFill="1" applyBorder="1" applyAlignment="1" applyProtection="1">
      <alignment horizontal="center" vertical="center"/>
    </xf>
    <xf numFmtId="164" fontId="0" fillId="9" borderId="20" xfId="0" applyNumberFormat="1" applyFont="1" applyFill="1" applyBorder="1" applyAlignment="1" applyProtection="1">
      <alignment horizontal="center" vertical="center"/>
    </xf>
    <xf numFmtId="164" fontId="0" fillId="9" borderId="29" xfId="0" applyNumberFormat="1" applyFont="1" applyFill="1" applyBorder="1" applyAlignment="1" applyProtection="1">
      <alignment horizontal="center" vertical="center"/>
    </xf>
    <xf numFmtId="164" fontId="0" fillId="9" borderId="30" xfId="0" applyNumberFormat="1" applyFont="1" applyFill="1" applyBorder="1" applyAlignment="1" applyProtection="1">
      <alignment horizontal="center" vertical="center"/>
    </xf>
    <xf numFmtId="164" fontId="0" fillId="9" borderId="19" xfId="0" applyNumberFormat="1" applyFont="1" applyFill="1" applyBorder="1" applyAlignment="1" applyProtection="1">
      <alignment horizontal="center" vertical="center"/>
    </xf>
    <xf numFmtId="2" fontId="0" fillId="9" borderId="30" xfId="0" applyNumberFormat="1" applyFill="1" applyBorder="1" applyAlignment="1" applyProtection="1">
      <alignment horizontal="center" vertical="center"/>
    </xf>
    <xf numFmtId="0" fontId="17" fillId="11" borderId="16" xfId="1" applyNumberFormat="1" applyFont="1" applyFill="1" applyBorder="1" applyAlignment="1" applyProtection="1">
      <alignment horizontal="center" vertical="center"/>
    </xf>
    <xf numFmtId="43" fontId="4" fillId="3" borderId="2" xfId="1" applyFont="1" applyFill="1" applyBorder="1" applyAlignment="1" applyProtection="1">
      <alignment horizontal="center" vertical="center"/>
    </xf>
    <xf numFmtId="43" fontId="0" fillId="10" borderId="11" xfId="1" applyFont="1" applyFill="1" applyBorder="1" applyAlignment="1" applyProtection="1">
      <alignment horizontal="center" vertical="center"/>
    </xf>
    <xf numFmtId="0" fontId="24" fillId="22" borderId="0" xfId="0" applyFont="1" applyFill="1" applyBorder="1" applyAlignment="1">
      <alignment horizontal="center" vertical="center"/>
    </xf>
    <xf numFmtId="0" fontId="22" fillId="29" borderId="0" xfId="0" applyFont="1" applyFill="1" applyAlignment="1">
      <alignment wrapText="1"/>
    </xf>
    <xf numFmtId="0" fontId="0" fillId="29" borderId="0" xfId="0" applyFill="1"/>
    <xf numFmtId="0" fontId="26" fillId="29" borderId="0" xfId="0" applyFont="1" applyFill="1" applyAlignment="1">
      <alignment horizontal="center" vertical="center" wrapText="1"/>
    </xf>
    <xf numFmtId="0" fontId="13" fillId="31" borderId="0" xfId="0" applyFont="1" applyFill="1" applyBorder="1" applyAlignment="1">
      <alignment horizontal="center" wrapText="1"/>
    </xf>
    <xf numFmtId="0" fontId="4" fillId="31" borderId="0" xfId="0" applyFont="1" applyFill="1" applyBorder="1" applyAlignment="1">
      <alignment horizontal="center" vertical="center"/>
    </xf>
    <xf numFmtId="164" fontId="4" fillId="31" borderId="0" xfId="0" applyNumberFormat="1" applyFont="1" applyFill="1" applyBorder="1" applyAlignment="1">
      <alignment horizontal="center" vertical="center" wrapText="1"/>
    </xf>
    <xf numFmtId="9" fontId="4" fillId="31" borderId="0" xfId="4" applyFont="1" applyFill="1" applyBorder="1" applyAlignment="1">
      <alignment horizontal="center" vertical="center"/>
    </xf>
    <xf numFmtId="164" fontId="18" fillId="31" borderId="0" xfId="0" applyNumberFormat="1" applyFont="1" applyFill="1" applyBorder="1" applyAlignment="1">
      <alignment horizontal="center" vertical="center" wrapText="1"/>
    </xf>
    <xf numFmtId="0" fontId="33" fillId="32" borderId="0" xfId="0" applyFont="1" applyFill="1" applyBorder="1" applyAlignment="1">
      <alignment horizontal="center" vertical="center" wrapText="1"/>
    </xf>
    <xf numFmtId="0" fontId="24" fillId="32" borderId="0" xfId="0" applyFont="1" applyFill="1" applyBorder="1" applyAlignment="1">
      <alignment horizontal="center" vertical="center"/>
    </xf>
    <xf numFmtId="0" fontId="0" fillId="32" borderId="0" xfId="0" applyFill="1"/>
    <xf numFmtId="0" fontId="40" fillId="33" borderId="0" xfId="0" applyFont="1" applyFill="1" applyBorder="1" applyAlignment="1">
      <alignment horizontal="center" vertical="center"/>
    </xf>
    <xf numFmtId="0" fontId="34" fillId="33" borderId="0" xfId="0" applyFont="1" applyFill="1" applyBorder="1" applyAlignment="1">
      <alignment horizontal="center" vertical="center" wrapText="1"/>
    </xf>
    <xf numFmtId="0" fontId="0" fillId="9" borderId="21" xfId="0" applyFont="1" applyFill="1" applyBorder="1" applyAlignment="1" applyProtection="1">
      <alignment horizontal="center" vertical="center"/>
    </xf>
    <xf numFmtId="14" fontId="0" fillId="9" borderId="21" xfId="0" applyNumberFormat="1" applyFont="1" applyFill="1" applyBorder="1" applyAlignment="1" applyProtection="1">
      <alignment horizontal="center" vertical="center"/>
    </xf>
    <xf numFmtId="0" fontId="22" fillId="34" borderId="0" xfId="0" applyFont="1" applyFill="1" applyAlignment="1">
      <alignment wrapText="1"/>
    </xf>
    <xf numFmtId="0" fontId="0" fillId="34" borderId="0" xfId="0" applyFill="1"/>
    <xf numFmtId="2" fontId="0" fillId="34" borderId="0" xfId="0" applyNumberFormat="1" applyFill="1"/>
    <xf numFmtId="0" fontId="9" fillId="34" borderId="0" xfId="0" applyFont="1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25" fillId="34" borderId="0" xfId="0" applyFont="1" applyFill="1" applyAlignment="1">
      <alignment horizontal="center" vertical="center"/>
    </xf>
    <xf numFmtId="0" fontId="42" fillId="34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45" fillId="34" borderId="0" xfId="0" applyFont="1" applyFill="1" applyAlignment="1">
      <alignment horizontal="center" vertical="center" wrapText="1"/>
    </xf>
    <xf numFmtId="2" fontId="0" fillId="0" borderId="21" xfId="1" applyNumberFormat="1" applyFont="1" applyBorder="1" applyAlignment="1" applyProtection="1">
      <alignment horizontal="center" vertical="center"/>
    </xf>
    <xf numFmtId="2" fontId="0" fillId="0" borderId="23" xfId="1" applyNumberFormat="1" applyFont="1" applyBorder="1" applyAlignment="1" applyProtection="1">
      <alignment horizontal="center" vertical="center"/>
    </xf>
    <xf numFmtId="0" fontId="0" fillId="2" borderId="0" xfId="0" applyFill="1" applyProtection="1"/>
    <xf numFmtId="0" fontId="0" fillId="2" borderId="0" xfId="0" applyFont="1" applyFill="1" applyProtection="1"/>
    <xf numFmtId="0" fontId="0" fillId="2" borderId="0" xfId="0" applyFill="1" applyAlignment="1" applyProtection="1">
      <alignment horizontal="center"/>
    </xf>
    <xf numFmtId="0" fontId="0" fillId="2" borderId="0" xfId="0" applyFill="1" applyAlignment="1" applyProtection="1">
      <alignment horizontal="center" vertical="center"/>
    </xf>
    <xf numFmtId="43" fontId="9" fillId="19" borderId="11" xfId="1" applyFont="1" applyFill="1" applyBorder="1" applyAlignment="1" applyProtection="1">
      <alignment horizontal="right"/>
    </xf>
    <xf numFmtId="0" fontId="5" fillId="3" borderId="2" xfId="0" applyFont="1" applyFill="1" applyBorder="1" applyAlignment="1" applyProtection="1">
      <alignment horizontal="center" vertical="center"/>
    </xf>
    <xf numFmtId="0" fontId="4" fillId="3" borderId="31" xfId="0" applyFont="1" applyFill="1" applyBorder="1" applyAlignment="1" applyProtection="1">
      <alignment horizontal="center" vertical="center"/>
    </xf>
    <xf numFmtId="2" fontId="5" fillId="6" borderId="11" xfId="1" applyNumberFormat="1" applyFont="1" applyFill="1" applyBorder="1" applyAlignment="1" applyProtection="1">
      <alignment horizontal="center" vertical="center"/>
    </xf>
    <xf numFmtId="43" fontId="21" fillId="3" borderId="11" xfId="1" applyFont="1" applyFill="1" applyBorder="1" applyAlignment="1" applyProtection="1">
      <alignment horizontal="right" wrapText="1"/>
    </xf>
    <xf numFmtId="0" fontId="0" fillId="3" borderId="0" xfId="0" applyFill="1" applyProtection="1"/>
    <xf numFmtId="0" fontId="7" fillId="7" borderId="4" xfId="0" applyFont="1" applyFill="1" applyBorder="1" applyAlignment="1" applyProtection="1">
      <alignment horizontal="center" vertical="center"/>
    </xf>
    <xf numFmtId="0" fontId="7" fillId="7" borderId="11" xfId="0" applyFont="1" applyFill="1" applyBorder="1" applyAlignment="1" applyProtection="1">
      <alignment horizontal="center"/>
    </xf>
    <xf numFmtId="43" fontId="9" fillId="19" borderId="11" xfId="1" applyFont="1" applyFill="1" applyBorder="1" applyAlignment="1" applyProtection="1">
      <alignment horizontal="right" wrapText="1"/>
    </xf>
    <xf numFmtId="0" fontId="8" fillId="7" borderId="10" xfId="0" applyFont="1" applyFill="1" applyBorder="1" applyAlignment="1" applyProtection="1">
      <alignment horizontal="center"/>
    </xf>
    <xf numFmtId="0" fontId="7" fillId="7" borderId="4" xfId="0" applyFont="1" applyFill="1" applyBorder="1" applyAlignment="1" applyProtection="1">
      <alignment horizontal="center"/>
    </xf>
    <xf numFmtId="0" fontId="13" fillId="0" borderId="11" xfId="0" applyFont="1" applyBorder="1" applyAlignment="1" applyProtection="1">
      <alignment horizontal="center" wrapText="1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4" fontId="4" fillId="0" borderId="0" xfId="0" applyNumberFormat="1" applyFont="1" applyFill="1" applyProtection="1">
      <protection locked="0"/>
    </xf>
    <xf numFmtId="0" fontId="10" fillId="0" borderId="0" xfId="0" applyFont="1" applyProtection="1"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0" borderId="11" xfId="0" applyFont="1" applyBorder="1" applyAlignment="1" applyProtection="1">
      <alignment horizontal="center" vertical="center" wrapText="1"/>
      <protection locked="0"/>
    </xf>
    <xf numFmtId="0" fontId="12" fillId="13" borderId="0" xfId="0" applyFont="1" applyFill="1" applyAlignment="1" applyProtection="1">
      <alignment horizontal="center" vertical="center"/>
      <protection locked="0"/>
    </xf>
    <xf numFmtId="0" fontId="0" fillId="12" borderId="10" xfId="0" applyFont="1" applyFill="1" applyBorder="1" applyAlignment="1" applyProtection="1">
      <alignment horizontal="center"/>
      <protection locked="0"/>
    </xf>
    <xf numFmtId="0" fontId="0" fillId="12" borderId="10" xfId="0" applyFill="1" applyBorder="1" applyAlignment="1" applyProtection="1">
      <alignment horizontal="center"/>
      <protection locked="0"/>
    </xf>
    <xf numFmtId="0" fontId="0" fillId="12" borderId="15" xfId="0" applyFill="1" applyBorder="1" applyAlignment="1" applyProtection="1">
      <alignment horizontal="center"/>
      <protection locked="0"/>
    </xf>
    <xf numFmtId="164" fontId="4" fillId="15" borderId="0" xfId="0" applyNumberFormat="1" applyFont="1" applyFill="1" applyProtection="1">
      <protection locked="0"/>
    </xf>
    <xf numFmtId="0" fontId="0" fillId="33" borderId="0" xfId="0" applyFill="1"/>
    <xf numFmtId="0" fontId="48" fillId="0" borderId="21" xfId="1" applyNumberFormat="1" applyFont="1" applyFill="1" applyBorder="1" applyAlignment="1" applyProtection="1">
      <alignment horizontal="center" vertical="center"/>
    </xf>
    <xf numFmtId="0" fontId="20" fillId="17" borderId="23" xfId="0" applyFont="1" applyFill="1" applyBorder="1" applyAlignment="1" applyProtection="1">
      <alignment horizontal="center" vertical="center"/>
    </xf>
    <xf numFmtId="0" fontId="4" fillId="3" borderId="34" xfId="0" applyFont="1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right"/>
    </xf>
    <xf numFmtId="0" fontId="44" fillId="18" borderId="0" xfId="0" applyFont="1" applyFill="1" applyAlignment="1">
      <alignment horizontal="left" vertical="center"/>
    </xf>
    <xf numFmtId="167" fontId="2" fillId="27" borderId="0" xfId="0" applyNumberFormat="1" applyFont="1" applyFill="1" applyAlignment="1">
      <alignment horizontal="center" vertical="center"/>
    </xf>
    <xf numFmtId="0" fontId="2" fillId="27" borderId="0" xfId="0" applyFont="1" applyFill="1" applyAlignment="1">
      <alignment horizontal="left" vertical="center"/>
    </xf>
    <xf numFmtId="0" fontId="0" fillId="4" borderId="3" xfId="0" applyFill="1" applyBorder="1" applyAlignment="1" applyProtection="1">
      <alignment horizontal="center"/>
      <protection locked="0"/>
    </xf>
    <xf numFmtId="0" fontId="2" fillId="11" borderId="6" xfId="0" applyFont="1" applyFill="1" applyBorder="1" applyAlignment="1" applyProtection="1">
      <alignment horizontal="center"/>
      <protection locked="0"/>
    </xf>
    <xf numFmtId="164" fontId="4" fillId="15" borderId="3" xfId="0" applyNumberFormat="1" applyFont="1" applyFill="1" applyBorder="1" applyAlignment="1" applyProtection="1">
      <alignment horizontal="center" vertical="center"/>
      <protection locked="0"/>
    </xf>
    <xf numFmtId="2" fontId="0" fillId="4" borderId="3" xfId="0" applyNumberFormat="1" applyFill="1" applyBorder="1" applyAlignment="1" applyProtection="1">
      <alignment horizontal="center"/>
      <protection locked="0"/>
    </xf>
    <xf numFmtId="0" fontId="0" fillId="9" borderId="21" xfId="0" applyFill="1" applyBorder="1" applyAlignment="1" applyProtection="1">
      <alignment horizontal="center" vertical="center"/>
    </xf>
    <xf numFmtId="168" fontId="7" fillId="0" borderId="0" xfId="4" applyNumberFormat="1" applyFont="1" applyFill="1" applyProtection="1">
      <protection locked="0"/>
    </xf>
    <xf numFmtId="2" fontId="12" fillId="13" borderId="0" xfId="0" applyNumberFormat="1" applyFont="1" applyFill="1" applyAlignment="1" applyProtection="1">
      <alignment horizontal="center" vertical="center"/>
      <protection locked="0"/>
    </xf>
    <xf numFmtId="0" fontId="49" fillId="10" borderId="0" xfId="0" applyFont="1" applyFill="1" applyAlignment="1">
      <alignment horizontal="center" vertical="center"/>
    </xf>
    <xf numFmtId="0" fontId="0" fillId="35" borderId="3" xfId="0" applyFill="1" applyBorder="1" applyAlignment="1" applyProtection="1">
      <alignment horizontal="left" vertical="center"/>
      <protection locked="0"/>
    </xf>
    <xf numFmtId="0" fontId="0" fillId="35" borderId="4" xfId="0" applyFill="1" applyBorder="1" applyAlignment="1" applyProtection="1">
      <alignment horizontal="left" vertical="center"/>
      <protection locked="0"/>
    </xf>
    <xf numFmtId="0" fontId="0" fillId="35" borderId="4" xfId="0" applyFill="1" applyBorder="1" applyProtection="1">
      <protection locked="0"/>
    </xf>
    <xf numFmtId="0" fontId="0" fillId="35" borderId="4" xfId="0" applyFont="1" applyFill="1" applyBorder="1" applyProtection="1">
      <protection locked="0"/>
    </xf>
    <xf numFmtId="0" fontId="0" fillId="35" borderId="5" xfId="0" applyFill="1" applyBorder="1" applyProtection="1">
      <protection locked="0"/>
    </xf>
    <xf numFmtId="0" fontId="0" fillId="35" borderId="0" xfId="0" applyFill="1" applyProtection="1">
      <protection locked="0"/>
    </xf>
    <xf numFmtId="164" fontId="0" fillId="35" borderId="3" xfId="0" applyNumberFormat="1" applyFill="1" applyBorder="1" applyAlignment="1" applyProtection="1">
      <alignment horizontal="center" vertical="center"/>
      <protection locked="0"/>
    </xf>
    <xf numFmtId="164" fontId="0" fillId="35" borderId="4" xfId="0" applyNumberFormat="1" applyFill="1" applyBorder="1" applyAlignment="1" applyProtection="1">
      <alignment horizontal="center" vertical="center"/>
      <protection locked="0"/>
    </xf>
    <xf numFmtId="164" fontId="0" fillId="35" borderId="4" xfId="0" applyNumberFormat="1" applyFill="1" applyBorder="1" applyAlignment="1" applyProtection="1">
      <alignment horizontal="center"/>
      <protection locked="0"/>
    </xf>
    <xf numFmtId="165" fontId="0" fillId="35" borderId="4" xfId="0" applyNumberFormat="1" applyFill="1" applyBorder="1" applyAlignment="1" applyProtection="1">
      <alignment horizontal="center"/>
      <protection locked="0"/>
    </xf>
    <xf numFmtId="164" fontId="0" fillId="35" borderId="5" xfId="0" applyNumberFormat="1" applyFill="1" applyBorder="1" applyAlignment="1" applyProtection="1">
      <alignment horizontal="center"/>
      <protection locked="0"/>
    </xf>
    <xf numFmtId="164" fontId="0" fillId="35" borderId="0" xfId="0" applyNumberFormat="1" applyFill="1" applyProtection="1">
      <protection locked="0"/>
    </xf>
    <xf numFmtId="168" fontId="7" fillId="22" borderId="3" xfId="4" applyNumberFormat="1" applyFont="1" applyFill="1" applyBorder="1" applyAlignment="1" applyProtection="1">
      <alignment horizontal="center" vertical="center"/>
      <protection locked="0"/>
    </xf>
    <xf numFmtId="168" fontId="7" fillId="22" borderId="4" xfId="4" applyNumberFormat="1" applyFont="1" applyFill="1" applyBorder="1" applyAlignment="1" applyProtection="1">
      <alignment horizontal="center" vertical="center"/>
      <protection locked="0"/>
    </xf>
    <xf numFmtId="168" fontId="7" fillId="22" borderId="4" xfId="4" applyNumberFormat="1" applyFont="1" applyFill="1" applyBorder="1" applyAlignment="1" applyProtection="1">
      <alignment horizontal="center"/>
      <protection locked="0"/>
    </xf>
    <xf numFmtId="168" fontId="7" fillId="22" borderId="5" xfId="4" applyNumberFormat="1" applyFont="1" applyFill="1" applyBorder="1" applyAlignment="1" applyProtection="1">
      <alignment horizontal="center"/>
      <protection locked="0"/>
    </xf>
    <xf numFmtId="168" fontId="7" fillId="22" borderId="0" xfId="4" applyNumberFormat="1" applyFont="1" applyFill="1" applyProtection="1">
      <protection locked="0"/>
    </xf>
    <xf numFmtId="0" fontId="22" fillId="36" borderId="0" xfId="0" applyFont="1" applyFill="1" applyAlignment="1">
      <alignment wrapText="1"/>
    </xf>
    <xf numFmtId="0" fontId="0" fillId="36" borderId="0" xfId="0" applyFill="1"/>
    <xf numFmtId="0" fontId="29" fillId="36" borderId="0" xfId="0" applyFont="1" applyFill="1" applyBorder="1" applyAlignment="1">
      <alignment vertical="center" wrapText="1"/>
    </xf>
    <xf numFmtId="2" fontId="0" fillId="36" borderId="0" xfId="0" applyNumberFormat="1" applyFill="1"/>
    <xf numFmtId="0" fontId="28" fillId="36" borderId="0" xfId="0" applyFont="1" applyFill="1" applyAlignment="1">
      <alignment horizontal="center" vertical="center"/>
    </xf>
    <xf numFmtId="166" fontId="19" fillId="36" borderId="0" xfId="0" applyNumberFormat="1" applyFont="1" applyFill="1" applyAlignment="1">
      <alignment horizontal="center" vertical="center"/>
    </xf>
    <xf numFmtId="0" fontId="0" fillId="36" borderId="0" xfId="0" applyFill="1" applyAlignment="1">
      <alignment horizontal="center" vertical="center"/>
    </xf>
    <xf numFmtId="0" fontId="25" fillId="36" borderId="0" xfId="0" applyFont="1" applyFill="1" applyAlignment="1">
      <alignment horizontal="center" vertical="center"/>
    </xf>
    <xf numFmtId="0" fontId="51" fillId="36" borderId="35" xfId="0" applyFont="1" applyFill="1" applyBorder="1" applyAlignment="1">
      <alignment horizontal="center" vertical="center" wrapText="1"/>
    </xf>
    <xf numFmtId="0" fontId="52" fillId="36" borderId="35" xfId="0" applyFont="1" applyFill="1" applyBorder="1" applyAlignment="1">
      <alignment horizontal="center" vertical="center" wrapText="1"/>
    </xf>
    <xf numFmtId="0" fontId="0" fillId="37" borderId="11" xfId="0" applyFill="1" applyBorder="1" applyAlignment="1" applyProtection="1">
      <alignment horizontal="center" vertical="center"/>
    </xf>
    <xf numFmtId="14" fontId="0" fillId="37" borderId="11" xfId="0" applyNumberFormat="1" applyFont="1" applyFill="1" applyBorder="1" applyAlignment="1" applyProtection="1">
      <alignment horizontal="center" vertical="center"/>
    </xf>
    <xf numFmtId="0" fontId="0" fillId="37" borderId="4" xfId="0" applyFill="1" applyBorder="1" applyAlignment="1" applyProtection="1">
      <alignment horizontal="center" vertical="center"/>
    </xf>
    <xf numFmtId="14" fontId="0" fillId="37" borderId="4" xfId="0" applyNumberFormat="1" applyFont="1" applyFill="1" applyBorder="1" applyAlignment="1" applyProtection="1">
      <alignment horizontal="center" vertical="center"/>
    </xf>
    <xf numFmtId="0" fontId="0" fillId="37" borderId="4" xfId="0" applyFont="1" applyFill="1" applyBorder="1" applyAlignment="1" applyProtection="1">
      <alignment horizontal="center" vertical="center"/>
    </xf>
    <xf numFmtId="0" fontId="0" fillId="37" borderId="5" xfId="0" applyFill="1" applyBorder="1" applyAlignment="1" applyProtection="1">
      <alignment horizontal="center" vertical="center"/>
    </xf>
    <xf numFmtId="0" fontId="0" fillId="37" borderId="5" xfId="0" applyFont="1" applyFill="1" applyBorder="1" applyAlignment="1" applyProtection="1">
      <alignment horizontal="center" vertical="center"/>
    </xf>
    <xf numFmtId="0" fontId="0" fillId="37" borderId="0" xfId="0" applyFont="1" applyFill="1" applyProtection="1"/>
    <xf numFmtId="0" fontId="0" fillId="37" borderId="0" xfId="0" applyFill="1" applyAlignment="1" applyProtection="1">
      <alignment horizontal="center"/>
    </xf>
    <xf numFmtId="0" fontId="0" fillId="38" borderId="11" xfId="0" applyFill="1" applyBorder="1" applyAlignment="1" applyProtection="1">
      <alignment horizontal="center"/>
    </xf>
    <xf numFmtId="0" fontId="0" fillId="38" borderId="11" xfId="0" applyFill="1" applyBorder="1" applyAlignment="1" applyProtection="1">
      <alignment horizontal="center" vertical="center"/>
    </xf>
    <xf numFmtId="0" fontId="0" fillId="38" borderId="4" xfId="0" applyFill="1" applyBorder="1" applyAlignment="1" applyProtection="1">
      <alignment horizontal="center"/>
    </xf>
    <xf numFmtId="0" fontId="0" fillId="38" borderId="10" xfId="0" applyFill="1" applyBorder="1" applyAlignment="1" applyProtection="1">
      <alignment horizontal="center"/>
    </xf>
    <xf numFmtId="0" fontId="0" fillId="38" borderId="10" xfId="0" applyFill="1" applyBorder="1" applyAlignment="1" applyProtection="1">
      <alignment horizontal="center" vertical="center"/>
    </xf>
    <xf numFmtId="0" fontId="0" fillId="38" borderId="18" xfId="0" applyFill="1" applyBorder="1" applyAlignment="1" applyProtection="1">
      <alignment horizontal="center" vertical="center"/>
    </xf>
    <xf numFmtId="0" fontId="0" fillId="38" borderId="10" xfId="0" applyFont="1" applyFill="1" applyBorder="1" applyAlignment="1" applyProtection="1">
      <alignment horizontal="center" vertical="center"/>
    </xf>
    <xf numFmtId="0" fontId="0" fillId="38" borderId="40" xfId="0" applyFill="1" applyBorder="1" applyAlignment="1" applyProtection="1">
      <alignment horizontal="center" vertical="center"/>
    </xf>
    <xf numFmtId="0" fontId="0" fillId="38" borderId="4" xfId="0" applyFill="1" applyBorder="1" applyAlignment="1" applyProtection="1">
      <alignment horizontal="center" vertical="center"/>
    </xf>
    <xf numFmtId="0" fontId="0" fillId="38" borderId="5" xfId="0" applyFill="1" applyBorder="1" applyAlignment="1" applyProtection="1">
      <alignment horizontal="center" vertical="center"/>
    </xf>
    <xf numFmtId="0" fontId="0" fillId="38" borderId="0" xfId="0" applyFill="1" applyAlignment="1" applyProtection="1">
      <alignment horizontal="center" vertical="center"/>
    </xf>
    <xf numFmtId="164" fontId="0" fillId="38" borderId="4" xfId="0" applyNumberFormat="1" applyFill="1" applyBorder="1" applyAlignment="1" applyProtection="1">
      <alignment horizontal="center"/>
    </xf>
    <xf numFmtId="0" fontId="15" fillId="18" borderId="13" xfId="0" applyFont="1" applyFill="1" applyBorder="1" applyAlignment="1" applyProtection="1">
      <alignment horizontal="center" vertical="center"/>
      <protection locked="0"/>
    </xf>
    <xf numFmtId="0" fontId="15" fillId="18" borderId="10" xfId="0" applyFont="1" applyFill="1" applyBorder="1" applyAlignment="1" applyProtection="1">
      <alignment horizontal="center" vertical="center"/>
      <protection locked="0"/>
    </xf>
    <xf numFmtId="0" fontId="15" fillId="18" borderId="10" xfId="0" applyFont="1" applyFill="1" applyBorder="1" applyAlignment="1" applyProtection="1">
      <alignment horizontal="center"/>
      <protection locked="0"/>
    </xf>
    <xf numFmtId="0" fontId="13" fillId="0" borderId="0" xfId="0" applyFont="1" applyBorder="1" applyAlignment="1" applyProtection="1">
      <alignment horizontal="center" wrapText="1"/>
      <protection locked="0"/>
    </xf>
    <xf numFmtId="0" fontId="0" fillId="0" borderId="0" xfId="0" applyBorder="1" applyProtection="1">
      <protection locked="0"/>
    </xf>
    <xf numFmtId="0" fontId="14" fillId="0" borderId="23" xfId="0" applyFont="1" applyBorder="1" applyAlignment="1" applyProtection="1">
      <alignment horizontal="center" vertical="center" wrapText="1"/>
      <protection locked="0"/>
    </xf>
    <xf numFmtId="0" fontId="4" fillId="3" borderId="41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  <protection locked="0"/>
    </xf>
    <xf numFmtId="164" fontId="4" fillId="3" borderId="7" xfId="0" applyNumberFormat="1" applyFont="1" applyFill="1" applyBorder="1" applyAlignment="1" applyProtection="1">
      <alignment horizontal="center" vertical="center"/>
      <protection locked="0"/>
    </xf>
    <xf numFmtId="168" fontId="4" fillId="3" borderId="7" xfId="4" applyNumberFormat="1" applyFont="1" applyFill="1" applyBorder="1" applyAlignment="1" applyProtection="1">
      <alignment horizontal="center" vertical="center"/>
      <protection locked="0"/>
    </xf>
    <xf numFmtId="164" fontId="18" fillId="3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3" borderId="41" xfId="0" applyFont="1" applyFill="1" applyBorder="1" applyAlignment="1" applyProtection="1">
      <alignment horizontal="center" vertical="center" wrapText="1"/>
      <protection locked="0"/>
    </xf>
    <xf numFmtId="0" fontId="0" fillId="9" borderId="21" xfId="0" applyFill="1" applyBorder="1" applyAlignment="1" applyProtection="1">
      <alignment horizontal="center" vertical="center"/>
    </xf>
    <xf numFmtId="14" fontId="0" fillId="9" borderId="21" xfId="0" applyNumberFormat="1" applyFill="1" applyBorder="1" applyAlignment="1" applyProtection="1">
      <alignment horizontal="center" vertical="center"/>
    </xf>
    <xf numFmtId="0" fontId="0" fillId="9" borderId="17" xfId="0" applyFill="1" applyBorder="1" applyAlignment="1" applyProtection="1">
      <alignment horizontal="center" vertical="center"/>
    </xf>
    <xf numFmtId="0" fontId="0" fillId="9" borderId="22" xfId="0" applyFill="1" applyBorder="1" applyAlignment="1" applyProtection="1">
      <alignment horizontal="center" vertical="center"/>
    </xf>
    <xf numFmtId="0" fontId="0" fillId="9" borderId="16" xfId="0" applyFill="1" applyBorder="1" applyAlignment="1" applyProtection="1">
      <alignment horizontal="center" vertical="center"/>
    </xf>
    <xf numFmtId="164" fontId="19" fillId="9" borderId="30" xfId="0" applyNumberFormat="1" applyFont="1" applyFill="1" applyBorder="1" applyAlignment="1" applyProtection="1">
      <alignment horizontal="center" vertical="center"/>
    </xf>
    <xf numFmtId="0" fontId="0" fillId="12" borderId="30" xfId="0" applyFill="1" applyBorder="1" applyAlignment="1" applyProtection="1">
      <alignment horizontal="center" vertical="center"/>
    </xf>
    <xf numFmtId="0" fontId="0" fillId="12" borderId="6" xfId="0" applyFill="1" applyBorder="1" applyAlignment="1" applyProtection="1">
      <alignment horizontal="center" vertical="center"/>
    </xf>
    <xf numFmtId="0" fontId="0" fillId="12" borderId="30" xfId="0" applyFill="1" applyBorder="1" applyAlignment="1" applyProtection="1">
      <alignment horizontal="center"/>
    </xf>
    <xf numFmtId="0" fontId="0" fillId="12" borderId="9" xfId="0" applyFill="1" applyBorder="1" applyAlignment="1" applyProtection="1">
      <alignment horizontal="center"/>
    </xf>
    <xf numFmtId="0" fontId="0" fillId="12" borderId="19" xfId="0" applyFill="1" applyBorder="1" applyAlignment="1" applyProtection="1">
      <alignment horizontal="center" vertical="center"/>
    </xf>
    <xf numFmtId="0" fontId="0" fillId="12" borderId="6" xfId="0" applyFill="1" applyBorder="1" applyAlignment="1" applyProtection="1">
      <alignment horizontal="center"/>
    </xf>
    <xf numFmtId="0" fontId="0" fillId="12" borderId="6" xfId="0" applyFont="1" applyFill="1" applyBorder="1" applyAlignment="1" applyProtection="1">
      <alignment horizontal="center" vertical="center"/>
    </xf>
    <xf numFmtId="0" fontId="0" fillId="12" borderId="20" xfId="0" applyFont="1" applyFill="1" applyBorder="1" applyAlignment="1" applyProtection="1">
      <alignment horizontal="center" vertical="center"/>
    </xf>
    <xf numFmtId="0" fontId="35" fillId="12" borderId="6" xfId="0" applyFont="1" applyFill="1" applyBorder="1" applyAlignment="1" applyProtection="1">
      <alignment horizontal="center" vertical="center"/>
    </xf>
    <xf numFmtId="0" fontId="0" fillId="12" borderId="6" xfId="0" applyFont="1" applyFill="1" applyBorder="1" applyAlignment="1" applyProtection="1">
      <alignment horizontal="center"/>
    </xf>
    <xf numFmtId="0" fontId="0" fillId="12" borderId="30" xfId="0" applyFont="1" applyFill="1" applyBorder="1" applyAlignment="1" applyProtection="1">
      <alignment horizontal="center" vertical="center"/>
    </xf>
    <xf numFmtId="0" fontId="0" fillId="12" borderId="20" xfId="0" applyFill="1" applyBorder="1" applyAlignment="1" applyProtection="1">
      <alignment horizontal="center" vertical="center"/>
    </xf>
    <xf numFmtId="0" fontId="0" fillId="9" borderId="20" xfId="0" applyFill="1" applyBorder="1" applyAlignment="1" applyProtection="1">
      <alignment horizontal="center" vertical="center"/>
    </xf>
    <xf numFmtId="0" fontId="0" fillId="9" borderId="18" xfId="0" applyFill="1" applyBorder="1" applyAlignment="1" applyProtection="1">
      <alignment horizontal="center" vertical="center"/>
    </xf>
    <xf numFmtId="1" fontId="9" fillId="9" borderId="17" xfId="0" applyNumberFormat="1" applyFont="1" applyFill="1" applyBorder="1" applyAlignment="1" applyProtection="1">
      <alignment horizontal="center" vertical="center"/>
    </xf>
    <xf numFmtId="0" fontId="3" fillId="9" borderId="17" xfId="3" applyFont="1" applyFill="1" applyBorder="1" applyAlignment="1" applyProtection="1">
      <alignment horizontal="center" vertical="center"/>
    </xf>
    <xf numFmtId="0" fontId="3" fillId="9" borderId="22" xfId="3" applyFont="1" applyFill="1" applyBorder="1" applyAlignment="1" applyProtection="1">
      <alignment horizontal="center" vertical="center"/>
    </xf>
    <xf numFmtId="164" fontId="3" fillId="9" borderId="22" xfId="3" applyNumberFormat="1" applyFont="1" applyFill="1" applyBorder="1" applyAlignment="1" applyProtection="1">
      <alignment horizontal="center" vertical="center"/>
    </xf>
    <xf numFmtId="0" fontId="3" fillId="9" borderId="17" xfId="3" applyNumberFormat="1" applyFont="1" applyFill="1" applyBorder="1" applyAlignment="1" applyProtection="1">
      <alignment horizontal="center" vertical="center"/>
    </xf>
    <xf numFmtId="0" fontId="3" fillId="9" borderId="22" xfId="3" applyNumberFormat="1" applyFont="1" applyFill="1" applyBorder="1" applyAlignment="1" applyProtection="1">
      <alignment horizontal="center" vertical="center"/>
    </xf>
    <xf numFmtId="0" fontId="0" fillId="9" borderId="16" xfId="0" applyFont="1" applyFill="1" applyBorder="1" applyAlignment="1" applyProtection="1">
      <alignment horizontal="center" vertical="center"/>
    </xf>
    <xf numFmtId="0" fontId="0" fillId="9" borderId="6" xfId="0" applyFill="1" applyBorder="1" applyAlignment="1" applyProtection="1">
      <alignment horizontal="center" vertical="center"/>
    </xf>
    <xf numFmtId="0" fontId="3" fillId="9" borderId="16" xfId="3" applyFont="1" applyFill="1" applyBorder="1" applyAlignment="1" applyProtection="1">
      <alignment horizontal="center" vertical="center"/>
    </xf>
    <xf numFmtId="0" fontId="3" fillId="9" borderId="19" xfId="3" applyFont="1" applyFill="1" applyBorder="1" applyAlignment="1" applyProtection="1">
      <alignment horizontal="center" vertical="center"/>
    </xf>
    <xf numFmtId="0" fontId="3" fillId="9" borderId="0" xfId="3" applyFont="1" applyFill="1" applyBorder="1" applyAlignment="1" applyProtection="1">
      <alignment horizontal="center" vertical="center"/>
    </xf>
    <xf numFmtId="0" fontId="0" fillId="9" borderId="19" xfId="3" applyFont="1" applyFill="1" applyBorder="1" applyAlignment="1" applyProtection="1">
      <alignment horizontal="center" vertical="center"/>
    </xf>
    <xf numFmtId="0" fontId="0" fillId="9" borderId="0" xfId="3" applyFont="1" applyFill="1" applyBorder="1" applyAlignment="1" applyProtection="1">
      <alignment horizontal="center" vertical="center"/>
    </xf>
    <xf numFmtId="0" fontId="0" fillId="9" borderId="20" xfId="3" applyFont="1" applyFill="1" applyBorder="1" applyAlignment="1" applyProtection="1">
      <alignment horizontal="center" vertical="center"/>
    </xf>
    <xf numFmtId="0" fontId="0" fillId="9" borderId="6" xfId="3" applyFont="1" applyFill="1" applyBorder="1" applyAlignment="1" applyProtection="1">
      <alignment horizontal="center" vertical="center"/>
    </xf>
    <xf numFmtId="0" fontId="0" fillId="9" borderId="22" xfId="3" applyFont="1" applyFill="1" applyBorder="1" applyAlignment="1" applyProtection="1">
      <alignment horizontal="center" vertical="center"/>
    </xf>
    <xf numFmtId="0" fontId="0" fillId="9" borderId="18" xfId="3" applyFont="1" applyFill="1" applyBorder="1" applyAlignment="1" applyProtection="1">
      <alignment horizontal="center" vertical="center"/>
    </xf>
    <xf numFmtId="0" fontId="0" fillId="9" borderId="0" xfId="0" applyNumberFormat="1" applyFont="1" applyFill="1" applyBorder="1" applyAlignment="1" applyProtection="1">
      <alignment horizontal="center" vertical="center"/>
    </xf>
    <xf numFmtId="0" fontId="0" fillId="9" borderId="19" xfId="0" applyNumberFormat="1" applyFont="1" applyFill="1" applyBorder="1" applyAlignment="1" applyProtection="1">
      <alignment horizontal="center" vertical="center"/>
    </xf>
    <xf numFmtId="0" fontId="0" fillId="9" borderId="0" xfId="3" applyNumberFormat="1" applyFont="1" applyFill="1" applyBorder="1" applyAlignment="1" applyProtection="1">
      <alignment horizontal="center" vertical="center"/>
    </xf>
    <xf numFmtId="0" fontId="0" fillId="9" borderId="18" xfId="0" applyNumberFormat="1" applyFont="1" applyFill="1" applyBorder="1" applyAlignment="1" applyProtection="1">
      <alignment horizontal="center" vertical="center"/>
    </xf>
    <xf numFmtId="0" fontId="0" fillId="9" borderId="18" xfId="3" applyNumberFormat="1" applyFont="1" applyFill="1" applyBorder="1" applyAlignment="1" applyProtection="1">
      <alignment horizontal="center" vertical="center"/>
    </xf>
    <xf numFmtId="0" fontId="19" fillId="9" borderId="18" xfId="0" applyFont="1" applyFill="1" applyBorder="1" applyAlignment="1" applyProtection="1">
      <alignment horizontal="center" vertical="center"/>
    </xf>
    <xf numFmtId="0" fontId="24" fillId="10" borderId="11" xfId="0" applyFont="1" applyFill="1" applyBorder="1" applyProtection="1"/>
    <xf numFmtId="0" fontId="0" fillId="40" borderId="0" xfId="0" applyFill="1"/>
    <xf numFmtId="0" fontId="0" fillId="9" borderId="17" xfId="0" applyFill="1" applyBorder="1" applyAlignment="1" applyProtection="1">
      <alignment horizontal="center" vertical="center"/>
    </xf>
    <xf numFmtId="0" fontId="24" fillId="10" borderId="30" xfId="0" applyFont="1" applyFill="1" applyBorder="1" applyProtection="1"/>
    <xf numFmtId="43" fontId="0" fillId="10" borderId="18" xfId="1" applyFont="1" applyFill="1" applyBorder="1" applyAlignment="1" applyProtection="1">
      <alignment horizontal="center" vertical="center"/>
    </xf>
    <xf numFmtId="0" fontId="4" fillId="3" borderId="34" xfId="0" applyFont="1" applyFill="1" applyBorder="1" applyAlignment="1">
      <alignment horizontal="center" vertical="center" wrapText="1"/>
    </xf>
    <xf numFmtId="0" fontId="24" fillId="2" borderId="42" xfId="0" applyFont="1" applyFill="1" applyBorder="1" applyAlignment="1">
      <alignment horizontal="center" vertical="center"/>
    </xf>
    <xf numFmtId="0" fontId="26" fillId="22" borderId="0" xfId="0" applyFont="1" applyFill="1" applyAlignment="1">
      <alignment horizontal="center" vertical="center" wrapText="1"/>
    </xf>
    <xf numFmtId="0" fontId="4" fillId="3" borderId="41" xfId="0" applyFont="1" applyFill="1" applyBorder="1" applyAlignment="1" applyProtection="1">
      <alignment horizontal="center" vertical="center" wrapText="1"/>
      <protection locked="0"/>
    </xf>
    <xf numFmtId="0" fontId="4" fillId="3" borderId="7" xfId="0" applyFont="1" applyFill="1" applyBorder="1" applyAlignment="1" applyProtection="1">
      <alignment horizontal="center" vertical="center" wrapText="1"/>
      <protection locked="0"/>
    </xf>
    <xf numFmtId="164" fontId="4" fillId="3" borderId="7" xfId="0" applyNumberFormat="1" applyFont="1" applyFill="1" applyBorder="1" applyAlignment="1" applyProtection="1">
      <alignment horizontal="center" vertical="center" wrapText="1"/>
      <protection locked="0"/>
    </xf>
    <xf numFmtId="168" fontId="4" fillId="3" borderId="7" xfId="4" applyNumberFormat="1" applyFont="1" applyFill="1" applyBorder="1" applyAlignment="1" applyProtection="1">
      <alignment horizontal="center" vertical="center" wrapText="1"/>
      <protection locked="0"/>
    </xf>
    <xf numFmtId="0" fontId="54" fillId="22" borderId="0" xfId="0" applyFont="1" applyFill="1" applyAlignment="1">
      <alignment horizontal="left" vertical="center"/>
    </xf>
    <xf numFmtId="0" fontId="42" fillId="0" borderId="11" xfId="0" applyFont="1" applyFill="1" applyBorder="1" applyAlignment="1">
      <alignment horizontal="right" vertical="center" indent="1"/>
    </xf>
    <xf numFmtId="0" fontId="42" fillId="0" borderId="11" xfId="0" applyFont="1" applyBorder="1" applyAlignment="1">
      <alignment horizontal="right" vertical="center" indent="1"/>
    </xf>
    <xf numFmtId="0" fontId="34" fillId="39" borderId="7" xfId="0" applyFont="1" applyFill="1" applyBorder="1" applyAlignment="1" applyProtection="1">
      <alignment horizontal="center" vertical="center" wrapText="1"/>
      <protection locked="0"/>
    </xf>
    <xf numFmtId="0" fontId="2" fillId="3" borderId="7" xfId="0" applyFont="1" applyFill="1" applyBorder="1" applyAlignment="1" applyProtection="1">
      <alignment horizontal="center" vertical="center" wrapText="1"/>
      <protection locked="0"/>
    </xf>
    <xf numFmtId="0" fontId="0" fillId="9" borderId="11" xfId="0" applyFont="1" applyFill="1" applyBorder="1" applyAlignment="1" applyProtection="1">
      <alignment horizontal="center" vertical="center"/>
    </xf>
    <xf numFmtId="0" fontId="0" fillId="9" borderId="19" xfId="0" applyFill="1" applyBorder="1" applyAlignment="1">
      <alignment horizontal="center" vertical="center"/>
    </xf>
    <xf numFmtId="164" fontId="0" fillId="9" borderId="21" xfId="0" applyNumberFormat="1" applyFont="1" applyFill="1" applyBorder="1" applyAlignment="1">
      <alignment horizontal="center" vertical="center"/>
    </xf>
    <xf numFmtId="167" fontId="45" fillId="18" borderId="0" xfId="0" applyNumberFormat="1" applyFont="1" applyFill="1" applyAlignment="1">
      <alignment horizontal="right" vertical="center"/>
    </xf>
    <xf numFmtId="0" fontId="7" fillId="18" borderId="34" xfId="0" applyFont="1" applyFill="1" applyBorder="1" applyAlignment="1">
      <alignment horizontal="center" vertical="center" wrapText="1"/>
    </xf>
    <xf numFmtId="0" fontId="0" fillId="9" borderId="11" xfId="0" applyNumberFormat="1" applyFill="1" applyBorder="1" applyAlignment="1" applyProtection="1">
      <alignment horizontal="center" vertical="center"/>
    </xf>
    <xf numFmtId="2" fontId="24" fillId="0" borderId="11" xfId="1" applyNumberFormat="1" applyFont="1" applyBorder="1" applyAlignment="1" applyProtection="1">
      <alignment horizontal="center" vertical="center"/>
    </xf>
    <xf numFmtId="2" fontId="3" fillId="0" borderId="11" xfId="1" applyNumberFormat="1" applyFont="1" applyBorder="1" applyAlignment="1" applyProtection="1">
      <alignment horizontal="center" vertical="center"/>
    </xf>
    <xf numFmtId="0" fontId="47" fillId="12" borderId="30" xfId="0" applyFont="1" applyFill="1" applyBorder="1" applyAlignment="1" applyProtection="1">
      <alignment horizontal="center" vertical="center"/>
    </xf>
    <xf numFmtId="14" fontId="0" fillId="28" borderId="0" xfId="0" applyNumberFormat="1" applyFill="1"/>
    <xf numFmtId="14" fontId="0" fillId="21" borderId="0" xfId="0" applyNumberFormat="1" applyFill="1"/>
    <xf numFmtId="0" fontId="0" fillId="41" borderId="0" xfId="0" applyFill="1"/>
    <xf numFmtId="0" fontId="0" fillId="42" borderId="0" xfId="0" applyFill="1"/>
    <xf numFmtId="164" fontId="17" fillId="11" borderId="16" xfId="1" applyNumberFormat="1" applyFont="1" applyFill="1" applyBorder="1" applyAlignment="1" applyProtection="1">
      <alignment horizontal="center" vertical="center"/>
    </xf>
    <xf numFmtId="164" fontId="18" fillId="43" borderId="7" xfId="0" applyNumberFormat="1" applyFont="1" applyFill="1" applyBorder="1" applyAlignment="1" applyProtection="1">
      <alignment horizontal="center" vertical="center" wrapText="1"/>
      <protection locked="0"/>
    </xf>
    <xf numFmtId="0" fontId="0" fillId="39" borderId="0" xfId="0" applyFill="1"/>
    <xf numFmtId="0" fontId="0" fillId="43" borderId="0" xfId="0" applyFill="1"/>
    <xf numFmtId="2" fontId="59" fillId="13" borderId="0" xfId="0" applyNumberFormat="1" applyFont="1" applyFill="1" applyAlignment="1" applyProtection="1">
      <alignment horizontal="center" vertical="center"/>
      <protection locked="0"/>
    </xf>
    <xf numFmtId="0" fontId="0" fillId="37" borderId="21" xfId="0" applyFill="1" applyBorder="1" applyAlignment="1" applyProtection="1">
      <alignment horizontal="center" vertical="center"/>
    </xf>
    <xf numFmtId="2" fontId="3" fillId="16" borderId="11" xfId="1" applyNumberFormat="1" applyFont="1" applyFill="1" applyBorder="1" applyAlignment="1" applyProtection="1">
      <alignment horizontal="center" vertic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61" fillId="0" borderId="0" xfId="0" applyFont="1" applyProtection="1"/>
    <xf numFmtId="0" fontId="60" fillId="12" borderId="30" xfId="0" applyFont="1" applyFill="1" applyBorder="1" applyAlignment="1" applyProtection="1">
      <alignment horizontal="center" vertical="center"/>
    </xf>
    <xf numFmtId="0" fontId="1" fillId="8" borderId="30" xfId="0" applyFont="1" applyFill="1" applyBorder="1" applyAlignment="1" applyProtection="1">
      <alignment horizontal="center" vertical="center"/>
      <protection locked="0"/>
    </xf>
    <xf numFmtId="0" fontId="1" fillId="8" borderId="6" xfId="0" applyFont="1" applyFill="1" applyBorder="1" applyAlignment="1" applyProtection="1">
      <alignment horizontal="center" vertical="center"/>
      <protection locked="0"/>
    </xf>
    <xf numFmtId="0" fontId="1" fillId="8" borderId="18" xfId="0" applyFont="1" applyFill="1" applyBorder="1" applyAlignment="1" applyProtection="1">
      <alignment horizontal="center" vertical="center"/>
      <protection locked="0"/>
    </xf>
    <xf numFmtId="2" fontId="1" fillId="13" borderId="2" xfId="0" applyNumberFormat="1" applyFont="1" applyFill="1" applyBorder="1" applyAlignment="1" applyProtection="1">
      <alignment horizontal="center" vertical="top"/>
    </xf>
    <xf numFmtId="2" fontId="1" fillId="13" borderId="7" xfId="0" applyNumberFormat="1" applyFont="1" applyFill="1" applyBorder="1" applyAlignment="1" applyProtection="1">
      <alignment horizontal="center" vertical="top"/>
    </xf>
    <xf numFmtId="2" fontId="1" fillId="13" borderId="8" xfId="0" applyNumberFormat="1" applyFont="1" applyFill="1" applyBorder="1" applyAlignment="1" applyProtection="1">
      <alignment horizontal="center" vertical="top"/>
    </xf>
    <xf numFmtId="0" fontId="0" fillId="37" borderId="21" xfId="0" applyFill="1" applyBorder="1" applyAlignment="1" applyProtection="1">
      <alignment horizontal="center" vertical="center"/>
    </xf>
    <xf numFmtId="0" fontId="0" fillId="37" borderId="12" xfId="0" applyFill="1" applyBorder="1" applyAlignment="1" applyProtection="1">
      <alignment horizontal="center" vertical="center"/>
    </xf>
    <xf numFmtId="0" fontId="0" fillId="37" borderId="23" xfId="0" applyFill="1" applyBorder="1" applyAlignment="1" applyProtection="1">
      <alignment horizontal="center" vertical="center"/>
    </xf>
    <xf numFmtId="14" fontId="0" fillId="37" borderId="21" xfId="0" applyNumberFormat="1" applyFont="1" applyFill="1" applyBorder="1" applyAlignment="1" applyProtection="1">
      <alignment horizontal="center" vertical="center"/>
    </xf>
    <xf numFmtId="14" fontId="0" fillId="37" borderId="12" xfId="0" applyNumberFormat="1" applyFont="1" applyFill="1" applyBorder="1" applyAlignment="1" applyProtection="1">
      <alignment horizontal="center" vertical="center"/>
    </xf>
    <xf numFmtId="14" fontId="0" fillId="37" borderId="23" xfId="0" applyNumberFormat="1" applyFont="1" applyFill="1" applyBorder="1" applyAlignment="1" applyProtection="1">
      <alignment horizontal="center" vertical="center"/>
    </xf>
    <xf numFmtId="2" fontId="0" fillId="0" borderId="21" xfId="1" applyNumberFormat="1" applyFont="1" applyBorder="1" applyAlignment="1" applyProtection="1">
      <alignment horizontal="center" vertical="center"/>
    </xf>
    <xf numFmtId="2" fontId="0" fillId="0" borderId="23" xfId="1" applyNumberFormat="1" applyFont="1" applyBorder="1" applyAlignment="1" applyProtection="1">
      <alignment horizontal="center" vertical="center"/>
    </xf>
    <xf numFmtId="0" fontId="0" fillId="37" borderId="24" xfId="0" applyFill="1" applyBorder="1" applyAlignment="1" applyProtection="1">
      <alignment horizontal="center" vertical="center"/>
    </xf>
    <xf numFmtId="0" fontId="0" fillId="37" borderId="26" xfId="0" applyFill="1" applyBorder="1" applyAlignment="1" applyProtection="1">
      <alignment horizontal="center" vertical="center"/>
    </xf>
    <xf numFmtId="0" fontId="0" fillId="37" borderId="28" xfId="0" applyFill="1" applyBorder="1" applyAlignment="1" applyProtection="1">
      <alignment horizontal="center" vertical="center"/>
    </xf>
    <xf numFmtId="0" fontId="0" fillId="37" borderId="27" xfId="0" applyFill="1" applyBorder="1" applyAlignment="1" applyProtection="1">
      <alignment horizontal="center" vertical="center"/>
    </xf>
    <xf numFmtId="0" fontId="0" fillId="37" borderId="29" xfId="0" applyFill="1" applyBorder="1" applyAlignment="1" applyProtection="1">
      <alignment horizontal="center" vertical="center"/>
    </xf>
    <xf numFmtId="0" fontId="0" fillId="37" borderId="25" xfId="0" applyFill="1" applyBorder="1" applyAlignment="1" applyProtection="1">
      <alignment horizontal="center" vertical="center"/>
    </xf>
    <xf numFmtId="14" fontId="6" fillId="7" borderId="19" xfId="0" applyNumberFormat="1" applyFont="1" applyFill="1" applyBorder="1" applyAlignment="1" applyProtection="1">
      <alignment horizontal="center" vertical="center"/>
    </xf>
    <xf numFmtId="14" fontId="6" fillId="7" borderId="0" xfId="0" applyNumberFormat="1" applyFont="1" applyFill="1" applyBorder="1" applyAlignment="1" applyProtection="1">
      <alignment horizontal="center" vertical="center"/>
    </xf>
    <xf numFmtId="14" fontId="6" fillId="7" borderId="20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0" xfId="0" applyFont="1" applyFill="1" applyBorder="1" applyAlignment="1" applyProtection="1">
      <alignment horizontal="center" vertical="center"/>
    </xf>
    <xf numFmtId="0" fontId="1" fillId="4" borderId="22" xfId="0" applyFont="1" applyFill="1" applyBorder="1" applyAlignment="1" applyProtection="1">
      <alignment horizontal="center" vertical="center"/>
    </xf>
    <xf numFmtId="0" fontId="0" fillId="9" borderId="21" xfId="0" applyFill="1" applyBorder="1" applyAlignment="1" applyProtection="1">
      <alignment horizontal="center" vertical="center"/>
    </xf>
    <xf numFmtId="0" fontId="0" fillId="9" borderId="12" xfId="0" applyFill="1" applyBorder="1" applyAlignment="1" applyProtection="1">
      <alignment horizontal="center" vertical="center"/>
    </xf>
    <xf numFmtId="0" fontId="0" fillId="9" borderId="23" xfId="0" applyFill="1" applyBorder="1" applyAlignment="1" applyProtection="1">
      <alignment horizontal="center" vertical="center"/>
    </xf>
    <xf numFmtId="14" fontId="0" fillId="9" borderId="21" xfId="0" applyNumberFormat="1" applyFill="1" applyBorder="1" applyAlignment="1" applyProtection="1">
      <alignment horizontal="center" vertical="center"/>
    </xf>
    <xf numFmtId="14" fontId="0" fillId="9" borderId="12" xfId="0" applyNumberFormat="1" applyFill="1" applyBorder="1" applyAlignment="1" applyProtection="1">
      <alignment horizontal="center" vertical="center"/>
    </xf>
    <xf numFmtId="14" fontId="0" fillId="9" borderId="23" xfId="0" applyNumberFormat="1" applyFill="1" applyBorder="1" applyAlignment="1" applyProtection="1">
      <alignment horizontal="center" vertical="center"/>
    </xf>
    <xf numFmtId="0" fontId="0" fillId="9" borderId="21" xfId="0" applyFont="1" applyFill="1" applyBorder="1" applyAlignment="1" applyProtection="1">
      <alignment horizontal="center" vertical="center" wrapText="1"/>
    </xf>
    <xf numFmtId="0" fontId="0" fillId="9" borderId="12" xfId="0" applyFont="1" applyFill="1" applyBorder="1" applyAlignment="1" applyProtection="1">
      <alignment horizontal="center" vertical="center" wrapText="1"/>
    </xf>
    <xf numFmtId="0" fontId="0" fillId="9" borderId="23" xfId="0" applyFont="1" applyFill="1" applyBorder="1" applyAlignment="1" applyProtection="1">
      <alignment horizontal="center" vertical="center" wrapText="1"/>
    </xf>
    <xf numFmtId="0" fontId="0" fillId="9" borderId="21" xfId="0" applyFont="1" applyFill="1" applyBorder="1" applyAlignment="1" applyProtection="1">
      <alignment horizontal="center" vertical="center"/>
    </xf>
    <xf numFmtId="0" fontId="0" fillId="9" borderId="12" xfId="0" applyFont="1" applyFill="1" applyBorder="1" applyAlignment="1" applyProtection="1">
      <alignment horizontal="center" vertical="center"/>
    </xf>
    <xf numFmtId="0" fontId="0" fillId="9" borderId="23" xfId="0" applyFont="1" applyFill="1" applyBorder="1" applyAlignment="1" applyProtection="1">
      <alignment horizontal="center" vertical="center"/>
    </xf>
    <xf numFmtId="14" fontId="0" fillId="9" borderId="21" xfId="0" applyNumberFormat="1" applyFont="1" applyFill="1" applyBorder="1" applyAlignment="1" applyProtection="1">
      <alignment horizontal="center" vertical="center"/>
    </xf>
    <xf numFmtId="14" fontId="0" fillId="9" borderId="23" xfId="0" applyNumberFormat="1" applyFont="1" applyFill="1" applyBorder="1" applyAlignment="1" applyProtection="1">
      <alignment horizontal="center" vertical="center"/>
    </xf>
    <xf numFmtId="164" fontId="0" fillId="9" borderId="21" xfId="0" applyNumberFormat="1" applyFill="1" applyBorder="1" applyAlignment="1" applyProtection="1">
      <alignment horizontal="center" vertical="center"/>
    </xf>
    <xf numFmtId="164" fontId="0" fillId="9" borderId="12" xfId="0" applyNumberFormat="1" applyFill="1" applyBorder="1" applyAlignment="1" applyProtection="1">
      <alignment horizontal="center" vertical="center"/>
    </xf>
    <xf numFmtId="164" fontId="0" fillId="9" borderId="23" xfId="0" applyNumberFormat="1" applyFill="1" applyBorder="1" applyAlignment="1" applyProtection="1">
      <alignment horizontal="center" vertical="center"/>
    </xf>
    <xf numFmtId="14" fontId="0" fillId="9" borderId="21" xfId="0" applyNumberFormat="1" applyFill="1" applyBorder="1" applyAlignment="1" applyProtection="1">
      <alignment horizontal="center" vertical="center" wrapText="1"/>
    </xf>
    <xf numFmtId="14" fontId="0" fillId="9" borderId="12" xfId="0" applyNumberFormat="1" applyFill="1" applyBorder="1" applyAlignment="1" applyProtection="1">
      <alignment horizontal="center" vertical="center" wrapText="1"/>
    </xf>
    <xf numFmtId="14" fontId="0" fillId="9" borderId="23" xfId="0" applyNumberFormat="1" applyFill="1" applyBorder="1" applyAlignment="1" applyProtection="1">
      <alignment horizontal="center" vertical="center" wrapText="1"/>
    </xf>
    <xf numFmtId="14" fontId="0" fillId="9" borderId="21" xfId="0" applyNumberFormat="1" applyFont="1" applyFill="1" applyBorder="1" applyAlignment="1" applyProtection="1">
      <alignment horizontal="center" vertical="center" wrapText="1"/>
    </xf>
    <xf numFmtId="14" fontId="0" fillId="9" borderId="12" xfId="0" applyNumberFormat="1" applyFont="1" applyFill="1" applyBorder="1" applyAlignment="1" applyProtection="1">
      <alignment horizontal="center" vertical="center" wrapText="1"/>
    </xf>
    <xf numFmtId="0" fontId="0" fillId="9" borderId="28" xfId="0" applyFill="1" applyBorder="1" applyAlignment="1" applyProtection="1">
      <alignment horizontal="center" vertical="center"/>
    </xf>
    <xf numFmtId="0" fontId="0" fillId="9" borderId="27" xfId="0" applyFill="1" applyBorder="1" applyAlignment="1" applyProtection="1">
      <alignment horizontal="center" vertical="center"/>
    </xf>
    <xf numFmtId="0" fontId="0" fillId="9" borderId="29" xfId="0" applyFill="1" applyBorder="1" applyAlignment="1" applyProtection="1">
      <alignment horizontal="center" vertical="center"/>
    </xf>
    <xf numFmtId="0" fontId="1" fillId="17" borderId="14" xfId="0" applyFont="1" applyFill="1" applyBorder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4" fontId="0" fillId="9" borderId="28" xfId="2" applyFont="1" applyFill="1" applyBorder="1" applyAlignment="1" applyProtection="1">
      <alignment horizontal="center" vertical="center"/>
    </xf>
    <xf numFmtId="44" fontId="0" fillId="9" borderId="27" xfId="2" applyFont="1" applyFill="1" applyBorder="1" applyAlignment="1" applyProtection="1">
      <alignment horizontal="center" vertical="center"/>
    </xf>
    <xf numFmtId="14" fontId="0" fillId="9" borderId="12" xfId="0" applyNumberFormat="1" applyFont="1" applyFill="1" applyBorder="1" applyAlignment="1" applyProtection="1">
      <alignment horizontal="center" vertical="center"/>
    </xf>
    <xf numFmtId="167" fontId="2" fillId="25" borderId="32" xfId="0" applyNumberFormat="1" applyFont="1" applyFill="1" applyBorder="1" applyAlignment="1">
      <alignment horizontal="center" vertical="center"/>
    </xf>
    <xf numFmtId="167" fontId="2" fillId="25" borderId="33" xfId="0" applyNumberFormat="1" applyFont="1" applyFill="1" applyBorder="1" applyAlignment="1">
      <alignment horizontal="center" vertical="center"/>
    </xf>
    <xf numFmtId="0" fontId="30" fillId="23" borderId="0" xfId="0" applyFont="1" applyFill="1" applyBorder="1" applyAlignment="1">
      <alignment horizontal="center" vertical="center"/>
    </xf>
    <xf numFmtId="0" fontId="31" fillId="23" borderId="32" xfId="0" applyFont="1" applyFill="1" applyBorder="1" applyAlignment="1">
      <alignment horizontal="center" vertical="center" wrapText="1"/>
    </xf>
    <xf numFmtId="0" fontId="51" fillId="36" borderId="32" xfId="0" applyFont="1" applyFill="1" applyBorder="1" applyAlignment="1">
      <alignment horizontal="right" vertical="center" wrapText="1"/>
    </xf>
    <xf numFmtId="0" fontId="50" fillId="36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 wrapText="1"/>
    </xf>
    <xf numFmtId="0" fontId="43" fillId="34" borderId="39" xfId="0" applyFont="1" applyFill="1" applyBorder="1" applyAlignment="1">
      <alignment horizontal="center" vertical="center" wrapText="1"/>
    </xf>
    <xf numFmtId="0" fontId="38" fillId="29" borderId="0" xfId="0" applyFont="1" applyFill="1" applyBorder="1" applyAlignment="1">
      <alignment horizontal="center" vertical="center" wrapText="1"/>
    </xf>
    <xf numFmtId="0" fontId="34" fillId="30" borderId="0" xfId="0" applyNumberFormat="1" applyFont="1" applyFill="1" applyBorder="1" applyAlignment="1">
      <alignment horizontal="center" vertical="center"/>
    </xf>
    <xf numFmtId="0" fontId="2" fillId="29" borderId="0" xfId="0" applyFont="1" applyFill="1" applyBorder="1" applyAlignment="1">
      <alignment horizontal="right" vertical="center" wrapText="1"/>
    </xf>
    <xf numFmtId="0" fontId="0" fillId="9" borderId="21" xfId="0" applyFill="1" applyBorder="1" applyAlignment="1" applyProtection="1">
      <alignment vertical="center"/>
    </xf>
  </cellXfs>
  <cellStyles count="5">
    <cellStyle name="Comma" xfId="1" builtinId="3"/>
    <cellStyle name="Currency" xfId="2" builtinId="4"/>
    <cellStyle name="Good" xfId="3" builtinId="26"/>
    <cellStyle name="Normal" xfId="0" builtinId="0"/>
    <cellStyle name="Percent" xfId="4" builtinId="5"/>
  </cellStyles>
  <dxfs count="10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>
          <stop position="0">
            <color theme="0"/>
          </stop>
          <stop position="1">
            <color theme="5" tint="-0.25098422193060094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>
          <stop position="0">
            <color theme="0"/>
          </stop>
          <stop position="1">
            <color theme="4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33CCFF"/>
      <color rgb="FFFF9933"/>
      <color rgb="FFCC6600"/>
      <color rgb="FF00FFFF"/>
      <color rgb="FF3399FF"/>
      <color rgb="FF0099CC"/>
      <color rgb="FF0099FF"/>
      <color rgb="FF990033"/>
      <color rgb="FF66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365760</xdr:colOff>
          <xdr:row>1</xdr:row>
          <xdr:rowOff>60960</xdr:rowOff>
        </xdr:from>
        <xdr:to>
          <xdr:col>14</xdr:col>
          <xdr:colOff>1013460</xdr:colOff>
          <xdr:row>1</xdr:row>
          <xdr:rowOff>426720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dbl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RECHRCHER/MISE A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350520</xdr:colOff>
          <xdr:row>2</xdr:row>
          <xdr:rowOff>99060</xdr:rowOff>
        </xdr:from>
        <xdr:to>
          <xdr:col>14</xdr:col>
          <xdr:colOff>1021080</xdr:colOff>
          <xdr:row>2</xdr:row>
          <xdr:rowOff>426720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137160</xdr:rowOff>
        </xdr:from>
        <xdr:to>
          <xdr:col>5</xdr:col>
          <xdr:colOff>2781300</xdr:colOff>
          <xdr:row>3</xdr:row>
          <xdr:rowOff>259080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CHERCHER FOURNISEUR/DATE/FOURNISEUR SELON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0</xdr:row>
          <xdr:rowOff>350520</xdr:rowOff>
        </xdr:from>
        <xdr:to>
          <xdr:col>7</xdr:col>
          <xdr:colOff>601980</xdr:colOff>
          <xdr:row>1</xdr:row>
          <xdr:rowOff>373380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</xdr:row>
          <xdr:rowOff>114300</xdr:rowOff>
        </xdr:from>
        <xdr:to>
          <xdr:col>5</xdr:col>
          <xdr:colOff>2781300</xdr:colOff>
          <xdr:row>3</xdr:row>
          <xdr:rowOff>137160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CHERCHER CLIENT/DATE/CLIENT PAR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0</xdr:row>
          <xdr:rowOff>335280</xdr:rowOff>
        </xdr:from>
        <xdr:to>
          <xdr:col>8</xdr:col>
          <xdr:colOff>944880</xdr:colOff>
          <xdr:row>1</xdr:row>
          <xdr:rowOff>342900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2</xdr:row>
          <xdr:rowOff>106680</xdr:rowOff>
        </xdr:from>
        <xdr:to>
          <xdr:col>25</xdr:col>
          <xdr:colOff>7620</xdr:colOff>
          <xdr:row>3</xdr:row>
          <xdr:rowOff>335280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GENERER LISTE DES CLIENTS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0</xdr:row>
          <xdr:rowOff>335280</xdr:rowOff>
        </xdr:from>
        <xdr:to>
          <xdr:col>13</xdr:col>
          <xdr:colOff>487680</xdr:colOff>
          <xdr:row>1</xdr:row>
          <xdr:rowOff>175260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LE JOURNAL/MITTRE LE A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1</xdr:row>
          <xdr:rowOff>312420</xdr:rowOff>
        </xdr:from>
        <xdr:to>
          <xdr:col>13</xdr:col>
          <xdr:colOff>0</xdr:colOff>
          <xdr:row>2</xdr:row>
          <xdr:rowOff>182880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661682D-61B3-44DB-9D0F-7C2EC323282D}">
  <we:reference id="wa104381026" version="1.2.0.0" store="en-US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externalLinkPath" Target="file:///C:\Users\HP\Desktop\COMPTABILITE%202023%20march&#233;%20pack.xlsx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4" tint="-0.499984740745262"/>
  </sheetPr>
  <dimension ref="A1:M1001"/>
  <sheetViews>
    <sheetView tabSelected="1" zoomScale="71" zoomScaleNormal="71" workbookViewId="0">
      <selection activeCell="C6" sqref="C6"/>
    </sheetView>
  </sheetViews>
  <sheetFormatPr defaultColWidth="10.6640625" defaultRowHeight="15.6" x14ac:dyDescent="0.3"/>
  <cols>
    <col min="1" max="1" width="8" style="138" customWidth="1"/>
    <col min="2" max="2" width="13" style="139" customWidth="1"/>
    <col min="3" max="3" width="53.88671875" style="173" customWidth="1"/>
    <col min="4" max="4" width="12.44140625" style="139" customWidth="1"/>
    <col min="5" max="5" width="13.109375" style="139" customWidth="1"/>
    <col min="6" max="6" width="13.33203125" style="139" customWidth="1"/>
    <col min="7" max="7" width="11.44140625" style="179" customWidth="1"/>
    <col min="8" max="8" width="7.44140625" style="184" customWidth="1"/>
    <col min="9" max="9" width="11.6640625" style="149" customWidth="1"/>
    <col min="10" max="10" width="17.33203125" style="139" customWidth="1"/>
    <col min="11" max="11" width="17" style="139" customWidth="1"/>
    <col min="12" max="12" width="13.88671875" style="142" customWidth="1"/>
    <col min="13" max="16384" width="10.6640625" style="139"/>
  </cols>
  <sheetData>
    <row r="1" spans="1:12" ht="20.100000000000001" customHeight="1" x14ac:dyDescent="0.3">
      <c r="A1" s="219"/>
      <c r="B1" s="220"/>
      <c r="C1" s="220"/>
      <c r="G1" s="140"/>
      <c r="H1" s="165"/>
      <c r="I1" s="141"/>
    </row>
    <row r="2" spans="1:12" ht="20.100000000000001" customHeight="1" x14ac:dyDescent="0.3">
      <c r="A2" s="219"/>
      <c r="B2" s="311" t="s">
        <v>916</v>
      </c>
      <c r="C2" s="312"/>
      <c r="D2" s="312"/>
      <c r="E2" s="312"/>
      <c r="F2" s="312"/>
      <c r="G2" s="312"/>
      <c r="H2" s="312"/>
      <c r="I2" s="312"/>
      <c r="J2" s="312"/>
      <c r="K2" s="313"/>
    </row>
    <row r="3" spans="1:12" ht="37.5" customHeight="1" thickBot="1" x14ac:dyDescent="0.35">
      <c r="A3" s="219"/>
      <c r="B3" s="222" t="s">
        <v>0</v>
      </c>
      <c r="C3" s="223" t="s">
        <v>1</v>
      </c>
      <c r="D3" s="223" t="s">
        <v>2</v>
      </c>
      <c r="E3" s="223" t="s">
        <v>3</v>
      </c>
      <c r="F3" s="223" t="s">
        <v>4</v>
      </c>
      <c r="G3" s="224" t="s">
        <v>1323</v>
      </c>
      <c r="H3" s="225" t="s">
        <v>913</v>
      </c>
      <c r="I3" s="226" t="s">
        <v>915</v>
      </c>
      <c r="J3" s="223" t="s">
        <v>5</v>
      </c>
      <c r="K3" s="227" t="s">
        <v>6</v>
      </c>
      <c r="L3" s="143" t="s">
        <v>430</v>
      </c>
    </row>
    <row r="4" spans="1:12" ht="20.100000000000001" customHeight="1" thickBot="1" x14ac:dyDescent="0.4">
      <c r="A4" s="221" t="str">
        <f>IF(B4=IFERROR(VLOOKUP(B4,entrant!$E$4:$J$188,1,FALSE),"THERE WAS AN ERROR"),"RAPPORT JOURNAL","")</f>
        <v>RAPPORT JOURNAL</v>
      </c>
      <c r="B4" s="216" t="s">
        <v>19</v>
      </c>
      <c r="C4" s="168" t="s">
        <v>20</v>
      </c>
      <c r="D4" s="35">
        <f>SUMIF(entrant!$E$4:$E$2059,'Inventaire des produits'!B4,entrant!$G$4:$G$2059)</f>
        <v>2600</v>
      </c>
      <c r="E4" s="35">
        <f>SUMIF(vente!$E$4:$E$2190,'Inventaire des produits'!B4,vente!$G$4:$G$2190)</f>
        <v>2600</v>
      </c>
      <c r="F4" s="36">
        <f t="shared" ref="F4:F66" si="0">IF(OR(D4="",E4=""),"",D4-E4)</f>
        <v>0</v>
      </c>
      <c r="G4" s="174">
        <v>0.81</v>
      </c>
      <c r="H4" s="180"/>
      <c r="I4" s="37">
        <f>IF(H4="",G4,G4-G4*H4)</f>
        <v>0.81</v>
      </c>
      <c r="J4" s="38">
        <f>IF(OR(F4="",G4=""),"",F4*I4)</f>
        <v>0</v>
      </c>
      <c r="K4" s="314">
        <f>SUM(J4:J1000)</f>
        <v>491751.02936227911</v>
      </c>
      <c r="L4" s="145">
        <f>SUMIF($F$4:$F$1001,"&lt;0")</f>
        <v>0</v>
      </c>
    </row>
    <row r="5" spans="1:12" ht="20.100000000000001" customHeight="1" thickBot="1" x14ac:dyDescent="0.4">
      <c r="A5" s="144" t="str">
        <f>IF(B5=IFERROR(VLOOKUP(B5,entrant!$E$4:$J$188,1,FALSE),"THERE WAS AN ERROR"),"RAPPORT JOURNAL","")</f>
        <v>RAPPORT JOURNAL</v>
      </c>
      <c r="B5" s="217" t="s">
        <v>27</v>
      </c>
      <c r="C5" s="169" t="s">
        <v>28</v>
      </c>
      <c r="D5" s="35">
        <f>SUMIF(entrant!$E$4:$E$2059,'Inventaire des produits'!B5,entrant!$G$4:$G$2059)</f>
        <v>1200</v>
      </c>
      <c r="E5" s="35">
        <f>SUMIF(vente!$E$4:$E$2190,'Inventaire des produits'!B5,vente!$G$4:$G$2190)</f>
        <v>1200</v>
      </c>
      <c r="F5" s="36">
        <f t="shared" si="0"/>
        <v>0</v>
      </c>
      <c r="G5" s="175">
        <v>1.38</v>
      </c>
      <c r="H5" s="181"/>
      <c r="I5" s="37">
        <f t="shared" ref="I5:I67" si="1">IF(H5="",G5,G5-G5*H5)</f>
        <v>1.38</v>
      </c>
      <c r="J5" s="38">
        <f t="shared" ref="J5:J67" si="2">IF(OR(F5="",G5=""),"",F5*I5)</f>
        <v>0</v>
      </c>
      <c r="K5" s="315"/>
      <c r="L5" s="145"/>
    </row>
    <row r="6" spans="1:12" ht="20.100000000000001" customHeight="1" thickBot="1" x14ac:dyDescent="0.4">
      <c r="A6" s="144" t="str">
        <f>IF(B6=IFERROR(VLOOKUP(B6,entrant!$E$4:$J$188,1,FALSE),"THERE WAS AN ERROR"),"RAPPORT JOURNAL","")</f>
        <v>RAPPORT JOURNAL</v>
      </c>
      <c r="B6" s="217" t="s">
        <v>32</v>
      </c>
      <c r="C6" s="169" t="s">
        <v>31</v>
      </c>
      <c r="D6" s="35">
        <f>SUMIF(entrant!$E$4:$E$2059,'Inventaire des produits'!B6,entrant!$G$4:$G$2059)</f>
        <v>2953</v>
      </c>
      <c r="E6" s="35">
        <f>SUMIF(vente!$E$4:$E$2190,'Inventaire des produits'!B6,vente!$G$4:$G$2190)</f>
        <v>2953</v>
      </c>
      <c r="F6" s="36">
        <f t="shared" si="0"/>
        <v>0</v>
      </c>
      <c r="G6" s="175">
        <v>0.79166666669999997</v>
      </c>
      <c r="H6" s="181"/>
      <c r="I6" s="37">
        <f t="shared" si="1"/>
        <v>0.79166666669999997</v>
      </c>
      <c r="J6" s="38">
        <f t="shared" si="2"/>
        <v>0</v>
      </c>
      <c r="K6" s="315"/>
      <c r="L6" s="145"/>
    </row>
    <row r="7" spans="1:12" ht="20.100000000000001" customHeight="1" thickBot="1" x14ac:dyDescent="0.4">
      <c r="A7" s="144" t="str">
        <f>IF(B7=IFERROR(VLOOKUP(B7,entrant!$E$4:$J$188,1,FALSE),"THERE WAS AN ERROR"),"RAPPORT JOURNAL","")</f>
        <v>RAPPORT JOURNAL</v>
      </c>
      <c r="B7" s="217" t="s">
        <v>51</v>
      </c>
      <c r="C7" s="170" t="s">
        <v>52</v>
      </c>
      <c r="D7" s="35">
        <f>SUMIF(entrant!$E$4:$E$2059,'Inventaire des produits'!B7,entrant!$G$4:$G$2059)</f>
        <v>1</v>
      </c>
      <c r="E7" s="35">
        <f>SUMIF(vente!$E$4:$E$2190,'Inventaire des produits'!B7,vente!$G$4:$G$2190)</f>
        <v>1</v>
      </c>
      <c r="F7" s="36">
        <f t="shared" si="0"/>
        <v>0</v>
      </c>
      <c r="G7" s="176">
        <v>700</v>
      </c>
      <c r="H7" s="182"/>
      <c r="I7" s="37">
        <f t="shared" si="1"/>
        <v>700</v>
      </c>
      <c r="J7" s="38">
        <f t="shared" si="2"/>
        <v>0</v>
      </c>
      <c r="K7" s="315"/>
      <c r="L7" s="145"/>
    </row>
    <row r="8" spans="1:12" ht="20.100000000000001" customHeight="1" thickBot="1" x14ac:dyDescent="0.4">
      <c r="A8" s="144" t="str">
        <f>IF(B8=IFERROR(VLOOKUP(B8,entrant!$E$4:$J$188,1,FALSE),"THERE WAS AN ERROR"),"RAPPORT JOURNAL","")</f>
        <v>RAPPORT JOURNAL</v>
      </c>
      <c r="B8" s="218" t="s">
        <v>53</v>
      </c>
      <c r="C8" s="170" t="s">
        <v>22</v>
      </c>
      <c r="D8" s="35">
        <f>SUMIF(entrant!$E$4:$E$2059,'Inventaire des produits'!B8,entrant!$G$4:$G$2059)</f>
        <v>155</v>
      </c>
      <c r="E8" s="35">
        <f>SUMIF(vente!$E$4:$E$2190,'Inventaire des produits'!B8,vente!$G$4:$G$2190)</f>
        <v>155</v>
      </c>
      <c r="F8" s="36">
        <f t="shared" si="0"/>
        <v>0</v>
      </c>
      <c r="G8" s="176">
        <v>24.593333333299999</v>
      </c>
      <c r="H8" s="182"/>
      <c r="I8" s="37">
        <f t="shared" si="1"/>
        <v>24.593333333299999</v>
      </c>
      <c r="J8" s="38">
        <f t="shared" si="2"/>
        <v>0</v>
      </c>
      <c r="K8" s="315"/>
      <c r="L8" s="145"/>
    </row>
    <row r="9" spans="1:12" ht="20.100000000000001" customHeight="1" thickBot="1" x14ac:dyDescent="0.4">
      <c r="A9" s="144" t="str">
        <f>IF(B9=IFERROR(VLOOKUP(B9,entrant!$E$4:$J$188,1,FALSE),"THERE WAS AN ERROR"),"RAPPORT JOURNAL","")</f>
        <v>RAPPORT JOURNAL</v>
      </c>
      <c r="B9" s="218" t="s">
        <v>56</v>
      </c>
      <c r="C9" s="170" t="s">
        <v>34</v>
      </c>
      <c r="D9" s="35">
        <f>SUMIF(entrant!$E$4:$E$2059,'Inventaire des produits'!B9,entrant!$G$4:$G$2059)</f>
        <v>34</v>
      </c>
      <c r="E9" s="35">
        <f>SUMIF(vente!$E$4:$E$2190,'Inventaire des produits'!B9,vente!$G$4:$G$2190)</f>
        <v>34</v>
      </c>
      <c r="F9" s="36">
        <f t="shared" si="0"/>
        <v>0</v>
      </c>
      <c r="G9" s="176">
        <v>24.74</v>
      </c>
      <c r="H9" s="182"/>
      <c r="I9" s="37">
        <f t="shared" si="1"/>
        <v>24.74</v>
      </c>
      <c r="J9" s="38">
        <f t="shared" si="2"/>
        <v>0</v>
      </c>
      <c r="K9" s="315"/>
      <c r="L9" s="145"/>
    </row>
    <row r="10" spans="1:12" ht="20.100000000000001" customHeight="1" thickBot="1" x14ac:dyDescent="0.4">
      <c r="A10" s="144" t="str">
        <f>IF(B10=IFERROR(VLOOKUP(B10,entrant!$E$4:$J$188,1,FALSE),"THERE WAS AN ERROR"),"RAPPORT JOURNAL","")</f>
        <v>RAPPORT JOURNAL</v>
      </c>
      <c r="B10" s="217" t="s">
        <v>57</v>
      </c>
      <c r="C10" s="170" t="s">
        <v>22</v>
      </c>
      <c r="D10" s="35">
        <f>SUMIF(entrant!$E$4:$E$2059,'Inventaire des produits'!B10,entrant!$G$4:$G$2059)</f>
        <v>10</v>
      </c>
      <c r="E10" s="35">
        <f>SUMIF(vente!$E$4:$E$2190,'Inventaire des produits'!B10,vente!$G$4:$G$2190)</f>
        <v>10</v>
      </c>
      <c r="F10" s="36">
        <f t="shared" si="0"/>
        <v>0</v>
      </c>
      <c r="G10" s="176">
        <v>24.74</v>
      </c>
      <c r="H10" s="182"/>
      <c r="I10" s="37">
        <f t="shared" si="1"/>
        <v>24.74</v>
      </c>
      <c r="J10" s="38">
        <f t="shared" si="2"/>
        <v>0</v>
      </c>
      <c r="K10" s="315"/>
      <c r="L10" s="145"/>
    </row>
    <row r="11" spans="1:12" ht="20.100000000000001" customHeight="1" thickBot="1" x14ac:dyDescent="0.4">
      <c r="A11" s="144" t="str">
        <f>IF(B11=IFERROR(VLOOKUP(B11,entrant!$E$4:$J$188,1,FALSE),"THERE WAS AN ERROR"),"RAPPORT JOURNAL","")</f>
        <v>RAPPORT JOURNAL</v>
      </c>
      <c r="B11" s="218" t="s">
        <v>58</v>
      </c>
      <c r="C11" s="170" t="s">
        <v>59</v>
      </c>
      <c r="D11" s="35">
        <f>SUMIF(entrant!$E$4:$E$2059,'Inventaire des produits'!B11,entrant!$G$4:$G$2059)</f>
        <v>1000</v>
      </c>
      <c r="E11" s="35">
        <f>SUMIF(vente!$E$4:$E$2190,'Inventaire des produits'!B11,vente!$G$4:$G$2190)</f>
        <v>1000</v>
      </c>
      <c r="F11" s="36">
        <f t="shared" si="0"/>
        <v>0</v>
      </c>
      <c r="G11" s="176">
        <v>0.25</v>
      </c>
      <c r="H11" s="182"/>
      <c r="I11" s="37">
        <f t="shared" si="1"/>
        <v>0.25</v>
      </c>
      <c r="J11" s="38">
        <f t="shared" si="2"/>
        <v>0</v>
      </c>
      <c r="K11" s="315"/>
      <c r="L11" s="145"/>
    </row>
    <row r="12" spans="1:12" ht="20.100000000000001" customHeight="1" thickBot="1" x14ac:dyDescent="0.4">
      <c r="A12" s="144" t="str">
        <f>IF(B12=IFERROR(VLOOKUP(B12,entrant!$E$4:$J$188,1,FALSE),"THERE WAS AN ERROR"),"RAPPORT JOURNAL","")</f>
        <v>RAPPORT JOURNAL</v>
      </c>
      <c r="B12" s="218" t="s">
        <v>60</v>
      </c>
      <c r="C12" s="170" t="s">
        <v>46</v>
      </c>
      <c r="D12" s="35">
        <f>SUMIF(entrant!$E$4:$E$2059,'Inventaire des produits'!B12,entrant!$G$4:$G$2059)</f>
        <v>1000</v>
      </c>
      <c r="E12" s="35">
        <f>SUMIF(vente!$E$4:$E$2190,'Inventaire des produits'!B12,vente!$G$4:$G$2190)</f>
        <v>1000</v>
      </c>
      <c r="F12" s="36">
        <f t="shared" si="0"/>
        <v>0</v>
      </c>
      <c r="G12" s="176">
        <v>0.29166666670000002</v>
      </c>
      <c r="H12" s="182"/>
      <c r="I12" s="37">
        <f t="shared" si="1"/>
        <v>0.29166666670000002</v>
      </c>
      <c r="J12" s="38">
        <f t="shared" si="2"/>
        <v>0</v>
      </c>
      <c r="K12" s="315"/>
      <c r="L12" s="145"/>
    </row>
    <row r="13" spans="1:12" ht="20.100000000000001" customHeight="1" thickBot="1" x14ac:dyDescent="0.4">
      <c r="A13" s="144" t="str">
        <f>IF(B13=IFERROR(VLOOKUP(B13,entrant!$E$4:$J$188,1,FALSE),"THERE WAS AN ERROR"),"RAPPORT JOURNAL","")</f>
        <v>RAPPORT JOURNAL</v>
      </c>
      <c r="B13" s="218" t="s">
        <v>61</v>
      </c>
      <c r="C13" s="170" t="s">
        <v>62</v>
      </c>
      <c r="D13" s="35">
        <f>SUMIF(entrant!$E$4:$E$2059,'Inventaire des produits'!B13,entrant!$G$4:$G$2059)</f>
        <v>9</v>
      </c>
      <c r="E13" s="35">
        <f>SUMIF(vente!$E$4:$E$2190,'Inventaire des produits'!B13,vente!$G$4:$G$2190)</f>
        <v>9</v>
      </c>
      <c r="F13" s="36">
        <f t="shared" si="0"/>
        <v>0</v>
      </c>
      <c r="G13" s="176">
        <v>500</v>
      </c>
      <c r="H13" s="182"/>
      <c r="I13" s="37">
        <f t="shared" si="1"/>
        <v>500</v>
      </c>
      <c r="J13" s="38">
        <f t="shared" si="2"/>
        <v>0</v>
      </c>
      <c r="K13" s="315"/>
      <c r="L13" s="145"/>
    </row>
    <row r="14" spans="1:12" ht="20.100000000000001" customHeight="1" thickBot="1" x14ac:dyDescent="0.4">
      <c r="A14" s="144" t="str">
        <f>IF(B14=IFERROR(VLOOKUP(B14,entrant!$E$4:$J$188,1,FALSE),"THERE WAS AN ERROR"),"RAPPORT JOURNAL","")</f>
        <v>RAPPORT JOURNAL</v>
      </c>
      <c r="B14" s="218" t="s">
        <v>63</v>
      </c>
      <c r="C14" s="170" t="s">
        <v>29</v>
      </c>
      <c r="D14" s="35">
        <f>SUMIF(entrant!$E$4:$E$2059,'Inventaire des produits'!B14,entrant!$G$4:$G$2059)</f>
        <v>1320</v>
      </c>
      <c r="E14" s="35">
        <f>SUMIF(vente!$E$4:$E$2190,'Inventaire des produits'!B14,vente!$G$4:$G$2190)</f>
        <v>1320</v>
      </c>
      <c r="F14" s="36">
        <f t="shared" si="0"/>
        <v>0</v>
      </c>
      <c r="G14" s="176">
        <v>2.4166666666999999</v>
      </c>
      <c r="H14" s="182"/>
      <c r="I14" s="37">
        <f t="shared" si="1"/>
        <v>2.4166666666999999</v>
      </c>
      <c r="J14" s="38">
        <f t="shared" si="2"/>
        <v>0</v>
      </c>
      <c r="K14" s="315"/>
      <c r="L14" s="145"/>
    </row>
    <row r="15" spans="1:12" ht="20.100000000000001" customHeight="1" thickBot="1" x14ac:dyDescent="0.4">
      <c r="A15" s="144" t="str">
        <f>IF(B15=IFERROR(VLOOKUP(B15,entrant!$E$4:$J$188,1,FALSE),"THERE WAS AN ERROR"),"RAPPORT JOURNAL","")</f>
        <v>RAPPORT JOURNAL</v>
      </c>
      <c r="B15" s="218" t="s">
        <v>64</v>
      </c>
      <c r="C15" s="170" t="s">
        <v>65</v>
      </c>
      <c r="D15" s="35">
        <f>SUMIF(entrant!$E$4:$E$2059,'Inventaire des produits'!B15,entrant!$G$4:$G$2059)</f>
        <v>8100</v>
      </c>
      <c r="E15" s="35">
        <f>SUMIF(vente!$E$4:$E$2190,'Inventaire des produits'!B15,vente!$G$4:$G$2190)</f>
        <v>8100</v>
      </c>
      <c r="F15" s="36">
        <f t="shared" si="0"/>
        <v>0</v>
      </c>
      <c r="G15" s="176">
        <v>0.13339999999999999</v>
      </c>
      <c r="H15" s="182"/>
      <c r="I15" s="37">
        <f t="shared" si="1"/>
        <v>0.13339999999999999</v>
      </c>
      <c r="J15" s="38">
        <f t="shared" si="2"/>
        <v>0</v>
      </c>
      <c r="K15" s="315"/>
      <c r="L15" s="145"/>
    </row>
    <row r="16" spans="1:12" ht="20.100000000000001" customHeight="1" thickBot="1" x14ac:dyDescent="0.4">
      <c r="A16" s="144" t="str">
        <f>IF(B16=IFERROR(VLOOKUP(B16,entrant!$E$4:$J$188,1,FALSE),"THERE WAS AN ERROR"),"RAPPORT JOURNAL","")</f>
        <v>RAPPORT JOURNAL</v>
      </c>
      <c r="B16" s="217" t="s">
        <v>66</v>
      </c>
      <c r="C16" s="170" t="s">
        <v>67</v>
      </c>
      <c r="D16" s="35">
        <f>SUMIF(entrant!$E$4:$E$2059,'Inventaire des produits'!B16,entrant!$G$4:$G$2059)</f>
        <v>7000</v>
      </c>
      <c r="E16" s="35">
        <f>SUMIF(vente!$E$4:$E$2190,'Inventaire des produits'!B16,vente!$G$4:$G$2190)</f>
        <v>7000</v>
      </c>
      <c r="F16" s="36">
        <f t="shared" si="0"/>
        <v>0</v>
      </c>
      <c r="G16" s="176">
        <v>0.32</v>
      </c>
      <c r="H16" s="182"/>
      <c r="I16" s="37">
        <f t="shared" si="1"/>
        <v>0.32</v>
      </c>
      <c r="J16" s="38">
        <f t="shared" si="2"/>
        <v>0</v>
      </c>
      <c r="K16" s="315"/>
      <c r="L16" s="145"/>
    </row>
    <row r="17" spans="1:12" ht="20.100000000000001" customHeight="1" thickBot="1" x14ac:dyDescent="0.4">
      <c r="A17" s="144" t="str">
        <f>IF(B17=IFERROR(VLOOKUP(B17,entrant!$E$4:$J$188,1,FALSE),"THERE WAS AN ERROR"),"RAPPORT JOURNAL","")</f>
        <v>RAPPORT JOURNAL</v>
      </c>
      <c r="B17" s="217" t="s">
        <v>69</v>
      </c>
      <c r="C17" s="170" t="s">
        <v>68</v>
      </c>
      <c r="D17" s="35">
        <f>SUMIF(entrant!$E$4:$E$2059,'Inventaire des produits'!B17,entrant!$G$4:$G$2059)</f>
        <v>48</v>
      </c>
      <c r="E17" s="35">
        <f>SUMIF(vente!$E$4:$E$2190,'Inventaire des produits'!B17,vente!$G$4:$G$2190)</f>
        <v>48</v>
      </c>
      <c r="F17" s="36">
        <f t="shared" si="0"/>
        <v>0</v>
      </c>
      <c r="G17" s="176">
        <v>17.5</v>
      </c>
      <c r="H17" s="182"/>
      <c r="I17" s="37">
        <f t="shared" si="1"/>
        <v>17.5</v>
      </c>
      <c r="J17" s="38">
        <f t="shared" si="2"/>
        <v>0</v>
      </c>
      <c r="K17" s="315"/>
      <c r="L17" s="145"/>
    </row>
    <row r="18" spans="1:12" ht="20.100000000000001" customHeight="1" thickBot="1" x14ac:dyDescent="0.4">
      <c r="A18" s="144" t="str">
        <f>IF(B18=IFERROR(VLOOKUP(B18,entrant!$E$4:$J$188,1,FALSE),"THERE WAS AN ERROR"),"RAPPORT JOURNAL","")</f>
        <v>RAPPORT JOURNAL</v>
      </c>
      <c r="B18" s="218" t="s">
        <v>70</v>
      </c>
      <c r="C18" s="170" t="s">
        <v>71</v>
      </c>
      <c r="D18" s="35">
        <f>SUMIF(entrant!$E$4:$E$2059,'Inventaire des produits'!B18,entrant!$G$4:$G$2059)</f>
        <v>1</v>
      </c>
      <c r="E18" s="35">
        <f>SUMIF(vente!$E$4:$E$2190,'Inventaire des produits'!B18,vente!$G$4:$G$2190)</f>
        <v>1</v>
      </c>
      <c r="F18" s="36">
        <f t="shared" si="0"/>
        <v>0</v>
      </c>
      <c r="G18" s="176">
        <v>500.03418333339999</v>
      </c>
      <c r="H18" s="182"/>
      <c r="I18" s="37">
        <f t="shared" si="1"/>
        <v>500.03418333339999</v>
      </c>
      <c r="J18" s="38">
        <f t="shared" si="2"/>
        <v>0</v>
      </c>
      <c r="K18" s="315"/>
      <c r="L18" s="145"/>
    </row>
    <row r="19" spans="1:12" ht="20.100000000000001" customHeight="1" thickBot="1" x14ac:dyDescent="0.4">
      <c r="A19" s="144" t="str">
        <f>IF(B19=IFERROR(VLOOKUP(B19,entrant!$E$4:$J$188,1,FALSE),"THERE WAS AN ERROR"),"RAPPORT JOURNAL","")</f>
        <v>RAPPORT JOURNAL</v>
      </c>
      <c r="B19" s="218" t="s">
        <v>72</v>
      </c>
      <c r="C19" s="170" t="s">
        <v>121</v>
      </c>
      <c r="D19" s="35">
        <f>SUMIF(entrant!$E$4:$E$2059,'Inventaire des produits'!B19,entrant!$G$4:$G$2059)</f>
        <v>5</v>
      </c>
      <c r="E19" s="35">
        <f>SUMIF(vente!$E$4:$E$2190,'Inventaire des produits'!B19,vente!$G$4:$G$2190)</f>
        <v>5</v>
      </c>
      <c r="F19" s="36">
        <f t="shared" si="0"/>
        <v>0</v>
      </c>
      <c r="G19" s="176">
        <v>375</v>
      </c>
      <c r="H19" s="182"/>
      <c r="I19" s="37">
        <f t="shared" si="1"/>
        <v>375</v>
      </c>
      <c r="J19" s="38">
        <f t="shared" si="2"/>
        <v>0</v>
      </c>
      <c r="K19" s="315"/>
      <c r="L19" s="145"/>
    </row>
    <row r="20" spans="1:12" ht="20.100000000000001" customHeight="1" thickBot="1" x14ac:dyDescent="0.4">
      <c r="A20" s="144" t="str">
        <f>IF(B20=IFERROR(VLOOKUP(B20,entrant!$E$4:$J$188,1,FALSE),"THERE WAS AN ERROR"),"RAPPORT JOURNAL","")</f>
        <v>RAPPORT JOURNAL</v>
      </c>
      <c r="B20" s="218" t="s">
        <v>74</v>
      </c>
      <c r="C20" s="170" t="s">
        <v>75</v>
      </c>
      <c r="D20" s="35">
        <f>SUMIF(entrant!$E$4:$E$2059,'Inventaire des produits'!B20,entrant!$G$4:$G$2059)</f>
        <v>5</v>
      </c>
      <c r="E20" s="35">
        <f>SUMIF(vente!$E$4:$E$2190,'Inventaire des produits'!B20,vente!$G$4:$G$2190)</f>
        <v>5</v>
      </c>
      <c r="F20" s="36">
        <f t="shared" si="0"/>
        <v>0</v>
      </c>
      <c r="G20" s="176">
        <v>65</v>
      </c>
      <c r="H20" s="182"/>
      <c r="I20" s="37">
        <f t="shared" si="1"/>
        <v>65</v>
      </c>
      <c r="J20" s="38">
        <f t="shared" si="2"/>
        <v>0</v>
      </c>
      <c r="K20" s="315"/>
      <c r="L20" s="145"/>
    </row>
    <row r="21" spans="1:12" ht="20.100000000000001" customHeight="1" thickBot="1" x14ac:dyDescent="0.4">
      <c r="A21" s="144" t="str">
        <f>IF(B21=IFERROR(VLOOKUP(B21,entrant!$E$4:$J$188,1,FALSE),"THERE WAS AN ERROR"),"RAPPORT JOURNAL","")</f>
        <v>RAPPORT JOURNAL</v>
      </c>
      <c r="B21" s="218" t="s">
        <v>76</v>
      </c>
      <c r="C21" s="170" t="s">
        <v>77</v>
      </c>
      <c r="D21" s="35">
        <f>SUMIF(entrant!$E$4:$E$2059,'Inventaire des produits'!B21,entrant!$G$4:$G$2059)</f>
        <v>880</v>
      </c>
      <c r="E21" s="35">
        <f>SUMIF(vente!$E$4:$E$2190,'Inventaire des produits'!B21,vente!$G$4:$G$2190)</f>
        <v>880</v>
      </c>
      <c r="F21" s="36">
        <f t="shared" si="0"/>
        <v>0</v>
      </c>
      <c r="G21" s="176">
        <v>1.85</v>
      </c>
      <c r="H21" s="182"/>
      <c r="I21" s="37">
        <f t="shared" si="1"/>
        <v>1.85</v>
      </c>
      <c r="J21" s="38">
        <f t="shared" si="2"/>
        <v>0</v>
      </c>
      <c r="K21" s="315"/>
      <c r="L21" s="145"/>
    </row>
    <row r="22" spans="1:12" ht="20.100000000000001" customHeight="1" thickBot="1" x14ac:dyDescent="0.4">
      <c r="A22" s="144" t="str">
        <f>IF(B22=IFERROR(VLOOKUP(B22,entrant!$E$4:$J$188,1,FALSE),"THERE WAS AN ERROR"),"RAPPORT JOURNAL","")</f>
        <v>RAPPORT JOURNAL</v>
      </c>
      <c r="B22" s="218" t="s">
        <v>79</v>
      </c>
      <c r="C22" s="170" t="s">
        <v>80</v>
      </c>
      <c r="D22" s="35">
        <f>SUMIF(entrant!$E$4:$E$2059,'Inventaire des produits'!B22,entrant!$G$4:$G$2059)</f>
        <v>105</v>
      </c>
      <c r="E22" s="35">
        <f>SUMIF(vente!$E$4:$E$2190,'Inventaire des produits'!B22,vente!$G$4:$G$2190)</f>
        <v>105</v>
      </c>
      <c r="F22" s="36">
        <f t="shared" si="0"/>
        <v>0</v>
      </c>
      <c r="G22" s="176">
        <v>12.0275</v>
      </c>
      <c r="H22" s="182"/>
      <c r="I22" s="37">
        <f t="shared" si="1"/>
        <v>12.0275</v>
      </c>
      <c r="J22" s="38">
        <f t="shared" si="2"/>
        <v>0</v>
      </c>
      <c r="K22" s="315"/>
      <c r="L22" s="145"/>
    </row>
    <row r="23" spans="1:12" ht="20.100000000000001" customHeight="1" thickBot="1" x14ac:dyDescent="0.4">
      <c r="A23" s="144" t="str">
        <f>IF(B23=IFERROR(VLOOKUP(B23,entrant!$E$4:$J$188,1,FALSE),"THERE WAS AN ERROR"),"RAPPORT JOURNAL","")</f>
        <v>RAPPORT JOURNAL</v>
      </c>
      <c r="B23" s="218" t="s">
        <v>81</v>
      </c>
      <c r="C23" s="170" t="s">
        <v>82</v>
      </c>
      <c r="D23" s="35">
        <f>SUMIF(entrant!$E$4:$E$2059,'Inventaire des produits'!B23,entrant!$G$4:$G$2059)</f>
        <v>45086</v>
      </c>
      <c r="E23" s="35">
        <f>SUMIF(vente!$E$4:$E$2190,'Inventaire des produits'!B23,vente!$G$4:$G$2190)</f>
        <v>45086</v>
      </c>
      <c r="F23" s="36">
        <f t="shared" si="0"/>
        <v>0</v>
      </c>
      <c r="G23" s="176">
        <v>4.2000000000000003E-2</v>
      </c>
      <c r="H23" s="182"/>
      <c r="I23" s="37">
        <f t="shared" si="1"/>
        <v>4.2000000000000003E-2</v>
      </c>
      <c r="J23" s="38">
        <f t="shared" si="2"/>
        <v>0</v>
      </c>
      <c r="K23" s="315"/>
      <c r="L23" s="145"/>
    </row>
    <row r="24" spans="1:12" ht="20.100000000000001" customHeight="1" thickBot="1" x14ac:dyDescent="0.4">
      <c r="A24" s="144" t="str">
        <f>IF(B24=IFERROR(VLOOKUP(B24,entrant!$E$4:$J$188,1,FALSE),"THERE WAS AN ERROR"),"RAPPORT JOURNAL","")</f>
        <v>RAPPORT JOURNAL</v>
      </c>
      <c r="B24" s="218" t="s">
        <v>84</v>
      </c>
      <c r="C24" s="170" t="s">
        <v>85</v>
      </c>
      <c r="D24" s="35">
        <f>SUMIF(entrant!$E$4:$E$2059,'Inventaire des produits'!B24,entrant!$G$4:$G$2059)</f>
        <v>2</v>
      </c>
      <c r="E24" s="35">
        <f>SUMIF(vente!$E$4:$E$2190,'Inventaire des produits'!B24,vente!$G$4:$G$2190)</f>
        <v>2</v>
      </c>
      <c r="F24" s="36">
        <f t="shared" si="0"/>
        <v>0</v>
      </c>
      <c r="G24" s="176">
        <v>166.6666666667</v>
      </c>
      <c r="H24" s="182"/>
      <c r="I24" s="37">
        <f t="shared" si="1"/>
        <v>166.6666666667</v>
      </c>
      <c r="J24" s="38">
        <f t="shared" si="2"/>
        <v>0</v>
      </c>
      <c r="K24" s="315"/>
      <c r="L24" s="145"/>
    </row>
    <row r="25" spans="1:12" ht="20.100000000000001" customHeight="1" thickBot="1" x14ac:dyDescent="0.4">
      <c r="A25" s="144" t="str">
        <f>IF(B25=IFERROR(VLOOKUP(B25,entrant!$E$4:$J$188,1,FALSE),"THERE WAS AN ERROR"),"RAPPORT JOURNAL","")</f>
        <v>RAPPORT JOURNAL</v>
      </c>
      <c r="B25" s="218" t="s">
        <v>73</v>
      </c>
      <c r="C25" s="170" t="s">
        <v>86</v>
      </c>
      <c r="D25" s="35">
        <f>SUMIF(entrant!$E$4:$E$2059,'Inventaire des produits'!B25,entrant!$G$4:$G$2059)</f>
        <v>2</v>
      </c>
      <c r="E25" s="35">
        <f>SUMIF(vente!$E$4:$E$2190,'Inventaire des produits'!B25,vente!$G$4:$G$2190)</f>
        <v>2</v>
      </c>
      <c r="F25" s="36">
        <f t="shared" si="0"/>
        <v>0</v>
      </c>
      <c r="G25" s="176">
        <v>200</v>
      </c>
      <c r="H25" s="182"/>
      <c r="I25" s="37">
        <f t="shared" si="1"/>
        <v>200</v>
      </c>
      <c r="J25" s="38">
        <f t="shared" si="2"/>
        <v>0</v>
      </c>
      <c r="K25" s="315"/>
      <c r="L25" s="145"/>
    </row>
    <row r="26" spans="1:12" ht="20.100000000000001" customHeight="1" thickBot="1" x14ac:dyDescent="0.4">
      <c r="A26" s="144" t="str">
        <f>IF(B26=IFERROR(VLOOKUP(B26,entrant!$E$4:$J$188,1,FALSE),"THERE WAS AN ERROR"),"RAPPORT JOURNAL","")</f>
        <v>RAPPORT JOURNAL</v>
      </c>
      <c r="B26" s="218" t="s">
        <v>87</v>
      </c>
      <c r="C26" s="170" t="s">
        <v>88</v>
      </c>
      <c r="D26" s="35">
        <f>SUMIF(entrant!$E$4:$E$2059,'Inventaire des produits'!B26,entrant!$G$4:$G$2059)</f>
        <v>1</v>
      </c>
      <c r="E26" s="35">
        <f>SUMIF(vente!$E$4:$E$2190,'Inventaire des produits'!B26,vente!$G$4:$G$2190)</f>
        <v>1</v>
      </c>
      <c r="F26" s="36">
        <f t="shared" si="0"/>
        <v>0</v>
      </c>
      <c r="G26" s="176">
        <v>1.6416666666999999</v>
      </c>
      <c r="H26" s="182"/>
      <c r="I26" s="37">
        <f t="shared" si="1"/>
        <v>1.6416666666999999</v>
      </c>
      <c r="J26" s="38">
        <f t="shared" si="2"/>
        <v>0</v>
      </c>
      <c r="K26" s="315"/>
      <c r="L26" s="145"/>
    </row>
    <row r="27" spans="1:12" ht="20.100000000000001" customHeight="1" thickBot="1" x14ac:dyDescent="0.4">
      <c r="A27" s="144" t="str">
        <f>IF(B27=IFERROR(VLOOKUP(B27,entrant!$E$4:$J$188,1,FALSE),"THERE WAS AN ERROR"),"RAPPORT JOURNAL","")</f>
        <v>RAPPORT JOURNAL</v>
      </c>
      <c r="B27" s="218" t="s">
        <v>89</v>
      </c>
      <c r="C27" s="170" t="s">
        <v>90</v>
      </c>
      <c r="D27" s="35">
        <f>SUMIF(entrant!$E$4:$E$2059,'Inventaire des produits'!B27,entrant!$G$4:$G$2059)</f>
        <v>1079</v>
      </c>
      <c r="E27" s="35">
        <f>SUMIF(vente!$E$4:$E$2190,'Inventaire des produits'!B27,vente!$G$4:$G$2190)</f>
        <v>1079</v>
      </c>
      <c r="F27" s="36">
        <f t="shared" si="0"/>
        <v>0</v>
      </c>
      <c r="G27" s="176">
        <v>3.45</v>
      </c>
      <c r="H27" s="182"/>
      <c r="I27" s="37">
        <f t="shared" si="1"/>
        <v>3.45</v>
      </c>
      <c r="J27" s="38">
        <f t="shared" si="2"/>
        <v>0</v>
      </c>
      <c r="K27" s="315"/>
      <c r="L27" s="145"/>
    </row>
    <row r="28" spans="1:12" ht="20.100000000000001" customHeight="1" thickBot="1" x14ac:dyDescent="0.4">
      <c r="A28" s="144" t="str">
        <f>IF(B28=IFERROR(VLOOKUP(B28,entrant!$E$4:$J$188,1,FALSE),"THERE WAS AN ERROR"),"RAPPORT JOURNAL","")</f>
        <v>RAPPORT JOURNAL</v>
      </c>
      <c r="B28" s="218" t="s">
        <v>91</v>
      </c>
      <c r="C28" s="170" t="s">
        <v>92</v>
      </c>
      <c r="D28" s="35">
        <f>SUMIF(entrant!$E$4:$E$2059,'Inventaire des produits'!B28,entrant!$G$4:$G$2059)</f>
        <v>3</v>
      </c>
      <c r="E28" s="35">
        <f>SUMIF(vente!$E$4:$E$2190,'Inventaire des produits'!B28,vente!$G$4:$G$2190)</f>
        <v>3</v>
      </c>
      <c r="F28" s="36">
        <f t="shared" si="0"/>
        <v>0</v>
      </c>
      <c r="G28" s="176">
        <v>65</v>
      </c>
      <c r="H28" s="182"/>
      <c r="I28" s="37">
        <f t="shared" si="1"/>
        <v>65</v>
      </c>
      <c r="J28" s="38">
        <f t="shared" si="2"/>
        <v>0</v>
      </c>
      <c r="K28" s="315"/>
      <c r="L28" s="145"/>
    </row>
    <row r="29" spans="1:12" ht="20.100000000000001" customHeight="1" thickBot="1" x14ac:dyDescent="0.4">
      <c r="A29" s="144" t="str">
        <f>IF(B29=IFERROR(VLOOKUP(B29,entrant!$E$4:$J$188,1,FALSE),"THERE WAS AN ERROR"),"RAPPORT JOURNAL","")</f>
        <v>RAPPORT JOURNAL</v>
      </c>
      <c r="B29" s="218" t="s">
        <v>93</v>
      </c>
      <c r="C29" s="170" t="s">
        <v>25</v>
      </c>
      <c r="D29" s="35">
        <f>SUMIF(entrant!$E$4:$E$2059,'Inventaire des produits'!B29,entrant!$G$4:$G$2059)</f>
        <v>1</v>
      </c>
      <c r="E29" s="35">
        <f>SUMIF(vente!$E$4:$E$2190,'Inventaire des produits'!B29,vente!$G$4:$G$2190)</f>
        <v>1</v>
      </c>
      <c r="F29" s="36">
        <f t="shared" si="0"/>
        <v>0</v>
      </c>
      <c r="G29" s="176">
        <v>105.3</v>
      </c>
      <c r="H29" s="182"/>
      <c r="I29" s="37">
        <f t="shared" si="1"/>
        <v>105.3</v>
      </c>
      <c r="J29" s="38">
        <f t="shared" si="2"/>
        <v>0</v>
      </c>
      <c r="K29" s="315"/>
      <c r="L29" s="145"/>
    </row>
    <row r="30" spans="1:12" ht="20.100000000000001" customHeight="1" thickBot="1" x14ac:dyDescent="0.4">
      <c r="A30" s="144" t="str">
        <f>IF(B30=IFERROR(VLOOKUP(B30,entrant!$E$4:$J$188,1,FALSE),"THERE WAS AN ERROR"),"RAPPORT JOURNAL","")</f>
        <v>RAPPORT JOURNAL</v>
      </c>
      <c r="B30" s="218" t="s">
        <v>94</v>
      </c>
      <c r="C30" s="170" t="s">
        <v>52</v>
      </c>
      <c r="D30" s="35">
        <f>SUMIF(entrant!$E$4:$E$2059,'Inventaire des produits'!B30,entrant!$G$4:$G$2059)</f>
        <v>1</v>
      </c>
      <c r="E30" s="35">
        <f>SUMIF(vente!$E$4:$E$2190,'Inventaire des produits'!B30,vente!$G$4:$G$2190)</f>
        <v>1</v>
      </c>
      <c r="F30" s="36">
        <f t="shared" si="0"/>
        <v>0</v>
      </c>
      <c r="G30" s="176">
        <v>759.16666666670005</v>
      </c>
      <c r="H30" s="182"/>
      <c r="I30" s="37">
        <f t="shared" si="1"/>
        <v>759.16666666670005</v>
      </c>
      <c r="J30" s="38">
        <f t="shared" si="2"/>
        <v>0</v>
      </c>
      <c r="K30" s="315"/>
      <c r="L30" s="145"/>
    </row>
    <row r="31" spans="1:12" ht="20.100000000000001" customHeight="1" thickBot="1" x14ac:dyDescent="0.4">
      <c r="A31" s="144" t="str">
        <f>IF(B31=IFERROR(VLOOKUP(B31,entrant!$E$4:$J$188,1,FALSE),"THERE WAS AN ERROR"),"RAPPORT JOURNAL","")</f>
        <v>RAPPORT JOURNAL</v>
      </c>
      <c r="B31" s="218" t="s">
        <v>95</v>
      </c>
      <c r="C31" s="170" t="s">
        <v>65</v>
      </c>
      <c r="D31" s="35">
        <f>SUMIF(entrant!$E$4:$E$2059,'Inventaire des produits'!B31,entrant!$G$4:$G$2059)</f>
        <v>19200</v>
      </c>
      <c r="E31" s="35">
        <f>SUMIF(vente!$E$4:$E$2190,'Inventaire des produits'!B31,vente!$G$4:$G$2190)</f>
        <v>19200</v>
      </c>
      <c r="F31" s="36">
        <f t="shared" si="0"/>
        <v>0</v>
      </c>
      <c r="G31" s="176">
        <v>0.13600000000000001</v>
      </c>
      <c r="H31" s="182"/>
      <c r="I31" s="37">
        <f t="shared" si="1"/>
        <v>0.13600000000000001</v>
      </c>
      <c r="J31" s="38">
        <f t="shared" si="2"/>
        <v>0</v>
      </c>
      <c r="K31" s="315"/>
      <c r="L31" s="145"/>
    </row>
    <row r="32" spans="1:12" ht="20.100000000000001" customHeight="1" thickBot="1" x14ac:dyDescent="0.4">
      <c r="A32" s="144" t="str">
        <f>IF(B32=IFERROR(VLOOKUP(B32,entrant!$E$4:$J$188,1,FALSE),"THERE WAS AN ERROR"),"RAPPORT JOURNAL","")</f>
        <v>RAPPORT JOURNAL</v>
      </c>
      <c r="B32" s="218" t="s">
        <v>96</v>
      </c>
      <c r="C32" s="170" t="s">
        <v>35</v>
      </c>
      <c r="D32" s="35">
        <f>SUMIF(entrant!$E$4:$E$2059,'Inventaire des produits'!B32,entrant!$G$4:$G$2059)</f>
        <v>1</v>
      </c>
      <c r="E32" s="35">
        <f>SUMIF(vente!$E$4:$E$2190,'Inventaire des produits'!B32,vente!$G$4:$G$2190)</f>
        <v>1</v>
      </c>
      <c r="F32" s="36">
        <f t="shared" si="0"/>
        <v>0</v>
      </c>
      <c r="G32" s="176">
        <v>61.666666666700003</v>
      </c>
      <c r="H32" s="182"/>
      <c r="I32" s="37">
        <f t="shared" si="1"/>
        <v>61.666666666700003</v>
      </c>
      <c r="J32" s="38">
        <f t="shared" si="2"/>
        <v>0</v>
      </c>
      <c r="K32" s="315"/>
      <c r="L32" s="145"/>
    </row>
    <row r="33" spans="1:12" ht="20.100000000000001" customHeight="1" thickBot="1" x14ac:dyDescent="0.4">
      <c r="A33" s="144" t="str">
        <f>IF(B33=IFERROR(VLOOKUP(B33,entrant!$E$4:$J$188,1,FALSE),"THERE WAS AN ERROR"),"RAPPORT JOURNAL","")</f>
        <v>RAPPORT JOURNAL</v>
      </c>
      <c r="B33" s="218" t="s">
        <v>98</v>
      </c>
      <c r="C33" s="170" t="s">
        <v>97</v>
      </c>
      <c r="D33" s="35">
        <f>SUMIF(entrant!$E$4:$E$2059,'Inventaire des produits'!B33,entrant!$G$4:$G$2059)</f>
        <v>1000</v>
      </c>
      <c r="E33" s="35">
        <f>SUMIF(vente!$E$4:$E$2190,'Inventaire des produits'!B33,vente!$G$4:$G$2190)</f>
        <v>1000</v>
      </c>
      <c r="F33" s="36">
        <f t="shared" si="0"/>
        <v>0</v>
      </c>
      <c r="G33" s="176">
        <v>0.3583333333</v>
      </c>
      <c r="H33" s="182"/>
      <c r="I33" s="37">
        <f t="shared" si="1"/>
        <v>0.3583333333</v>
      </c>
      <c r="J33" s="38">
        <f t="shared" si="2"/>
        <v>0</v>
      </c>
      <c r="K33" s="315"/>
      <c r="L33" s="145"/>
    </row>
    <row r="34" spans="1:12" ht="20.100000000000001" customHeight="1" thickBot="1" x14ac:dyDescent="0.4">
      <c r="A34" s="144" t="str">
        <f>IF(B34=IFERROR(VLOOKUP(B34,entrant!$E$4:$J$188,1,FALSE),"THERE WAS AN ERROR"),"RAPPORT JOURNAL","")</f>
        <v>RAPPORT JOURNAL</v>
      </c>
      <c r="B34" s="218" t="s">
        <v>99</v>
      </c>
      <c r="C34" s="170" t="s">
        <v>50</v>
      </c>
      <c r="D34" s="35">
        <f>SUMIF(entrant!$E$4:$E$2059,'Inventaire des produits'!B34,entrant!$G$4:$G$2059)</f>
        <v>600</v>
      </c>
      <c r="E34" s="35">
        <f>SUMIF(vente!$E$4:$E$2190,'Inventaire des produits'!B34,vente!$G$4:$G$2190)</f>
        <v>600</v>
      </c>
      <c r="F34" s="36">
        <f t="shared" si="0"/>
        <v>0</v>
      </c>
      <c r="G34" s="176">
        <v>0.75007000000000001</v>
      </c>
      <c r="H34" s="182"/>
      <c r="I34" s="37">
        <f t="shared" si="1"/>
        <v>0.75007000000000001</v>
      </c>
      <c r="J34" s="38">
        <f t="shared" si="2"/>
        <v>0</v>
      </c>
      <c r="K34" s="315"/>
      <c r="L34" s="145"/>
    </row>
    <row r="35" spans="1:12" ht="20.100000000000001" customHeight="1" thickBot="1" x14ac:dyDescent="0.4">
      <c r="A35" s="144" t="str">
        <f>IF(B35=IFERROR(VLOOKUP(B35,entrant!$E$4:$J$188,1,FALSE),"THERE WAS AN ERROR"),"RAPPORT JOURNAL","")</f>
        <v>RAPPORT JOURNAL</v>
      </c>
      <c r="B35" s="218" t="s">
        <v>100</v>
      </c>
      <c r="C35" s="170" t="s">
        <v>48</v>
      </c>
      <c r="D35" s="35">
        <f>SUMIF(entrant!$E$4:$E$2059,'Inventaire des produits'!B35,entrant!$G$4:$G$2059)</f>
        <v>200</v>
      </c>
      <c r="E35" s="35">
        <f>SUMIF(vente!$E$4:$E$2190,'Inventaire des produits'!B35,vente!$G$4:$G$2190)</f>
        <v>200</v>
      </c>
      <c r="F35" s="36">
        <f t="shared" si="0"/>
        <v>0</v>
      </c>
      <c r="G35" s="176">
        <v>0.91</v>
      </c>
      <c r="H35" s="182"/>
      <c r="I35" s="37">
        <f t="shared" si="1"/>
        <v>0.91</v>
      </c>
      <c r="J35" s="38">
        <f t="shared" si="2"/>
        <v>0</v>
      </c>
      <c r="K35" s="315"/>
      <c r="L35" s="145"/>
    </row>
    <row r="36" spans="1:12" ht="20.100000000000001" customHeight="1" thickBot="1" x14ac:dyDescent="0.4">
      <c r="A36" s="144" t="str">
        <f>IF(B36=IFERROR(VLOOKUP(B36,entrant!$E$4:$J$188,1,FALSE),"THERE WAS AN ERROR"),"RAPPORT JOURNAL","")</f>
        <v>RAPPORT JOURNAL</v>
      </c>
      <c r="B36" s="218" t="s">
        <v>102</v>
      </c>
      <c r="C36" s="170" t="s">
        <v>103</v>
      </c>
      <c r="D36" s="35">
        <f>SUMIF(entrant!$E$4:$E$2059,'Inventaire des produits'!B36,entrant!$G$4:$G$2059)</f>
        <v>3500</v>
      </c>
      <c r="E36" s="35">
        <f>SUMIF(vente!$E$4:$E$2190,'Inventaire des produits'!B36,vente!$G$4:$G$2190)</f>
        <v>3500</v>
      </c>
      <c r="F36" s="36">
        <f t="shared" si="0"/>
        <v>0</v>
      </c>
      <c r="G36" s="176">
        <v>0.84</v>
      </c>
      <c r="H36" s="182"/>
      <c r="I36" s="37">
        <f t="shared" si="1"/>
        <v>0.84</v>
      </c>
      <c r="J36" s="38">
        <f t="shared" si="2"/>
        <v>0</v>
      </c>
      <c r="K36" s="315"/>
      <c r="L36" s="145"/>
    </row>
    <row r="37" spans="1:12" ht="20.100000000000001" customHeight="1" thickBot="1" x14ac:dyDescent="0.4">
      <c r="A37" s="144" t="str">
        <f>IF(B37=IFERROR(VLOOKUP(B37,entrant!$E$4:$J$188,1,FALSE),"THERE WAS AN ERROR"),"RAPPORT JOURNAL","")</f>
        <v>RAPPORT JOURNAL</v>
      </c>
      <c r="B37" s="218" t="s">
        <v>106</v>
      </c>
      <c r="C37" s="170" t="s">
        <v>105</v>
      </c>
      <c r="D37" s="35">
        <f>SUMIF(entrant!$E$4:$E$2059,'Inventaire des produits'!B37,entrant!$G$4:$G$2059)</f>
        <v>400</v>
      </c>
      <c r="E37" s="35">
        <f>SUMIF(vente!$E$4:$E$2190,'Inventaire des produits'!B37,vente!$G$4:$G$2190)</f>
        <v>400</v>
      </c>
      <c r="F37" s="36">
        <f t="shared" si="0"/>
        <v>0</v>
      </c>
      <c r="G37" s="176">
        <v>0.79</v>
      </c>
      <c r="H37" s="182"/>
      <c r="I37" s="37">
        <f t="shared" si="1"/>
        <v>0.79</v>
      </c>
      <c r="J37" s="38">
        <f t="shared" si="2"/>
        <v>0</v>
      </c>
      <c r="K37" s="315"/>
      <c r="L37" s="145"/>
    </row>
    <row r="38" spans="1:12" ht="20.100000000000001" customHeight="1" thickBot="1" x14ac:dyDescent="0.4">
      <c r="A38" s="144" t="str">
        <f>IF(B38=IFERROR(VLOOKUP(B38,entrant!$E$4:$J$188,1,FALSE),"THERE WAS AN ERROR"),"RAPPORT JOURNAL","")</f>
        <v>RAPPORT JOURNAL</v>
      </c>
      <c r="B38" s="218" t="s">
        <v>107</v>
      </c>
      <c r="C38" s="170" t="s">
        <v>108</v>
      </c>
      <c r="D38" s="35">
        <f>SUMIF(entrant!$E$4:$E$2059,'Inventaire des produits'!B38,entrant!$G$4:$G$2059)</f>
        <v>500</v>
      </c>
      <c r="E38" s="35">
        <f>SUMIF(vente!$E$4:$E$2190,'Inventaire des produits'!B38,vente!$G$4:$G$2190)</f>
        <v>500</v>
      </c>
      <c r="F38" s="36">
        <f t="shared" si="0"/>
        <v>0</v>
      </c>
      <c r="G38" s="176">
        <v>0.53</v>
      </c>
      <c r="H38" s="182"/>
      <c r="I38" s="37">
        <f t="shared" si="1"/>
        <v>0.53</v>
      </c>
      <c r="J38" s="38">
        <f t="shared" si="2"/>
        <v>0</v>
      </c>
      <c r="K38" s="315"/>
      <c r="L38" s="145"/>
    </row>
    <row r="39" spans="1:12" ht="20.100000000000001" customHeight="1" thickBot="1" x14ac:dyDescent="0.4">
      <c r="A39" s="144" t="str">
        <f>IF(B39=IFERROR(VLOOKUP(B39,entrant!$E$4:$J$188,1,FALSE),"THERE WAS AN ERROR"),"RAPPORT JOURNAL","")</f>
        <v>RAPPORT JOURNAL</v>
      </c>
      <c r="B39" s="218" t="s">
        <v>109</v>
      </c>
      <c r="C39" s="170" t="s">
        <v>110</v>
      </c>
      <c r="D39" s="35">
        <f>SUMIF(entrant!$E$4:$E$2059,'Inventaire des produits'!B39,entrant!$G$4:$G$2059)</f>
        <v>36</v>
      </c>
      <c r="E39" s="35">
        <f>SUMIF(vente!$E$4:$E$2190,'Inventaire des produits'!B39,vente!$G$4:$G$2190)</f>
        <v>36</v>
      </c>
      <c r="F39" s="36">
        <f t="shared" si="0"/>
        <v>0</v>
      </c>
      <c r="G39" s="176">
        <v>37.407499999999999</v>
      </c>
      <c r="H39" s="182"/>
      <c r="I39" s="37">
        <f t="shared" si="1"/>
        <v>37.407499999999999</v>
      </c>
      <c r="J39" s="38">
        <f t="shared" si="2"/>
        <v>0</v>
      </c>
      <c r="K39" s="315"/>
      <c r="L39" s="145"/>
    </row>
    <row r="40" spans="1:12" ht="20.100000000000001" customHeight="1" thickBot="1" x14ac:dyDescent="0.4">
      <c r="A40" s="144" t="str">
        <f>IF(B40=IFERROR(VLOOKUP(B40,entrant!$E$4:$J$188,1,FALSE),"THERE WAS AN ERROR"),"RAPPORT JOURNAL","")</f>
        <v>RAPPORT JOURNAL</v>
      </c>
      <c r="B40" s="218" t="s">
        <v>111</v>
      </c>
      <c r="C40" s="170" t="s">
        <v>29</v>
      </c>
      <c r="D40" s="35">
        <f>SUMIF(entrant!$E$4:$E$2059,'Inventaire des produits'!B40,entrant!$G$4:$G$2059)</f>
        <v>44</v>
      </c>
      <c r="E40" s="35">
        <f>SUMIF(vente!$E$4:$E$2190,'Inventaire des produits'!B40,vente!$G$4:$G$2190)</f>
        <v>44</v>
      </c>
      <c r="F40" s="36">
        <f t="shared" si="0"/>
        <v>0</v>
      </c>
      <c r="G40" s="176">
        <v>2.6416666666999999</v>
      </c>
      <c r="H40" s="182"/>
      <c r="I40" s="37">
        <f t="shared" si="1"/>
        <v>2.6416666666999999</v>
      </c>
      <c r="J40" s="38">
        <f t="shared" si="2"/>
        <v>0</v>
      </c>
      <c r="K40" s="315"/>
      <c r="L40" s="145"/>
    </row>
    <row r="41" spans="1:12" ht="20.100000000000001" customHeight="1" thickBot="1" x14ac:dyDescent="0.4">
      <c r="A41" s="144" t="str">
        <f>IF(B41=IFERROR(VLOOKUP(B41,entrant!$E$4:$J$188,1,FALSE),"THERE WAS AN ERROR"),"RAPPORT JOURNAL","")</f>
        <v>RAPPORT JOURNAL</v>
      </c>
      <c r="B41" s="218" t="s">
        <v>112</v>
      </c>
      <c r="C41" s="170" t="s">
        <v>113</v>
      </c>
      <c r="D41" s="35">
        <f>SUMIF(entrant!$E$4:$E$2059,'Inventaire des produits'!B41,entrant!$G$4:$G$2059)</f>
        <v>275</v>
      </c>
      <c r="E41" s="35">
        <f>SUMIF(vente!$E$4:$E$2190,'Inventaire des produits'!B41,vente!$G$4:$G$2190)</f>
        <v>275</v>
      </c>
      <c r="F41" s="36">
        <f t="shared" si="0"/>
        <v>0</v>
      </c>
      <c r="G41" s="176">
        <v>6.8</v>
      </c>
      <c r="H41" s="182"/>
      <c r="I41" s="37">
        <f t="shared" si="1"/>
        <v>6.8</v>
      </c>
      <c r="J41" s="38">
        <f t="shared" si="2"/>
        <v>0</v>
      </c>
      <c r="K41" s="315"/>
      <c r="L41" s="145"/>
    </row>
    <row r="42" spans="1:12" ht="20.100000000000001" customHeight="1" thickBot="1" x14ac:dyDescent="0.4">
      <c r="A42" s="144" t="str">
        <f>IF(B42=IFERROR(VLOOKUP(B42,entrant!$E$4:$J$188,1,FALSE),"THERE WAS AN ERROR"),"RAPPORT JOURNAL","")</f>
        <v>RAPPORT JOURNAL</v>
      </c>
      <c r="B42" s="218" t="s">
        <v>114</v>
      </c>
      <c r="C42" s="170" t="s">
        <v>24</v>
      </c>
      <c r="D42" s="35">
        <f>SUMIF(entrant!$E$4:$E$2059,'Inventaire des produits'!B42,entrant!$G$4:$G$2059)</f>
        <v>6</v>
      </c>
      <c r="E42" s="35">
        <f>SUMIF(vente!$E$4:$E$2190,'Inventaire des produits'!B42,vente!$G$4:$G$2190)</f>
        <v>6</v>
      </c>
      <c r="F42" s="36">
        <f t="shared" si="0"/>
        <v>0</v>
      </c>
      <c r="G42" s="176">
        <v>593.75</v>
      </c>
      <c r="H42" s="182"/>
      <c r="I42" s="37">
        <f t="shared" si="1"/>
        <v>593.75</v>
      </c>
      <c r="J42" s="38">
        <f t="shared" si="2"/>
        <v>0</v>
      </c>
      <c r="K42" s="315"/>
      <c r="L42" s="145"/>
    </row>
    <row r="43" spans="1:12" ht="20.100000000000001" customHeight="1" thickBot="1" x14ac:dyDescent="0.4">
      <c r="A43" s="144" t="str">
        <f>IF(B43=IFERROR(VLOOKUP(B43,entrant!$E$4:$J$188,1,FALSE),"THERE WAS AN ERROR"),"RAPPORT JOURNAL","")</f>
        <v>RAPPORT JOURNAL</v>
      </c>
      <c r="B43" s="218" t="s">
        <v>116</v>
      </c>
      <c r="C43" s="170" t="s">
        <v>117</v>
      </c>
      <c r="D43" s="35">
        <f>SUMIF(entrant!$E$4:$E$2059,'Inventaire des produits'!B43,entrant!$G$4:$G$2059)</f>
        <v>1</v>
      </c>
      <c r="E43" s="35">
        <f>SUMIF(vente!$E$4:$E$2190,'Inventaire des produits'!B43,vente!$G$4:$G$2190)</f>
        <v>1</v>
      </c>
      <c r="F43" s="36">
        <f t="shared" si="0"/>
        <v>0</v>
      </c>
      <c r="G43" s="176">
        <v>250</v>
      </c>
      <c r="H43" s="182"/>
      <c r="I43" s="37">
        <f t="shared" si="1"/>
        <v>250</v>
      </c>
      <c r="J43" s="38">
        <f t="shared" si="2"/>
        <v>0</v>
      </c>
      <c r="K43" s="315"/>
      <c r="L43" s="145"/>
    </row>
    <row r="44" spans="1:12" ht="20.100000000000001" customHeight="1" thickBot="1" x14ac:dyDescent="0.4">
      <c r="A44" s="144" t="str">
        <f>IF(B44=IFERROR(VLOOKUP(B44,entrant!$E$4:$J$188,1,FALSE),"THERE WAS AN ERROR"),"RAPPORT JOURNAL","")</f>
        <v>RAPPORT JOURNAL</v>
      </c>
      <c r="B44" s="218" t="s">
        <v>115</v>
      </c>
      <c r="C44" s="170" t="s">
        <v>118</v>
      </c>
      <c r="D44" s="35">
        <f>SUMIF(entrant!$E$4:$E$2059,'Inventaire des produits'!B44,entrant!$G$4:$G$2059)</f>
        <v>1</v>
      </c>
      <c r="E44" s="35">
        <f>SUMIF(vente!$E$4:$E$2190,'Inventaire des produits'!B44,vente!$G$4:$G$2190)</f>
        <v>1</v>
      </c>
      <c r="F44" s="36">
        <f t="shared" si="0"/>
        <v>0</v>
      </c>
      <c r="G44" s="176">
        <v>354.1666666667</v>
      </c>
      <c r="H44" s="182"/>
      <c r="I44" s="37">
        <f t="shared" si="1"/>
        <v>354.1666666667</v>
      </c>
      <c r="J44" s="38">
        <f t="shared" si="2"/>
        <v>0</v>
      </c>
      <c r="K44" s="315"/>
      <c r="L44" s="145"/>
    </row>
    <row r="45" spans="1:12" ht="20.100000000000001" customHeight="1" thickBot="1" x14ac:dyDescent="0.4">
      <c r="A45" s="144" t="str">
        <f>IF(B45=IFERROR(VLOOKUP(B45,entrant!$E$4:$J$188,1,FALSE),"THERE WAS AN ERROR"),"RAPPORT JOURNAL","")</f>
        <v>RAPPORT JOURNAL</v>
      </c>
      <c r="B45" s="218" t="s">
        <v>119</v>
      </c>
      <c r="C45" s="170" t="s">
        <v>24</v>
      </c>
      <c r="D45" s="35">
        <f>SUMIF(entrant!$E$4:$E$2059,'Inventaire des produits'!B45,entrant!$G$4:$G$2059)</f>
        <v>1</v>
      </c>
      <c r="E45" s="35">
        <f>SUMIF(vente!$E$4:$E$2190,'Inventaire des produits'!B45,vente!$G$4:$G$2190)</f>
        <v>1</v>
      </c>
      <c r="F45" s="36">
        <f t="shared" si="0"/>
        <v>0</v>
      </c>
      <c r="G45" s="176">
        <v>625</v>
      </c>
      <c r="H45" s="182"/>
      <c r="I45" s="37">
        <f t="shared" si="1"/>
        <v>625</v>
      </c>
      <c r="J45" s="38">
        <f t="shared" si="2"/>
        <v>0</v>
      </c>
      <c r="K45" s="315"/>
      <c r="L45" s="145"/>
    </row>
    <row r="46" spans="1:12" ht="20.100000000000001" customHeight="1" thickBot="1" x14ac:dyDescent="0.4">
      <c r="A46" s="144" t="str">
        <f>IF(B46=IFERROR(VLOOKUP(B46,entrant!$E$4:$J$188,1,FALSE),"THERE WAS AN ERROR"),"RAPPORT JOURNAL","")</f>
        <v>RAPPORT JOURNAL</v>
      </c>
      <c r="B46" s="218" t="s">
        <v>120</v>
      </c>
      <c r="C46" s="170" t="s">
        <v>24</v>
      </c>
      <c r="D46" s="35">
        <f>SUMIF(entrant!$E$4:$E$2059,'Inventaire des produits'!B46,entrant!$G$4:$G$2059)</f>
        <v>1</v>
      </c>
      <c r="E46" s="35">
        <f>SUMIF(vente!$E$4:$E$2190,'Inventaire des produits'!B46,vente!$G$4:$G$2190)</f>
        <v>1</v>
      </c>
      <c r="F46" s="36">
        <f t="shared" si="0"/>
        <v>0</v>
      </c>
      <c r="G46" s="176">
        <v>562.5</v>
      </c>
      <c r="H46" s="182"/>
      <c r="I46" s="37">
        <f t="shared" si="1"/>
        <v>562.5</v>
      </c>
      <c r="J46" s="38">
        <f t="shared" si="2"/>
        <v>0</v>
      </c>
      <c r="K46" s="315"/>
      <c r="L46" s="145"/>
    </row>
    <row r="47" spans="1:12" ht="20.100000000000001" customHeight="1" thickBot="1" x14ac:dyDescent="0.4">
      <c r="A47" s="144" t="str">
        <f>IF(B47=IFERROR(VLOOKUP(B47,entrant!$E$4:$J$188,1,FALSE),"THERE WAS AN ERROR"),"RAPPORT JOURNAL","")</f>
        <v>RAPPORT JOURNAL</v>
      </c>
      <c r="B47" s="218" t="s">
        <v>122</v>
      </c>
      <c r="C47" s="170" t="s">
        <v>123</v>
      </c>
      <c r="D47" s="35">
        <f>SUMIF(entrant!$E$4:$E$2059,'Inventaire des produits'!B47,entrant!$G$4:$G$2059)</f>
        <v>800</v>
      </c>
      <c r="E47" s="35">
        <f>SUMIF(vente!$E$4:$E$2190,'Inventaire des produits'!B47,vente!$G$4:$G$2190)</f>
        <v>800</v>
      </c>
      <c r="F47" s="36">
        <f t="shared" si="0"/>
        <v>0</v>
      </c>
      <c r="G47" s="176">
        <v>0.66706186670000001</v>
      </c>
      <c r="H47" s="182"/>
      <c r="I47" s="37">
        <f t="shared" si="1"/>
        <v>0.66706186670000001</v>
      </c>
      <c r="J47" s="38">
        <f t="shared" si="2"/>
        <v>0</v>
      </c>
      <c r="K47" s="315"/>
      <c r="L47" s="145"/>
    </row>
    <row r="48" spans="1:12" ht="20.100000000000001" customHeight="1" thickBot="1" x14ac:dyDescent="0.4">
      <c r="A48" s="144" t="str">
        <f>IF(B48=IFERROR(VLOOKUP(B48,entrant!$E$4:$J$188,1,FALSE),"THERE WAS AN ERROR"),"RAPPORT JOURNAL","")</f>
        <v>RAPPORT JOURNAL</v>
      </c>
      <c r="B48" s="218" t="s">
        <v>124</v>
      </c>
      <c r="C48" s="170" t="s">
        <v>125</v>
      </c>
      <c r="D48" s="35">
        <f>SUMIF(entrant!$E$4:$E$2059,'Inventaire des produits'!B48,entrant!$G$4:$G$2059)</f>
        <v>1</v>
      </c>
      <c r="E48" s="35">
        <f>SUMIF(vente!$E$4:$E$2190,'Inventaire des produits'!B48,vente!$G$4:$G$2190)</f>
        <v>1</v>
      </c>
      <c r="F48" s="36">
        <f t="shared" si="0"/>
        <v>0</v>
      </c>
      <c r="G48" s="176">
        <v>383.3333333333</v>
      </c>
      <c r="H48" s="182"/>
      <c r="I48" s="37">
        <f t="shared" si="1"/>
        <v>383.3333333333</v>
      </c>
      <c r="J48" s="38">
        <f t="shared" si="2"/>
        <v>0</v>
      </c>
      <c r="K48" s="315"/>
      <c r="L48" s="145"/>
    </row>
    <row r="49" spans="1:12" ht="20.100000000000001" customHeight="1" thickBot="1" x14ac:dyDescent="0.4">
      <c r="A49" s="144" t="str">
        <f>IF(B49=IFERROR(VLOOKUP(B49,entrant!$E$4:$J$188,1,FALSE),"THERE WAS AN ERROR"),"RAPPORT JOURNAL","")</f>
        <v>RAPPORT JOURNAL</v>
      </c>
      <c r="B49" s="218" t="s">
        <v>126</v>
      </c>
      <c r="C49" s="170" t="s">
        <v>75</v>
      </c>
      <c r="D49" s="35">
        <f>SUMIF(entrant!$E$4:$E$2059,'Inventaire des produits'!B49,entrant!$G$4:$G$2059)</f>
        <v>4</v>
      </c>
      <c r="E49" s="35">
        <f>SUMIF(vente!$E$4:$E$2190,'Inventaire des produits'!B49,vente!$G$4:$G$2190)</f>
        <v>4</v>
      </c>
      <c r="F49" s="36">
        <f t="shared" si="0"/>
        <v>0</v>
      </c>
      <c r="G49" s="176">
        <v>54.75</v>
      </c>
      <c r="H49" s="182"/>
      <c r="I49" s="37">
        <f t="shared" si="1"/>
        <v>54.75</v>
      </c>
      <c r="J49" s="38">
        <f t="shared" si="2"/>
        <v>0</v>
      </c>
      <c r="K49" s="315"/>
      <c r="L49" s="145"/>
    </row>
    <row r="50" spans="1:12" ht="20.100000000000001" customHeight="1" thickBot="1" x14ac:dyDescent="0.4">
      <c r="A50" s="144" t="str">
        <f>IF(B50=IFERROR(VLOOKUP(B50,entrant!$E$4:$J$188,1,FALSE),"THERE WAS AN ERROR"),"RAPPORT JOURNAL","")</f>
        <v>RAPPORT JOURNAL</v>
      </c>
      <c r="B50" s="218" t="s">
        <v>127</v>
      </c>
      <c r="C50" s="170" t="s">
        <v>37</v>
      </c>
      <c r="D50" s="35">
        <f>SUMIF(entrant!$E$4:$E$2059,'Inventaire des produits'!B50,entrant!$G$4:$G$2059)</f>
        <v>12440</v>
      </c>
      <c r="E50" s="35">
        <f>SUMIF(vente!$E$4:$E$2190,'Inventaire des produits'!B50,vente!$G$4:$G$2190)</f>
        <v>12440</v>
      </c>
      <c r="F50" s="36">
        <f t="shared" si="0"/>
        <v>0</v>
      </c>
      <c r="G50" s="176">
        <v>2.9169999999999998</v>
      </c>
      <c r="H50" s="182"/>
      <c r="I50" s="37">
        <f t="shared" si="1"/>
        <v>2.9169999999999998</v>
      </c>
      <c r="J50" s="38">
        <f t="shared" si="2"/>
        <v>0</v>
      </c>
      <c r="K50" s="315"/>
      <c r="L50" s="145"/>
    </row>
    <row r="51" spans="1:12" ht="20.100000000000001" customHeight="1" thickBot="1" x14ac:dyDescent="0.4">
      <c r="A51" s="144" t="str">
        <f>IF(B51=IFERROR(VLOOKUP(B51,entrant!$E$4:$J$188,1,FALSE),"THERE WAS AN ERROR"),"RAPPORT JOURNAL","")</f>
        <v>RAPPORT JOURNAL</v>
      </c>
      <c r="B51" s="218" t="s">
        <v>128</v>
      </c>
      <c r="C51" s="170" t="s">
        <v>36</v>
      </c>
      <c r="D51" s="35">
        <f>SUMIF(entrant!$E$4:$E$2059,'Inventaire des produits'!B51,entrant!$G$4:$G$2059)</f>
        <v>14</v>
      </c>
      <c r="E51" s="35">
        <f>SUMIF(vente!$E$4:$E$2190,'Inventaire des produits'!B51,vente!$G$4:$G$2190)</f>
        <v>14</v>
      </c>
      <c r="F51" s="36">
        <f t="shared" si="0"/>
        <v>0</v>
      </c>
      <c r="G51" s="176">
        <v>20.832999999999998</v>
      </c>
      <c r="H51" s="182"/>
      <c r="I51" s="37">
        <f t="shared" si="1"/>
        <v>20.832999999999998</v>
      </c>
      <c r="J51" s="38">
        <f t="shared" si="2"/>
        <v>0</v>
      </c>
      <c r="K51" s="315"/>
      <c r="L51" s="145"/>
    </row>
    <row r="52" spans="1:12" ht="20.100000000000001" customHeight="1" thickBot="1" x14ac:dyDescent="0.4">
      <c r="A52" s="144" t="str">
        <f>IF(B52=IFERROR(VLOOKUP(B52,entrant!$E$4:$J$188,1,FALSE),"THERE WAS AN ERROR"),"RAPPORT JOURNAL","")</f>
        <v>RAPPORT JOURNAL</v>
      </c>
      <c r="B52" s="218" t="s">
        <v>306</v>
      </c>
      <c r="C52" s="170" t="s">
        <v>83</v>
      </c>
      <c r="D52" s="35">
        <f>SUMIF(entrant!$E$4:$E$2059,'Inventaire des produits'!B52,entrant!$G$4:$G$2059)</f>
        <v>3600</v>
      </c>
      <c r="E52" s="35">
        <f>SUMIF(vente!$E$4:$E$2190,'Inventaire des produits'!B52,vente!$G$4:$G$2190)</f>
        <v>3600</v>
      </c>
      <c r="F52" s="36">
        <f t="shared" si="0"/>
        <v>0</v>
      </c>
      <c r="G52" s="176">
        <v>1.5</v>
      </c>
      <c r="H52" s="182"/>
      <c r="I52" s="37">
        <f t="shared" si="1"/>
        <v>1.5</v>
      </c>
      <c r="J52" s="38">
        <f t="shared" si="2"/>
        <v>0</v>
      </c>
      <c r="K52" s="315"/>
      <c r="L52" s="145"/>
    </row>
    <row r="53" spans="1:12" ht="20.100000000000001" customHeight="1" thickBot="1" x14ac:dyDescent="0.4">
      <c r="A53" s="144" t="str">
        <f>IF(B53=IFERROR(VLOOKUP(B53,entrant!$E$4:$J$188,1,FALSE),"THERE WAS AN ERROR"),"RAPPORT JOURNAL","")</f>
        <v>RAPPORT JOURNAL</v>
      </c>
      <c r="B53" s="218" t="s">
        <v>130</v>
      </c>
      <c r="C53" s="170" t="s">
        <v>129</v>
      </c>
      <c r="D53" s="35">
        <f>SUMIF(entrant!$E$4:$E$2059,'Inventaire des produits'!B53,entrant!$G$4:$G$2059)</f>
        <v>500</v>
      </c>
      <c r="E53" s="35">
        <f>SUMIF(vente!$E$4:$E$2190,'Inventaire des produits'!B53,vente!$G$4:$G$2190)</f>
        <v>500</v>
      </c>
      <c r="F53" s="36">
        <f t="shared" si="0"/>
        <v>0</v>
      </c>
      <c r="G53" s="176">
        <v>0.92469999999999997</v>
      </c>
      <c r="H53" s="182"/>
      <c r="I53" s="37">
        <f t="shared" si="1"/>
        <v>0.92469999999999997</v>
      </c>
      <c r="J53" s="38">
        <f t="shared" si="2"/>
        <v>0</v>
      </c>
      <c r="K53" s="315"/>
      <c r="L53" s="145"/>
    </row>
    <row r="54" spans="1:12" ht="20.100000000000001" customHeight="1" thickBot="1" x14ac:dyDescent="0.4">
      <c r="A54" s="144" t="str">
        <f>IF(B54=IFERROR(VLOOKUP(B54,entrant!$E$4:$J$188,1,FALSE),"THERE WAS AN ERROR"),"RAPPORT JOURNAL","")</f>
        <v>RAPPORT JOURNAL</v>
      </c>
      <c r="B54" s="218" t="s">
        <v>131</v>
      </c>
      <c r="C54" s="170" t="s">
        <v>132</v>
      </c>
      <c r="D54" s="35">
        <f>SUMIF(entrant!$E$4:$E$2059,'Inventaire des produits'!B54,entrant!$G$4:$G$2059)</f>
        <v>500</v>
      </c>
      <c r="E54" s="35">
        <f>SUMIF(vente!$E$4:$E$2190,'Inventaire des produits'!B54,vente!$G$4:$G$2190)</f>
        <v>500</v>
      </c>
      <c r="F54" s="36">
        <f t="shared" si="0"/>
        <v>0</v>
      </c>
      <c r="G54" s="176">
        <v>0.64100000000000001</v>
      </c>
      <c r="H54" s="182"/>
      <c r="I54" s="37">
        <f t="shared" si="1"/>
        <v>0.64100000000000001</v>
      </c>
      <c r="J54" s="38">
        <f t="shared" si="2"/>
        <v>0</v>
      </c>
      <c r="K54" s="315"/>
      <c r="L54" s="145"/>
    </row>
    <row r="55" spans="1:12" ht="20.100000000000001" customHeight="1" thickBot="1" x14ac:dyDescent="0.4">
      <c r="A55" s="144" t="str">
        <f>IF(B55=IFERROR(VLOOKUP(B55,entrant!$E$4:$J$188,1,FALSE),"THERE WAS AN ERROR"),"RAPPORT JOURNAL","")</f>
        <v>RAPPORT JOURNAL</v>
      </c>
      <c r="B55" s="218" t="s">
        <v>133</v>
      </c>
      <c r="C55" s="170" t="s">
        <v>42</v>
      </c>
      <c r="D55" s="35">
        <f>SUMIF(entrant!$E$4:$E$2059,'Inventaire des produits'!B55,entrant!$G$4:$G$2059)</f>
        <v>800</v>
      </c>
      <c r="E55" s="35">
        <f>SUMIF(vente!$E$4:$E$2190,'Inventaire des produits'!B55,vente!$G$4:$G$2190)</f>
        <v>800</v>
      </c>
      <c r="F55" s="36">
        <f t="shared" si="0"/>
        <v>0</v>
      </c>
      <c r="G55" s="176">
        <v>1.7090000000000001</v>
      </c>
      <c r="H55" s="182"/>
      <c r="I55" s="37">
        <f t="shared" si="1"/>
        <v>1.7090000000000001</v>
      </c>
      <c r="J55" s="38">
        <f t="shared" si="2"/>
        <v>0</v>
      </c>
      <c r="K55" s="315"/>
      <c r="L55" s="145"/>
    </row>
    <row r="56" spans="1:12" ht="20.100000000000001" customHeight="1" thickBot="1" x14ac:dyDescent="0.4">
      <c r="A56" s="144" t="str">
        <f>IF(B56=IFERROR(VLOOKUP(B56,entrant!$E$4:$J$188,1,FALSE),"THERE WAS AN ERROR"),"RAPPORT JOURNAL","")</f>
        <v>RAPPORT JOURNAL</v>
      </c>
      <c r="B56" s="218" t="s">
        <v>134</v>
      </c>
      <c r="C56" s="170" t="s">
        <v>136</v>
      </c>
      <c r="D56" s="35">
        <f>SUMIF(entrant!$E$4:$E$2059,'Inventaire des produits'!B56,entrant!$G$4:$G$2059)</f>
        <v>38</v>
      </c>
      <c r="E56" s="35">
        <f>SUMIF(vente!$E$4:$E$2190,'Inventaire des produits'!B56,vente!$G$4:$G$2190)</f>
        <v>38</v>
      </c>
      <c r="F56" s="36">
        <f t="shared" si="0"/>
        <v>0</v>
      </c>
      <c r="G56" s="176">
        <v>6.5833300000000001</v>
      </c>
      <c r="H56" s="182"/>
      <c r="I56" s="37">
        <f t="shared" si="1"/>
        <v>6.5833300000000001</v>
      </c>
      <c r="J56" s="38">
        <f t="shared" si="2"/>
        <v>0</v>
      </c>
      <c r="K56" s="315"/>
      <c r="L56" s="145"/>
    </row>
    <row r="57" spans="1:12" ht="20.100000000000001" customHeight="1" thickBot="1" x14ac:dyDescent="0.4">
      <c r="A57" s="144" t="str">
        <f>IF(B57=IFERROR(VLOOKUP(B57,entrant!$E$4:$J$188,1,FALSE),"THERE WAS AN ERROR"),"RAPPORT JOURNAL","")</f>
        <v>RAPPORT JOURNAL</v>
      </c>
      <c r="B57" s="218" t="s">
        <v>135</v>
      </c>
      <c r="C57" s="170" t="s">
        <v>287</v>
      </c>
      <c r="D57" s="35">
        <f>SUMIF(entrant!$E$4:$E$2059,'Inventaire des produits'!B57,entrant!$G$4:$G$2059)</f>
        <v>18000</v>
      </c>
      <c r="E57" s="35">
        <f>SUMIF(vente!$E$4:$E$2190,'Inventaire des produits'!B57,vente!$G$4:$G$2190)</f>
        <v>18000</v>
      </c>
      <c r="F57" s="36">
        <f t="shared" si="0"/>
        <v>0</v>
      </c>
      <c r="G57" s="176">
        <v>0.46875</v>
      </c>
      <c r="H57" s="182"/>
      <c r="I57" s="37">
        <f t="shared" si="1"/>
        <v>0.46875</v>
      </c>
      <c r="J57" s="38">
        <f t="shared" si="2"/>
        <v>0</v>
      </c>
      <c r="K57" s="315"/>
      <c r="L57" s="145"/>
    </row>
    <row r="58" spans="1:12" ht="20.100000000000001" customHeight="1" thickBot="1" x14ac:dyDescent="0.4">
      <c r="A58" s="144" t="str">
        <f>IF(B58=IFERROR(VLOOKUP(B58,entrant!$E$4:$J$188,1,FALSE),"THERE WAS AN ERROR"),"RAPPORT JOURNAL","")</f>
        <v>RAPPORT JOURNAL</v>
      </c>
      <c r="B58" s="218" t="s">
        <v>137</v>
      </c>
      <c r="C58" s="170" t="s">
        <v>138</v>
      </c>
      <c r="D58" s="35">
        <f>SUMIF(entrant!$E$4:$E$2059,'Inventaire des produits'!B58,entrant!$G$4:$G$2059)</f>
        <v>5100</v>
      </c>
      <c r="E58" s="35">
        <f>SUMIF(vente!$E$4:$E$2190,'Inventaire des produits'!B58,vente!$G$4:$G$2190)</f>
        <v>5100</v>
      </c>
      <c r="F58" s="36">
        <f t="shared" si="0"/>
        <v>0</v>
      </c>
      <c r="G58" s="176">
        <v>0.53</v>
      </c>
      <c r="H58" s="182"/>
      <c r="I58" s="37">
        <f t="shared" si="1"/>
        <v>0.53</v>
      </c>
      <c r="J58" s="38">
        <f t="shared" si="2"/>
        <v>0</v>
      </c>
      <c r="K58" s="315"/>
      <c r="L58" s="145"/>
    </row>
    <row r="59" spans="1:12" ht="20.100000000000001" customHeight="1" thickBot="1" x14ac:dyDescent="0.4">
      <c r="A59" s="144" t="str">
        <f>IF(B59=IFERROR(VLOOKUP(B59,entrant!$E$4:$J$188,1,FALSE),"THERE WAS AN ERROR"),"RAPPORT JOURNAL","")</f>
        <v>RAPPORT JOURNAL</v>
      </c>
      <c r="B59" s="218" t="s">
        <v>139</v>
      </c>
      <c r="C59" s="170" t="s">
        <v>140</v>
      </c>
      <c r="D59" s="35">
        <f>SUMIF(entrant!$E$4:$E$2059,'Inventaire des produits'!B59,entrant!$G$4:$G$2059)</f>
        <v>100</v>
      </c>
      <c r="E59" s="35">
        <f>SUMIF(vente!$E$4:$E$2190,'Inventaire des produits'!B59,vente!$G$4:$G$2190)</f>
        <v>100</v>
      </c>
      <c r="F59" s="36">
        <f t="shared" si="0"/>
        <v>0</v>
      </c>
      <c r="G59" s="176">
        <v>12</v>
      </c>
      <c r="H59" s="182"/>
      <c r="I59" s="37">
        <f t="shared" si="1"/>
        <v>12</v>
      </c>
      <c r="J59" s="38">
        <f t="shared" si="2"/>
        <v>0</v>
      </c>
      <c r="K59" s="315"/>
      <c r="L59" s="145"/>
    </row>
    <row r="60" spans="1:12" ht="20.100000000000001" customHeight="1" thickBot="1" x14ac:dyDescent="0.4">
      <c r="A60" s="144" t="str">
        <f>IF(B60=IFERROR(VLOOKUP(B60,entrant!$E$4:$J$188,1,FALSE),"THERE WAS AN ERROR"),"RAPPORT JOURNAL","")</f>
        <v>RAPPORT JOURNAL</v>
      </c>
      <c r="B60" s="218" t="s">
        <v>141</v>
      </c>
      <c r="C60" s="170" t="s">
        <v>142</v>
      </c>
      <c r="D60" s="35">
        <f>SUMIF(entrant!$E$4:$E$2059,'Inventaire des produits'!B60,entrant!$G$4:$G$2059)</f>
        <v>1</v>
      </c>
      <c r="E60" s="35">
        <f>SUMIF(vente!$E$4:$E$2190,'Inventaire des produits'!B60,vente!$G$4:$G$2190)</f>
        <v>1</v>
      </c>
      <c r="F60" s="36">
        <f t="shared" si="0"/>
        <v>0</v>
      </c>
      <c r="G60" s="176">
        <v>256</v>
      </c>
      <c r="H60" s="182"/>
      <c r="I60" s="37">
        <f t="shared" si="1"/>
        <v>256</v>
      </c>
      <c r="J60" s="38">
        <f t="shared" si="2"/>
        <v>0</v>
      </c>
      <c r="K60" s="315"/>
      <c r="L60" s="145"/>
    </row>
    <row r="61" spans="1:12" ht="20.100000000000001" customHeight="1" thickBot="1" x14ac:dyDescent="0.4">
      <c r="A61" s="144" t="str">
        <f>IF(B61=IFERROR(VLOOKUP(B61,entrant!$E$4:$J$188,1,FALSE),"THERE WAS AN ERROR"),"RAPPORT JOURNAL","")</f>
        <v>RAPPORT JOURNAL</v>
      </c>
      <c r="B61" s="218" t="s">
        <v>143</v>
      </c>
      <c r="C61" s="170" t="s">
        <v>976</v>
      </c>
      <c r="D61" s="35">
        <f>SUMIF(entrant!$E$4:$E$2059,'Inventaire des produits'!B61,entrant!$G$4:$G$2059)</f>
        <v>20000</v>
      </c>
      <c r="E61" s="35">
        <f>SUMIF(vente!$E$4:$E$2190,'Inventaire des produits'!B61,vente!$G$4:$G$2190)</f>
        <v>20000</v>
      </c>
      <c r="F61" s="36">
        <f t="shared" si="0"/>
        <v>0</v>
      </c>
      <c r="G61" s="176">
        <f>750/20000</f>
        <v>3.7499999999999999E-2</v>
      </c>
      <c r="H61" s="182"/>
      <c r="I61" s="37">
        <f t="shared" si="1"/>
        <v>3.7499999999999999E-2</v>
      </c>
      <c r="J61" s="38">
        <f t="shared" si="2"/>
        <v>0</v>
      </c>
      <c r="K61" s="315"/>
      <c r="L61" s="145"/>
    </row>
    <row r="62" spans="1:12" ht="20.100000000000001" customHeight="1" thickBot="1" x14ac:dyDescent="0.4">
      <c r="A62" s="144" t="str">
        <f>IF(B62=IFERROR(VLOOKUP(B62,entrant!$E$4:$J$188,1,FALSE),"THERE WAS AN ERROR"),"RAPPORT JOURNAL","")</f>
        <v>RAPPORT JOURNAL</v>
      </c>
      <c r="B62" s="218" t="s">
        <v>145</v>
      </c>
      <c r="C62" s="170" t="s">
        <v>138</v>
      </c>
      <c r="D62" s="35">
        <f>SUMIF(entrant!$E$4:$E$2059,'Inventaire des produits'!B62,entrant!$G$4:$G$2059)</f>
        <v>6200</v>
      </c>
      <c r="E62" s="35">
        <f>SUMIF(vente!$E$4:$E$2190,'Inventaire des produits'!B62,vente!$G$4:$G$2190)</f>
        <v>6200</v>
      </c>
      <c r="F62" s="36">
        <f t="shared" si="0"/>
        <v>0</v>
      </c>
      <c r="G62" s="176">
        <v>0.52</v>
      </c>
      <c r="H62" s="182"/>
      <c r="I62" s="37">
        <f t="shared" si="1"/>
        <v>0.52</v>
      </c>
      <c r="J62" s="38">
        <f t="shared" si="2"/>
        <v>0</v>
      </c>
      <c r="K62" s="315"/>
      <c r="L62" s="145"/>
    </row>
    <row r="63" spans="1:12" ht="20.100000000000001" customHeight="1" thickBot="1" x14ac:dyDescent="0.4">
      <c r="A63" s="144" t="str">
        <f>IF(B63=IFERROR(VLOOKUP(B63,entrant!$E$4:$J$188,1,FALSE),"THERE WAS AN ERROR"),"RAPPORT JOURNAL","")</f>
        <v>RAPPORT JOURNAL</v>
      </c>
      <c r="B63" s="218">
        <v>83808</v>
      </c>
      <c r="C63" s="170" t="s">
        <v>55</v>
      </c>
      <c r="D63" s="35">
        <f>SUMIF(entrant!$E$4:$E$2059,'Inventaire des produits'!B63,entrant!$G$4:$G$2059)</f>
        <v>4000</v>
      </c>
      <c r="E63" s="35">
        <f>SUMIF(vente!$E$4:$E$2190,'Inventaire des produits'!B63,vente!$G$4:$G$2190)</f>
        <v>4000</v>
      </c>
      <c r="F63" s="36">
        <f t="shared" si="0"/>
        <v>0</v>
      </c>
      <c r="G63" s="176">
        <v>0.63</v>
      </c>
      <c r="H63" s="182"/>
      <c r="I63" s="37">
        <f t="shared" si="1"/>
        <v>0.63</v>
      </c>
      <c r="J63" s="38">
        <f t="shared" si="2"/>
        <v>0</v>
      </c>
      <c r="K63" s="315"/>
      <c r="L63" s="145"/>
    </row>
    <row r="64" spans="1:12" ht="20.100000000000001" customHeight="1" thickBot="1" x14ac:dyDescent="0.4">
      <c r="A64" s="144" t="str">
        <f>IF(B64=IFERROR(VLOOKUP(B64,entrant!$E$4:$J$188,1,FALSE),"THERE WAS AN ERROR"),"RAPPORT JOURNAL","")</f>
        <v>RAPPORT JOURNAL</v>
      </c>
      <c r="B64" s="218" t="s">
        <v>146</v>
      </c>
      <c r="C64" s="170" t="s">
        <v>48</v>
      </c>
      <c r="D64" s="35">
        <f>SUMIF(entrant!$E$4:$E$2059,'Inventaire des produits'!B64,entrant!$G$4:$G$2059)</f>
        <v>200</v>
      </c>
      <c r="E64" s="35">
        <f>SUMIF(vente!$E$4:$E$2190,'Inventaire des produits'!B64,vente!$G$4:$G$2190)</f>
        <v>200</v>
      </c>
      <c r="F64" s="36">
        <f t="shared" si="0"/>
        <v>0</v>
      </c>
      <c r="G64" s="176">
        <v>0.9</v>
      </c>
      <c r="H64" s="182"/>
      <c r="I64" s="37">
        <f t="shared" si="1"/>
        <v>0.9</v>
      </c>
      <c r="J64" s="38">
        <f t="shared" si="2"/>
        <v>0</v>
      </c>
      <c r="K64" s="315"/>
      <c r="L64" s="145"/>
    </row>
    <row r="65" spans="1:12" ht="20.100000000000001" customHeight="1" thickBot="1" x14ac:dyDescent="0.4">
      <c r="A65" s="144" t="str">
        <f>IF(B65=IFERROR(VLOOKUP(B65,entrant!$E$4:$J$188,1,FALSE),"THERE WAS AN ERROR"),"RAPPORT JOURNAL","")</f>
        <v>RAPPORT JOURNAL</v>
      </c>
      <c r="B65" s="218" t="s">
        <v>147</v>
      </c>
      <c r="C65" s="170" t="s">
        <v>47</v>
      </c>
      <c r="D65" s="35">
        <f>SUMIF(entrant!$E$4:$E$2059,'Inventaire des produits'!B65,entrant!$G$4:$G$2059)</f>
        <v>1250</v>
      </c>
      <c r="E65" s="35">
        <f>SUMIF(vente!$E$4:$E$2190,'Inventaire des produits'!B65,vente!$G$4:$G$2190)</f>
        <v>1250</v>
      </c>
      <c r="F65" s="36">
        <f t="shared" si="0"/>
        <v>0</v>
      </c>
      <c r="G65" s="176">
        <v>0.75</v>
      </c>
      <c r="H65" s="182"/>
      <c r="I65" s="37">
        <f t="shared" si="1"/>
        <v>0.75</v>
      </c>
      <c r="J65" s="38">
        <f t="shared" si="2"/>
        <v>0</v>
      </c>
      <c r="K65" s="315"/>
      <c r="L65" s="145"/>
    </row>
    <row r="66" spans="1:12" ht="20.100000000000001" customHeight="1" thickBot="1" x14ac:dyDescent="0.4">
      <c r="A66" s="144" t="str">
        <f>IF(B66=IFERROR(VLOOKUP(B66,entrant!$E$4:$J$188,1,FALSE),"THERE WAS AN ERROR"),"RAPPORT JOURNAL","")</f>
        <v>RAPPORT JOURNAL</v>
      </c>
      <c r="B66" s="218" t="s">
        <v>148</v>
      </c>
      <c r="C66" s="170" t="s">
        <v>150</v>
      </c>
      <c r="D66" s="35">
        <f>SUMIF(entrant!$E$4:$E$2059,'Inventaire des produits'!B66,entrant!$G$4:$G$2059)</f>
        <v>8200</v>
      </c>
      <c r="E66" s="35">
        <f>SUMIF(vente!$E$4:$E$2190,'Inventaire des produits'!B66,vente!$G$4:$G$2190)</f>
        <v>8200</v>
      </c>
      <c r="F66" s="36">
        <f t="shared" si="0"/>
        <v>0</v>
      </c>
      <c r="G66" s="176">
        <v>0.75833333329999997</v>
      </c>
      <c r="H66" s="182"/>
      <c r="I66" s="37">
        <f t="shared" si="1"/>
        <v>0.75833333329999997</v>
      </c>
      <c r="J66" s="38">
        <f t="shared" si="2"/>
        <v>0</v>
      </c>
      <c r="K66" s="315"/>
      <c r="L66" s="145"/>
    </row>
    <row r="67" spans="1:12" ht="20.100000000000001" customHeight="1" thickBot="1" x14ac:dyDescent="0.4">
      <c r="A67" s="144" t="str">
        <f>IF(B67=IFERROR(VLOOKUP(B67,entrant!$E$4:$J$188,1,FALSE),"THERE WAS AN ERROR"),"RAPPORT JOURNAL","")</f>
        <v>RAPPORT JOURNAL</v>
      </c>
      <c r="B67" s="218" t="s">
        <v>149</v>
      </c>
      <c r="C67" s="170" t="s">
        <v>151</v>
      </c>
      <c r="D67" s="35">
        <f>SUMIF(entrant!$E$4:$E$2059,'Inventaire des produits'!B67,entrant!$G$4:$G$2059)</f>
        <v>5100</v>
      </c>
      <c r="E67" s="35">
        <f>SUMIF(vente!$E$4:$E$2190,'Inventaire des produits'!B67,vente!$G$4:$G$2190)</f>
        <v>5100</v>
      </c>
      <c r="F67" s="36">
        <f t="shared" ref="F67:F130" si="3">IF(OR(D67="",E67=""),"",D67-E67)</f>
        <v>0</v>
      </c>
      <c r="G67" s="176">
        <v>1</v>
      </c>
      <c r="H67" s="182"/>
      <c r="I67" s="37">
        <f t="shared" si="1"/>
        <v>1</v>
      </c>
      <c r="J67" s="38">
        <f t="shared" si="2"/>
        <v>0</v>
      </c>
      <c r="K67" s="315"/>
      <c r="L67" s="145"/>
    </row>
    <row r="68" spans="1:12" ht="20.100000000000001" customHeight="1" thickBot="1" x14ac:dyDescent="0.4">
      <c r="A68" s="144" t="str">
        <f>IF(B68=IFERROR(VLOOKUP(B68,entrant!$E$4:$J$188,1,FALSE),"THERE WAS AN ERROR"),"RAPPORT JOURNAL","")</f>
        <v>RAPPORT JOURNAL</v>
      </c>
      <c r="B68" s="218" t="s">
        <v>164</v>
      </c>
      <c r="C68" s="170" t="s">
        <v>165</v>
      </c>
      <c r="D68" s="35">
        <f>SUMIF(entrant!$E$4:$E$2059,'Inventaire des produits'!B68,entrant!$G$4:$G$2059)</f>
        <v>48</v>
      </c>
      <c r="E68" s="35">
        <f>SUMIF(vente!$E$4:$E$2190,'Inventaire des produits'!B68,vente!$G$4:$G$2190)</f>
        <v>48</v>
      </c>
      <c r="F68" s="36">
        <f t="shared" si="3"/>
        <v>0</v>
      </c>
      <c r="G68" s="176">
        <v>2.0146666670000002</v>
      </c>
      <c r="H68" s="182"/>
      <c r="I68" s="37">
        <f t="shared" ref="I68:I131" si="4">IF(H68="",G68,G68-G68*H68)</f>
        <v>2.0146666670000002</v>
      </c>
      <c r="J68" s="38">
        <f t="shared" ref="J68:J131" si="5">IF(OR(F68="",G68=""),"",F68*I68)</f>
        <v>0</v>
      </c>
      <c r="K68" s="315"/>
      <c r="L68" s="145"/>
    </row>
    <row r="69" spans="1:12" ht="20.100000000000001" customHeight="1" thickBot="1" x14ac:dyDescent="0.4">
      <c r="A69" s="144" t="str">
        <f>IF(B69=IFERROR(VLOOKUP(B69,entrant!$E$4:$J$188,1,FALSE),"THERE WAS AN ERROR"),"RAPPORT JOURNAL","")</f>
        <v>RAPPORT JOURNAL</v>
      </c>
      <c r="B69" s="218" t="s">
        <v>166</v>
      </c>
      <c r="C69" s="170" t="s">
        <v>167</v>
      </c>
      <c r="D69" s="35">
        <f>SUMIF(entrant!$E$4:$E$2059,'Inventaire des produits'!B69,entrant!$G$4:$G$2059)</f>
        <v>200</v>
      </c>
      <c r="E69" s="35">
        <f>SUMIF(vente!$E$4:$E$2190,'Inventaire des produits'!B69,vente!$G$4:$G$2190)</f>
        <v>200</v>
      </c>
      <c r="F69" s="36">
        <f t="shared" si="3"/>
        <v>0</v>
      </c>
      <c r="G69" s="176">
        <v>24.17</v>
      </c>
      <c r="H69" s="182"/>
      <c r="I69" s="37">
        <f t="shared" si="4"/>
        <v>24.17</v>
      </c>
      <c r="J69" s="38">
        <f t="shared" si="5"/>
        <v>0</v>
      </c>
      <c r="K69" s="315"/>
      <c r="L69" s="145"/>
    </row>
    <row r="70" spans="1:12" ht="20.100000000000001" customHeight="1" thickBot="1" x14ac:dyDescent="0.4">
      <c r="A70" s="144" t="str">
        <f>IF(B70=IFERROR(VLOOKUP(B70,entrant!$E$4:$J$188,1,FALSE),"THERE WAS AN ERROR"),"RAPPORT JOURNAL","")</f>
        <v>RAPPORT JOURNAL</v>
      </c>
      <c r="B70" s="218" t="s">
        <v>153</v>
      </c>
      <c r="C70" s="170" t="s">
        <v>49</v>
      </c>
      <c r="D70" s="35">
        <f>SUMIF(entrant!$E$4:$E$2059,'Inventaire des produits'!B70,entrant!$G$4:$G$2059)</f>
        <v>20</v>
      </c>
      <c r="E70" s="35">
        <f>SUMIF(vente!$E$4:$E$2190,'Inventaire des produits'!B70,vente!$G$4:$G$2190)</f>
        <v>20</v>
      </c>
      <c r="F70" s="36">
        <f t="shared" si="3"/>
        <v>0</v>
      </c>
      <c r="G70" s="176">
        <v>48.332999999999998</v>
      </c>
      <c r="H70" s="182"/>
      <c r="I70" s="37">
        <f t="shared" si="4"/>
        <v>48.332999999999998</v>
      </c>
      <c r="J70" s="38">
        <f t="shared" si="5"/>
        <v>0</v>
      </c>
      <c r="K70" s="315"/>
      <c r="L70" s="145"/>
    </row>
    <row r="71" spans="1:12" ht="20.100000000000001" customHeight="1" thickBot="1" x14ac:dyDescent="0.4">
      <c r="A71" s="144" t="str">
        <f>IF(B71=IFERROR(VLOOKUP(B71,entrant!$E$4:$J$188,1,FALSE),"THERE WAS AN ERROR"),"RAPPORT JOURNAL","")</f>
        <v>RAPPORT JOURNAL</v>
      </c>
      <c r="B71" s="218" t="s">
        <v>156</v>
      </c>
      <c r="C71" s="170" t="s">
        <v>155</v>
      </c>
      <c r="D71" s="35">
        <f>SUMIF(entrant!$E$4:$E$2059,'Inventaire des produits'!B71,entrant!$G$4:$G$2059)</f>
        <v>300</v>
      </c>
      <c r="E71" s="35">
        <f>SUMIF(vente!$E$4:$E$2190,'Inventaire des produits'!B71,vente!$G$4:$G$2190)</f>
        <v>300</v>
      </c>
      <c r="F71" s="36">
        <f t="shared" si="3"/>
        <v>0</v>
      </c>
      <c r="G71" s="176">
        <v>2.0832999999999999</v>
      </c>
      <c r="H71" s="182"/>
      <c r="I71" s="37">
        <f t="shared" si="4"/>
        <v>2.0832999999999999</v>
      </c>
      <c r="J71" s="38">
        <f t="shared" si="5"/>
        <v>0</v>
      </c>
      <c r="K71" s="315"/>
      <c r="L71" s="145"/>
    </row>
    <row r="72" spans="1:12" ht="20.100000000000001" customHeight="1" thickBot="1" x14ac:dyDescent="0.4">
      <c r="A72" s="144" t="str">
        <f>IF(B72=IFERROR(VLOOKUP(B72,entrant!$E$4:$J$188,1,FALSE),"THERE WAS AN ERROR"),"RAPPORT JOURNAL","")</f>
        <v>RAPPORT JOURNAL</v>
      </c>
      <c r="B72" s="218" t="s">
        <v>157</v>
      </c>
      <c r="C72" s="170" t="s">
        <v>154</v>
      </c>
      <c r="D72" s="35">
        <f>SUMIF(entrant!$E$4:$E$2059,'Inventaire des produits'!B72,entrant!$G$4:$G$2059)</f>
        <v>300</v>
      </c>
      <c r="E72" s="35">
        <f>SUMIF(vente!$E$4:$E$2190,'Inventaire des produits'!B72,vente!$G$4:$G$2190)</f>
        <v>300</v>
      </c>
      <c r="F72" s="36">
        <f t="shared" si="3"/>
        <v>0</v>
      </c>
      <c r="G72" s="176">
        <v>2.0832999999999999</v>
      </c>
      <c r="H72" s="182"/>
      <c r="I72" s="37">
        <f t="shared" si="4"/>
        <v>2.0832999999999999</v>
      </c>
      <c r="J72" s="38">
        <f t="shared" si="5"/>
        <v>0</v>
      </c>
      <c r="K72" s="315"/>
      <c r="L72" s="145"/>
    </row>
    <row r="73" spans="1:12" ht="20.100000000000001" customHeight="1" thickBot="1" x14ac:dyDescent="0.4">
      <c r="A73" s="144" t="str">
        <f>IF(B73=IFERROR(VLOOKUP(B73,entrant!$E$4:$J$188,1,FALSE),"THERE WAS AN ERROR"),"RAPPORT JOURNAL","")</f>
        <v>RAPPORT JOURNAL</v>
      </c>
      <c r="B73" s="218" t="s">
        <v>158</v>
      </c>
      <c r="C73" s="170" t="s">
        <v>159</v>
      </c>
      <c r="D73" s="35">
        <f>SUMIF(entrant!$E$4:$E$2059,'Inventaire des produits'!B73,entrant!$G$4:$G$2059)</f>
        <v>100000</v>
      </c>
      <c r="E73" s="35">
        <f>SUMIF(vente!$E$4:$E$2190,'Inventaire des produits'!B73,vente!$G$4:$G$2190)</f>
        <v>100000</v>
      </c>
      <c r="F73" s="36">
        <f t="shared" si="3"/>
        <v>0</v>
      </c>
      <c r="G73" s="176">
        <v>5.8329499999999999E-2</v>
      </c>
      <c r="H73" s="182"/>
      <c r="I73" s="37">
        <f t="shared" si="4"/>
        <v>5.8329499999999999E-2</v>
      </c>
      <c r="J73" s="38">
        <f t="shared" si="5"/>
        <v>0</v>
      </c>
      <c r="K73" s="315"/>
      <c r="L73" s="145"/>
    </row>
    <row r="74" spans="1:12" ht="20.100000000000001" customHeight="1" thickBot="1" x14ac:dyDescent="0.4">
      <c r="A74" s="144" t="str">
        <f>IF(B74=IFERROR(VLOOKUP(B74,entrant!$E$4:$J$188,1,FALSE),"THERE WAS AN ERROR"),"RAPPORT JOURNAL","")</f>
        <v>RAPPORT JOURNAL</v>
      </c>
      <c r="B74" s="218" t="s">
        <v>160</v>
      </c>
      <c r="C74" s="170" t="s">
        <v>47</v>
      </c>
      <c r="D74" s="35">
        <f>SUMIF(entrant!$E$4:$E$2059,'Inventaire des produits'!B74,entrant!$G$4:$G$2059)</f>
        <v>100</v>
      </c>
      <c r="E74" s="35">
        <f>SUMIF(vente!$E$4:$E$2190,'Inventaire des produits'!B74,vente!$G$4:$G$2190)</f>
        <v>100</v>
      </c>
      <c r="F74" s="36">
        <f t="shared" si="3"/>
        <v>0</v>
      </c>
      <c r="G74" s="176">
        <v>31.669499999999999</v>
      </c>
      <c r="H74" s="182"/>
      <c r="I74" s="37">
        <f t="shared" si="4"/>
        <v>31.669499999999999</v>
      </c>
      <c r="J74" s="38">
        <f t="shared" si="5"/>
        <v>0</v>
      </c>
      <c r="K74" s="315"/>
      <c r="L74" s="145"/>
    </row>
    <row r="75" spans="1:12" ht="20.100000000000001" customHeight="1" thickBot="1" x14ac:dyDescent="0.4">
      <c r="A75" s="144" t="str">
        <f>IF(B75=IFERROR(VLOOKUP(B75,entrant!$E$4:$J$188,1,FALSE),"THERE WAS AN ERROR"),"RAPPORT JOURNAL","")</f>
        <v>RAPPORT JOURNAL</v>
      </c>
      <c r="B75" s="218" t="s">
        <v>161</v>
      </c>
      <c r="C75" s="170" t="s">
        <v>21</v>
      </c>
      <c r="D75" s="35">
        <f>SUMIF(entrant!$E$4:$E$2059,'Inventaire des produits'!B75,entrant!$G$4:$G$2059)</f>
        <v>800</v>
      </c>
      <c r="E75" s="35">
        <f>SUMIF(vente!$E$4:$E$2190,'Inventaire des produits'!B75,vente!$G$4:$G$2190)</f>
        <v>800</v>
      </c>
      <c r="F75" s="36">
        <f t="shared" si="3"/>
        <v>0</v>
      </c>
      <c r="G75" s="176">
        <v>1</v>
      </c>
      <c r="H75" s="182"/>
      <c r="I75" s="37">
        <f t="shared" si="4"/>
        <v>1</v>
      </c>
      <c r="J75" s="38">
        <f t="shared" si="5"/>
        <v>0</v>
      </c>
      <c r="K75" s="315"/>
      <c r="L75" s="145"/>
    </row>
    <row r="76" spans="1:12" ht="20.100000000000001" customHeight="1" thickBot="1" x14ac:dyDescent="0.4">
      <c r="A76" s="144" t="str">
        <f>IF(B76=IFERROR(VLOOKUP(B76,entrant!$E$4:$J$188,1,FALSE),"THERE WAS AN ERROR"),"RAPPORT JOURNAL","")</f>
        <v>RAPPORT JOURNAL</v>
      </c>
      <c r="B76" s="218" t="s">
        <v>162</v>
      </c>
      <c r="C76" s="170" t="s">
        <v>163</v>
      </c>
      <c r="D76" s="35">
        <f>SUMIF(entrant!$E$4:$E$2059,'Inventaire des produits'!B76,entrant!$G$4:$G$2059)</f>
        <v>6000</v>
      </c>
      <c r="E76" s="35">
        <f>SUMIF(vente!$E$4:$E$2190,'Inventaire des produits'!B76,vente!$G$4:$G$2190)</f>
        <v>6000</v>
      </c>
      <c r="F76" s="36">
        <f t="shared" si="3"/>
        <v>0</v>
      </c>
      <c r="G76" s="176">
        <v>0.75</v>
      </c>
      <c r="H76" s="182"/>
      <c r="I76" s="37">
        <f t="shared" si="4"/>
        <v>0.75</v>
      </c>
      <c r="J76" s="38">
        <f t="shared" si="5"/>
        <v>0</v>
      </c>
      <c r="K76" s="315"/>
      <c r="L76" s="145"/>
    </row>
    <row r="77" spans="1:12" ht="20.100000000000001" customHeight="1" thickBot="1" x14ac:dyDescent="0.4">
      <c r="A77" s="144" t="str">
        <f>IF(B77=IFERROR(VLOOKUP(B77,entrant!$E$4:$J$188,1,FALSE),"THERE WAS AN ERROR"),"RAPPORT JOURNAL","")</f>
        <v>RAPPORT JOURNAL</v>
      </c>
      <c r="B77" s="218" t="s">
        <v>168</v>
      </c>
      <c r="C77" s="170" t="s">
        <v>101</v>
      </c>
      <c r="D77" s="35">
        <f>SUMIF(entrant!$E$4:$E$2059,'Inventaire des produits'!B77,entrant!$G$4:$G$2059)</f>
        <v>101</v>
      </c>
      <c r="E77" s="35">
        <f>SUMIF(vente!$E$4:$E$2190,'Inventaire des produits'!B77,vente!$G$4:$G$2190)</f>
        <v>101</v>
      </c>
      <c r="F77" s="36">
        <f t="shared" si="3"/>
        <v>0</v>
      </c>
      <c r="G77" s="176">
        <v>20.83</v>
      </c>
      <c r="H77" s="182"/>
      <c r="I77" s="37">
        <f t="shared" si="4"/>
        <v>20.83</v>
      </c>
      <c r="J77" s="38">
        <f t="shared" si="5"/>
        <v>0</v>
      </c>
      <c r="K77" s="315"/>
      <c r="L77" s="145"/>
    </row>
    <row r="78" spans="1:12" ht="20.100000000000001" customHeight="1" thickBot="1" x14ac:dyDescent="0.4">
      <c r="A78" s="144" t="str">
        <f>IF(B78=IFERROR(VLOOKUP(B78,entrant!$E$4:$J$188,1,FALSE),"THERE WAS AN ERROR"),"RAPPORT JOURNAL","")</f>
        <v>RAPPORT JOURNAL</v>
      </c>
      <c r="B78" s="218" t="s">
        <v>169</v>
      </c>
      <c r="C78" s="170" t="s">
        <v>170</v>
      </c>
      <c r="D78" s="35">
        <f>SUMIF(entrant!$E$4:$E$2059,'Inventaire des produits'!B78,entrant!$G$4:$G$2059)</f>
        <v>5000</v>
      </c>
      <c r="E78" s="35">
        <f>SUMIF(vente!$E$4:$E$2190,'Inventaire des produits'!B78,vente!$G$4:$G$2190)</f>
        <v>5000</v>
      </c>
      <c r="F78" s="36">
        <f t="shared" si="3"/>
        <v>0</v>
      </c>
      <c r="G78" s="176">
        <v>0.82</v>
      </c>
      <c r="H78" s="182"/>
      <c r="I78" s="37">
        <f t="shared" si="4"/>
        <v>0.82</v>
      </c>
      <c r="J78" s="38">
        <f t="shared" si="5"/>
        <v>0</v>
      </c>
      <c r="K78" s="315"/>
      <c r="L78" s="145"/>
    </row>
    <row r="79" spans="1:12" ht="20.100000000000001" customHeight="1" thickBot="1" x14ac:dyDescent="0.4">
      <c r="A79" s="144" t="str">
        <f>IF(B79=IFERROR(VLOOKUP(B79,entrant!$E$4:$J$188,1,FALSE),"THERE WAS AN ERROR"),"RAPPORT JOURNAL","")</f>
        <v>RAPPORT JOURNAL</v>
      </c>
      <c r="B79" s="218" t="s">
        <v>171</v>
      </c>
      <c r="C79" s="170" t="s">
        <v>300</v>
      </c>
      <c r="D79" s="35">
        <f>SUMIF(entrant!$E$4:$E$2059,'Inventaire des produits'!B79,entrant!$G$4:$G$2059)</f>
        <v>4000</v>
      </c>
      <c r="E79" s="35">
        <f>SUMIF(vente!$E$4:$E$2190,'Inventaire des produits'!B79,vente!$G$4:$G$2190)</f>
        <v>4000</v>
      </c>
      <c r="F79" s="36">
        <f t="shared" si="3"/>
        <v>0</v>
      </c>
      <c r="G79" s="176">
        <v>9.1874999999999998E-2</v>
      </c>
      <c r="H79" s="182"/>
      <c r="I79" s="37">
        <f t="shared" si="4"/>
        <v>9.1874999999999998E-2</v>
      </c>
      <c r="J79" s="38">
        <f t="shared" si="5"/>
        <v>0</v>
      </c>
      <c r="K79" s="315"/>
      <c r="L79" s="145"/>
    </row>
    <row r="80" spans="1:12" ht="20.100000000000001" customHeight="1" thickBot="1" x14ac:dyDescent="0.4">
      <c r="A80" s="144" t="str">
        <f>IF(B80=IFERROR(VLOOKUP(B80,entrant!$E$4:$J$188,1,FALSE),"THERE WAS AN ERROR"),"RAPPORT JOURNAL","")</f>
        <v>RAPPORT JOURNAL</v>
      </c>
      <c r="B80" s="218" t="s">
        <v>172</v>
      </c>
      <c r="C80" s="170" t="s">
        <v>173</v>
      </c>
      <c r="D80" s="35">
        <f>SUMIF(entrant!$E$4:$E$2059,'Inventaire des produits'!B80,entrant!$G$4:$G$2059)</f>
        <v>4000</v>
      </c>
      <c r="E80" s="35">
        <f>SUMIF(vente!$E$4:$E$2190,'Inventaire des produits'!B80,vente!$G$4:$G$2190)</f>
        <v>4000</v>
      </c>
      <c r="F80" s="36">
        <f t="shared" si="3"/>
        <v>0</v>
      </c>
      <c r="G80" s="176">
        <v>9.1874999999999998E-2</v>
      </c>
      <c r="H80" s="182"/>
      <c r="I80" s="37">
        <f t="shared" si="4"/>
        <v>9.1874999999999998E-2</v>
      </c>
      <c r="J80" s="38">
        <f t="shared" si="5"/>
        <v>0</v>
      </c>
      <c r="K80" s="315"/>
      <c r="L80" s="145"/>
    </row>
    <row r="81" spans="1:12" ht="20.100000000000001" customHeight="1" thickBot="1" x14ac:dyDescent="0.4">
      <c r="A81" s="144" t="str">
        <f>IF(B81=IFERROR(VLOOKUP(B81,entrant!$E$4:$J$188,1,FALSE),"THERE WAS AN ERROR"),"RAPPORT JOURNAL","")</f>
        <v>RAPPORT JOURNAL</v>
      </c>
      <c r="B81" s="218" t="s">
        <v>185</v>
      </c>
      <c r="C81" s="170" t="s">
        <v>177</v>
      </c>
      <c r="D81" s="35">
        <f>SUMIF(entrant!$E$4:$E$2059,'Inventaire des produits'!B81,entrant!$G$4:$G$2059)</f>
        <v>4500</v>
      </c>
      <c r="E81" s="35">
        <f>SUMIF(vente!$E$4:$E$2190,'Inventaire des produits'!B81,vente!$G$4:$G$2190)</f>
        <v>4500</v>
      </c>
      <c r="F81" s="36">
        <f t="shared" si="3"/>
        <v>0</v>
      </c>
      <c r="G81" s="176">
        <v>0.91666666669999997</v>
      </c>
      <c r="H81" s="182"/>
      <c r="I81" s="37">
        <f t="shared" si="4"/>
        <v>0.91666666669999997</v>
      </c>
      <c r="J81" s="38">
        <f t="shared" si="5"/>
        <v>0</v>
      </c>
      <c r="K81" s="315"/>
      <c r="L81" s="145"/>
    </row>
    <row r="82" spans="1:12" ht="20.100000000000001" customHeight="1" thickBot="1" x14ac:dyDescent="0.4">
      <c r="A82" s="144" t="str">
        <f>IF(B82=IFERROR(VLOOKUP(B82,entrant!$E$4:$J$188,1,FALSE),"THERE WAS AN ERROR"),"RAPPORT JOURNAL","")</f>
        <v>RAPPORT JOURNAL</v>
      </c>
      <c r="B82" s="218" t="s">
        <v>174</v>
      </c>
      <c r="C82" s="170" t="s">
        <v>175</v>
      </c>
      <c r="D82" s="35">
        <f>SUMIF(entrant!$E$4:$E$2059,'Inventaire des produits'!B82,entrant!$G$4:$G$2059)</f>
        <v>250</v>
      </c>
      <c r="E82" s="35">
        <f>SUMIF(vente!$E$4:$E$2190,'Inventaire des produits'!B82,vente!$G$4:$G$2190)</f>
        <v>250</v>
      </c>
      <c r="F82" s="36">
        <f t="shared" si="3"/>
        <v>0</v>
      </c>
      <c r="G82" s="176">
        <v>1.9559</v>
      </c>
      <c r="H82" s="182"/>
      <c r="I82" s="37">
        <f t="shared" si="4"/>
        <v>1.9559</v>
      </c>
      <c r="J82" s="38">
        <f t="shared" si="5"/>
        <v>0</v>
      </c>
      <c r="K82" s="315"/>
      <c r="L82" s="145"/>
    </row>
    <row r="83" spans="1:12" ht="20.100000000000001" customHeight="1" thickBot="1" x14ac:dyDescent="0.4">
      <c r="A83" s="144" t="str">
        <f>IF(B83=IFERROR(VLOOKUP(B83,entrant!$E$4:$J$188,1,FALSE),"THERE WAS AN ERROR"),"RAPPORT JOURNAL","")</f>
        <v>RAPPORT JOURNAL</v>
      </c>
      <c r="B83" s="218" t="s">
        <v>176</v>
      </c>
      <c r="C83" s="170" t="s">
        <v>177</v>
      </c>
      <c r="D83" s="35">
        <f>SUMIF(entrant!$E$4:$E$2059,'Inventaire des produits'!B83,entrant!$G$4:$G$2059)</f>
        <v>400</v>
      </c>
      <c r="E83" s="35">
        <f>SUMIF(vente!$E$4:$E$2190,'Inventaire des produits'!B83,vente!$G$4:$G$2190)</f>
        <v>400</v>
      </c>
      <c r="F83" s="36">
        <f t="shared" si="3"/>
        <v>0</v>
      </c>
      <c r="G83" s="176">
        <v>0.91666666669999997</v>
      </c>
      <c r="H83" s="182"/>
      <c r="I83" s="37">
        <f t="shared" si="4"/>
        <v>0.91666666669999997</v>
      </c>
      <c r="J83" s="38">
        <f t="shared" si="5"/>
        <v>0</v>
      </c>
      <c r="K83" s="315"/>
      <c r="L83" s="145"/>
    </row>
    <row r="84" spans="1:12" ht="20.100000000000001" customHeight="1" thickBot="1" x14ac:dyDescent="0.4">
      <c r="A84" s="144" t="str">
        <f>IF(B84=IFERROR(VLOOKUP(B84,entrant!$E$4:$J$188,1,FALSE),"THERE WAS AN ERROR"),"RAPPORT JOURNAL","")</f>
        <v>RAPPORT JOURNAL</v>
      </c>
      <c r="B84" s="218" t="s">
        <v>178</v>
      </c>
      <c r="C84" s="170" t="s">
        <v>179</v>
      </c>
      <c r="D84" s="35">
        <f>SUMIF(entrant!$E$4:$E$2059,'Inventaire des produits'!B84,entrant!$G$4:$G$2059)</f>
        <v>3000</v>
      </c>
      <c r="E84" s="35">
        <f>SUMIF(vente!$E$4:$E$2190,'Inventaire des produits'!B84,vente!$G$4:$G$2190)</f>
        <v>3000</v>
      </c>
      <c r="F84" s="36">
        <f t="shared" si="3"/>
        <v>0</v>
      </c>
      <c r="G84" s="176">
        <v>1.8333330000000001</v>
      </c>
      <c r="H84" s="182"/>
      <c r="I84" s="37">
        <f t="shared" si="4"/>
        <v>1.8333330000000001</v>
      </c>
      <c r="J84" s="38">
        <f t="shared" si="5"/>
        <v>0</v>
      </c>
      <c r="K84" s="315"/>
      <c r="L84" s="145"/>
    </row>
    <row r="85" spans="1:12" ht="20.100000000000001" customHeight="1" thickBot="1" x14ac:dyDescent="0.4">
      <c r="A85" s="144" t="str">
        <f>IF(B85=IFERROR(VLOOKUP(B85,entrant!$E$4:$J$188,1,FALSE),"THERE WAS AN ERROR"),"RAPPORT JOURNAL","")</f>
        <v>RAPPORT JOURNAL</v>
      </c>
      <c r="B85" s="218" t="s">
        <v>180</v>
      </c>
      <c r="C85" s="170" t="s">
        <v>36</v>
      </c>
      <c r="D85" s="35">
        <f>SUMIF(entrant!$E$4:$E$2059,'Inventaire des produits'!B85,entrant!$G$4:$G$2059)</f>
        <v>306</v>
      </c>
      <c r="E85" s="35">
        <f>SUMIF(vente!$E$4:$E$2190,'Inventaire des produits'!B85,vente!$G$4:$G$2190)</f>
        <v>306</v>
      </c>
      <c r="F85" s="36">
        <f t="shared" si="3"/>
        <v>0</v>
      </c>
      <c r="G85" s="176">
        <v>22.5</v>
      </c>
      <c r="H85" s="182"/>
      <c r="I85" s="37">
        <f t="shared" si="4"/>
        <v>22.5</v>
      </c>
      <c r="J85" s="38">
        <f t="shared" si="5"/>
        <v>0</v>
      </c>
      <c r="K85" s="315"/>
      <c r="L85" s="145"/>
    </row>
    <row r="86" spans="1:12" ht="20.100000000000001" customHeight="1" thickBot="1" x14ac:dyDescent="0.4">
      <c r="A86" s="144" t="str">
        <f>IF(B86=IFERROR(VLOOKUP(B86,entrant!$E$4:$J$188,1,FALSE),"THERE WAS AN ERROR"),"RAPPORT JOURNAL","")</f>
        <v>RAPPORT JOURNAL</v>
      </c>
      <c r="B86" s="218" t="s">
        <v>181</v>
      </c>
      <c r="C86" s="170" t="s">
        <v>182</v>
      </c>
      <c r="D86" s="35">
        <f>SUMIF(entrant!$E$4:$E$2059,'Inventaire des produits'!B86,entrant!$G$4:$G$2059)</f>
        <v>69</v>
      </c>
      <c r="E86" s="35">
        <f>SUMIF(vente!$E$4:$E$2190,'Inventaire des produits'!B86,vente!$G$4:$G$2190)</f>
        <v>69</v>
      </c>
      <c r="F86" s="36">
        <f t="shared" si="3"/>
        <v>0</v>
      </c>
      <c r="G86" s="176">
        <v>22.5</v>
      </c>
      <c r="H86" s="182"/>
      <c r="I86" s="37">
        <f t="shared" si="4"/>
        <v>22.5</v>
      </c>
      <c r="J86" s="38">
        <f t="shared" si="5"/>
        <v>0</v>
      </c>
      <c r="K86" s="315"/>
      <c r="L86" s="145"/>
    </row>
    <row r="87" spans="1:12" ht="20.100000000000001" customHeight="1" thickBot="1" x14ac:dyDescent="0.4">
      <c r="A87" s="144" t="str">
        <f>IF(B87=IFERROR(VLOOKUP(B87,entrant!$E$4:$J$188,1,FALSE),"THERE WAS AN ERROR"),"RAPPORT JOURNAL","")</f>
        <v>RAPPORT JOURNAL</v>
      </c>
      <c r="B87" s="218" t="s">
        <v>183</v>
      </c>
      <c r="C87" s="170" t="s">
        <v>41</v>
      </c>
      <c r="D87" s="35">
        <f>SUMIF(entrant!$E$4:$E$2059,'Inventaire des produits'!B87,entrant!$G$4:$G$2059)</f>
        <v>3000</v>
      </c>
      <c r="E87" s="35">
        <f>SUMIF(vente!$E$4:$E$2190,'Inventaire des produits'!B87,vente!$G$4:$G$2190)</f>
        <v>3000</v>
      </c>
      <c r="F87" s="36">
        <f t="shared" si="3"/>
        <v>0</v>
      </c>
      <c r="G87" s="176">
        <v>0.41660000000000003</v>
      </c>
      <c r="H87" s="182"/>
      <c r="I87" s="37">
        <f t="shared" si="4"/>
        <v>0.41660000000000003</v>
      </c>
      <c r="J87" s="38">
        <f t="shared" si="5"/>
        <v>0</v>
      </c>
      <c r="K87" s="315"/>
      <c r="L87" s="145"/>
    </row>
    <row r="88" spans="1:12" ht="20.100000000000001" customHeight="1" thickBot="1" x14ac:dyDescent="0.4">
      <c r="A88" s="144" t="str">
        <f>IF(B88=IFERROR(VLOOKUP(B88,entrant!$E$4:$J$188,1,FALSE),"THERE WAS AN ERROR"),"RAPPORT JOURNAL","")</f>
        <v>RAPPORT JOURNAL</v>
      </c>
      <c r="B88" s="218" t="s">
        <v>184</v>
      </c>
      <c r="C88" s="170" t="s">
        <v>43</v>
      </c>
      <c r="D88" s="35">
        <f>SUMIF(entrant!$E$4:$E$2059,'Inventaire des produits'!B88,entrant!$G$4:$G$2059)</f>
        <v>1000</v>
      </c>
      <c r="E88" s="35">
        <f>SUMIF(vente!$E$4:$E$2190,'Inventaire des produits'!B88,vente!$G$4:$G$2190)</f>
        <v>1000</v>
      </c>
      <c r="F88" s="36">
        <f t="shared" si="3"/>
        <v>0</v>
      </c>
      <c r="G88" s="176">
        <v>2.91</v>
      </c>
      <c r="H88" s="182"/>
      <c r="I88" s="37">
        <f t="shared" si="4"/>
        <v>2.91</v>
      </c>
      <c r="J88" s="38">
        <f t="shared" si="5"/>
        <v>0</v>
      </c>
      <c r="K88" s="315"/>
      <c r="L88" s="145"/>
    </row>
    <row r="89" spans="1:12" ht="20.100000000000001" customHeight="1" thickBot="1" x14ac:dyDescent="0.4">
      <c r="A89" s="144" t="str">
        <f>IF(B89=IFERROR(VLOOKUP(B89,entrant!$E$4:$J$188,1,FALSE),"THERE WAS AN ERROR"),"RAPPORT JOURNAL","")</f>
        <v>RAPPORT JOURNAL</v>
      </c>
      <c r="B89" s="218" t="s">
        <v>186</v>
      </c>
      <c r="C89" s="170" t="s">
        <v>187</v>
      </c>
      <c r="D89" s="35">
        <f>SUMIF(entrant!$E$4:$E$2059,'Inventaire des produits'!B89,entrant!$G$4:$G$2059)</f>
        <v>2</v>
      </c>
      <c r="E89" s="35">
        <f>SUMIF(vente!$E$4:$E$2190,'Inventaire des produits'!B89,vente!$G$4:$G$2190)</f>
        <v>2</v>
      </c>
      <c r="F89" s="36">
        <f t="shared" si="3"/>
        <v>0</v>
      </c>
      <c r="G89" s="176">
        <v>675</v>
      </c>
      <c r="H89" s="182"/>
      <c r="I89" s="37">
        <f t="shared" si="4"/>
        <v>675</v>
      </c>
      <c r="J89" s="38">
        <f t="shared" si="5"/>
        <v>0</v>
      </c>
      <c r="K89" s="315"/>
      <c r="L89" s="145"/>
    </row>
    <row r="90" spans="1:12" ht="20.100000000000001" customHeight="1" thickBot="1" x14ac:dyDescent="0.4">
      <c r="A90" s="144" t="str">
        <f>IF(B90=IFERROR(VLOOKUP(B90,entrant!$E$4:$J$188,1,FALSE),"THERE WAS AN ERROR"),"RAPPORT JOURNAL","")</f>
        <v>RAPPORT JOURNAL</v>
      </c>
      <c r="B90" s="218" t="s">
        <v>188</v>
      </c>
      <c r="C90" s="170" t="s">
        <v>189</v>
      </c>
      <c r="D90" s="35">
        <f>SUMIF(entrant!$E$4:$E$2059,'Inventaire des produits'!B90,entrant!$G$4:$G$2059)</f>
        <v>1</v>
      </c>
      <c r="E90" s="35">
        <f>SUMIF(vente!$E$4:$E$2190,'Inventaire des produits'!B90,vente!$G$4:$G$2190)</f>
        <v>1</v>
      </c>
      <c r="F90" s="36">
        <f t="shared" si="3"/>
        <v>0</v>
      </c>
      <c r="G90" s="176">
        <v>541.66666666670005</v>
      </c>
      <c r="H90" s="182"/>
      <c r="I90" s="37">
        <f t="shared" si="4"/>
        <v>541.66666666670005</v>
      </c>
      <c r="J90" s="38">
        <f t="shared" si="5"/>
        <v>0</v>
      </c>
      <c r="K90" s="315"/>
      <c r="L90" s="145"/>
    </row>
    <row r="91" spans="1:12" ht="20.100000000000001" customHeight="1" thickBot="1" x14ac:dyDescent="0.4">
      <c r="A91" s="144" t="str">
        <f>IF(B91=IFERROR(VLOOKUP(B91,entrant!$E$4:$J$188,1,FALSE),"THERE WAS AN ERROR"),"RAPPORT JOURNAL","")</f>
        <v>RAPPORT JOURNAL</v>
      </c>
      <c r="B91" s="218" t="s">
        <v>190</v>
      </c>
      <c r="C91" s="170" t="s">
        <v>191</v>
      </c>
      <c r="D91" s="35">
        <f>SUMIF(entrant!$E$4:$E$2059,'Inventaire des produits'!B91,entrant!$G$4:$G$2059)</f>
        <v>21</v>
      </c>
      <c r="E91" s="35">
        <f>SUMIF(vente!$E$4:$E$2190,'Inventaire des produits'!B91,vente!$G$4:$G$2190)</f>
        <v>21</v>
      </c>
      <c r="F91" s="36">
        <f t="shared" si="3"/>
        <v>0</v>
      </c>
      <c r="G91" s="176">
        <v>253.33333333339999</v>
      </c>
      <c r="H91" s="182"/>
      <c r="I91" s="37">
        <f t="shared" si="4"/>
        <v>253.33333333339999</v>
      </c>
      <c r="J91" s="38">
        <f t="shared" si="5"/>
        <v>0</v>
      </c>
      <c r="K91" s="315"/>
      <c r="L91" s="145"/>
    </row>
    <row r="92" spans="1:12" ht="20.100000000000001" customHeight="1" thickBot="1" x14ac:dyDescent="0.4">
      <c r="A92" s="144" t="str">
        <f>IF(B92=IFERROR(VLOOKUP(B92,entrant!$E$4:$J$188,1,FALSE),"THERE WAS AN ERROR"),"RAPPORT JOURNAL","")</f>
        <v>RAPPORT JOURNAL</v>
      </c>
      <c r="B92" s="218" t="s">
        <v>192</v>
      </c>
      <c r="C92" s="170" t="s">
        <v>193</v>
      </c>
      <c r="D92" s="35">
        <f>SUMIF(entrant!$E$4:$E$2059,'Inventaire des produits'!B92,entrant!$G$4:$G$2059)</f>
        <v>600</v>
      </c>
      <c r="E92" s="35">
        <f>SUMIF(vente!$E$4:$E$2190,'Inventaire des produits'!B92,vente!$G$4:$G$2190)</f>
        <v>600</v>
      </c>
      <c r="F92" s="36">
        <f t="shared" si="3"/>
        <v>0</v>
      </c>
      <c r="G92" s="176">
        <v>5.8333333329999997</v>
      </c>
      <c r="H92" s="182"/>
      <c r="I92" s="37">
        <f t="shared" si="4"/>
        <v>5.8333333329999997</v>
      </c>
      <c r="J92" s="38">
        <f t="shared" si="5"/>
        <v>0</v>
      </c>
      <c r="K92" s="315"/>
      <c r="L92" s="145"/>
    </row>
    <row r="93" spans="1:12" ht="20.100000000000001" customHeight="1" thickBot="1" x14ac:dyDescent="0.4">
      <c r="A93" s="144" t="str">
        <f>IF(B93=IFERROR(VLOOKUP(B93,entrant!$E$4:$J$188,1,FALSE),"THERE WAS AN ERROR"),"RAPPORT JOURNAL","")</f>
        <v>RAPPORT JOURNAL</v>
      </c>
      <c r="B93" s="218" t="s">
        <v>204</v>
      </c>
      <c r="C93" s="170" t="s">
        <v>191</v>
      </c>
      <c r="D93" s="35">
        <f>SUMIF(entrant!$E$4:$E$2059,'Inventaire des produits'!B93,entrant!$G$4:$G$2059)</f>
        <v>3</v>
      </c>
      <c r="E93" s="35">
        <f>SUMIF(vente!$E$4:$E$2190,'Inventaire des produits'!B93,vente!$G$4:$G$2190)</f>
        <v>3</v>
      </c>
      <c r="F93" s="36">
        <f t="shared" si="3"/>
        <v>0</v>
      </c>
      <c r="G93" s="176">
        <v>250.6666666667</v>
      </c>
      <c r="H93" s="182"/>
      <c r="I93" s="37">
        <f t="shared" si="4"/>
        <v>250.6666666667</v>
      </c>
      <c r="J93" s="38">
        <f t="shared" si="5"/>
        <v>0</v>
      </c>
      <c r="K93" s="315"/>
      <c r="L93" s="145"/>
    </row>
    <row r="94" spans="1:12" ht="20.100000000000001" customHeight="1" thickBot="1" x14ac:dyDescent="0.4">
      <c r="A94" s="144" t="str">
        <f>IF(B94=IFERROR(VLOOKUP(B94,entrant!$E$4:$J$188,1,FALSE),"THERE WAS AN ERROR"),"RAPPORT JOURNAL","")</f>
        <v>RAPPORT JOURNAL</v>
      </c>
      <c r="B94" s="218" t="s">
        <v>205</v>
      </c>
      <c r="C94" s="170" t="s">
        <v>191</v>
      </c>
      <c r="D94" s="35">
        <f>SUMIF(entrant!$E$4:$E$2059,'Inventaire des produits'!B94,entrant!$G$4:$G$2059)</f>
        <v>4</v>
      </c>
      <c r="E94" s="35">
        <f>SUMIF(vente!$E$4:$E$2190,'Inventaire des produits'!B94,vente!$G$4:$G$2190)</f>
        <v>4</v>
      </c>
      <c r="F94" s="36">
        <f t="shared" si="3"/>
        <v>0</v>
      </c>
      <c r="G94" s="176">
        <v>266.6666666667</v>
      </c>
      <c r="H94" s="182"/>
      <c r="I94" s="37">
        <f t="shared" si="4"/>
        <v>266.6666666667</v>
      </c>
      <c r="J94" s="38">
        <f t="shared" si="5"/>
        <v>0</v>
      </c>
      <c r="K94" s="315"/>
      <c r="L94" s="145"/>
    </row>
    <row r="95" spans="1:12" ht="20.100000000000001" customHeight="1" thickBot="1" x14ac:dyDescent="0.4">
      <c r="A95" s="144" t="str">
        <f>IF(B95=IFERROR(VLOOKUP(B95,entrant!$E$4:$J$188,1,FALSE),"THERE WAS AN ERROR"),"RAPPORT JOURNAL","")</f>
        <v>RAPPORT JOURNAL</v>
      </c>
      <c r="B95" s="218" t="s">
        <v>194</v>
      </c>
      <c r="C95" s="170" t="s">
        <v>195</v>
      </c>
      <c r="D95" s="35">
        <f>SUMIF(entrant!$E$4:$E$2059,'Inventaire des produits'!B95,entrant!$G$4:$G$2059)</f>
        <v>5000</v>
      </c>
      <c r="E95" s="35">
        <f>SUMIF(vente!$E$4:$E$2190,'Inventaire des produits'!B95,vente!$G$4:$G$2190)</f>
        <v>5000</v>
      </c>
      <c r="F95" s="36">
        <f t="shared" si="3"/>
        <v>0</v>
      </c>
      <c r="G95" s="176">
        <v>0.91666666669999997</v>
      </c>
      <c r="H95" s="182"/>
      <c r="I95" s="37">
        <f t="shared" si="4"/>
        <v>0.91666666669999997</v>
      </c>
      <c r="J95" s="38">
        <f t="shared" si="5"/>
        <v>0</v>
      </c>
      <c r="K95" s="315"/>
      <c r="L95" s="145"/>
    </row>
    <row r="96" spans="1:12" ht="20.100000000000001" customHeight="1" thickBot="1" x14ac:dyDescent="0.4">
      <c r="A96" s="144" t="str">
        <f>IF(B96=IFERROR(VLOOKUP(B96,entrant!$E$4:$J$188,1,FALSE),"THERE WAS AN ERROR"),"RAPPORT JOURNAL","")</f>
        <v>RAPPORT JOURNAL</v>
      </c>
      <c r="B96" s="218" t="s">
        <v>196</v>
      </c>
      <c r="C96" s="170" t="s">
        <v>197</v>
      </c>
      <c r="D96" s="35">
        <f>SUMIF(entrant!$E$4:$E$2059,'Inventaire des produits'!B96,entrant!$G$4:$G$2059)</f>
        <v>5000</v>
      </c>
      <c r="E96" s="35">
        <f>SUMIF(vente!$E$4:$E$2190,'Inventaire des produits'!B96,vente!$G$4:$G$2190)</f>
        <v>5000</v>
      </c>
      <c r="F96" s="36">
        <f t="shared" si="3"/>
        <v>0</v>
      </c>
      <c r="G96" s="176">
        <v>0.91666666669999997</v>
      </c>
      <c r="H96" s="182"/>
      <c r="I96" s="37">
        <f t="shared" si="4"/>
        <v>0.91666666669999997</v>
      </c>
      <c r="J96" s="38">
        <f t="shared" si="5"/>
        <v>0</v>
      </c>
      <c r="K96" s="315"/>
      <c r="L96" s="145"/>
    </row>
    <row r="97" spans="1:12" ht="20.100000000000001" customHeight="1" thickBot="1" x14ac:dyDescent="0.4">
      <c r="A97" s="144" t="str">
        <f>IF(B97=IFERROR(VLOOKUP(B97,entrant!$E$4:$J$188,1,FALSE),"THERE WAS AN ERROR"),"RAPPORT JOURNAL","")</f>
        <v>RAPPORT JOURNAL</v>
      </c>
      <c r="B97" s="218" t="s">
        <v>198</v>
      </c>
      <c r="C97" s="170" t="s">
        <v>65</v>
      </c>
      <c r="D97" s="35">
        <f>SUMIF(entrant!$E$4:$E$2059,'Inventaire des produits'!B97,entrant!$G$4:$G$2059)</f>
        <v>4300</v>
      </c>
      <c r="E97" s="35">
        <f>SUMIF(vente!$E$4:$E$2190,'Inventaire des produits'!B97,vente!$G$4:$G$2190)</f>
        <v>4300</v>
      </c>
      <c r="F97" s="36">
        <f t="shared" si="3"/>
        <v>0</v>
      </c>
      <c r="G97" s="176">
        <v>0.15</v>
      </c>
      <c r="H97" s="182"/>
      <c r="I97" s="37">
        <f t="shared" si="4"/>
        <v>0.15</v>
      </c>
      <c r="J97" s="38">
        <f t="shared" si="5"/>
        <v>0</v>
      </c>
      <c r="K97" s="315"/>
      <c r="L97" s="145"/>
    </row>
    <row r="98" spans="1:12" ht="20.100000000000001" customHeight="1" thickBot="1" x14ac:dyDescent="0.4">
      <c r="A98" s="144" t="str">
        <f>IF(B98=IFERROR(VLOOKUP(B98,entrant!$E$4:$J$188,1,FALSE),"THERE WAS AN ERROR"),"RAPPORT JOURNAL","")</f>
        <v>RAPPORT JOURNAL</v>
      </c>
      <c r="B98" s="218" t="s">
        <v>201</v>
      </c>
      <c r="C98" s="170" t="s">
        <v>200</v>
      </c>
      <c r="D98" s="35">
        <f>SUMIF(entrant!$E$4:$E$2059,'Inventaire des produits'!B98,entrant!$G$4:$G$2059)</f>
        <v>900</v>
      </c>
      <c r="E98" s="35">
        <f>SUMIF(vente!$E$4:$E$2190,'Inventaire des produits'!B98,vente!$G$4:$G$2190)</f>
        <v>900</v>
      </c>
      <c r="F98" s="36">
        <f t="shared" si="3"/>
        <v>0</v>
      </c>
      <c r="G98" s="176">
        <v>0.66666666669999997</v>
      </c>
      <c r="H98" s="182"/>
      <c r="I98" s="37">
        <f t="shared" si="4"/>
        <v>0.66666666669999997</v>
      </c>
      <c r="J98" s="38">
        <f t="shared" si="5"/>
        <v>0</v>
      </c>
      <c r="K98" s="315"/>
      <c r="L98" s="145"/>
    </row>
    <row r="99" spans="1:12" ht="20.100000000000001" customHeight="1" thickBot="1" x14ac:dyDescent="0.4">
      <c r="A99" s="144" t="str">
        <f>IF(B99=IFERROR(VLOOKUP(B99,entrant!$E$4:$J$188,1,FALSE),"THERE WAS AN ERROR"),"RAPPORT JOURNAL","")</f>
        <v>RAPPORT JOURNAL</v>
      </c>
      <c r="B99" s="218" t="s">
        <v>203</v>
      </c>
      <c r="C99" s="170" t="s">
        <v>202</v>
      </c>
      <c r="D99" s="35">
        <f>SUMIF(entrant!$E$4:$E$2059,'Inventaire des produits'!B99,entrant!$G$4:$G$2059)</f>
        <v>9000</v>
      </c>
      <c r="E99" s="35">
        <f>SUMIF(vente!$E$4:$E$2190,'Inventaire des produits'!B99,vente!$G$4:$G$2190)</f>
        <v>9000</v>
      </c>
      <c r="F99" s="36">
        <f t="shared" si="3"/>
        <v>0</v>
      </c>
      <c r="G99" s="176">
        <v>1</v>
      </c>
      <c r="H99" s="182"/>
      <c r="I99" s="37">
        <f t="shared" si="4"/>
        <v>1</v>
      </c>
      <c r="J99" s="38">
        <f t="shared" si="5"/>
        <v>0</v>
      </c>
      <c r="K99" s="315"/>
      <c r="L99" s="145"/>
    </row>
    <row r="100" spans="1:12" ht="20.100000000000001" customHeight="1" thickBot="1" x14ac:dyDescent="0.4">
      <c r="A100" s="144" t="str">
        <f>IF(B100=IFERROR(VLOOKUP(B100,entrant!$E$4:$J$188,1,FALSE),"THERE WAS AN ERROR"),"RAPPORT JOURNAL","")</f>
        <v>RAPPORT JOURNAL</v>
      </c>
      <c r="B100" s="218" t="s">
        <v>199</v>
      </c>
      <c r="C100" s="170" t="s">
        <v>195</v>
      </c>
      <c r="D100" s="35">
        <f>SUMIF(entrant!$E$4:$E$2059,'Inventaire des produits'!B100,entrant!$G$4:$G$2059)</f>
        <v>10000</v>
      </c>
      <c r="E100" s="35">
        <f>SUMIF(vente!$E$4:$E$2190,'Inventaire des produits'!B100,vente!$G$4:$G$2190)</f>
        <v>10000</v>
      </c>
      <c r="F100" s="36">
        <f t="shared" si="3"/>
        <v>0</v>
      </c>
      <c r="G100" s="176">
        <v>1</v>
      </c>
      <c r="H100" s="182"/>
      <c r="I100" s="37">
        <f t="shared" si="4"/>
        <v>1</v>
      </c>
      <c r="J100" s="38">
        <f t="shared" si="5"/>
        <v>0</v>
      </c>
      <c r="K100" s="315"/>
      <c r="L100" s="145"/>
    </row>
    <row r="101" spans="1:12" ht="20.100000000000001" customHeight="1" thickBot="1" x14ac:dyDescent="0.4">
      <c r="A101" s="144" t="str">
        <f>IF(B101=IFERROR(VLOOKUP(B101,entrant!$E$4:$J$188,1,FALSE),"THERE WAS AN ERROR"),"RAPPORT JOURNAL","")</f>
        <v>RAPPORT JOURNAL</v>
      </c>
      <c r="B101" s="218" t="s">
        <v>206</v>
      </c>
      <c r="C101" s="170" t="s">
        <v>207</v>
      </c>
      <c r="D101" s="35">
        <f>SUMIF(entrant!$E$4:$E$2059,'Inventaire des produits'!B101,entrant!$G$4:$G$2059)</f>
        <v>900</v>
      </c>
      <c r="E101" s="35">
        <f>SUMIF(vente!$E$4:$E$2190,'Inventaire des produits'!B101,vente!$G$4:$G$2190)</f>
        <v>900</v>
      </c>
      <c r="F101" s="36">
        <f t="shared" si="3"/>
        <v>0</v>
      </c>
      <c r="G101" s="176">
        <v>21.25</v>
      </c>
      <c r="H101" s="182"/>
      <c r="I101" s="37">
        <f t="shared" si="4"/>
        <v>21.25</v>
      </c>
      <c r="J101" s="38">
        <f t="shared" si="5"/>
        <v>0</v>
      </c>
      <c r="K101" s="315"/>
      <c r="L101" s="145"/>
    </row>
    <row r="102" spans="1:12" ht="20.100000000000001" customHeight="1" thickBot="1" x14ac:dyDescent="0.4">
      <c r="A102" s="144" t="str">
        <f>IF(B102=IFERROR(VLOOKUP(B102,entrant!$E$4:$J$188,1,FALSE),"THERE WAS AN ERROR"),"RAPPORT JOURNAL","")</f>
        <v>RAPPORT JOURNAL</v>
      </c>
      <c r="B102" s="218" t="s">
        <v>208</v>
      </c>
      <c r="C102" s="170" t="s">
        <v>75</v>
      </c>
      <c r="D102" s="35">
        <f>SUMIF(entrant!$E$4:$E$2059,'Inventaire des produits'!B102,entrant!$G$4:$G$2059)</f>
        <v>4</v>
      </c>
      <c r="E102" s="35">
        <f>SUMIF(vente!$E$4:$E$2190,'Inventaire des produits'!B102,vente!$G$4:$G$2190)</f>
        <v>4</v>
      </c>
      <c r="F102" s="36">
        <f t="shared" si="3"/>
        <v>0</v>
      </c>
      <c r="G102" s="176">
        <v>59.008333333300001</v>
      </c>
      <c r="H102" s="182"/>
      <c r="I102" s="37">
        <f t="shared" si="4"/>
        <v>59.008333333300001</v>
      </c>
      <c r="J102" s="38">
        <f t="shared" si="5"/>
        <v>0</v>
      </c>
      <c r="K102" s="315"/>
      <c r="L102" s="145"/>
    </row>
    <row r="103" spans="1:12" ht="20.100000000000001" customHeight="1" thickBot="1" x14ac:dyDescent="0.4">
      <c r="A103" s="144" t="str">
        <f>IF(B103=IFERROR(VLOOKUP(B103,entrant!$E$4:$J$188,1,FALSE),"THERE WAS AN ERROR"),"RAPPORT JOURNAL","")</f>
        <v>RAPPORT JOURNAL</v>
      </c>
      <c r="B103" s="218" t="s">
        <v>209</v>
      </c>
      <c r="C103" s="170" t="s">
        <v>288</v>
      </c>
      <c r="D103" s="35">
        <f>SUMIF(entrant!$E$4:$E$2059,'Inventaire des produits'!B103,entrant!$G$4:$G$2059)</f>
        <v>16000</v>
      </c>
      <c r="E103" s="35">
        <f>SUMIF(vente!$E$4:$E$2190,'Inventaire des produits'!B103,vente!$G$4:$G$2190)</f>
        <v>16000</v>
      </c>
      <c r="F103" s="36">
        <f t="shared" si="3"/>
        <v>0</v>
      </c>
      <c r="G103" s="176">
        <v>0.416875</v>
      </c>
      <c r="H103" s="182"/>
      <c r="I103" s="37">
        <f t="shared" si="4"/>
        <v>0.416875</v>
      </c>
      <c r="J103" s="38">
        <f t="shared" si="5"/>
        <v>0</v>
      </c>
      <c r="K103" s="315"/>
      <c r="L103" s="145"/>
    </row>
    <row r="104" spans="1:12" ht="20.100000000000001" customHeight="1" thickBot="1" x14ac:dyDescent="0.4">
      <c r="A104" s="144" t="str">
        <f>IF(B104=IFERROR(VLOOKUP(B104,entrant!$E$4:$J$188,1,FALSE),"THERE WAS AN ERROR"),"RAPPORT JOURNAL","")</f>
        <v>RAPPORT JOURNAL</v>
      </c>
      <c r="B104" s="218" t="s">
        <v>210</v>
      </c>
      <c r="C104" s="170" t="s">
        <v>65</v>
      </c>
      <c r="D104" s="35">
        <f>SUMIF(entrant!$E$4:$E$2059,'Inventaire des produits'!B104,entrant!$G$4:$G$2059)</f>
        <v>66250</v>
      </c>
      <c r="E104" s="35">
        <f>SUMIF(vente!$E$4:$E$2190,'Inventaire des produits'!B104,vente!$G$4:$G$2190)</f>
        <v>66250</v>
      </c>
      <c r="F104" s="36">
        <f t="shared" si="3"/>
        <v>0</v>
      </c>
      <c r="G104" s="176">
        <v>0.1512</v>
      </c>
      <c r="H104" s="182"/>
      <c r="I104" s="37">
        <f t="shared" si="4"/>
        <v>0.1512</v>
      </c>
      <c r="J104" s="38">
        <f t="shared" si="5"/>
        <v>0</v>
      </c>
      <c r="K104" s="315"/>
      <c r="L104" s="145"/>
    </row>
    <row r="105" spans="1:12" ht="20.100000000000001" customHeight="1" thickBot="1" x14ac:dyDescent="0.4">
      <c r="A105" s="144" t="str">
        <f>IF(B105=IFERROR(VLOOKUP(B105,entrant!$E$4:$J$188,1,FALSE),"THERE WAS AN ERROR"),"RAPPORT JOURNAL","")</f>
        <v>RAPPORT JOURNAL</v>
      </c>
      <c r="B105" s="218" t="s">
        <v>211</v>
      </c>
      <c r="C105" s="170" t="s">
        <v>110</v>
      </c>
      <c r="D105" s="35">
        <f>SUMIF(entrant!$E$4:$E$2059,'Inventaire des produits'!B105,entrant!$G$4:$G$2059)</f>
        <v>8</v>
      </c>
      <c r="E105" s="35">
        <f>SUMIF(vente!$E$4:$E$2190,'Inventaire des produits'!B105,vente!$G$4:$G$2190)</f>
        <v>8</v>
      </c>
      <c r="F105" s="36">
        <f t="shared" si="3"/>
        <v>0</v>
      </c>
      <c r="G105" s="176">
        <v>35</v>
      </c>
      <c r="H105" s="182"/>
      <c r="I105" s="37">
        <f t="shared" si="4"/>
        <v>35</v>
      </c>
      <c r="J105" s="38">
        <f t="shared" si="5"/>
        <v>0</v>
      </c>
      <c r="K105" s="315"/>
      <c r="L105" s="145"/>
    </row>
    <row r="106" spans="1:12" ht="20.100000000000001" customHeight="1" thickBot="1" x14ac:dyDescent="0.4">
      <c r="A106" s="144" t="str">
        <f>IF(B106=IFERROR(VLOOKUP(B106,entrant!$E$4:$J$188,1,FALSE),"THERE WAS AN ERROR"),"RAPPORT JOURNAL","")</f>
        <v>RAPPORT JOURNAL</v>
      </c>
      <c r="B106" s="218" t="s">
        <v>212</v>
      </c>
      <c r="C106" s="170" t="s">
        <v>167</v>
      </c>
      <c r="D106" s="35">
        <f>SUMIF(entrant!$E$4:$E$2059,'Inventaire des produits'!B106,entrant!$G$4:$G$2059)</f>
        <v>100</v>
      </c>
      <c r="E106" s="35">
        <f>SUMIF(vente!$E$4:$E$2190,'Inventaire des produits'!B106,vente!$G$4:$G$2190)</f>
        <v>100</v>
      </c>
      <c r="F106" s="36">
        <f t="shared" si="3"/>
        <v>0</v>
      </c>
      <c r="G106" s="176">
        <v>26.6</v>
      </c>
      <c r="H106" s="182"/>
      <c r="I106" s="37">
        <f t="shared" si="4"/>
        <v>26.6</v>
      </c>
      <c r="J106" s="38">
        <f t="shared" si="5"/>
        <v>0</v>
      </c>
      <c r="K106" s="315"/>
      <c r="L106" s="145"/>
    </row>
    <row r="107" spans="1:12" ht="20.100000000000001" customHeight="1" thickBot="1" x14ac:dyDescent="0.4">
      <c r="A107" s="144" t="str">
        <f>IF(B107=IFERROR(VLOOKUP(B107,entrant!$E$4:$J$188,1,FALSE),"THERE WAS AN ERROR"),"RAPPORT JOURNAL","")</f>
        <v>RAPPORT JOURNAL</v>
      </c>
      <c r="B107" s="218" t="s">
        <v>215</v>
      </c>
      <c r="C107" s="170" t="s">
        <v>213</v>
      </c>
      <c r="D107" s="35">
        <f>SUMIF(entrant!$E$4:$E$2059,'Inventaire des produits'!B107,entrant!$G$4:$G$2059)</f>
        <v>1500</v>
      </c>
      <c r="E107" s="35">
        <f>SUMIF(vente!$E$4:$E$2190,'Inventaire des produits'!B107,vente!$G$4:$G$2190)</f>
        <v>1500</v>
      </c>
      <c r="F107" s="36">
        <f t="shared" si="3"/>
        <v>0</v>
      </c>
      <c r="G107" s="176">
        <v>0.91666666669999997</v>
      </c>
      <c r="H107" s="182"/>
      <c r="I107" s="37">
        <f t="shared" si="4"/>
        <v>0.91666666669999997</v>
      </c>
      <c r="J107" s="38">
        <f t="shared" si="5"/>
        <v>0</v>
      </c>
      <c r="K107" s="315"/>
      <c r="L107" s="145"/>
    </row>
    <row r="108" spans="1:12" ht="20.100000000000001" customHeight="1" thickBot="1" x14ac:dyDescent="0.4">
      <c r="A108" s="144" t="str">
        <f>IF(B108=IFERROR(VLOOKUP(B108,entrant!$E$4:$J$188,1,FALSE),"THERE WAS AN ERROR"),"RAPPORT JOURNAL","")</f>
        <v>RAPPORT JOURNAL</v>
      </c>
      <c r="B108" s="218" t="s">
        <v>214</v>
      </c>
      <c r="C108" s="170" t="s">
        <v>78</v>
      </c>
      <c r="D108" s="35">
        <f>SUMIF(entrant!$E$4:$E$2059,'Inventaire des produits'!B108,entrant!$G$4:$G$2059)</f>
        <v>1200</v>
      </c>
      <c r="E108" s="35">
        <f>SUMIF(vente!$E$4:$E$2190,'Inventaire des produits'!B108,vente!$G$4:$G$2190)</f>
        <v>1200</v>
      </c>
      <c r="F108" s="36">
        <f t="shared" si="3"/>
        <v>0</v>
      </c>
      <c r="G108" s="176">
        <v>0.95833333330000003</v>
      </c>
      <c r="H108" s="182"/>
      <c r="I108" s="37">
        <f t="shared" si="4"/>
        <v>0.95833333330000003</v>
      </c>
      <c r="J108" s="38">
        <f t="shared" si="5"/>
        <v>0</v>
      </c>
      <c r="K108" s="315"/>
      <c r="L108" s="145"/>
    </row>
    <row r="109" spans="1:12" ht="20.100000000000001" customHeight="1" thickBot="1" x14ac:dyDescent="0.4">
      <c r="A109" s="144" t="str">
        <f>IF(B109=IFERROR(VLOOKUP(B109,entrant!$E$4:$J$188,1,FALSE),"THERE WAS AN ERROR"),"RAPPORT JOURNAL","")</f>
        <v>RAPPORT JOURNAL</v>
      </c>
      <c r="B109" s="218" t="s">
        <v>217</v>
      </c>
      <c r="C109" s="170" t="s">
        <v>216</v>
      </c>
      <c r="D109" s="35">
        <f>SUMIF(entrant!$E$4:$E$2059,'Inventaire des produits'!B109,entrant!$G$4:$G$2059)</f>
        <v>15000</v>
      </c>
      <c r="E109" s="35">
        <f>SUMIF(vente!$E$4:$E$2190,'Inventaire des produits'!B109,vente!$G$4:$G$2190)</f>
        <v>15000</v>
      </c>
      <c r="F109" s="36">
        <f t="shared" si="3"/>
        <v>0</v>
      </c>
      <c r="G109" s="176">
        <v>0.55417000000000005</v>
      </c>
      <c r="H109" s="182"/>
      <c r="I109" s="37">
        <f t="shared" si="4"/>
        <v>0.55417000000000005</v>
      </c>
      <c r="J109" s="38">
        <f t="shared" si="5"/>
        <v>0</v>
      </c>
      <c r="K109" s="315"/>
      <c r="L109" s="145"/>
    </row>
    <row r="110" spans="1:12" ht="20.100000000000001" customHeight="1" thickBot="1" x14ac:dyDescent="0.4">
      <c r="A110" s="144" t="str">
        <f>IF(B110=IFERROR(VLOOKUP(B110,entrant!$E$4:$J$188,1,FALSE),"THERE WAS AN ERROR"),"RAPPORT JOURNAL","")</f>
        <v>RAPPORT JOURNAL</v>
      </c>
      <c r="B110" s="218" t="s">
        <v>222</v>
      </c>
      <c r="C110" s="170" t="s">
        <v>223</v>
      </c>
      <c r="D110" s="35">
        <f>SUMIF(entrant!$E$4:$E$2059,'Inventaire des produits'!B110,entrant!$G$4:$G$2059)</f>
        <v>1045</v>
      </c>
      <c r="E110" s="35">
        <f>SUMIF(vente!$E$4:$E$2190,'Inventaire des produits'!B110,vente!$G$4:$G$2190)</f>
        <v>1045</v>
      </c>
      <c r="F110" s="36">
        <f t="shared" si="3"/>
        <v>0</v>
      </c>
      <c r="G110" s="176">
        <v>20</v>
      </c>
      <c r="H110" s="182"/>
      <c r="I110" s="37">
        <f t="shared" si="4"/>
        <v>20</v>
      </c>
      <c r="J110" s="38">
        <f t="shared" si="5"/>
        <v>0</v>
      </c>
      <c r="K110" s="315"/>
      <c r="L110" s="145"/>
    </row>
    <row r="111" spans="1:12" ht="20.100000000000001" customHeight="1" thickBot="1" x14ac:dyDescent="0.4">
      <c r="A111" s="144" t="str">
        <f>IF(B111=IFERROR(VLOOKUP(B111,entrant!$E$4:$J$188,1,FALSE),"THERE WAS AN ERROR"),"RAPPORT JOURNAL","")</f>
        <v>RAPPORT JOURNAL</v>
      </c>
      <c r="B111" s="218" t="s">
        <v>219</v>
      </c>
      <c r="C111" s="170" t="s">
        <v>218</v>
      </c>
      <c r="D111" s="35">
        <f>SUMIF(entrant!$E$4:$E$2059,'Inventaire des produits'!B111,entrant!$G$4:$G$2059)</f>
        <v>400</v>
      </c>
      <c r="E111" s="35">
        <f>SUMIF(vente!$E$4:$E$2190,'Inventaire des produits'!B111,vente!$G$4:$G$2190)</f>
        <v>400</v>
      </c>
      <c r="F111" s="36">
        <f t="shared" si="3"/>
        <v>0</v>
      </c>
      <c r="G111" s="176">
        <v>0.67</v>
      </c>
      <c r="H111" s="182"/>
      <c r="I111" s="37">
        <f t="shared" si="4"/>
        <v>0.67</v>
      </c>
      <c r="J111" s="38">
        <f t="shared" si="5"/>
        <v>0</v>
      </c>
      <c r="K111" s="315"/>
      <c r="L111" s="145"/>
    </row>
    <row r="112" spans="1:12" ht="20.100000000000001" customHeight="1" thickBot="1" x14ac:dyDescent="0.4">
      <c r="A112" s="144" t="str">
        <f>IF(B112=IFERROR(VLOOKUP(B112,entrant!$E$4:$J$188,1,FALSE),"THERE WAS AN ERROR"),"RAPPORT JOURNAL","")</f>
        <v>RAPPORT JOURNAL</v>
      </c>
      <c r="B112" s="218">
        <v>83820</v>
      </c>
      <c r="C112" s="170" t="s">
        <v>103</v>
      </c>
      <c r="D112" s="35">
        <f>SUMIF(entrant!$E$4:$E$2059,'Inventaire des produits'!B112,entrant!$G$4:$G$2059)</f>
        <v>600</v>
      </c>
      <c r="E112" s="35">
        <f>SUMIF(vente!$E$4:$E$2190,'Inventaire des produits'!B112,vente!$G$4:$G$2190)</f>
        <v>600</v>
      </c>
      <c r="F112" s="36">
        <f t="shared" si="3"/>
        <v>0</v>
      </c>
      <c r="G112" s="176">
        <v>0.83</v>
      </c>
      <c r="H112" s="182"/>
      <c r="I112" s="37">
        <f t="shared" si="4"/>
        <v>0.83</v>
      </c>
      <c r="J112" s="38">
        <f t="shared" si="5"/>
        <v>0</v>
      </c>
      <c r="K112" s="315"/>
      <c r="L112" s="145"/>
    </row>
    <row r="113" spans="1:12" ht="20.100000000000001" customHeight="1" thickBot="1" x14ac:dyDescent="0.4">
      <c r="A113" s="144" t="str">
        <f>IF(B113=IFERROR(VLOOKUP(B113,entrant!$E$4:$J$188,1,FALSE),"THERE WAS AN ERROR"),"RAPPORT JOURNAL","")</f>
        <v>RAPPORT JOURNAL</v>
      </c>
      <c r="B113" s="218" t="s">
        <v>220</v>
      </c>
      <c r="C113" s="170" t="s">
        <v>221</v>
      </c>
      <c r="D113" s="35">
        <f>SUMIF(entrant!$E$4:$E$2059,'Inventaire des produits'!B113,entrant!$G$4:$G$2059)</f>
        <v>400</v>
      </c>
      <c r="E113" s="35">
        <f>SUMIF(vente!$E$4:$E$2190,'Inventaire des produits'!B113,vente!$G$4:$G$2190)</f>
        <v>400</v>
      </c>
      <c r="F113" s="36">
        <f t="shared" si="3"/>
        <v>0</v>
      </c>
      <c r="G113" s="176">
        <v>0.75</v>
      </c>
      <c r="H113" s="182"/>
      <c r="I113" s="37">
        <f t="shared" si="4"/>
        <v>0.75</v>
      </c>
      <c r="J113" s="38">
        <f t="shared" si="5"/>
        <v>0</v>
      </c>
      <c r="K113" s="315"/>
      <c r="L113" s="145"/>
    </row>
    <row r="114" spans="1:12" ht="20.100000000000001" customHeight="1" thickBot="1" x14ac:dyDescent="0.4">
      <c r="A114" s="144" t="str">
        <f>IF(B114=IFERROR(VLOOKUP(B114,entrant!$E$4:$J$188,1,FALSE),"THERE WAS AN ERROR"),"RAPPORT JOURNAL","")</f>
        <v>RAPPORT JOURNAL</v>
      </c>
      <c r="B114" s="218" t="s">
        <v>224</v>
      </c>
      <c r="C114" s="170" t="s">
        <v>225</v>
      </c>
      <c r="D114" s="35">
        <f>SUMIF(entrant!$E$4:$E$2059,'Inventaire des produits'!B114,entrant!$G$4:$G$2059)</f>
        <v>460</v>
      </c>
      <c r="E114" s="35">
        <f>SUMIF(vente!$E$4:$E$2190,'Inventaire des produits'!B114,vente!$G$4:$G$2190)</f>
        <v>460</v>
      </c>
      <c r="F114" s="36">
        <f t="shared" si="3"/>
        <v>0</v>
      </c>
      <c r="G114" s="176">
        <v>14.382</v>
      </c>
      <c r="H114" s="182"/>
      <c r="I114" s="37">
        <f t="shared" si="4"/>
        <v>14.382</v>
      </c>
      <c r="J114" s="38">
        <f t="shared" si="5"/>
        <v>0</v>
      </c>
      <c r="K114" s="315"/>
      <c r="L114" s="145"/>
    </row>
    <row r="115" spans="1:12" ht="20.100000000000001" customHeight="1" thickBot="1" x14ac:dyDescent="0.4">
      <c r="A115" s="144" t="str">
        <f>IF(B115=IFERROR(VLOOKUP(B115,entrant!$E$4:$J$188,1,FALSE),"THERE WAS AN ERROR"),"RAPPORT JOURNAL","")</f>
        <v>RAPPORT JOURNAL</v>
      </c>
      <c r="B115" s="218" t="s">
        <v>226</v>
      </c>
      <c r="C115" s="170" t="s">
        <v>227</v>
      </c>
      <c r="D115" s="35">
        <f>SUMIF(entrant!$E$4:$E$2059,'Inventaire des produits'!B115,entrant!$G$4:$G$2059)</f>
        <v>200</v>
      </c>
      <c r="E115" s="35">
        <f>SUMIF(vente!$E$4:$E$2190,'Inventaire des produits'!B115,vente!$G$4:$G$2190)</f>
        <v>200</v>
      </c>
      <c r="F115" s="36">
        <f t="shared" si="3"/>
        <v>0</v>
      </c>
      <c r="G115" s="176">
        <v>14.4</v>
      </c>
      <c r="H115" s="182"/>
      <c r="I115" s="37">
        <f t="shared" si="4"/>
        <v>14.4</v>
      </c>
      <c r="J115" s="38">
        <f t="shared" si="5"/>
        <v>0</v>
      </c>
      <c r="K115" s="315"/>
      <c r="L115" s="145"/>
    </row>
    <row r="116" spans="1:12" ht="20.100000000000001" customHeight="1" thickBot="1" x14ac:dyDescent="0.4">
      <c r="A116" s="144" t="str">
        <f>IF(B116=IFERROR(VLOOKUP(B116,entrant!$E$4:$J$188,1,FALSE),"THERE WAS AN ERROR"),"RAPPORT JOURNAL","")</f>
        <v>RAPPORT JOURNAL</v>
      </c>
      <c r="B116" s="218" t="s">
        <v>228</v>
      </c>
      <c r="C116" s="170" t="s">
        <v>50</v>
      </c>
      <c r="D116" s="35">
        <f>SUMIF(entrant!$E$4:$E$2059,'Inventaire des produits'!B116,entrant!$G$4:$G$2059)</f>
        <v>9000</v>
      </c>
      <c r="E116" s="35">
        <f>SUMIF(vente!$E$4:$E$2190,'Inventaire des produits'!B116,vente!$G$4:$G$2190)</f>
        <v>9000</v>
      </c>
      <c r="F116" s="36">
        <f t="shared" si="3"/>
        <v>0</v>
      </c>
      <c r="G116" s="176">
        <v>0.72499999999999998</v>
      </c>
      <c r="H116" s="182"/>
      <c r="I116" s="37">
        <f t="shared" si="4"/>
        <v>0.72499999999999998</v>
      </c>
      <c r="J116" s="38">
        <f t="shared" si="5"/>
        <v>0</v>
      </c>
      <c r="K116" s="315"/>
      <c r="L116" s="145"/>
    </row>
    <row r="117" spans="1:12" ht="20.100000000000001" customHeight="1" thickBot="1" x14ac:dyDescent="0.4">
      <c r="A117" s="144" t="str">
        <f>IF(B117=IFERROR(VLOOKUP(B117,entrant!$E$4:$J$188,1,FALSE),"THERE WAS AN ERROR"),"RAPPORT JOURNAL","")</f>
        <v>RAPPORT JOURNAL</v>
      </c>
      <c r="B117" s="218" t="s">
        <v>229</v>
      </c>
      <c r="C117" s="170" t="s">
        <v>54</v>
      </c>
      <c r="D117" s="35">
        <f>SUMIF(entrant!$E$4:$E$2059,'Inventaire des produits'!B117,entrant!$G$4:$G$2059)</f>
        <v>2</v>
      </c>
      <c r="E117" s="35">
        <f>SUMIF(vente!$E$4:$E$2190,'Inventaire des produits'!B117,vente!$G$4:$G$2190)</f>
        <v>2</v>
      </c>
      <c r="F117" s="36">
        <f t="shared" si="3"/>
        <v>0</v>
      </c>
      <c r="G117" s="176">
        <v>500</v>
      </c>
      <c r="H117" s="182"/>
      <c r="I117" s="37">
        <f t="shared" si="4"/>
        <v>500</v>
      </c>
      <c r="J117" s="38">
        <f t="shared" si="5"/>
        <v>0</v>
      </c>
      <c r="K117" s="315"/>
      <c r="L117" s="145"/>
    </row>
    <row r="118" spans="1:12" ht="20.100000000000001" customHeight="1" thickBot="1" x14ac:dyDescent="0.4">
      <c r="A118" s="144" t="str">
        <f>IF(B118=IFERROR(VLOOKUP(B118,entrant!$E$4:$J$188,1,FALSE),"THERE WAS AN ERROR"),"RAPPORT JOURNAL","")</f>
        <v>RAPPORT JOURNAL</v>
      </c>
      <c r="B118" s="218" t="s">
        <v>235</v>
      </c>
      <c r="C118" s="170" t="s">
        <v>65</v>
      </c>
      <c r="D118" s="35">
        <f>SUMIF(entrant!$E$4:$E$2059,'Inventaire des produits'!B118,entrant!$G$4:$G$2059)</f>
        <v>130800</v>
      </c>
      <c r="E118" s="35">
        <f>SUMIF(vente!$E$4:$E$2190,'Inventaire des produits'!B118,vente!$G$4:$G$2190)</f>
        <v>130800</v>
      </c>
      <c r="F118" s="36">
        <f t="shared" si="3"/>
        <v>0</v>
      </c>
      <c r="G118" s="176">
        <v>0.15609999999999999</v>
      </c>
      <c r="H118" s="182"/>
      <c r="I118" s="37">
        <f t="shared" si="4"/>
        <v>0.15609999999999999</v>
      </c>
      <c r="J118" s="38">
        <f t="shared" si="5"/>
        <v>0</v>
      </c>
      <c r="K118" s="315"/>
      <c r="L118" s="145"/>
    </row>
    <row r="119" spans="1:12" ht="20.100000000000001" customHeight="1" thickBot="1" x14ac:dyDescent="0.4">
      <c r="A119" s="144" t="str">
        <f>IF(B119=IFERROR(VLOOKUP(B119,entrant!$E$4:$J$188,1,FALSE),"THERE WAS AN ERROR"),"RAPPORT JOURNAL","")</f>
        <v>RAPPORT JOURNAL</v>
      </c>
      <c r="B119" s="218" t="s">
        <v>230</v>
      </c>
      <c r="C119" s="170" t="s">
        <v>54</v>
      </c>
      <c r="D119" s="35">
        <f>SUMIF(entrant!$E$4:$E$2059,'Inventaire des produits'!B119,entrant!$G$4:$G$2059)</f>
        <v>1</v>
      </c>
      <c r="E119" s="35">
        <f>SUMIF(vente!$E$4:$E$2190,'Inventaire des produits'!B119,vente!$G$4:$G$2190)</f>
        <v>1</v>
      </c>
      <c r="F119" s="36">
        <f t="shared" si="3"/>
        <v>0</v>
      </c>
      <c r="G119" s="176">
        <v>500</v>
      </c>
      <c r="H119" s="182"/>
      <c r="I119" s="37">
        <f t="shared" si="4"/>
        <v>500</v>
      </c>
      <c r="J119" s="38">
        <f t="shared" si="5"/>
        <v>0</v>
      </c>
      <c r="K119" s="315"/>
      <c r="L119" s="145"/>
    </row>
    <row r="120" spans="1:12" ht="20.100000000000001" customHeight="1" thickBot="1" x14ac:dyDescent="0.4">
      <c r="A120" s="144" t="str">
        <f>IF(B120=IFERROR(VLOOKUP(B120,entrant!$E$4:$J$188,1,FALSE),"THERE WAS AN ERROR"),"RAPPORT JOURNAL","")</f>
        <v>RAPPORT JOURNAL</v>
      </c>
      <c r="B120" s="218" t="s">
        <v>232</v>
      </c>
      <c r="C120" s="170" t="s">
        <v>231</v>
      </c>
      <c r="D120" s="35">
        <f>SUMIF(entrant!$E$4:$E$2059,'Inventaire des produits'!B120,entrant!$G$4:$G$2059)</f>
        <v>59</v>
      </c>
      <c r="E120" s="35">
        <f>SUMIF(vente!$E$4:$E$2190,'Inventaire des produits'!B120,vente!$G$4:$G$2190)</f>
        <v>59</v>
      </c>
      <c r="F120" s="36">
        <f t="shared" si="3"/>
        <v>0</v>
      </c>
      <c r="G120" s="176">
        <v>17.5</v>
      </c>
      <c r="H120" s="182"/>
      <c r="I120" s="37">
        <f t="shared" si="4"/>
        <v>17.5</v>
      </c>
      <c r="J120" s="38">
        <f t="shared" si="5"/>
        <v>0</v>
      </c>
      <c r="K120" s="315"/>
      <c r="L120" s="145"/>
    </row>
    <row r="121" spans="1:12" ht="20.100000000000001" customHeight="1" thickBot="1" x14ac:dyDescent="0.4">
      <c r="A121" s="144" t="str">
        <f>IF(B121=IFERROR(VLOOKUP(B121,entrant!$E$4:$J$188,1,FALSE),"THERE WAS AN ERROR"),"RAPPORT JOURNAL","")</f>
        <v>RAPPORT JOURNAL</v>
      </c>
      <c r="B121" s="218" t="s">
        <v>233</v>
      </c>
      <c r="C121" s="170" t="s">
        <v>234</v>
      </c>
      <c r="D121" s="35">
        <f>SUMIF(entrant!$E$4:$E$2059,'Inventaire des produits'!B121,entrant!$G$4:$G$2059)</f>
        <v>288</v>
      </c>
      <c r="E121" s="35">
        <f>SUMIF(vente!$E$4:$E$2190,'Inventaire des produits'!B121,vente!$G$4:$G$2190)</f>
        <v>288</v>
      </c>
      <c r="F121" s="36">
        <f t="shared" si="3"/>
        <v>0</v>
      </c>
      <c r="G121" s="176">
        <v>6.6666999999999996</v>
      </c>
      <c r="H121" s="182"/>
      <c r="I121" s="37">
        <f t="shared" si="4"/>
        <v>6.6666999999999996</v>
      </c>
      <c r="J121" s="38">
        <f t="shared" si="5"/>
        <v>0</v>
      </c>
      <c r="K121" s="315"/>
      <c r="L121" s="145"/>
    </row>
    <row r="122" spans="1:12" ht="20.100000000000001" customHeight="1" thickBot="1" x14ac:dyDescent="0.4">
      <c r="A122" s="144" t="str">
        <f>IF(B122=IFERROR(VLOOKUP(B122,entrant!$E$4:$J$188,1,FALSE),"THERE WAS AN ERROR"),"RAPPORT JOURNAL","")</f>
        <v>RAPPORT JOURNAL</v>
      </c>
      <c r="B122" s="218" t="s">
        <v>236</v>
      </c>
      <c r="C122" s="170" t="s">
        <v>21</v>
      </c>
      <c r="D122" s="35">
        <f>SUMIF(entrant!$E$4:$E$2059,'Inventaire des produits'!B122,entrant!$G$4:$G$2059)</f>
        <v>8300</v>
      </c>
      <c r="E122" s="35">
        <f>SUMIF(vente!$E$4:$E$2190,'Inventaire des produits'!B122,vente!$G$4:$G$2190)</f>
        <v>8300</v>
      </c>
      <c r="F122" s="36">
        <f t="shared" si="3"/>
        <v>0</v>
      </c>
      <c r="G122" s="176">
        <v>0.91666666669999997</v>
      </c>
      <c r="H122" s="182"/>
      <c r="I122" s="37">
        <f t="shared" si="4"/>
        <v>0.91666666669999997</v>
      </c>
      <c r="J122" s="38">
        <f t="shared" si="5"/>
        <v>0</v>
      </c>
      <c r="K122" s="315"/>
      <c r="L122" s="145"/>
    </row>
    <row r="123" spans="1:12" ht="20.100000000000001" customHeight="1" thickBot="1" x14ac:dyDescent="0.4">
      <c r="A123" s="144" t="str">
        <f>IF(B123=IFERROR(VLOOKUP(B123,entrant!$E$4:$J$188,1,FALSE),"THERE WAS AN ERROR"),"RAPPORT JOURNAL","")</f>
        <v>RAPPORT JOURNAL</v>
      </c>
      <c r="B123" s="218" t="s">
        <v>237</v>
      </c>
      <c r="C123" s="170" t="s">
        <v>35</v>
      </c>
      <c r="D123" s="35">
        <f>SUMIF(entrant!$E$4:$E$2059,'Inventaire des produits'!B123,entrant!$G$4:$G$2059)</f>
        <v>1</v>
      </c>
      <c r="E123" s="35">
        <f>SUMIF(vente!$E$4:$E$2190,'Inventaire des produits'!B123,vente!$G$4:$G$2190)</f>
        <v>1</v>
      </c>
      <c r="F123" s="36">
        <f t="shared" si="3"/>
        <v>0</v>
      </c>
      <c r="G123" s="176">
        <v>60</v>
      </c>
      <c r="H123" s="182"/>
      <c r="I123" s="37">
        <f t="shared" si="4"/>
        <v>60</v>
      </c>
      <c r="J123" s="38">
        <f t="shared" si="5"/>
        <v>0</v>
      </c>
      <c r="K123" s="315"/>
      <c r="L123" s="145"/>
    </row>
    <row r="124" spans="1:12" ht="20.100000000000001" customHeight="1" thickBot="1" x14ac:dyDescent="0.4">
      <c r="A124" s="144" t="str">
        <f>IF(B124=IFERROR(VLOOKUP(B124,entrant!$E$4:$J$188,1,FALSE),"THERE WAS AN ERROR"),"RAPPORT JOURNAL","")</f>
        <v>RAPPORT JOURNAL</v>
      </c>
      <c r="B124" s="218" t="s">
        <v>239</v>
      </c>
      <c r="C124" s="170" t="s">
        <v>238</v>
      </c>
      <c r="D124" s="35">
        <f>SUMIF(entrant!$E$4:$E$2059,'Inventaire des produits'!B124,entrant!$G$4:$G$2059)</f>
        <v>400</v>
      </c>
      <c r="E124" s="35">
        <f>SUMIF(vente!$E$4:$E$2190,'Inventaire des produits'!B124,vente!$G$4:$G$2190)</f>
        <v>400</v>
      </c>
      <c r="F124" s="36">
        <f t="shared" si="3"/>
        <v>0</v>
      </c>
      <c r="G124" s="176">
        <v>3.5</v>
      </c>
      <c r="H124" s="182"/>
      <c r="I124" s="37">
        <f t="shared" si="4"/>
        <v>3.5</v>
      </c>
      <c r="J124" s="38">
        <f t="shared" si="5"/>
        <v>0</v>
      </c>
      <c r="K124" s="315"/>
      <c r="L124" s="145"/>
    </row>
    <row r="125" spans="1:12" ht="20.100000000000001" customHeight="1" thickBot="1" x14ac:dyDescent="0.4">
      <c r="A125" s="144" t="str">
        <f>IF(B125=IFERROR(VLOOKUP(B125,entrant!$E$4:$J$188,1,FALSE),"THERE WAS AN ERROR"),"RAPPORT JOURNAL","")</f>
        <v>RAPPORT JOURNAL</v>
      </c>
      <c r="B125" s="218" t="s">
        <v>240</v>
      </c>
      <c r="C125" s="170" t="s">
        <v>104</v>
      </c>
      <c r="D125" s="35">
        <f>SUMIF(entrant!$E$4:$E$2059,'Inventaire des produits'!B125,entrant!$G$4:$G$2059)</f>
        <v>6900</v>
      </c>
      <c r="E125" s="35">
        <f>SUMIF(vente!$E$4:$E$2190,'Inventaire des produits'!B125,vente!$G$4:$G$2190)</f>
        <v>6900</v>
      </c>
      <c r="F125" s="36">
        <f t="shared" si="3"/>
        <v>0</v>
      </c>
      <c r="G125" s="176">
        <v>0.32</v>
      </c>
      <c r="H125" s="182"/>
      <c r="I125" s="37">
        <f t="shared" si="4"/>
        <v>0.32</v>
      </c>
      <c r="J125" s="38">
        <f t="shared" si="5"/>
        <v>0</v>
      </c>
      <c r="K125" s="315"/>
      <c r="L125" s="145"/>
    </row>
    <row r="126" spans="1:12" ht="20.100000000000001" customHeight="1" thickBot="1" x14ac:dyDescent="0.4">
      <c r="A126" s="144" t="str">
        <f>IF(B126=IFERROR(VLOOKUP(B126,entrant!$E$4:$J$188,1,FALSE),"THERE WAS AN ERROR"),"RAPPORT JOURNAL","")</f>
        <v>RAPPORT JOURNAL</v>
      </c>
      <c r="B126" s="218" t="s">
        <v>242</v>
      </c>
      <c r="C126" s="170" t="s">
        <v>241</v>
      </c>
      <c r="D126" s="35">
        <f>SUMIF(entrant!$E$4:$E$2059,'Inventaire des produits'!B126,entrant!$G$4:$G$2059)</f>
        <v>200</v>
      </c>
      <c r="E126" s="35">
        <f>SUMIF(vente!$E$4:$E$2190,'Inventaire des produits'!B126,vente!$G$4:$G$2190)</f>
        <v>200</v>
      </c>
      <c r="F126" s="36">
        <f t="shared" si="3"/>
        <v>0</v>
      </c>
      <c r="G126" s="176">
        <v>11</v>
      </c>
      <c r="H126" s="182"/>
      <c r="I126" s="37">
        <f t="shared" si="4"/>
        <v>11</v>
      </c>
      <c r="J126" s="38">
        <f t="shared" si="5"/>
        <v>0</v>
      </c>
      <c r="K126" s="315"/>
      <c r="L126" s="145"/>
    </row>
    <row r="127" spans="1:12" ht="20.100000000000001" customHeight="1" thickBot="1" x14ac:dyDescent="0.4">
      <c r="A127" s="144" t="str">
        <f>IF(B127=IFERROR(VLOOKUP(B127,entrant!$E$4:$J$188,1,FALSE),"THERE WAS AN ERROR"),"RAPPORT JOURNAL","")</f>
        <v>RAPPORT JOURNAL</v>
      </c>
      <c r="B127" s="218" t="s">
        <v>243</v>
      </c>
      <c r="C127" s="170" t="s">
        <v>39</v>
      </c>
      <c r="D127" s="35">
        <f>SUMIF(entrant!$E$4:$E$2059,'Inventaire des produits'!B127,entrant!$G$4:$G$2059)</f>
        <v>1000</v>
      </c>
      <c r="E127" s="35">
        <f>SUMIF(vente!$E$4:$E$2190,'Inventaire des produits'!B127,vente!$G$4:$G$2190)</f>
        <v>1000</v>
      </c>
      <c r="F127" s="36">
        <f t="shared" si="3"/>
        <v>0</v>
      </c>
      <c r="G127" s="176">
        <v>0.26600000000000001</v>
      </c>
      <c r="H127" s="182"/>
      <c r="I127" s="37">
        <f t="shared" si="4"/>
        <v>0.26600000000000001</v>
      </c>
      <c r="J127" s="38">
        <f t="shared" si="5"/>
        <v>0</v>
      </c>
      <c r="K127" s="315"/>
      <c r="L127" s="145"/>
    </row>
    <row r="128" spans="1:12" ht="20.100000000000001" customHeight="1" thickBot="1" x14ac:dyDescent="0.4">
      <c r="A128" s="144" t="str">
        <f>IF(B128=IFERROR(VLOOKUP(B128,entrant!$E$4:$J$188,1,FALSE),"THERE WAS AN ERROR"),"RAPPORT JOURNAL","")</f>
        <v>RAPPORT JOURNAL</v>
      </c>
      <c r="B128" s="218" t="s">
        <v>244</v>
      </c>
      <c r="C128" s="170" t="s">
        <v>45</v>
      </c>
      <c r="D128" s="35">
        <f>SUMIF(entrant!$E$4:$E$2059,'Inventaire des produits'!B128,entrant!$G$4:$G$2059)</f>
        <v>3</v>
      </c>
      <c r="E128" s="35">
        <f>SUMIF(vente!$E$4:$E$2190,'Inventaire des produits'!B128,vente!$G$4:$G$2190)</f>
        <v>3</v>
      </c>
      <c r="F128" s="36">
        <f t="shared" si="3"/>
        <v>0</v>
      </c>
      <c r="G128" s="176">
        <v>643.17999999999995</v>
      </c>
      <c r="H128" s="182"/>
      <c r="I128" s="37">
        <f t="shared" si="4"/>
        <v>643.17999999999995</v>
      </c>
      <c r="J128" s="38">
        <f t="shared" si="5"/>
        <v>0</v>
      </c>
      <c r="K128" s="315"/>
      <c r="L128" s="145"/>
    </row>
    <row r="129" spans="1:12" ht="20.100000000000001" customHeight="1" thickBot="1" x14ac:dyDescent="0.4">
      <c r="A129" s="144" t="str">
        <f>IF(B129=IFERROR(VLOOKUP(B129,entrant!$E$4:$J$188,1,FALSE),"THERE WAS AN ERROR"),"RAPPORT JOURNAL","")</f>
        <v>RAPPORT JOURNAL</v>
      </c>
      <c r="B129" s="218" t="s">
        <v>245</v>
      </c>
      <c r="C129" s="170" t="s">
        <v>216</v>
      </c>
      <c r="D129" s="35">
        <f>SUMIF(entrant!$E$4:$E$2059,'Inventaire des produits'!B129,entrant!$G$4:$G$2059)</f>
        <v>17000</v>
      </c>
      <c r="E129" s="35">
        <f>SUMIF(vente!$E$4:$E$2190,'Inventaire des produits'!B129,vente!$G$4:$G$2190)</f>
        <v>17000</v>
      </c>
      <c r="F129" s="36">
        <f t="shared" si="3"/>
        <v>0</v>
      </c>
      <c r="G129" s="176">
        <v>0.53390000000000004</v>
      </c>
      <c r="H129" s="182"/>
      <c r="I129" s="37">
        <f t="shared" si="4"/>
        <v>0.53390000000000004</v>
      </c>
      <c r="J129" s="38">
        <f t="shared" si="5"/>
        <v>0</v>
      </c>
      <c r="K129" s="315"/>
      <c r="L129" s="145"/>
    </row>
    <row r="130" spans="1:12" ht="20.100000000000001" customHeight="1" thickBot="1" x14ac:dyDescent="0.4">
      <c r="A130" s="144" t="str">
        <f>IF(B130=IFERROR(VLOOKUP(B130,entrant!$E$4:$J$188,1,FALSE),"THERE WAS AN ERROR"),"RAPPORT JOURNAL","")</f>
        <v>RAPPORT JOURNAL</v>
      </c>
      <c r="B130" s="218" t="s">
        <v>246</v>
      </c>
      <c r="C130" s="170" t="s">
        <v>247</v>
      </c>
      <c r="D130" s="35">
        <f>SUMIF(entrant!$E$4:$E$2059,'Inventaire des produits'!B130,entrant!$G$4:$G$2059)</f>
        <v>1500</v>
      </c>
      <c r="E130" s="35">
        <f>SUMIF(vente!$E$4:$E$2190,'Inventaire des produits'!B130,vente!$G$4:$G$2190)</f>
        <v>1500</v>
      </c>
      <c r="F130" s="36">
        <f t="shared" si="3"/>
        <v>0</v>
      </c>
      <c r="G130" s="176">
        <v>0.2</v>
      </c>
      <c r="H130" s="182"/>
      <c r="I130" s="37">
        <f t="shared" si="4"/>
        <v>0.2</v>
      </c>
      <c r="J130" s="38">
        <f t="shared" si="5"/>
        <v>0</v>
      </c>
      <c r="K130" s="315"/>
      <c r="L130" s="145"/>
    </row>
    <row r="131" spans="1:12" ht="20.100000000000001" customHeight="1" thickBot="1" x14ac:dyDescent="0.4">
      <c r="A131" s="144" t="str">
        <f>IF(B131=IFERROR(VLOOKUP(B131,entrant!$E$4:$J$188,1,FALSE),"THERE WAS AN ERROR"),"RAPPORT JOURNAL","")</f>
        <v>RAPPORT JOURNAL</v>
      </c>
      <c r="B131" s="218" t="s">
        <v>248</v>
      </c>
      <c r="C131" s="170" t="s">
        <v>152</v>
      </c>
      <c r="D131" s="35">
        <f>SUMIF(entrant!$E$4:$E$2059,'Inventaire des produits'!B131,entrant!$G$4:$G$2059)</f>
        <v>10000</v>
      </c>
      <c r="E131" s="35">
        <f>SUMIF(vente!$E$4:$E$2190,'Inventaire des produits'!B131,vente!$G$4:$G$2190)</f>
        <v>10000</v>
      </c>
      <c r="F131" s="36">
        <f t="shared" ref="F131:F194" si="6">IF(OR(D131="",E131=""),"",D131-E131)</f>
        <v>0</v>
      </c>
      <c r="G131" s="176">
        <v>1.3166666667</v>
      </c>
      <c r="H131" s="182"/>
      <c r="I131" s="37">
        <f t="shared" si="4"/>
        <v>1.3166666667</v>
      </c>
      <c r="J131" s="38">
        <f t="shared" si="5"/>
        <v>0</v>
      </c>
      <c r="K131" s="315"/>
      <c r="L131" s="145"/>
    </row>
    <row r="132" spans="1:12" ht="20.100000000000001" customHeight="1" thickBot="1" x14ac:dyDescent="0.4">
      <c r="A132" s="144" t="str">
        <f>IF(B132=IFERROR(VLOOKUP(B132,entrant!$E$4:$J$188,1,FALSE),"THERE WAS AN ERROR"),"RAPPORT JOURNAL","")</f>
        <v>RAPPORT JOURNAL</v>
      </c>
      <c r="B132" s="218" t="s">
        <v>250</v>
      </c>
      <c r="C132" s="170" t="s">
        <v>249</v>
      </c>
      <c r="D132" s="35">
        <f>SUMIF(entrant!$E$4:$E$2059,'Inventaire des produits'!B132,entrant!$G$4:$G$2059)</f>
        <v>189</v>
      </c>
      <c r="E132" s="35">
        <f>SUMIF(vente!$E$4:$E$2190,'Inventaire des produits'!B132,vente!$G$4:$G$2190)</f>
        <v>189</v>
      </c>
      <c r="F132" s="36">
        <f t="shared" si="6"/>
        <v>0</v>
      </c>
      <c r="G132" s="176">
        <v>15.84</v>
      </c>
      <c r="H132" s="182"/>
      <c r="I132" s="37">
        <f t="shared" ref="I132:I195" si="7">IF(H132="",G132,G132-G132*H132)</f>
        <v>15.84</v>
      </c>
      <c r="J132" s="38">
        <f t="shared" ref="J132:J195" si="8">IF(OR(F132="",G132=""),"",F132*I132)</f>
        <v>0</v>
      </c>
      <c r="K132" s="315"/>
      <c r="L132" s="145"/>
    </row>
    <row r="133" spans="1:12" ht="20.100000000000001" customHeight="1" thickBot="1" x14ac:dyDescent="0.4">
      <c r="A133" s="144" t="str">
        <f>IF(B133=IFERROR(VLOOKUP(B133,entrant!$E$4:$J$188,1,FALSE),"THERE WAS AN ERROR"),"RAPPORT JOURNAL","")</f>
        <v>RAPPORT JOURNAL</v>
      </c>
      <c r="B133" s="218" t="s">
        <v>251</v>
      </c>
      <c r="C133" s="170" t="s">
        <v>302</v>
      </c>
      <c r="D133" s="35">
        <f>SUMIF(entrant!$E$4:$E$2059,'Inventaire des produits'!B133,entrant!$G$4:$G$2059)</f>
        <v>75</v>
      </c>
      <c r="E133" s="35">
        <f>SUMIF(vente!$E$4:$E$2190,'Inventaire des produits'!B133,vente!$G$4:$G$2190)</f>
        <v>75</v>
      </c>
      <c r="F133" s="36">
        <f t="shared" si="6"/>
        <v>0</v>
      </c>
      <c r="G133" s="176">
        <v>15.84</v>
      </c>
      <c r="H133" s="182"/>
      <c r="I133" s="37">
        <f t="shared" si="7"/>
        <v>15.84</v>
      </c>
      <c r="J133" s="38">
        <f t="shared" si="8"/>
        <v>0</v>
      </c>
      <c r="K133" s="315"/>
      <c r="L133" s="145"/>
    </row>
    <row r="134" spans="1:12" ht="20.100000000000001" customHeight="1" thickBot="1" x14ac:dyDescent="0.4">
      <c r="A134" s="144" t="str">
        <f>IF(B134=IFERROR(VLOOKUP(B134,entrant!$E$4:$J$188,1,FALSE),"THERE WAS AN ERROR"),"RAPPORT JOURNAL","")</f>
        <v>RAPPORT JOURNAL</v>
      </c>
      <c r="B134" s="218" t="s">
        <v>252</v>
      </c>
      <c r="C134" s="170" t="s">
        <v>101</v>
      </c>
      <c r="D134" s="35">
        <f>SUMIF(entrant!$E$4:$E$2059,'Inventaire des produits'!B134,entrant!$G$4:$G$2059)</f>
        <v>600</v>
      </c>
      <c r="E134" s="35">
        <f>SUMIF(vente!$E$4:$E$2190,'Inventaire des produits'!B134,vente!$G$4:$G$2190)</f>
        <v>600</v>
      </c>
      <c r="F134" s="36">
        <f t="shared" si="6"/>
        <v>0</v>
      </c>
      <c r="G134" s="176">
        <v>20.83</v>
      </c>
      <c r="H134" s="182"/>
      <c r="I134" s="37">
        <f t="shared" si="7"/>
        <v>20.83</v>
      </c>
      <c r="J134" s="38">
        <f t="shared" si="8"/>
        <v>0</v>
      </c>
      <c r="K134" s="315"/>
      <c r="L134" s="145"/>
    </row>
    <row r="135" spans="1:12" ht="20.100000000000001" customHeight="1" thickBot="1" x14ac:dyDescent="0.4">
      <c r="A135" s="144" t="str">
        <f>IF(B135=IFERROR(VLOOKUP(B135,entrant!$E$4:$J$188,1,FALSE),"THERE WAS AN ERROR"),"RAPPORT JOURNAL","")</f>
        <v>RAPPORT JOURNAL</v>
      </c>
      <c r="B135" s="218" t="s">
        <v>254</v>
      </c>
      <c r="C135" s="170" t="s">
        <v>253</v>
      </c>
      <c r="D135" s="35">
        <f>SUMIF(entrant!$E$4:$E$2059,'Inventaire des produits'!B135,entrant!$G$4:$G$2059)</f>
        <v>32400</v>
      </c>
      <c r="E135" s="35">
        <f>SUMIF(vente!$E$4:$E$2190,'Inventaire des produits'!B135,vente!$G$4:$G$2190)</f>
        <v>32400</v>
      </c>
      <c r="F135" s="36">
        <f t="shared" si="6"/>
        <v>0</v>
      </c>
      <c r="G135" s="176">
        <v>0.13500000000000001</v>
      </c>
      <c r="H135" s="182"/>
      <c r="I135" s="37">
        <f t="shared" si="7"/>
        <v>0.13500000000000001</v>
      </c>
      <c r="J135" s="38">
        <f t="shared" si="8"/>
        <v>0</v>
      </c>
      <c r="K135" s="315"/>
      <c r="L135" s="145"/>
    </row>
    <row r="136" spans="1:12" ht="20.100000000000001" customHeight="1" thickBot="1" x14ac:dyDescent="0.4">
      <c r="A136" s="144" t="str">
        <f>IF(B136=IFERROR(VLOOKUP(B136,entrant!$E$4:$J$188,1,FALSE),"THERE WAS AN ERROR"),"RAPPORT JOURNAL","")</f>
        <v>RAPPORT JOURNAL</v>
      </c>
      <c r="B136" s="218" t="s">
        <v>256</v>
      </c>
      <c r="C136" s="170" t="s">
        <v>255</v>
      </c>
      <c r="D136" s="35">
        <f>SUMIF(entrant!$E$4:$E$2059,'Inventaire des produits'!B136,entrant!$G$4:$G$2059)</f>
        <v>500</v>
      </c>
      <c r="E136" s="35">
        <f>SUMIF(vente!$E$4:$E$2190,'Inventaire des produits'!B136,vente!$G$4:$G$2190)</f>
        <v>500</v>
      </c>
      <c r="F136" s="36">
        <f t="shared" si="6"/>
        <v>0</v>
      </c>
      <c r="G136" s="176">
        <v>28.333333333300001</v>
      </c>
      <c r="H136" s="182"/>
      <c r="I136" s="37">
        <f t="shared" si="7"/>
        <v>28.333333333300001</v>
      </c>
      <c r="J136" s="38">
        <f t="shared" si="8"/>
        <v>0</v>
      </c>
      <c r="K136" s="315"/>
      <c r="L136" s="145"/>
    </row>
    <row r="137" spans="1:12" ht="20.100000000000001" customHeight="1" thickBot="1" x14ac:dyDescent="0.4">
      <c r="A137" s="144" t="str">
        <f>IF(B137=IFERROR(VLOOKUP(B137,entrant!$E$4:$J$188,1,FALSE),"THERE WAS AN ERROR"),"RAPPORT JOURNAL","")</f>
        <v>RAPPORT JOURNAL</v>
      </c>
      <c r="B137" s="218" t="s">
        <v>258</v>
      </c>
      <c r="C137" s="170" t="s">
        <v>257</v>
      </c>
      <c r="D137" s="35">
        <f>SUMIF(entrant!$E$4:$E$2059,'Inventaire des produits'!B137,entrant!$G$4:$G$2059)</f>
        <v>3594</v>
      </c>
      <c r="E137" s="35">
        <f>SUMIF(vente!$E$4:$E$2190,'Inventaire des produits'!B137,vente!$G$4:$G$2190)</f>
        <v>3594</v>
      </c>
      <c r="F137" s="36">
        <f t="shared" si="6"/>
        <v>0</v>
      </c>
      <c r="G137" s="176">
        <v>1.3333333332999999</v>
      </c>
      <c r="H137" s="182"/>
      <c r="I137" s="37">
        <f t="shared" si="7"/>
        <v>1.3333333332999999</v>
      </c>
      <c r="J137" s="38">
        <f t="shared" si="8"/>
        <v>0</v>
      </c>
      <c r="K137" s="315"/>
      <c r="L137" s="145"/>
    </row>
    <row r="138" spans="1:12" ht="20.100000000000001" customHeight="1" thickBot="1" x14ac:dyDescent="0.4">
      <c r="A138" s="144" t="str">
        <f>IF(B138=IFERROR(VLOOKUP(B138,entrant!$E$4:$J$188,1,FALSE),"THERE WAS AN ERROR"),"RAPPORT JOURNAL","")</f>
        <v>RAPPORT JOURNAL</v>
      </c>
      <c r="B138" s="218" t="s">
        <v>259</v>
      </c>
      <c r="C138" s="170" t="s">
        <v>35</v>
      </c>
      <c r="D138" s="35">
        <f>SUMIF(entrant!$E$4:$E$2059,'Inventaire des produits'!B138,entrant!$G$4:$G$2059)</f>
        <v>131</v>
      </c>
      <c r="E138" s="35">
        <f>SUMIF(vente!$E$4:$E$2190,'Inventaire des produits'!B138,vente!$G$4:$G$2190)</f>
        <v>131</v>
      </c>
      <c r="F138" s="36">
        <f t="shared" si="6"/>
        <v>0</v>
      </c>
      <c r="G138" s="176">
        <v>58.333333333299997</v>
      </c>
      <c r="H138" s="182"/>
      <c r="I138" s="37">
        <f t="shared" si="7"/>
        <v>58.333333333299997</v>
      </c>
      <c r="J138" s="38">
        <f t="shared" si="8"/>
        <v>0</v>
      </c>
      <c r="K138" s="315"/>
      <c r="L138" s="145"/>
    </row>
    <row r="139" spans="1:12" ht="20.100000000000001" customHeight="1" thickBot="1" x14ac:dyDescent="0.4">
      <c r="A139" s="144" t="str">
        <f>IF(B139=IFERROR(VLOOKUP(B139,entrant!$E$4:$J$188,1,FALSE),"THERE WAS AN ERROR"),"RAPPORT JOURNAL","")</f>
        <v>RAPPORT JOURNAL</v>
      </c>
      <c r="B139" s="218" t="s">
        <v>260</v>
      </c>
      <c r="C139" s="170" t="s">
        <v>23</v>
      </c>
      <c r="D139" s="35">
        <f>SUMIF(entrant!$E$4:$E$2059,'Inventaire des produits'!B139,entrant!$G$4:$G$2059)</f>
        <v>95</v>
      </c>
      <c r="E139" s="35">
        <f>SUMIF(vente!$E$4:$E$2190,'Inventaire des produits'!B139,vente!$G$4:$G$2190)</f>
        <v>95</v>
      </c>
      <c r="F139" s="36">
        <f t="shared" si="6"/>
        <v>0</v>
      </c>
      <c r="G139" s="176">
        <v>48.631666666699999</v>
      </c>
      <c r="H139" s="182"/>
      <c r="I139" s="37">
        <f t="shared" si="7"/>
        <v>48.631666666699999</v>
      </c>
      <c r="J139" s="38">
        <f t="shared" si="8"/>
        <v>0</v>
      </c>
      <c r="K139" s="315"/>
      <c r="L139" s="145"/>
    </row>
    <row r="140" spans="1:12" ht="20.100000000000001" customHeight="1" thickBot="1" x14ac:dyDescent="0.4">
      <c r="A140" s="144" t="str">
        <f>IF(B140=IFERROR(VLOOKUP(B140,entrant!$E$4:$J$188,1,FALSE),"THERE WAS AN ERROR"),"RAPPORT JOURNAL","")</f>
        <v>RAPPORT JOURNAL</v>
      </c>
      <c r="B140" s="218" t="s">
        <v>262</v>
      </c>
      <c r="C140" s="170" t="s">
        <v>261</v>
      </c>
      <c r="D140" s="35">
        <f>SUMIF(entrant!$E$4:$E$2059,'Inventaire des produits'!B140,entrant!$G$4:$G$2059)</f>
        <v>50</v>
      </c>
      <c r="E140" s="35">
        <f>SUMIF(vente!$E$4:$E$2190,'Inventaire des produits'!B140,vente!$G$4:$G$2190)</f>
        <v>50</v>
      </c>
      <c r="F140" s="36">
        <f t="shared" si="6"/>
        <v>0</v>
      </c>
      <c r="G140" s="176">
        <v>22.5</v>
      </c>
      <c r="H140" s="182"/>
      <c r="I140" s="37">
        <f t="shared" si="7"/>
        <v>22.5</v>
      </c>
      <c r="J140" s="38">
        <f t="shared" si="8"/>
        <v>0</v>
      </c>
      <c r="K140" s="315"/>
      <c r="L140" s="145"/>
    </row>
    <row r="141" spans="1:12" ht="20.100000000000001" customHeight="1" thickBot="1" x14ac:dyDescent="0.4">
      <c r="A141" s="144" t="str">
        <f>IF(B141=IFERROR(VLOOKUP(B141,entrant!$E$4:$J$188,1,FALSE),"THERE WAS AN ERROR"),"RAPPORT JOURNAL","")</f>
        <v>RAPPORT JOURNAL</v>
      </c>
      <c r="B141" s="218" t="s">
        <v>264</v>
      </c>
      <c r="C141" s="170" t="s">
        <v>263</v>
      </c>
      <c r="D141" s="35">
        <f>SUMIF(entrant!$E$4:$E$2059,'Inventaire des produits'!B141,entrant!$G$4:$G$2059)</f>
        <v>500</v>
      </c>
      <c r="E141" s="35">
        <f>SUMIF(vente!$E$4:$E$2190,'Inventaire des produits'!B141,vente!$G$4:$G$2190)</f>
        <v>500</v>
      </c>
      <c r="F141" s="36">
        <f t="shared" si="6"/>
        <v>0</v>
      </c>
      <c r="G141" s="176">
        <v>0.51666666670000005</v>
      </c>
      <c r="H141" s="182"/>
      <c r="I141" s="37">
        <f t="shared" si="7"/>
        <v>0.51666666670000005</v>
      </c>
      <c r="J141" s="38">
        <f t="shared" si="8"/>
        <v>0</v>
      </c>
      <c r="K141" s="315"/>
      <c r="L141" s="145"/>
    </row>
    <row r="142" spans="1:12" ht="20.100000000000001" customHeight="1" thickBot="1" x14ac:dyDescent="0.4">
      <c r="A142" s="144" t="str">
        <f>IF(B142=IFERROR(VLOOKUP(B142,entrant!$E$4:$J$188,1,FALSE),"THERE WAS AN ERROR"),"RAPPORT JOURNAL","")</f>
        <v>RAPPORT JOURNAL</v>
      </c>
      <c r="B142" s="218" t="s">
        <v>265</v>
      </c>
      <c r="C142" s="170" t="s">
        <v>266</v>
      </c>
      <c r="D142" s="35">
        <f>SUMIF(entrant!$E$4:$E$2059,'Inventaire des produits'!B142,entrant!$G$4:$G$2059)</f>
        <v>3600</v>
      </c>
      <c r="E142" s="35">
        <f>SUMIF(vente!$E$4:$E$2190,'Inventaire des produits'!B142,vente!$G$4:$G$2190)</f>
        <v>3600</v>
      </c>
      <c r="F142" s="36">
        <f t="shared" si="6"/>
        <v>0</v>
      </c>
      <c r="G142" s="176">
        <v>1.125</v>
      </c>
      <c r="H142" s="182"/>
      <c r="I142" s="37">
        <f t="shared" si="7"/>
        <v>1.125</v>
      </c>
      <c r="J142" s="38">
        <f t="shared" si="8"/>
        <v>0</v>
      </c>
      <c r="K142" s="315"/>
      <c r="L142" s="145"/>
    </row>
    <row r="143" spans="1:12" ht="20.100000000000001" customHeight="1" thickBot="1" x14ac:dyDescent="0.4">
      <c r="A143" s="144" t="str">
        <f>IF(B143=IFERROR(VLOOKUP(B143,entrant!$E$4:$J$188,1,FALSE),"THERE WAS AN ERROR"),"RAPPORT JOURNAL","")</f>
        <v>RAPPORT JOURNAL</v>
      </c>
      <c r="B143" s="218" t="s">
        <v>269</v>
      </c>
      <c r="C143" s="170" t="s">
        <v>268</v>
      </c>
      <c r="D143" s="35">
        <f>SUMIF(entrant!$E$4:$E$2059,'Inventaire des produits'!B143,entrant!$G$4:$G$2059)</f>
        <v>2</v>
      </c>
      <c r="E143" s="35">
        <f>SUMIF(vente!$E$4:$E$2190,'Inventaire des produits'!B143,vente!$G$4:$G$2190)</f>
        <v>2</v>
      </c>
      <c r="F143" s="36">
        <f t="shared" si="6"/>
        <v>0</v>
      </c>
      <c r="G143" s="176">
        <v>375</v>
      </c>
      <c r="H143" s="182"/>
      <c r="I143" s="37">
        <f t="shared" si="7"/>
        <v>375</v>
      </c>
      <c r="J143" s="38">
        <f t="shared" si="8"/>
        <v>0</v>
      </c>
      <c r="K143" s="315"/>
      <c r="L143" s="145"/>
    </row>
    <row r="144" spans="1:12" ht="20.100000000000001" customHeight="1" thickBot="1" x14ac:dyDescent="0.4">
      <c r="A144" s="144" t="str">
        <f>IF(B144=IFERROR(VLOOKUP(B144,entrant!$E$4:$J$188,1,FALSE),"THERE WAS AN ERROR"),"RAPPORT JOURNAL","")</f>
        <v>RAPPORT JOURNAL</v>
      </c>
      <c r="B144" s="218" t="s">
        <v>308</v>
      </c>
      <c r="C144" s="170" t="s">
        <v>307</v>
      </c>
      <c r="D144" s="35">
        <f>SUMIF(entrant!$E$4:$E$2059,'Inventaire des produits'!B144,entrant!$G$4:$G$2059)</f>
        <v>1</v>
      </c>
      <c r="E144" s="35">
        <f>SUMIF(vente!$E$4:$E$2190,'Inventaire des produits'!B144,vente!$G$4:$G$2190)</f>
        <v>1</v>
      </c>
      <c r="F144" s="36">
        <f t="shared" si="6"/>
        <v>0</v>
      </c>
      <c r="G144" s="176">
        <v>616.66666666670005</v>
      </c>
      <c r="H144" s="182"/>
      <c r="I144" s="37">
        <f t="shared" si="7"/>
        <v>616.66666666670005</v>
      </c>
      <c r="J144" s="38">
        <f t="shared" si="8"/>
        <v>0</v>
      </c>
      <c r="K144" s="315"/>
      <c r="L144" s="145"/>
    </row>
    <row r="145" spans="1:12" ht="20.100000000000001" customHeight="1" thickBot="1" x14ac:dyDescent="0.4">
      <c r="A145" s="144" t="str">
        <f>IF(B145=IFERROR(VLOOKUP(B145,entrant!$E$4:$J$188,1,FALSE),"THERE WAS AN ERROR"),"RAPPORT JOURNAL","")</f>
        <v>RAPPORT JOURNAL</v>
      </c>
      <c r="B145" s="218" t="s">
        <v>270</v>
      </c>
      <c r="C145" s="170" t="s">
        <v>489</v>
      </c>
      <c r="D145" s="35">
        <f>SUMIF(entrant!$E$4:$E$2059,'Inventaire des produits'!B145,entrant!$G$4:$G$2059)</f>
        <v>400</v>
      </c>
      <c r="E145" s="35">
        <f>SUMIF(vente!$E$4:$E$2190,'Inventaire des produits'!B145,vente!$G$4:$G$2190)</f>
        <v>400</v>
      </c>
      <c r="F145" s="36">
        <f t="shared" si="6"/>
        <v>0</v>
      </c>
      <c r="G145" s="176">
        <v>0.83333333300000001</v>
      </c>
      <c r="H145" s="182"/>
      <c r="I145" s="37">
        <f t="shared" si="7"/>
        <v>0.83333333300000001</v>
      </c>
      <c r="J145" s="38">
        <f t="shared" si="8"/>
        <v>0</v>
      </c>
      <c r="K145" s="315"/>
      <c r="L145" s="145"/>
    </row>
    <row r="146" spans="1:12" ht="20.100000000000001" customHeight="1" thickBot="1" x14ac:dyDescent="0.4">
      <c r="A146" s="144" t="str">
        <f>IF(B146=IFERROR(VLOOKUP(B146,entrant!$E$4:$J$188,1,FALSE),"THERE WAS AN ERROR"),"RAPPORT JOURNAL","")</f>
        <v>RAPPORT JOURNAL</v>
      </c>
      <c r="B146" s="218" t="s">
        <v>271</v>
      </c>
      <c r="C146" s="170" t="s">
        <v>33</v>
      </c>
      <c r="D146" s="35">
        <f>SUMIF(entrant!$E$4:$E$2059,'Inventaire des produits'!B146,entrant!$G$4:$G$2059)</f>
        <v>5</v>
      </c>
      <c r="E146" s="35">
        <f>SUMIF(vente!$E$4:$E$2190,'Inventaire des produits'!B146,vente!$G$4:$G$2190)</f>
        <v>5</v>
      </c>
      <c r="F146" s="36">
        <f t="shared" si="6"/>
        <v>0</v>
      </c>
      <c r="G146" s="176">
        <v>220.8333333333</v>
      </c>
      <c r="H146" s="182"/>
      <c r="I146" s="37">
        <f t="shared" si="7"/>
        <v>220.8333333333</v>
      </c>
      <c r="J146" s="38">
        <f t="shared" si="8"/>
        <v>0</v>
      </c>
      <c r="K146" s="315"/>
      <c r="L146" s="145"/>
    </row>
    <row r="147" spans="1:12" ht="20.100000000000001" customHeight="1" thickBot="1" x14ac:dyDescent="0.4">
      <c r="A147" s="144" t="str">
        <f>IF(B147=IFERROR(VLOOKUP(B147,entrant!$E$4:$J$188,1,FALSE),"THERE WAS AN ERROR"),"RAPPORT JOURNAL","")</f>
        <v>RAPPORT JOURNAL</v>
      </c>
      <c r="B147" s="218" t="s">
        <v>274</v>
      </c>
      <c r="C147" s="170" t="s">
        <v>272</v>
      </c>
      <c r="D147" s="35">
        <f>SUMIF(entrant!$E$4:$E$2059,'Inventaire des produits'!B147,entrant!$G$4:$G$2059)</f>
        <v>2000</v>
      </c>
      <c r="E147" s="35">
        <f>SUMIF(vente!$E$4:$E$2190,'Inventaire des produits'!B147,vente!$G$4:$G$2190)</f>
        <v>2000</v>
      </c>
      <c r="F147" s="36">
        <f t="shared" si="6"/>
        <v>0</v>
      </c>
      <c r="G147" s="176">
        <v>0.5</v>
      </c>
      <c r="H147" s="182"/>
      <c r="I147" s="37">
        <f t="shared" si="7"/>
        <v>0.5</v>
      </c>
      <c r="J147" s="38">
        <f t="shared" si="8"/>
        <v>0</v>
      </c>
      <c r="K147" s="315"/>
      <c r="L147" s="145"/>
    </row>
    <row r="148" spans="1:12" ht="20.100000000000001" customHeight="1" thickBot="1" x14ac:dyDescent="0.4">
      <c r="A148" s="144" t="str">
        <f>IF(B148=IFERROR(VLOOKUP(B148,entrant!$E$4:$J$188,1,FALSE),"THERE WAS AN ERROR"),"RAPPORT JOURNAL","")</f>
        <v>RAPPORT JOURNAL</v>
      </c>
      <c r="B148" s="218" t="s">
        <v>275</v>
      </c>
      <c r="C148" s="170" t="s">
        <v>273</v>
      </c>
      <c r="D148" s="35">
        <f>SUMIF(entrant!$E$4:$E$2059,'Inventaire des produits'!B148,entrant!$G$4:$G$2059)</f>
        <v>2000</v>
      </c>
      <c r="E148" s="35">
        <f>SUMIF(vente!$E$4:$E$2190,'Inventaire des produits'!B148,vente!$G$4:$G$2190)</f>
        <v>2000</v>
      </c>
      <c r="F148" s="36">
        <f t="shared" si="6"/>
        <v>0</v>
      </c>
      <c r="G148" s="176">
        <v>0.6</v>
      </c>
      <c r="H148" s="182"/>
      <c r="I148" s="37">
        <f t="shared" si="7"/>
        <v>0.6</v>
      </c>
      <c r="J148" s="38">
        <f t="shared" si="8"/>
        <v>0</v>
      </c>
      <c r="K148" s="315"/>
      <c r="L148" s="145"/>
    </row>
    <row r="149" spans="1:12" ht="20.100000000000001" customHeight="1" thickBot="1" x14ac:dyDescent="0.4">
      <c r="A149" s="144" t="str">
        <f>IF(B149=IFERROR(VLOOKUP(B149,entrant!$E$4:$J$188,1,FALSE),"THERE WAS AN ERROR"),"RAPPORT JOURNAL","")</f>
        <v>RAPPORT JOURNAL</v>
      </c>
      <c r="B149" s="218" t="s">
        <v>276</v>
      </c>
      <c r="C149" s="170" t="s">
        <v>288</v>
      </c>
      <c r="D149" s="35">
        <f>SUMIF(entrant!$E$4:$E$2059,'Inventaire des produits'!B149,entrant!$G$4:$G$2059)</f>
        <v>9</v>
      </c>
      <c r="E149" s="35">
        <f>SUMIF(vente!$E$4:$E$2190,'Inventaire des produits'!B149,vente!$G$4:$G$2190)</f>
        <v>9</v>
      </c>
      <c r="F149" s="36">
        <f t="shared" si="6"/>
        <v>0</v>
      </c>
      <c r="G149" s="176">
        <v>408.33749999999998</v>
      </c>
      <c r="H149" s="182"/>
      <c r="I149" s="37">
        <f t="shared" si="7"/>
        <v>408.33749999999998</v>
      </c>
      <c r="J149" s="38">
        <f t="shared" si="8"/>
        <v>0</v>
      </c>
      <c r="K149" s="315"/>
      <c r="L149" s="145"/>
    </row>
    <row r="150" spans="1:12" ht="20.100000000000001" customHeight="1" thickBot="1" x14ac:dyDescent="0.4">
      <c r="A150" s="144" t="str">
        <f>IF(B150=IFERROR(VLOOKUP(B150,entrant!$E$4:$J$188,1,FALSE),"THERE WAS AN ERROR"),"RAPPORT JOURNAL","")</f>
        <v>RAPPORT JOURNAL</v>
      </c>
      <c r="B150" s="218" t="s">
        <v>278</v>
      </c>
      <c r="C150" s="170" t="s">
        <v>277</v>
      </c>
      <c r="D150" s="35">
        <f>SUMIF(entrant!$E$4:$E$2059,'Inventaire des produits'!B150,entrant!$G$4:$G$2059)</f>
        <v>1</v>
      </c>
      <c r="E150" s="35">
        <f>SUMIF(vente!$E$4:$E$2190,'Inventaire des produits'!B150,vente!$G$4:$G$2190)</f>
        <v>1</v>
      </c>
      <c r="F150" s="36">
        <f t="shared" si="6"/>
        <v>0</v>
      </c>
      <c r="G150" s="176">
        <v>300</v>
      </c>
      <c r="H150" s="182"/>
      <c r="I150" s="37">
        <f t="shared" si="7"/>
        <v>300</v>
      </c>
      <c r="J150" s="38">
        <f t="shared" si="8"/>
        <v>0</v>
      </c>
      <c r="K150" s="315"/>
      <c r="L150" s="145"/>
    </row>
    <row r="151" spans="1:12" ht="20.100000000000001" customHeight="1" thickBot="1" x14ac:dyDescent="0.4">
      <c r="A151" s="144" t="str">
        <f>IF(B151=IFERROR(VLOOKUP(B151,entrant!$E$4:$J$188,1,FALSE),"THERE WAS AN ERROR"),"RAPPORT JOURNAL","")</f>
        <v>RAPPORT JOURNAL</v>
      </c>
      <c r="B151" s="218" t="s">
        <v>279</v>
      </c>
      <c r="C151" s="170" t="s">
        <v>40</v>
      </c>
      <c r="D151" s="35">
        <f>SUMIF(entrant!$E$4:$E$2059,'Inventaire des produits'!B151,entrant!$G$4:$G$2059)</f>
        <v>4</v>
      </c>
      <c r="E151" s="35">
        <f>SUMIF(vente!$E$4:$E$2190,'Inventaire des produits'!B151,vente!$G$4:$G$2190)</f>
        <v>4</v>
      </c>
      <c r="F151" s="36">
        <f t="shared" si="6"/>
        <v>0</v>
      </c>
      <c r="G151" s="176">
        <v>300</v>
      </c>
      <c r="H151" s="182"/>
      <c r="I151" s="37">
        <f t="shared" si="7"/>
        <v>300</v>
      </c>
      <c r="J151" s="38">
        <f t="shared" si="8"/>
        <v>0</v>
      </c>
      <c r="K151" s="315"/>
      <c r="L151" s="145"/>
    </row>
    <row r="152" spans="1:12" ht="20.100000000000001" customHeight="1" thickBot="1" x14ac:dyDescent="0.4">
      <c r="A152" s="144" t="str">
        <f>IF(B152=IFERROR(VLOOKUP(B152,entrant!$E$4:$J$188,1,FALSE),"THERE WAS AN ERROR"),"RAPPORT JOURNAL","")</f>
        <v>RAPPORT JOURNAL</v>
      </c>
      <c r="B152" s="218" t="s">
        <v>280</v>
      </c>
      <c r="C152" s="170" t="s">
        <v>39</v>
      </c>
      <c r="D152" s="35">
        <f>SUMIF(entrant!$E$4:$E$2059,'Inventaire des produits'!B152,entrant!$G$4:$G$2059)</f>
        <v>6000</v>
      </c>
      <c r="E152" s="35">
        <f>SUMIF(vente!$E$4:$E$2190,'Inventaire des produits'!B152,vente!$G$4:$G$2190)</f>
        <v>6000</v>
      </c>
      <c r="F152" s="36">
        <f t="shared" si="6"/>
        <v>0</v>
      </c>
      <c r="G152" s="176">
        <v>0.24167</v>
      </c>
      <c r="H152" s="182"/>
      <c r="I152" s="37">
        <f t="shared" si="7"/>
        <v>0.24167</v>
      </c>
      <c r="J152" s="38">
        <f t="shared" si="8"/>
        <v>0</v>
      </c>
      <c r="K152" s="315"/>
      <c r="L152" s="145"/>
    </row>
    <row r="153" spans="1:12" ht="20.100000000000001" customHeight="1" thickBot="1" x14ac:dyDescent="0.4">
      <c r="A153" s="144" t="str">
        <f>IF(B153=IFERROR(VLOOKUP(B153,entrant!$E$4:$J$188,1,FALSE),"THERE WAS AN ERROR"),"RAPPORT JOURNAL","")</f>
        <v>RAPPORT JOURNAL</v>
      </c>
      <c r="B153" s="218" t="s">
        <v>282</v>
      </c>
      <c r="C153" s="170" t="s">
        <v>281</v>
      </c>
      <c r="D153" s="35">
        <f>SUMIF(entrant!$E$4:$E$2059,'Inventaire des produits'!B153,entrant!$G$4:$G$2059)</f>
        <v>6</v>
      </c>
      <c r="E153" s="35">
        <f>SUMIF(vente!$E$4:$E$2190,'Inventaire des produits'!B153,vente!$G$4:$G$2190)</f>
        <v>6</v>
      </c>
      <c r="F153" s="36">
        <f t="shared" si="6"/>
        <v>0</v>
      </c>
      <c r="G153" s="176">
        <v>208.33</v>
      </c>
      <c r="H153" s="182"/>
      <c r="I153" s="37">
        <f t="shared" si="7"/>
        <v>208.33</v>
      </c>
      <c r="J153" s="38">
        <f t="shared" si="8"/>
        <v>0</v>
      </c>
      <c r="K153" s="315"/>
      <c r="L153" s="145"/>
    </row>
    <row r="154" spans="1:12" ht="20.100000000000001" customHeight="1" thickBot="1" x14ac:dyDescent="0.4">
      <c r="A154" s="144" t="str">
        <f>IF(B154=IFERROR(VLOOKUP(B154,entrant!$E$4:$J$188,1,FALSE),"THERE WAS AN ERROR"),"RAPPORT JOURNAL","")</f>
        <v>RAPPORT JOURNAL</v>
      </c>
      <c r="B154" s="218" t="s">
        <v>283</v>
      </c>
      <c r="C154" s="170" t="s">
        <v>30</v>
      </c>
      <c r="D154" s="35">
        <f>SUMIF(entrant!$E$4:$E$2059,'Inventaire des produits'!B154,entrant!$G$4:$G$2059)</f>
        <v>100</v>
      </c>
      <c r="E154" s="35">
        <f>SUMIF(vente!$E$4:$E$2190,'Inventaire des produits'!B154,vente!$G$4:$G$2190)</f>
        <v>100</v>
      </c>
      <c r="F154" s="36">
        <f t="shared" si="6"/>
        <v>0</v>
      </c>
      <c r="G154" s="176">
        <v>21.84</v>
      </c>
      <c r="H154" s="182"/>
      <c r="I154" s="37">
        <f t="shared" si="7"/>
        <v>21.84</v>
      </c>
      <c r="J154" s="38">
        <f t="shared" si="8"/>
        <v>0</v>
      </c>
      <c r="K154" s="315"/>
      <c r="L154" s="145"/>
    </row>
    <row r="155" spans="1:12" ht="20.100000000000001" customHeight="1" thickBot="1" x14ac:dyDescent="0.4">
      <c r="A155" s="144" t="str">
        <f>IF(B155=IFERROR(VLOOKUP(B155,entrant!$E$4:$J$188,1,FALSE),"THERE WAS AN ERROR"),"RAPPORT JOURNAL","")</f>
        <v>RAPPORT JOURNAL</v>
      </c>
      <c r="B155" s="218" t="s">
        <v>284</v>
      </c>
      <c r="C155" s="170" t="s">
        <v>140</v>
      </c>
      <c r="D155" s="35">
        <f>SUMIF(entrant!$E$4:$E$2059,'Inventaire des produits'!B155,entrant!$G$4:$G$2059)</f>
        <v>87</v>
      </c>
      <c r="E155" s="35">
        <f>SUMIF(vente!$E$4:$E$2190,'Inventaire des produits'!B155,vente!$G$4:$G$2190)</f>
        <v>87</v>
      </c>
      <c r="F155" s="36">
        <f t="shared" si="6"/>
        <v>0</v>
      </c>
      <c r="G155" s="176">
        <v>16</v>
      </c>
      <c r="H155" s="182"/>
      <c r="I155" s="37">
        <f t="shared" si="7"/>
        <v>16</v>
      </c>
      <c r="J155" s="38">
        <f t="shared" si="8"/>
        <v>0</v>
      </c>
      <c r="K155" s="315"/>
      <c r="L155" s="145"/>
    </row>
    <row r="156" spans="1:12" ht="20.100000000000001" customHeight="1" thickBot="1" x14ac:dyDescent="0.4">
      <c r="A156" s="144" t="str">
        <f>IF(B156=IFERROR(VLOOKUP(B156,entrant!$E$4:$J$188,1,FALSE),"THERE WAS AN ERROR"),"RAPPORT JOURNAL","")</f>
        <v>RAPPORT JOURNAL</v>
      </c>
      <c r="B156" s="218" t="s">
        <v>286</v>
      </c>
      <c r="C156" s="170" t="s">
        <v>285</v>
      </c>
      <c r="D156" s="35">
        <f>SUMIF(entrant!$E$4:$E$2059,'Inventaire des produits'!B156,entrant!$G$4:$G$2059)</f>
        <v>68</v>
      </c>
      <c r="E156" s="35">
        <f>SUMIF(vente!$E$4:$E$2190,'Inventaire des produits'!B156,vente!$G$4:$G$2190)</f>
        <v>68</v>
      </c>
      <c r="F156" s="36">
        <f t="shared" si="6"/>
        <v>0</v>
      </c>
      <c r="G156" s="176">
        <v>60</v>
      </c>
      <c r="H156" s="182"/>
      <c r="I156" s="37">
        <f t="shared" si="7"/>
        <v>60</v>
      </c>
      <c r="J156" s="38">
        <f t="shared" si="8"/>
        <v>0</v>
      </c>
      <c r="K156" s="315"/>
      <c r="L156" s="145"/>
    </row>
    <row r="157" spans="1:12" ht="20.100000000000001" customHeight="1" thickBot="1" x14ac:dyDescent="0.4">
      <c r="A157" s="144" t="str">
        <f>IF(B157=IFERROR(VLOOKUP(B157,entrant!$E$4:$J$188,1,FALSE),"THERE WAS AN ERROR"),"RAPPORT JOURNAL","")</f>
        <v>RAPPORT JOURNAL</v>
      </c>
      <c r="B157" s="218" t="s">
        <v>290</v>
      </c>
      <c r="C157" s="170" t="s">
        <v>289</v>
      </c>
      <c r="D157" s="35">
        <f>SUMIF(entrant!$E$4:$E$2059,'Inventaire des produits'!B157,entrant!$G$4:$G$2059)</f>
        <v>12000</v>
      </c>
      <c r="E157" s="35">
        <f>SUMIF(vente!$E$4:$E$2190,'Inventaire des produits'!B157,vente!$G$4:$G$2190)</f>
        <v>12000</v>
      </c>
      <c r="F157" s="36">
        <f t="shared" si="6"/>
        <v>0</v>
      </c>
      <c r="G157" s="176">
        <v>0.43333749999999999</v>
      </c>
      <c r="H157" s="182"/>
      <c r="I157" s="37">
        <f t="shared" si="7"/>
        <v>0.43333749999999999</v>
      </c>
      <c r="J157" s="38">
        <f t="shared" si="8"/>
        <v>0</v>
      </c>
      <c r="K157" s="315"/>
      <c r="L157" s="145"/>
    </row>
    <row r="158" spans="1:12" ht="20.100000000000001" customHeight="1" thickBot="1" x14ac:dyDescent="0.4">
      <c r="A158" s="144" t="str">
        <f>IF(B158=IFERROR(VLOOKUP(B158,entrant!$E$4:$J$188,1,FALSE),"THERE WAS AN ERROR"),"RAPPORT JOURNAL","")</f>
        <v>RAPPORT JOURNAL</v>
      </c>
      <c r="B158" s="218" t="s">
        <v>291</v>
      </c>
      <c r="C158" s="170" t="s">
        <v>292</v>
      </c>
      <c r="D158" s="35">
        <f>SUMIF(entrant!$E$4:$E$2059,'Inventaire des produits'!B158,entrant!$G$4:$G$2059)</f>
        <v>101</v>
      </c>
      <c r="E158" s="35">
        <f>SUMIF(vente!$E$4:$E$2190,'Inventaire des produits'!B158,vente!$G$4:$G$2190)</f>
        <v>96</v>
      </c>
      <c r="F158" s="36">
        <f t="shared" si="6"/>
        <v>5</v>
      </c>
      <c r="G158" s="176">
        <v>41.26</v>
      </c>
      <c r="H158" s="182"/>
      <c r="I158" s="37">
        <f t="shared" si="7"/>
        <v>41.26</v>
      </c>
      <c r="J158" s="38">
        <f t="shared" si="8"/>
        <v>206.29999999999998</v>
      </c>
      <c r="K158" s="315"/>
      <c r="L158" s="145"/>
    </row>
    <row r="159" spans="1:12" ht="20.100000000000001" customHeight="1" thickBot="1" x14ac:dyDescent="0.4">
      <c r="A159" s="144" t="str">
        <f>IF(B159=IFERROR(VLOOKUP(B159,entrant!$E$4:$J$188,1,FALSE),"THERE WAS AN ERROR"),"RAPPORT JOURNAL","")</f>
        <v>RAPPORT JOURNAL</v>
      </c>
      <c r="B159" s="218" t="s">
        <v>293</v>
      </c>
      <c r="C159" s="170" t="s">
        <v>38</v>
      </c>
      <c r="D159" s="35">
        <f>SUMIF(entrant!$E$4:$E$2059,'Inventaire des produits'!B159,entrant!$G$4:$G$2059)</f>
        <v>300</v>
      </c>
      <c r="E159" s="35">
        <f>SUMIF(vente!$E$4:$E$2190,'Inventaire des produits'!B159,vente!$G$4:$G$2190)</f>
        <v>300</v>
      </c>
      <c r="F159" s="36">
        <f t="shared" si="6"/>
        <v>0</v>
      </c>
      <c r="G159" s="176">
        <v>9</v>
      </c>
      <c r="H159" s="182"/>
      <c r="I159" s="37">
        <f t="shared" si="7"/>
        <v>9</v>
      </c>
      <c r="J159" s="38">
        <f t="shared" si="8"/>
        <v>0</v>
      </c>
      <c r="K159" s="315"/>
      <c r="L159" s="145"/>
    </row>
    <row r="160" spans="1:12" ht="20.100000000000001" customHeight="1" thickBot="1" x14ac:dyDescent="0.4">
      <c r="A160" s="144" t="str">
        <f>IF(B160=IFERROR(VLOOKUP(B160,entrant!$E$4:$J$188,1,FALSE),"THERE WAS AN ERROR"),"RAPPORT JOURNAL","")</f>
        <v>RAPPORT JOURNAL</v>
      </c>
      <c r="B160" s="218" t="s">
        <v>295</v>
      </c>
      <c r="C160" s="170" t="s">
        <v>294</v>
      </c>
      <c r="D160" s="35">
        <f>SUMIF(entrant!$E$4:$E$2059,'Inventaire des produits'!B160,entrant!$G$4:$G$2059)</f>
        <v>450</v>
      </c>
      <c r="E160" s="35">
        <f>SUMIF(vente!$E$4:$E$2190,'Inventaire des produits'!B160,vente!$G$4:$G$2190)</f>
        <v>450</v>
      </c>
      <c r="F160" s="36">
        <f t="shared" si="6"/>
        <v>0</v>
      </c>
      <c r="G160" s="176">
        <v>1.41</v>
      </c>
      <c r="H160" s="182"/>
      <c r="I160" s="37">
        <f t="shared" si="7"/>
        <v>1.41</v>
      </c>
      <c r="J160" s="38">
        <f t="shared" si="8"/>
        <v>0</v>
      </c>
      <c r="K160" s="315"/>
      <c r="L160" s="145"/>
    </row>
    <row r="161" spans="1:12" ht="20.100000000000001" customHeight="1" thickBot="1" x14ac:dyDescent="0.4">
      <c r="A161" s="144" t="str">
        <f>IF(B161=IFERROR(VLOOKUP(B161,entrant!$E$4:$J$188,1,FALSE),"THERE WAS AN ERROR"),"RAPPORT JOURNAL","")</f>
        <v>RAPPORT JOURNAL</v>
      </c>
      <c r="B161" s="218" t="s">
        <v>296</v>
      </c>
      <c r="C161" s="170" t="s">
        <v>297</v>
      </c>
      <c r="D161" s="35">
        <f>SUMIF(entrant!$E$4:$E$2059,'Inventaire des produits'!B161,entrant!$G$4:$G$2059)</f>
        <v>1300</v>
      </c>
      <c r="E161" s="35">
        <f>SUMIF(vente!$E$4:$E$2190,'Inventaire des produits'!B161,vente!$G$4:$G$2190)</f>
        <v>1300</v>
      </c>
      <c r="F161" s="36">
        <f t="shared" si="6"/>
        <v>0</v>
      </c>
      <c r="G161" s="176">
        <v>0.78</v>
      </c>
      <c r="H161" s="182"/>
      <c r="I161" s="37">
        <f t="shared" si="7"/>
        <v>0.78</v>
      </c>
      <c r="J161" s="38">
        <f t="shared" si="8"/>
        <v>0</v>
      </c>
      <c r="K161" s="315"/>
      <c r="L161" s="145"/>
    </row>
    <row r="162" spans="1:12" ht="20.100000000000001" customHeight="1" thickBot="1" x14ac:dyDescent="0.4">
      <c r="A162" s="144" t="str">
        <f>IF(B162=IFERROR(VLOOKUP(B162,entrant!$E$4:$J$188,1,FALSE),"THERE WAS AN ERROR"),"RAPPORT JOURNAL","")</f>
        <v>RAPPORT JOURNAL</v>
      </c>
      <c r="B162" s="218" t="s">
        <v>309</v>
      </c>
      <c r="C162" s="170" t="s">
        <v>267</v>
      </c>
      <c r="D162" s="35">
        <f>SUMIF(entrant!$E$4:$E$2059,'Inventaire des produits'!B162,entrant!$G$4:$G$2059)</f>
        <v>5000</v>
      </c>
      <c r="E162" s="35">
        <f>SUMIF(vente!$E$4:$E$2190,'Inventaire des produits'!B162,vente!$G$4:$G$2190)</f>
        <v>5000</v>
      </c>
      <c r="F162" s="36">
        <f t="shared" si="6"/>
        <v>0</v>
      </c>
      <c r="G162" s="176">
        <v>0.6</v>
      </c>
      <c r="H162" s="182"/>
      <c r="I162" s="37">
        <f t="shared" si="7"/>
        <v>0.6</v>
      </c>
      <c r="J162" s="38">
        <f t="shared" si="8"/>
        <v>0</v>
      </c>
      <c r="K162" s="315"/>
      <c r="L162" s="145"/>
    </row>
    <row r="163" spans="1:12" ht="20.100000000000001" customHeight="1" thickBot="1" x14ac:dyDescent="0.4">
      <c r="A163" s="144" t="str">
        <f>IF(B163=IFERROR(VLOOKUP(B163,entrant!$E$4:$J$188,1,FALSE),"THERE WAS AN ERROR"),"RAPPORT JOURNAL","")</f>
        <v>RAPPORT JOURNAL</v>
      </c>
      <c r="B163" s="218" t="s">
        <v>299</v>
      </c>
      <c r="C163" s="170" t="s">
        <v>298</v>
      </c>
      <c r="D163" s="35">
        <f>SUMIF(entrant!$E$4:$E$2059,'Inventaire des produits'!B163,entrant!$G$4:$G$2059)</f>
        <v>14400</v>
      </c>
      <c r="E163" s="35">
        <f>SUMIF(vente!$E$4:$E$2190,'Inventaire des produits'!B163,vente!$G$4:$G$2190)</f>
        <v>14400</v>
      </c>
      <c r="F163" s="36">
        <f t="shared" si="6"/>
        <v>0</v>
      </c>
      <c r="G163" s="176">
        <v>0.3</v>
      </c>
      <c r="H163" s="182"/>
      <c r="I163" s="37">
        <f t="shared" si="7"/>
        <v>0.3</v>
      </c>
      <c r="J163" s="38">
        <f t="shared" si="8"/>
        <v>0</v>
      </c>
      <c r="K163" s="315"/>
      <c r="L163" s="145"/>
    </row>
    <row r="164" spans="1:12" ht="20.100000000000001" customHeight="1" thickBot="1" x14ac:dyDescent="0.4">
      <c r="A164" s="144" t="str">
        <f>IF(B164=IFERROR(VLOOKUP(B164,entrant!$E$4:$J$188,1,FALSE),"THERE WAS AN ERROR"),"RAPPORT JOURNAL","")</f>
        <v/>
      </c>
      <c r="B164" s="146" t="s">
        <v>301</v>
      </c>
      <c r="C164" s="170" t="s">
        <v>26</v>
      </c>
      <c r="D164" s="35">
        <f>SUMIF(entrant!$E$4:$E$2059,'Inventaire des produits'!B164,entrant!$G$4:$G$2059)</f>
        <v>4000</v>
      </c>
      <c r="E164" s="35">
        <f>SUMIF(vente!$E$4:$E$2190,'Inventaire des produits'!B164,vente!$G$4:$G$2190)</f>
        <v>4000</v>
      </c>
      <c r="F164" s="36">
        <f t="shared" si="6"/>
        <v>0</v>
      </c>
      <c r="G164" s="176">
        <v>0.05</v>
      </c>
      <c r="H164" s="182"/>
      <c r="I164" s="37">
        <f t="shared" si="7"/>
        <v>0.05</v>
      </c>
      <c r="J164" s="38">
        <f t="shared" si="8"/>
        <v>0</v>
      </c>
      <c r="K164" s="315"/>
      <c r="L164" s="145"/>
    </row>
    <row r="165" spans="1:12" ht="20.100000000000001" customHeight="1" thickBot="1" x14ac:dyDescent="0.4">
      <c r="A165" s="144" t="str">
        <f>IF(B165=IFERROR(VLOOKUP(B165,entrant!$E$4:$J$188,1,FALSE),"THERE WAS AN ERROR"),"RAPPORT JOURNAL","")</f>
        <v>RAPPORT JOURNAL</v>
      </c>
      <c r="B165" s="218" t="s">
        <v>303</v>
      </c>
      <c r="C165" s="170" t="s">
        <v>268</v>
      </c>
      <c r="D165" s="35">
        <f>SUMIF(entrant!$E$4:$E$2059,'Inventaire des produits'!B165,entrant!$G$4:$G$2059)</f>
        <v>500</v>
      </c>
      <c r="E165" s="35">
        <f>SUMIF(vente!$E$4:$E$2190,'Inventaire des produits'!B165,vente!$G$4:$G$2190)</f>
        <v>500</v>
      </c>
      <c r="F165" s="36">
        <f t="shared" si="6"/>
        <v>0</v>
      </c>
      <c r="G165" s="176">
        <v>1.375</v>
      </c>
      <c r="H165" s="182"/>
      <c r="I165" s="37">
        <f t="shared" si="7"/>
        <v>1.375</v>
      </c>
      <c r="J165" s="38">
        <f t="shared" si="8"/>
        <v>0</v>
      </c>
      <c r="K165" s="315"/>
      <c r="L165" s="145"/>
    </row>
    <row r="166" spans="1:12" ht="20.100000000000001" customHeight="1" thickBot="1" x14ac:dyDescent="0.4">
      <c r="A166" s="144" t="str">
        <f>IF(B166=IFERROR(VLOOKUP(B166,entrant!$E$4:$J$188,1,FALSE),"THERE WAS AN ERROR"),"RAPPORT JOURNAL","")</f>
        <v>RAPPORT JOURNAL</v>
      </c>
      <c r="B166" s="218" t="s">
        <v>304</v>
      </c>
      <c r="C166" s="170" t="s">
        <v>268</v>
      </c>
      <c r="D166" s="35">
        <f>SUMIF(entrant!$E$4:$E$2059,'Inventaire des produits'!B166,entrant!$G$4:$G$2059)</f>
        <v>250</v>
      </c>
      <c r="E166" s="35">
        <f>SUMIF(vente!$E$4:$E$2190,'Inventaire des produits'!B166,vente!$G$4:$G$2190)</f>
        <v>250</v>
      </c>
      <c r="F166" s="36">
        <f t="shared" si="6"/>
        <v>0</v>
      </c>
      <c r="G166" s="176">
        <v>1.2086250000000001</v>
      </c>
      <c r="H166" s="182"/>
      <c r="I166" s="37">
        <f t="shared" si="7"/>
        <v>1.2086250000000001</v>
      </c>
      <c r="J166" s="38">
        <f t="shared" si="8"/>
        <v>0</v>
      </c>
      <c r="K166" s="315"/>
      <c r="L166" s="145"/>
    </row>
    <row r="167" spans="1:12" ht="20.100000000000001" customHeight="1" thickBot="1" x14ac:dyDescent="0.4">
      <c r="A167" s="144" t="str">
        <f>IF(B167=IFERROR(VLOOKUP(B167,entrant!$E$4:$J$188,1,FALSE),"THERE WAS AN ERROR"),"RAPPORT JOURNAL","")</f>
        <v>RAPPORT JOURNAL</v>
      </c>
      <c r="B167" s="218" t="s">
        <v>305</v>
      </c>
      <c r="C167" s="170" t="s">
        <v>44</v>
      </c>
      <c r="D167" s="35">
        <f>SUMIF(entrant!$E$4:$E$2059,'Inventaire des produits'!B167,entrant!$G$4:$G$2059)</f>
        <v>1</v>
      </c>
      <c r="E167" s="35">
        <f>SUMIF(vente!$E$4:$E$2190,'Inventaire des produits'!B167,vente!$G$4:$G$2190)</f>
        <v>1</v>
      </c>
      <c r="F167" s="36">
        <f t="shared" si="6"/>
        <v>0</v>
      </c>
      <c r="G167" s="176">
        <v>725</v>
      </c>
      <c r="H167" s="182"/>
      <c r="I167" s="37">
        <f t="shared" si="7"/>
        <v>725</v>
      </c>
      <c r="J167" s="38">
        <f t="shared" si="8"/>
        <v>0</v>
      </c>
      <c r="K167" s="315"/>
      <c r="L167" s="145"/>
    </row>
    <row r="168" spans="1:12" ht="20.100000000000001" customHeight="1" thickBot="1" x14ac:dyDescent="0.4">
      <c r="A168" s="144" t="str">
        <f>IF(B168=IFERROR(VLOOKUP(B168,entrant!$E$4:$J$188,1,FALSE),"THERE WAS AN ERROR"),"RAPPORT JOURNAL","")</f>
        <v/>
      </c>
      <c r="B168" s="147" t="s">
        <v>317</v>
      </c>
      <c r="C168" s="170" t="s">
        <v>357</v>
      </c>
      <c r="D168" s="35">
        <f>SUMIF(entrant!$E$4:$E$2059,'Inventaire des produits'!B168,entrant!$G$4:$G$2059)</f>
        <v>2500</v>
      </c>
      <c r="E168" s="35">
        <f>SUMIF(vente!$E$4:$E$2190,'Inventaire des produits'!B168,vente!$G$4:$G$2190)</f>
        <v>2500</v>
      </c>
      <c r="F168" s="36">
        <f t="shared" si="6"/>
        <v>0</v>
      </c>
      <c r="G168" s="176">
        <v>1.38</v>
      </c>
      <c r="H168" s="182"/>
      <c r="I168" s="37">
        <f t="shared" si="7"/>
        <v>1.38</v>
      </c>
      <c r="J168" s="38">
        <f t="shared" si="8"/>
        <v>0</v>
      </c>
      <c r="K168" s="315"/>
      <c r="L168" s="145"/>
    </row>
    <row r="169" spans="1:12" ht="20.100000000000001" customHeight="1" thickBot="1" x14ac:dyDescent="0.4">
      <c r="A169" s="144" t="str">
        <f>IF(B169=IFERROR(VLOOKUP(B169,entrant!$E$4:$J$188,1,FALSE),"THERE WAS AN ERROR"),"RAPPORT JOURNAL","")</f>
        <v/>
      </c>
      <c r="B169" s="147" t="s">
        <v>319</v>
      </c>
      <c r="C169" s="170" t="s">
        <v>318</v>
      </c>
      <c r="D169" s="35">
        <f>SUMIF(entrant!$E$4:$E$2059,'Inventaire des produits'!B169,entrant!$G$4:$G$2059)</f>
        <v>180</v>
      </c>
      <c r="E169" s="35">
        <f>SUMIF(vente!$E$4:$E$2190,'Inventaire des produits'!B169,vente!$G$4:$G$2190)</f>
        <v>180</v>
      </c>
      <c r="F169" s="36">
        <f t="shared" si="6"/>
        <v>0</v>
      </c>
      <c r="G169" s="176">
        <v>17.5</v>
      </c>
      <c r="H169" s="182"/>
      <c r="I169" s="37">
        <f t="shared" si="7"/>
        <v>17.5</v>
      </c>
      <c r="J169" s="38">
        <f t="shared" si="8"/>
        <v>0</v>
      </c>
      <c r="K169" s="315"/>
      <c r="L169" s="145"/>
    </row>
    <row r="170" spans="1:12" ht="20.100000000000001" customHeight="1" thickBot="1" x14ac:dyDescent="0.4">
      <c r="A170" s="144" t="str">
        <f>IF(B170=IFERROR(VLOOKUP(B170,entrant!$E$4:$J$188,1,FALSE),"THERE WAS AN ERROR"),"RAPPORT JOURNAL","")</f>
        <v/>
      </c>
      <c r="B170" s="147" t="s">
        <v>320</v>
      </c>
      <c r="C170" s="170" t="s">
        <v>26</v>
      </c>
      <c r="D170" s="35">
        <f>SUMIF(entrant!$E$4:$E$2059,'Inventaire des produits'!B170,entrant!$G$4:$G$2059)</f>
        <v>20000</v>
      </c>
      <c r="E170" s="35">
        <f>SUMIF(vente!$E$4:$E$2190,'Inventaire des produits'!B170,vente!$G$4:$G$2190)</f>
        <v>20000</v>
      </c>
      <c r="F170" s="36">
        <f t="shared" si="6"/>
        <v>0</v>
      </c>
      <c r="G170" s="176">
        <v>4.5999999999999999E-2</v>
      </c>
      <c r="H170" s="182"/>
      <c r="I170" s="37">
        <f t="shared" si="7"/>
        <v>4.5999999999999999E-2</v>
      </c>
      <c r="J170" s="38">
        <f t="shared" si="8"/>
        <v>0</v>
      </c>
      <c r="K170" s="315"/>
      <c r="L170" s="145"/>
    </row>
    <row r="171" spans="1:12" ht="20.100000000000001" customHeight="1" thickBot="1" x14ac:dyDescent="0.4">
      <c r="A171" s="144" t="str">
        <f>IF(B171=IFERROR(VLOOKUP(B171,entrant!$E$4:$J$188,1,FALSE),"THERE WAS AN ERROR"),"RAPPORT JOURNAL","")</f>
        <v/>
      </c>
      <c r="B171" s="147" t="s">
        <v>322</v>
      </c>
      <c r="C171" s="170" t="s">
        <v>359</v>
      </c>
      <c r="D171" s="35">
        <f>SUMIF(entrant!$E$4:$E$2059,'Inventaire des produits'!B171,entrant!$G$4:$G$2059)</f>
        <v>170000</v>
      </c>
      <c r="E171" s="35">
        <f>SUMIF(vente!$E$4:$E$2190,'Inventaire des produits'!B171,vente!$G$4:$G$2190)</f>
        <v>170000</v>
      </c>
      <c r="F171" s="36">
        <f t="shared" si="6"/>
        <v>0</v>
      </c>
      <c r="G171" s="176">
        <v>0.13500000000000001</v>
      </c>
      <c r="H171" s="182"/>
      <c r="I171" s="37">
        <f t="shared" si="7"/>
        <v>0.13500000000000001</v>
      </c>
      <c r="J171" s="38">
        <f t="shared" si="8"/>
        <v>0</v>
      </c>
      <c r="K171" s="315"/>
      <c r="L171" s="145"/>
    </row>
    <row r="172" spans="1:12" ht="20.100000000000001" customHeight="1" thickBot="1" x14ac:dyDescent="0.4">
      <c r="A172" s="144" t="str">
        <f>IF(B172=IFERROR(VLOOKUP(B172,entrant!$E$4:$J$188,1,FALSE),"THERE WAS AN ERROR"),"RAPPORT JOURNAL","")</f>
        <v/>
      </c>
      <c r="B172" s="147" t="s">
        <v>328</v>
      </c>
      <c r="C172" s="170" t="s">
        <v>316</v>
      </c>
      <c r="D172" s="35">
        <f>SUMIF(entrant!$E$4:$E$2059,'Inventaire des produits'!B172,entrant!$G$4:$G$2059)</f>
        <v>750</v>
      </c>
      <c r="E172" s="35">
        <f>SUMIF(vente!$E$4:$E$2190,'Inventaire des produits'!B172,vente!$G$4:$G$2190)</f>
        <v>750</v>
      </c>
      <c r="F172" s="36">
        <f t="shared" si="6"/>
        <v>0</v>
      </c>
      <c r="G172" s="176">
        <v>1.34</v>
      </c>
      <c r="H172" s="182"/>
      <c r="I172" s="37">
        <f t="shared" si="7"/>
        <v>1.34</v>
      </c>
      <c r="J172" s="38">
        <f t="shared" si="8"/>
        <v>0</v>
      </c>
      <c r="K172" s="315"/>
      <c r="L172" s="145"/>
    </row>
    <row r="173" spans="1:12" ht="20.100000000000001" customHeight="1" thickBot="1" x14ac:dyDescent="0.4">
      <c r="A173" s="144" t="str">
        <f>IF(B173=IFERROR(VLOOKUP(B173,entrant!$E$4:$J$188,1,FALSE),"THERE WAS AN ERROR"),"RAPPORT JOURNAL","")</f>
        <v/>
      </c>
      <c r="B173" s="147" t="s">
        <v>334</v>
      </c>
      <c r="C173" s="170" t="s">
        <v>330</v>
      </c>
      <c r="D173" s="35">
        <f>SUMIF(entrant!$E$4:$E$2059,'Inventaire des produits'!B173,entrant!$G$4:$G$2059)</f>
        <v>1000</v>
      </c>
      <c r="E173" s="35">
        <f>SUMIF(vente!$E$4:$E$2190,'Inventaire des produits'!B173,vente!$G$4:$G$2190)</f>
        <v>1000</v>
      </c>
      <c r="F173" s="36">
        <f t="shared" si="6"/>
        <v>0</v>
      </c>
      <c r="G173" s="176">
        <v>0.34</v>
      </c>
      <c r="H173" s="182"/>
      <c r="I173" s="37">
        <f t="shared" si="7"/>
        <v>0.34</v>
      </c>
      <c r="J173" s="38">
        <f t="shared" si="8"/>
        <v>0</v>
      </c>
      <c r="K173" s="315"/>
      <c r="L173" s="145"/>
    </row>
    <row r="174" spans="1:12" ht="20.100000000000001" customHeight="1" thickBot="1" x14ac:dyDescent="0.4">
      <c r="A174" s="144" t="str">
        <f>IF(B174=IFERROR(VLOOKUP(B174,entrant!$E$4:$J$188,1,FALSE),"THERE WAS AN ERROR"),"RAPPORT JOURNAL","")</f>
        <v/>
      </c>
      <c r="B174" s="147" t="s">
        <v>335</v>
      </c>
      <c r="C174" s="170" t="s">
        <v>331</v>
      </c>
      <c r="D174" s="35">
        <f>SUMIF(entrant!$E$4:$E$2059,'Inventaire des produits'!B174,entrant!$G$4:$G$2059)</f>
        <v>3</v>
      </c>
      <c r="E174" s="35">
        <f>SUMIF(vente!$E$4:$E$2190,'Inventaire des produits'!B174,vente!$G$4:$G$2190)</f>
        <v>3</v>
      </c>
      <c r="F174" s="36">
        <f t="shared" si="6"/>
        <v>0</v>
      </c>
      <c r="G174" s="176">
        <v>20</v>
      </c>
      <c r="H174" s="182"/>
      <c r="I174" s="37">
        <f t="shared" si="7"/>
        <v>20</v>
      </c>
      <c r="J174" s="38">
        <f t="shared" si="8"/>
        <v>0</v>
      </c>
      <c r="K174" s="315"/>
      <c r="L174" s="145"/>
    </row>
    <row r="175" spans="1:12" ht="20.100000000000001" customHeight="1" thickBot="1" x14ac:dyDescent="0.4">
      <c r="A175" s="144" t="str">
        <f>IF(B175=IFERROR(VLOOKUP(B175,entrant!$E$4:$J$188,1,FALSE),"THERE WAS AN ERROR"),"RAPPORT JOURNAL","")</f>
        <v/>
      </c>
      <c r="B175" s="147" t="s">
        <v>336</v>
      </c>
      <c r="C175" s="170" t="s">
        <v>332</v>
      </c>
      <c r="D175" s="35">
        <f>SUMIF(entrant!$E$4:$E$2059,'Inventaire des produits'!B175,entrant!$G$4:$G$2059)</f>
        <v>900</v>
      </c>
      <c r="E175" s="35">
        <f>SUMIF(vente!$E$4:$E$2190,'Inventaire des produits'!B175,vente!$G$4:$G$2190)</f>
        <v>900</v>
      </c>
      <c r="F175" s="36">
        <f t="shared" si="6"/>
        <v>0</v>
      </c>
      <c r="G175" s="176">
        <v>0.57999999999999996</v>
      </c>
      <c r="H175" s="182"/>
      <c r="I175" s="37">
        <f t="shared" si="7"/>
        <v>0.57999999999999996</v>
      </c>
      <c r="J175" s="38">
        <f t="shared" si="8"/>
        <v>0</v>
      </c>
      <c r="K175" s="315"/>
      <c r="L175" s="145"/>
    </row>
    <row r="176" spans="1:12" ht="20.100000000000001" customHeight="1" thickBot="1" x14ac:dyDescent="0.4">
      <c r="A176" s="144" t="str">
        <f>IF(B176=IFERROR(VLOOKUP(B176,entrant!$E$4:$J$188,1,FALSE),"THERE WAS AN ERROR"),"RAPPORT JOURNAL","")</f>
        <v/>
      </c>
      <c r="B176" s="147" t="s">
        <v>337</v>
      </c>
      <c r="C176" s="170" t="s">
        <v>333</v>
      </c>
      <c r="D176" s="35">
        <f>SUMIF(entrant!$E$4:$E$2059,'Inventaire des produits'!B176,entrant!$G$4:$G$2059)</f>
        <v>500</v>
      </c>
      <c r="E176" s="35">
        <f>SUMIF(vente!$E$4:$E$2190,'Inventaire des produits'!B176,vente!$G$4:$G$2190)</f>
        <v>500</v>
      </c>
      <c r="F176" s="36">
        <f t="shared" si="6"/>
        <v>0</v>
      </c>
      <c r="G176" s="176">
        <v>0.4</v>
      </c>
      <c r="H176" s="182"/>
      <c r="I176" s="37">
        <f t="shared" si="7"/>
        <v>0.4</v>
      </c>
      <c r="J176" s="38">
        <f t="shared" si="8"/>
        <v>0</v>
      </c>
      <c r="K176" s="315"/>
      <c r="L176" s="145"/>
    </row>
    <row r="177" spans="1:12" ht="20.100000000000001" customHeight="1" thickBot="1" x14ac:dyDescent="0.4">
      <c r="A177" s="144" t="str">
        <f>IF(B177=IFERROR(VLOOKUP(B177,entrant!$E$4:$J$188,1,FALSE),"THERE WAS AN ERROR"),"RAPPORT JOURNAL","")</f>
        <v>RAPPORT JOURNAL</v>
      </c>
      <c r="B177" s="218" t="s">
        <v>339</v>
      </c>
      <c r="C177" s="170" t="s">
        <v>340</v>
      </c>
      <c r="D177" s="35">
        <f>SUMIF(entrant!$E$4:$E$2059,'Inventaire des produits'!B177,entrant!$G$4:$G$2059)</f>
        <v>4000</v>
      </c>
      <c r="E177" s="35">
        <f>SUMIF(vente!$E$4:$E$2190,'Inventaire des produits'!B177,vente!$G$4:$G$2190)</f>
        <v>4000</v>
      </c>
      <c r="F177" s="36">
        <f t="shared" si="6"/>
        <v>0</v>
      </c>
      <c r="G177" s="176">
        <v>0.61666666670000003</v>
      </c>
      <c r="H177" s="182"/>
      <c r="I177" s="37">
        <f t="shared" si="7"/>
        <v>0.61666666670000003</v>
      </c>
      <c r="J177" s="38">
        <f t="shared" si="8"/>
        <v>0</v>
      </c>
      <c r="K177" s="315"/>
      <c r="L177" s="145"/>
    </row>
    <row r="178" spans="1:12" ht="20.100000000000001" customHeight="1" thickBot="1" x14ac:dyDescent="0.4">
      <c r="A178" s="144" t="str">
        <f>IF(B178=IFERROR(VLOOKUP(B178,entrant!$E$4:$J$188,1,FALSE),"THERE WAS AN ERROR"),"RAPPORT JOURNAL","")</f>
        <v>RAPPORT JOURNAL</v>
      </c>
      <c r="B178" s="218" t="s">
        <v>341</v>
      </c>
      <c r="C178" s="170" t="s">
        <v>35</v>
      </c>
      <c r="D178" s="35">
        <f>SUMIF(entrant!$E$4:$E$2059,'Inventaire des produits'!B178,entrant!$G$4:$G$2059)</f>
        <v>90</v>
      </c>
      <c r="E178" s="35">
        <f>SUMIF(vente!$E$4:$E$2190,'Inventaire des produits'!B178,vente!$G$4:$G$2190)</f>
        <v>90</v>
      </c>
      <c r="F178" s="36">
        <f t="shared" si="6"/>
        <v>0</v>
      </c>
      <c r="G178" s="176">
        <v>57.5</v>
      </c>
      <c r="H178" s="182"/>
      <c r="I178" s="37">
        <f t="shared" si="7"/>
        <v>57.5</v>
      </c>
      <c r="J178" s="38">
        <f t="shared" si="8"/>
        <v>0</v>
      </c>
      <c r="K178" s="315"/>
      <c r="L178" s="145"/>
    </row>
    <row r="179" spans="1:12" ht="20.100000000000001" customHeight="1" thickBot="1" x14ac:dyDescent="0.4">
      <c r="A179" s="144" t="str">
        <f>IF(B179=IFERROR(VLOOKUP(B179,entrant!$E$4:$J$188,1,FALSE),"THERE WAS AN ERROR"),"RAPPORT JOURNAL","")</f>
        <v>RAPPORT JOURNAL</v>
      </c>
      <c r="B179" s="218" t="s">
        <v>342</v>
      </c>
      <c r="C179" s="170" t="s">
        <v>343</v>
      </c>
      <c r="D179" s="35">
        <f>SUMIF(entrant!$E$4:$E$2059,'Inventaire des produits'!B179,entrant!$G$4:$G$2059)</f>
        <v>110</v>
      </c>
      <c r="E179" s="35">
        <f>SUMIF(vente!$E$4:$E$2190,'Inventaire des produits'!B179,vente!$G$4:$G$2190)</f>
        <v>110</v>
      </c>
      <c r="F179" s="36">
        <f t="shared" si="6"/>
        <v>0</v>
      </c>
      <c r="G179" s="176">
        <v>22.5</v>
      </c>
      <c r="H179" s="182"/>
      <c r="I179" s="37">
        <f t="shared" si="7"/>
        <v>22.5</v>
      </c>
      <c r="J179" s="38">
        <f t="shared" si="8"/>
        <v>0</v>
      </c>
      <c r="K179" s="315"/>
      <c r="L179" s="145"/>
    </row>
    <row r="180" spans="1:12" ht="20.100000000000001" customHeight="1" thickBot="1" x14ac:dyDescent="0.4">
      <c r="A180" s="144" t="str">
        <f>IF(B180=IFERROR(VLOOKUP(B180,entrant!$E$4:$J$188,1,FALSE),"THERE WAS AN ERROR"),"RAPPORT JOURNAL","")</f>
        <v>RAPPORT JOURNAL</v>
      </c>
      <c r="B180" s="218" t="s">
        <v>344</v>
      </c>
      <c r="C180" s="170" t="s">
        <v>34</v>
      </c>
      <c r="D180" s="35">
        <f>SUMIF(entrant!$E$4:$E$2059,'Inventaire des produits'!B180,entrant!$G$4:$G$2059)</f>
        <v>100</v>
      </c>
      <c r="E180" s="35">
        <f>SUMIF(vente!$E$4:$E$2190,'Inventaire des produits'!B180,vente!$G$4:$G$2190)</f>
        <v>100</v>
      </c>
      <c r="F180" s="36">
        <f t="shared" si="6"/>
        <v>0</v>
      </c>
      <c r="G180" s="176">
        <v>20.833333333300001</v>
      </c>
      <c r="H180" s="182"/>
      <c r="I180" s="37">
        <f t="shared" si="7"/>
        <v>20.833333333300001</v>
      </c>
      <c r="J180" s="38">
        <f t="shared" si="8"/>
        <v>0</v>
      </c>
      <c r="K180" s="315"/>
      <c r="L180" s="145"/>
    </row>
    <row r="181" spans="1:12" ht="20.100000000000001" customHeight="1" thickBot="1" x14ac:dyDescent="0.4">
      <c r="A181" s="144" t="str">
        <f>IF(B181=IFERROR(VLOOKUP(B181,entrant!$E$4:$J$188,1,FALSE),"THERE WAS AN ERROR"),"RAPPORT JOURNAL","")</f>
        <v>RAPPORT JOURNAL</v>
      </c>
      <c r="B181" s="218" t="s">
        <v>345</v>
      </c>
      <c r="C181" s="170" t="s">
        <v>346</v>
      </c>
      <c r="D181" s="35">
        <f>SUMIF(entrant!$E$4:$E$2059,'Inventaire des produits'!B181,entrant!$G$4:$G$2059)</f>
        <v>60000</v>
      </c>
      <c r="E181" s="35">
        <f>SUMIF(vente!$E$4:$E$2190,'Inventaire des produits'!B181,vente!$G$4:$G$2190)</f>
        <v>60000</v>
      </c>
      <c r="F181" s="36">
        <f t="shared" si="6"/>
        <v>0</v>
      </c>
      <c r="G181" s="176">
        <v>8.3333333300000006E-2</v>
      </c>
      <c r="H181" s="182"/>
      <c r="I181" s="37">
        <f t="shared" si="7"/>
        <v>8.3333333300000006E-2</v>
      </c>
      <c r="J181" s="38">
        <f t="shared" si="8"/>
        <v>0</v>
      </c>
      <c r="K181" s="315"/>
      <c r="L181" s="145"/>
    </row>
    <row r="182" spans="1:12" ht="20.100000000000001" customHeight="1" thickBot="1" x14ac:dyDescent="0.4">
      <c r="A182" s="144" t="str">
        <f>IF(B182=IFERROR(VLOOKUP(B182,entrant!$E$4:$J$188,1,FALSE),"THERE WAS AN ERROR"),"RAPPORT JOURNAL","")</f>
        <v>RAPPORT JOURNAL</v>
      </c>
      <c r="B182" s="218" t="s">
        <v>347</v>
      </c>
      <c r="C182" s="170" t="s">
        <v>349</v>
      </c>
      <c r="D182" s="35">
        <f>SUMIF(entrant!$E$4:$E$2059,'Inventaire des produits'!B182,entrant!$G$4:$G$2059)</f>
        <v>96</v>
      </c>
      <c r="E182" s="35">
        <f>SUMIF(vente!$E$4:$E$2190,'Inventaire des produits'!B182,vente!$G$4:$G$2190)</f>
        <v>96</v>
      </c>
      <c r="F182" s="36">
        <f t="shared" si="6"/>
        <v>0</v>
      </c>
      <c r="G182" s="176">
        <v>12.27</v>
      </c>
      <c r="H182" s="182"/>
      <c r="I182" s="37">
        <f t="shared" si="7"/>
        <v>12.27</v>
      </c>
      <c r="J182" s="38">
        <f t="shared" si="8"/>
        <v>0</v>
      </c>
      <c r="K182" s="315"/>
      <c r="L182" s="145"/>
    </row>
    <row r="183" spans="1:12" ht="20.100000000000001" customHeight="1" thickBot="1" x14ac:dyDescent="0.4">
      <c r="A183" s="144" t="str">
        <f>IF(B183=IFERROR(VLOOKUP(B183,entrant!$E$4:$J$188,1,FALSE),"THERE WAS AN ERROR"),"RAPPORT JOURNAL","")</f>
        <v>RAPPORT JOURNAL</v>
      </c>
      <c r="B183" s="218" t="s">
        <v>348</v>
      </c>
      <c r="C183" s="170" t="s">
        <v>350</v>
      </c>
      <c r="D183" s="35">
        <f>SUMIF(entrant!$E$4:$E$2059,'Inventaire des produits'!B183,entrant!$G$4:$G$2059)</f>
        <v>653</v>
      </c>
      <c r="E183" s="35">
        <f>SUMIF(vente!$E$4:$E$2190,'Inventaire des produits'!B183,vente!$G$4:$G$2190)</f>
        <v>653</v>
      </c>
      <c r="F183" s="36">
        <f t="shared" si="6"/>
        <v>0</v>
      </c>
      <c r="G183" s="176">
        <v>0.63</v>
      </c>
      <c r="H183" s="182"/>
      <c r="I183" s="37">
        <f t="shared" si="7"/>
        <v>0.63</v>
      </c>
      <c r="J183" s="38">
        <f t="shared" si="8"/>
        <v>0</v>
      </c>
      <c r="K183" s="315"/>
      <c r="L183" s="145"/>
    </row>
    <row r="184" spans="1:12" ht="20.100000000000001" customHeight="1" thickBot="1" x14ac:dyDescent="0.4">
      <c r="A184" s="144" t="str">
        <f>IF(B184=IFERROR(VLOOKUP(B184,entrant!$E$4:$J$188,1,FALSE),"THERE WAS AN ERROR"),"RAPPORT JOURNAL","")</f>
        <v>RAPPORT JOURNAL</v>
      </c>
      <c r="B184" s="218" t="s">
        <v>361</v>
      </c>
      <c r="C184" s="170" t="s">
        <v>363</v>
      </c>
      <c r="D184" s="35">
        <f>SUMIF(entrant!$E$4:$E$2059,'Inventaire des produits'!B184,entrant!$G$4:$G$2059)</f>
        <v>353.33</v>
      </c>
      <c r="E184" s="35">
        <f>SUMIF(vente!$E$4:$E$2190,'Inventaire des produits'!B184,vente!$G$4:$G$2190)</f>
        <v>353.33</v>
      </c>
      <c r="F184" s="36">
        <f t="shared" si="6"/>
        <v>0</v>
      </c>
      <c r="G184" s="176">
        <v>25</v>
      </c>
      <c r="H184" s="182"/>
      <c r="I184" s="37">
        <f t="shared" si="7"/>
        <v>25</v>
      </c>
      <c r="J184" s="38">
        <f t="shared" si="8"/>
        <v>0</v>
      </c>
      <c r="K184" s="315"/>
      <c r="L184" s="145"/>
    </row>
    <row r="185" spans="1:12" ht="20.100000000000001" customHeight="1" thickBot="1" x14ac:dyDescent="0.4">
      <c r="A185" s="144" t="str">
        <f>IF(B185=IFERROR(VLOOKUP(B185,entrant!$E$4:$J$188,1,FALSE),"THERE WAS AN ERROR"),"RAPPORT JOURNAL","")</f>
        <v>RAPPORT JOURNAL</v>
      </c>
      <c r="B185" s="218" t="s">
        <v>365</v>
      </c>
      <c r="C185" s="170" t="s">
        <v>392</v>
      </c>
      <c r="D185" s="35">
        <f>SUMIF(entrant!$E$4:$E$2059,'Inventaire des produits'!B185,entrant!$G$4:$G$2059)</f>
        <v>250</v>
      </c>
      <c r="E185" s="35">
        <f>SUMIF(vente!$E$4:$E$2190,'Inventaire des produits'!B185,vente!$G$4:$G$2190)</f>
        <v>250</v>
      </c>
      <c r="F185" s="36">
        <f t="shared" si="6"/>
        <v>0</v>
      </c>
      <c r="G185" s="176">
        <v>4.9166666667000003</v>
      </c>
      <c r="H185" s="182"/>
      <c r="I185" s="37">
        <f t="shared" si="7"/>
        <v>4.9166666667000003</v>
      </c>
      <c r="J185" s="38">
        <f t="shared" si="8"/>
        <v>0</v>
      </c>
      <c r="K185" s="315"/>
      <c r="L185" s="145"/>
    </row>
    <row r="186" spans="1:12" ht="20.100000000000001" customHeight="1" thickBot="1" x14ac:dyDescent="0.4">
      <c r="A186" s="144" t="str">
        <f>IF(B186=IFERROR(VLOOKUP(B186,entrant!$E$4:$J$188,1,FALSE),"THERE WAS AN ERROR"),"RAPPORT JOURNAL","")</f>
        <v>RAPPORT JOURNAL</v>
      </c>
      <c r="B186" s="218" t="s">
        <v>366</v>
      </c>
      <c r="C186" s="170" t="s">
        <v>393</v>
      </c>
      <c r="D186" s="35">
        <f>SUMIF(entrant!$E$4:$E$2059,'Inventaire des produits'!B186,entrant!$G$4:$G$2059)</f>
        <v>5</v>
      </c>
      <c r="E186" s="35">
        <f>SUMIF(vente!$E$4:$E$2190,'Inventaire des produits'!B186,vente!$G$4:$G$2190)</f>
        <v>5</v>
      </c>
      <c r="F186" s="36">
        <f t="shared" si="6"/>
        <v>0</v>
      </c>
      <c r="G186" s="176">
        <v>245.833333333333</v>
      </c>
      <c r="H186" s="182"/>
      <c r="I186" s="37">
        <f t="shared" si="7"/>
        <v>245.833333333333</v>
      </c>
      <c r="J186" s="38">
        <f t="shared" si="8"/>
        <v>0</v>
      </c>
      <c r="K186" s="315"/>
      <c r="L186" s="145"/>
    </row>
    <row r="187" spans="1:12" ht="20.100000000000001" customHeight="1" thickBot="1" x14ac:dyDescent="0.4">
      <c r="A187" s="144"/>
      <c r="B187" s="147" t="s">
        <v>369</v>
      </c>
      <c r="C187" s="170" t="s">
        <v>370</v>
      </c>
      <c r="D187" s="35">
        <f>SUMIF(entrant!$E$4:$E$2059,'Inventaire des produits'!B187,entrant!$G$4:$G$2059)</f>
        <v>500</v>
      </c>
      <c r="E187" s="35">
        <f>SUMIF(vente!$E$4:$E$2190,'Inventaire des produits'!B187,vente!$G$4:$G$2190)</f>
        <v>500</v>
      </c>
      <c r="F187" s="36">
        <f t="shared" si="6"/>
        <v>0</v>
      </c>
      <c r="G187" s="176">
        <v>8.5</v>
      </c>
      <c r="H187" s="182"/>
      <c r="I187" s="37">
        <f t="shared" si="7"/>
        <v>8.5</v>
      </c>
      <c r="J187" s="38">
        <f t="shared" si="8"/>
        <v>0</v>
      </c>
      <c r="K187" s="315"/>
      <c r="L187" s="145"/>
    </row>
    <row r="188" spans="1:12" ht="20.100000000000001" customHeight="1" thickBot="1" x14ac:dyDescent="0.4">
      <c r="A188" s="144" t="str">
        <f>IF(B188=IFERROR(VLOOKUP(B188,entrant!$E$4:$J$188,1,FALSE),"THERE WAS AN ERROR"),"RAPPORT JOURNAL","")</f>
        <v/>
      </c>
      <c r="B188" s="147" t="s">
        <v>372</v>
      </c>
      <c r="C188" s="170" t="s">
        <v>357</v>
      </c>
      <c r="D188" s="35">
        <f>SUMIF(entrant!$E$4:$E$2059,'Inventaire des produits'!B188,entrant!$G$4:$G$2059)</f>
        <v>5000</v>
      </c>
      <c r="E188" s="35">
        <f>SUMIF(vente!$E$4:$E$2190,'Inventaire des produits'!B188,vente!$G$4:$G$2190)</f>
        <v>5000</v>
      </c>
      <c r="F188" s="36">
        <f t="shared" si="6"/>
        <v>0</v>
      </c>
      <c r="G188" s="176">
        <v>1.34</v>
      </c>
      <c r="H188" s="182"/>
      <c r="I188" s="37">
        <f t="shared" si="7"/>
        <v>1.34</v>
      </c>
      <c r="J188" s="38">
        <f t="shared" si="8"/>
        <v>0</v>
      </c>
      <c r="K188" s="315"/>
      <c r="L188" s="145"/>
    </row>
    <row r="189" spans="1:12" ht="20.100000000000001" customHeight="1" thickBot="1" x14ac:dyDescent="0.4">
      <c r="A189" s="144" t="str">
        <f>IF(B189=IFERROR(VLOOKUP(B189,entrant!$E$4:$J$188,1,FALSE),"THERE WAS AN ERROR"),"RAPPORT JOURNAL","")</f>
        <v/>
      </c>
      <c r="B189" s="147" t="s">
        <v>373</v>
      </c>
      <c r="C189" s="170" t="s">
        <v>267</v>
      </c>
      <c r="D189" s="35">
        <f>SUMIF(entrant!$E$4:$E$2059,'Inventaire des produits'!B189,entrant!$G$4:$G$2059)</f>
        <v>200</v>
      </c>
      <c r="E189" s="35">
        <f>SUMIF(vente!$E$4:$E$2190,'Inventaire des produits'!B189,vente!$G$4:$G$2190)</f>
        <v>200</v>
      </c>
      <c r="F189" s="36">
        <f t="shared" si="6"/>
        <v>0</v>
      </c>
      <c r="G189" s="176">
        <v>0.71</v>
      </c>
      <c r="H189" s="182"/>
      <c r="I189" s="37">
        <f t="shared" si="7"/>
        <v>0.71</v>
      </c>
      <c r="J189" s="38">
        <f t="shared" si="8"/>
        <v>0</v>
      </c>
      <c r="K189" s="315"/>
      <c r="L189" s="145"/>
    </row>
    <row r="190" spans="1:12" ht="20.100000000000001" customHeight="1" thickBot="1" x14ac:dyDescent="0.4">
      <c r="A190" s="144" t="str">
        <f>IF(B190=IFERROR(VLOOKUP(B190,entrant!$E$4:$J$188,1,FALSE),"THERE WAS AN ERROR"),"RAPPORT JOURNAL","")</f>
        <v/>
      </c>
      <c r="B190" s="147" t="s">
        <v>387</v>
      </c>
      <c r="C190" s="170" t="s">
        <v>34</v>
      </c>
      <c r="D190" s="35">
        <f>SUMIF(entrant!$E$4:$E$2059,'Inventaire des produits'!B190,entrant!$G$4:$G$2059)</f>
        <v>190</v>
      </c>
      <c r="E190" s="35">
        <f>SUMIF(vente!$E$4:$E$2190,'Inventaire des produits'!B190,vente!$G$4:$G$2190)</f>
        <v>190</v>
      </c>
      <c r="F190" s="36">
        <f t="shared" si="6"/>
        <v>0</v>
      </c>
      <c r="G190" s="176">
        <v>20</v>
      </c>
      <c r="H190" s="182"/>
      <c r="I190" s="37">
        <f t="shared" si="7"/>
        <v>20</v>
      </c>
      <c r="J190" s="38">
        <f t="shared" si="8"/>
        <v>0</v>
      </c>
      <c r="K190" s="315"/>
      <c r="L190" s="145"/>
    </row>
    <row r="191" spans="1:12" ht="20.100000000000001" customHeight="1" thickBot="1" x14ac:dyDescent="0.4">
      <c r="A191" s="144" t="str">
        <f>IF(B191=IFERROR(VLOOKUP(B191,entrant!$E$4:$J$188,1,FALSE),"THERE WAS AN ERROR"),"RAPPORT JOURNAL","")</f>
        <v/>
      </c>
      <c r="B191" s="147" t="s">
        <v>389</v>
      </c>
      <c r="C191" s="170" t="s">
        <v>23</v>
      </c>
      <c r="D191" s="35">
        <f>SUMIF(entrant!$E$4:$E$2059,'Inventaire des produits'!B191,entrant!$G$4:$G$2059)</f>
        <v>138</v>
      </c>
      <c r="E191" s="35">
        <f>SUMIF(vente!$E$4:$E$2190,'Inventaire des produits'!B191,vente!$G$4:$G$2190)</f>
        <v>138</v>
      </c>
      <c r="F191" s="36">
        <f t="shared" si="6"/>
        <v>0</v>
      </c>
      <c r="G191" s="176">
        <v>57.5</v>
      </c>
      <c r="H191" s="182"/>
      <c r="I191" s="37">
        <f t="shared" si="7"/>
        <v>57.5</v>
      </c>
      <c r="J191" s="38">
        <f t="shared" si="8"/>
        <v>0</v>
      </c>
      <c r="K191" s="315"/>
      <c r="L191" s="145"/>
    </row>
    <row r="192" spans="1:12" ht="20.100000000000001" customHeight="1" thickBot="1" x14ac:dyDescent="0.4">
      <c r="A192" s="144" t="str">
        <f>IF(B192=IFERROR(VLOOKUP(B192,entrant!$E$4:$J$188,1,FALSE),"THERE WAS AN ERROR"),"RAPPORT JOURNAL","")</f>
        <v/>
      </c>
      <c r="B192" s="147" t="s">
        <v>395</v>
      </c>
      <c r="C192" s="170" t="s">
        <v>350</v>
      </c>
      <c r="D192" s="35">
        <f>SUMIF(entrant!$E$4:$E$2059,'Inventaire des produits'!B192,entrant!$G$4:$G$2059)</f>
        <v>6750</v>
      </c>
      <c r="E192" s="35">
        <f>SUMIF(vente!$E$4:$E$2190,'Inventaire des produits'!B192,vente!$G$4:$G$2190)</f>
        <v>6750</v>
      </c>
      <c r="F192" s="36">
        <f t="shared" si="6"/>
        <v>0</v>
      </c>
      <c r="G192" s="176">
        <v>0.70833400000000002</v>
      </c>
      <c r="H192" s="182"/>
      <c r="I192" s="37">
        <f t="shared" si="7"/>
        <v>0.70833400000000002</v>
      </c>
      <c r="J192" s="38">
        <f t="shared" si="8"/>
        <v>0</v>
      </c>
      <c r="K192" s="315"/>
      <c r="L192" s="145"/>
    </row>
    <row r="193" spans="1:12" ht="20.100000000000001" customHeight="1" thickBot="1" x14ac:dyDescent="0.4">
      <c r="A193" s="144" t="str">
        <f>IF(B193=IFERROR(VLOOKUP(B193,entrant!$E$4:$J$188,1,FALSE),"THERE WAS AN ERROR"),"RAPPORT JOURNAL","")</f>
        <v/>
      </c>
      <c r="B193" s="147" t="s">
        <v>403</v>
      </c>
      <c r="C193" s="170" t="s">
        <v>1187</v>
      </c>
      <c r="D193" s="35">
        <f>SUMIF(entrant!$E$4:$E$2059,'Inventaire des produits'!B193,entrant!$G$4:$G$2059)</f>
        <v>10000</v>
      </c>
      <c r="E193" s="35">
        <f>SUMIF(vente!$E$4:$E$2190,'Inventaire des produits'!B193,vente!$G$4:$G$2190)</f>
        <v>10000</v>
      </c>
      <c r="F193" s="36">
        <f t="shared" si="6"/>
        <v>0</v>
      </c>
      <c r="G193" s="176">
        <v>8.3375000000000005E-2</v>
      </c>
      <c r="H193" s="182"/>
      <c r="I193" s="37">
        <f t="shared" si="7"/>
        <v>8.3375000000000005E-2</v>
      </c>
      <c r="J193" s="38">
        <f t="shared" si="8"/>
        <v>0</v>
      </c>
      <c r="K193" s="315"/>
      <c r="L193" s="145"/>
    </row>
    <row r="194" spans="1:12" ht="20.100000000000001" customHeight="1" thickBot="1" x14ac:dyDescent="0.4">
      <c r="A194" s="144" t="str">
        <f>IF(B194=IFERROR(VLOOKUP(B194,entrant!$E$4:$J$188,1,FALSE),"THERE WAS AN ERROR"),"RAPPORT JOURNAL","")</f>
        <v/>
      </c>
      <c r="B194" s="147" t="s">
        <v>404</v>
      </c>
      <c r="C194" s="170" t="s">
        <v>173</v>
      </c>
      <c r="D194" s="35">
        <f>SUMIF(entrant!$E$4:$E$2059,'Inventaire des produits'!B194,entrant!$G$4:$G$2059)</f>
        <v>10000</v>
      </c>
      <c r="E194" s="35">
        <f>SUMIF(vente!$E$4:$E$2190,'Inventaire des produits'!B194,vente!$G$4:$G$2190)</f>
        <v>10000</v>
      </c>
      <c r="F194" s="36">
        <f t="shared" si="6"/>
        <v>0</v>
      </c>
      <c r="G194" s="176">
        <v>8.3375000000000005E-2</v>
      </c>
      <c r="H194" s="182"/>
      <c r="I194" s="37">
        <f t="shared" si="7"/>
        <v>8.3375000000000005E-2</v>
      </c>
      <c r="J194" s="38">
        <f t="shared" si="8"/>
        <v>0</v>
      </c>
      <c r="K194" s="315"/>
      <c r="L194" s="145"/>
    </row>
    <row r="195" spans="1:12" ht="20.100000000000001" customHeight="1" thickBot="1" x14ac:dyDescent="0.4">
      <c r="A195" s="144" t="str">
        <f>IF(B195=IFERROR(VLOOKUP(B195,entrant!$E$4:$J$188,1,FALSE),"THERE WAS AN ERROR"),"RAPPORT JOURNAL","")</f>
        <v/>
      </c>
      <c r="B195" s="147" t="s">
        <v>405</v>
      </c>
      <c r="C195" s="170" t="s">
        <v>359</v>
      </c>
      <c r="D195" s="35">
        <f>SUMIF(entrant!$E$4:$E$2059,'Inventaire des produits'!B195,entrant!$G$4:$G$2059)</f>
        <v>210000</v>
      </c>
      <c r="E195" s="35">
        <f>SUMIF(vente!$E$4:$E$2190,'Inventaire des produits'!B195,vente!$G$4:$G$2190)</f>
        <v>210000</v>
      </c>
      <c r="F195" s="36">
        <f t="shared" ref="F195:F258" si="9">IF(OR(D195="",E195=""),"",D195-E195)</f>
        <v>0</v>
      </c>
      <c r="G195" s="176">
        <v>0.14019999999999999</v>
      </c>
      <c r="H195" s="182"/>
      <c r="I195" s="37">
        <f t="shared" si="7"/>
        <v>0.14019999999999999</v>
      </c>
      <c r="J195" s="38">
        <f t="shared" si="8"/>
        <v>0</v>
      </c>
      <c r="K195" s="315"/>
      <c r="L195" s="145"/>
    </row>
    <row r="196" spans="1:12" ht="20.100000000000001" customHeight="1" thickBot="1" x14ac:dyDescent="0.4">
      <c r="A196" s="144" t="str">
        <f>IF(B196=IFERROR(VLOOKUP(B196,entrant!$E$4:$J$188,1,FALSE),"THERE WAS AN ERROR"),"RAPPORT JOURNAL","")</f>
        <v/>
      </c>
      <c r="B196" s="147" t="s">
        <v>408</v>
      </c>
      <c r="C196" s="170" t="s">
        <v>407</v>
      </c>
      <c r="D196" s="35">
        <f>SUMIF(entrant!$E$4:$E$2059,'Inventaire des produits'!B196,entrant!$G$4:$G$2059)</f>
        <v>44</v>
      </c>
      <c r="E196" s="35">
        <f>SUMIF(vente!$E$4:$E$2190,'Inventaire des produits'!B196,vente!$G$4:$G$2190)</f>
        <v>44</v>
      </c>
      <c r="F196" s="36">
        <f t="shared" si="9"/>
        <v>0</v>
      </c>
      <c r="G196" s="176">
        <v>41.667000000000002</v>
      </c>
      <c r="H196" s="182"/>
      <c r="I196" s="37">
        <f t="shared" ref="I196:I259" si="10">IF(H196="",G196,G196-G196*H196)</f>
        <v>41.667000000000002</v>
      </c>
      <c r="J196" s="38">
        <f t="shared" ref="J196:J259" si="11">IF(OR(F196="",G196=""),"",F196*I196)</f>
        <v>0</v>
      </c>
      <c r="K196" s="315"/>
      <c r="L196" s="145"/>
    </row>
    <row r="197" spans="1:12" ht="20.100000000000001" customHeight="1" thickBot="1" x14ac:dyDescent="0.4">
      <c r="A197" s="144" t="str">
        <f>IF(B197=IFERROR(VLOOKUP(B197,entrant!$E$4:$J$188,1,FALSE),"THERE WAS AN ERROR"),"RAPPORT JOURNAL","")</f>
        <v/>
      </c>
      <c r="B197" s="147" t="s">
        <v>410</v>
      </c>
      <c r="C197" s="170" t="s">
        <v>409</v>
      </c>
      <c r="D197" s="35">
        <f>SUMIF(entrant!$E$4:$E$2059,'Inventaire des produits'!B197,entrant!$G$4:$G$2059)</f>
        <v>24</v>
      </c>
      <c r="E197" s="35">
        <f>SUMIF(vente!$E$4:$E$2190,'Inventaire des produits'!B197,vente!$G$4:$G$2190)</f>
        <v>24</v>
      </c>
      <c r="F197" s="36">
        <f t="shared" si="9"/>
        <v>0</v>
      </c>
      <c r="G197" s="176">
        <v>33.332999999999998</v>
      </c>
      <c r="H197" s="182"/>
      <c r="I197" s="37">
        <f t="shared" si="10"/>
        <v>33.332999999999998</v>
      </c>
      <c r="J197" s="38">
        <f t="shared" si="11"/>
        <v>0</v>
      </c>
      <c r="K197" s="315"/>
      <c r="L197" s="145"/>
    </row>
    <row r="198" spans="1:12" ht="20.100000000000001" customHeight="1" thickBot="1" x14ac:dyDescent="0.4">
      <c r="A198" s="144" t="str">
        <f>IF(B198=IFERROR(VLOOKUP(B198,entrant!$E$4:$J$188,1,FALSE),"THERE WAS AN ERROR"),"RAPPORT JOURNAL","")</f>
        <v/>
      </c>
      <c r="B198" s="147" t="s">
        <v>412</v>
      </c>
      <c r="C198" s="170" t="s">
        <v>411</v>
      </c>
      <c r="D198" s="35">
        <f>SUMIF(entrant!$E$4:$E$2059,'Inventaire des produits'!B198,entrant!$G$4:$G$2059)</f>
        <v>5</v>
      </c>
      <c r="E198" s="35">
        <f>SUMIF(vente!$E$4:$E$2190,'Inventaire des produits'!B198,vente!$G$4:$G$2190)</f>
        <v>5</v>
      </c>
      <c r="F198" s="36">
        <f t="shared" si="9"/>
        <v>0</v>
      </c>
      <c r="G198" s="176">
        <v>15</v>
      </c>
      <c r="H198" s="182"/>
      <c r="I198" s="37">
        <f t="shared" si="10"/>
        <v>15</v>
      </c>
      <c r="J198" s="38">
        <f t="shared" si="11"/>
        <v>0</v>
      </c>
      <c r="K198" s="315"/>
      <c r="L198" s="145"/>
    </row>
    <row r="199" spans="1:12" ht="20.100000000000001" customHeight="1" thickBot="1" x14ac:dyDescent="0.4">
      <c r="A199" s="144" t="str">
        <f>IF(B199=IFERROR(VLOOKUP(B199,entrant!$E$4:$J$188,1,FALSE),"THERE WAS AN ERROR"),"RAPPORT JOURNAL","")</f>
        <v/>
      </c>
      <c r="B199" s="147" t="s">
        <v>414</v>
      </c>
      <c r="C199" s="170" t="s">
        <v>261</v>
      </c>
      <c r="D199" s="35">
        <f>SUMIF(entrant!$E$4:$E$2059,'Inventaire des produits'!B199,entrant!$G$4:$G$2059)</f>
        <v>270</v>
      </c>
      <c r="E199" s="35">
        <f>SUMIF(vente!$E$4:$E$2190,'Inventaire des produits'!B199,vente!$G$4:$G$2190)</f>
        <v>270</v>
      </c>
      <c r="F199" s="36">
        <f t="shared" si="9"/>
        <v>0</v>
      </c>
      <c r="G199" s="176">
        <v>20.833333333300001</v>
      </c>
      <c r="H199" s="182"/>
      <c r="I199" s="37">
        <f t="shared" si="10"/>
        <v>20.833333333300001</v>
      </c>
      <c r="J199" s="38">
        <f t="shared" si="11"/>
        <v>0</v>
      </c>
      <c r="K199" s="315"/>
      <c r="L199" s="145"/>
    </row>
    <row r="200" spans="1:12" ht="20.100000000000001" customHeight="1" thickBot="1" x14ac:dyDescent="0.4">
      <c r="A200" s="144" t="str">
        <f>IF(B200=IFERROR(VLOOKUP(B200,entrant!$E$4:$J$188,1,FALSE),"THERE WAS AN ERROR"),"RAPPORT JOURNAL","")</f>
        <v/>
      </c>
      <c r="B200" s="147" t="s">
        <v>418</v>
      </c>
      <c r="C200" s="170" t="s">
        <v>417</v>
      </c>
      <c r="D200" s="35">
        <f>SUMIF(entrant!$E$4:$E$2059,'Inventaire des produits'!B200,entrant!$G$4:$G$2059)</f>
        <v>1750</v>
      </c>
      <c r="E200" s="35">
        <f>SUMIF(vente!$E$4:$E$2190,'Inventaire des produits'!B200,vente!$G$4:$G$2190)</f>
        <v>1750</v>
      </c>
      <c r="F200" s="36">
        <f t="shared" si="9"/>
        <v>0</v>
      </c>
      <c r="G200" s="176">
        <v>8</v>
      </c>
      <c r="H200" s="182"/>
      <c r="I200" s="37">
        <f t="shared" si="10"/>
        <v>8</v>
      </c>
      <c r="J200" s="38">
        <f t="shared" si="11"/>
        <v>0</v>
      </c>
      <c r="K200" s="315"/>
      <c r="L200" s="145"/>
    </row>
    <row r="201" spans="1:12" ht="20.100000000000001" customHeight="1" thickBot="1" x14ac:dyDescent="0.4">
      <c r="A201" s="144" t="str">
        <f>IF(B201=IFERROR(VLOOKUP(B201,entrant!$E$4:$J$188,1,FALSE),"THERE WAS AN ERROR"),"RAPPORT JOURNAL","")</f>
        <v/>
      </c>
      <c r="B201" s="147" t="s">
        <v>423</v>
      </c>
      <c r="C201" s="170" t="s">
        <v>170</v>
      </c>
      <c r="D201" s="35">
        <f>SUMIF(entrant!$E$4:$E$2059,'Inventaire des produits'!B201,entrant!$G$4:$G$2059)</f>
        <v>1000</v>
      </c>
      <c r="E201" s="35">
        <f>SUMIF(vente!$E$4:$E$2190,'Inventaire des produits'!B201,vente!$G$4:$G$2190)</f>
        <v>1000</v>
      </c>
      <c r="F201" s="36">
        <f t="shared" si="9"/>
        <v>0</v>
      </c>
      <c r="G201" s="176">
        <v>0.79</v>
      </c>
      <c r="H201" s="182"/>
      <c r="I201" s="37">
        <f t="shared" si="10"/>
        <v>0.79</v>
      </c>
      <c r="J201" s="38">
        <f t="shared" si="11"/>
        <v>0</v>
      </c>
      <c r="K201" s="315"/>
      <c r="L201" s="145"/>
    </row>
    <row r="202" spans="1:12" ht="20.100000000000001" customHeight="1" thickBot="1" x14ac:dyDescent="0.4">
      <c r="A202" s="144" t="str">
        <f>IF(B202=IFERROR(VLOOKUP(B202,entrant!$E$4:$J$188,1,FALSE),"THERE WAS AN ERROR"),"RAPPORT JOURNAL","")</f>
        <v/>
      </c>
      <c r="B202" s="147" t="s">
        <v>425</v>
      </c>
      <c r="C202" s="170" t="s">
        <v>424</v>
      </c>
      <c r="D202" s="35">
        <f>SUMIF(entrant!$E$4:$E$2059,'Inventaire des produits'!B202,entrant!$G$4:$G$2059)</f>
        <v>20</v>
      </c>
      <c r="E202" s="35">
        <f>SUMIF(vente!$E$4:$E$2190,'Inventaire des produits'!B202,vente!$G$4:$G$2190)</f>
        <v>20</v>
      </c>
      <c r="F202" s="36">
        <f t="shared" si="9"/>
        <v>0</v>
      </c>
      <c r="G202" s="176">
        <v>18.329999999999998</v>
      </c>
      <c r="H202" s="182"/>
      <c r="I202" s="37">
        <f t="shared" si="10"/>
        <v>18.329999999999998</v>
      </c>
      <c r="J202" s="38">
        <f t="shared" si="11"/>
        <v>0</v>
      </c>
      <c r="K202" s="315"/>
      <c r="L202" s="145"/>
    </row>
    <row r="203" spans="1:12" ht="20.100000000000001" customHeight="1" thickBot="1" x14ac:dyDescent="0.4">
      <c r="A203" s="144" t="str">
        <f>IF(B203=IFERROR(VLOOKUP(B203,entrant!$E$4:$J$188,1,FALSE),"THERE WAS AN ERROR"),"RAPPORT JOURNAL","")</f>
        <v/>
      </c>
      <c r="B203" s="147" t="s">
        <v>432</v>
      </c>
      <c r="C203" s="170" t="s">
        <v>433</v>
      </c>
      <c r="D203" s="35">
        <f>SUMIF(entrant!$E$4:$E$2059,'Inventaire des produits'!B203,entrant!$G$4:$G$2059)</f>
        <v>60</v>
      </c>
      <c r="E203" s="35">
        <f>SUMIF(vente!$E$4:$E$2190,'Inventaire des produits'!B203,vente!$G$4:$G$2190)</f>
        <v>60</v>
      </c>
      <c r="F203" s="36">
        <f t="shared" si="9"/>
        <v>0</v>
      </c>
      <c r="G203" s="176">
        <v>20.833333332999999</v>
      </c>
      <c r="H203" s="182"/>
      <c r="I203" s="37">
        <f t="shared" si="10"/>
        <v>20.833333332999999</v>
      </c>
      <c r="J203" s="38">
        <f t="shared" si="11"/>
        <v>0</v>
      </c>
      <c r="K203" s="315"/>
      <c r="L203" s="145"/>
    </row>
    <row r="204" spans="1:12" ht="20.100000000000001" customHeight="1" thickBot="1" x14ac:dyDescent="0.4">
      <c r="A204" s="144" t="str">
        <f>IF(B204=IFERROR(VLOOKUP(B204,entrant!$E$4:$J$188,1,FALSE),"THERE WAS AN ERROR"),"RAPPORT JOURNAL","")</f>
        <v/>
      </c>
      <c r="B204" s="147" t="s">
        <v>439</v>
      </c>
      <c r="C204" s="170" t="s">
        <v>438</v>
      </c>
      <c r="D204" s="35">
        <f>SUMIF(entrant!$E$4:$E$2059,'Inventaire des produits'!B204,entrant!$G$4:$G$2059)</f>
        <v>6200</v>
      </c>
      <c r="E204" s="35">
        <f>SUMIF(vente!$E$4:$E$2190,'Inventaire des produits'!B204,vente!$G$4:$G$2190)</f>
        <v>6200</v>
      </c>
      <c r="F204" s="36">
        <f t="shared" si="9"/>
        <v>0</v>
      </c>
      <c r="G204" s="176">
        <v>0.39</v>
      </c>
      <c r="H204" s="182"/>
      <c r="I204" s="37">
        <f t="shared" si="10"/>
        <v>0.39</v>
      </c>
      <c r="J204" s="38">
        <f t="shared" si="11"/>
        <v>0</v>
      </c>
      <c r="K204" s="315"/>
      <c r="L204" s="145"/>
    </row>
    <row r="205" spans="1:12" ht="20.100000000000001" customHeight="1" thickBot="1" x14ac:dyDescent="0.4">
      <c r="A205" s="144" t="str">
        <f>IF(B205=IFERROR(VLOOKUP(B205,entrant!$E$4:$J$188,1,FALSE),"THERE WAS AN ERROR"),"RAPPORT JOURNAL","")</f>
        <v/>
      </c>
      <c r="B205" s="147" t="s">
        <v>440</v>
      </c>
      <c r="C205" s="170" t="s">
        <v>170</v>
      </c>
      <c r="D205" s="35">
        <f>SUMIF(entrant!$E$4:$E$2059,'Inventaire des produits'!B205,entrant!$G$4:$G$2059)</f>
        <v>5000</v>
      </c>
      <c r="E205" s="35">
        <f>SUMIF(vente!$E$4:$E$2190,'Inventaire des produits'!B205,vente!$G$4:$G$2190)</f>
        <v>5000</v>
      </c>
      <c r="F205" s="36">
        <f t="shared" si="9"/>
        <v>0</v>
      </c>
      <c r="G205" s="176">
        <v>0.47</v>
      </c>
      <c r="H205" s="182"/>
      <c r="I205" s="37">
        <f t="shared" si="10"/>
        <v>0.47</v>
      </c>
      <c r="J205" s="38">
        <f t="shared" si="11"/>
        <v>0</v>
      </c>
      <c r="K205" s="315"/>
      <c r="L205" s="145"/>
    </row>
    <row r="206" spans="1:12" ht="20.100000000000001" customHeight="1" thickBot="1" x14ac:dyDescent="0.4">
      <c r="A206" s="144" t="str">
        <f>IF(B206=IFERROR(VLOOKUP(B206,entrant!$E$4:$J$188,1,FALSE),"THERE WAS AN ERROR"),"RAPPORT JOURNAL","")</f>
        <v/>
      </c>
      <c r="B206" s="147" t="s">
        <v>442</v>
      </c>
      <c r="C206" s="170" t="s">
        <v>441</v>
      </c>
      <c r="D206" s="35">
        <f>SUMIF(entrant!$E$4:$E$2059,'Inventaire des produits'!B206,entrant!$G$4:$G$2059)</f>
        <v>5000</v>
      </c>
      <c r="E206" s="35">
        <f>SUMIF(vente!$E$4:$E$2190,'Inventaire des produits'!B206,vente!$G$4:$G$2190)</f>
        <v>5000</v>
      </c>
      <c r="F206" s="36">
        <f t="shared" si="9"/>
        <v>0</v>
      </c>
      <c r="G206" s="176">
        <v>0.22</v>
      </c>
      <c r="H206" s="182"/>
      <c r="I206" s="37">
        <f t="shared" si="10"/>
        <v>0.22</v>
      </c>
      <c r="J206" s="38">
        <f t="shared" si="11"/>
        <v>0</v>
      </c>
      <c r="K206" s="315"/>
      <c r="L206" s="145"/>
    </row>
    <row r="207" spans="1:12" ht="20.100000000000001" customHeight="1" thickBot="1" x14ac:dyDescent="0.4">
      <c r="A207" s="144" t="str">
        <f>IF(B207=IFERROR(VLOOKUP(B207,entrant!$E$4:$J$188,1,FALSE),"THERE WAS AN ERROR"),"RAPPORT JOURNAL","")</f>
        <v/>
      </c>
      <c r="B207" s="147" t="s">
        <v>444</v>
      </c>
      <c r="C207" s="170" t="s">
        <v>443</v>
      </c>
      <c r="D207" s="35">
        <f>SUMIF(entrant!$E$4:$E$2059,'Inventaire des produits'!B207,entrant!$G$4:$G$2059)</f>
        <v>9000</v>
      </c>
      <c r="E207" s="35">
        <f>SUMIF(vente!$E$4:$E$2190,'Inventaire des produits'!B207,vente!$G$4:$G$2190)</f>
        <v>9000</v>
      </c>
      <c r="F207" s="36">
        <f t="shared" si="9"/>
        <v>0</v>
      </c>
      <c r="G207" s="176">
        <v>0.5</v>
      </c>
      <c r="H207" s="182"/>
      <c r="I207" s="37">
        <f t="shared" si="10"/>
        <v>0.5</v>
      </c>
      <c r="J207" s="38">
        <f t="shared" si="11"/>
        <v>0</v>
      </c>
      <c r="K207" s="315"/>
      <c r="L207" s="145"/>
    </row>
    <row r="208" spans="1:12" ht="20.100000000000001" customHeight="1" thickBot="1" x14ac:dyDescent="0.4">
      <c r="A208" s="144" t="str">
        <f>IF(B208=IFERROR(VLOOKUP(B208,entrant!$E$4:$J$188,1,FALSE),"THERE WAS AN ERROR"),"RAPPORT JOURNAL","")</f>
        <v/>
      </c>
      <c r="B208" s="147" t="s">
        <v>446</v>
      </c>
      <c r="C208" s="170" t="s">
        <v>445</v>
      </c>
      <c r="D208" s="35">
        <f>SUMIF(entrant!$E$4:$E$2059,'Inventaire des produits'!B208,entrant!$G$4:$G$2059)</f>
        <v>9000</v>
      </c>
      <c r="E208" s="35">
        <f>SUMIF(vente!$E$4:$E$2190,'Inventaire des produits'!B208,vente!$G$4:$G$2190)</f>
        <v>9000</v>
      </c>
      <c r="F208" s="36">
        <f t="shared" si="9"/>
        <v>0</v>
      </c>
      <c r="G208" s="176">
        <v>0.27</v>
      </c>
      <c r="H208" s="182"/>
      <c r="I208" s="37">
        <f t="shared" si="10"/>
        <v>0.27</v>
      </c>
      <c r="J208" s="38">
        <f t="shared" si="11"/>
        <v>0</v>
      </c>
      <c r="K208" s="315"/>
      <c r="L208" s="145"/>
    </row>
    <row r="209" spans="1:12" ht="20.100000000000001" customHeight="1" thickBot="1" x14ac:dyDescent="0.4">
      <c r="A209" s="144" t="str">
        <f>IF(B209=IFERROR(VLOOKUP(B209,entrant!$E$4:$J$188,1,FALSE),"THERE WAS AN ERROR"),"RAPPORT JOURNAL","")</f>
        <v/>
      </c>
      <c r="B209" s="147" t="s">
        <v>447</v>
      </c>
      <c r="C209" s="170" t="s">
        <v>575</v>
      </c>
      <c r="D209" s="35">
        <f>SUMIF(entrant!$E$4:$E$2059,'Inventaire des produits'!B209,entrant!$G$4:$G$2059)</f>
        <v>2</v>
      </c>
      <c r="E209" s="35">
        <f>SUMIF(vente!$E$4:$E$2190,'Inventaire des produits'!B209,vente!$G$4:$G$2190)</f>
        <v>2</v>
      </c>
      <c r="F209" s="36">
        <f t="shared" si="9"/>
        <v>0</v>
      </c>
      <c r="G209" s="176">
        <v>106</v>
      </c>
      <c r="H209" s="182"/>
      <c r="I209" s="37">
        <f t="shared" si="10"/>
        <v>106</v>
      </c>
      <c r="J209" s="38">
        <f t="shared" si="11"/>
        <v>0</v>
      </c>
      <c r="K209" s="315"/>
      <c r="L209" s="145"/>
    </row>
    <row r="210" spans="1:12" ht="20.100000000000001" customHeight="1" thickBot="1" x14ac:dyDescent="0.4">
      <c r="A210" s="144" t="str">
        <f>IF(B210=IFERROR(VLOOKUP(B210,entrant!$E$4:$J$188,1,FALSE),"THERE WAS AN ERROR"),"RAPPORT JOURNAL","")</f>
        <v/>
      </c>
      <c r="B210" s="147" t="s">
        <v>448</v>
      </c>
      <c r="C210" s="170" t="s">
        <v>285</v>
      </c>
      <c r="D210" s="35">
        <f>SUMIF(entrant!$E$4:$E$2059,'Inventaire des produits'!B210,entrant!$G$4:$G$2059)</f>
        <v>1</v>
      </c>
      <c r="E210" s="35">
        <f>SUMIF(vente!$E$4:$E$2190,'Inventaire des produits'!B210,vente!$G$4:$G$2190)</f>
        <v>1</v>
      </c>
      <c r="F210" s="36">
        <f t="shared" si="9"/>
        <v>0</v>
      </c>
      <c r="G210" s="176">
        <v>54</v>
      </c>
      <c r="H210" s="182"/>
      <c r="I210" s="37">
        <f t="shared" si="10"/>
        <v>54</v>
      </c>
      <c r="J210" s="38">
        <f t="shared" si="11"/>
        <v>0</v>
      </c>
      <c r="K210" s="315"/>
      <c r="L210" s="145"/>
    </row>
    <row r="211" spans="1:12" ht="20.100000000000001" customHeight="1" thickBot="1" x14ac:dyDescent="0.4">
      <c r="A211" s="144" t="str">
        <f>IF(B211=IFERROR(VLOOKUP(B211,entrant!$E$4:$J$188,1,FALSE),"THERE WAS AN ERROR"),"RAPPORT JOURNAL","")</f>
        <v/>
      </c>
      <c r="B211" s="147" t="s">
        <v>459</v>
      </c>
      <c r="C211" s="170" t="s">
        <v>20</v>
      </c>
      <c r="D211" s="35">
        <f>SUMIF(entrant!$E$4:$E$2059,'Inventaire des produits'!B211,entrant!$G$4:$G$2059)</f>
        <v>12500</v>
      </c>
      <c r="E211" s="35">
        <f>SUMIF(vente!$E$4:$E$2190,'Inventaire des produits'!B211,vente!$G$4:$G$2190)</f>
        <v>12500</v>
      </c>
      <c r="F211" s="36">
        <f t="shared" si="9"/>
        <v>0</v>
      </c>
      <c r="G211" s="176">
        <v>0.75</v>
      </c>
      <c r="H211" s="182"/>
      <c r="I211" s="37">
        <f t="shared" si="10"/>
        <v>0.75</v>
      </c>
      <c r="J211" s="38">
        <f t="shared" si="11"/>
        <v>0</v>
      </c>
      <c r="K211" s="315"/>
      <c r="L211" s="145"/>
    </row>
    <row r="212" spans="1:12" ht="20.100000000000001" customHeight="1" thickBot="1" x14ac:dyDescent="0.4">
      <c r="A212" s="144" t="str">
        <f>IF(B212=IFERROR(VLOOKUP(B212,entrant!$E$4:$J$188,1,FALSE),"THERE WAS AN ERROR"),"RAPPORT JOURNAL","")</f>
        <v/>
      </c>
      <c r="B212" s="147" t="s">
        <v>461</v>
      </c>
      <c r="C212" s="170" t="s">
        <v>462</v>
      </c>
      <c r="D212" s="35">
        <f>SUMIF(entrant!$E$4:$E$2059,'Inventaire des produits'!B212,entrant!$G$4:$G$2059)</f>
        <v>2500</v>
      </c>
      <c r="E212" s="35">
        <f>SUMIF(vente!$E$4:$E$2190,'Inventaire des produits'!B212,vente!$G$4:$G$2190)</f>
        <v>600</v>
      </c>
      <c r="F212" s="36">
        <f t="shared" si="9"/>
        <v>1900</v>
      </c>
      <c r="G212" s="176">
        <v>0.5</v>
      </c>
      <c r="H212" s="182"/>
      <c r="I212" s="37">
        <f t="shared" si="10"/>
        <v>0.5</v>
      </c>
      <c r="J212" s="38">
        <f t="shared" si="11"/>
        <v>950</v>
      </c>
      <c r="K212" s="315"/>
      <c r="L212" s="145"/>
    </row>
    <row r="213" spans="1:12" ht="20.100000000000001" customHeight="1" thickBot="1" x14ac:dyDescent="0.4">
      <c r="A213" s="144" t="str">
        <f>IF(B213=IFERROR(VLOOKUP(B213,entrant!$E$4:$J$188,1,FALSE),"THERE WAS AN ERROR"),"RAPPORT JOURNAL","")</f>
        <v/>
      </c>
      <c r="B213" s="147" t="s">
        <v>464</v>
      </c>
      <c r="C213" s="170" t="s">
        <v>38</v>
      </c>
      <c r="D213" s="35">
        <f>SUMIF(entrant!$E$4:$E$2059,'Inventaire des produits'!B213,entrant!$G$4:$G$2059)</f>
        <v>600</v>
      </c>
      <c r="E213" s="35">
        <f>SUMIF(vente!$E$4:$E$2190,'Inventaire des produits'!B213,vente!$G$4:$G$2190)</f>
        <v>480</v>
      </c>
      <c r="F213" s="36">
        <f t="shared" si="9"/>
        <v>120</v>
      </c>
      <c r="G213" s="176">
        <v>7.5</v>
      </c>
      <c r="H213" s="182"/>
      <c r="I213" s="37">
        <f t="shared" si="10"/>
        <v>7.5</v>
      </c>
      <c r="J213" s="38">
        <f t="shared" si="11"/>
        <v>900</v>
      </c>
      <c r="K213" s="315"/>
      <c r="L213" s="145"/>
    </row>
    <row r="214" spans="1:12" ht="20.100000000000001" customHeight="1" thickBot="1" x14ac:dyDescent="0.4">
      <c r="A214" s="144" t="str">
        <f>IF(B214=IFERROR(VLOOKUP(B214,entrant!$E$4:$J$188,1,FALSE),"THERE WAS AN ERROR"),"RAPPORT JOURNAL","")</f>
        <v/>
      </c>
      <c r="B214" s="147" t="s">
        <v>468</v>
      </c>
      <c r="C214" s="170" t="s">
        <v>469</v>
      </c>
      <c r="D214" s="35">
        <f>SUMIF(entrant!$E$4:$E$2059,'Inventaire des produits'!B214,entrant!$G$4:$G$2059)</f>
        <v>1</v>
      </c>
      <c r="E214" s="35">
        <f>SUMIF(vente!$E$4:$E$2190,'Inventaire des produits'!B214,vente!$G$4:$G$2190)</f>
        <v>1</v>
      </c>
      <c r="F214" s="36">
        <f t="shared" si="9"/>
        <v>0</v>
      </c>
      <c r="G214" s="176">
        <v>250</v>
      </c>
      <c r="H214" s="182"/>
      <c r="I214" s="37">
        <f t="shared" si="10"/>
        <v>250</v>
      </c>
      <c r="J214" s="38">
        <f t="shared" si="11"/>
        <v>0</v>
      </c>
      <c r="K214" s="315"/>
      <c r="L214" s="145"/>
    </row>
    <row r="215" spans="1:12" ht="20.100000000000001" customHeight="1" thickBot="1" x14ac:dyDescent="0.4">
      <c r="A215" s="144" t="str">
        <f>IF(B215=IFERROR(VLOOKUP(B215,entrant!$E$4:$J$188,1,FALSE),"THERE WAS AN ERROR"),"RAPPORT JOURNAL","")</f>
        <v/>
      </c>
      <c r="B215" s="147" t="s">
        <v>479</v>
      </c>
      <c r="C215" s="170" t="s">
        <v>350</v>
      </c>
      <c r="D215" s="35">
        <f>SUMIF(entrant!$E$4:$E$2059,'Inventaire des produits'!B215,entrant!$G$4:$G$2059)</f>
        <v>15000</v>
      </c>
      <c r="E215" s="35">
        <f>SUMIF(vente!$E$4:$E$2190,'Inventaire des produits'!B215,vente!$G$4:$G$2190)</f>
        <v>15000</v>
      </c>
      <c r="F215" s="36">
        <f t="shared" si="9"/>
        <v>0</v>
      </c>
      <c r="G215" s="176">
        <v>0.71</v>
      </c>
      <c r="H215" s="182"/>
      <c r="I215" s="37">
        <f t="shared" si="10"/>
        <v>0.71</v>
      </c>
      <c r="J215" s="38">
        <f t="shared" si="11"/>
        <v>0</v>
      </c>
      <c r="K215" s="315"/>
      <c r="L215" s="145"/>
    </row>
    <row r="216" spans="1:12" ht="20.100000000000001" customHeight="1" thickBot="1" x14ac:dyDescent="0.4">
      <c r="A216" s="144" t="str">
        <f>IF(B216=IFERROR(VLOOKUP(B216,entrant!$E$4:$J$188,1,FALSE),"THERE WAS AN ERROR"),"RAPPORT JOURNAL","")</f>
        <v/>
      </c>
      <c r="B216" s="147" t="s">
        <v>483</v>
      </c>
      <c r="C216" s="170" t="s">
        <v>29</v>
      </c>
      <c r="D216" s="35">
        <f>SUMIF(entrant!$E$4:$E$2059,'Inventaire des produits'!B216,entrant!$G$4:$G$2059)</f>
        <v>1075</v>
      </c>
      <c r="E216" s="35">
        <f>SUMIF(vente!$E$4:$E$2190,'Inventaire des produits'!B216,vente!$G$4:$G$2190)</f>
        <v>1075</v>
      </c>
      <c r="F216" s="36">
        <f t="shared" si="9"/>
        <v>0</v>
      </c>
      <c r="G216" s="176">
        <v>2.3333333333000001</v>
      </c>
      <c r="H216" s="182"/>
      <c r="I216" s="37">
        <f t="shared" si="10"/>
        <v>2.3333333333000001</v>
      </c>
      <c r="J216" s="38">
        <f t="shared" si="11"/>
        <v>0</v>
      </c>
      <c r="K216" s="315"/>
      <c r="L216" s="145"/>
    </row>
    <row r="217" spans="1:12" ht="20.100000000000001" customHeight="1" thickBot="1" x14ac:dyDescent="0.4">
      <c r="A217" s="144" t="str">
        <f>IF(B217=IFERROR(VLOOKUP(B217,entrant!$E$4:$J$188,1,FALSE),"THERE WAS AN ERROR"),"RAPPORT JOURNAL","")</f>
        <v/>
      </c>
      <c r="B217" s="147" t="s">
        <v>486</v>
      </c>
      <c r="C217" s="170" t="s">
        <v>487</v>
      </c>
      <c r="D217" s="35">
        <f>SUMIF(entrant!$E$4:$E$2059,'Inventaire des produits'!B217,entrant!$G$4:$G$2059)</f>
        <v>600</v>
      </c>
      <c r="E217" s="35">
        <f>SUMIF(vente!$E$4:$E$2190,'Inventaire des produits'!B217,vente!$G$4:$G$2190)</f>
        <v>600</v>
      </c>
      <c r="F217" s="36">
        <f t="shared" si="9"/>
        <v>0</v>
      </c>
      <c r="G217" s="176">
        <v>1.25</v>
      </c>
      <c r="H217" s="182"/>
      <c r="I217" s="37">
        <f t="shared" si="10"/>
        <v>1.25</v>
      </c>
      <c r="J217" s="38">
        <f t="shared" si="11"/>
        <v>0</v>
      </c>
      <c r="K217" s="315"/>
      <c r="L217" s="145"/>
    </row>
    <row r="218" spans="1:12" ht="20.100000000000001" customHeight="1" thickBot="1" x14ac:dyDescent="0.4">
      <c r="A218" s="144" t="str">
        <f>IF(B218=IFERROR(VLOOKUP(B218,entrant!$E$4:$J$188,1,FALSE),"THERE WAS AN ERROR"),"RAPPORT JOURNAL","")</f>
        <v/>
      </c>
      <c r="B218" s="147" t="s">
        <v>492</v>
      </c>
      <c r="C218" s="170" t="s">
        <v>495</v>
      </c>
      <c r="D218" s="35">
        <f>SUMIF(entrant!$E$4:$E$2059,'Inventaire des produits'!B218,entrant!$G$4:$G$2059)</f>
        <v>8000</v>
      </c>
      <c r="E218" s="35">
        <f>SUMIF(vente!$E$4:$E$2190,'Inventaire des produits'!B218,vente!$G$4:$G$2190)</f>
        <v>8000</v>
      </c>
      <c r="F218" s="36">
        <f t="shared" si="9"/>
        <v>0</v>
      </c>
      <c r="G218" s="176">
        <v>8.3750000000000005E-2</v>
      </c>
      <c r="H218" s="182"/>
      <c r="I218" s="37">
        <f t="shared" si="10"/>
        <v>8.3750000000000005E-2</v>
      </c>
      <c r="J218" s="38">
        <f t="shared" si="11"/>
        <v>0</v>
      </c>
      <c r="K218" s="315"/>
      <c r="L218" s="145"/>
    </row>
    <row r="219" spans="1:12" ht="20.100000000000001" customHeight="1" thickBot="1" x14ac:dyDescent="0.4">
      <c r="A219" s="144" t="str">
        <f>IF(B219=IFERROR(VLOOKUP(B219,entrant!$E$4:$J$188,1,FALSE),"THERE WAS AN ERROR"),"RAPPORT JOURNAL","")</f>
        <v/>
      </c>
      <c r="B219" s="147" t="s">
        <v>493</v>
      </c>
      <c r="C219" s="170" t="s">
        <v>494</v>
      </c>
      <c r="D219" s="35">
        <f>SUMIF(entrant!$E$4:$E$2059,'Inventaire des produits'!B219,entrant!$G$4:$G$2059)</f>
        <v>8000</v>
      </c>
      <c r="E219" s="35">
        <f>SUMIF(vente!$E$4:$E$2190,'Inventaire des produits'!B219,vente!$G$4:$G$2190)</f>
        <v>8000</v>
      </c>
      <c r="F219" s="36">
        <f t="shared" si="9"/>
        <v>0</v>
      </c>
      <c r="G219" s="176">
        <v>7.4999999999999997E-2</v>
      </c>
      <c r="H219" s="182"/>
      <c r="I219" s="37">
        <f t="shared" si="10"/>
        <v>7.4999999999999997E-2</v>
      </c>
      <c r="J219" s="38">
        <f t="shared" si="11"/>
        <v>0</v>
      </c>
      <c r="K219" s="315"/>
      <c r="L219" s="145"/>
    </row>
    <row r="220" spans="1:12" ht="20.100000000000001" customHeight="1" thickBot="1" x14ac:dyDescent="0.4">
      <c r="A220" s="144" t="str">
        <f>IF(B220=IFERROR(VLOOKUP(B220,entrant!$E$4:$J$188,1,FALSE),"THERE WAS AN ERROR"),"RAPPORT JOURNAL","")</f>
        <v/>
      </c>
      <c r="B220" s="147" t="s">
        <v>498</v>
      </c>
      <c r="C220" s="170" t="s">
        <v>497</v>
      </c>
      <c r="D220" s="35">
        <f>SUMIF(entrant!$E$4:$E$2059,'Inventaire des produits'!B220,entrant!$G$4:$G$2059)</f>
        <v>166.15</v>
      </c>
      <c r="E220" s="35">
        <f>SUMIF(vente!$E$4:$E$2190,'Inventaire des produits'!B220,vente!$G$4:$G$2190)</f>
        <v>166.15</v>
      </c>
      <c r="F220" s="36">
        <f t="shared" si="9"/>
        <v>0</v>
      </c>
      <c r="G220" s="176">
        <v>27.083333333300001</v>
      </c>
      <c r="H220" s="182"/>
      <c r="I220" s="37">
        <f t="shared" si="10"/>
        <v>27.083333333300001</v>
      </c>
      <c r="J220" s="38">
        <f t="shared" si="11"/>
        <v>0</v>
      </c>
      <c r="K220" s="315"/>
      <c r="L220" s="145"/>
    </row>
    <row r="221" spans="1:12" ht="20.100000000000001" customHeight="1" thickBot="1" x14ac:dyDescent="0.4">
      <c r="A221" s="144" t="str">
        <f>IF(B221=IFERROR(VLOOKUP(B221,entrant!$E$4:$J$188,1,FALSE),"THERE WAS AN ERROR"),"RAPPORT JOURNAL","")</f>
        <v/>
      </c>
      <c r="B221" s="147" t="s">
        <v>500</v>
      </c>
      <c r="C221" s="170" t="s">
        <v>574</v>
      </c>
      <c r="D221" s="35">
        <f>SUMIF(entrant!$E$4:$E$2059,'Inventaire des produits'!B221,entrant!$G$4:$G$2059)</f>
        <v>10000</v>
      </c>
      <c r="E221" s="35">
        <f>SUMIF(vente!$E$4:$E$2190,'Inventaire des produits'!B221,vente!$G$4:$G$2190)</f>
        <v>10000</v>
      </c>
      <c r="F221" s="36">
        <f t="shared" si="9"/>
        <v>0</v>
      </c>
      <c r="G221" s="176">
        <v>0.55000000000000004</v>
      </c>
      <c r="H221" s="182"/>
      <c r="I221" s="37">
        <f t="shared" si="10"/>
        <v>0.55000000000000004</v>
      </c>
      <c r="J221" s="38">
        <f t="shared" si="11"/>
        <v>0</v>
      </c>
      <c r="K221" s="315"/>
      <c r="L221" s="145"/>
    </row>
    <row r="222" spans="1:12" ht="20.100000000000001" customHeight="1" thickBot="1" x14ac:dyDescent="0.4">
      <c r="A222" s="144" t="str">
        <f>IF(B222=IFERROR(VLOOKUP(B222,entrant!$E$4:$J$188,1,FALSE),"THERE WAS AN ERROR"),"RAPPORT JOURNAL","")</f>
        <v/>
      </c>
      <c r="B222" s="147" t="s">
        <v>501</v>
      </c>
      <c r="C222" s="170" t="s">
        <v>104</v>
      </c>
      <c r="D222" s="35">
        <f>SUMIF(entrant!$E$4:$E$2059,'Inventaire des produits'!B222,entrant!$G$4:$G$2059)</f>
        <v>47000</v>
      </c>
      <c r="E222" s="35">
        <f>SUMIF(vente!$E$4:$E$2190,'Inventaire des produits'!B222,vente!$G$4:$G$2190)</f>
        <v>37000</v>
      </c>
      <c r="F222" s="36">
        <f t="shared" si="9"/>
        <v>10000</v>
      </c>
      <c r="G222" s="176">
        <v>0.31666666669999999</v>
      </c>
      <c r="H222" s="182"/>
      <c r="I222" s="37">
        <f t="shared" si="10"/>
        <v>0.31666666669999999</v>
      </c>
      <c r="J222" s="38">
        <f t="shared" si="11"/>
        <v>3166.666667</v>
      </c>
      <c r="K222" s="315"/>
      <c r="L222" s="145"/>
    </row>
    <row r="223" spans="1:12" ht="20.100000000000001" customHeight="1" thickBot="1" x14ac:dyDescent="0.4">
      <c r="A223" s="144" t="str">
        <f>IF(B223=IFERROR(VLOOKUP(B223,entrant!$E$4:$J$188,1,FALSE),"THERE WAS AN ERROR"),"RAPPORT JOURNAL","")</f>
        <v/>
      </c>
      <c r="B223" s="147" t="s">
        <v>504</v>
      </c>
      <c r="C223" s="170" t="s">
        <v>503</v>
      </c>
      <c r="D223" s="35">
        <f>SUMIF(entrant!$E$4:$E$2059,'Inventaire des produits'!B223,entrant!$G$4:$G$2059)</f>
        <v>600</v>
      </c>
      <c r="E223" s="35">
        <f>SUMIF(vente!$E$4:$E$2190,'Inventaire des produits'!B223,vente!$G$4:$G$2190)</f>
        <v>600</v>
      </c>
      <c r="F223" s="36">
        <f t="shared" si="9"/>
        <v>0</v>
      </c>
      <c r="G223" s="176">
        <v>1.5833333332999999</v>
      </c>
      <c r="H223" s="182"/>
      <c r="I223" s="37">
        <f t="shared" si="10"/>
        <v>1.5833333332999999</v>
      </c>
      <c r="J223" s="38">
        <f t="shared" si="11"/>
        <v>0</v>
      </c>
      <c r="K223" s="315"/>
      <c r="L223" s="145"/>
    </row>
    <row r="224" spans="1:12" ht="20.100000000000001" customHeight="1" thickBot="1" x14ac:dyDescent="0.4">
      <c r="A224" s="144" t="str">
        <f>IF(B224=IFERROR(VLOOKUP(B224,entrant!$E$4:$J$188,1,FALSE),"THERE WAS AN ERROR"),"RAPPORT JOURNAL","")</f>
        <v/>
      </c>
      <c r="B224" s="147" t="s">
        <v>506</v>
      </c>
      <c r="C224" s="170" t="s">
        <v>507</v>
      </c>
      <c r="D224" s="35">
        <f>SUMIF(entrant!$E$4:$E$2059,'Inventaire des produits'!B224,entrant!$G$4:$G$2059)</f>
        <v>300</v>
      </c>
      <c r="E224" s="35">
        <f>SUMIF(vente!$E$4:$E$2190,'Inventaire des produits'!B224,vente!$G$4:$G$2190)</f>
        <v>300</v>
      </c>
      <c r="F224" s="36">
        <f t="shared" si="9"/>
        <v>0</v>
      </c>
      <c r="G224" s="176">
        <v>1.6666666667000001</v>
      </c>
      <c r="H224" s="182"/>
      <c r="I224" s="37">
        <f t="shared" si="10"/>
        <v>1.6666666667000001</v>
      </c>
      <c r="J224" s="38">
        <f t="shared" si="11"/>
        <v>0</v>
      </c>
      <c r="K224" s="315"/>
      <c r="L224" s="145"/>
    </row>
    <row r="225" spans="1:13" ht="20.100000000000001" customHeight="1" thickBot="1" x14ac:dyDescent="0.4">
      <c r="A225" s="144" t="str">
        <f>IF(B225=IFERROR(VLOOKUP(B225,entrant!$E$4:$J$188,1,FALSE),"THERE WAS AN ERROR"),"RAPPORT JOURNAL","")</f>
        <v/>
      </c>
      <c r="B225" s="147" t="s">
        <v>509</v>
      </c>
      <c r="C225" s="170" t="s">
        <v>558</v>
      </c>
      <c r="D225" s="35">
        <f>SUMIF(entrant!$E$4:$E$2059,'Inventaire des produits'!B225,entrant!$G$4:$G$2059)</f>
        <v>1000</v>
      </c>
      <c r="E225" s="35">
        <f>SUMIF(vente!$E$4:$E$2190,'Inventaire des produits'!B225,vente!$G$4:$G$2190)</f>
        <v>1000</v>
      </c>
      <c r="F225" s="36">
        <f t="shared" si="9"/>
        <v>0</v>
      </c>
      <c r="G225" s="176">
        <v>0.35</v>
      </c>
      <c r="H225" s="182"/>
      <c r="I225" s="37">
        <f t="shared" si="10"/>
        <v>0.35</v>
      </c>
      <c r="J225" s="38">
        <f t="shared" si="11"/>
        <v>0</v>
      </c>
      <c r="K225" s="315"/>
      <c r="L225" s="145"/>
    </row>
    <row r="226" spans="1:13" ht="20.100000000000001" customHeight="1" thickBot="1" x14ac:dyDescent="0.4">
      <c r="A226" s="144" t="str">
        <f>IF(B226=IFERROR(VLOOKUP(B226,entrant!$E$4:$J$188,1,FALSE),"THERE WAS AN ERROR"),"RAPPORT JOURNAL","")</f>
        <v/>
      </c>
      <c r="B226" s="147" t="s">
        <v>511</v>
      </c>
      <c r="C226" s="170" t="s">
        <v>512</v>
      </c>
      <c r="D226" s="35">
        <f>SUMIF(entrant!$E$4:$E$2059,'Inventaire des produits'!B226,entrant!$G$4:$G$2059)</f>
        <v>250000</v>
      </c>
      <c r="E226" s="35">
        <f>SUMIF(vente!$E$4:$E$2190,'Inventaire des produits'!B226,vente!$G$4:$G$2190)</f>
        <v>250000</v>
      </c>
      <c r="F226" s="36">
        <f t="shared" si="9"/>
        <v>0</v>
      </c>
      <c r="G226" s="176">
        <v>1.6666666699999999E-2</v>
      </c>
      <c r="H226" s="182"/>
      <c r="I226" s="37">
        <f t="shared" si="10"/>
        <v>1.6666666699999999E-2</v>
      </c>
      <c r="J226" s="38">
        <f t="shared" si="11"/>
        <v>0</v>
      </c>
      <c r="K226" s="315"/>
      <c r="L226" s="145"/>
    </row>
    <row r="227" spans="1:13" ht="20.100000000000001" customHeight="1" thickBot="1" x14ac:dyDescent="0.4">
      <c r="A227" s="144" t="str">
        <f>IF(B227=IFERROR(VLOOKUP(B227,entrant!$E$4:$J$188,1,FALSE),"THERE WAS AN ERROR"),"RAPPORT JOURNAL","")</f>
        <v/>
      </c>
      <c r="B227" s="147" t="s">
        <v>514</v>
      </c>
      <c r="C227" s="170" t="s">
        <v>507</v>
      </c>
      <c r="D227" s="35">
        <f>SUMIF(entrant!$E$4:$E$2059,'Inventaire des produits'!B227,entrant!$G$4:$G$2059)</f>
        <v>900</v>
      </c>
      <c r="E227" s="35">
        <f>SUMIF(vente!$E$4:$E$2190,'Inventaire des produits'!B227,vente!$G$4:$G$2190)</f>
        <v>900</v>
      </c>
      <c r="F227" s="36">
        <f t="shared" si="9"/>
        <v>0</v>
      </c>
      <c r="G227" s="176">
        <v>1.625</v>
      </c>
      <c r="H227" s="182"/>
      <c r="I227" s="37">
        <f t="shared" si="10"/>
        <v>1.625</v>
      </c>
      <c r="J227" s="38">
        <f t="shared" si="11"/>
        <v>0</v>
      </c>
      <c r="K227" s="315"/>
      <c r="L227" s="145"/>
    </row>
    <row r="228" spans="1:13" ht="20.100000000000001" customHeight="1" thickBot="1" x14ac:dyDescent="0.4">
      <c r="A228" s="144" t="str">
        <f>IF(B228=IFERROR(VLOOKUP(B228,entrant!$E$4:$J$188,1,FALSE),"THERE WAS AN ERROR"),"RAPPORT JOURNAL","")</f>
        <v/>
      </c>
      <c r="B228" s="147" t="s">
        <v>518</v>
      </c>
      <c r="C228" s="170" t="s">
        <v>503</v>
      </c>
      <c r="D228" s="35">
        <f>SUMIF(entrant!$E$4:$E$2059,'Inventaire des produits'!B228,entrant!$G$4:$G$2059)</f>
        <v>600</v>
      </c>
      <c r="E228" s="35">
        <f>SUMIF(vente!$E$4:$E$2190,'Inventaire des produits'!B228,vente!$G$4:$G$2190)</f>
        <v>0</v>
      </c>
      <c r="F228" s="36">
        <f t="shared" si="9"/>
        <v>600</v>
      </c>
      <c r="G228" s="176">
        <v>1.625</v>
      </c>
      <c r="H228" s="182"/>
      <c r="I228" s="37">
        <f t="shared" si="10"/>
        <v>1.625</v>
      </c>
      <c r="J228" s="38">
        <f t="shared" si="11"/>
        <v>975</v>
      </c>
      <c r="K228" s="315"/>
      <c r="L228" s="145"/>
    </row>
    <row r="229" spans="1:13" ht="20.100000000000001" customHeight="1" thickBot="1" x14ac:dyDescent="0.4">
      <c r="A229" s="144" t="str">
        <f>IF(B229=IFERROR(VLOOKUP(B229,entrant!$E$4:$J$188,1,FALSE),"THERE WAS AN ERROR"),"RAPPORT JOURNAL","")</f>
        <v/>
      </c>
      <c r="B229" s="147" t="s">
        <v>519</v>
      </c>
      <c r="C229" s="170" t="s">
        <v>517</v>
      </c>
      <c r="D229" s="35">
        <f>SUMIF(entrant!$E$4:$E$2059,'Inventaire des produits'!B229,entrant!$G$4:$G$2059)</f>
        <v>300</v>
      </c>
      <c r="E229" s="35">
        <f>SUMIF(vente!$E$4:$E$2190,'Inventaire des produits'!B229,vente!$G$4:$G$2190)</f>
        <v>300</v>
      </c>
      <c r="F229" s="36">
        <f t="shared" si="9"/>
        <v>0</v>
      </c>
      <c r="G229" s="176">
        <v>1.625</v>
      </c>
      <c r="H229" s="182"/>
      <c r="I229" s="37">
        <f t="shared" si="10"/>
        <v>1.625</v>
      </c>
      <c r="J229" s="38">
        <f t="shared" si="11"/>
        <v>0</v>
      </c>
      <c r="K229" s="315"/>
      <c r="L229" s="145"/>
    </row>
    <row r="230" spans="1:13" ht="20.100000000000001" customHeight="1" thickBot="1" x14ac:dyDescent="0.4">
      <c r="A230" s="144" t="str">
        <f>IF(B230=IFERROR(VLOOKUP(B230,entrant!$E$4:$J$188,1,FALSE),"THERE WAS AN ERROR"),"RAPPORT JOURNAL","")</f>
        <v/>
      </c>
      <c r="B230" s="147" t="s">
        <v>522</v>
      </c>
      <c r="C230" s="170" t="s">
        <v>523</v>
      </c>
      <c r="D230" s="35">
        <f>SUMIF(entrant!$E$4:$E$2059,'Inventaire des produits'!B230,entrant!$G$4:$G$2059)</f>
        <v>24000</v>
      </c>
      <c r="E230" s="35">
        <f>SUMIF(vente!$E$4:$E$2190,'Inventaire des produits'!B230,vente!$G$4:$G$2190)</f>
        <v>24000</v>
      </c>
      <c r="F230" s="36">
        <f t="shared" si="9"/>
        <v>0</v>
      </c>
      <c r="G230" s="176">
        <v>0.66666666669999997</v>
      </c>
      <c r="H230" s="182"/>
      <c r="I230" s="37">
        <f t="shared" si="10"/>
        <v>0.66666666669999997</v>
      </c>
      <c r="J230" s="38">
        <f t="shared" si="11"/>
        <v>0</v>
      </c>
      <c r="K230" s="315"/>
      <c r="L230" s="145"/>
    </row>
    <row r="231" spans="1:13" ht="20.100000000000001" customHeight="1" thickBot="1" x14ac:dyDescent="0.4">
      <c r="A231" s="144" t="str">
        <f>IF(B231=IFERROR(VLOOKUP(B231,entrant!$E$4:$J$188,1,FALSE),"THERE WAS AN ERROR"),"RAPPORT JOURNAL","")</f>
        <v/>
      </c>
      <c r="B231" s="147" t="s">
        <v>536</v>
      </c>
      <c r="C231" s="170" t="s">
        <v>535</v>
      </c>
      <c r="D231" s="35">
        <f>SUMIF(entrant!$E$4:$E$2059,'Inventaire des produits'!B231,entrant!$G$4:$G$2059)</f>
        <v>60</v>
      </c>
      <c r="E231" s="35">
        <f>SUMIF(vente!$E$4:$E$2190,'Inventaire des produits'!B231,vente!$G$4:$G$2190)</f>
        <v>60</v>
      </c>
      <c r="F231" s="36">
        <f t="shared" si="9"/>
        <v>0</v>
      </c>
      <c r="G231" s="176">
        <v>15</v>
      </c>
      <c r="H231" s="182"/>
      <c r="I231" s="37">
        <f t="shared" si="10"/>
        <v>15</v>
      </c>
      <c r="J231" s="38">
        <f t="shared" si="11"/>
        <v>0</v>
      </c>
      <c r="K231" s="315"/>
      <c r="L231" s="145"/>
    </row>
    <row r="232" spans="1:13" ht="20.100000000000001" customHeight="1" thickBot="1" x14ac:dyDescent="0.4">
      <c r="A232" s="144" t="str">
        <f>IF(B232=IFERROR(VLOOKUP(B232,entrant!$E$4:$J$188,1,FALSE),"THERE WAS AN ERROR"),"RAPPORT JOURNAL","")</f>
        <v/>
      </c>
      <c r="B232" s="147" t="s">
        <v>537</v>
      </c>
      <c r="C232" s="170" t="s">
        <v>538</v>
      </c>
      <c r="D232" s="35">
        <f>SUMIF(entrant!$E$4:$E$2059,'Inventaire des produits'!B232,entrant!$G$4:$G$2059)</f>
        <v>550</v>
      </c>
      <c r="E232" s="35">
        <f>SUMIF(vente!$E$4:$E$2190,'Inventaire des produits'!B232,vente!$G$4:$G$2190)</f>
        <v>550</v>
      </c>
      <c r="F232" s="36">
        <f t="shared" si="9"/>
        <v>0</v>
      </c>
      <c r="G232" s="176">
        <v>4.5</v>
      </c>
      <c r="H232" s="182"/>
      <c r="I232" s="37">
        <f t="shared" si="10"/>
        <v>4.5</v>
      </c>
      <c r="J232" s="38">
        <f t="shared" si="11"/>
        <v>0</v>
      </c>
      <c r="K232" s="315"/>
      <c r="L232" s="145"/>
    </row>
    <row r="233" spans="1:13" ht="20.100000000000001" customHeight="1" thickBot="1" x14ac:dyDescent="0.4">
      <c r="A233" s="144" t="str">
        <f>IF(B233=IFERROR(VLOOKUP(B233,entrant!$E$4:$J$188,1,FALSE),"THERE WAS AN ERROR"),"RAPPORT JOURNAL","")</f>
        <v/>
      </c>
      <c r="B233" s="147" t="s">
        <v>542</v>
      </c>
      <c r="C233" s="170" t="s">
        <v>39</v>
      </c>
      <c r="D233" s="35">
        <f>SUMIF(entrant!$E$4:$E$2059,'Inventaire des produits'!B233,entrant!$G$4:$G$2059)</f>
        <v>20000</v>
      </c>
      <c r="E233" s="35">
        <f>SUMIF(vente!$E$4:$E$2190,'Inventaire des produits'!B233,vente!$G$4:$G$2190)</f>
        <v>20000</v>
      </c>
      <c r="F233" s="36">
        <f t="shared" si="9"/>
        <v>0</v>
      </c>
      <c r="G233" s="176">
        <v>0.20338000000000001</v>
      </c>
      <c r="H233" s="182"/>
      <c r="I233" s="37">
        <f t="shared" si="10"/>
        <v>0.20338000000000001</v>
      </c>
      <c r="J233" s="38">
        <f t="shared" si="11"/>
        <v>0</v>
      </c>
      <c r="K233" s="315"/>
      <c r="L233" s="145"/>
    </row>
    <row r="234" spans="1:13" ht="20.100000000000001" customHeight="1" thickBot="1" x14ac:dyDescent="0.4">
      <c r="A234" s="144" t="str">
        <f>IF(B234=IFERROR(VLOOKUP(B234,entrant!$E$4:$J$188,1,FALSE),"THERE WAS AN ERROR"),"RAPPORT JOURNAL","")</f>
        <v/>
      </c>
      <c r="B234" s="147" t="s">
        <v>544</v>
      </c>
      <c r="C234" s="170" t="s">
        <v>543</v>
      </c>
      <c r="D234" s="35">
        <f>SUMIF(entrant!$E$4:$E$2059,'Inventaire des produits'!B234,entrant!$G$4:$G$2059)</f>
        <v>276</v>
      </c>
      <c r="E234" s="35">
        <f>SUMIF(vente!$E$4:$E$2190,'Inventaire des produits'!B234,vente!$G$4:$G$2190)</f>
        <v>116</v>
      </c>
      <c r="F234" s="36">
        <f t="shared" si="9"/>
        <v>160</v>
      </c>
      <c r="G234" s="176">
        <v>16.666666666699999</v>
      </c>
      <c r="H234" s="182"/>
      <c r="I234" s="37">
        <f t="shared" si="10"/>
        <v>16.666666666699999</v>
      </c>
      <c r="J234" s="38">
        <f t="shared" si="11"/>
        <v>2666.6666666719998</v>
      </c>
      <c r="K234" s="315"/>
      <c r="L234" s="145"/>
    </row>
    <row r="235" spans="1:13" ht="20.100000000000001" customHeight="1" thickBot="1" x14ac:dyDescent="0.4">
      <c r="A235" s="144" t="str">
        <f>IF(B235=IFERROR(VLOOKUP(B235,entrant!$E$4:$J$188,1,FALSE),"THERE WAS AN ERROR"),"RAPPORT JOURNAL","")</f>
        <v/>
      </c>
      <c r="B235" s="147" t="s">
        <v>546</v>
      </c>
      <c r="C235" s="170" t="s">
        <v>23</v>
      </c>
      <c r="D235" s="35">
        <f>SUMIF(entrant!$E$4:$E$2059,'Inventaire des produits'!B235,entrant!$G$4:$G$2059)</f>
        <v>66</v>
      </c>
      <c r="E235" s="35">
        <f>SUMIF(vente!$E$4:$E$2190,'Inventaire des produits'!B235,vente!$G$4:$G$2190)</f>
        <v>66</v>
      </c>
      <c r="F235" s="36">
        <f t="shared" si="9"/>
        <v>0</v>
      </c>
      <c r="G235" s="176">
        <v>48.333333333299997</v>
      </c>
      <c r="H235" s="182"/>
      <c r="I235" s="37">
        <f t="shared" si="10"/>
        <v>48.333333333299997</v>
      </c>
      <c r="J235" s="38">
        <f t="shared" si="11"/>
        <v>0</v>
      </c>
      <c r="K235" s="315"/>
      <c r="L235" s="145"/>
    </row>
    <row r="236" spans="1:13" ht="20.100000000000001" customHeight="1" thickBot="1" x14ac:dyDescent="0.4">
      <c r="A236" s="144" t="str">
        <f>IF(B236=IFERROR(VLOOKUP(B236,entrant!$E$4:$J$188,1,FALSE),"THERE WAS AN ERROR"),"RAPPORT JOURNAL","")</f>
        <v/>
      </c>
      <c r="B236" s="147" t="s">
        <v>548</v>
      </c>
      <c r="C236" s="170" t="s">
        <v>216</v>
      </c>
      <c r="D236" s="35">
        <f>SUMIF(entrant!$E$4:$E$2059,'Inventaire des produits'!B236,entrant!$G$4:$G$2059)</f>
        <v>70000</v>
      </c>
      <c r="E236" s="35">
        <f>SUMIF(vente!$E$4:$E$2190,'Inventaire des produits'!B236,vente!$G$4:$G$2190)</f>
        <v>70000</v>
      </c>
      <c r="F236" s="36">
        <f t="shared" si="9"/>
        <v>0</v>
      </c>
      <c r="G236" s="176">
        <v>0.45833000000000002</v>
      </c>
      <c r="H236" s="182"/>
      <c r="I236" s="37">
        <f t="shared" si="10"/>
        <v>0.45833000000000002</v>
      </c>
      <c r="J236" s="38">
        <f t="shared" si="11"/>
        <v>0</v>
      </c>
      <c r="K236" s="315"/>
      <c r="L236" s="145"/>
    </row>
    <row r="237" spans="1:13" ht="20.100000000000001" customHeight="1" thickBot="1" x14ac:dyDescent="0.4">
      <c r="A237" s="144" t="str">
        <f>IF(B237=IFERROR(VLOOKUP(B237,entrant!$E$4:$J$188,1,FALSE),"THERE WAS AN ERROR"),"RAPPORT JOURNAL","")</f>
        <v/>
      </c>
      <c r="B237" s="147" t="s">
        <v>551</v>
      </c>
      <c r="C237" s="170" t="s">
        <v>31</v>
      </c>
      <c r="D237" s="35">
        <f>SUMIF(entrant!$E$4:$E$2059,'Inventaire des produits'!B237,entrant!$G$4:$G$2059)</f>
        <v>30000</v>
      </c>
      <c r="E237" s="35">
        <f>SUMIF(vente!$E$4:$E$2190,'Inventaire des produits'!B237,vente!$G$4:$G$2190)</f>
        <v>30000</v>
      </c>
      <c r="F237" s="36">
        <f t="shared" si="9"/>
        <v>0</v>
      </c>
      <c r="G237" s="176">
        <v>0.53333330000000001</v>
      </c>
      <c r="H237" s="182"/>
      <c r="I237" s="37">
        <f t="shared" si="10"/>
        <v>0.53333330000000001</v>
      </c>
      <c r="J237" s="38">
        <f t="shared" si="11"/>
        <v>0</v>
      </c>
      <c r="K237" s="315"/>
      <c r="L237" s="145"/>
      <c r="M237" s="140"/>
    </row>
    <row r="238" spans="1:13" ht="20.100000000000001" customHeight="1" thickBot="1" x14ac:dyDescent="0.4">
      <c r="A238" s="144" t="str">
        <f>IF(B238=IFERROR(VLOOKUP(B238,entrant!$E$4:$J$188,1,FALSE),"THERE WAS AN ERROR"),"RAPPORT JOURNAL","")</f>
        <v/>
      </c>
      <c r="B238" s="147" t="s">
        <v>553</v>
      </c>
      <c r="C238" s="170" t="s">
        <v>318</v>
      </c>
      <c r="D238" s="35">
        <f>SUMIF(entrant!$E$4:$E$2059,'Inventaire des produits'!B238,entrant!$G$4:$G$2059)</f>
        <v>160</v>
      </c>
      <c r="E238" s="35">
        <f>SUMIF(vente!$E$4:$E$2190,'Inventaire des produits'!B238,vente!$G$4:$G$2190)</f>
        <v>160</v>
      </c>
      <c r="F238" s="36">
        <f t="shared" si="9"/>
        <v>0</v>
      </c>
      <c r="G238" s="176">
        <v>17.5</v>
      </c>
      <c r="H238" s="182"/>
      <c r="I238" s="37">
        <f t="shared" si="10"/>
        <v>17.5</v>
      </c>
      <c r="J238" s="38">
        <f t="shared" si="11"/>
        <v>0</v>
      </c>
      <c r="K238" s="315"/>
      <c r="L238" s="145"/>
    </row>
    <row r="239" spans="1:13" ht="20.100000000000001" customHeight="1" thickBot="1" x14ac:dyDescent="0.4">
      <c r="A239" s="144" t="str">
        <f>IF(B239=IFERROR(VLOOKUP(B239,entrant!$E$4:$J$188,1,FALSE),"THERE WAS AN ERROR"),"RAPPORT JOURNAL","")</f>
        <v/>
      </c>
      <c r="B239" s="147" t="s">
        <v>557</v>
      </c>
      <c r="C239" s="170" t="s">
        <v>104</v>
      </c>
      <c r="D239" s="35">
        <f>SUMIF(entrant!$E$4:$E$2059,'Inventaire des produits'!B239,entrant!$G$4:$G$2059)</f>
        <v>5000</v>
      </c>
      <c r="E239" s="35">
        <f>SUMIF(vente!$E$4:$E$2190,'Inventaire des produits'!B239,vente!$G$4:$G$2190)</f>
        <v>5000</v>
      </c>
      <c r="F239" s="36">
        <f t="shared" si="9"/>
        <v>0</v>
      </c>
      <c r="G239" s="176">
        <v>0.32</v>
      </c>
      <c r="H239" s="182"/>
      <c r="I239" s="37">
        <f t="shared" si="10"/>
        <v>0.32</v>
      </c>
      <c r="J239" s="38">
        <f t="shared" si="11"/>
        <v>0</v>
      </c>
      <c r="K239" s="315"/>
      <c r="L239" s="145"/>
    </row>
    <row r="240" spans="1:13" ht="20.100000000000001" customHeight="1" thickBot="1" x14ac:dyDescent="0.4">
      <c r="A240" s="144" t="str">
        <f>IF(B240=IFERROR(VLOOKUP(B240,entrant!$E$4:$J$188,1,FALSE),"THERE WAS AN ERROR"),"RAPPORT JOURNAL","")</f>
        <v/>
      </c>
      <c r="B240" s="147" t="s">
        <v>561</v>
      </c>
      <c r="C240" s="170" t="s">
        <v>218</v>
      </c>
      <c r="D240" s="35">
        <f>SUMIF(entrant!$E$4:$E$2059,'Inventaire des produits'!B240,entrant!$G$4:$G$2059)</f>
        <v>5000</v>
      </c>
      <c r="E240" s="35">
        <f>SUMIF(vente!$E$4:$E$2190,'Inventaire des produits'!B240,vente!$G$4:$G$2190)</f>
        <v>5000</v>
      </c>
      <c r="F240" s="36">
        <f t="shared" si="9"/>
        <v>0</v>
      </c>
      <c r="G240" s="176">
        <v>0.54</v>
      </c>
      <c r="H240" s="182"/>
      <c r="I240" s="37">
        <f t="shared" si="10"/>
        <v>0.54</v>
      </c>
      <c r="J240" s="38">
        <f t="shared" si="11"/>
        <v>0</v>
      </c>
      <c r="K240" s="315"/>
      <c r="L240" s="145"/>
    </row>
    <row r="241" spans="1:12" ht="20.100000000000001" customHeight="1" thickBot="1" x14ac:dyDescent="0.4">
      <c r="A241" s="144" t="str">
        <f>IF(B241=IFERROR(VLOOKUP(B241,entrant!$E$4:$J$188,1,FALSE),"THERE WAS AN ERROR"),"RAPPORT JOURNAL","")</f>
        <v/>
      </c>
      <c r="B241" s="147" t="s">
        <v>563</v>
      </c>
      <c r="C241" s="170" t="s">
        <v>562</v>
      </c>
      <c r="D241" s="35">
        <f>SUMIF(entrant!$E$4:$E$2059,'Inventaire des produits'!B241,entrant!$G$4:$G$2059)</f>
        <v>60</v>
      </c>
      <c r="E241" s="35">
        <f>SUMIF(vente!$E$4:$E$2190,'Inventaire des produits'!B241,vente!$G$4:$G$2190)</f>
        <v>60</v>
      </c>
      <c r="F241" s="36">
        <f t="shared" si="9"/>
        <v>0</v>
      </c>
      <c r="G241" s="176">
        <v>6.25</v>
      </c>
      <c r="H241" s="182"/>
      <c r="I241" s="37">
        <f t="shared" si="10"/>
        <v>6.25</v>
      </c>
      <c r="J241" s="38">
        <f t="shared" si="11"/>
        <v>0</v>
      </c>
      <c r="K241" s="315"/>
      <c r="L241" s="145"/>
    </row>
    <row r="242" spans="1:12" ht="20.100000000000001" customHeight="1" thickBot="1" x14ac:dyDescent="0.4">
      <c r="A242" s="144" t="str">
        <f>IF(B242=IFERROR(VLOOKUP(B242,entrant!$E$4:$J$188,1,FALSE),"THERE WAS AN ERROR"),"RAPPORT JOURNAL","")</f>
        <v/>
      </c>
      <c r="B242" s="147" t="s">
        <v>571</v>
      </c>
      <c r="C242" s="170" t="s">
        <v>570</v>
      </c>
      <c r="D242" s="35">
        <f>SUMIF(entrant!$E$4:$E$2059,'Inventaire des produits'!B242,entrant!$G$4:$G$2059)</f>
        <v>1000</v>
      </c>
      <c r="E242" s="35">
        <f>SUMIF(vente!$E$4:$E$2190,'Inventaire des produits'!B242,vente!$G$4:$G$2190)</f>
        <v>1000</v>
      </c>
      <c r="F242" s="36">
        <f t="shared" si="9"/>
        <v>0</v>
      </c>
      <c r="G242" s="176">
        <v>0.52</v>
      </c>
      <c r="H242" s="182"/>
      <c r="I242" s="37">
        <f t="shared" si="10"/>
        <v>0.52</v>
      </c>
      <c r="J242" s="38">
        <f t="shared" si="11"/>
        <v>0</v>
      </c>
      <c r="K242" s="315"/>
      <c r="L242" s="145"/>
    </row>
    <row r="243" spans="1:12" ht="20.100000000000001" customHeight="1" thickBot="1" x14ac:dyDescent="0.4">
      <c r="A243" s="144" t="str">
        <f>IF(B243=IFERROR(VLOOKUP(B243,entrant!$E$4:$J$188,1,FALSE),"THERE WAS AN ERROR"),"RAPPORT JOURNAL","")</f>
        <v/>
      </c>
      <c r="B243" s="147" t="s">
        <v>572</v>
      </c>
      <c r="C243" s="170" t="s">
        <v>104</v>
      </c>
      <c r="D243" s="35">
        <f>SUMIF(entrant!$E$4:$E$2059,'Inventaire des produits'!B243,entrant!$G$4:$G$2059)</f>
        <v>1000</v>
      </c>
      <c r="E243" s="35">
        <f>SUMIF(vente!$E$4:$E$2190,'Inventaire des produits'!B243,vente!$G$4:$G$2190)</f>
        <v>1000</v>
      </c>
      <c r="F243" s="36">
        <f t="shared" si="9"/>
        <v>0</v>
      </c>
      <c r="G243" s="176">
        <v>0.38</v>
      </c>
      <c r="H243" s="182"/>
      <c r="I243" s="37">
        <f t="shared" si="10"/>
        <v>0.38</v>
      </c>
      <c r="J243" s="38">
        <f t="shared" si="11"/>
        <v>0</v>
      </c>
      <c r="K243" s="315"/>
      <c r="L243" s="145"/>
    </row>
    <row r="244" spans="1:12" ht="20.100000000000001" customHeight="1" thickBot="1" x14ac:dyDescent="0.4">
      <c r="A244" s="144" t="str">
        <f>IF(B244=IFERROR(VLOOKUP(B244,entrant!$E$4:$J$188,1,FALSE),"THERE WAS AN ERROR"),"RAPPORT JOURNAL","")</f>
        <v/>
      </c>
      <c r="B244" s="147" t="s">
        <v>582</v>
      </c>
      <c r="C244" s="170" t="s">
        <v>34</v>
      </c>
      <c r="D244" s="35">
        <f>SUMIF(entrant!$E$4:$E$2059,'Inventaire des produits'!B244,entrant!$G$4:$G$2059)</f>
        <v>200</v>
      </c>
      <c r="E244" s="35">
        <f>SUMIF(vente!$E$4:$E$2190,'Inventaire des produits'!B244,vente!$G$4:$G$2190)</f>
        <v>200</v>
      </c>
      <c r="F244" s="36">
        <f t="shared" si="9"/>
        <v>0</v>
      </c>
      <c r="G244" s="176">
        <v>19.166666666699999</v>
      </c>
      <c r="H244" s="182"/>
      <c r="I244" s="37">
        <f t="shared" si="10"/>
        <v>19.166666666699999</v>
      </c>
      <c r="J244" s="38">
        <f t="shared" si="11"/>
        <v>0</v>
      </c>
      <c r="K244" s="315"/>
      <c r="L244" s="145"/>
    </row>
    <row r="245" spans="1:12" ht="20.100000000000001" customHeight="1" thickBot="1" x14ac:dyDescent="0.4">
      <c r="A245" s="144" t="str">
        <f>IF(B245=IFERROR(VLOOKUP(B245,entrant!$E$4:$J$188,1,FALSE),"THERE WAS AN ERROR"),"RAPPORT JOURNAL","")</f>
        <v/>
      </c>
      <c r="B245" s="147" t="s">
        <v>583</v>
      </c>
      <c r="C245" s="170" t="s">
        <v>22</v>
      </c>
      <c r="D245" s="35">
        <f>SUMIF(entrant!$E$4:$E$2059,'Inventaire des produits'!B245,entrant!$G$4:$G$2059)</f>
        <v>100</v>
      </c>
      <c r="E245" s="35">
        <f>SUMIF(vente!$E$4:$E$2190,'Inventaire des produits'!B245,vente!$G$4:$G$2190)</f>
        <v>100</v>
      </c>
      <c r="F245" s="36">
        <f t="shared" si="9"/>
        <v>0</v>
      </c>
      <c r="G245" s="176">
        <v>19.166666666699999</v>
      </c>
      <c r="H245" s="182"/>
      <c r="I245" s="37">
        <f t="shared" si="10"/>
        <v>19.166666666699999</v>
      </c>
      <c r="J245" s="38">
        <f t="shared" si="11"/>
        <v>0</v>
      </c>
      <c r="K245" s="315"/>
      <c r="L245" s="145"/>
    </row>
    <row r="246" spans="1:12" ht="20.100000000000001" customHeight="1" thickBot="1" x14ac:dyDescent="0.4">
      <c r="A246" s="144" t="str">
        <f>IF(B246=IFERROR(VLOOKUP(B246,entrant!$E$4:$J$188,1,FALSE),"THERE WAS AN ERROR"),"RAPPORT JOURNAL","")</f>
        <v/>
      </c>
      <c r="B246" s="147" t="s">
        <v>584</v>
      </c>
      <c r="C246" s="170" t="s">
        <v>23</v>
      </c>
      <c r="D246" s="35">
        <f>SUMIF(entrant!$E$4:$E$2059,'Inventaire des produits'!B246,entrant!$G$4:$G$2059)</f>
        <v>48</v>
      </c>
      <c r="E246" s="35">
        <f>SUMIF(vente!$E$4:$E$2190,'Inventaire des produits'!B246,vente!$G$4:$G$2190)</f>
        <v>48</v>
      </c>
      <c r="F246" s="36">
        <f t="shared" si="9"/>
        <v>0</v>
      </c>
      <c r="G246" s="176">
        <v>50</v>
      </c>
      <c r="H246" s="182"/>
      <c r="I246" s="37">
        <f t="shared" si="10"/>
        <v>50</v>
      </c>
      <c r="J246" s="38">
        <f t="shared" si="11"/>
        <v>0</v>
      </c>
      <c r="K246" s="315"/>
      <c r="L246" s="145"/>
    </row>
    <row r="247" spans="1:12" ht="20.100000000000001" customHeight="1" thickBot="1" x14ac:dyDescent="0.4">
      <c r="A247" s="144" t="str">
        <f>IF(B247=IFERROR(VLOOKUP(B247,entrant!$E$4:$J$188,1,FALSE),"THERE WAS AN ERROR"),"RAPPORT JOURNAL","")</f>
        <v>RAPPORT JOURNAL</v>
      </c>
      <c r="B247" s="217" t="s">
        <v>596</v>
      </c>
      <c r="C247" s="169" t="s">
        <v>597</v>
      </c>
      <c r="D247" s="35">
        <f>SUMIF(entrant!$E$4:$E$2059,'Inventaire des produits'!B247,entrant!$G$4:$G$2059)</f>
        <v>1</v>
      </c>
      <c r="E247" s="35">
        <f>SUMIF(vente!$E$4:$E$2190,'Inventaire des produits'!B247,vente!$G$4:$G$2190)</f>
        <v>1</v>
      </c>
      <c r="F247" s="36">
        <f t="shared" si="9"/>
        <v>0</v>
      </c>
      <c r="G247" s="176">
        <v>40</v>
      </c>
      <c r="H247" s="182"/>
      <c r="I247" s="37">
        <f t="shared" si="10"/>
        <v>40</v>
      </c>
      <c r="J247" s="38">
        <f t="shared" si="11"/>
        <v>0</v>
      </c>
      <c r="K247" s="315"/>
      <c r="L247" s="145"/>
    </row>
    <row r="248" spans="1:12" ht="20.100000000000001" customHeight="1" thickBot="1" x14ac:dyDescent="0.4">
      <c r="A248" s="144" t="str">
        <f>IF(B248=IFERROR(VLOOKUP(B248,entrant!$E$4:$J$188,1,FALSE),"THERE WAS AN ERROR"),"RAPPORT JOURNAL","")</f>
        <v>RAPPORT JOURNAL</v>
      </c>
      <c r="B248" s="218" t="s">
        <v>598</v>
      </c>
      <c r="C248" s="170" t="s">
        <v>41</v>
      </c>
      <c r="D248" s="35">
        <f>SUMIF(entrant!$E$4:$E$2059,'Inventaire des produits'!B248,entrant!$G$4:$G$2059)</f>
        <v>2000</v>
      </c>
      <c r="E248" s="35">
        <f>SUMIF(vente!$E$4:$E$2190,'Inventaire des produits'!B248,vente!$G$4:$G$2190)</f>
        <v>2000</v>
      </c>
      <c r="F248" s="36">
        <f t="shared" si="9"/>
        <v>0</v>
      </c>
      <c r="G248" s="176">
        <v>0.41699999999999998</v>
      </c>
      <c r="H248" s="182"/>
      <c r="I248" s="37">
        <f t="shared" si="10"/>
        <v>0.41699999999999998</v>
      </c>
      <c r="J248" s="38">
        <f t="shared" si="11"/>
        <v>0</v>
      </c>
      <c r="K248" s="315"/>
      <c r="L248" s="145"/>
    </row>
    <row r="249" spans="1:12" ht="20.100000000000001" customHeight="1" thickBot="1" x14ac:dyDescent="0.4">
      <c r="A249" s="144" t="str">
        <f>IF(B249=IFERROR(VLOOKUP(B249,entrant!$E$4:$J$188,1,FALSE),"THERE WAS AN ERROR"),"RAPPORT JOURNAL","")</f>
        <v>RAPPORT JOURNAL</v>
      </c>
      <c r="B249" s="218" t="s">
        <v>599</v>
      </c>
      <c r="C249" s="171" t="s">
        <v>600</v>
      </c>
      <c r="D249" s="35">
        <f>SUMIF(entrant!$E$4:$E$2059,'Inventaire des produits'!B249,entrant!$G$4:$G$2059)</f>
        <v>180</v>
      </c>
      <c r="E249" s="35">
        <f>SUMIF(vente!$E$4:$E$2190,'Inventaire des produits'!B249,vente!$G$4:$G$2190)</f>
        <v>180</v>
      </c>
      <c r="F249" s="36">
        <f t="shared" si="9"/>
        <v>0</v>
      </c>
      <c r="G249" s="176">
        <v>7.5</v>
      </c>
      <c r="H249" s="182"/>
      <c r="I249" s="37">
        <f t="shared" si="10"/>
        <v>7.5</v>
      </c>
      <c r="J249" s="38">
        <f t="shared" si="11"/>
        <v>0</v>
      </c>
      <c r="K249" s="315"/>
      <c r="L249" s="145"/>
    </row>
    <row r="250" spans="1:12" ht="20.100000000000001" customHeight="1" thickBot="1" x14ac:dyDescent="0.4">
      <c r="A250" s="144" t="str">
        <f>IF(B250=IFERROR(VLOOKUP(B250,entrant!$E$4:$J$188,1,FALSE),"THERE WAS AN ERROR"),"RAPPORT JOURNAL","")</f>
        <v>RAPPORT JOURNAL</v>
      </c>
      <c r="B250" s="218" t="s">
        <v>601</v>
      </c>
      <c r="C250" s="170" t="s">
        <v>602</v>
      </c>
      <c r="D250" s="35">
        <f>SUMIF(entrant!$E$4:$E$2059,'Inventaire des produits'!B250,entrant!$G$4:$G$2059)</f>
        <v>289.70999999999998</v>
      </c>
      <c r="E250" s="35">
        <f>SUMIF(vente!$E$4:$E$2190,'Inventaire des produits'!B250,vente!$G$4:$G$2190)</f>
        <v>289.70999999999998</v>
      </c>
      <c r="F250" s="36">
        <f t="shared" si="9"/>
        <v>0</v>
      </c>
      <c r="G250" s="176">
        <v>29.17</v>
      </c>
      <c r="H250" s="182"/>
      <c r="I250" s="37">
        <f t="shared" si="10"/>
        <v>29.17</v>
      </c>
      <c r="J250" s="38">
        <f t="shared" si="11"/>
        <v>0</v>
      </c>
      <c r="K250" s="315"/>
      <c r="L250" s="145"/>
    </row>
    <row r="251" spans="1:12" ht="20.100000000000001" customHeight="1" thickBot="1" x14ac:dyDescent="0.4">
      <c r="A251" s="144" t="str">
        <f>IF(B251=IFERROR(VLOOKUP(B251,entrant!$E$4:$J$188,1,FALSE),"THERE WAS AN ERROR"),"RAPPORT JOURNAL","")</f>
        <v>RAPPORT JOURNAL</v>
      </c>
      <c r="B251" s="218" t="s">
        <v>603</v>
      </c>
      <c r="C251" s="170" t="s">
        <v>207</v>
      </c>
      <c r="D251" s="35">
        <f>SUMIF(entrant!$E$4:$E$2059,'Inventaire des produits'!B251,entrant!$G$4:$G$2059)</f>
        <v>240</v>
      </c>
      <c r="E251" s="35">
        <f>SUMIF(vente!$E$4:$E$2190,'Inventaire des produits'!B251,vente!$G$4:$G$2190)</f>
        <v>240</v>
      </c>
      <c r="F251" s="36">
        <f t="shared" si="9"/>
        <v>0</v>
      </c>
      <c r="G251" s="176">
        <v>25</v>
      </c>
      <c r="H251" s="182"/>
      <c r="I251" s="37">
        <f t="shared" si="10"/>
        <v>25</v>
      </c>
      <c r="J251" s="38">
        <f t="shared" si="11"/>
        <v>0</v>
      </c>
      <c r="K251" s="315"/>
      <c r="L251" s="145"/>
    </row>
    <row r="252" spans="1:12" ht="20.100000000000001" customHeight="1" thickBot="1" x14ac:dyDescent="0.4">
      <c r="A252" s="144" t="str">
        <f>IF(B252=IFERROR(VLOOKUP(B252,entrant!$E$4:$J$188,1,FALSE),"THERE WAS AN ERROR"),"RAPPORT JOURNAL","")</f>
        <v>RAPPORT JOURNAL</v>
      </c>
      <c r="B252" s="218" t="s">
        <v>604</v>
      </c>
      <c r="C252" s="170" t="s">
        <v>605</v>
      </c>
      <c r="D252" s="35">
        <f>SUMIF(entrant!$E$4:$E$2059,'Inventaire des produits'!B252,entrant!$G$4:$G$2059)</f>
        <v>180</v>
      </c>
      <c r="E252" s="35">
        <f>SUMIF(vente!$E$4:$E$2190,'Inventaire des produits'!B252,vente!$G$4:$G$2190)</f>
        <v>180</v>
      </c>
      <c r="F252" s="36">
        <f t="shared" si="9"/>
        <v>0</v>
      </c>
      <c r="G252" s="176">
        <v>54.17</v>
      </c>
      <c r="H252" s="182"/>
      <c r="I252" s="37">
        <f t="shared" si="10"/>
        <v>54.17</v>
      </c>
      <c r="J252" s="38">
        <f t="shared" si="11"/>
        <v>0</v>
      </c>
      <c r="K252" s="315"/>
      <c r="L252" s="145"/>
    </row>
    <row r="253" spans="1:12" ht="20.100000000000001" customHeight="1" thickBot="1" x14ac:dyDescent="0.4">
      <c r="A253" s="144" t="str">
        <f>IF(B253=IFERROR(VLOOKUP(B253,entrant!$E$4:$J$188,1,FALSE),"THERE WAS AN ERROR"),"RAPPORT JOURNAL","")</f>
        <v>RAPPORT JOURNAL</v>
      </c>
      <c r="B253" s="218" t="s">
        <v>606</v>
      </c>
      <c r="C253" s="170" t="s">
        <v>607</v>
      </c>
      <c r="D253" s="35">
        <f>SUMIF(entrant!$E$4:$E$2059,'Inventaire des produits'!B253,entrant!$G$4:$G$2059)</f>
        <v>300</v>
      </c>
      <c r="E253" s="35">
        <f>SUMIF(vente!$E$4:$E$2190,'Inventaire des produits'!B253,vente!$G$4:$G$2190)</f>
        <v>300</v>
      </c>
      <c r="F253" s="36">
        <f t="shared" si="9"/>
        <v>0</v>
      </c>
      <c r="G253" s="176">
        <v>0.46200000000000002</v>
      </c>
      <c r="H253" s="182"/>
      <c r="I253" s="37">
        <f t="shared" si="10"/>
        <v>0.46200000000000002</v>
      </c>
      <c r="J253" s="38">
        <f t="shared" si="11"/>
        <v>0</v>
      </c>
      <c r="K253" s="315"/>
      <c r="L253" s="145"/>
    </row>
    <row r="254" spans="1:12" ht="20.100000000000001" customHeight="1" thickBot="1" x14ac:dyDescent="0.4">
      <c r="A254" s="144" t="str">
        <f>IF(B254=IFERROR(VLOOKUP(B254,entrant!$E$4:$J$188,1,FALSE),"THERE WAS AN ERROR"),"RAPPORT JOURNAL","")</f>
        <v>RAPPORT JOURNAL</v>
      </c>
      <c r="B254" s="218" t="s">
        <v>608</v>
      </c>
      <c r="C254" s="170" t="s">
        <v>609</v>
      </c>
      <c r="D254" s="35">
        <f>SUMIF(entrant!$E$4:$E$2059,'Inventaire des produits'!B254,entrant!$G$4:$G$2059)</f>
        <v>500</v>
      </c>
      <c r="E254" s="35">
        <f>SUMIF(vente!$E$4:$E$2190,'Inventaire des produits'!B254,vente!$G$4:$G$2190)</f>
        <v>500</v>
      </c>
      <c r="F254" s="36">
        <f t="shared" si="9"/>
        <v>0</v>
      </c>
      <c r="G254" s="176">
        <v>0.30280000000000001</v>
      </c>
      <c r="H254" s="182"/>
      <c r="I254" s="37">
        <f t="shared" si="10"/>
        <v>0.30280000000000001</v>
      </c>
      <c r="J254" s="38">
        <f t="shared" si="11"/>
        <v>0</v>
      </c>
      <c r="K254" s="315"/>
      <c r="L254" s="145"/>
    </row>
    <row r="255" spans="1:12" ht="20.100000000000001" customHeight="1" thickBot="1" x14ac:dyDescent="0.4">
      <c r="A255" s="144" t="str">
        <f>IF(B255=IFERROR(VLOOKUP(B255,entrant!$E$4:$J$188,1,FALSE),"THERE WAS AN ERROR"),"RAPPORT JOURNAL","")</f>
        <v>RAPPORT JOURNAL</v>
      </c>
      <c r="B255" s="218" t="s">
        <v>610</v>
      </c>
      <c r="C255" s="170" t="s">
        <v>611</v>
      </c>
      <c r="D255" s="35">
        <f>SUMIF(entrant!$E$4:$E$2059,'Inventaire des produits'!B255,entrant!$G$4:$G$2059)</f>
        <v>300</v>
      </c>
      <c r="E255" s="35">
        <f>SUMIF(vente!$E$4:$E$2190,'Inventaire des produits'!B255,vente!$G$4:$G$2190)</f>
        <v>300</v>
      </c>
      <c r="F255" s="36">
        <f t="shared" si="9"/>
        <v>0</v>
      </c>
      <c r="G255" s="176">
        <v>0.26029999999999998</v>
      </c>
      <c r="H255" s="182"/>
      <c r="I255" s="37">
        <f t="shared" si="10"/>
        <v>0.26029999999999998</v>
      </c>
      <c r="J255" s="38">
        <f t="shared" si="11"/>
        <v>0</v>
      </c>
      <c r="K255" s="315"/>
      <c r="L255" s="145"/>
    </row>
    <row r="256" spans="1:12" ht="20.100000000000001" customHeight="1" thickBot="1" x14ac:dyDescent="0.4">
      <c r="A256" s="144" t="str">
        <f>IF(B256=IFERROR(VLOOKUP(B256,entrant!$E$4:$J$188,1,FALSE),"THERE WAS AN ERROR"),"RAPPORT JOURNAL","")</f>
        <v/>
      </c>
      <c r="B256" s="147" t="s">
        <v>614</v>
      </c>
      <c r="C256" s="170" t="s">
        <v>613</v>
      </c>
      <c r="D256" s="35">
        <f>SUMIF(entrant!$E$4:$E$2059,'Inventaire des produits'!B256,entrant!$G$4:$G$2059)</f>
        <v>60</v>
      </c>
      <c r="E256" s="35">
        <f>SUMIF(vente!$E$4:$E$2190,'Inventaire des produits'!B256,vente!$G$4:$G$2190)</f>
        <v>60</v>
      </c>
      <c r="F256" s="36">
        <f t="shared" si="9"/>
        <v>0</v>
      </c>
      <c r="G256" s="176">
        <v>29.167000000000002</v>
      </c>
      <c r="H256" s="182"/>
      <c r="I256" s="37">
        <f t="shared" si="10"/>
        <v>29.167000000000002</v>
      </c>
      <c r="J256" s="38">
        <f t="shared" si="11"/>
        <v>0</v>
      </c>
      <c r="K256" s="315"/>
      <c r="L256" s="145"/>
    </row>
    <row r="257" spans="1:12" ht="20.100000000000001" customHeight="1" thickBot="1" x14ac:dyDescent="0.4">
      <c r="A257" s="144" t="str">
        <f>IF(B257=IFERROR(VLOOKUP(B257,entrant!$E$4:$J$188,1,FALSE),"THERE WAS AN ERROR"),"RAPPORT JOURNAL","")</f>
        <v>RAPPORT JOURNAL</v>
      </c>
      <c r="B257" s="218" t="s">
        <v>615</v>
      </c>
      <c r="C257" s="170" t="s">
        <v>616</v>
      </c>
      <c r="D257" s="35">
        <f>SUMIF(entrant!$E$4:$E$2059,'Inventaire des produits'!B257,entrant!$G$4:$G$2059)</f>
        <v>5500</v>
      </c>
      <c r="E257" s="35">
        <f>SUMIF(vente!$E$4:$E$2190,'Inventaire des produits'!B257,vente!$G$4:$G$2190)</f>
        <v>5500</v>
      </c>
      <c r="F257" s="36">
        <f t="shared" si="9"/>
        <v>0</v>
      </c>
      <c r="G257" s="176">
        <v>0.33334000000000003</v>
      </c>
      <c r="H257" s="182"/>
      <c r="I257" s="37">
        <f t="shared" si="10"/>
        <v>0.33334000000000003</v>
      </c>
      <c r="J257" s="38">
        <f t="shared" si="11"/>
        <v>0</v>
      </c>
      <c r="K257" s="315"/>
      <c r="L257" s="145"/>
    </row>
    <row r="258" spans="1:12" ht="20.100000000000001" customHeight="1" thickBot="1" x14ac:dyDescent="0.4">
      <c r="A258" s="144" t="str">
        <f>IF(B258=IFERROR(VLOOKUP(B258,entrant!$E$4:$J$188,1,FALSE),"THERE WAS AN ERROR"),"RAPPORT JOURNAL","")</f>
        <v>RAPPORT JOURNAL</v>
      </c>
      <c r="B258" s="217" t="s">
        <v>617</v>
      </c>
      <c r="C258" s="169" t="s">
        <v>35</v>
      </c>
      <c r="D258" s="35">
        <f>SUMIF(entrant!$E$4:$E$2059,'Inventaire des produits'!B258,entrant!$G$4:$G$2059)</f>
        <v>1</v>
      </c>
      <c r="E258" s="35">
        <f>SUMIF(vente!$E$4:$E$2190,'Inventaire des produits'!B258,vente!$G$4:$G$2190)</f>
        <v>1</v>
      </c>
      <c r="F258" s="36">
        <f t="shared" si="9"/>
        <v>0</v>
      </c>
      <c r="G258" s="176">
        <v>63.333333333299997</v>
      </c>
      <c r="H258" s="182"/>
      <c r="I258" s="37">
        <f t="shared" si="10"/>
        <v>63.333333333299997</v>
      </c>
      <c r="J258" s="38">
        <f t="shared" si="11"/>
        <v>0</v>
      </c>
      <c r="K258" s="315"/>
      <c r="L258" s="145"/>
    </row>
    <row r="259" spans="1:12" ht="20.100000000000001" customHeight="1" thickBot="1" x14ac:dyDescent="0.4">
      <c r="A259" s="144" t="str">
        <f>IF(B259=IFERROR(VLOOKUP(B259,entrant!$E$4:$J$188,1,FALSE),"THERE WAS AN ERROR"),"RAPPORT JOURNAL","")</f>
        <v/>
      </c>
      <c r="B259" s="147" t="s">
        <v>619</v>
      </c>
      <c r="C259" s="170" t="s">
        <v>359</v>
      </c>
      <c r="D259" s="35">
        <f>SUMIF(entrant!$E$4:$E$2059,'Inventaire des produits'!B259,entrant!$G$4:$G$2059)</f>
        <v>318000</v>
      </c>
      <c r="E259" s="35">
        <f>SUMIF(vente!$E$4:$E$2190,'Inventaire des produits'!B259,vente!$G$4:$G$2190)</f>
        <v>318000</v>
      </c>
      <c r="F259" s="36">
        <f t="shared" ref="F259:F322" si="12">IF(OR(D259="",E259=""),"",D259-E259)</f>
        <v>0</v>
      </c>
      <c r="G259" s="176">
        <v>0.13450000000000001</v>
      </c>
      <c r="H259" s="182"/>
      <c r="I259" s="37">
        <f t="shared" si="10"/>
        <v>0.13450000000000001</v>
      </c>
      <c r="J259" s="38">
        <f t="shared" si="11"/>
        <v>0</v>
      </c>
      <c r="K259" s="315"/>
      <c r="L259" s="145"/>
    </row>
    <row r="260" spans="1:12" ht="20.100000000000001" customHeight="1" thickBot="1" x14ac:dyDescent="0.4">
      <c r="A260" s="144" t="str">
        <f>IF(B260=IFERROR(VLOOKUP(B260,entrant!$E$4:$J$188,1,FALSE),"THERE WAS AN ERROR"),"RAPPORT JOURNAL","")</f>
        <v/>
      </c>
      <c r="B260" s="147" t="s">
        <v>630</v>
      </c>
      <c r="C260" s="170" t="s">
        <v>629</v>
      </c>
      <c r="D260" s="35">
        <f>SUMIF(entrant!$E$4:$E$2059,'Inventaire des produits'!B260,entrant!$G$4:$G$2059)</f>
        <v>1000</v>
      </c>
      <c r="E260" s="35">
        <f>SUMIF(vente!$E$4:$E$2190,'Inventaire des produits'!B260,vente!$G$4:$G$2190)</f>
        <v>1000</v>
      </c>
      <c r="F260" s="36">
        <f t="shared" si="12"/>
        <v>0</v>
      </c>
      <c r="G260" s="176">
        <v>0.33333333329999998</v>
      </c>
      <c r="H260" s="182"/>
      <c r="I260" s="37">
        <f t="shared" ref="I260:I323" si="13">IF(H260="",G260,G260-G260*H260)</f>
        <v>0.33333333329999998</v>
      </c>
      <c r="J260" s="38">
        <f t="shared" ref="J260:J323" si="14">IF(OR(F260="",G260=""),"",F260*I260)</f>
        <v>0</v>
      </c>
      <c r="K260" s="315"/>
      <c r="L260" s="145"/>
    </row>
    <row r="261" spans="1:12" ht="20.100000000000001" customHeight="1" thickBot="1" x14ac:dyDescent="0.4">
      <c r="A261" s="144" t="str">
        <f>IF(B261=IFERROR(VLOOKUP(B261,entrant!$E$4:$J$188,1,FALSE),"THERE WAS AN ERROR"),"RAPPORT JOURNAL","")</f>
        <v/>
      </c>
      <c r="B261" s="147" t="s">
        <v>633</v>
      </c>
      <c r="C261" s="170" t="s">
        <v>632</v>
      </c>
      <c r="D261" s="35">
        <f>SUMIF(entrant!$E$4:$E$2059,'Inventaire des produits'!B261,entrant!$G$4:$G$2059)</f>
        <v>1000</v>
      </c>
      <c r="E261" s="35">
        <f>SUMIF(vente!$E$4:$E$2190,'Inventaire des produits'!B261,vente!$G$4:$G$2190)</f>
        <v>1000</v>
      </c>
      <c r="F261" s="36">
        <f t="shared" si="12"/>
        <v>0</v>
      </c>
      <c r="G261" s="176">
        <v>0.21375</v>
      </c>
      <c r="H261" s="182"/>
      <c r="I261" s="37">
        <f t="shared" si="13"/>
        <v>0.21375</v>
      </c>
      <c r="J261" s="38">
        <f t="shared" si="14"/>
        <v>0</v>
      </c>
      <c r="K261" s="315"/>
      <c r="L261" s="145"/>
    </row>
    <row r="262" spans="1:12" ht="20.100000000000001" customHeight="1" thickBot="1" x14ac:dyDescent="0.4">
      <c r="A262" s="144" t="str">
        <f>IF(B262=IFERROR(VLOOKUP(B262,entrant!$E$4:$J$188,1,FALSE),"THERE WAS AN ERROR"),"RAPPORT JOURNAL","")</f>
        <v/>
      </c>
      <c r="B262" s="147" t="s">
        <v>634</v>
      </c>
      <c r="C262" s="170" t="s">
        <v>635</v>
      </c>
      <c r="D262" s="35">
        <f>SUMIF(entrant!$E$4:$E$2059,'Inventaire des produits'!B262,entrant!$G$4:$G$2059)</f>
        <v>1000</v>
      </c>
      <c r="E262" s="35">
        <f>SUMIF(vente!$E$4:$E$2190,'Inventaire des produits'!B262,vente!$G$4:$G$2190)</f>
        <v>1000</v>
      </c>
      <c r="F262" s="36">
        <f t="shared" si="12"/>
        <v>0</v>
      </c>
      <c r="G262" s="176">
        <v>0.15</v>
      </c>
      <c r="H262" s="182"/>
      <c r="I262" s="37">
        <f t="shared" si="13"/>
        <v>0.15</v>
      </c>
      <c r="J262" s="38">
        <f t="shared" si="14"/>
        <v>0</v>
      </c>
      <c r="K262" s="315"/>
      <c r="L262" s="145"/>
    </row>
    <row r="263" spans="1:12" ht="20.100000000000001" customHeight="1" thickBot="1" x14ac:dyDescent="0.4">
      <c r="A263" s="144" t="str">
        <f>IF(B263=IFERROR(VLOOKUP(B263,entrant!$E$4:$J$188,1,FALSE),"THERE WAS AN ERROR"),"RAPPORT JOURNAL","")</f>
        <v/>
      </c>
      <c r="B263" s="147" t="s">
        <v>637</v>
      </c>
      <c r="C263" s="170" t="s">
        <v>636</v>
      </c>
      <c r="D263" s="35">
        <f>SUMIF(entrant!$E$4:$E$2059,'Inventaire des produits'!B263,entrant!$G$4:$G$2059)</f>
        <v>1000</v>
      </c>
      <c r="E263" s="35">
        <f>SUMIF(vente!$E$4:$E$2190,'Inventaire des produits'!B263,vente!$G$4:$G$2190)</f>
        <v>1000</v>
      </c>
      <c r="F263" s="36">
        <f t="shared" si="12"/>
        <v>0</v>
      </c>
      <c r="G263" s="176">
        <v>0.54166666669999997</v>
      </c>
      <c r="H263" s="182"/>
      <c r="I263" s="37">
        <f t="shared" si="13"/>
        <v>0.54166666669999997</v>
      </c>
      <c r="J263" s="38">
        <f t="shared" si="14"/>
        <v>0</v>
      </c>
      <c r="K263" s="315"/>
      <c r="L263" s="145"/>
    </row>
    <row r="264" spans="1:12" ht="20.100000000000001" customHeight="1" thickBot="1" x14ac:dyDescent="0.4">
      <c r="A264" s="144" t="str">
        <f>IF(B264=IFERROR(VLOOKUP(B264,entrant!$E$4:$J$188,1,FALSE),"THERE WAS AN ERROR"),"RAPPORT JOURNAL","")</f>
        <v/>
      </c>
      <c r="B264" s="147" t="s">
        <v>640</v>
      </c>
      <c r="C264" s="170" t="s">
        <v>639</v>
      </c>
      <c r="D264" s="35">
        <f>SUMIF(entrant!$E$4:$E$2059,'Inventaire des produits'!B264,entrant!$G$4:$G$2059)</f>
        <v>1250</v>
      </c>
      <c r="E264" s="35">
        <f>SUMIF(vente!$E$4:$E$2190,'Inventaire des produits'!B264,vente!$G$4:$G$2190)</f>
        <v>1250</v>
      </c>
      <c r="F264" s="36">
        <f t="shared" si="12"/>
        <v>0</v>
      </c>
      <c r="G264" s="176">
        <v>1.125</v>
      </c>
      <c r="H264" s="182"/>
      <c r="I264" s="37">
        <f t="shared" si="13"/>
        <v>1.125</v>
      </c>
      <c r="J264" s="38">
        <f t="shared" si="14"/>
        <v>0</v>
      </c>
      <c r="K264" s="315"/>
      <c r="L264" s="145"/>
    </row>
    <row r="265" spans="1:12" ht="20.100000000000001" customHeight="1" thickBot="1" x14ac:dyDescent="0.4">
      <c r="A265" s="144" t="str">
        <f>IF(B265=IFERROR(VLOOKUP(B265,entrant!$E$4:$J$188,1,FALSE),"THERE WAS AN ERROR"),"RAPPORT JOURNAL","")</f>
        <v/>
      </c>
      <c r="B265" s="147" t="s">
        <v>643</v>
      </c>
      <c r="C265" s="170" t="s">
        <v>642</v>
      </c>
      <c r="D265" s="35">
        <f>SUMIF(entrant!$E$4:$E$2059,'Inventaire des produits'!B265,entrant!$G$4:$G$2059)</f>
        <v>900</v>
      </c>
      <c r="E265" s="35">
        <f>SUMIF(vente!$E$4:$E$2190,'Inventaire des produits'!B265,vente!$G$4:$G$2190)</f>
        <v>900</v>
      </c>
      <c r="F265" s="36">
        <f t="shared" si="12"/>
        <v>0</v>
      </c>
      <c r="G265" s="176">
        <v>2.25</v>
      </c>
      <c r="H265" s="182"/>
      <c r="I265" s="37">
        <f t="shared" si="13"/>
        <v>2.25</v>
      </c>
      <c r="J265" s="38">
        <f t="shared" si="14"/>
        <v>0</v>
      </c>
      <c r="K265" s="315"/>
      <c r="L265" s="145"/>
    </row>
    <row r="266" spans="1:12" ht="20.100000000000001" customHeight="1" thickBot="1" x14ac:dyDescent="0.4">
      <c r="A266" s="144" t="str">
        <f>IF(B266=IFERROR(VLOOKUP(B266,entrant!$E$4:$J$188,1,FALSE),"THERE WAS AN ERROR"),"RAPPORT JOURNAL","")</f>
        <v/>
      </c>
      <c r="B266" s="147" t="s">
        <v>645</v>
      </c>
      <c r="C266" s="170" t="s">
        <v>644</v>
      </c>
      <c r="D266" s="35">
        <f>SUMIF(entrant!$E$4:$E$2059,'Inventaire des produits'!B266,entrant!$G$4:$G$2059)</f>
        <v>4000</v>
      </c>
      <c r="E266" s="35">
        <f>SUMIF(vente!$E$4:$E$2190,'Inventaire des produits'!B266,vente!$G$4:$G$2190)</f>
        <v>4000</v>
      </c>
      <c r="F266" s="36">
        <f t="shared" si="12"/>
        <v>0</v>
      </c>
      <c r="G266" s="176">
        <v>0.20833333330000001</v>
      </c>
      <c r="H266" s="182"/>
      <c r="I266" s="37">
        <f t="shared" si="13"/>
        <v>0.20833333330000001</v>
      </c>
      <c r="J266" s="38">
        <f t="shared" si="14"/>
        <v>0</v>
      </c>
      <c r="K266" s="315"/>
      <c r="L266" s="145"/>
    </row>
    <row r="267" spans="1:12" ht="20.100000000000001" customHeight="1" thickBot="1" x14ac:dyDescent="0.4">
      <c r="A267" s="144" t="str">
        <f>IF(B267=IFERROR(VLOOKUP(B267,entrant!$E$4:$J$188,1,FALSE),"THERE WAS AN ERROR"),"RAPPORT JOURNAL","")</f>
        <v/>
      </c>
      <c r="B267" s="147" t="s">
        <v>648</v>
      </c>
      <c r="C267" s="170" t="s">
        <v>647</v>
      </c>
      <c r="D267" s="35">
        <f>SUMIF(entrant!$E$4:$E$2059,'Inventaire des produits'!B267,entrant!$G$4:$G$2059)</f>
        <v>2250</v>
      </c>
      <c r="E267" s="35">
        <f>SUMIF(vente!$E$4:$E$2190,'Inventaire des produits'!B267,vente!$G$4:$G$2190)</f>
        <v>2250</v>
      </c>
      <c r="F267" s="36">
        <f t="shared" si="12"/>
        <v>0</v>
      </c>
      <c r="G267" s="176">
        <v>0.79166666669999997</v>
      </c>
      <c r="H267" s="182"/>
      <c r="I267" s="37">
        <f t="shared" si="13"/>
        <v>0.79166666669999997</v>
      </c>
      <c r="J267" s="38">
        <f t="shared" si="14"/>
        <v>0</v>
      </c>
      <c r="K267" s="315"/>
      <c r="L267" s="145"/>
    </row>
    <row r="268" spans="1:12" ht="20.100000000000001" customHeight="1" thickBot="1" x14ac:dyDescent="0.4">
      <c r="A268" s="144" t="str">
        <f>IF(B268=IFERROR(VLOOKUP(B268,entrant!$E$4:$J$188,1,FALSE),"THERE WAS AN ERROR"),"RAPPORT JOURNAL","")</f>
        <v/>
      </c>
      <c r="B268" s="147" t="s">
        <v>650</v>
      </c>
      <c r="C268" s="170" t="s">
        <v>649</v>
      </c>
      <c r="D268" s="35">
        <f>SUMIF(entrant!$E$4:$E$2059,'Inventaire des produits'!B268,entrant!$G$4:$G$2059)</f>
        <v>300</v>
      </c>
      <c r="E268" s="35">
        <f>SUMIF(vente!$E$4:$E$2190,'Inventaire des produits'!B268,vente!$G$4:$G$2190)</f>
        <v>300</v>
      </c>
      <c r="F268" s="36">
        <f t="shared" si="12"/>
        <v>0</v>
      </c>
      <c r="G268" s="176">
        <v>1.5833333332999999</v>
      </c>
      <c r="H268" s="182"/>
      <c r="I268" s="37">
        <f t="shared" si="13"/>
        <v>1.5833333332999999</v>
      </c>
      <c r="J268" s="38">
        <f t="shared" si="14"/>
        <v>0</v>
      </c>
      <c r="K268" s="315"/>
      <c r="L268" s="145"/>
    </row>
    <row r="269" spans="1:12" ht="20.100000000000001" customHeight="1" thickBot="1" x14ac:dyDescent="0.4">
      <c r="A269" s="144" t="str">
        <f>IF(B269=IFERROR(VLOOKUP(B269,entrant!$E$4:$J$188,1,FALSE),"THERE WAS AN ERROR"),"RAPPORT JOURNAL","")</f>
        <v/>
      </c>
      <c r="B269" s="147" t="s">
        <v>652</v>
      </c>
      <c r="C269" s="170" t="s">
        <v>639</v>
      </c>
      <c r="D269" s="35">
        <f>SUMIF(entrant!$E$4:$E$2059,'Inventaire des produits'!B269,entrant!$G$4:$G$2059)</f>
        <v>250</v>
      </c>
      <c r="E269" s="35">
        <f>SUMIF(vente!$E$4:$E$2190,'Inventaire des produits'!B269,vente!$G$4:$G$2190)</f>
        <v>250</v>
      </c>
      <c r="F269" s="36">
        <f t="shared" si="12"/>
        <v>0</v>
      </c>
      <c r="G269" s="176">
        <v>1.1666666666700001</v>
      </c>
      <c r="H269" s="182"/>
      <c r="I269" s="37">
        <f t="shared" si="13"/>
        <v>1.1666666666700001</v>
      </c>
      <c r="J269" s="38">
        <f t="shared" si="14"/>
        <v>0</v>
      </c>
      <c r="K269" s="315"/>
      <c r="L269" s="145"/>
    </row>
    <row r="270" spans="1:12" ht="20.100000000000001" customHeight="1" thickBot="1" x14ac:dyDescent="0.4">
      <c r="A270" s="144" t="str">
        <f>IF(B270=IFERROR(VLOOKUP(B270,entrant!$E$4:$J$188,1,FALSE),"THERE WAS AN ERROR"),"RAPPORT JOURNAL","")</f>
        <v/>
      </c>
      <c r="B270" s="147" t="s">
        <v>655</v>
      </c>
      <c r="C270" s="170" t="s">
        <v>654</v>
      </c>
      <c r="D270" s="35">
        <f>SUMIF(entrant!$E$4:$E$2059,'Inventaire des produits'!B270,entrant!$G$4:$G$2059)</f>
        <v>400</v>
      </c>
      <c r="E270" s="35">
        <f>SUMIF(vente!$E$4:$E$2190,'Inventaire des produits'!B270,vente!$G$4:$G$2190)</f>
        <v>400</v>
      </c>
      <c r="F270" s="36">
        <f t="shared" si="12"/>
        <v>0</v>
      </c>
      <c r="G270" s="176">
        <v>3.0833333333000001</v>
      </c>
      <c r="H270" s="182"/>
      <c r="I270" s="37">
        <f t="shared" si="13"/>
        <v>3.0833333333000001</v>
      </c>
      <c r="J270" s="38">
        <f t="shared" si="14"/>
        <v>0</v>
      </c>
      <c r="K270" s="315"/>
      <c r="L270" s="145"/>
    </row>
    <row r="271" spans="1:12" ht="20.100000000000001" customHeight="1" thickBot="1" x14ac:dyDescent="0.4">
      <c r="A271" s="144" t="str">
        <f>IF(B271=IFERROR(VLOOKUP(B271,entrant!$E$4:$J$188,1,FALSE),"THERE WAS AN ERROR"),"RAPPORT JOURNAL","")</f>
        <v/>
      </c>
      <c r="B271" s="147" t="s">
        <v>656</v>
      </c>
      <c r="C271" s="170" t="s">
        <v>657</v>
      </c>
      <c r="D271" s="35">
        <f>SUMIF(entrant!$E$4:$E$2059,'Inventaire des produits'!B271,entrant!$G$4:$G$2059)</f>
        <v>600</v>
      </c>
      <c r="E271" s="35">
        <f>SUMIF(vente!$E$4:$E$2190,'Inventaire des produits'!B271,vente!$G$4:$G$2190)</f>
        <v>600</v>
      </c>
      <c r="F271" s="36">
        <f t="shared" si="12"/>
        <v>0</v>
      </c>
      <c r="G271" s="176">
        <v>0.70833333330000003</v>
      </c>
      <c r="H271" s="182"/>
      <c r="I271" s="37">
        <f t="shared" si="13"/>
        <v>0.70833333330000003</v>
      </c>
      <c r="J271" s="38">
        <f t="shared" si="14"/>
        <v>0</v>
      </c>
      <c r="K271" s="315"/>
      <c r="L271" s="145"/>
    </row>
    <row r="272" spans="1:12" ht="20.100000000000001" customHeight="1" thickBot="1" x14ac:dyDescent="0.4">
      <c r="A272" s="144" t="str">
        <f>IF(B272=IFERROR(VLOOKUP(B272,entrant!$E$4:$J$188,1,FALSE),"THERE WAS AN ERROR"),"RAPPORT JOURNAL","")</f>
        <v/>
      </c>
      <c r="B272" s="147" t="s">
        <v>659</v>
      </c>
      <c r="C272" s="170" t="s">
        <v>649</v>
      </c>
      <c r="D272" s="35">
        <f>SUMIF(entrant!$E$4:$E$2059,'Inventaire des produits'!B272,entrant!$G$4:$G$2059)</f>
        <v>300</v>
      </c>
      <c r="E272" s="35">
        <f>SUMIF(vente!$E$4:$E$2190,'Inventaire des produits'!B272,vente!$G$4:$G$2190)</f>
        <v>300</v>
      </c>
      <c r="F272" s="36">
        <f t="shared" si="12"/>
        <v>0</v>
      </c>
      <c r="G272" s="176">
        <v>1.625</v>
      </c>
      <c r="H272" s="182"/>
      <c r="I272" s="37">
        <f t="shared" si="13"/>
        <v>1.625</v>
      </c>
      <c r="J272" s="38">
        <f t="shared" si="14"/>
        <v>0</v>
      </c>
      <c r="K272" s="315"/>
      <c r="L272" s="145"/>
    </row>
    <row r="273" spans="1:12" ht="20.100000000000001" customHeight="1" thickBot="1" x14ac:dyDescent="0.4">
      <c r="A273" s="144" t="str">
        <f>IF(B273=IFERROR(VLOOKUP(B273,entrant!$E$4:$J$188,1,FALSE),"THERE WAS AN ERROR"),"RAPPORT JOURNAL","")</f>
        <v/>
      </c>
      <c r="B273" s="147" t="s">
        <v>662</v>
      </c>
      <c r="C273" s="170" t="s">
        <v>661</v>
      </c>
      <c r="D273" s="35">
        <f>SUMIF(entrant!$E$4:$E$2059,'Inventaire des produits'!B273,entrant!$G$4:$G$2059)</f>
        <v>900</v>
      </c>
      <c r="E273" s="35">
        <f>SUMIF(vente!$E$4:$E$2190,'Inventaire des produits'!B273,vente!$G$4:$G$2190)</f>
        <v>900</v>
      </c>
      <c r="F273" s="36">
        <f t="shared" si="12"/>
        <v>0</v>
      </c>
      <c r="G273" s="176">
        <v>1.6166666667</v>
      </c>
      <c r="H273" s="182"/>
      <c r="I273" s="37">
        <f t="shared" si="13"/>
        <v>1.6166666667</v>
      </c>
      <c r="J273" s="38">
        <f t="shared" si="14"/>
        <v>0</v>
      </c>
      <c r="K273" s="315"/>
      <c r="L273" s="145"/>
    </row>
    <row r="274" spans="1:12" ht="20.100000000000001" customHeight="1" thickBot="1" x14ac:dyDescent="0.4">
      <c r="A274" s="144" t="str">
        <f>IF(B274=IFERROR(VLOOKUP(B274,entrant!$E$4:$J$188,1,FALSE),"THERE WAS AN ERROR"),"RAPPORT JOURNAL","")</f>
        <v/>
      </c>
      <c r="B274" s="147" t="s">
        <v>666</v>
      </c>
      <c r="C274" s="170" t="s">
        <v>22</v>
      </c>
      <c r="D274" s="35">
        <f>SUMIF(entrant!$E$4:$E$2059,'Inventaire des produits'!B274,entrant!$G$4:$G$2059)</f>
        <v>670</v>
      </c>
      <c r="E274" s="35">
        <f>SUMIF(vente!$E$4:$E$2190,'Inventaire des produits'!B274,vente!$G$4:$G$2190)</f>
        <v>670</v>
      </c>
      <c r="F274" s="36">
        <f t="shared" si="12"/>
        <v>0</v>
      </c>
      <c r="G274" s="176">
        <v>20</v>
      </c>
      <c r="H274" s="182"/>
      <c r="I274" s="37">
        <f t="shared" si="13"/>
        <v>20</v>
      </c>
      <c r="J274" s="38">
        <f t="shared" si="14"/>
        <v>0</v>
      </c>
      <c r="K274" s="315"/>
      <c r="L274" s="145"/>
    </row>
    <row r="275" spans="1:12" ht="20.100000000000001" customHeight="1" thickBot="1" x14ac:dyDescent="0.4">
      <c r="A275" s="144" t="str">
        <f>IF(B275=IFERROR(VLOOKUP(B275,entrant!$E$4:$J$188,1,FALSE),"THERE WAS AN ERROR"),"RAPPORT JOURNAL","")</f>
        <v/>
      </c>
      <c r="B275" s="147" t="s">
        <v>668</v>
      </c>
      <c r="C275" s="170" t="s">
        <v>35</v>
      </c>
      <c r="D275" s="35">
        <f>SUMIF(entrant!$E$4:$E$2059,'Inventaire des produits'!B275,entrant!$G$4:$G$2059)</f>
        <v>36</v>
      </c>
      <c r="E275" s="35">
        <f>SUMIF(vente!$E$4:$E$2190,'Inventaire des produits'!B275,vente!$G$4:$G$2190)</f>
        <v>36</v>
      </c>
      <c r="F275" s="36">
        <f t="shared" si="12"/>
        <v>0</v>
      </c>
      <c r="G275" s="176">
        <v>55.833333333299997</v>
      </c>
      <c r="H275" s="182"/>
      <c r="I275" s="37">
        <f t="shared" si="13"/>
        <v>55.833333333299997</v>
      </c>
      <c r="J275" s="38">
        <f t="shared" si="14"/>
        <v>0</v>
      </c>
      <c r="K275" s="315"/>
      <c r="L275" s="145"/>
    </row>
    <row r="276" spans="1:12" ht="20.100000000000001" customHeight="1" thickBot="1" x14ac:dyDescent="0.4">
      <c r="A276" s="144" t="str">
        <f>IF(B276=IFERROR(VLOOKUP(B276,entrant!$E$4:$J$188,1,FALSE),"THERE WAS AN ERROR"),"RAPPORT JOURNAL","")</f>
        <v/>
      </c>
      <c r="B276" s="147" t="s">
        <v>672</v>
      </c>
      <c r="C276" s="170" t="s">
        <v>671</v>
      </c>
      <c r="D276" s="35">
        <f>SUMIF(entrant!$E$4:$E$2059,'Inventaire des produits'!B276,entrant!$G$4:$G$2059)</f>
        <v>1000</v>
      </c>
      <c r="E276" s="35">
        <f>SUMIF(vente!$E$4:$E$2190,'Inventaire des produits'!B276,vente!$G$4:$G$2190)</f>
        <v>1000</v>
      </c>
      <c r="F276" s="36">
        <f t="shared" si="12"/>
        <v>0</v>
      </c>
      <c r="G276" s="176">
        <v>0.21</v>
      </c>
      <c r="H276" s="182"/>
      <c r="I276" s="37">
        <f t="shared" si="13"/>
        <v>0.21</v>
      </c>
      <c r="J276" s="38">
        <f t="shared" si="14"/>
        <v>0</v>
      </c>
      <c r="K276" s="315"/>
      <c r="L276" s="145"/>
    </row>
    <row r="277" spans="1:12" ht="20.100000000000001" customHeight="1" thickBot="1" x14ac:dyDescent="0.4">
      <c r="A277" s="144" t="str">
        <f>IF(B277=IFERROR(VLOOKUP(B277,entrant!$E$4:$J$188,1,FALSE),"THERE WAS AN ERROR"),"RAPPORT JOURNAL","")</f>
        <v/>
      </c>
      <c r="B277" s="147" t="s">
        <v>673</v>
      </c>
      <c r="C277" s="170" t="s">
        <v>39</v>
      </c>
      <c r="D277" s="35">
        <f>SUMIF(entrant!$E$4:$E$2059,'Inventaire des produits'!B277,entrant!$G$4:$G$2059)</f>
        <v>2000</v>
      </c>
      <c r="E277" s="35">
        <f>SUMIF(vente!$E$4:$E$2190,'Inventaire des produits'!B277,vente!$G$4:$G$2190)</f>
        <v>1750</v>
      </c>
      <c r="F277" s="36">
        <f t="shared" si="12"/>
        <v>250</v>
      </c>
      <c r="G277" s="176">
        <v>0.25</v>
      </c>
      <c r="H277" s="182"/>
      <c r="I277" s="37">
        <f t="shared" si="13"/>
        <v>0.25</v>
      </c>
      <c r="J277" s="38">
        <f t="shared" si="14"/>
        <v>62.5</v>
      </c>
      <c r="K277" s="315"/>
      <c r="L277" s="145"/>
    </row>
    <row r="278" spans="1:12" ht="20.100000000000001" customHeight="1" thickBot="1" x14ac:dyDescent="0.4">
      <c r="A278" s="144" t="str">
        <f>IF(B278=IFERROR(VLOOKUP(B278,entrant!$E$4:$J$188,1,FALSE),"THERE WAS AN ERROR"),"RAPPORT JOURNAL","")</f>
        <v/>
      </c>
      <c r="B278" s="147" t="s">
        <v>677</v>
      </c>
      <c r="C278" s="170" t="s">
        <v>863</v>
      </c>
      <c r="D278" s="35">
        <f>SUMIF(entrant!$E$4:$E$2059,'Inventaire des produits'!B278,entrant!$G$4:$G$2059)</f>
        <v>8750</v>
      </c>
      <c r="E278" s="35">
        <f>SUMIF(vente!$E$4:$E$2190,'Inventaire des produits'!B278,vente!$G$4:$G$2190)</f>
        <v>8750</v>
      </c>
      <c r="F278" s="36">
        <f t="shared" si="12"/>
        <v>0</v>
      </c>
      <c r="G278" s="176">
        <v>1.1479166667</v>
      </c>
      <c r="H278" s="182"/>
      <c r="I278" s="37">
        <f t="shared" si="13"/>
        <v>1.1479166667</v>
      </c>
      <c r="J278" s="38">
        <f t="shared" si="14"/>
        <v>0</v>
      </c>
      <c r="K278" s="315"/>
      <c r="L278" s="145"/>
    </row>
    <row r="279" spans="1:12" ht="20.100000000000001" customHeight="1" thickBot="1" x14ac:dyDescent="0.4">
      <c r="A279" s="144" t="str">
        <f>IF(B279=IFERROR(VLOOKUP(B279,entrant!$E$4:$J$188,1,FALSE),"THERE WAS AN ERROR"),"RAPPORT JOURNAL","")</f>
        <v/>
      </c>
      <c r="B279" s="147" t="s">
        <v>678</v>
      </c>
      <c r="C279" s="170" t="s">
        <v>679</v>
      </c>
      <c r="D279" s="35">
        <f>SUMIF(entrant!$E$4:$E$2059,'Inventaire des produits'!B279,entrant!$G$4:$G$2059)</f>
        <v>4000</v>
      </c>
      <c r="E279" s="35">
        <f>SUMIF(vente!$E$4:$E$2190,'Inventaire des produits'!B279,vente!$G$4:$G$2190)</f>
        <v>4000</v>
      </c>
      <c r="F279" s="36">
        <f t="shared" si="12"/>
        <v>0</v>
      </c>
      <c r="G279" s="176">
        <v>0.79166666669999997</v>
      </c>
      <c r="H279" s="182"/>
      <c r="I279" s="37">
        <f t="shared" si="13"/>
        <v>0.79166666669999997</v>
      </c>
      <c r="J279" s="38">
        <f t="shared" si="14"/>
        <v>0</v>
      </c>
      <c r="K279" s="315"/>
      <c r="L279" s="145"/>
    </row>
    <row r="280" spans="1:12" ht="20.100000000000001" customHeight="1" thickBot="1" x14ac:dyDescent="0.4">
      <c r="A280" s="144" t="str">
        <f>IF(B280=IFERROR(VLOOKUP(B280,entrant!$E$4:$J$188,1,FALSE),"THERE WAS AN ERROR"),"RAPPORT JOURNAL","")</f>
        <v/>
      </c>
      <c r="B280" s="147" t="s">
        <v>680</v>
      </c>
      <c r="C280" s="170" t="s">
        <v>44</v>
      </c>
      <c r="D280" s="35">
        <f>SUMIF(entrant!$E$4:$E$2059,'Inventaire des produits'!B280,entrant!$G$4:$G$2059)</f>
        <v>3600</v>
      </c>
      <c r="E280" s="35">
        <f>SUMIF(vente!$E$4:$E$2190,'Inventaire des produits'!B280,vente!$G$4:$G$2190)</f>
        <v>1100</v>
      </c>
      <c r="F280" s="36">
        <f t="shared" si="12"/>
        <v>2500</v>
      </c>
      <c r="G280" s="176">
        <v>2.0583333332999998</v>
      </c>
      <c r="H280" s="182"/>
      <c r="I280" s="37">
        <f t="shared" si="13"/>
        <v>2.0583333332999998</v>
      </c>
      <c r="J280" s="38">
        <f t="shared" si="14"/>
        <v>5145.8333332499997</v>
      </c>
      <c r="K280" s="315"/>
      <c r="L280" s="145"/>
    </row>
    <row r="281" spans="1:12" ht="20.100000000000001" customHeight="1" thickBot="1" x14ac:dyDescent="0.4">
      <c r="A281" s="144" t="str">
        <f>IF(B281=IFERROR(VLOOKUP(B281,entrant!$E$4:$J$188,1,FALSE),"THERE WAS AN ERROR"),"RAPPORT JOURNAL","")</f>
        <v/>
      </c>
      <c r="B281" s="147" t="s">
        <v>681</v>
      </c>
      <c r="C281" s="170" t="s">
        <v>639</v>
      </c>
      <c r="D281" s="35">
        <f>SUMIF(entrant!$E$4:$E$2059,'Inventaire des produits'!B281,entrant!$G$4:$G$2059)</f>
        <v>3350</v>
      </c>
      <c r="E281" s="35">
        <f>SUMIF(vente!$E$4:$E$2190,'Inventaire des produits'!B281,vente!$G$4:$G$2190)</f>
        <v>3050</v>
      </c>
      <c r="F281" s="36">
        <f t="shared" si="12"/>
        <v>300</v>
      </c>
      <c r="G281" s="176">
        <v>1.0833333332999999</v>
      </c>
      <c r="H281" s="182"/>
      <c r="I281" s="37">
        <f t="shared" si="13"/>
        <v>1.0833333332999999</v>
      </c>
      <c r="J281" s="38">
        <f t="shared" si="14"/>
        <v>324.99999998999999</v>
      </c>
      <c r="K281" s="315"/>
      <c r="L281" s="145"/>
    </row>
    <row r="282" spans="1:12" ht="20.100000000000001" customHeight="1" thickBot="1" x14ac:dyDescent="0.4">
      <c r="A282" s="144" t="str">
        <f>IF(B282=IFERROR(VLOOKUP(B282,entrant!$E$4:$J$188,1,FALSE),"THERE WAS AN ERROR"),"RAPPORT JOURNAL","")</f>
        <v/>
      </c>
      <c r="B282" s="147" t="s">
        <v>682</v>
      </c>
      <c r="C282" s="170" t="s">
        <v>684</v>
      </c>
      <c r="D282" s="35">
        <f>SUMIF(entrant!$E$4:$E$2059,'Inventaire des produits'!B282,entrant!$G$4:$G$2059)</f>
        <v>2000</v>
      </c>
      <c r="E282" s="35">
        <f>SUMIF(vente!$E$4:$E$2190,'Inventaire des produits'!B282,vente!$G$4:$G$2190)</f>
        <v>1300</v>
      </c>
      <c r="F282" s="36">
        <f t="shared" si="12"/>
        <v>700</v>
      </c>
      <c r="G282" s="176">
        <v>0.69750000000000001</v>
      </c>
      <c r="H282" s="182"/>
      <c r="I282" s="37">
        <f t="shared" si="13"/>
        <v>0.69750000000000001</v>
      </c>
      <c r="J282" s="38">
        <f t="shared" si="14"/>
        <v>488.25</v>
      </c>
      <c r="K282" s="315"/>
      <c r="L282" s="145"/>
    </row>
    <row r="283" spans="1:12" ht="20.100000000000001" customHeight="1" thickBot="1" x14ac:dyDescent="0.4">
      <c r="A283" s="144" t="str">
        <f>IF(B283=IFERROR(VLOOKUP(B283,entrant!$E$4:$J$188,1,FALSE),"THERE WAS AN ERROR"),"RAPPORT JOURNAL","")</f>
        <v/>
      </c>
      <c r="B283" s="147" t="s">
        <v>685</v>
      </c>
      <c r="C283" s="170" t="s">
        <v>683</v>
      </c>
      <c r="D283" s="35">
        <f>SUMIF(entrant!$E$4:$E$2059,'Inventaire des produits'!B283,entrant!$G$4:$G$2059)</f>
        <v>2000</v>
      </c>
      <c r="E283" s="35">
        <f>SUMIF(vente!$E$4:$E$2190,'Inventaire des produits'!B283,vente!$G$4:$G$2190)</f>
        <v>1400</v>
      </c>
      <c r="F283" s="36">
        <f t="shared" si="12"/>
        <v>600</v>
      </c>
      <c r="G283" s="176">
        <v>0.93</v>
      </c>
      <c r="H283" s="182"/>
      <c r="I283" s="37">
        <f t="shared" si="13"/>
        <v>0.93</v>
      </c>
      <c r="J283" s="38">
        <f t="shared" si="14"/>
        <v>558</v>
      </c>
      <c r="K283" s="315"/>
      <c r="L283" s="145"/>
    </row>
    <row r="284" spans="1:12" ht="20.100000000000001" customHeight="1" thickBot="1" x14ac:dyDescent="0.4">
      <c r="A284" s="144" t="str">
        <f>IF(B284=IFERROR(VLOOKUP(B284,entrant!$E$4:$J$188,1,FALSE),"THERE WAS AN ERROR"),"RAPPORT JOURNAL","")</f>
        <v/>
      </c>
      <c r="B284" s="147" t="s">
        <v>688</v>
      </c>
      <c r="C284" s="170" t="s">
        <v>687</v>
      </c>
      <c r="D284" s="35">
        <f>SUMIF(entrant!$E$4:$E$2059,'Inventaire des produits'!B284,entrant!$G$4:$G$2059)</f>
        <v>2000</v>
      </c>
      <c r="E284" s="35">
        <f>SUMIF(vente!$E$4:$E$2190,'Inventaire des produits'!B284,vente!$G$4:$G$2190)</f>
        <v>1400</v>
      </c>
      <c r="F284" s="36">
        <f t="shared" si="12"/>
        <v>600</v>
      </c>
      <c r="G284" s="176">
        <v>1.0687500000000001</v>
      </c>
      <c r="H284" s="182"/>
      <c r="I284" s="37">
        <f t="shared" si="13"/>
        <v>1.0687500000000001</v>
      </c>
      <c r="J284" s="38">
        <f t="shared" si="14"/>
        <v>641.25</v>
      </c>
      <c r="K284" s="315"/>
      <c r="L284" s="145"/>
    </row>
    <row r="285" spans="1:12" ht="20.100000000000001" customHeight="1" thickBot="1" x14ac:dyDescent="0.4">
      <c r="A285" s="144" t="str">
        <f>IF(B285=IFERROR(VLOOKUP(B285,entrant!$E$4:$J$188,1,FALSE),"THERE WAS AN ERROR"),"RAPPORT JOURNAL","")</f>
        <v/>
      </c>
      <c r="B285" s="147" t="s">
        <v>690</v>
      </c>
      <c r="C285" s="170" t="s">
        <v>689</v>
      </c>
      <c r="D285" s="35">
        <f>SUMIF(entrant!$E$4:$E$2059,'Inventaire des produits'!B285,entrant!$G$4:$G$2059)</f>
        <v>5000</v>
      </c>
      <c r="E285" s="35">
        <f>SUMIF(vente!$E$4:$E$2190,'Inventaire des produits'!B285,vente!$G$4:$G$2190)</f>
        <v>5000</v>
      </c>
      <c r="F285" s="36">
        <f t="shared" si="12"/>
        <v>0</v>
      </c>
      <c r="G285" s="176">
        <v>0.15833333329999999</v>
      </c>
      <c r="H285" s="182"/>
      <c r="I285" s="37">
        <f t="shared" si="13"/>
        <v>0.15833333329999999</v>
      </c>
      <c r="J285" s="38">
        <f t="shared" si="14"/>
        <v>0</v>
      </c>
      <c r="K285" s="315"/>
      <c r="L285" s="145"/>
    </row>
    <row r="286" spans="1:12" ht="20.100000000000001" customHeight="1" thickBot="1" x14ac:dyDescent="0.4">
      <c r="A286" s="144" t="str">
        <f>IF(B286=IFERROR(VLOOKUP(B286,entrant!$E$4:$J$188,1,FALSE),"THERE WAS AN ERROR"),"RAPPORT JOURNAL","")</f>
        <v/>
      </c>
      <c r="B286" s="147" t="s">
        <v>691</v>
      </c>
      <c r="C286" s="170" t="s">
        <v>644</v>
      </c>
      <c r="D286" s="35">
        <f>SUMIF(entrant!$E$4:$E$2059,'Inventaire des produits'!B286,entrant!$G$4:$G$2059)</f>
        <v>6000</v>
      </c>
      <c r="E286" s="35">
        <f>SUMIF(vente!$E$4:$E$2190,'Inventaire des produits'!B286,vente!$G$4:$G$2190)</f>
        <v>6000</v>
      </c>
      <c r="F286" s="36">
        <f t="shared" si="12"/>
        <v>0</v>
      </c>
      <c r="G286" s="176">
        <v>0.2020833333</v>
      </c>
      <c r="H286" s="182"/>
      <c r="I286" s="37">
        <f t="shared" si="13"/>
        <v>0.2020833333</v>
      </c>
      <c r="J286" s="38">
        <f t="shared" si="14"/>
        <v>0</v>
      </c>
      <c r="K286" s="315"/>
      <c r="L286" s="145"/>
    </row>
    <row r="287" spans="1:12" ht="20.100000000000001" customHeight="1" thickBot="1" x14ac:dyDescent="0.4">
      <c r="A287" s="144" t="str">
        <f>IF(B287=IFERROR(VLOOKUP(B287,entrant!$E$4:$J$188,1,FALSE),"THERE WAS AN ERROR"),"RAPPORT JOURNAL","")</f>
        <v/>
      </c>
      <c r="B287" s="147" t="s">
        <v>693</v>
      </c>
      <c r="C287" s="170" t="s">
        <v>692</v>
      </c>
      <c r="D287" s="35">
        <f>SUMIF(entrant!$E$4:$E$2059,'Inventaire des produits'!B287,entrant!$G$4:$G$2059)</f>
        <v>2000</v>
      </c>
      <c r="E287" s="35">
        <f>SUMIF(vente!$E$4:$E$2190,'Inventaire des produits'!B287,vente!$G$4:$G$2190)</f>
        <v>1500</v>
      </c>
      <c r="F287" s="36">
        <f t="shared" si="12"/>
        <v>500</v>
      </c>
      <c r="G287" s="176">
        <v>0.79200000000000004</v>
      </c>
      <c r="H287" s="182"/>
      <c r="I287" s="37">
        <f t="shared" si="13"/>
        <v>0.79200000000000004</v>
      </c>
      <c r="J287" s="38">
        <f t="shared" si="14"/>
        <v>396</v>
      </c>
      <c r="K287" s="315"/>
      <c r="L287" s="145"/>
    </row>
    <row r="288" spans="1:12" ht="20.100000000000001" customHeight="1" thickBot="1" x14ac:dyDescent="0.4">
      <c r="A288" s="144" t="str">
        <f>IF(B288=IFERROR(VLOOKUP(B288,entrant!$E$4:$J$188,1,FALSE),"THERE WAS AN ERROR"),"RAPPORT JOURNAL","")</f>
        <v/>
      </c>
      <c r="B288" s="147" t="s">
        <v>702</v>
      </c>
      <c r="C288" s="170" t="s">
        <v>703</v>
      </c>
      <c r="D288" s="35">
        <f>SUMIF(entrant!$E$4:$E$2059,'Inventaire des produits'!B288,entrant!$G$4:$G$2059)</f>
        <v>65</v>
      </c>
      <c r="E288" s="35">
        <f>SUMIF(vente!$E$4:$E$2190,'Inventaire des produits'!B288,vente!$G$4:$G$2190)</f>
        <v>65</v>
      </c>
      <c r="F288" s="36">
        <f t="shared" si="12"/>
        <v>0</v>
      </c>
      <c r="G288" s="176">
        <v>17.5</v>
      </c>
      <c r="H288" s="182"/>
      <c r="I288" s="37">
        <f t="shared" si="13"/>
        <v>17.5</v>
      </c>
      <c r="J288" s="38">
        <f t="shared" si="14"/>
        <v>0</v>
      </c>
      <c r="K288" s="315"/>
      <c r="L288" s="145"/>
    </row>
    <row r="289" spans="1:12" ht="20.100000000000001" customHeight="1" thickBot="1" x14ac:dyDescent="0.4">
      <c r="A289" s="144" t="str">
        <f>IF(B289=IFERROR(VLOOKUP(B289,entrant!$E$4:$J$188,1,FALSE),"THERE WAS AN ERROR"),"RAPPORT JOURNAL","")</f>
        <v/>
      </c>
      <c r="B289" s="147" t="s">
        <v>722</v>
      </c>
      <c r="C289" s="170" t="s">
        <v>238</v>
      </c>
      <c r="D289" s="35">
        <f>SUMIF(entrant!$E$4:$E$2059,'Inventaire des produits'!B289,entrant!$G$4:$G$2059)</f>
        <v>300</v>
      </c>
      <c r="E289" s="35">
        <f>SUMIF(vente!$E$4:$E$2190,'Inventaire des produits'!B289,vente!$G$4:$G$2190)</f>
        <v>300</v>
      </c>
      <c r="F289" s="36">
        <f t="shared" si="12"/>
        <v>0</v>
      </c>
      <c r="G289" s="176">
        <v>2.8</v>
      </c>
      <c r="H289" s="182"/>
      <c r="I289" s="37">
        <f t="shared" si="13"/>
        <v>2.8</v>
      </c>
      <c r="J289" s="38">
        <f t="shared" si="14"/>
        <v>0</v>
      </c>
      <c r="K289" s="315"/>
      <c r="L289" s="145"/>
    </row>
    <row r="290" spans="1:12" ht="20.100000000000001" customHeight="1" thickBot="1" x14ac:dyDescent="0.4">
      <c r="A290" s="144" t="str">
        <f>IF(B290=IFERROR(VLOOKUP(B290,entrant!$E$4:$J$188,1,FALSE),"THERE WAS AN ERROR"),"RAPPORT JOURNAL","")</f>
        <v/>
      </c>
      <c r="B290" s="147" t="s">
        <v>723</v>
      </c>
      <c r="C290" s="170" t="s">
        <v>331</v>
      </c>
      <c r="D290" s="35">
        <f>SUMIF(entrant!$E$4:$E$2059,'Inventaire des produits'!B290,entrant!$G$4:$G$2059)</f>
        <v>30</v>
      </c>
      <c r="E290" s="35">
        <f>SUMIF(vente!$E$4:$E$2190,'Inventaire des produits'!B290,vente!$G$4:$G$2190)</f>
        <v>30</v>
      </c>
      <c r="F290" s="36">
        <f t="shared" si="12"/>
        <v>0</v>
      </c>
      <c r="G290" s="176">
        <v>16</v>
      </c>
      <c r="H290" s="182"/>
      <c r="I290" s="37">
        <f t="shared" si="13"/>
        <v>16</v>
      </c>
      <c r="J290" s="38">
        <f t="shared" si="14"/>
        <v>0</v>
      </c>
      <c r="K290" s="315"/>
      <c r="L290" s="145"/>
    </row>
    <row r="291" spans="1:12" ht="20.100000000000001" customHeight="1" thickBot="1" x14ac:dyDescent="0.4">
      <c r="A291" s="144" t="str">
        <f>IF(B291=IFERROR(VLOOKUP(B291,entrant!$E$4:$J$188,1,FALSE),"THERE WAS AN ERROR"),"RAPPORT JOURNAL","")</f>
        <v/>
      </c>
      <c r="B291" s="147" t="s">
        <v>724</v>
      </c>
      <c r="C291" s="170" t="s">
        <v>104</v>
      </c>
      <c r="D291" s="35">
        <f>SUMIF(entrant!$E$4:$E$2059,'Inventaire des produits'!B291,entrant!$G$4:$G$2059)</f>
        <v>1000</v>
      </c>
      <c r="E291" s="35">
        <f>SUMIF(vente!$E$4:$E$2190,'Inventaire des produits'!B291,vente!$G$4:$G$2190)</f>
        <v>1000</v>
      </c>
      <c r="F291" s="36">
        <f t="shared" si="12"/>
        <v>0</v>
      </c>
      <c r="G291" s="176">
        <v>0.31</v>
      </c>
      <c r="H291" s="182"/>
      <c r="I291" s="37">
        <f t="shared" si="13"/>
        <v>0.31</v>
      </c>
      <c r="J291" s="38">
        <f t="shared" si="14"/>
        <v>0</v>
      </c>
      <c r="K291" s="315"/>
      <c r="L291" s="145"/>
    </row>
    <row r="292" spans="1:12" ht="20.100000000000001" customHeight="1" thickBot="1" x14ac:dyDescent="0.4">
      <c r="A292" s="144" t="str">
        <f>IF(B292=IFERROR(VLOOKUP(B292,entrant!$E$4:$J$188,1,FALSE),"THERE WAS AN ERROR"),"RAPPORT JOURNAL","")</f>
        <v/>
      </c>
      <c r="B292" s="147" t="s">
        <v>725</v>
      </c>
      <c r="C292" s="170" t="s">
        <v>331</v>
      </c>
      <c r="D292" s="35">
        <f>SUMIF(entrant!$E$4:$E$2059,'Inventaire des produits'!B292,entrant!$G$4:$G$2059)</f>
        <v>24</v>
      </c>
      <c r="E292" s="35">
        <f>SUMIF(vente!$E$4:$E$2190,'Inventaire des produits'!B292,vente!$G$4:$G$2190)</f>
        <v>24</v>
      </c>
      <c r="F292" s="36">
        <f t="shared" si="12"/>
        <v>0</v>
      </c>
      <c r="G292" s="176">
        <v>16.5</v>
      </c>
      <c r="H292" s="182"/>
      <c r="I292" s="37">
        <f t="shared" si="13"/>
        <v>16.5</v>
      </c>
      <c r="J292" s="38">
        <f t="shared" si="14"/>
        <v>0</v>
      </c>
      <c r="K292" s="315"/>
      <c r="L292" s="145"/>
    </row>
    <row r="293" spans="1:12" ht="20.100000000000001" customHeight="1" thickBot="1" x14ac:dyDescent="0.4">
      <c r="A293" s="144" t="str">
        <f>IF(B293=IFERROR(VLOOKUP(B293,entrant!$E$4:$J$188,1,FALSE),"THERE WAS AN ERROR"),"RAPPORT JOURNAL","")</f>
        <v/>
      </c>
      <c r="B293" s="147" t="s">
        <v>726</v>
      </c>
      <c r="C293" s="170" t="s">
        <v>331</v>
      </c>
      <c r="D293" s="35">
        <f>SUMIF(entrant!$E$4:$E$2059,'Inventaire des produits'!B293,entrant!$G$4:$G$2059)</f>
        <v>101</v>
      </c>
      <c r="E293" s="35">
        <f>SUMIF(vente!$E$4:$E$2190,'Inventaire des produits'!B293,vente!$G$4:$G$2190)</f>
        <v>101</v>
      </c>
      <c r="F293" s="36">
        <f t="shared" si="12"/>
        <v>0</v>
      </c>
      <c r="G293" s="176">
        <v>16.03</v>
      </c>
      <c r="H293" s="182"/>
      <c r="I293" s="37">
        <f t="shared" si="13"/>
        <v>16.03</v>
      </c>
      <c r="J293" s="38">
        <f t="shared" si="14"/>
        <v>0</v>
      </c>
      <c r="K293" s="315"/>
      <c r="L293" s="145"/>
    </row>
    <row r="294" spans="1:12" ht="20.100000000000001" customHeight="1" thickBot="1" x14ac:dyDescent="0.4">
      <c r="A294" s="144" t="str">
        <f>IF(B294=IFERROR(VLOOKUP(B294,entrant!$E$4:$J$188,1,FALSE),"THERE WAS AN ERROR"),"RAPPORT JOURNAL","")</f>
        <v/>
      </c>
      <c r="B294" s="147" t="s">
        <v>729</v>
      </c>
      <c r="C294" s="170" t="s">
        <v>424</v>
      </c>
      <c r="D294" s="35">
        <f>SUMIF(entrant!$E$4:$E$2059,'Inventaire des produits'!B294,entrant!$G$4:$G$2059)</f>
        <v>1</v>
      </c>
      <c r="E294" s="35">
        <f>SUMIF(vente!$E$4:$E$2190,'Inventaire des produits'!B294,vente!$G$4:$G$2190)</f>
        <v>1</v>
      </c>
      <c r="F294" s="36">
        <f t="shared" si="12"/>
        <v>0</v>
      </c>
      <c r="G294" s="176">
        <v>17.5</v>
      </c>
      <c r="H294" s="182"/>
      <c r="I294" s="37">
        <f t="shared" si="13"/>
        <v>17.5</v>
      </c>
      <c r="J294" s="38">
        <f t="shared" si="14"/>
        <v>0</v>
      </c>
      <c r="K294" s="315"/>
      <c r="L294" s="145"/>
    </row>
    <row r="295" spans="1:12" ht="20.100000000000001" customHeight="1" thickBot="1" x14ac:dyDescent="0.4">
      <c r="A295" s="144" t="str">
        <f>IF(B295=IFERROR(VLOOKUP(B295,entrant!$E$4:$J$188,1,FALSE),"THERE WAS AN ERROR"),"RAPPORT JOURNAL","")</f>
        <v/>
      </c>
      <c r="B295" s="147" t="s">
        <v>730</v>
      </c>
      <c r="C295" s="170" t="s">
        <v>331</v>
      </c>
      <c r="D295" s="35">
        <f>SUMIF(entrant!$E$4:$E$2059,'Inventaire des produits'!B295,entrant!$G$4:$G$2059)</f>
        <v>15</v>
      </c>
      <c r="E295" s="35">
        <f>SUMIF(vente!$E$4:$E$2190,'Inventaire des produits'!B295,vente!$G$4:$G$2190)</f>
        <v>15</v>
      </c>
      <c r="F295" s="36">
        <f t="shared" si="12"/>
        <v>0</v>
      </c>
      <c r="G295" s="176">
        <v>18.34</v>
      </c>
      <c r="H295" s="182"/>
      <c r="I295" s="37">
        <f t="shared" si="13"/>
        <v>18.34</v>
      </c>
      <c r="J295" s="38">
        <f t="shared" si="14"/>
        <v>0</v>
      </c>
      <c r="K295" s="315"/>
      <c r="L295" s="145"/>
    </row>
    <row r="296" spans="1:12" ht="20.100000000000001" customHeight="1" thickBot="1" x14ac:dyDescent="0.4">
      <c r="A296" s="144" t="str">
        <f>IF(B296=IFERROR(VLOOKUP(B296,entrant!$E$4:$J$188,1,FALSE),"THERE WAS AN ERROR"),"RAPPORT JOURNAL","")</f>
        <v/>
      </c>
      <c r="B296" s="147" t="s">
        <v>737</v>
      </c>
      <c r="C296" s="170" t="s">
        <v>736</v>
      </c>
      <c r="D296" s="35">
        <f>SUMIF(entrant!$E$4:$E$2059,'Inventaire des produits'!B296,entrant!$G$4:$G$2059)</f>
        <v>2244</v>
      </c>
      <c r="E296" s="35">
        <f>SUMIF(vente!$E$4:$E$2190,'Inventaire des produits'!B296,vente!$G$4:$G$2190)</f>
        <v>2244</v>
      </c>
      <c r="F296" s="36">
        <f t="shared" si="12"/>
        <v>0</v>
      </c>
      <c r="G296" s="176">
        <v>1.65</v>
      </c>
      <c r="H296" s="182"/>
      <c r="I296" s="37">
        <f t="shared" si="13"/>
        <v>1.65</v>
      </c>
      <c r="J296" s="38">
        <f t="shared" si="14"/>
        <v>0</v>
      </c>
      <c r="K296" s="315"/>
      <c r="L296" s="145"/>
    </row>
    <row r="297" spans="1:12" ht="20.100000000000001" customHeight="1" thickBot="1" x14ac:dyDescent="0.4">
      <c r="A297" s="144" t="str">
        <f>IF(B297=IFERROR(VLOOKUP(B297,entrant!$E$4:$J$188,1,FALSE),"THERE WAS AN ERROR"),"RAPPORT JOURNAL","")</f>
        <v/>
      </c>
      <c r="B297" s="147" t="s">
        <v>741</v>
      </c>
      <c r="C297" s="170" t="s">
        <v>742</v>
      </c>
      <c r="D297" s="35">
        <f>SUMIF(entrant!$E$4:$E$2059,'Inventaire des produits'!B297,entrant!$G$4:$G$2059)</f>
        <v>2000</v>
      </c>
      <c r="E297" s="35">
        <f>SUMIF(vente!$E$4:$E$2190,'Inventaire des produits'!B297,vente!$G$4:$G$2190)</f>
        <v>2000</v>
      </c>
      <c r="F297" s="36">
        <f t="shared" si="12"/>
        <v>0</v>
      </c>
      <c r="G297" s="176">
        <v>0.33333333329999998</v>
      </c>
      <c r="H297" s="182"/>
      <c r="I297" s="37">
        <f t="shared" si="13"/>
        <v>0.33333333329999998</v>
      </c>
      <c r="J297" s="38">
        <f t="shared" si="14"/>
        <v>0</v>
      </c>
      <c r="K297" s="315"/>
      <c r="L297" s="145"/>
    </row>
    <row r="298" spans="1:12" ht="20.100000000000001" customHeight="1" thickBot="1" x14ac:dyDescent="0.4">
      <c r="A298" s="144" t="str">
        <f>IF(B298=IFERROR(VLOOKUP(B298,entrant!$E$4:$J$188,1,FALSE),"THERE WAS AN ERROR"),"RAPPORT JOURNAL","")</f>
        <v/>
      </c>
      <c r="B298" s="147" t="s">
        <v>744</v>
      </c>
      <c r="C298" s="170" t="s">
        <v>743</v>
      </c>
      <c r="D298" s="35">
        <f>SUMIF(entrant!$E$4:$E$2059,'Inventaire des produits'!B298,entrant!$G$4:$G$2059)</f>
        <v>2000</v>
      </c>
      <c r="E298" s="35">
        <f>SUMIF(vente!$E$4:$E$2190,'Inventaire des produits'!B298,vente!$G$4:$G$2190)</f>
        <v>0</v>
      </c>
      <c r="F298" s="36">
        <f t="shared" si="12"/>
        <v>2000</v>
      </c>
      <c r="G298" s="176">
        <v>0.16666666699999999</v>
      </c>
      <c r="H298" s="182"/>
      <c r="I298" s="37">
        <f t="shared" si="13"/>
        <v>0.16666666699999999</v>
      </c>
      <c r="J298" s="38">
        <f t="shared" si="14"/>
        <v>333.33333399999998</v>
      </c>
      <c r="K298" s="315"/>
      <c r="L298" s="145"/>
    </row>
    <row r="299" spans="1:12" ht="20.100000000000001" customHeight="1" thickBot="1" x14ac:dyDescent="0.4">
      <c r="A299" s="144" t="str">
        <f>IF(B299=IFERROR(VLOOKUP(B299,entrant!$E$4:$J$188,1,FALSE),"THERE WAS AN ERROR"),"RAPPORT JOURNAL","")</f>
        <v/>
      </c>
      <c r="B299" s="147" t="s">
        <v>747</v>
      </c>
      <c r="C299" s="170" t="s">
        <v>746</v>
      </c>
      <c r="D299" s="35">
        <f>SUMIF(entrant!$E$4:$E$2059,'Inventaire des produits'!B299,entrant!$G$4:$G$2059)</f>
        <v>1260</v>
      </c>
      <c r="E299" s="35">
        <f>SUMIF(vente!$E$4:$E$2190,'Inventaire des produits'!B299,vente!$G$4:$G$2190)</f>
        <v>1260</v>
      </c>
      <c r="F299" s="36">
        <f t="shared" si="12"/>
        <v>0</v>
      </c>
      <c r="G299" s="176">
        <v>1.2533333333000001</v>
      </c>
      <c r="H299" s="182"/>
      <c r="I299" s="37">
        <f t="shared" si="13"/>
        <v>1.2533333333000001</v>
      </c>
      <c r="J299" s="38">
        <f t="shared" si="14"/>
        <v>0</v>
      </c>
      <c r="K299" s="315"/>
      <c r="L299" s="145"/>
    </row>
    <row r="300" spans="1:12" ht="20.100000000000001" customHeight="1" thickBot="1" x14ac:dyDescent="0.4">
      <c r="A300" s="144" t="str">
        <f>IF(B300=IFERROR(VLOOKUP(B300,entrant!$E$4:$J$188,1,FALSE),"THERE WAS AN ERROR"),"RAPPORT JOURNAL","")</f>
        <v/>
      </c>
      <c r="B300" s="147" t="s">
        <v>749</v>
      </c>
      <c r="C300" s="170" t="s">
        <v>746</v>
      </c>
      <c r="D300" s="35">
        <f>SUMIF(entrant!$E$4:$E$2059,'Inventaire des produits'!B300,entrant!$G$4:$G$2059)</f>
        <v>180</v>
      </c>
      <c r="E300" s="35">
        <f>SUMIF(vente!$E$4:$E$2190,'Inventaire des produits'!B300,vente!$G$4:$G$2190)</f>
        <v>180</v>
      </c>
      <c r="F300" s="36">
        <f t="shared" si="12"/>
        <v>0</v>
      </c>
      <c r="G300" s="176">
        <v>1.24</v>
      </c>
      <c r="H300" s="182"/>
      <c r="I300" s="37">
        <f t="shared" si="13"/>
        <v>1.24</v>
      </c>
      <c r="J300" s="38">
        <f t="shared" si="14"/>
        <v>0</v>
      </c>
      <c r="K300" s="315"/>
      <c r="L300" s="145"/>
    </row>
    <row r="301" spans="1:12" ht="20.100000000000001" customHeight="1" thickBot="1" x14ac:dyDescent="0.4">
      <c r="A301" s="144" t="str">
        <f>IF(B301=IFERROR(VLOOKUP(B301,entrant!$E$4:$J$188,1,FALSE),"THERE WAS AN ERROR"),"RAPPORT JOURNAL","")</f>
        <v/>
      </c>
      <c r="B301" s="147" t="s">
        <v>751</v>
      </c>
      <c r="C301" s="170" t="s">
        <v>750</v>
      </c>
      <c r="D301" s="35">
        <f>SUMIF(entrant!$E$4:$E$2059,'Inventaire des produits'!B301,entrant!$G$4:$G$2059)</f>
        <v>800</v>
      </c>
      <c r="E301" s="35">
        <f>SUMIF(vente!$E$4:$E$2190,'Inventaire des produits'!B301,vente!$G$4:$G$2190)</f>
        <v>800</v>
      </c>
      <c r="F301" s="36">
        <f t="shared" si="12"/>
        <v>0</v>
      </c>
      <c r="G301" s="176">
        <v>1.2916666666000001</v>
      </c>
      <c r="H301" s="182"/>
      <c r="I301" s="37">
        <f t="shared" si="13"/>
        <v>1.2916666666000001</v>
      </c>
      <c r="J301" s="38">
        <f t="shared" si="14"/>
        <v>0</v>
      </c>
      <c r="K301" s="315"/>
      <c r="L301" s="145"/>
    </row>
    <row r="302" spans="1:12" ht="20.100000000000001" customHeight="1" thickBot="1" x14ac:dyDescent="0.4">
      <c r="A302" s="144" t="str">
        <f>IF(B302=IFERROR(VLOOKUP(B302,entrant!$E$4:$J$188,1,FALSE),"THERE WAS AN ERROR"),"RAPPORT JOURNAL","")</f>
        <v/>
      </c>
      <c r="B302" s="147" t="s">
        <v>754</v>
      </c>
      <c r="C302" s="170" t="s">
        <v>639</v>
      </c>
      <c r="D302" s="35">
        <f>SUMIF(entrant!$E$4:$E$2059,'Inventaire des produits'!B302,entrant!$G$4:$G$2059)</f>
        <v>250</v>
      </c>
      <c r="E302" s="35">
        <f>SUMIF(vente!$E$4:$E$2190,'Inventaire des produits'!B302,vente!$G$4:$G$2190)</f>
        <v>0</v>
      </c>
      <c r="F302" s="36">
        <f t="shared" si="12"/>
        <v>250</v>
      </c>
      <c r="G302" s="176">
        <v>1.0912500000000001</v>
      </c>
      <c r="H302" s="182"/>
      <c r="I302" s="37">
        <f t="shared" si="13"/>
        <v>1.0912500000000001</v>
      </c>
      <c r="J302" s="38">
        <f t="shared" si="14"/>
        <v>272.8125</v>
      </c>
      <c r="K302" s="315"/>
      <c r="L302" s="145"/>
    </row>
    <row r="303" spans="1:12" ht="20.100000000000001" customHeight="1" thickBot="1" x14ac:dyDescent="0.4">
      <c r="A303" s="144" t="str">
        <f>IF(B303=IFERROR(VLOOKUP(B303,entrant!$E$4:$J$188,1,FALSE),"THERE WAS AN ERROR"),"RAPPORT JOURNAL","")</f>
        <v/>
      </c>
      <c r="B303" s="147" t="s">
        <v>760</v>
      </c>
      <c r="C303" s="170" t="s">
        <v>649</v>
      </c>
      <c r="D303" s="35">
        <f>SUMIF(entrant!$E$4:$E$2059,'Inventaire des produits'!B303,entrant!$G$4:$G$2059)</f>
        <v>600</v>
      </c>
      <c r="E303" s="35">
        <f>SUMIF(vente!$E$4:$E$2190,'Inventaire des produits'!B303,vente!$G$4:$G$2190)</f>
        <v>600</v>
      </c>
      <c r="F303" s="36">
        <f t="shared" si="12"/>
        <v>0</v>
      </c>
      <c r="G303" s="176">
        <v>1.5</v>
      </c>
      <c r="H303" s="182"/>
      <c r="I303" s="37">
        <f t="shared" si="13"/>
        <v>1.5</v>
      </c>
      <c r="J303" s="38">
        <f t="shared" si="14"/>
        <v>0</v>
      </c>
      <c r="K303" s="315"/>
      <c r="L303" s="145"/>
    </row>
    <row r="304" spans="1:12" ht="20.100000000000001" customHeight="1" thickBot="1" x14ac:dyDescent="0.4">
      <c r="A304" s="144" t="str">
        <f>IF(B304=IFERROR(VLOOKUP(B304,entrant!$E$4:$J$188,1,FALSE),"THERE WAS AN ERROR"),"RAPPORT JOURNAL","")</f>
        <v/>
      </c>
      <c r="B304" s="147" t="s">
        <v>767</v>
      </c>
      <c r="C304" s="170" t="s">
        <v>766</v>
      </c>
      <c r="D304" s="35">
        <f>SUMIF(entrant!$E$4:$E$2059,'Inventaire des produits'!B304,entrant!$G$4:$G$2059)</f>
        <v>78</v>
      </c>
      <c r="E304" s="35">
        <f>SUMIF(vente!$E$4:$E$2190,'Inventaire des produits'!B304,vente!$G$4:$G$2190)</f>
        <v>72</v>
      </c>
      <c r="F304" s="36">
        <f t="shared" si="12"/>
        <v>6</v>
      </c>
      <c r="G304" s="176">
        <v>75</v>
      </c>
      <c r="H304" s="182"/>
      <c r="I304" s="37">
        <f t="shared" si="13"/>
        <v>75</v>
      </c>
      <c r="J304" s="38">
        <f t="shared" si="14"/>
        <v>450</v>
      </c>
      <c r="K304" s="315"/>
      <c r="L304" s="145"/>
    </row>
    <row r="305" spans="1:12" ht="20.100000000000001" customHeight="1" thickBot="1" x14ac:dyDescent="0.4">
      <c r="A305" s="144" t="str">
        <f>IF(B305=IFERROR(VLOOKUP(B305,entrant!$E$4:$J$188,1,FALSE),"THERE WAS AN ERROR"),"RAPPORT JOURNAL","")</f>
        <v/>
      </c>
      <c r="B305" s="147" t="s">
        <v>768</v>
      </c>
      <c r="C305" s="170" t="s">
        <v>543</v>
      </c>
      <c r="D305" s="35">
        <f>SUMIF(entrant!$E$4:$E$2059,'Inventaire des produits'!B305,entrant!$G$4:$G$2059)</f>
        <v>32</v>
      </c>
      <c r="E305" s="35">
        <f>SUMIF(vente!$E$4:$E$2190,'Inventaire des produits'!B305,vente!$G$4:$G$2190)</f>
        <v>0</v>
      </c>
      <c r="F305" s="36">
        <f t="shared" si="12"/>
        <v>32</v>
      </c>
      <c r="G305" s="176">
        <v>16.875</v>
      </c>
      <c r="H305" s="182"/>
      <c r="I305" s="37">
        <f t="shared" si="13"/>
        <v>16.875</v>
      </c>
      <c r="J305" s="38">
        <f t="shared" si="14"/>
        <v>540</v>
      </c>
      <c r="K305" s="315"/>
      <c r="L305" s="145"/>
    </row>
    <row r="306" spans="1:12" ht="20.100000000000001" customHeight="1" thickBot="1" x14ac:dyDescent="0.4">
      <c r="A306" s="144" t="str">
        <f>IF(B306=IFERROR(VLOOKUP(B306,entrant!$E$4:$J$188,1,FALSE),"THERE WAS AN ERROR"),"RAPPORT JOURNAL","")</f>
        <v/>
      </c>
      <c r="B306" s="147" t="s">
        <v>769</v>
      </c>
      <c r="C306" s="170" t="s">
        <v>771</v>
      </c>
      <c r="D306" s="35">
        <f>SUMIF(entrant!$E$4:$E$2059,'Inventaire des produits'!B306,entrant!$G$4:$G$2059)</f>
        <v>210</v>
      </c>
      <c r="E306" s="35">
        <f>SUMIF(vente!$E$4:$E$2190,'Inventaire des produits'!B306,vente!$G$4:$G$2190)</f>
        <v>202</v>
      </c>
      <c r="F306" s="36">
        <f t="shared" si="12"/>
        <v>8</v>
      </c>
      <c r="G306" s="176">
        <v>20.833333333300001</v>
      </c>
      <c r="H306" s="182"/>
      <c r="I306" s="37">
        <f t="shared" si="13"/>
        <v>20.833333333300001</v>
      </c>
      <c r="J306" s="38">
        <f t="shared" si="14"/>
        <v>166.6666666664</v>
      </c>
      <c r="K306" s="315"/>
      <c r="L306" s="145"/>
    </row>
    <row r="307" spans="1:12" ht="20.100000000000001" customHeight="1" thickBot="1" x14ac:dyDescent="0.4">
      <c r="A307" s="144" t="str">
        <f>IF(B307=IFERROR(VLOOKUP(B307,entrant!$E$4:$J$188,1,FALSE),"THERE WAS AN ERROR"),"RAPPORT JOURNAL","")</f>
        <v/>
      </c>
      <c r="B307" s="147" t="s">
        <v>770</v>
      </c>
      <c r="C307" s="170" t="s">
        <v>46</v>
      </c>
      <c r="D307" s="35">
        <f>SUMIF(entrant!$E$4:$E$2059,'Inventaire des produits'!B307,entrant!$G$4:$G$2059)</f>
        <v>1000</v>
      </c>
      <c r="E307" s="35">
        <f>SUMIF(vente!$E$4:$E$2190,'Inventaire des produits'!B307,vente!$G$4:$G$2190)</f>
        <v>0</v>
      </c>
      <c r="F307" s="36">
        <f t="shared" si="12"/>
        <v>1000</v>
      </c>
      <c r="G307" s="176">
        <v>0.20833333330000001</v>
      </c>
      <c r="H307" s="182"/>
      <c r="I307" s="37">
        <f t="shared" si="13"/>
        <v>0.20833333330000001</v>
      </c>
      <c r="J307" s="38">
        <f t="shared" si="14"/>
        <v>208.33333329999999</v>
      </c>
      <c r="K307" s="315"/>
      <c r="L307" s="145"/>
    </row>
    <row r="308" spans="1:12" ht="20.100000000000001" customHeight="1" thickBot="1" x14ac:dyDescent="0.4">
      <c r="A308" s="144" t="str">
        <f>IF(B308=IFERROR(VLOOKUP(B308,entrant!$E$4:$J$188,1,FALSE),"THERE WAS AN ERROR"),"RAPPORT JOURNAL","")</f>
        <v/>
      </c>
      <c r="B308" s="147" t="s">
        <v>772</v>
      </c>
      <c r="C308" s="170" t="s">
        <v>343</v>
      </c>
      <c r="D308" s="35">
        <f>SUMIF(entrant!$E$4:$E$2059,'Inventaire des produits'!B308,entrant!$G$4:$G$2059)</f>
        <v>210</v>
      </c>
      <c r="E308" s="35">
        <f>SUMIF(vente!$E$4:$E$2190,'Inventaire des produits'!B308,vente!$G$4:$G$2190)</f>
        <v>210</v>
      </c>
      <c r="F308" s="36">
        <f t="shared" si="12"/>
        <v>0</v>
      </c>
      <c r="G308" s="176">
        <v>20.833333333300001</v>
      </c>
      <c r="H308" s="182"/>
      <c r="I308" s="37">
        <f t="shared" si="13"/>
        <v>20.833333333300001</v>
      </c>
      <c r="J308" s="38">
        <f t="shared" si="14"/>
        <v>0</v>
      </c>
      <c r="K308" s="315"/>
      <c r="L308" s="145"/>
    </row>
    <row r="309" spans="1:12" ht="20.100000000000001" customHeight="1" thickBot="1" x14ac:dyDescent="0.4">
      <c r="A309" s="144" t="str">
        <f>IF(B309=IFERROR(VLOOKUP(B309,entrant!$E$4:$J$188,1,FALSE),"THERE WAS AN ERROR"),"RAPPORT JOURNAL","")</f>
        <v/>
      </c>
      <c r="B309" s="147" t="s">
        <v>773</v>
      </c>
      <c r="C309" s="170" t="s">
        <v>35</v>
      </c>
      <c r="D309" s="35">
        <f>SUMIF(entrant!$E$4:$E$2059,'Inventaire des produits'!B309,entrant!$G$4:$G$2059)</f>
        <v>42</v>
      </c>
      <c r="E309" s="35">
        <f>SUMIF(vente!$E$4:$E$2190,'Inventaire des produits'!B309,vente!$G$4:$G$2190)</f>
        <v>42</v>
      </c>
      <c r="F309" s="36">
        <f t="shared" si="12"/>
        <v>0</v>
      </c>
      <c r="G309" s="176">
        <v>58.333333332999999</v>
      </c>
      <c r="H309" s="182"/>
      <c r="I309" s="37">
        <f t="shared" si="13"/>
        <v>58.333333332999999</v>
      </c>
      <c r="J309" s="38">
        <f t="shared" si="14"/>
        <v>0</v>
      </c>
      <c r="K309" s="315"/>
      <c r="L309" s="145"/>
    </row>
    <row r="310" spans="1:12" ht="20.100000000000001" customHeight="1" thickBot="1" x14ac:dyDescent="0.4">
      <c r="A310" s="144" t="str">
        <f>IF(B310=IFERROR(VLOOKUP(B310,entrant!$E$4:$J$188,1,FALSE),"THERE WAS AN ERROR"),"RAPPORT JOURNAL","")</f>
        <v/>
      </c>
      <c r="B310" s="147" t="s">
        <v>775</v>
      </c>
      <c r="C310" s="170" t="s">
        <v>774</v>
      </c>
      <c r="D310" s="35">
        <f>SUMIF(entrant!$E$4:$E$2059,'Inventaire des produits'!B310,entrant!$G$4:$G$2059)</f>
        <v>7000</v>
      </c>
      <c r="E310" s="35">
        <f>SUMIF(vente!$E$4:$E$2190,'Inventaire des produits'!B310,vente!$G$4:$G$2190)</f>
        <v>0</v>
      </c>
      <c r="F310" s="36">
        <f t="shared" si="12"/>
        <v>7000</v>
      </c>
      <c r="G310" s="176">
        <v>0.125</v>
      </c>
      <c r="H310" s="182"/>
      <c r="I310" s="37">
        <f t="shared" si="13"/>
        <v>0.125</v>
      </c>
      <c r="J310" s="38">
        <f t="shared" si="14"/>
        <v>875</v>
      </c>
      <c r="K310" s="315"/>
      <c r="L310" s="145"/>
    </row>
    <row r="311" spans="1:12" ht="20.100000000000001" customHeight="1" thickBot="1" x14ac:dyDescent="0.4">
      <c r="A311" s="144" t="str">
        <f>IF(B311=IFERROR(VLOOKUP(B311,entrant!$E$4:$J$188,1,FALSE),"THERE WAS AN ERROR"),"RAPPORT JOURNAL","")</f>
        <v/>
      </c>
      <c r="B311" s="147" t="s">
        <v>777</v>
      </c>
      <c r="C311" s="170" t="s">
        <v>776</v>
      </c>
      <c r="D311" s="35">
        <f>SUMIF(entrant!$E$4:$E$2059,'Inventaire des produits'!B311,entrant!$G$4:$G$2059)</f>
        <v>1</v>
      </c>
      <c r="E311" s="35">
        <f>SUMIF(vente!$E$4:$E$2190,'Inventaire des produits'!B311,vente!$G$4:$G$2190)</f>
        <v>0</v>
      </c>
      <c r="F311" s="36">
        <f t="shared" si="12"/>
        <v>1</v>
      </c>
      <c r="G311" s="176">
        <v>38.333333333299997</v>
      </c>
      <c r="H311" s="182"/>
      <c r="I311" s="37">
        <f t="shared" si="13"/>
        <v>38.333333333299997</v>
      </c>
      <c r="J311" s="38">
        <f t="shared" si="14"/>
        <v>38.333333333299997</v>
      </c>
      <c r="K311" s="315"/>
      <c r="L311" s="145"/>
    </row>
    <row r="312" spans="1:12" ht="20.100000000000001" customHeight="1" thickBot="1" x14ac:dyDescent="0.4">
      <c r="A312" s="144" t="str">
        <f>IF(B312=IFERROR(VLOOKUP(B312,entrant!$E$4:$J$188,1,FALSE),"THERE WAS AN ERROR"),"RAPPORT JOURNAL","")</f>
        <v/>
      </c>
      <c r="B312" s="147" t="s">
        <v>778</v>
      </c>
      <c r="C312" s="170" t="s">
        <v>346</v>
      </c>
      <c r="D312" s="35">
        <f>SUMIF(entrant!$E$4:$E$2059,'Inventaire des produits'!B312,entrant!$G$4:$G$2059)</f>
        <v>84000</v>
      </c>
      <c r="E312" s="35">
        <f>SUMIF(vente!$E$4:$E$2190,'Inventaire des produits'!B312,vente!$G$4:$G$2190)</f>
        <v>84000</v>
      </c>
      <c r="F312" s="36">
        <f t="shared" si="12"/>
        <v>0</v>
      </c>
      <c r="G312" s="176">
        <v>8.3333333300000006E-2</v>
      </c>
      <c r="H312" s="182"/>
      <c r="I312" s="37">
        <f t="shared" si="13"/>
        <v>8.3333333300000006E-2</v>
      </c>
      <c r="J312" s="38">
        <f t="shared" si="14"/>
        <v>0</v>
      </c>
      <c r="K312" s="315"/>
      <c r="L312" s="145"/>
    </row>
    <row r="313" spans="1:12" ht="20.100000000000001" customHeight="1" thickBot="1" x14ac:dyDescent="0.4">
      <c r="A313" s="144" t="str">
        <f>IF(B313=IFERROR(VLOOKUP(B313,entrant!$E$4:$J$188,1,FALSE),"THERE WAS AN ERROR"),"RAPPORT JOURNAL","")</f>
        <v/>
      </c>
      <c r="B313" s="147" t="s">
        <v>1386</v>
      </c>
      <c r="C313" s="170" t="s">
        <v>1387</v>
      </c>
      <c r="D313" s="35">
        <f>SUMIF(entrant!$E$4:$E$2059,'Inventaire des produits'!B313,entrant!$G$4:$G$2059)</f>
        <v>5000</v>
      </c>
      <c r="E313" s="35">
        <f>SUMIF(vente!$E$4:$E$2190,'Inventaire des produits'!B313,vente!$G$4:$G$2190)</f>
        <v>1200</v>
      </c>
      <c r="F313" s="36">
        <f t="shared" si="12"/>
        <v>3800</v>
      </c>
      <c r="G313" s="176">
        <f>0.78/1.2</f>
        <v>0.65</v>
      </c>
      <c r="H313" s="182"/>
      <c r="I313" s="37">
        <f t="shared" si="13"/>
        <v>0.65</v>
      </c>
      <c r="J313" s="38">
        <f t="shared" si="14"/>
        <v>2470</v>
      </c>
      <c r="K313" s="315"/>
      <c r="L313" s="145"/>
    </row>
    <row r="314" spans="1:12" ht="20.100000000000001" customHeight="1" thickBot="1" x14ac:dyDescent="0.4">
      <c r="A314" s="144" t="str">
        <f>IF(B314=IFERROR(VLOOKUP(B314,entrant!$E$4:$J$188,1,FALSE),"THERE WAS AN ERROR"),"RAPPORT JOURNAL","")</f>
        <v/>
      </c>
      <c r="B314" s="147" t="s">
        <v>779</v>
      </c>
      <c r="C314" s="170" t="s">
        <v>104</v>
      </c>
      <c r="D314" s="35">
        <f>SUMIF(entrant!$E$4:$E$2059,'Inventaire des produits'!B314,entrant!$G$4:$G$2059)</f>
        <v>30000</v>
      </c>
      <c r="E314" s="35">
        <f>SUMIF(vente!$E$4:$E$2190,'Inventaire des produits'!B314,vente!$G$4:$G$2190)</f>
        <v>30000</v>
      </c>
      <c r="F314" s="36">
        <f t="shared" si="12"/>
        <v>0</v>
      </c>
      <c r="G314" s="176">
        <v>0.30833333330000001</v>
      </c>
      <c r="H314" s="182"/>
      <c r="I314" s="37">
        <f t="shared" si="13"/>
        <v>0.30833333330000001</v>
      </c>
      <c r="J314" s="38">
        <f t="shared" si="14"/>
        <v>0</v>
      </c>
      <c r="K314" s="315"/>
      <c r="L314" s="145"/>
    </row>
    <row r="315" spans="1:12" ht="20.100000000000001" customHeight="1" thickBot="1" x14ac:dyDescent="0.4">
      <c r="A315" s="144" t="str">
        <f>IF(B315=IFERROR(VLOOKUP(B315,entrant!$E$4:$J$188,1,FALSE),"THERE WAS AN ERROR"),"RAPPORT JOURNAL","")</f>
        <v/>
      </c>
      <c r="B315" s="147" t="s">
        <v>781</v>
      </c>
      <c r="C315" s="170" t="s">
        <v>780</v>
      </c>
      <c r="D315" s="35">
        <f>SUMIF(entrant!$E$4:$E$2059,'Inventaire des produits'!B315,entrant!$G$4:$G$2059)</f>
        <v>41000</v>
      </c>
      <c r="E315" s="35">
        <f>SUMIF(vente!$E$4:$E$2190,'Inventaire des produits'!B315,vente!$G$4:$G$2190)</f>
        <v>41000</v>
      </c>
      <c r="F315" s="36">
        <f t="shared" si="12"/>
        <v>0</v>
      </c>
      <c r="G315" s="176">
        <v>0.6</v>
      </c>
      <c r="H315" s="182"/>
      <c r="I315" s="37">
        <f t="shared" si="13"/>
        <v>0.6</v>
      </c>
      <c r="J315" s="38">
        <f t="shared" si="14"/>
        <v>0</v>
      </c>
      <c r="K315" s="315"/>
      <c r="L315" s="145"/>
    </row>
    <row r="316" spans="1:12" ht="20.100000000000001" customHeight="1" thickBot="1" x14ac:dyDescent="0.4">
      <c r="A316" s="144" t="str">
        <f>IF(B316=IFERROR(VLOOKUP(B316,entrant!$E$4:$J$188,1,FALSE),"THERE WAS AN ERROR"),"RAPPORT JOURNAL","")</f>
        <v/>
      </c>
      <c r="B316" s="147" t="s">
        <v>783</v>
      </c>
      <c r="C316" s="170" t="s">
        <v>782</v>
      </c>
      <c r="D316" s="35">
        <f>SUMIF(entrant!$E$4:$E$2059,'Inventaire des produits'!B316,entrant!$G$4:$G$2059)</f>
        <v>40</v>
      </c>
      <c r="E316" s="35">
        <f>SUMIF(vente!$E$4:$E$2190,'Inventaire des produits'!B316,vente!$G$4:$G$2190)</f>
        <v>40</v>
      </c>
      <c r="F316" s="36">
        <f t="shared" si="12"/>
        <v>0</v>
      </c>
      <c r="G316" s="176">
        <v>22</v>
      </c>
      <c r="H316" s="182"/>
      <c r="I316" s="37">
        <f t="shared" si="13"/>
        <v>22</v>
      </c>
      <c r="J316" s="38">
        <f t="shared" si="14"/>
        <v>0</v>
      </c>
      <c r="K316" s="315"/>
      <c r="L316" s="145"/>
    </row>
    <row r="317" spans="1:12" ht="20.100000000000001" customHeight="1" thickBot="1" x14ac:dyDescent="0.4">
      <c r="A317" s="144" t="str">
        <f>IF(B317=IFERROR(VLOOKUP(B317,entrant!$E$4:$J$188,1,FALSE),"THERE WAS AN ERROR"),"RAPPORT JOURNAL","")</f>
        <v/>
      </c>
      <c r="B317" s="147" t="s">
        <v>786</v>
      </c>
      <c r="C317" s="170" t="s">
        <v>318</v>
      </c>
      <c r="D317" s="35">
        <f>SUMIF(entrant!$E$4:$E$2059,'Inventaire des produits'!B317,entrant!$G$4:$G$2059)</f>
        <v>400</v>
      </c>
      <c r="E317" s="35">
        <f>SUMIF(vente!$E$4:$E$2190,'Inventaire des produits'!B317,vente!$G$4:$G$2190)</f>
        <v>400</v>
      </c>
      <c r="F317" s="36">
        <f t="shared" si="12"/>
        <v>0</v>
      </c>
      <c r="G317" s="176">
        <v>15.83333333</v>
      </c>
      <c r="H317" s="182"/>
      <c r="I317" s="37">
        <f t="shared" si="13"/>
        <v>15.83333333</v>
      </c>
      <c r="J317" s="38">
        <f t="shared" si="14"/>
        <v>0</v>
      </c>
      <c r="K317" s="315"/>
      <c r="L317" s="145"/>
    </row>
    <row r="318" spans="1:12" ht="20.100000000000001" customHeight="1" thickBot="1" x14ac:dyDescent="0.4">
      <c r="A318" s="144" t="str">
        <f>IF(B318=IFERROR(VLOOKUP(B318,entrant!$E$4:$J$188,1,FALSE),"THERE WAS AN ERROR"),"RAPPORT JOURNAL","")</f>
        <v/>
      </c>
      <c r="B318" s="147" t="s">
        <v>788</v>
      </c>
      <c r="C318" s="170" t="s">
        <v>574</v>
      </c>
      <c r="D318" s="35">
        <f>SUMIF(entrant!$E$4:$E$2059,'Inventaire des produits'!B318,entrant!$G$4:$G$2059)</f>
        <v>4000</v>
      </c>
      <c r="E318" s="35">
        <f>SUMIF(vente!$E$4:$E$2190,'Inventaire des produits'!B318,vente!$G$4:$G$2190)</f>
        <v>4000</v>
      </c>
      <c r="F318" s="36">
        <f t="shared" si="12"/>
        <v>0</v>
      </c>
      <c r="G318" s="176">
        <v>0.54</v>
      </c>
      <c r="H318" s="182"/>
      <c r="I318" s="37">
        <f t="shared" si="13"/>
        <v>0.54</v>
      </c>
      <c r="J318" s="38">
        <f t="shared" si="14"/>
        <v>0</v>
      </c>
      <c r="K318" s="315"/>
      <c r="L318" s="145"/>
    </row>
    <row r="319" spans="1:12" ht="20.100000000000001" customHeight="1" thickBot="1" x14ac:dyDescent="0.4">
      <c r="A319" s="144" t="str">
        <f>IF(B319=IFERROR(VLOOKUP(B319,entrant!$E$4:$J$188,1,FALSE),"THERE WAS AN ERROR"),"RAPPORT JOURNAL","")</f>
        <v/>
      </c>
      <c r="B319" s="147" t="s">
        <v>790</v>
      </c>
      <c r="C319" s="170" t="s">
        <v>68</v>
      </c>
      <c r="D319" s="35">
        <f>SUMIF(entrant!$E$4:$E$2059,'Inventaire des produits'!B319,entrant!$G$4:$G$2059)</f>
        <v>20</v>
      </c>
      <c r="E319" s="35">
        <f>SUMIF(vente!$E$4:$E$2190,'Inventaire des produits'!B319,vente!$G$4:$G$2190)</f>
        <v>20</v>
      </c>
      <c r="F319" s="36">
        <f t="shared" si="12"/>
        <v>0</v>
      </c>
      <c r="G319" s="176">
        <v>17.5</v>
      </c>
      <c r="H319" s="182"/>
      <c r="I319" s="37">
        <f t="shared" si="13"/>
        <v>17.5</v>
      </c>
      <c r="J319" s="38">
        <f t="shared" si="14"/>
        <v>0</v>
      </c>
      <c r="K319" s="315"/>
      <c r="L319" s="145"/>
    </row>
    <row r="320" spans="1:12" ht="20.100000000000001" customHeight="1" thickBot="1" x14ac:dyDescent="0.4">
      <c r="A320" s="144" t="str">
        <f>IF(B320=IFERROR(VLOOKUP(B320,entrant!$E$4:$J$188,1,FALSE),"THERE WAS AN ERROR"),"RAPPORT JOURNAL","")</f>
        <v/>
      </c>
      <c r="B320" s="147" t="s">
        <v>795</v>
      </c>
      <c r="C320" s="170" t="s">
        <v>152</v>
      </c>
      <c r="D320" s="35">
        <f>SUMIF(entrant!$E$4:$E$2059,'Inventaire des produits'!B320,entrant!$G$4:$G$2059)</f>
        <v>4000</v>
      </c>
      <c r="E320" s="35">
        <f>SUMIF(vente!$E$4:$E$2190,'Inventaire des produits'!B320,vente!$G$4:$G$2190)</f>
        <v>400</v>
      </c>
      <c r="F320" s="36">
        <f t="shared" si="12"/>
        <v>3600</v>
      </c>
      <c r="G320" s="176">
        <v>1.3166666666</v>
      </c>
      <c r="H320" s="182"/>
      <c r="I320" s="37">
        <f t="shared" si="13"/>
        <v>1.3166666666</v>
      </c>
      <c r="J320" s="38">
        <f t="shared" si="14"/>
        <v>4739.9999997599998</v>
      </c>
      <c r="K320" s="315"/>
      <c r="L320" s="145"/>
    </row>
    <row r="321" spans="1:12" ht="20.100000000000001" customHeight="1" thickBot="1" x14ac:dyDescent="0.4">
      <c r="A321" s="144" t="str">
        <f>IF(B321=IFERROR(VLOOKUP(B321,entrant!$E$4:$J$188,1,FALSE),"THERE WAS AN ERROR"),"RAPPORT JOURNAL","")</f>
        <v/>
      </c>
      <c r="B321" s="147" t="s">
        <v>802</v>
      </c>
      <c r="C321" s="170" t="s">
        <v>49</v>
      </c>
      <c r="D321" s="35">
        <f>SUMIF(entrant!$E$4:$E$2059,'Inventaire des produits'!B321,entrant!$G$4:$G$2059)</f>
        <v>200</v>
      </c>
      <c r="E321" s="35">
        <f>SUMIF(vente!$E$4:$E$2190,'Inventaire des produits'!B321,vente!$G$4:$G$2190)</f>
        <v>200</v>
      </c>
      <c r="F321" s="36">
        <f t="shared" si="12"/>
        <v>0</v>
      </c>
      <c r="G321" s="176">
        <v>40</v>
      </c>
      <c r="H321" s="182"/>
      <c r="I321" s="37">
        <f t="shared" si="13"/>
        <v>40</v>
      </c>
      <c r="J321" s="38">
        <f t="shared" si="14"/>
        <v>0</v>
      </c>
      <c r="K321" s="315"/>
      <c r="L321" s="145"/>
    </row>
    <row r="322" spans="1:12" ht="20.100000000000001" customHeight="1" thickBot="1" x14ac:dyDescent="0.4">
      <c r="A322" s="144" t="str">
        <f>IF(B322=IFERROR(VLOOKUP(B322,entrant!$E$4:$J$188,1,FALSE),"THERE WAS AN ERROR"),"RAPPORT JOURNAL","")</f>
        <v/>
      </c>
      <c r="B322" s="147" t="s">
        <v>451</v>
      </c>
      <c r="C322" s="170" t="s">
        <v>804</v>
      </c>
      <c r="D322" s="35">
        <f>SUMIF(entrant!$E$4:$E$2059,'Inventaire des produits'!B322,entrant!$G$4:$G$2059)</f>
        <v>340</v>
      </c>
      <c r="E322" s="35">
        <f>SUMIF(vente!$E$4:$E$2190,'Inventaire des produits'!B322,vente!$G$4:$G$2190)</f>
        <v>88</v>
      </c>
      <c r="F322" s="36">
        <f t="shared" si="12"/>
        <v>252</v>
      </c>
      <c r="G322" s="176">
        <v>29.19</v>
      </c>
      <c r="H322" s="182"/>
      <c r="I322" s="37">
        <f t="shared" si="13"/>
        <v>29.19</v>
      </c>
      <c r="J322" s="38">
        <f t="shared" si="14"/>
        <v>7355.88</v>
      </c>
      <c r="K322" s="315"/>
      <c r="L322" s="145"/>
    </row>
    <row r="323" spans="1:12" ht="20.100000000000001" customHeight="1" thickBot="1" x14ac:dyDescent="0.4">
      <c r="A323" s="144" t="str">
        <f>IF(B323=IFERROR(VLOOKUP(B323,entrant!$E$4:$J$188,1,FALSE),"THERE WAS AN ERROR"),"RAPPORT JOURNAL","")</f>
        <v/>
      </c>
      <c r="B323" s="147" t="s">
        <v>805</v>
      </c>
      <c r="C323" s="170" t="s">
        <v>39</v>
      </c>
      <c r="D323" s="35">
        <f>SUMIF(entrant!$E$4:$E$2059,'Inventaire des produits'!B323,entrant!$G$4:$G$2059)</f>
        <v>10000</v>
      </c>
      <c r="E323" s="35">
        <f>SUMIF(vente!$E$4:$E$2190,'Inventaire des produits'!B323,vente!$G$4:$G$2190)</f>
        <v>10000</v>
      </c>
      <c r="F323" s="36">
        <f t="shared" ref="F323:F386" si="15">IF(OR(D323="",E323=""),"",D323-E323)</f>
        <v>0</v>
      </c>
      <c r="G323" s="176">
        <v>0.23333329999999999</v>
      </c>
      <c r="H323" s="182"/>
      <c r="I323" s="37">
        <f t="shared" si="13"/>
        <v>0.23333329999999999</v>
      </c>
      <c r="J323" s="38">
        <f t="shared" si="14"/>
        <v>0</v>
      </c>
      <c r="K323" s="315"/>
      <c r="L323" s="145"/>
    </row>
    <row r="324" spans="1:12" ht="20.100000000000001" customHeight="1" thickBot="1" x14ac:dyDescent="0.4">
      <c r="A324" s="144" t="str">
        <f>IF(B324=IFERROR(VLOOKUP(B324,entrant!$E$4:$J$188,1,FALSE),"THERE WAS AN ERROR"),"RAPPORT JOURNAL","")</f>
        <v/>
      </c>
      <c r="B324" s="147" t="s">
        <v>821</v>
      </c>
      <c r="C324" s="170" t="s">
        <v>819</v>
      </c>
      <c r="D324" s="35">
        <f>SUMIF(entrant!$E$4:$E$2059,'Inventaire des produits'!B324,entrant!$G$4:$G$2059)</f>
        <v>20000</v>
      </c>
      <c r="E324" s="35">
        <f>SUMIF(vente!$E$4:$E$2190,'Inventaire des produits'!B324,vente!$G$4:$G$2190)</f>
        <v>20000</v>
      </c>
      <c r="F324" s="36">
        <f t="shared" si="15"/>
        <v>0</v>
      </c>
      <c r="G324" s="176">
        <v>0.33333333329999998</v>
      </c>
      <c r="H324" s="182"/>
      <c r="I324" s="37">
        <f t="shared" ref="I324:I387" si="16">IF(H324="",G324,G324-G324*H324)</f>
        <v>0.33333333329999998</v>
      </c>
      <c r="J324" s="38">
        <f t="shared" ref="J324:J387" si="17">IF(OR(F324="",G324=""),"",F324*I324)</f>
        <v>0</v>
      </c>
      <c r="K324" s="315"/>
      <c r="L324" s="145"/>
    </row>
    <row r="325" spans="1:12" ht="20.100000000000001" customHeight="1" thickBot="1" x14ac:dyDescent="0.4">
      <c r="A325" s="144" t="str">
        <f>IF(B325=IFERROR(VLOOKUP(B325,entrant!$E$4:$J$188,1,FALSE),"THERE WAS AN ERROR"),"RAPPORT JOURNAL","")</f>
        <v/>
      </c>
      <c r="B325" s="147" t="s">
        <v>822</v>
      </c>
      <c r="C325" s="170" t="s">
        <v>820</v>
      </c>
      <c r="D325" s="35">
        <f>SUMIF(entrant!$E$4:$E$2059,'Inventaire des produits'!B325,entrant!$G$4:$G$2059)</f>
        <v>10000</v>
      </c>
      <c r="E325" s="35">
        <f>SUMIF(vente!$E$4:$E$2190,'Inventaire des produits'!B325,vente!$G$4:$G$2190)</f>
        <v>10000</v>
      </c>
      <c r="F325" s="36">
        <f t="shared" si="15"/>
        <v>0</v>
      </c>
      <c r="G325" s="176">
        <v>0.45834000000000003</v>
      </c>
      <c r="H325" s="182"/>
      <c r="I325" s="37">
        <f t="shared" si="16"/>
        <v>0.45834000000000003</v>
      </c>
      <c r="J325" s="38">
        <f t="shared" si="17"/>
        <v>0</v>
      </c>
      <c r="K325" s="315"/>
      <c r="L325" s="145"/>
    </row>
    <row r="326" spans="1:12" ht="20.100000000000001" customHeight="1" thickBot="1" x14ac:dyDescent="0.4">
      <c r="A326" s="144" t="str">
        <f>IF(B326=IFERROR(VLOOKUP(B326,entrant!$E$4:$J$188,1,FALSE),"THERE WAS AN ERROR"),"RAPPORT JOURNAL","")</f>
        <v/>
      </c>
      <c r="B326" s="147" t="s">
        <v>827</v>
      </c>
      <c r="C326" s="170" t="s">
        <v>824</v>
      </c>
      <c r="D326" s="35">
        <f>SUMIF(entrant!$E$4:$E$2059,'Inventaire des produits'!B326,entrant!$G$4:$G$2059)</f>
        <v>45</v>
      </c>
      <c r="E326" s="35">
        <f>SUMIF(vente!$E$4:$E$2190,'Inventaire des produits'!B326,vente!$G$4:$G$2190)</f>
        <v>0</v>
      </c>
      <c r="F326" s="36">
        <f t="shared" si="15"/>
        <v>45</v>
      </c>
      <c r="G326" s="176">
        <v>22.5</v>
      </c>
      <c r="H326" s="182"/>
      <c r="I326" s="37">
        <f t="shared" si="16"/>
        <v>22.5</v>
      </c>
      <c r="J326" s="38">
        <f t="shared" si="17"/>
        <v>1012.5</v>
      </c>
      <c r="K326" s="315"/>
      <c r="L326" s="145"/>
    </row>
    <row r="327" spans="1:12" ht="20.100000000000001" customHeight="1" thickBot="1" x14ac:dyDescent="0.4">
      <c r="A327" s="144" t="str">
        <f>IF(B327=IFERROR(VLOOKUP(B327,entrant!$E$4:$J$188,1,FALSE),"THERE WAS AN ERROR"),"RAPPORT JOURNAL","")</f>
        <v/>
      </c>
      <c r="B327" s="147" t="s">
        <v>828</v>
      </c>
      <c r="C327" s="170" t="s">
        <v>825</v>
      </c>
      <c r="D327" s="35">
        <f>SUMIF(entrant!$E$4:$E$2059,'Inventaire des produits'!B327,entrant!$G$4:$G$2059)</f>
        <v>18700</v>
      </c>
      <c r="E327" s="35">
        <f>SUMIF(vente!$E$4:$E$2190,'Inventaire des produits'!B327,vente!$G$4:$G$2190)</f>
        <v>18700</v>
      </c>
      <c r="F327" s="36">
        <f t="shared" si="15"/>
        <v>0</v>
      </c>
      <c r="G327" s="176">
        <v>0.33333332999999998</v>
      </c>
      <c r="H327" s="182"/>
      <c r="I327" s="37">
        <f t="shared" si="16"/>
        <v>0.33333332999999998</v>
      </c>
      <c r="J327" s="38">
        <f t="shared" si="17"/>
        <v>0</v>
      </c>
      <c r="K327" s="315"/>
      <c r="L327" s="145"/>
    </row>
    <row r="328" spans="1:12" ht="20.100000000000001" customHeight="1" thickBot="1" x14ac:dyDescent="0.4">
      <c r="A328" s="144" t="str">
        <f>IF(B328=IFERROR(VLOOKUP(B328,entrant!$E$4:$J$188,1,FALSE),"THERE WAS AN ERROR"),"RAPPORT JOURNAL","")</f>
        <v/>
      </c>
      <c r="B328" s="147" t="s">
        <v>829</v>
      </c>
      <c r="C328" s="170" t="s">
        <v>826</v>
      </c>
      <c r="D328" s="35">
        <f>SUMIF(entrant!$E$4:$E$2059,'Inventaire des produits'!B328,entrant!$G$4:$G$2059)</f>
        <v>7900</v>
      </c>
      <c r="E328" s="35">
        <f>SUMIF(vente!$E$4:$E$2190,'Inventaire des produits'!B328,vente!$G$4:$G$2190)</f>
        <v>7900</v>
      </c>
      <c r="F328" s="36">
        <f t="shared" si="15"/>
        <v>0</v>
      </c>
      <c r="G328" s="176">
        <v>0.45833333300000001</v>
      </c>
      <c r="H328" s="182"/>
      <c r="I328" s="37">
        <f t="shared" si="16"/>
        <v>0.45833333300000001</v>
      </c>
      <c r="J328" s="38">
        <f t="shared" si="17"/>
        <v>0</v>
      </c>
      <c r="K328" s="315"/>
      <c r="L328" s="145"/>
    </row>
    <row r="329" spans="1:12" ht="20.100000000000001" customHeight="1" thickBot="1" x14ac:dyDescent="0.4">
      <c r="A329" s="144" t="str">
        <f>IF(B329=IFERROR(VLOOKUP(B329,entrant!$E$4:$J$188,1,FALSE),"THERE WAS AN ERROR"),"RAPPORT JOURNAL","")</f>
        <v/>
      </c>
      <c r="B329" s="147" t="s">
        <v>836</v>
      </c>
      <c r="C329" s="170" t="s">
        <v>835</v>
      </c>
      <c r="D329" s="35">
        <f>SUMIF(entrant!$E$4:$E$2059,'Inventaire des produits'!B329,entrant!$G$4:$G$2059)</f>
        <v>1600</v>
      </c>
      <c r="E329" s="35">
        <f>SUMIF(vente!$E$4:$E$2190,'Inventaire des produits'!B329,vente!$G$4:$G$2190)</f>
        <v>1600</v>
      </c>
      <c r="F329" s="36">
        <f t="shared" si="15"/>
        <v>0</v>
      </c>
      <c r="G329" s="176">
        <v>2.8330000000000002</v>
      </c>
      <c r="H329" s="182"/>
      <c r="I329" s="37">
        <f t="shared" si="16"/>
        <v>2.8330000000000002</v>
      </c>
      <c r="J329" s="38">
        <f t="shared" si="17"/>
        <v>0</v>
      </c>
      <c r="K329" s="315"/>
      <c r="L329" s="145"/>
    </row>
    <row r="330" spans="1:12" ht="20.100000000000001" customHeight="1" thickBot="1" x14ac:dyDescent="0.4">
      <c r="A330" s="144" t="str">
        <f>IF(B330=IFERROR(VLOOKUP(B330,entrant!$E$4:$J$188,1,FALSE),"THERE WAS AN ERROR"),"RAPPORT JOURNAL","")</f>
        <v/>
      </c>
      <c r="B330" s="147" t="s">
        <v>837</v>
      </c>
      <c r="C330" s="170" t="s">
        <v>207</v>
      </c>
      <c r="D330" s="35">
        <f>SUMIF(entrant!$E$4:$E$2059,'Inventaire des produits'!B330,entrant!$G$4:$G$2059)</f>
        <v>444</v>
      </c>
      <c r="E330" s="35">
        <f>SUMIF(vente!$E$4:$E$2190,'Inventaire des produits'!B330,vente!$G$4:$G$2190)</f>
        <v>437</v>
      </c>
      <c r="F330" s="36">
        <f t="shared" si="15"/>
        <v>7</v>
      </c>
      <c r="G330" s="176">
        <v>21.25</v>
      </c>
      <c r="H330" s="182"/>
      <c r="I330" s="37">
        <f t="shared" si="16"/>
        <v>21.25</v>
      </c>
      <c r="J330" s="38">
        <f t="shared" si="17"/>
        <v>148.75</v>
      </c>
      <c r="K330" s="315"/>
      <c r="L330" s="145"/>
    </row>
    <row r="331" spans="1:12" ht="20.100000000000001" customHeight="1" thickBot="1" x14ac:dyDescent="0.4">
      <c r="A331" s="144" t="str">
        <f>IF(B331=IFERROR(VLOOKUP(B331,entrant!$E$4:$J$188,1,FALSE),"THERE WAS AN ERROR"),"RAPPORT JOURNAL","")</f>
        <v/>
      </c>
      <c r="B331" s="147" t="s">
        <v>839</v>
      </c>
      <c r="C331" s="170" t="s">
        <v>838</v>
      </c>
      <c r="D331" s="35">
        <f>SUMIF(entrant!$E$4:$E$2059,'Inventaire des produits'!B331,entrant!$G$4:$G$2059)</f>
        <v>180</v>
      </c>
      <c r="E331" s="35">
        <f>SUMIF(vente!$E$4:$E$2190,'Inventaire des produits'!B331,vente!$G$4:$G$2190)</f>
        <v>180</v>
      </c>
      <c r="F331" s="36">
        <f t="shared" si="15"/>
        <v>0</v>
      </c>
      <c r="G331" s="176">
        <v>20</v>
      </c>
      <c r="H331" s="182"/>
      <c r="I331" s="37">
        <f t="shared" si="16"/>
        <v>20</v>
      </c>
      <c r="J331" s="38">
        <f t="shared" si="17"/>
        <v>0</v>
      </c>
      <c r="K331" s="315"/>
      <c r="L331" s="145"/>
    </row>
    <row r="332" spans="1:12" ht="20.100000000000001" customHeight="1" thickBot="1" x14ac:dyDescent="0.4">
      <c r="A332" s="144" t="str">
        <f>IF(B332=IFERROR(VLOOKUP(B332,entrant!$E$4:$J$188,1,FALSE),"THERE WAS AN ERROR"),"RAPPORT JOURNAL","")</f>
        <v/>
      </c>
      <c r="B332" s="147" t="s">
        <v>840</v>
      </c>
      <c r="C332" s="170" t="s">
        <v>841</v>
      </c>
      <c r="D332" s="35">
        <f>SUMIF(entrant!$E$4:$E$2059,'Inventaire des produits'!B332,entrant!$G$4:$G$2059)</f>
        <v>60</v>
      </c>
      <c r="E332" s="35">
        <f>SUMIF(vente!$E$4:$E$2190,'Inventaire des produits'!B332,vente!$G$4:$G$2190)</f>
        <v>60</v>
      </c>
      <c r="F332" s="36">
        <f t="shared" si="15"/>
        <v>0</v>
      </c>
      <c r="G332" s="176">
        <v>29.167000000000002</v>
      </c>
      <c r="H332" s="182"/>
      <c r="I332" s="37">
        <f t="shared" si="16"/>
        <v>29.167000000000002</v>
      </c>
      <c r="J332" s="38">
        <f t="shared" si="17"/>
        <v>0</v>
      </c>
      <c r="K332" s="315"/>
      <c r="L332" s="145"/>
    </row>
    <row r="333" spans="1:12" ht="20.100000000000001" customHeight="1" thickBot="1" x14ac:dyDescent="0.4">
      <c r="A333" s="144" t="str">
        <f>IF(B333=IFERROR(VLOOKUP(B333,entrant!$E$4:$J$188,1,FALSE),"THERE WAS AN ERROR"),"RAPPORT JOURNAL","")</f>
        <v/>
      </c>
      <c r="B333" s="147" t="s">
        <v>843</v>
      </c>
      <c r="C333" s="170" t="s">
        <v>287</v>
      </c>
      <c r="D333" s="35">
        <f>SUMIF(entrant!$E$4:$E$2059,'Inventaire des produits'!B333,entrant!$G$4:$G$2059)</f>
        <v>5000</v>
      </c>
      <c r="E333" s="35">
        <f>SUMIF(vente!$E$4:$E$2190,'Inventaire des produits'!B333,vente!$G$4:$G$2190)</f>
        <v>5000</v>
      </c>
      <c r="F333" s="36">
        <f t="shared" si="15"/>
        <v>0</v>
      </c>
      <c r="G333" s="176">
        <v>0.43333749999999999</v>
      </c>
      <c r="H333" s="182"/>
      <c r="I333" s="37">
        <f t="shared" si="16"/>
        <v>0.43333749999999999</v>
      </c>
      <c r="J333" s="38">
        <f t="shared" si="17"/>
        <v>0</v>
      </c>
      <c r="K333" s="315"/>
      <c r="L333" s="145"/>
    </row>
    <row r="334" spans="1:12" ht="20.100000000000001" customHeight="1" thickBot="1" x14ac:dyDescent="0.4">
      <c r="A334" s="144" t="str">
        <f>IF(B334=IFERROR(VLOOKUP(B334,entrant!$E$4:$J$188,1,FALSE),"THERE WAS AN ERROR"),"RAPPORT JOURNAL","")</f>
        <v/>
      </c>
      <c r="B334" s="147" t="s">
        <v>844</v>
      </c>
      <c r="C334" s="170" t="s">
        <v>123</v>
      </c>
      <c r="D334" s="35">
        <f>SUMIF(entrant!$E$4:$E$2059,'Inventaire des produits'!B334,entrant!$G$4:$G$2059)</f>
        <v>500</v>
      </c>
      <c r="E334" s="35">
        <f>SUMIF(vente!$E$4:$E$2190,'Inventaire des produits'!B334,vente!$G$4:$G$2190)</f>
        <v>0</v>
      </c>
      <c r="F334" s="36">
        <f t="shared" si="15"/>
        <v>500</v>
      </c>
      <c r="G334" s="176">
        <v>0.8</v>
      </c>
      <c r="H334" s="182"/>
      <c r="I334" s="37">
        <f t="shared" si="16"/>
        <v>0.8</v>
      </c>
      <c r="J334" s="38">
        <f t="shared" si="17"/>
        <v>400</v>
      </c>
      <c r="K334" s="315"/>
      <c r="L334" s="145"/>
    </row>
    <row r="335" spans="1:12" ht="20.100000000000001" customHeight="1" thickBot="1" x14ac:dyDescent="0.4">
      <c r="A335" s="144" t="str">
        <f>IF(B335=IFERROR(VLOOKUP(B335,entrant!$E$4:$J$188,1,FALSE),"THERE WAS AN ERROR"),"RAPPORT JOURNAL","")</f>
        <v/>
      </c>
      <c r="B335" s="147" t="s">
        <v>846</v>
      </c>
      <c r="C335" s="170" t="s">
        <v>307</v>
      </c>
      <c r="D335" s="35">
        <f>SUMIF(entrant!$E$4:$E$2059,'Inventaire des produits'!B335,entrant!$G$4:$G$2059)</f>
        <v>2400</v>
      </c>
      <c r="E335" s="35">
        <f>SUMIF(vente!$E$4:$E$2190,'Inventaire des produits'!B335,vente!$G$4:$G$2190)</f>
        <v>0</v>
      </c>
      <c r="F335" s="36">
        <f t="shared" si="15"/>
        <v>2400</v>
      </c>
      <c r="G335" s="176">
        <v>1.2266666665999999</v>
      </c>
      <c r="H335" s="182"/>
      <c r="I335" s="37">
        <f t="shared" si="16"/>
        <v>1.2266666665999999</v>
      </c>
      <c r="J335" s="38">
        <f t="shared" si="17"/>
        <v>2943.9999998399999</v>
      </c>
      <c r="K335" s="315"/>
      <c r="L335" s="145"/>
    </row>
    <row r="336" spans="1:12" ht="20.100000000000001" customHeight="1" thickBot="1" x14ac:dyDescent="0.4">
      <c r="A336" s="144" t="str">
        <f>IF(B336=IFERROR(VLOOKUP(B336,entrant!$E$4:$J$188,1,FALSE),"THERE WAS AN ERROR"),"RAPPORT JOURNAL","")</f>
        <v/>
      </c>
      <c r="B336" s="147" t="s">
        <v>848</v>
      </c>
      <c r="C336" s="170" t="s">
        <v>847</v>
      </c>
      <c r="D336" s="35">
        <f>SUMIF(entrant!$E$4:$E$2059,'Inventaire des produits'!B336,entrant!$G$4:$G$2059)</f>
        <v>186</v>
      </c>
      <c r="E336" s="35">
        <f>SUMIF(vente!$E$4:$E$2190,'Inventaire des produits'!B336,vente!$G$4:$G$2190)</f>
        <v>0</v>
      </c>
      <c r="F336" s="36">
        <f t="shared" si="15"/>
        <v>186</v>
      </c>
      <c r="G336" s="176">
        <v>2.9166666666999999</v>
      </c>
      <c r="H336" s="182"/>
      <c r="I336" s="37">
        <f t="shared" si="16"/>
        <v>2.9166666666999999</v>
      </c>
      <c r="J336" s="38">
        <f t="shared" si="17"/>
        <v>542.50000000620003</v>
      </c>
      <c r="K336" s="315"/>
      <c r="L336" s="145"/>
    </row>
    <row r="337" spans="1:12" ht="20.100000000000001" customHeight="1" thickBot="1" x14ac:dyDescent="0.4">
      <c r="A337" s="144" t="str">
        <f>IF(B337=IFERROR(VLOOKUP(B337,entrant!$E$4:$J$188,1,FALSE),"THERE WAS AN ERROR"),"RAPPORT JOURNAL","")</f>
        <v/>
      </c>
      <c r="B337" s="147" t="s">
        <v>849</v>
      </c>
      <c r="C337" s="170" t="s">
        <v>850</v>
      </c>
      <c r="D337" s="35">
        <f>SUMIF(entrant!$E$4:$E$2059,'Inventaire des produits'!B337,entrant!$G$4:$G$2059)</f>
        <v>10000</v>
      </c>
      <c r="E337" s="35">
        <f>SUMIF(vente!$E$4:$E$2190,'Inventaire des produits'!B337,vente!$G$4:$G$2190)</f>
        <v>0</v>
      </c>
      <c r="F337" s="36">
        <f t="shared" si="15"/>
        <v>10000</v>
      </c>
      <c r="G337" s="176">
        <v>0.79200000000000004</v>
      </c>
      <c r="H337" s="182"/>
      <c r="I337" s="37">
        <f t="shared" si="16"/>
        <v>0.79200000000000004</v>
      </c>
      <c r="J337" s="38">
        <f t="shared" si="17"/>
        <v>7920</v>
      </c>
      <c r="K337" s="315"/>
      <c r="L337" s="145"/>
    </row>
    <row r="338" spans="1:12" ht="20.100000000000001" customHeight="1" thickBot="1" x14ac:dyDescent="0.4">
      <c r="A338" s="144" t="str">
        <f>IF(B338=IFERROR(VLOOKUP(B338,entrant!$E$4:$J$188,1,FALSE),"THERE WAS AN ERROR"),"RAPPORT JOURNAL","")</f>
        <v/>
      </c>
      <c r="B338" s="147" t="s">
        <v>856</v>
      </c>
      <c r="C338" s="170" t="s">
        <v>853</v>
      </c>
      <c r="D338" s="35">
        <f>SUMIF(entrant!$E$4:$E$2059,'Inventaire des produits'!B338,entrant!$G$4:$G$2059)</f>
        <v>1000</v>
      </c>
      <c r="E338" s="35">
        <f>SUMIF(vente!$E$4:$E$2190,'Inventaire des produits'!B338,vente!$G$4:$G$2190)</f>
        <v>1000</v>
      </c>
      <c r="F338" s="36">
        <f t="shared" si="15"/>
        <v>0</v>
      </c>
      <c r="G338" s="176">
        <v>0.79166666669999997</v>
      </c>
      <c r="H338" s="182"/>
      <c r="I338" s="37">
        <f t="shared" si="16"/>
        <v>0.79166666669999997</v>
      </c>
      <c r="J338" s="38">
        <f t="shared" si="17"/>
        <v>0</v>
      </c>
      <c r="K338" s="315"/>
      <c r="L338" s="145"/>
    </row>
    <row r="339" spans="1:12" ht="20.100000000000001" customHeight="1" thickBot="1" x14ac:dyDescent="0.4">
      <c r="A339" s="144" t="str">
        <f>IF(B339=IFERROR(VLOOKUP(B339,entrant!$E$4:$J$188,1,FALSE),"THERE WAS AN ERROR"),"RAPPORT JOURNAL","")</f>
        <v/>
      </c>
      <c r="B339" s="147" t="s">
        <v>855</v>
      </c>
      <c r="C339" s="170" t="s">
        <v>854</v>
      </c>
      <c r="D339" s="35">
        <f>SUMIF(entrant!$E$4:$E$2059,'Inventaire des produits'!B339,entrant!$G$4:$G$2059)</f>
        <v>4000</v>
      </c>
      <c r="E339" s="35">
        <f>SUMIF(vente!$E$4:$E$2190,'Inventaire des produits'!B339,vente!$G$4:$G$2190)</f>
        <v>0</v>
      </c>
      <c r="F339" s="36">
        <f t="shared" si="15"/>
        <v>4000</v>
      </c>
      <c r="G339" s="176">
        <v>0.79166666669999997</v>
      </c>
      <c r="H339" s="182"/>
      <c r="I339" s="37">
        <f t="shared" si="16"/>
        <v>0.79166666669999997</v>
      </c>
      <c r="J339" s="38">
        <f t="shared" si="17"/>
        <v>3166.6666667999998</v>
      </c>
      <c r="K339" s="315"/>
      <c r="L339" s="145"/>
    </row>
    <row r="340" spans="1:12" ht="20.100000000000001" customHeight="1" thickBot="1" x14ac:dyDescent="0.4">
      <c r="A340" s="144" t="str">
        <f>IF(B340=IFERROR(VLOOKUP(B340,entrant!$E$4:$J$188,1,FALSE),"THERE WAS AN ERROR"),"RAPPORT JOURNAL","")</f>
        <v/>
      </c>
      <c r="B340" s="147" t="s">
        <v>859</v>
      </c>
      <c r="C340" s="170" t="s">
        <v>858</v>
      </c>
      <c r="D340" s="35">
        <f>SUMIF(entrant!$E$4:$E$2059,'Inventaire des produits'!B340,entrant!$G$4:$G$2059)</f>
        <v>1000</v>
      </c>
      <c r="E340" s="35">
        <f>SUMIF(vente!$E$4:$E$2190,'Inventaire des produits'!B340,vente!$G$4:$G$2190)</f>
        <v>1000</v>
      </c>
      <c r="F340" s="36">
        <f t="shared" si="15"/>
        <v>0</v>
      </c>
      <c r="G340" s="176">
        <v>0.15833333329999999</v>
      </c>
      <c r="H340" s="182"/>
      <c r="I340" s="37">
        <f t="shared" si="16"/>
        <v>0.15833333329999999</v>
      </c>
      <c r="J340" s="38">
        <f t="shared" si="17"/>
        <v>0</v>
      </c>
      <c r="K340" s="315"/>
      <c r="L340" s="145"/>
    </row>
    <row r="341" spans="1:12" ht="20.100000000000001" customHeight="1" thickBot="1" x14ac:dyDescent="0.4">
      <c r="A341" s="144" t="str">
        <f>IF(B341=IFERROR(VLOOKUP(B341,entrant!$E$4:$J$188,1,FALSE),"THERE WAS AN ERROR"),"RAPPORT JOURNAL","")</f>
        <v/>
      </c>
      <c r="B341" s="147" t="s">
        <v>862</v>
      </c>
      <c r="C341" s="170" t="s">
        <v>861</v>
      </c>
      <c r="D341" s="35">
        <f>SUMIF(entrant!$E$4:$E$2059,'Inventaire des produits'!B341,entrant!$G$4:$G$2059)</f>
        <v>600</v>
      </c>
      <c r="E341" s="35">
        <f>SUMIF(vente!$E$4:$E$2190,'Inventaire des produits'!B341,vente!$G$4:$G$2190)</f>
        <v>600</v>
      </c>
      <c r="F341" s="36">
        <f t="shared" si="15"/>
        <v>0</v>
      </c>
      <c r="G341" s="176">
        <v>1.5833333332999999</v>
      </c>
      <c r="H341" s="182"/>
      <c r="I341" s="37">
        <f t="shared" si="16"/>
        <v>1.5833333332999999</v>
      </c>
      <c r="J341" s="38">
        <f t="shared" si="17"/>
        <v>0</v>
      </c>
      <c r="K341" s="315"/>
      <c r="L341" s="145"/>
    </row>
    <row r="342" spans="1:12" ht="20.100000000000001" customHeight="1" thickBot="1" x14ac:dyDescent="0.4">
      <c r="A342" s="144" t="str">
        <f>IF(B342=IFERROR(VLOOKUP(B342,entrant!$E$4:$J$188,1,FALSE),"THERE WAS AN ERROR"),"RAPPORT JOURNAL","")</f>
        <v/>
      </c>
      <c r="B342" s="147" t="s">
        <v>869</v>
      </c>
      <c r="C342" s="170" t="s">
        <v>867</v>
      </c>
      <c r="D342" s="35">
        <f>SUMIF(entrant!$E$4:$E$2059,'Inventaire des produits'!B342,entrant!$G$4:$G$2059)</f>
        <v>2700</v>
      </c>
      <c r="E342" s="35">
        <f>SUMIF(vente!$E$4:$E$2190,'Inventaire des produits'!B342,vente!$G$4:$G$2190)</f>
        <v>1802</v>
      </c>
      <c r="F342" s="36">
        <f t="shared" si="15"/>
        <v>898</v>
      </c>
      <c r="G342" s="176">
        <v>3.9166666659999998</v>
      </c>
      <c r="H342" s="182"/>
      <c r="I342" s="37">
        <f t="shared" si="16"/>
        <v>3.9166666659999998</v>
      </c>
      <c r="J342" s="38">
        <f t="shared" si="17"/>
        <v>3517.1666660679998</v>
      </c>
      <c r="K342" s="315"/>
      <c r="L342" s="145"/>
    </row>
    <row r="343" spans="1:12" ht="20.100000000000001" customHeight="1" thickBot="1" x14ac:dyDescent="0.4">
      <c r="A343" s="144" t="str">
        <f>IF(B343=IFERROR(VLOOKUP(B343,entrant!$E$4:$J$188,1,FALSE),"THERE WAS AN ERROR"),"RAPPORT JOURNAL","")</f>
        <v/>
      </c>
      <c r="B343" s="147" t="s">
        <v>870</v>
      </c>
      <c r="C343" s="170" t="s">
        <v>868</v>
      </c>
      <c r="D343" s="35">
        <f>SUMIF(entrant!$E$4:$E$2059,'Inventaire des produits'!B343,entrant!$G$4:$G$2059)</f>
        <v>200</v>
      </c>
      <c r="E343" s="35">
        <f>SUMIF(vente!$E$4:$E$2190,'Inventaire des produits'!B343,vente!$G$4:$G$2190)</f>
        <v>185</v>
      </c>
      <c r="F343" s="36">
        <f t="shared" si="15"/>
        <v>15</v>
      </c>
      <c r="G343" s="176">
        <v>3.5833333330000001</v>
      </c>
      <c r="H343" s="182"/>
      <c r="I343" s="37">
        <f t="shared" si="16"/>
        <v>3.5833333330000001</v>
      </c>
      <c r="J343" s="38">
        <f t="shared" si="17"/>
        <v>53.749999995000003</v>
      </c>
      <c r="K343" s="315"/>
      <c r="L343" s="145"/>
    </row>
    <row r="344" spans="1:12" ht="20.100000000000001" customHeight="1" thickBot="1" x14ac:dyDescent="0.4">
      <c r="A344" s="144" t="str">
        <f>IF(B344=IFERROR(VLOOKUP(B344,entrant!$E$4:$J$188,1,FALSE),"THERE WAS AN ERROR"),"RAPPORT JOURNAL","")</f>
        <v/>
      </c>
      <c r="B344" s="147" t="s">
        <v>875</v>
      </c>
      <c r="C344" s="170" t="s">
        <v>67</v>
      </c>
      <c r="D344" s="35">
        <f>SUMIF(entrant!$E$4:$E$2059,'Inventaire des produits'!B344,entrant!$G$4:$G$2059)</f>
        <v>9000</v>
      </c>
      <c r="E344" s="35">
        <f>SUMIF(vente!$E$4:$E$2190,'Inventaire des produits'!B344,vente!$G$4:$G$2190)</f>
        <v>9000</v>
      </c>
      <c r="F344" s="36">
        <f t="shared" si="15"/>
        <v>0</v>
      </c>
      <c r="G344" s="176">
        <v>0.32</v>
      </c>
      <c r="H344" s="182"/>
      <c r="I344" s="37">
        <f t="shared" si="16"/>
        <v>0.32</v>
      </c>
      <c r="J344" s="38">
        <f t="shared" si="17"/>
        <v>0</v>
      </c>
      <c r="K344" s="315"/>
      <c r="L344" s="145"/>
    </row>
    <row r="345" spans="1:12" ht="20.100000000000001" customHeight="1" thickBot="1" x14ac:dyDescent="0.4">
      <c r="A345" s="144" t="str">
        <f>IF(B345=IFERROR(VLOOKUP(B345,entrant!$E$4:$J$188,1,FALSE),"THERE WAS AN ERROR"),"RAPPORT JOURNAL","")</f>
        <v/>
      </c>
      <c r="B345" s="147" t="s">
        <v>888</v>
      </c>
      <c r="C345" s="170" t="s">
        <v>890</v>
      </c>
      <c r="D345" s="35">
        <f>SUMIF(entrant!$E$4:$E$2059,'Inventaire des produits'!B345,entrant!$G$4:$G$2059)</f>
        <v>28</v>
      </c>
      <c r="E345" s="35">
        <f>SUMIF(vente!$E$4:$E$2190,'Inventaire des produits'!B345,vente!$G$4:$G$2190)</f>
        <v>28</v>
      </c>
      <c r="F345" s="36">
        <f t="shared" si="15"/>
        <v>0</v>
      </c>
      <c r="G345" s="176">
        <v>25</v>
      </c>
      <c r="H345" s="182"/>
      <c r="I345" s="37">
        <f t="shared" si="16"/>
        <v>25</v>
      </c>
      <c r="J345" s="38">
        <f t="shared" si="17"/>
        <v>0</v>
      </c>
      <c r="K345" s="315"/>
      <c r="L345" s="145"/>
    </row>
    <row r="346" spans="1:12" ht="20.100000000000001" customHeight="1" thickBot="1" x14ac:dyDescent="0.4">
      <c r="A346" s="144" t="str">
        <f>IF(B346=IFERROR(VLOOKUP(B346,entrant!$E$4:$J$188,1,FALSE),"THERE WAS AN ERROR"),"RAPPORT JOURNAL","")</f>
        <v/>
      </c>
      <c r="B346" s="147" t="s">
        <v>894</v>
      </c>
      <c r="C346" s="170" t="s">
        <v>21</v>
      </c>
      <c r="D346" s="35">
        <f>SUMIF(entrant!$E$4:$E$2059,'Inventaire des produits'!B346,entrant!$G$4:$G$2059)</f>
        <v>10000</v>
      </c>
      <c r="E346" s="35">
        <f>SUMIF(vente!$E$4:$E$2190,'Inventaire des produits'!B346,vente!$G$4:$G$2190)</f>
        <v>10000</v>
      </c>
      <c r="F346" s="36">
        <f t="shared" si="15"/>
        <v>0</v>
      </c>
      <c r="G346" s="176">
        <v>0.91666666669999997</v>
      </c>
      <c r="H346" s="182"/>
      <c r="I346" s="37">
        <f t="shared" si="16"/>
        <v>0.91666666669999997</v>
      </c>
      <c r="J346" s="38">
        <f t="shared" si="17"/>
        <v>0</v>
      </c>
      <c r="K346" s="315"/>
      <c r="L346" s="145"/>
    </row>
    <row r="347" spans="1:12" ht="20.100000000000001" customHeight="1" thickBot="1" x14ac:dyDescent="0.4">
      <c r="A347" s="144" t="str">
        <f>IF(B347=IFERROR(VLOOKUP(B347,entrant!$E$4:$J$188,1,FALSE),"THERE WAS AN ERROR"),"RAPPORT JOURNAL","")</f>
        <v/>
      </c>
      <c r="B347" s="147" t="s">
        <v>895</v>
      </c>
      <c r="C347" s="170" t="s">
        <v>35</v>
      </c>
      <c r="D347" s="35">
        <f>SUMIF(entrant!$E$4:$E$2059,'Inventaire des produits'!B347,entrant!$G$4:$G$2059)</f>
        <v>300</v>
      </c>
      <c r="E347" s="35">
        <f>SUMIF(vente!$E$4:$E$2190,'Inventaire des produits'!B347,vente!$G$4:$G$2190)</f>
        <v>300</v>
      </c>
      <c r="F347" s="36">
        <f t="shared" si="15"/>
        <v>0</v>
      </c>
      <c r="G347" s="176">
        <v>57.5</v>
      </c>
      <c r="H347" s="182"/>
      <c r="I347" s="37">
        <f t="shared" si="16"/>
        <v>57.5</v>
      </c>
      <c r="J347" s="38">
        <f t="shared" si="17"/>
        <v>0</v>
      </c>
      <c r="K347" s="315"/>
      <c r="L347" s="145"/>
    </row>
    <row r="348" spans="1:12" ht="20.100000000000001" customHeight="1" thickBot="1" x14ac:dyDescent="0.4">
      <c r="A348" s="144" t="str">
        <f>IF(B348=IFERROR(VLOOKUP(B348,entrant!$E$4:$J$188,1,FALSE),"THERE WAS AN ERROR"),"RAPPORT JOURNAL","")</f>
        <v/>
      </c>
      <c r="B348" s="147" t="s">
        <v>905</v>
      </c>
      <c r="C348" s="170" t="s">
        <v>287</v>
      </c>
      <c r="D348" s="35">
        <f>SUMIF(entrant!$E$4:$E$2059,'Inventaire des produits'!B348,entrant!$G$4:$G$2059)</f>
        <v>3000</v>
      </c>
      <c r="E348" s="35">
        <f>SUMIF(vente!$E$4:$E$2190,'Inventaire des produits'!B348,vente!$G$4:$G$2190)</f>
        <v>3000</v>
      </c>
      <c r="F348" s="36">
        <f t="shared" si="15"/>
        <v>0</v>
      </c>
      <c r="G348" s="176">
        <v>0.58889166670000004</v>
      </c>
      <c r="H348" s="182">
        <v>0.25</v>
      </c>
      <c r="I348" s="37">
        <f t="shared" si="16"/>
        <v>0.44166875002500006</v>
      </c>
      <c r="J348" s="38">
        <f t="shared" si="17"/>
        <v>0</v>
      </c>
      <c r="K348" s="315"/>
      <c r="L348" s="145"/>
    </row>
    <row r="349" spans="1:12" ht="20.100000000000001" customHeight="1" thickBot="1" x14ac:dyDescent="0.4">
      <c r="A349" s="144" t="str">
        <f>IF(B349=IFERROR(VLOOKUP(B349,entrant!$E$4:$J$188,1,FALSE),"THERE WAS AN ERROR"),"RAPPORT JOURNAL","")</f>
        <v/>
      </c>
      <c r="B349" s="147" t="s">
        <v>907</v>
      </c>
      <c r="C349" s="170" t="s">
        <v>906</v>
      </c>
      <c r="D349" s="35">
        <f>SUMIF(entrant!$E$4:$E$2059,'Inventaire des produits'!B349,entrant!$G$4:$G$2059)</f>
        <v>12000</v>
      </c>
      <c r="E349" s="35">
        <f>SUMIF(vente!$E$4:$E$2190,'Inventaire des produits'!B349,vente!$G$4:$G$2190)</f>
        <v>10000</v>
      </c>
      <c r="F349" s="36">
        <f t="shared" si="15"/>
        <v>2000</v>
      </c>
      <c r="G349" s="177">
        <v>0.1116666667</v>
      </c>
      <c r="H349" s="182">
        <v>0.25</v>
      </c>
      <c r="I349" s="37">
        <f t="shared" si="16"/>
        <v>8.3750000024999993E-2</v>
      </c>
      <c r="J349" s="38">
        <f t="shared" si="17"/>
        <v>167.50000004999998</v>
      </c>
      <c r="K349" s="315"/>
      <c r="L349" s="145"/>
    </row>
    <row r="350" spans="1:12" ht="20.100000000000001" customHeight="1" thickBot="1" x14ac:dyDescent="0.4">
      <c r="A350" s="144" t="str">
        <f>IF(B350=IFERROR(VLOOKUP(B350,entrant!$E$4:$J$188,1,FALSE),"THERE WAS AN ERROR"),"RAPPORT JOURNAL","")</f>
        <v/>
      </c>
      <c r="B350" s="147" t="s">
        <v>909</v>
      </c>
      <c r="C350" s="170" t="s">
        <v>908</v>
      </c>
      <c r="D350" s="35">
        <f>SUMIF(entrant!$E$4:$E$2059,'Inventaire des produits'!B350,entrant!$G$4:$G$2059)</f>
        <v>12000</v>
      </c>
      <c r="E350" s="35">
        <f>SUMIF(vente!$E$4:$E$2190,'Inventaire des produits'!B350,vente!$G$4:$G$2190)</f>
        <v>10000</v>
      </c>
      <c r="F350" s="36">
        <f t="shared" si="15"/>
        <v>2000</v>
      </c>
      <c r="G350" s="176">
        <v>0.1</v>
      </c>
      <c r="H350" s="182">
        <v>0.25</v>
      </c>
      <c r="I350" s="37">
        <f t="shared" si="16"/>
        <v>7.5000000000000011E-2</v>
      </c>
      <c r="J350" s="38">
        <f t="shared" si="17"/>
        <v>150.00000000000003</v>
      </c>
      <c r="K350" s="315"/>
      <c r="L350" s="145"/>
    </row>
    <row r="351" spans="1:12" ht="20.100000000000001" customHeight="1" thickBot="1" x14ac:dyDescent="0.4">
      <c r="A351" s="144" t="str">
        <f>IF(B351=IFERROR(VLOOKUP(B351,entrant!$E$4:$J$188,1,FALSE),"THERE WAS AN ERROR"),"RAPPORT JOURNAL","")</f>
        <v/>
      </c>
      <c r="B351" s="147" t="s">
        <v>910</v>
      </c>
      <c r="C351" s="170" t="s">
        <v>123</v>
      </c>
      <c r="D351" s="35">
        <f>SUMIF(entrant!$E$4:$E$2059,'Inventaire des produits'!B351,entrant!$G$4:$G$2059)</f>
        <v>500</v>
      </c>
      <c r="E351" s="35">
        <f>SUMIF(vente!$E$4:$E$2190,'Inventaire des produits'!B351,vente!$G$4:$G$2190)</f>
        <v>0</v>
      </c>
      <c r="F351" s="36">
        <f t="shared" si="15"/>
        <v>500</v>
      </c>
      <c r="G351" s="176">
        <v>1.1778333333</v>
      </c>
      <c r="H351" s="182">
        <v>0.25</v>
      </c>
      <c r="I351" s="37">
        <f t="shared" si="16"/>
        <v>0.88337499997500002</v>
      </c>
      <c r="J351" s="38">
        <f t="shared" si="17"/>
        <v>441.68749998750002</v>
      </c>
      <c r="K351" s="315"/>
      <c r="L351" s="145"/>
    </row>
    <row r="352" spans="1:12" ht="20.100000000000001" customHeight="1" thickBot="1" x14ac:dyDescent="0.4">
      <c r="A352" s="144" t="str">
        <f>IF(B352=IFERROR(VLOOKUP(B352,entrant!$E$4:$J$188,1,FALSE),"THERE WAS AN ERROR"),"RAPPORT JOURNAL","")</f>
        <v/>
      </c>
      <c r="B352" s="147" t="s">
        <v>1390</v>
      </c>
      <c r="C352" s="170" t="s">
        <v>23</v>
      </c>
      <c r="D352" s="35">
        <f>SUMIF(entrant!$E$4:$E$2059,'Inventaire des produits'!B352,entrant!$G$4:$G$2059)</f>
        <v>156</v>
      </c>
      <c r="E352" s="35">
        <f>SUMIF(vente!$E$4:$E$2190,'Inventaire des produits'!B352,vente!$G$4:$G$2190)</f>
        <v>153</v>
      </c>
      <c r="F352" s="36">
        <f t="shared" si="15"/>
        <v>3</v>
      </c>
      <c r="G352" s="176">
        <v>43.804166666666667</v>
      </c>
      <c r="H352" s="182"/>
      <c r="I352" s="37">
        <f t="shared" si="16"/>
        <v>43.804166666666667</v>
      </c>
      <c r="J352" s="38">
        <f t="shared" si="17"/>
        <v>131.41249999999999</v>
      </c>
      <c r="K352" s="315"/>
      <c r="L352" s="145"/>
    </row>
    <row r="353" spans="1:12" ht="20.100000000000001" customHeight="1" thickBot="1" x14ac:dyDescent="0.4">
      <c r="A353" s="144" t="str">
        <f>IF(B353=IFERROR(VLOOKUP(B353,entrant!$E$4:$J$188,1,FALSE),"THERE WAS AN ERROR"),"RAPPORT JOURNAL","")</f>
        <v/>
      </c>
      <c r="B353" s="147" t="s">
        <v>911</v>
      </c>
      <c r="C353" s="170" t="s">
        <v>50</v>
      </c>
      <c r="D353" s="35">
        <f>SUMIF(entrant!$E$4:$E$2059,'Inventaire des produits'!B353,entrant!$G$4:$G$2059)</f>
        <v>2000</v>
      </c>
      <c r="E353" s="35">
        <f>SUMIF(vente!$E$4:$E$2190,'Inventaire des produits'!B353,vente!$G$4:$G$2190)</f>
        <v>2000</v>
      </c>
      <c r="F353" s="36">
        <f t="shared" si="15"/>
        <v>0</v>
      </c>
      <c r="G353" s="176">
        <v>0.97499800000000003</v>
      </c>
      <c r="H353" s="182"/>
      <c r="I353" s="37">
        <f t="shared" si="16"/>
        <v>0.97499800000000003</v>
      </c>
      <c r="J353" s="38">
        <f t="shared" si="17"/>
        <v>0</v>
      </c>
      <c r="K353" s="315"/>
      <c r="L353" s="145"/>
    </row>
    <row r="354" spans="1:12" ht="20.100000000000001" customHeight="1" thickBot="1" x14ac:dyDescent="0.4">
      <c r="A354" s="144" t="str">
        <f>IF(B354=IFERROR(VLOOKUP(B354,entrant!$E$4:$J$188,1,FALSE),"THERE WAS AN ERROR"),"RAPPORT JOURNAL","")</f>
        <v/>
      </c>
      <c r="B354" s="147" t="s">
        <v>1394</v>
      </c>
      <c r="C354" s="170" t="s">
        <v>1393</v>
      </c>
      <c r="D354" s="35">
        <f>SUMIF(entrant!$E$4:$E$2059,'Inventaire des produits'!B354,entrant!$G$4:$G$2059)</f>
        <v>10000</v>
      </c>
      <c r="E354" s="35">
        <f>SUMIF(vente!$E$4:$E$2190,'Inventaire des produits'!B354,vente!$G$4:$G$2190)</f>
        <v>7750</v>
      </c>
      <c r="F354" s="36">
        <f t="shared" si="15"/>
        <v>2250</v>
      </c>
      <c r="G354" s="176">
        <v>0.75</v>
      </c>
      <c r="H354" s="182"/>
      <c r="I354" s="37">
        <f t="shared" si="16"/>
        <v>0.75</v>
      </c>
      <c r="J354" s="38">
        <f t="shared" si="17"/>
        <v>1687.5</v>
      </c>
      <c r="K354" s="315"/>
      <c r="L354" s="145"/>
    </row>
    <row r="355" spans="1:12" ht="20.100000000000001" customHeight="1" thickBot="1" x14ac:dyDescent="0.4">
      <c r="A355" s="144" t="str">
        <f>IF(B355=IFERROR(VLOOKUP(B355,entrant!$E$4:$J$188,1,FALSE),"THERE WAS AN ERROR"),"RAPPORT JOURNAL","")</f>
        <v/>
      </c>
      <c r="B355" s="147" t="s">
        <v>918</v>
      </c>
      <c r="C355" s="170" t="s">
        <v>363</v>
      </c>
      <c r="D355" s="35">
        <f>SUMIF(entrant!$E$4:$E$2059,'Inventaire des produits'!B355,entrant!$G$4:$G$2059)</f>
        <v>333.33</v>
      </c>
      <c r="E355" s="35">
        <f>SUMIF(vente!$E$4:$E$2190,'Inventaire des produits'!B355,vente!$G$4:$G$2190)</f>
        <v>209</v>
      </c>
      <c r="F355" s="36">
        <f t="shared" si="15"/>
        <v>124.32999999999998</v>
      </c>
      <c r="G355" s="176">
        <v>25</v>
      </c>
      <c r="H355" s="182"/>
      <c r="I355" s="37">
        <f t="shared" si="16"/>
        <v>25</v>
      </c>
      <c r="J355" s="38">
        <f t="shared" si="17"/>
        <v>3108.2499999999995</v>
      </c>
      <c r="K355" s="315"/>
      <c r="L355" s="145"/>
    </row>
    <row r="356" spans="1:12" ht="20.100000000000001" customHeight="1" thickBot="1" x14ac:dyDescent="0.4">
      <c r="A356" s="144" t="str">
        <f>IF(B356=IFERROR(VLOOKUP(B356,entrant!$E$4:$J$188,1,FALSE),"THERE WAS AN ERROR"),"RAPPORT JOURNAL","")</f>
        <v/>
      </c>
      <c r="B356" s="147" t="s">
        <v>922</v>
      </c>
      <c r="C356" s="170" t="s">
        <v>920</v>
      </c>
      <c r="D356" s="35">
        <f>SUMIF(entrant!$E$4:$E$2059,'Inventaire des produits'!B356,entrant!$G$4:$G$2059)</f>
        <v>89000</v>
      </c>
      <c r="E356" s="35">
        <f>SUMIF(vente!$E$4:$E$2190,'Inventaire des produits'!B356,vente!$G$4:$G$2190)</f>
        <v>89000</v>
      </c>
      <c r="F356" s="36">
        <f t="shared" si="15"/>
        <v>0</v>
      </c>
      <c r="G356" s="176">
        <v>0.1014</v>
      </c>
      <c r="H356" s="182"/>
      <c r="I356" s="37">
        <f t="shared" si="16"/>
        <v>0.1014</v>
      </c>
      <c r="J356" s="38">
        <f t="shared" si="17"/>
        <v>0</v>
      </c>
      <c r="K356" s="315"/>
      <c r="L356" s="145"/>
    </row>
    <row r="357" spans="1:12" ht="20.100000000000001" customHeight="1" thickBot="1" x14ac:dyDescent="0.4">
      <c r="A357" s="144" t="str">
        <f>IF(B357=IFERROR(VLOOKUP(B357,entrant!$E$4:$J$188,1,FALSE),"THERE WAS AN ERROR"),"RAPPORT JOURNAL","")</f>
        <v/>
      </c>
      <c r="B357" s="147" t="s">
        <v>923</v>
      </c>
      <c r="C357" s="170" t="s">
        <v>921</v>
      </c>
      <c r="D357" s="35">
        <f>SUMIF(entrant!$E$4:$E$2059,'Inventaire des produits'!B357,entrant!$G$4:$G$2059)</f>
        <v>89000</v>
      </c>
      <c r="E357" s="35">
        <f>SUMIF(vente!$E$4:$E$2190,'Inventaire des produits'!B357,vente!$G$4:$G$2190)</f>
        <v>89000</v>
      </c>
      <c r="F357" s="36">
        <f t="shared" si="15"/>
        <v>0</v>
      </c>
      <c r="G357" s="176">
        <v>4.6600000000000003E-2</v>
      </c>
      <c r="H357" s="182"/>
      <c r="I357" s="37">
        <f t="shared" si="16"/>
        <v>4.6600000000000003E-2</v>
      </c>
      <c r="J357" s="38">
        <f t="shared" si="17"/>
        <v>0</v>
      </c>
      <c r="K357" s="315"/>
      <c r="L357" s="145"/>
    </row>
    <row r="358" spans="1:12" ht="20.100000000000001" customHeight="1" thickBot="1" x14ac:dyDescent="0.4">
      <c r="A358" s="144" t="str">
        <f>IF(B358=IFERROR(VLOOKUP(B358,entrant!$E$4:$J$188,1,FALSE),"THERE WAS AN ERROR"),"RAPPORT JOURNAL","")</f>
        <v/>
      </c>
      <c r="B358" s="147" t="s">
        <v>927</v>
      </c>
      <c r="C358" s="170" t="s">
        <v>926</v>
      </c>
      <c r="D358" s="35">
        <f>SUMIF(entrant!$E$4:$E$2059,'Inventaire des produits'!B358,entrant!$G$4:$G$2059)</f>
        <v>5000</v>
      </c>
      <c r="E358" s="35">
        <f>SUMIF(vente!$E$4:$E$2190,'Inventaire des produits'!B358,vente!$G$4:$G$2190)</f>
        <v>5000</v>
      </c>
      <c r="F358" s="36">
        <f t="shared" si="15"/>
        <v>0</v>
      </c>
      <c r="G358" s="176">
        <v>0.5</v>
      </c>
      <c r="H358" s="182"/>
      <c r="I358" s="37">
        <f t="shared" si="16"/>
        <v>0.5</v>
      </c>
      <c r="J358" s="38">
        <f t="shared" si="17"/>
        <v>0</v>
      </c>
      <c r="K358" s="315"/>
      <c r="L358" s="145"/>
    </row>
    <row r="359" spans="1:12" ht="20.100000000000001" customHeight="1" thickBot="1" x14ac:dyDescent="0.4">
      <c r="A359" s="144" t="str">
        <f>IF(B359=IFERROR(VLOOKUP(B359,entrant!$E$4:$J$188,1,FALSE),"THERE WAS AN ERROR"),"RAPPORT JOURNAL","")</f>
        <v/>
      </c>
      <c r="B359" s="147" t="s">
        <v>929</v>
      </c>
      <c r="C359" s="170" t="s">
        <v>835</v>
      </c>
      <c r="D359" s="35">
        <f>SUMIF(entrant!$E$4:$E$2059,'Inventaire des produits'!B359,entrant!$G$4:$G$2059)</f>
        <v>8400</v>
      </c>
      <c r="E359" s="35">
        <f>SUMIF(vente!$E$4:$E$2190,'Inventaire des produits'!B359,vente!$G$4:$G$2190)</f>
        <v>8400</v>
      </c>
      <c r="F359" s="36">
        <f t="shared" si="15"/>
        <v>0</v>
      </c>
      <c r="G359" s="176">
        <v>2.9169999999999998</v>
      </c>
      <c r="H359" s="182"/>
      <c r="I359" s="37">
        <f t="shared" si="16"/>
        <v>2.9169999999999998</v>
      </c>
      <c r="J359" s="38">
        <f t="shared" si="17"/>
        <v>0</v>
      </c>
      <c r="K359" s="315"/>
      <c r="L359" s="145"/>
    </row>
    <row r="360" spans="1:12" ht="20.100000000000001" customHeight="1" thickBot="1" x14ac:dyDescent="0.4">
      <c r="A360" s="144" t="str">
        <f>IF(B360=IFERROR(VLOOKUP(B360,entrant!$E$4:$J$188,1,FALSE),"THERE WAS AN ERROR"),"RAPPORT JOURNAL","")</f>
        <v/>
      </c>
      <c r="B360" s="147" t="s">
        <v>944</v>
      </c>
      <c r="C360" s="170" t="s">
        <v>943</v>
      </c>
      <c r="D360" s="35">
        <f>SUMIF(entrant!$E$4:$E$2059,'Inventaire des produits'!B360,entrant!$G$4:$G$2059)</f>
        <v>100</v>
      </c>
      <c r="E360" s="35">
        <f>SUMIF(vente!$E$4:$E$2190,'Inventaire des produits'!B360,vente!$G$4:$G$2190)</f>
        <v>100</v>
      </c>
      <c r="F360" s="36">
        <f t="shared" si="15"/>
        <v>0</v>
      </c>
      <c r="G360" s="176">
        <v>2.9</v>
      </c>
      <c r="H360" s="182"/>
      <c r="I360" s="37">
        <f t="shared" si="16"/>
        <v>2.9</v>
      </c>
      <c r="J360" s="38">
        <f t="shared" si="17"/>
        <v>0</v>
      </c>
      <c r="K360" s="315"/>
      <c r="L360" s="145"/>
    </row>
    <row r="361" spans="1:12" ht="20.100000000000001" customHeight="1" thickBot="1" x14ac:dyDescent="0.4">
      <c r="A361" s="144" t="str">
        <f>IF(B361=IFERROR(VLOOKUP(B361,entrant!$E$4:$J$188,1,FALSE),"THERE WAS AN ERROR"),"RAPPORT JOURNAL","")</f>
        <v/>
      </c>
      <c r="B361" s="147" t="s">
        <v>946</v>
      </c>
      <c r="C361" s="170" t="s">
        <v>945</v>
      </c>
      <c r="D361" s="35">
        <f>SUMIF(entrant!$E$4:$E$2059,'Inventaire des produits'!B361,entrant!$G$4:$G$2059)</f>
        <v>100</v>
      </c>
      <c r="E361" s="35">
        <f>SUMIF(vente!$E$4:$E$2190,'Inventaire des produits'!B361,vente!$G$4:$G$2190)</f>
        <v>0</v>
      </c>
      <c r="F361" s="36">
        <f t="shared" si="15"/>
        <v>100</v>
      </c>
      <c r="G361" s="176">
        <v>1.2</v>
      </c>
      <c r="H361" s="182"/>
      <c r="I361" s="37">
        <f t="shared" si="16"/>
        <v>1.2</v>
      </c>
      <c r="J361" s="38">
        <f t="shared" si="17"/>
        <v>120</v>
      </c>
      <c r="K361" s="315"/>
      <c r="L361" s="145"/>
    </row>
    <row r="362" spans="1:12" ht="20.100000000000001" customHeight="1" thickBot="1" x14ac:dyDescent="0.4">
      <c r="A362" s="144" t="str">
        <f>IF(B362=IFERROR(VLOOKUP(B362,entrant!$E$4:$J$188,1,FALSE),"THERE WAS AN ERROR"),"RAPPORT JOURNAL","")</f>
        <v/>
      </c>
      <c r="B362" s="147" t="s">
        <v>948</v>
      </c>
      <c r="C362" s="170" t="s">
        <v>947</v>
      </c>
      <c r="D362" s="35">
        <f>SUMIF(entrant!$E$4:$E$2059,'Inventaire des produits'!B362,entrant!$G$4:$G$2059)</f>
        <v>100</v>
      </c>
      <c r="E362" s="35">
        <f>SUMIF(vente!$E$4:$E$2190,'Inventaire des produits'!B362,vente!$G$4:$G$2190)</f>
        <v>0</v>
      </c>
      <c r="F362" s="36">
        <f t="shared" si="15"/>
        <v>100</v>
      </c>
      <c r="G362" s="176">
        <v>1.6</v>
      </c>
      <c r="H362" s="182"/>
      <c r="I362" s="37">
        <f t="shared" si="16"/>
        <v>1.6</v>
      </c>
      <c r="J362" s="38">
        <f t="shared" si="17"/>
        <v>160</v>
      </c>
      <c r="K362" s="315"/>
      <c r="L362" s="145"/>
    </row>
    <row r="363" spans="1:12" ht="20.100000000000001" customHeight="1" thickBot="1" x14ac:dyDescent="0.4">
      <c r="A363" s="144" t="str">
        <f>IF(B363=IFERROR(VLOOKUP(B363,entrant!$E$4:$J$188,1,FALSE),"THERE WAS AN ERROR"),"RAPPORT JOURNAL","")</f>
        <v/>
      </c>
      <c r="B363" s="147" t="s">
        <v>950</v>
      </c>
      <c r="C363" s="170" t="s">
        <v>639</v>
      </c>
      <c r="D363" s="35">
        <f>SUMIF(entrant!$E$4:$E$2059,'Inventaire des produits'!B363,entrant!$G$4:$G$2059)</f>
        <v>4000</v>
      </c>
      <c r="E363" s="35">
        <f>SUMIF(vente!$E$4:$E$2190,'Inventaire des produits'!B363,vente!$G$4:$G$2190)</f>
        <v>1750</v>
      </c>
      <c r="F363" s="36">
        <f t="shared" si="15"/>
        <v>2250</v>
      </c>
      <c r="G363" s="176">
        <v>1.0166666666666666</v>
      </c>
      <c r="H363" s="182"/>
      <c r="I363" s="37">
        <f t="shared" si="16"/>
        <v>1.0166666666666666</v>
      </c>
      <c r="J363" s="38">
        <f t="shared" si="17"/>
        <v>2287.5</v>
      </c>
      <c r="K363" s="315"/>
      <c r="L363" s="145"/>
    </row>
    <row r="364" spans="1:12" ht="20.100000000000001" customHeight="1" thickBot="1" x14ac:dyDescent="0.4">
      <c r="A364" s="144" t="str">
        <f>IF(B364=IFERROR(VLOOKUP(B364,entrant!$E$4:$J$188,1,FALSE),"THERE WAS AN ERROR"),"RAPPORT JOURNAL","")</f>
        <v/>
      </c>
      <c r="B364" s="147" t="s">
        <v>953</v>
      </c>
      <c r="C364" s="170" t="s">
        <v>517</v>
      </c>
      <c r="D364" s="35">
        <f>SUMIF(entrant!$E$4:$E$2059,'Inventaire des produits'!B364,entrant!$G$4:$G$2059)</f>
        <v>600</v>
      </c>
      <c r="E364" s="35">
        <f>SUMIF(vente!$E$4:$E$2190,'Inventaire des produits'!B364,vente!$G$4:$G$2190)</f>
        <v>600</v>
      </c>
      <c r="F364" s="36">
        <f t="shared" si="15"/>
        <v>0</v>
      </c>
      <c r="G364" s="176">
        <v>1.6666666666666701</v>
      </c>
      <c r="H364" s="182">
        <v>0.05</v>
      </c>
      <c r="I364" s="37">
        <f t="shared" si="16"/>
        <v>1.5833333333333366</v>
      </c>
      <c r="J364" s="38">
        <f t="shared" si="17"/>
        <v>0</v>
      </c>
      <c r="K364" s="315"/>
      <c r="L364" s="145"/>
    </row>
    <row r="365" spans="1:12" ht="20.100000000000001" customHeight="1" thickBot="1" x14ac:dyDescent="0.4">
      <c r="A365" s="144" t="str">
        <f>IF(B365=IFERROR(VLOOKUP(B365,entrant!$E$4:$J$188,1,FALSE),"THERE WAS AN ERROR"),"RAPPORT JOURNAL","")</f>
        <v/>
      </c>
      <c r="B365" s="147" t="s">
        <v>955</v>
      </c>
      <c r="C365" s="170" t="s">
        <v>954</v>
      </c>
      <c r="D365" s="35">
        <f>SUMIF(entrant!$E$4:$E$2059,'Inventaire des produits'!B365,entrant!$G$4:$G$2059)</f>
        <v>1500</v>
      </c>
      <c r="E365" s="35">
        <f>SUMIF(vente!$E$4:$E$2190,'Inventaire des produits'!B365,vente!$G$4:$G$2190)</f>
        <v>1500</v>
      </c>
      <c r="F365" s="36">
        <f t="shared" si="15"/>
        <v>0</v>
      </c>
      <c r="G365" s="176">
        <v>1.125</v>
      </c>
      <c r="H365" s="182">
        <v>7.0000000000000007E-2</v>
      </c>
      <c r="I365" s="37">
        <f t="shared" si="16"/>
        <v>1.0462499999999999</v>
      </c>
      <c r="J365" s="38">
        <f t="shared" si="17"/>
        <v>0</v>
      </c>
      <c r="K365" s="315"/>
      <c r="L365" s="145"/>
    </row>
    <row r="366" spans="1:12" ht="20.100000000000001" customHeight="1" thickBot="1" x14ac:dyDescent="0.4">
      <c r="A366" s="144" t="str">
        <f>IF(B366=IFERROR(VLOOKUP(B366,entrant!$E$4:$J$188,1,FALSE),"THERE WAS AN ERROR"),"RAPPORT JOURNAL","")</f>
        <v/>
      </c>
      <c r="B366" s="147" t="s">
        <v>957</v>
      </c>
      <c r="C366" s="170" t="s">
        <v>1626</v>
      </c>
      <c r="D366" s="35">
        <f>SUMIF(entrant!$E$4:$E$2059,'Inventaire des produits'!B366,entrant!$G$4:$G$2059)</f>
        <v>6000</v>
      </c>
      <c r="E366" s="35">
        <f>SUMIF(vente!$E$4:$E$2190,'Inventaire des produits'!B366,vente!$G$4:$G$2190)</f>
        <v>0</v>
      </c>
      <c r="F366" s="36">
        <f t="shared" si="15"/>
        <v>6000</v>
      </c>
      <c r="G366" s="176">
        <v>0.266666666666667</v>
      </c>
      <c r="H366" s="182">
        <v>6.3E-2</v>
      </c>
      <c r="I366" s="37">
        <f t="shared" si="16"/>
        <v>0.24986666666666699</v>
      </c>
      <c r="J366" s="38">
        <f t="shared" si="17"/>
        <v>1499.2000000000019</v>
      </c>
      <c r="K366" s="315"/>
      <c r="L366" s="145"/>
    </row>
    <row r="367" spans="1:12" ht="20.100000000000001" customHeight="1" thickBot="1" x14ac:dyDescent="0.4">
      <c r="A367" s="144" t="str">
        <f>IF(B367=IFERROR(VLOOKUP(B367,entrant!$E$4:$J$188,1,FALSE),"THERE WAS AN ERROR"),"RAPPORT JOURNAL","")</f>
        <v/>
      </c>
      <c r="B367" s="147" t="s">
        <v>958</v>
      </c>
      <c r="C367" s="170" t="s">
        <v>850</v>
      </c>
      <c r="D367" s="35">
        <f>SUMIF(entrant!$E$4:$E$2059,'Inventaire des produits'!B367,entrant!$G$4:$G$2059)</f>
        <v>1000</v>
      </c>
      <c r="E367" s="35">
        <f>SUMIF(vente!$E$4:$E$2190,'Inventaire des produits'!B367,vente!$G$4:$G$2190)</f>
        <v>0</v>
      </c>
      <c r="F367" s="36">
        <f t="shared" si="15"/>
        <v>1000</v>
      </c>
      <c r="G367" s="176">
        <v>0.91666666666666674</v>
      </c>
      <c r="H367" s="182">
        <v>0.05</v>
      </c>
      <c r="I367" s="37">
        <f t="shared" si="16"/>
        <v>0.87083333333333335</v>
      </c>
      <c r="J367" s="38">
        <f t="shared" si="17"/>
        <v>870.83333333333337</v>
      </c>
      <c r="K367" s="315"/>
      <c r="L367" s="145"/>
    </row>
    <row r="368" spans="1:12" ht="20.100000000000001" customHeight="1" thickBot="1" x14ac:dyDescent="0.4">
      <c r="A368" s="144" t="str">
        <f>IF(B368=IFERROR(VLOOKUP(B368,entrant!$E$4:$J$188,1,FALSE),"THERE WAS AN ERROR"),"RAPPORT JOURNAL","")</f>
        <v/>
      </c>
      <c r="B368" s="147" t="s">
        <v>960</v>
      </c>
      <c r="C368" s="170" t="s">
        <v>657</v>
      </c>
      <c r="D368" s="35">
        <f>SUMIF(entrant!$E$4:$E$2059,'Inventaire des produits'!B368,entrant!$G$4:$G$2059)</f>
        <v>600</v>
      </c>
      <c r="E368" s="35">
        <f>SUMIF(vente!$E$4:$E$2190,'Inventaire des produits'!B368,vente!$G$4:$G$2190)</f>
        <v>600</v>
      </c>
      <c r="F368" s="36">
        <f t="shared" si="15"/>
        <v>0</v>
      </c>
      <c r="G368" s="176">
        <v>0.66666666666666696</v>
      </c>
      <c r="H368" s="182"/>
      <c r="I368" s="37">
        <f t="shared" si="16"/>
        <v>0.66666666666666696</v>
      </c>
      <c r="J368" s="38">
        <f t="shared" si="17"/>
        <v>0</v>
      </c>
      <c r="K368" s="315"/>
      <c r="L368" s="145"/>
    </row>
    <row r="369" spans="1:12" ht="20.100000000000001" customHeight="1" thickBot="1" x14ac:dyDescent="0.4">
      <c r="A369" s="144" t="str">
        <f>IF(B369=IFERROR(VLOOKUP(B369,entrant!$E$4:$J$188,1,FALSE),"THERE WAS AN ERROR"),"RAPPORT JOURNAL","")</f>
        <v/>
      </c>
      <c r="B369" s="147" t="s">
        <v>962</v>
      </c>
      <c r="C369" s="170" t="s">
        <v>961</v>
      </c>
      <c r="D369" s="35">
        <f>SUMIF(entrant!$E$4:$E$2059,'Inventaire des produits'!B369,entrant!$G$4:$G$2059)</f>
        <v>400</v>
      </c>
      <c r="E369" s="35">
        <f>SUMIF(vente!$E$4:$E$2190,'Inventaire des produits'!B369,vente!$G$4:$G$2190)</f>
        <v>400</v>
      </c>
      <c r="F369" s="36">
        <f t="shared" si="15"/>
        <v>0</v>
      </c>
      <c r="G369" s="176">
        <v>0.83333333333333304</v>
      </c>
      <c r="H369" s="182">
        <v>0.03</v>
      </c>
      <c r="I369" s="37">
        <f t="shared" si="16"/>
        <v>0.80833333333333302</v>
      </c>
      <c r="J369" s="38">
        <f t="shared" si="17"/>
        <v>0</v>
      </c>
      <c r="K369" s="315"/>
      <c r="L369" s="145"/>
    </row>
    <row r="370" spans="1:12" ht="20.100000000000001" customHeight="1" thickBot="1" x14ac:dyDescent="0.4">
      <c r="A370" s="144" t="str">
        <f>IF(B370=IFERROR(VLOOKUP(B370,entrant!$E$4:$J$188,1,FALSE),"THERE WAS AN ERROR"),"RAPPORT JOURNAL","")</f>
        <v/>
      </c>
      <c r="B370" s="147" t="s">
        <v>965</v>
      </c>
      <c r="C370" s="170" t="s">
        <v>964</v>
      </c>
      <c r="D370" s="35">
        <f>SUMIF(entrant!$E$4:$E$2059,'Inventaire des produits'!B370,entrant!$G$4:$G$2059)</f>
        <v>300</v>
      </c>
      <c r="E370" s="35">
        <f>SUMIF(vente!$E$4:$E$2190,'Inventaire des produits'!B370,vente!$G$4:$G$2190)</f>
        <v>300</v>
      </c>
      <c r="F370" s="36">
        <f t="shared" si="15"/>
        <v>0</v>
      </c>
      <c r="G370" s="176">
        <v>1.9583333333333335</v>
      </c>
      <c r="H370" s="182">
        <v>7.0000000000000007E-2</v>
      </c>
      <c r="I370" s="37">
        <f t="shared" si="16"/>
        <v>1.82125</v>
      </c>
      <c r="J370" s="38">
        <f t="shared" si="17"/>
        <v>0</v>
      </c>
      <c r="K370" s="315"/>
      <c r="L370" s="145"/>
    </row>
    <row r="371" spans="1:12" ht="20.100000000000001" customHeight="1" thickBot="1" x14ac:dyDescent="0.4">
      <c r="A371" s="144" t="str">
        <f>IF(B371=IFERROR(VLOOKUP(B371,entrant!$E$4:$J$188,1,FALSE),"THERE WAS AN ERROR"),"RAPPORT JOURNAL","")</f>
        <v/>
      </c>
      <c r="B371" s="147" t="s">
        <v>967</v>
      </c>
      <c r="C371" s="170" t="s">
        <v>517</v>
      </c>
      <c r="D371" s="35">
        <f>SUMIF(entrant!$E$4:$E$2059,'Inventaire des produits'!B371,entrant!$G$4:$G$2059)</f>
        <v>600</v>
      </c>
      <c r="E371" s="35">
        <f>SUMIF(vente!$E$4:$E$2190,'Inventaire des produits'!B371,vente!$G$4:$G$2190)</f>
        <v>600</v>
      </c>
      <c r="F371" s="36">
        <f t="shared" si="15"/>
        <v>0</v>
      </c>
      <c r="G371" s="176">
        <v>1.6666666666666667</v>
      </c>
      <c r="H371" s="182">
        <v>0.1</v>
      </c>
      <c r="I371" s="37">
        <f t="shared" si="16"/>
        <v>1.5</v>
      </c>
      <c r="J371" s="38">
        <f t="shared" si="17"/>
        <v>0</v>
      </c>
      <c r="K371" s="315"/>
      <c r="L371" s="145"/>
    </row>
    <row r="372" spans="1:12" ht="20.100000000000001" customHeight="1" thickBot="1" x14ac:dyDescent="0.4">
      <c r="A372" s="144" t="str">
        <f>IF(B372=IFERROR(VLOOKUP(B372,entrant!$E$4:$J$188,1,FALSE),"THERE WAS AN ERROR"),"RAPPORT JOURNAL","")</f>
        <v/>
      </c>
      <c r="B372" s="147" t="s">
        <v>979</v>
      </c>
      <c r="C372" s="170" t="s">
        <v>285</v>
      </c>
      <c r="D372" s="35">
        <f>SUMIF(entrant!$E$4:$E$2059,'Inventaire des produits'!B372,entrant!$G$4:$G$2059)</f>
        <v>273</v>
      </c>
      <c r="E372" s="35">
        <f>SUMIF(vente!$E$4:$E$2190,'Inventaire des produits'!B372,vente!$G$4:$G$2190)</f>
        <v>229</v>
      </c>
      <c r="F372" s="36">
        <f t="shared" si="15"/>
        <v>44</v>
      </c>
      <c r="G372" s="176">
        <v>48.23</v>
      </c>
      <c r="H372" s="182"/>
      <c r="I372" s="37">
        <f t="shared" si="16"/>
        <v>48.23</v>
      </c>
      <c r="J372" s="38">
        <f t="shared" si="17"/>
        <v>2122.12</v>
      </c>
      <c r="K372" s="315"/>
      <c r="L372" s="145"/>
    </row>
    <row r="373" spans="1:12" ht="20.100000000000001" customHeight="1" thickBot="1" x14ac:dyDescent="0.4">
      <c r="A373" s="144" t="str">
        <f>IF(B373=IFERROR(VLOOKUP(B373,entrant!$E$4:$J$188,1,FALSE),"THERE WAS AN ERROR"),"RAPPORT JOURNAL","")</f>
        <v/>
      </c>
      <c r="B373" s="147" t="s">
        <v>980</v>
      </c>
      <c r="C373" s="170" t="s">
        <v>65</v>
      </c>
      <c r="D373" s="35">
        <f>SUMIF(entrant!$E$4:$E$2059,'Inventaire des produits'!B373,entrant!$G$4:$G$2059)</f>
        <v>25000</v>
      </c>
      <c r="E373" s="35">
        <f>SUMIF(vente!$E$4:$E$2190,'Inventaire des produits'!B373,vente!$G$4:$G$2190)</f>
        <v>25000</v>
      </c>
      <c r="F373" s="36">
        <f t="shared" si="15"/>
        <v>0</v>
      </c>
      <c r="G373" s="176">
        <v>0.17499999999999999</v>
      </c>
      <c r="H373" s="182"/>
      <c r="I373" s="37">
        <f t="shared" si="16"/>
        <v>0.17499999999999999</v>
      </c>
      <c r="J373" s="38">
        <f t="shared" si="17"/>
        <v>0</v>
      </c>
      <c r="K373" s="315"/>
      <c r="L373" s="145"/>
    </row>
    <row r="374" spans="1:12" ht="20.100000000000001" customHeight="1" thickBot="1" x14ac:dyDescent="0.4">
      <c r="A374" s="144" t="str">
        <f>IF(B374=IFERROR(VLOOKUP(B374,entrant!$E$4:$J$188,1,FALSE),"THERE WAS AN ERROR"),"RAPPORT JOURNAL","")</f>
        <v/>
      </c>
      <c r="B374" s="147" t="s">
        <v>982</v>
      </c>
      <c r="C374" s="170" t="s">
        <v>343</v>
      </c>
      <c r="D374" s="35">
        <f>SUMIF(entrant!$E$4:$E$2059,'Inventaire des produits'!B374,entrant!$G$4:$G$2059)</f>
        <v>150</v>
      </c>
      <c r="E374" s="35">
        <f>SUMIF(vente!$E$4:$E$2190,'Inventaire des produits'!B374,vente!$G$4:$G$2190)</f>
        <v>30</v>
      </c>
      <c r="F374" s="36">
        <f t="shared" si="15"/>
        <v>120</v>
      </c>
      <c r="G374" s="176">
        <v>22.5</v>
      </c>
      <c r="H374" s="182"/>
      <c r="I374" s="37">
        <f t="shared" si="16"/>
        <v>22.5</v>
      </c>
      <c r="J374" s="38">
        <f t="shared" si="17"/>
        <v>2700</v>
      </c>
      <c r="K374" s="315"/>
      <c r="L374" s="145"/>
    </row>
    <row r="375" spans="1:12" ht="20.100000000000001" customHeight="1" thickBot="1" x14ac:dyDescent="0.4">
      <c r="A375" s="144" t="str">
        <f>IF(B375=IFERROR(VLOOKUP(B375,entrant!$E$4:$J$188,1,FALSE),"THERE WAS AN ERROR"),"RAPPORT JOURNAL","")</f>
        <v/>
      </c>
      <c r="B375" s="147" t="s">
        <v>985</v>
      </c>
      <c r="C375" s="170" t="s">
        <v>543</v>
      </c>
      <c r="D375" s="35">
        <f>SUMIF(entrant!$E$4:$E$2059,'Inventaire des produits'!B375,entrant!$G$4:$G$2059)</f>
        <v>144</v>
      </c>
      <c r="E375" s="35">
        <f>SUMIF(vente!$E$4:$E$2190,'Inventaire des produits'!B375,vente!$G$4:$G$2190)</f>
        <v>0</v>
      </c>
      <c r="F375" s="36">
        <f t="shared" si="15"/>
        <v>144</v>
      </c>
      <c r="G375" s="176">
        <v>16.910000000000004</v>
      </c>
      <c r="H375" s="182"/>
      <c r="I375" s="37">
        <f t="shared" si="16"/>
        <v>16.910000000000004</v>
      </c>
      <c r="J375" s="38">
        <f t="shared" si="17"/>
        <v>2435.0400000000004</v>
      </c>
      <c r="K375" s="315"/>
      <c r="L375" s="145"/>
    </row>
    <row r="376" spans="1:12" ht="20.100000000000001" customHeight="1" thickBot="1" x14ac:dyDescent="0.4">
      <c r="A376" s="144" t="str">
        <f>IF(B376=IFERROR(VLOOKUP(B376,entrant!$E$4:$J$188,1,FALSE),"THERE WAS AN ERROR"),"RAPPORT JOURNAL","")</f>
        <v/>
      </c>
      <c r="B376" s="147" t="s">
        <v>988</v>
      </c>
      <c r="C376" s="170" t="s">
        <v>987</v>
      </c>
      <c r="D376" s="35">
        <f>SUMIF(entrant!$E$4:$E$2059,'Inventaire des produits'!B376,entrant!$G$4:$G$2059)</f>
        <v>90</v>
      </c>
      <c r="E376" s="35">
        <f>SUMIF(vente!$E$4:$E$2190,'Inventaire des produits'!B376,vente!$G$4:$G$2190)</f>
        <v>50</v>
      </c>
      <c r="F376" s="36">
        <f t="shared" si="15"/>
        <v>40</v>
      </c>
      <c r="G376" s="176">
        <v>88.52</v>
      </c>
      <c r="H376" s="182"/>
      <c r="I376" s="37">
        <f t="shared" si="16"/>
        <v>88.52</v>
      </c>
      <c r="J376" s="38">
        <f t="shared" si="17"/>
        <v>3540.7999999999997</v>
      </c>
      <c r="K376" s="315"/>
      <c r="L376" s="145"/>
    </row>
    <row r="377" spans="1:12" ht="20.100000000000001" customHeight="1" thickBot="1" x14ac:dyDescent="0.4">
      <c r="A377" s="144" t="str">
        <f>IF(B377=IFERROR(VLOOKUP(B377,entrant!$E$4:$J$188,1,FALSE),"THERE WAS AN ERROR"),"RAPPORT JOURNAL","")</f>
        <v/>
      </c>
      <c r="B377" s="147" t="s">
        <v>990</v>
      </c>
      <c r="C377" s="170" t="s">
        <v>40</v>
      </c>
      <c r="D377" s="35">
        <f>SUMIF(entrant!$E$4:$E$2059,'Inventaire des produits'!B377,entrant!$G$4:$G$2059)</f>
        <v>16000</v>
      </c>
      <c r="E377" s="35">
        <f>SUMIF(vente!$E$4:$E$2190,'Inventaire des produits'!B377,vente!$G$4:$G$2190)</f>
        <v>1400</v>
      </c>
      <c r="F377" s="36">
        <f t="shared" si="15"/>
        <v>14600</v>
      </c>
      <c r="G377" s="176">
        <v>0.3</v>
      </c>
      <c r="H377" s="182"/>
      <c r="I377" s="37">
        <f t="shared" si="16"/>
        <v>0.3</v>
      </c>
      <c r="J377" s="38">
        <f t="shared" si="17"/>
        <v>4380</v>
      </c>
      <c r="K377" s="315"/>
      <c r="L377" s="145"/>
    </row>
    <row r="378" spans="1:12" ht="20.100000000000001" customHeight="1" thickBot="1" x14ac:dyDescent="0.4">
      <c r="A378" s="144" t="str">
        <f>IF(B378=IFERROR(VLOOKUP(B378,entrant!$E$4:$J$188,1,FALSE),"THERE WAS AN ERROR"),"RAPPORT JOURNAL","")</f>
        <v/>
      </c>
      <c r="B378" s="147" t="s">
        <v>992</v>
      </c>
      <c r="C378" s="170" t="s">
        <v>991</v>
      </c>
      <c r="D378" s="35">
        <f>SUMIF(entrant!$E$4:$E$2059,'Inventaire des produits'!B378,entrant!$G$4:$G$2059)</f>
        <v>162</v>
      </c>
      <c r="E378" s="35">
        <f>SUMIF(vente!$E$4:$E$2190,'Inventaire des produits'!B378,vente!$G$4:$G$2190)</f>
        <v>0</v>
      </c>
      <c r="F378" s="36">
        <f t="shared" si="15"/>
        <v>162</v>
      </c>
      <c r="G378" s="176">
        <v>48.615000000000002</v>
      </c>
      <c r="H378" s="182"/>
      <c r="I378" s="37">
        <f t="shared" si="16"/>
        <v>48.615000000000002</v>
      </c>
      <c r="J378" s="38">
        <f t="shared" si="17"/>
        <v>7875.63</v>
      </c>
      <c r="K378" s="315"/>
      <c r="L378" s="145"/>
    </row>
    <row r="379" spans="1:12" ht="20.100000000000001" customHeight="1" thickBot="1" x14ac:dyDescent="0.4">
      <c r="A379" s="144" t="str">
        <f>IF(B379=IFERROR(VLOOKUP(B379,entrant!$E$4:$J$188,1,FALSE),"THERE WAS AN ERROR"),"RAPPORT JOURNAL","")</f>
        <v/>
      </c>
      <c r="B379" s="147" t="s">
        <v>994</v>
      </c>
      <c r="C379" s="170" t="s">
        <v>23</v>
      </c>
      <c r="D379" s="35">
        <f>SUMIF(entrant!$E$4:$E$2059,'Inventaire des produits'!B379,entrant!$G$4:$G$2059)</f>
        <v>54</v>
      </c>
      <c r="E379" s="35">
        <f>SUMIF(vente!$E$4:$E$2190,'Inventaire des produits'!B379,vente!$G$4:$G$2190)</f>
        <v>54</v>
      </c>
      <c r="F379" s="36">
        <f t="shared" si="15"/>
        <v>0</v>
      </c>
      <c r="G379" s="176">
        <v>47.5</v>
      </c>
      <c r="H379" s="182"/>
      <c r="I379" s="37">
        <f t="shared" si="16"/>
        <v>47.5</v>
      </c>
      <c r="J379" s="38">
        <f t="shared" si="17"/>
        <v>0</v>
      </c>
      <c r="K379" s="315"/>
      <c r="L379" s="145"/>
    </row>
    <row r="380" spans="1:12" ht="20.100000000000001" customHeight="1" thickBot="1" x14ac:dyDescent="0.4">
      <c r="A380" s="144" t="str">
        <f>IF(B380=IFERROR(VLOOKUP(B380,entrant!$E$4:$J$188,1,FALSE),"THERE WAS AN ERROR"),"RAPPORT JOURNAL","")</f>
        <v/>
      </c>
      <c r="B380" s="147" t="s">
        <v>1001</v>
      </c>
      <c r="C380" s="170" t="s">
        <v>83</v>
      </c>
      <c r="D380" s="35">
        <f>SUMIF(entrant!$E$4:$E$2059,'Inventaire des produits'!B380,entrant!$G$4:$G$2059)</f>
        <v>400</v>
      </c>
      <c r="E380" s="35">
        <f>SUMIF(vente!$E$4:$E$2190,'Inventaire des produits'!B380,vente!$G$4:$G$2190)</f>
        <v>0</v>
      </c>
      <c r="F380" s="36">
        <f t="shared" si="15"/>
        <v>400</v>
      </c>
      <c r="G380" s="176">
        <v>1.0833333333299999</v>
      </c>
      <c r="H380" s="182">
        <v>0.05</v>
      </c>
      <c r="I380" s="37">
        <f t="shared" si="16"/>
        <v>1.0291666666635</v>
      </c>
      <c r="J380" s="38">
        <f t="shared" si="17"/>
        <v>411.66666666539999</v>
      </c>
      <c r="K380" s="315"/>
      <c r="L380" s="145"/>
    </row>
    <row r="381" spans="1:12" ht="20.100000000000001" customHeight="1" thickBot="1" x14ac:dyDescent="0.4">
      <c r="A381" s="144" t="str">
        <f>IF(B381=IFERROR(VLOOKUP(B381,entrant!$E$4:$J$188,1,FALSE),"THERE WAS AN ERROR"),"RAPPORT JOURNAL","")</f>
        <v/>
      </c>
      <c r="B381" s="147" t="s">
        <v>1004</v>
      </c>
      <c r="C381" s="170" t="s">
        <v>684</v>
      </c>
      <c r="D381" s="35">
        <f>SUMIF(entrant!$E$4:$E$2059,'Inventaire des produits'!B381,entrant!$G$4:$G$2059)</f>
        <v>100</v>
      </c>
      <c r="E381" s="35">
        <f>SUMIF(vente!$E$4:$E$2190,'Inventaire des produits'!B381,vente!$G$4:$G$2190)</f>
        <v>0</v>
      </c>
      <c r="F381" s="36">
        <f t="shared" si="15"/>
        <v>100</v>
      </c>
      <c r="G381" s="176">
        <v>0.79166666669999997</v>
      </c>
      <c r="H381" s="182"/>
      <c r="I381" s="37">
        <f t="shared" si="16"/>
        <v>0.79166666669999997</v>
      </c>
      <c r="J381" s="38">
        <f t="shared" si="17"/>
        <v>79.166666669999998</v>
      </c>
      <c r="K381" s="315"/>
      <c r="L381" s="145"/>
    </row>
    <row r="382" spans="1:12" ht="20.100000000000001" customHeight="1" thickBot="1" x14ac:dyDescent="0.4">
      <c r="A382" s="144" t="str">
        <f>IF(B382=IFERROR(VLOOKUP(B382,entrant!$E$4:$J$188,1,FALSE),"THERE WAS AN ERROR"),"RAPPORT JOURNAL","")</f>
        <v/>
      </c>
      <c r="B382" s="147" t="s">
        <v>1007</v>
      </c>
      <c r="C382" s="170" t="s">
        <v>1008</v>
      </c>
      <c r="D382" s="35">
        <f>SUMIF(entrant!$E$4:$E$2059,'Inventaire des produits'!B382,entrant!$G$4:$G$2059)</f>
        <v>5</v>
      </c>
      <c r="E382" s="35">
        <f>SUMIF(vente!$E$4:$E$2190,'Inventaire des produits'!B382,vente!$G$4:$G$2190)</f>
        <v>0</v>
      </c>
      <c r="F382" s="36">
        <f t="shared" si="15"/>
        <v>5</v>
      </c>
      <c r="G382" s="176">
        <v>50</v>
      </c>
      <c r="H382" s="182">
        <v>0.05</v>
      </c>
      <c r="I382" s="37">
        <f t="shared" si="16"/>
        <v>47.5</v>
      </c>
      <c r="J382" s="38">
        <f t="shared" si="17"/>
        <v>237.5</v>
      </c>
      <c r="K382" s="315"/>
      <c r="L382" s="145"/>
    </row>
    <row r="383" spans="1:12" ht="20.100000000000001" customHeight="1" thickBot="1" x14ac:dyDescent="0.4">
      <c r="A383" s="144" t="str">
        <f>IF(B383=IFERROR(VLOOKUP(B383,entrant!$E$4:$J$188,1,FALSE),"THERE WAS AN ERROR"),"RAPPORT JOURNAL","")</f>
        <v/>
      </c>
      <c r="B383" s="147" t="s">
        <v>1033</v>
      </c>
      <c r="C383" s="170" t="s">
        <v>1032</v>
      </c>
      <c r="D383" s="35">
        <f>SUMIF(entrant!$E$4:$E$2059,'Inventaire des produits'!B383,entrant!$G$4:$G$2059)</f>
        <v>117</v>
      </c>
      <c r="E383" s="35">
        <f>SUMIF(vente!$E$4:$E$2190,'Inventaire des produits'!B383,vente!$G$4:$G$2190)</f>
        <v>114</v>
      </c>
      <c r="F383" s="36">
        <f t="shared" si="15"/>
        <v>3</v>
      </c>
      <c r="G383" s="176">
        <v>39.03</v>
      </c>
      <c r="H383" s="182"/>
      <c r="I383" s="37">
        <f t="shared" si="16"/>
        <v>39.03</v>
      </c>
      <c r="J383" s="38">
        <f t="shared" si="17"/>
        <v>117.09</v>
      </c>
      <c r="K383" s="315"/>
      <c r="L383" s="145"/>
    </row>
    <row r="384" spans="1:12" ht="20.100000000000001" customHeight="1" thickBot="1" x14ac:dyDescent="0.4">
      <c r="A384" s="144" t="str">
        <f>IF(B384=IFERROR(VLOOKUP(B384,entrant!$E$4:$J$188,1,FALSE),"THERE WAS AN ERROR"),"RAPPORT JOURNAL","")</f>
        <v/>
      </c>
      <c r="B384" s="147" t="s">
        <v>1034</v>
      </c>
      <c r="C384" s="170" t="s">
        <v>40</v>
      </c>
      <c r="D384" s="35">
        <f>SUMIF(entrant!$E$4:$E$2059,'Inventaire des produits'!B384,entrant!$G$4:$G$2059)</f>
        <v>12000</v>
      </c>
      <c r="E384" s="35">
        <f>SUMIF(vente!$E$4:$E$2190,'Inventaire des produits'!B384,vente!$G$4:$G$2190)</f>
        <v>0</v>
      </c>
      <c r="F384" s="36">
        <f t="shared" si="15"/>
        <v>12000</v>
      </c>
      <c r="G384" s="176">
        <v>0.29167000000000004</v>
      </c>
      <c r="H384" s="182"/>
      <c r="I384" s="37">
        <f t="shared" si="16"/>
        <v>0.29167000000000004</v>
      </c>
      <c r="J384" s="38">
        <f t="shared" si="17"/>
        <v>3500.0400000000004</v>
      </c>
      <c r="K384" s="315"/>
      <c r="L384" s="145"/>
    </row>
    <row r="385" spans="1:12" ht="20.100000000000001" customHeight="1" thickBot="1" x14ac:dyDescent="0.4">
      <c r="A385" s="144" t="str">
        <f>IF(B385=IFERROR(VLOOKUP(B385,entrant!$E$4:$J$188,1,FALSE),"THERE WAS AN ERROR"),"RAPPORT JOURNAL","")</f>
        <v/>
      </c>
      <c r="B385" s="147" t="s">
        <v>1038</v>
      </c>
      <c r="C385" s="170" t="s">
        <v>703</v>
      </c>
      <c r="D385" s="35">
        <f>SUMIF(entrant!$E$4:$E$2059,'Inventaire des produits'!B385,entrant!$G$4:$G$2059)</f>
        <v>274</v>
      </c>
      <c r="E385" s="35">
        <f>SUMIF(vente!$E$4:$E$2190,'Inventaire des produits'!B385,vente!$G$4:$G$2190)</f>
        <v>274</v>
      </c>
      <c r="F385" s="36">
        <f t="shared" si="15"/>
        <v>0</v>
      </c>
      <c r="G385" s="176">
        <v>13.69</v>
      </c>
      <c r="H385" s="182"/>
      <c r="I385" s="37">
        <f t="shared" si="16"/>
        <v>13.69</v>
      </c>
      <c r="J385" s="38">
        <f t="shared" si="17"/>
        <v>0</v>
      </c>
      <c r="K385" s="315"/>
      <c r="L385" s="145"/>
    </row>
    <row r="386" spans="1:12" ht="20.100000000000001" customHeight="1" thickBot="1" x14ac:dyDescent="0.4">
      <c r="A386" s="144" t="str">
        <f>IF(B386=IFERROR(VLOOKUP(B386,entrant!$E$4:$J$188,1,FALSE),"THERE WAS AN ERROR"),"RAPPORT JOURNAL","")</f>
        <v/>
      </c>
      <c r="B386" s="147" t="s">
        <v>1040</v>
      </c>
      <c r="C386" s="170" t="s">
        <v>223</v>
      </c>
      <c r="D386" s="35">
        <f>SUMIF(entrant!$E$4:$E$2059,'Inventaire des produits'!B386,entrant!$G$4:$G$2059)</f>
        <v>360</v>
      </c>
      <c r="E386" s="35">
        <f>SUMIF(vente!$E$4:$E$2190,'Inventaire des produits'!B386,vente!$G$4:$G$2190)</f>
        <v>360</v>
      </c>
      <c r="F386" s="36">
        <f t="shared" si="15"/>
        <v>0</v>
      </c>
      <c r="G386" s="176">
        <v>20</v>
      </c>
      <c r="H386" s="182"/>
      <c r="I386" s="37">
        <f t="shared" si="16"/>
        <v>20</v>
      </c>
      <c r="J386" s="38">
        <f t="shared" si="17"/>
        <v>0</v>
      </c>
      <c r="K386" s="315"/>
      <c r="L386" s="145"/>
    </row>
    <row r="387" spans="1:12" ht="20.100000000000001" customHeight="1" thickBot="1" x14ac:dyDescent="0.4">
      <c r="A387" s="144" t="str">
        <f>IF(B387=IFERROR(VLOOKUP(B387,entrant!$E$4:$J$188,1,FALSE),"THERE WAS AN ERROR"),"RAPPORT JOURNAL","")</f>
        <v/>
      </c>
      <c r="B387" s="147" t="s">
        <v>1056</v>
      </c>
      <c r="C387" s="170" t="s">
        <v>819</v>
      </c>
      <c r="D387" s="35">
        <f>SUMIF(entrant!$E$4:$E$2059,'Inventaire des produits'!B387,entrant!$G$4:$G$2059)</f>
        <v>34500</v>
      </c>
      <c r="E387" s="35">
        <f>SUMIF(vente!$E$4:$E$2190,'Inventaire des produits'!B387,vente!$G$4:$G$2190)</f>
        <v>7100</v>
      </c>
      <c r="F387" s="36">
        <f t="shared" ref="F387:F450" si="18">IF(OR(D387="",E387=""),"",D387-E387)</f>
        <v>27400</v>
      </c>
      <c r="G387" s="176">
        <v>0.33334000000000003</v>
      </c>
      <c r="H387" s="182"/>
      <c r="I387" s="37">
        <f t="shared" si="16"/>
        <v>0.33334000000000003</v>
      </c>
      <c r="J387" s="38">
        <f t="shared" si="17"/>
        <v>9133.5160000000014</v>
      </c>
      <c r="K387" s="315"/>
      <c r="L387" s="145"/>
    </row>
    <row r="388" spans="1:12" ht="20.100000000000001" customHeight="1" thickBot="1" x14ac:dyDescent="0.4">
      <c r="A388" s="144" t="str">
        <f>IF(B388=IFERROR(VLOOKUP(B388,entrant!$E$4:$J$188,1,FALSE),"THERE WAS AN ERROR"),"RAPPORT JOURNAL","")</f>
        <v/>
      </c>
      <c r="B388" s="147" t="s">
        <v>1058</v>
      </c>
      <c r="C388" s="170" t="s">
        <v>1057</v>
      </c>
      <c r="D388" s="35">
        <f>SUMIF(entrant!$E$4:$E$2059,'Inventaire des produits'!B388,entrant!$G$4:$G$2059)</f>
        <v>571</v>
      </c>
      <c r="E388" s="35">
        <f>SUMIF(vente!$E$4:$E$2190,'Inventaire des produits'!B388,vente!$G$4:$G$2190)</f>
        <v>0</v>
      </c>
      <c r="F388" s="36">
        <f t="shared" si="18"/>
        <v>571</v>
      </c>
      <c r="G388" s="176">
        <v>12.7714</v>
      </c>
      <c r="H388" s="182"/>
      <c r="I388" s="37">
        <f t="shared" ref="I388:I451" si="19">IF(H388="",G388,G388-G388*H388)</f>
        <v>12.7714</v>
      </c>
      <c r="J388" s="38">
        <f t="shared" ref="J388:J451" si="20">IF(OR(F388="",G388=""),"",F388*I388)</f>
        <v>7292.4694</v>
      </c>
      <c r="K388" s="315"/>
      <c r="L388" s="145"/>
    </row>
    <row r="389" spans="1:12" ht="20.100000000000001" customHeight="1" thickBot="1" x14ac:dyDescent="0.4">
      <c r="A389" s="144" t="str">
        <f>IF(B389=IFERROR(VLOOKUP(B389,entrant!$E$4:$J$188,1,FALSE),"THERE WAS AN ERROR"),"RAPPORT JOURNAL","")</f>
        <v/>
      </c>
      <c r="B389" s="147" t="s">
        <v>1066</v>
      </c>
      <c r="C389" s="170" t="s">
        <v>49</v>
      </c>
      <c r="D389" s="35">
        <f>SUMIF(entrant!$E$4:$E$2059,'Inventaire des produits'!B389,entrant!$G$4:$G$2059)</f>
        <v>10</v>
      </c>
      <c r="E389" s="35">
        <f>SUMIF(vente!$E$4:$E$2190,'Inventaire des produits'!B389,vente!$G$4:$G$2190)</f>
        <v>10</v>
      </c>
      <c r="F389" s="36">
        <f t="shared" si="18"/>
        <v>0</v>
      </c>
      <c r="G389" s="176">
        <v>60.416666666666671</v>
      </c>
      <c r="H389" s="182"/>
      <c r="I389" s="37">
        <f t="shared" si="19"/>
        <v>60.416666666666671</v>
      </c>
      <c r="J389" s="38">
        <f t="shared" si="20"/>
        <v>0</v>
      </c>
      <c r="K389" s="315"/>
      <c r="L389" s="145"/>
    </row>
    <row r="390" spans="1:12" ht="20.100000000000001" customHeight="1" thickBot="1" x14ac:dyDescent="0.4">
      <c r="A390" s="144" t="str">
        <f>IF(B390=IFERROR(VLOOKUP(B390,entrant!$E$4:$J$188,1,FALSE),"THERE WAS AN ERROR"),"RAPPORT JOURNAL","")</f>
        <v/>
      </c>
      <c r="B390" s="147" t="s">
        <v>1105</v>
      </c>
      <c r="C390" s="170" t="s">
        <v>1068</v>
      </c>
      <c r="D390" s="35">
        <f>SUMIF(entrant!$E$4:$E$2059,'Inventaire des produits'!B390,entrant!$G$4:$G$2059)</f>
        <v>1500</v>
      </c>
      <c r="E390" s="35">
        <f>SUMIF(vente!$E$4:$E$2190,'Inventaire des produits'!B390,vente!$G$4:$G$2190)</f>
        <v>1500</v>
      </c>
      <c r="F390" s="36">
        <f t="shared" si="18"/>
        <v>0</v>
      </c>
      <c r="G390" s="176">
        <v>1.0508333333333333</v>
      </c>
      <c r="H390" s="182"/>
      <c r="I390" s="37">
        <f t="shared" si="19"/>
        <v>1.0508333333333333</v>
      </c>
      <c r="J390" s="38">
        <f t="shared" si="20"/>
        <v>0</v>
      </c>
      <c r="K390" s="315"/>
      <c r="L390" s="145"/>
    </row>
    <row r="391" spans="1:12" ht="20.100000000000001" customHeight="1" thickBot="1" x14ac:dyDescent="0.4">
      <c r="A391" s="144" t="str">
        <f>IF(B391=IFERROR(VLOOKUP(B391,entrant!$E$4:$J$188,1,FALSE),"THERE WAS AN ERROR"),"RAPPORT JOURNAL","")</f>
        <v/>
      </c>
      <c r="B391" s="147" t="s">
        <v>1073</v>
      </c>
      <c r="C391" s="170" t="s">
        <v>863</v>
      </c>
      <c r="D391" s="35">
        <f>SUMIF(entrant!$E$4:$E$2059,'Inventaire des produits'!B391,entrant!$G$4:$G$2059)</f>
        <v>500</v>
      </c>
      <c r="E391" s="35">
        <f>SUMIF(vente!$E$4:$E$2190,'Inventaire des produits'!B391,vente!$G$4:$G$2190)</f>
        <v>500</v>
      </c>
      <c r="F391" s="36">
        <f t="shared" si="18"/>
        <v>0</v>
      </c>
      <c r="G391" s="176">
        <f>362.5/1.2/250</f>
        <v>1.2083333333333335</v>
      </c>
      <c r="H391" s="182">
        <v>0.05</v>
      </c>
      <c r="I391" s="37">
        <f t="shared" si="19"/>
        <v>1.1479166666666667</v>
      </c>
      <c r="J391" s="38">
        <f t="shared" si="20"/>
        <v>0</v>
      </c>
      <c r="K391" s="315"/>
      <c r="L391" s="145"/>
    </row>
    <row r="392" spans="1:12" ht="20.100000000000001" customHeight="1" thickBot="1" x14ac:dyDescent="0.4">
      <c r="A392" s="144" t="str">
        <f>IF(B392=IFERROR(VLOOKUP(B392,entrant!$E$4:$J$188,1,FALSE),"THERE WAS AN ERROR"),"RAPPORT JOURNAL","")</f>
        <v/>
      </c>
      <c r="B392" s="147" t="s">
        <v>1075</v>
      </c>
      <c r="C392" s="170" t="s">
        <v>863</v>
      </c>
      <c r="D392" s="35">
        <f>SUMIF(entrant!$E$4:$E$2059,'Inventaire des produits'!B392,entrant!$G$4:$G$2059)</f>
        <v>6000</v>
      </c>
      <c r="E392" s="35">
        <f>SUMIF(vente!$E$4:$E$2190,'Inventaire des produits'!B392,vente!$G$4:$G$2190)</f>
        <v>6000</v>
      </c>
      <c r="F392" s="36">
        <f t="shared" si="18"/>
        <v>0</v>
      </c>
      <c r="G392" s="176">
        <v>1.0833333333333333</v>
      </c>
      <c r="H392" s="182">
        <v>0.03</v>
      </c>
      <c r="I392" s="37">
        <f t="shared" si="19"/>
        <v>1.0508333333333333</v>
      </c>
      <c r="J392" s="38">
        <f t="shared" si="20"/>
        <v>0</v>
      </c>
      <c r="K392" s="315"/>
      <c r="L392" s="145"/>
    </row>
    <row r="393" spans="1:12" ht="20.100000000000001" customHeight="1" thickBot="1" x14ac:dyDescent="0.4">
      <c r="A393" s="144" t="str">
        <f>IF(B393=IFERROR(VLOOKUP(B393,entrant!$E$4:$J$188,1,FALSE),"THERE WAS AN ERROR"),"RAPPORT JOURNAL","")</f>
        <v/>
      </c>
      <c r="B393" s="147" t="s">
        <v>1079</v>
      </c>
      <c r="C393" s="170" t="s">
        <v>318</v>
      </c>
      <c r="D393" s="35">
        <f>SUMIF(entrant!$E$4:$E$2059,'Inventaire des produits'!B393,entrant!$G$4:$G$2059)</f>
        <v>900</v>
      </c>
      <c r="E393" s="35">
        <f>SUMIF(vente!$E$4:$E$2190,'Inventaire des produits'!B393,vente!$G$4:$G$2190)</f>
        <v>900</v>
      </c>
      <c r="F393" s="36">
        <f t="shared" si="18"/>
        <v>0</v>
      </c>
      <c r="G393" s="176">
        <v>14.166665999999999</v>
      </c>
      <c r="H393" s="182"/>
      <c r="I393" s="37">
        <f t="shared" si="19"/>
        <v>14.166665999999999</v>
      </c>
      <c r="J393" s="38">
        <f t="shared" si="20"/>
        <v>0</v>
      </c>
      <c r="K393" s="315"/>
      <c r="L393" s="145"/>
    </row>
    <row r="394" spans="1:12" ht="20.100000000000001" customHeight="1" thickBot="1" x14ac:dyDescent="0.4">
      <c r="A394" s="144" t="str">
        <f>IF(B394=IFERROR(VLOOKUP(B394,entrant!$E$4:$J$188,1,FALSE),"THERE WAS AN ERROR"),"RAPPORT JOURNAL","")</f>
        <v/>
      </c>
      <c r="B394" s="147" t="s">
        <v>1089</v>
      </c>
      <c r="C394" s="170" t="s">
        <v>218</v>
      </c>
      <c r="D394" s="35">
        <f>SUMIF(entrant!$E$4:$E$2059,'Inventaire des produits'!B394,entrant!$G$4:$G$2059)</f>
        <v>17000</v>
      </c>
      <c r="E394" s="35">
        <f>SUMIF(vente!$E$4:$E$2190,'Inventaire des produits'!B394,vente!$G$4:$G$2190)</f>
        <v>17000</v>
      </c>
      <c r="F394" s="36">
        <f t="shared" si="18"/>
        <v>0</v>
      </c>
      <c r="G394" s="176">
        <v>0.52491176470000001</v>
      </c>
      <c r="H394" s="182"/>
      <c r="I394" s="37">
        <f t="shared" si="19"/>
        <v>0.52491176470000001</v>
      </c>
      <c r="J394" s="38">
        <f t="shared" si="20"/>
        <v>0</v>
      </c>
      <c r="K394" s="315"/>
      <c r="L394" s="145"/>
    </row>
    <row r="395" spans="1:12" ht="20.100000000000001" customHeight="1" thickBot="1" x14ac:dyDescent="0.4">
      <c r="A395" s="144" t="str">
        <f>IF(B395=IFERROR(VLOOKUP(B395,entrant!$E$4:$J$188,1,FALSE),"THERE WAS AN ERROR"),"RAPPORT JOURNAL","")</f>
        <v/>
      </c>
      <c r="B395" s="147" t="s">
        <v>1092</v>
      </c>
      <c r="C395" s="170" t="s">
        <v>1091</v>
      </c>
      <c r="D395" s="35">
        <f>SUMIF(entrant!$E$4:$E$2059,'Inventaire des produits'!B395,entrant!$G$4:$G$2059)</f>
        <v>28500</v>
      </c>
      <c r="E395" s="35">
        <f>SUMIF(vente!$E$4:$E$2190,'Inventaire des produits'!B395,vente!$G$4:$G$2190)</f>
        <v>28500</v>
      </c>
      <c r="F395" s="36">
        <f t="shared" si="18"/>
        <v>0</v>
      </c>
      <c r="G395" s="176">
        <v>0.75</v>
      </c>
      <c r="H395" s="182"/>
      <c r="I395" s="37">
        <f t="shared" si="19"/>
        <v>0.75</v>
      </c>
      <c r="J395" s="38">
        <f t="shared" si="20"/>
        <v>0</v>
      </c>
      <c r="K395" s="315"/>
      <c r="L395" s="145"/>
    </row>
    <row r="396" spans="1:12" ht="20.100000000000001" customHeight="1" thickBot="1" x14ac:dyDescent="0.4">
      <c r="A396" s="144" t="str">
        <f>IF(B396=IFERROR(VLOOKUP(B396,entrant!$E$4:$J$188,1,FALSE),"THERE WAS AN ERROR"),"RAPPORT JOURNAL","")</f>
        <v/>
      </c>
      <c r="B396" s="147" t="s">
        <v>1097</v>
      </c>
      <c r="C396" s="170" t="s">
        <v>346</v>
      </c>
      <c r="D396" s="35">
        <f>SUMIF(entrant!$E$4:$E$2059,'Inventaire des produits'!B396,entrant!$G$4:$G$2059)</f>
        <v>42000</v>
      </c>
      <c r="E396" s="35">
        <f>SUMIF(vente!$E$4:$E$2190,'Inventaire des produits'!B396,vente!$G$4:$G$2190)</f>
        <v>42000</v>
      </c>
      <c r="F396" s="36">
        <f t="shared" si="18"/>
        <v>0</v>
      </c>
      <c r="G396" s="176">
        <v>8.9166666666666672E-2</v>
      </c>
      <c r="H396" s="182"/>
      <c r="I396" s="37">
        <f t="shared" si="19"/>
        <v>8.9166666666666672E-2</v>
      </c>
      <c r="J396" s="38">
        <f t="shared" si="20"/>
        <v>0</v>
      </c>
      <c r="K396" s="315"/>
      <c r="L396" s="145"/>
    </row>
    <row r="397" spans="1:12" ht="20.100000000000001" customHeight="1" thickBot="1" x14ac:dyDescent="0.4">
      <c r="A397" s="144" t="str">
        <f>IF(B397=IFERROR(VLOOKUP(B397,entrant!$E$4:$J$188,1,FALSE),"THERE WAS AN ERROR"),"RAPPORT JOURNAL","")</f>
        <v/>
      </c>
      <c r="B397" s="147" t="s">
        <v>1100</v>
      </c>
      <c r="C397" s="170" t="s">
        <v>1099</v>
      </c>
      <c r="D397" s="35">
        <f>SUMIF(entrant!$E$4:$E$2059,'Inventaire des produits'!B397,entrant!$G$4:$G$2059)</f>
        <v>140</v>
      </c>
      <c r="E397" s="35">
        <f>SUMIF(vente!$E$4:$E$2190,'Inventaire des produits'!B397,vente!$G$4:$G$2190)</f>
        <v>0</v>
      </c>
      <c r="F397" s="36">
        <f t="shared" si="18"/>
        <v>140</v>
      </c>
      <c r="G397" s="176">
        <f>13.5714/1.2</f>
        <v>11.309500000000002</v>
      </c>
      <c r="H397" s="182"/>
      <c r="I397" s="37">
        <f t="shared" si="19"/>
        <v>11.309500000000002</v>
      </c>
      <c r="J397" s="38">
        <f t="shared" si="20"/>
        <v>1583.3300000000002</v>
      </c>
      <c r="K397" s="315"/>
      <c r="L397" s="145"/>
    </row>
    <row r="398" spans="1:12" ht="20.100000000000001" customHeight="1" thickBot="1" x14ac:dyDescent="0.4">
      <c r="A398" s="144" t="str">
        <f>IF(B398=IFERROR(VLOOKUP(B398,entrant!$E$4:$J$188,1,FALSE),"THERE WAS AN ERROR"),"RAPPORT JOURNAL","")</f>
        <v/>
      </c>
      <c r="B398" s="147" t="s">
        <v>1117</v>
      </c>
      <c r="C398" s="170" t="s">
        <v>65</v>
      </c>
      <c r="D398" s="35">
        <f>SUMIF(entrant!$E$4:$E$2059,'Inventaire des produits'!B398,entrant!$G$4:$G$2059)</f>
        <v>33000</v>
      </c>
      <c r="E398" s="35">
        <f>SUMIF(vente!$E$4:$E$2190,'Inventaire des produits'!B398,vente!$G$4:$G$2190)</f>
        <v>33000</v>
      </c>
      <c r="F398" s="36">
        <f t="shared" si="18"/>
        <v>0</v>
      </c>
      <c r="G398" s="176">
        <v>0.16489999999999999</v>
      </c>
      <c r="H398" s="182"/>
      <c r="I398" s="37">
        <f t="shared" si="19"/>
        <v>0.16489999999999999</v>
      </c>
      <c r="J398" s="38">
        <f t="shared" si="20"/>
        <v>0</v>
      </c>
      <c r="K398" s="315"/>
      <c r="L398" s="145"/>
    </row>
    <row r="399" spans="1:12" ht="20.100000000000001" customHeight="1" thickBot="1" x14ac:dyDescent="0.4">
      <c r="A399" s="144" t="str">
        <f>IF(B399=IFERROR(VLOOKUP(B399,entrant!$E$4:$J$188,1,FALSE),"THERE WAS AN ERROR"),"RAPPORT JOURNAL","")</f>
        <v/>
      </c>
      <c r="B399" s="147" t="s">
        <v>1120</v>
      </c>
      <c r="C399" s="170" t="s">
        <v>1119</v>
      </c>
      <c r="D399" s="35">
        <f>SUMIF(entrant!$E$4:$E$2059,'Inventaire des produits'!B399,entrant!$G$4:$G$2059)</f>
        <v>3500</v>
      </c>
      <c r="E399" s="35">
        <f>SUMIF(vente!$E$4:$E$2190,'Inventaire des produits'!B399,vente!$G$4:$G$2190)</f>
        <v>3500</v>
      </c>
      <c r="F399" s="36">
        <f t="shared" si="18"/>
        <v>0</v>
      </c>
      <c r="G399" s="176">
        <v>1.0417000000000001</v>
      </c>
      <c r="H399" s="182"/>
      <c r="I399" s="37">
        <f t="shared" si="19"/>
        <v>1.0417000000000001</v>
      </c>
      <c r="J399" s="38">
        <f t="shared" si="20"/>
        <v>0</v>
      </c>
      <c r="K399" s="315"/>
      <c r="L399" s="145"/>
    </row>
    <row r="400" spans="1:12" ht="20.100000000000001" customHeight="1" thickBot="1" x14ac:dyDescent="0.4">
      <c r="A400" s="144" t="str">
        <f>IF(B400=IFERROR(VLOOKUP(B400,entrant!$E$4:$J$188,1,FALSE),"THERE WAS AN ERROR"),"RAPPORT JOURNAL","")</f>
        <v/>
      </c>
      <c r="B400" s="147" t="s">
        <v>1123</v>
      </c>
      <c r="C400" s="170" t="s">
        <v>1122</v>
      </c>
      <c r="D400" s="35">
        <f>SUMIF(entrant!$E$4:$E$2059,'Inventaire des produits'!B400,entrant!$G$4:$G$2059)</f>
        <v>180</v>
      </c>
      <c r="E400" s="35">
        <f>SUMIF(vente!$E$4:$E$2190,'Inventaire des produits'!B400,vente!$G$4:$G$2190)</f>
        <v>177</v>
      </c>
      <c r="F400" s="36">
        <f t="shared" si="18"/>
        <v>3</v>
      </c>
      <c r="G400" s="176">
        <v>20</v>
      </c>
      <c r="H400" s="182"/>
      <c r="I400" s="37">
        <f t="shared" si="19"/>
        <v>20</v>
      </c>
      <c r="J400" s="38">
        <f t="shared" si="20"/>
        <v>60</v>
      </c>
      <c r="K400" s="315"/>
      <c r="L400" s="145"/>
    </row>
    <row r="401" spans="1:12" ht="20.100000000000001" customHeight="1" thickBot="1" x14ac:dyDescent="0.4">
      <c r="A401" s="144" t="str">
        <f>IF(B401=IFERROR(VLOOKUP(B401,entrant!$E$4:$J$188,1,FALSE),"THERE WAS AN ERROR"),"RAPPORT JOURNAL","")</f>
        <v/>
      </c>
      <c r="B401" s="147" t="s">
        <v>1125</v>
      </c>
      <c r="C401" s="170" t="s">
        <v>1124</v>
      </c>
      <c r="D401" s="35">
        <f>SUMIF(entrant!$E$4:$E$2059,'Inventaire des produits'!B401,entrant!$G$4:$G$2059)</f>
        <v>168</v>
      </c>
      <c r="E401" s="35">
        <f>SUMIF(vente!$E$4:$E$2190,'Inventaire des produits'!B401,vente!$G$4:$G$2190)</f>
        <v>1</v>
      </c>
      <c r="F401" s="36">
        <f t="shared" si="18"/>
        <v>167</v>
      </c>
      <c r="G401" s="176">
        <v>21.667000000000002</v>
      </c>
      <c r="H401" s="182"/>
      <c r="I401" s="37">
        <f t="shared" si="19"/>
        <v>21.667000000000002</v>
      </c>
      <c r="J401" s="38">
        <f t="shared" si="20"/>
        <v>3618.3890000000001</v>
      </c>
      <c r="K401" s="315"/>
      <c r="L401" s="145"/>
    </row>
    <row r="402" spans="1:12" ht="20.100000000000001" customHeight="1" thickBot="1" x14ac:dyDescent="0.4">
      <c r="A402" s="144" t="str">
        <f>IF(B402=IFERROR(VLOOKUP(B402,entrant!$E$4:$J$188,1,FALSE),"THERE WAS AN ERROR"),"RAPPORT JOURNAL","")</f>
        <v/>
      </c>
      <c r="B402" s="147" t="s">
        <v>1128</v>
      </c>
      <c r="C402" s="170" t="s">
        <v>1127</v>
      </c>
      <c r="D402" s="35">
        <f>SUMIF(entrant!$E$4:$E$2059,'Inventaire des produits'!B402,entrant!$G$4:$G$2059)</f>
        <v>480</v>
      </c>
      <c r="E402" s="35">
        <f>SUMIF(vente!$E$4:$E$2190,'Inventaire des produits'!B402,vente!$G$4:$G$2190)</f>
        <v>105</v>
      </c>
      <c r="F402" s="36">
        <f t="shared" si="18"/>
        <v>375</v>
      </c>
      <c r="G402" s="176">
        <v>21.667000000000002</v>
      </c>
      <c r="H402" s="182"/>
      <c r="I402" s="37">
        <f t="shared" si="19"/>
        <v>21.667000000000002</v>
      </c>
      <c r="J402" s="38">
        <f t="shared" si="20"/>
        <v>8125.1250000000009</v>
      </c>
      <c r="K402" s="315"/>
      <c r="L402" s="145"/>
    </row>
    <row r="403" spans="1:12" ht="20.100000000000001" customHeight="1" thickBot="1" x14ac:dyDescent="0.4">
      <c r="A403" s="144" t="str">
        <f>IF(B403=IFERROR(VLOOKUP(B403,entrant!$E$4:$J$188,1,FALSE),"THERE WAS AN ERROR"),"RAPPORT JOURNAL","")</f>
        <v/>
      </c>
      <c r="B403" s="147" t="s">
        <v>1129</v>
      </c>
      <c r="C403" s="170" t="s">
        <v>613</v>
      </c>
      <c r="D403" s="35">
        <f>SUMIF(entrant!$E$4:$E$2059,'Inventaire des produits'!B403,entrant!$G$4:$G$2059)</f>
        <v>300</v>
      </c>
      <c r="E403" s="35">
        <f>SUMIF(vente!$E$4:$E$2190,'Inventaire des produits'!B403,vente!$G$4:$G$2190)</f>
        <v>118</v>
      </c>
      <c r="F403" s="36">
        <f t="shared" si="18"/>
        <v>182</v>
      </c>
      <c r="G403" s="176">
        <v>27.5</v>
      </c>
      <c r="H403" s="182"/>
      <c r="I403" s="37">
        <f t="shared" si="19"/>
        <v>27.5</v>
      </c>
      <c r="J403" s="38">
        <f t="shared" si="20"/>
        <v>5005</v>
      </c>
      <c r="K403" s="315"/>
      <c r="L403" s="145"/>
    </row>
    <row r="404" spans="1:12" ht="20.100000000000001" customHeight="1" thickBot="1" x14ac:dyDescent="0.4">
      <c r="A404" s="144" t="str">
        <f>IF(B404=IFERROR(VLOOKUP(B404,entrant!$E$4:$J$188,1,FALSE),"THERE WAS AN ERROR"),"RAPPORT JOURNAL","")</f>
        <v/>
      </c>
      <c r="B404" s="147" t="s">
        <v>1131</v>
      </c>
      <c r="C404" s="170" t="s">
        <v>1130</v>
      </c>
      <c r="D404" s="35">
        <f>SUMIF(entrant!$E$4:$E$2059,'Inventaire des produits'!B404,entrant!$G$4:$G$2059)</f>
        <v>525</v>
      </c>
      <c r="E404" s="35">
        <f>SUMIF(vente!$E$4:$E$2190,'Inventaire des produits'!B404,vente!$G$4:$G$2190)</f>
        <v>192</v>
      </c>
      <c r="F404" s="36">
        <f t="shared" si="18"/>
        <v>333</v>
      </c>
      <c r="G404" s="176">
        <v>6.6669999999999998</v>
      </c>
      <c r="H404" s="182"/>
      <c r="I404" s="37">
        <f t="shared" si="19"/>
        <v>6.6669999999999998</v>
      </c>
      <c r="J404" s="38">
        <f t="shared" si="20"/>
        <v>2220.1109999999999</v>
      </c>
      <c r="K404" s="315"/>
      <c r="L404" s="145"/>
    </row>
    <row r="405" spans="1:12" ht="20.100000000000001" customHeight="1" thickBot="1" x14ac:dyDescent="0.4">
      <c r="A405" s="144" t="str">
        <f>IF(B405=IFERROR(VLOOKUP(B405,entrant!$E$4:$J$188,1,FALSE),"THERE WAS AN ERROR"),"RAPPORT JOURNAL","")</f>
        <v/>
      </c>
      <c r="B405" s="147" t="s">
        <v>1133</v>
      </c>
      <c r="C405" s="170" t="s">
        <v>1132</v>
      </c>
      <c r="D405" s="35">
        <f>SUMIF(entrant!$E$4:$E$2059,'Inventaire des produits'!B405,entrant!$G$4:$G$2059)</f>
        <v>270</v>
      </c>
      <c r="E405" s="35">
        <f>SUMIF(vente!$E$4:$E$2190,'Inventaire des produits'!B405,vente!$G$4:$G$2190)</f>
        <v>91</v>
      </c>
      <c r="F405" s="36">
        <f t="shared" si="18"/>
        <v>179</v>
      </c>
      <c r="G405" s="176">
        <v>6.25</v>
      </c>
      <c r="H405" s="182"/>
      <c r="I405" s="37">
        <f t="shared" si="19"/>
        <v>6.25</v>
      </c>
      <c r="J405" s="38">
        <f t="shared" si="20"/>
        <v>1118.75</v>
      </c>
      <c r="K405" s="315"/>
      <c r="L405" s="145"/>
    </row>
    <row r="406" spans="1:12" ht="20.100000000000001" customHeight="1" thickBot="1" x14ac:dyDescent="0.4">
      <c r="A406" s="144" t="str">
        <f>IF(B406=IFERROR(VLOOKUP(B406,entrant!$E$4:$J$188,1,FALSE),"THERE WAS AN ERROR"),"RAPPORT JOURNAL","")</f>
        <v/>
      </c>
      <c r="B406" s="147" t="s">
        <v>1139</v>
      </c>
      <c r="C406" s="170" t="s">
        <v>39</v>
      </c>
      <c r="D406" s="35">
        <f>SUMIF(entrant!$E$4:$E$2059,'Inventaire des produits'!B406,entrant!$G$4:$G$2059)</f>
        <v>20000</v>
      </c>
      <c r="E406" s="35">
        <f>SUMIF(vente!$E$4:$E$2190,'Inventaire des produits'!B406,vente!$G$4:$G$2190)</f>
        <v>13600</v>
      </c>
      <c r="F406" s="36">
        <f t="shared" si="18"/>
        <v>6400</v>
      </c>
      <c r="G406" s="176">
        <v>0.29167000000000004</v>
      </c>
      <c r="H406" s="182"/>
      <c r="I406" s="37">
        <f t="shared" si="19"/>
        <v>0.29167000000000004</v>
      </c>
      <c r="J406" s="38">
        <f t="shared" si="20"/>
        <v>1866.6880000000003</v>
      </c>
      <c r="K406" s="315"/>
      <c r="L406" s="145"/>
    </row>
    <row r="407" spans="1:12" ht="20.100000000000001" customHeight="1" thickBot="1" x14ac:dyDescent="0.4">
      <c r="A407" s="144" t="str">
        <f>IF(B407=IFERROR(VLOOKUP(B407,entrant!$E$4:$J$188,1,FALSE),"THERE WAS AN ERROR"),"RAPPORT JOURNAL","")</f>
        <v/>
      </c>
      <c r="B407" s="147" t="s">
        <v>1142</v>
      </c>
      <c r="C407" s="170" t="s">
        <v>1141</v>
      </c>
      <c r="D407" s="35">
        <f>SUMIF(entrant!$E$4:$E$2059,'Inventaire des produits'!B407,entrant!$G$4:$G$2059)</f>
        <v>4100</v>
      </c>
      <c r="E407" s="35">
        <f>SUMIF(vente!$E$4:$E$2190,'Inventaire des produits'!B407,vente!$G$4:$G$2190)</f>
        <v>0</v>
      </c>
      <c r="F407" s="36">
        <f t="shared" si="18"/>
        <v>4100</v>
      </c>
      <c r="G407" s="176">
        <v>2.0327000000000002</v>
      </c>
      <c r="H407" s="182"/>
      <c r="I407" s="37">
        <f t="shared" si="19"/>
        <v>2.0327000000000002</v>
      </c>
      <c r="J407" s="38">
        <f t="shared" si="20"/>
        <v>8334.0700000000015</v>
      </c>
      <c r="K407" s="315"/>
      <c r="L407" s="145"/>
    </row>
    <row r="408" spans="1:12" ht="20.100000000000001" customHeight="1" thickBot="1" x14ac:dyDescent="0.4">
      <c r="A408" s="144" t="str">
        <f>IF(B408=IFERROR(VLOOKUP(B408,entrant!$E$4:$J$188,1,FALSE),"THERE WAS AN ERROR"),"RAPPORT JOURNAL","")</f>
        <v/>
      </c>
      <c r="B408" s="147" t="s">
        <v>1144</v>
      </c>
      <c r="C408" s="170" t="s">
        <v>195</v>
      </c>
      <c r="D408" s="35">
        <f>SUMIF(entrant!$E$4:$E$2059,'Inventaire des produits'!B408,entrant!$G$4:$G$2059)</f>
        <v>5000</v>
      </c>
      <c r="E408" s="35">
        <f>SUMIF(vente!$E$4:$E$2190,'Inventaire des produits'!B408,vente!$G$4:$G$2190)</f>
        <v>5000</v>
      </c>
      <c r="F408" s="36">
        <f t="shared" si="18"/>
        <v>0</v>
      </c>
      <c r="G408" s="176">
        <v>0.72</v>
      </c>
      <c r="H408" s="182"/>
      <c r="I408" s="37">
        <f t="shared" si="19"/>
        <v>0.72</v>
      </c>
      <c r="J408" s="38">
        <f t="shared" si="20"/>
        <v>0</v>
      </c>
      <c r="K408" s="315"/>
      <c r="L408" s="145"/>
    </row>
    <row r="409" spans="1:12" ht="20.100000000000001" customHeight="1" thickBot="1" x14ac:dyDescent="0.4">
      <c r="A409" s="144" t="str">
        <f>IF(B409=IFERROR(VLOOKUP(B409,entrant!$E$4:$J$188,1,FALSE),"THERE WAS AN ERROR"),"RAPPORT JOURNAL","")</f>
        <v/>
      </c>
      <c r="B409" s="147" t="s">
        <v>1146</v>
      </c>
      <c r="C409" s="170" t="s">
        <v>218</v>
      </c>
      <c r="D409" s="35">
        <f>SUMIF(entrant!$E$4:$E$2059,'Inventaire des produits'!B409,entrant!$G$4:$G$2059)</f>
        <v>19000</v>
      </c>
      <c r="E409" s="35">
        <f>SUMIF(vente!$E$4:$E$2190,'Inventaire des produits'!B409,vente!$G$4:$G$2190)</f>
        <v>19000</v>
      </c>
      <c r="F409" s="36">
        <f t="shared" si="18"/>
        <v>0</v>
      </c>
      <c r="G409" s="176">
        <v>0.53</v>
      </c>
      <c r="H409" s="182"/>
      <c r="I409" s="37">
        <f t="shared" si="19"/>
        <v>0.53</v>
      </c>
      <c r="J409" s="38">
        <f t="shared" si="20"/>
        <v>0</v>
      </c>
      <c r="K409" s="315"/>
      <c r="L409" s="145"/>
    </row>
    <row r="410" spans="1:12" ht="20.100000000000001" customHeight="1" thickBot="1" x14ac:dyDescent="0.4">
      <c r="A410" s="144" t="str">
        <f>IF(B410=IFERROR(VLOOKUP(B410,entrant!$E$4:$J$188,1,FALSE),"THERE WAS AN ERROR"),"RAPPORT JOURNAL","")</f>
        <v/>
      </c>
      <c r="B410" s="147" t="s">
        <v>1149</v>
      </c>
      <c r="C410" s="170" t="s">
        <v>1148</v>
      </c>
      <c r="D410" s="35">
        <f>SUMIF(entrant!$E$4:$E$2059,'Inventaire des produits'!B410,entrant!$G$4:$G$2059)</f>
        <v>3000</v>
      </c>
      <c r="E410" s="35">
        <f>SUMIF(vente!$E$4:$E$2190,'Inventaire des produits'!B410,vente!$G$4:$G$2190)</f>
        <v>2747</v>
      </c>
      <c r="F410" s="36">
        <f t="shared" si="18"/>
        <v>253</v>
      </c>
      <c r="G410" s="176">
        <v>7.5</v>
      </c>
      <c r="H410" s="182"/>
      <c r="I410" s="37">
        <f t="shared" si="19"/>
        <v>7.5</v>
      </c>
      <c r="J410" s="38">
        <f t="shared" si="20"/>
        <v>1897.5</v>
      </c>
      <c r="K410" s="315"/>
      <c r="L410" s="145"/>
    </row>
    <row r="411" spans="1:12" ht="20.100000000000001" customHeight="1" thickBot="1" x14ac:dyDescent="0.4">
      <c r="A411" s="144" t="str">
        <f>IF(B411=IFERROR(VLOOKUP(B411,entrant!$E$4:$J$188,1,FALSE),"THERE WAS AN ERROR"),"RAPPORT JOURNAL","")</f>
        <v/>
      </c>
      <c r="B411" s="147" t="s">
        <v>1151</v>
      </c>
      <c r="C411" s="170" t="s">
        <v>207</v>
      </c>
      <c r="D411" s="35">
        <f>SUMIF(entrant!$E$4:$E$2059,'Inventaire des produits'!B411,entrant!$G$4:$G$2059)</f>
        <v>300</v>
      </c>
      <c r="E411" s="35">
        <f>SUMIF(vente!$E$4:$E$2190,'Inventaire des produits'!B411,vente!$G$4:$G$2190)</f>
        <v>0</v>
      </c>
      <c r="F411" s="36">
        <f t="shared" si="18"/>
        <v>300</v>
      </c>
      <c r="G411" s="176">
        <v>21.25</v>
      </c>
      <c r="H411" s="182"/>
      <c r="I411" s="37">
        <f t="shared" si="19"/>
        <v>21.25</v>
      </c>
      <c r="J411" s="38">
        <f t="shared" si="20"/>
        <v>6375</v>
      </c>
      <c r="K411" s="315"/>
      <c r="L411" s="145"/>
    </row>
    <row r="412" spans="1:12" ht="20.100000000000001" customHeight="1" thickBot="1" x14ac:dyDescent="0.4">
      <c r="A412" s="144" t="str">
        <f>IF(B412=IFERROR(VLOOKUP(B412,entrant!$E$4:$J$188,1,FALSE),"THERE WAS AN ERROR"),"RAPPORT JOURNAL","")</f>
        <v/>
      </c>
      <c r="B412" s="147" t="s">
        <v>1162</v>
      </c>
      <c r="C412" s="170" t="s">
        <v>943</v>
      </c>
      <c r="D412" s="35">
        <f>SUMIF(entrant!$E$4:$E$2059,'Inventaire des produits'!B412,entrant!$G$4:$G$2059)</f>
        <v>5750</v>
      </c>
      <c r="E412" s="35">
        <f>SUMIF(vente!$E$4:$E$2190,'Inventaire des produits'!B412,vente!$G$4:$G$2190)</f>
        <v>5750</v>
      </c>
      <c r="F412" s="36">
        <f t="shared" si="18"/>
        <v>0</v>
      </c>
      <c r="G412" s="176">
        <v>2.78</v>
      </c>
      <c r="H412" s="182"/>
      <c r="I412" s="37">
        <f t="shared" si="19"/>
        <v>2.78</v>
      </c>
      <c r="J412" s="38">
        <f t="shared" si="20"/>
        <v>0</v>
      </c>
      <c r="K412" s="315"/>
      <c r="L412" s="145"/>
    </row>
    <row r="413" spans="1:12" ht="20.100000000000001" customHeight="1" thickBot="1" x14ac:dyDescent="0.4">
      <c r="A413" s="144" t="str">
        <f>IF(B413=IFERROR(VLOOKUP(B413,entrant!$E$4:$J$188,1,FALSE),"THERE WAS AN ERROR"),"RAPPORT JOURNAL","")</f>
        <v/>
      </c>
      <c r="B413" s="147" t="s">
        <v>1183</v>
      </c>
      <c r="C413" s="170" t="s">
        <v>23</v>
      </c>
      <c r="D413" s="35">
        <f>SUMIF(entrant!$E$4:$E$2059,'Inventaire des produits'!B413,entrant!$G$4:$G$2059)</f>
        <v>846</v>
      </c>
      <c r="E413" s="35">
        <f>SUMIF(vente!$E$4:$E$2190,'Inventaire des produits'!B413,vente!$G$4:$G$2190)</f>
        <v>496</v>
      </c>
      <c r="F413" s="36">
        <f t="shared" si="18"/>
        <v>350</v>
      </c>
      <c r="G413" s="176">
        <v>44.166666666666671</v>
      </c>
      <c r="H413" s="182"/>
      <c r="I413" s="37">
        <f t="shared" si="19"/>
        <v>44.166666666666671</v>
      </c>
      <c r="J413" s="38">
        <f t="shared" si="20"/>
        <v>15458.333333333336</v>
      </c>
      <c r="K413" s="315"/>
      <c r="L413" s="145"/>
    </row>
    <row r="414" spans="1:12" ht="20.100000000000001" customHeight="1" thickBot="1" x14ac:dyDescent="0.4">
      <c r="A414" s="144" t="str">
        <f>IF(B414=IFERROR(VLOOKUP(B414,entrant!$E$4:$J$188,1,FALSE),"THERE WAS AN ERROR"),"RAPPORT JOURNAL","")</f>
        <v/>
      </c>
      <c r="B414" s="147" t="s">
        <v>1184</v>
      </c>
      <c r="C414" s="170" t="s">
        <v>21</v>
      </c>
      <c r="D414" s="35">
        <f>SUMIF(entrant!$E$4:$E$2059,'Inventaire des produits'!B414,entrant!$G$4:$G$2059)</f>
        <v>19600</v>
      </c>
      <c r="E414" s="35">
        <f>SUMIF(vente!$E$4:$E$2190,'Inventaire des produits'!B414,vente!$G$4:$G$2190)</f>
        <v>13800</v>
      </c>
      <c r="F414" s="36">
        <f t="shared" si="18"/>
        <v>5800</v>
      </c>
      <c r="G414" s="176">
        <v>0.79166666666666663</v>
      </c>
      <c r="H414" s="182"/>
      <c r="I414" s="37">
        <f t="shared" si="19"/>
        <v>0.79166666666666663</v>
      </c>
      <c r="J414" s="38">
        <f t="shared" si="20"/>
        <v>4591.6666666666661</v>
      </c>
      <c r="K414" s="315"/>
      <c r="L414" s="145"/>
    </row>
    <row r="415" spans="1:12" ht="20.100000000000001" customHeight="1" thickBot="1" x14ac:dyDescent="0.4">
      <c r="A415" s="144" t="str">
        <f>IF(B415=IFERROR(VLOOKUP(B415,entrant!$E$4:$J$188,1,FALSE),"THERE WAS AN ERROR"),"RAPPORT JOURNAL","")</f>
        <v/>
      </c>
      <c r="B415" s="147" t="s">
        <v>1185</v>
      </c>
      <c r="C415" s="170" t="s">
        <v>343</v>
      </c>
      <c r="D415" s="35">
        <f>SUMIF(entrant!$E$4:$E$2059,'Inventaire des produits'!B415,entrant!$G$4:$G$2059)</f>
        <v>10</v>
      </c>
      <c r="E415" s="35">
        <f>SUMIF(vente!$E$4:$E$2190,'Inventaire des produits'!B415,vente!$G$4:$G$2190)</f>
        <v>0</v>
      </c>
      <c r="F415" s="36">
        <f t="shared" si="18"/>
        <v>10</v>
      </c>
      <c r="G415" s="176">
        <v>20</v>
      </c>
      <c r="H415" s="182"/>
      <c r="I415" s="37">
        <f t="shared" si="19"/>
        <v>20</v>
      </c>
      <c r="J415" s="38">
        <f t="shared" si="20"/>
        <v>200</v>
      </c>
      <c r="K415" s="315"/>
      <c r="L415" s="145"/>
    </row>
    <row r="416" spans="1:12" ht="20.100000000000001" customHeight="1" thickBot="1" x14ac:dyDescent="0.4">
      <c r="A416" s="144" t="str">
        <f>IF(B416=IFERROR(VLOOKUP(B416,entrant!$E$4:$J$188,1,FALSE),"THERE WAS AN ERROR"),"RAPPORT JOURNAL","")</f>
        <v/>
      </c>
      <c r="B416" s="147" t="s">
        <v>1186</v>
      </c>
      <c r="C416" s="170" t="s">
        <v>35</v>
      </c>
      <c r="D416" s="35">
        <f>SUMIF(entrant!$E$4:$E$2059,'Inventaire des produits'!B416,entrant!$G$4:$G$2059)</f>
        <v>240</v>
      </c>
      <c r="E416" s="35">
        <f>SUMIF(vente!$E$4:$E$2190,'Inventaire des produits'!B416,vente!$G$4:$G$2190)</f>
        <v>0</v>
      </c>
      <c r="F416" s="36">
        <f t="shared" si="18"/>
        <v>240</v>
      </c>
      <c r="G416" s="176">
        <v>55</v>
      </c>
      <c r="H416" s="182"/>
      <c r="I416" s="37">
        <f t="shared" si="19"/>
        <v>55</v>
      </c>
      <c r="J416" s="38">
        <f t="shared" si="20"/>
        <v>13200</v>
      </c>
      <c r="K416" s="315"/>
      <c r="L416" s="145"/>
    </row>
    <row r="417" spans="1:12" ht="20.100000000000001" customHeight="1" thickBot="1" x14ac:dyDescent="0.4">
      <c r="A417" s="144" t="str">
        <f>IF(B417=IFERROR(VLOOKUP(B417,entrant!$E$4:$J$188,1,FALSE),"THERE WAS AN ERROR"),"RAPPORT JOURNAL","")</f>
        <v/>
      </c>
      <c r="B417" s="147" t="s">
        <v>1190</v>
      </c>
      <c r="C417" s="170" t="s">
        <v>1353</v>
      </c>
      <c r="D417" s="35">
        <f>SUMIF(entrant!$E$4:$E$2059,'Inventaire des produits'!B417,entrant!$G$4:$G$2059)</f>
        <v>20000</v>
      </c>
      <c r="E417" s="35">
        <f>SUMIF(vente!$E$4:$E$2190,'Inventaire des produits'!B417,vente!$G$4:$G$2190)</f>
        <v>20000</v>
      </c>
      <c r="F417" s="36">
        <f t="shared" si="18"/>
        <v>0</v>
      </c>
      <c r="G417" s="176">
        <v>0.55555833333333338</v>
      </c>
      <c r="H417" s="182">
        <v>0.31</v>
      </c>
      <c r="I417" s="37">
        <f t="shared" si="19"/>
        <v>0.38333525000000002</v>
      </c>
      <c r="J417" s="38">
        <f t="shared" si="20"/>
        <v>0</v>
      </c>
      <c r="K417" s="315"/>
      <c r="L417" s="145"/>
    </row>
    <row r="418" spans="1:12" ht="20.100000000000001" customHeight="1" thickBot="1" x14ac:dyDescent="0.4">
      <c r="A418" s="144" t="str">
        <f>IF(B418=IFERROR(VLOOKUP(B418,entrant!$E$4:$J$188,1,FALSE),"THERE WAS AN ERROR"),"RAPPORT JOURNAL","")</f>
        <v/>
      </c>
      <c r="B418" s="147" t="s">
        <v>1194</v>
      </c>
      <c r="C418" s="170" t="s">
        <v>1193</v>
      </c>
      <c r="D418" s="35">
        <f>SUMIF(entrant!$E$4:$E$2059,'Inventaire des produits'!B418,entrant!$G$4:$G$2059)</f>
        <v>3000</v>
      </c>
      <c r="E418" s="35">
        <f>SUMIF(vente!$E$4:$E$2190,'Inventaire des produits'!B418,vente!$G$4:$G$2190)</f>
        <v>3000</v>
      </c>
      <c r="F418" s="36">
        <f t="shared" si="18"/>
        <v>0</v>
      </c>
      <c r="G418" s="176">
        <v>0.28999999999999998</v>
      </c>
      <c r="H418" s="182"/>
      <c r="I418" s="37">
        <f t="shared" si="19"/>
        <v>0.28999999999999998</v>
      </c>
      <c r="J418" s="38">
        <f t="shared" si="20"/>
        <v>0</v>
      </c>
      <c r="K418" s="315"/>
      <c r="L418" s="145"/>
    </row>
    <row r="419" spans="1:12" ht="20.100000000000001" customHeight="1" thickBot="1" x14ac:dyDescent="0.4">
      <c r="A419" s="144" t="str">
        <f>IF(B419=IFERROR(VLOOKUP(B419,entrant!$E$4:$J$188,1,FALSE),"THERE WAS AN ERROR"),"RAPPORT JOURNAL","")</f>
        <v/>
      </c>
      <c r="B419" s="147" t="s">
        <v>1197</v>
      </c>
      <c r="C419" s="170" t="s">
        <v>1196</v>
      </c>
      <c r="D419" s="35">
        <f>SUMIF(entrant!$E$4:$E$2059,'Inventaire des produits'!B419,entrant!$G$4:$G$2059)</f>
        <v>2</v>
      </c>
      <c r="E419" s="35">
        <f>SUMIF(vente!$E$4:$E$2190,'Inventaire des produits'!B419,vente!$G$4:$G$2190)</f>
        <v>2</v>
      </c>
      <c r="F419" s="36">
        <f t="shared" si="18"/>
        <v>0</v>
      </c>
      <c r="G419" s="176">
        <v>25</v>
      </c>
      <c r="H419" s="182"/>
      <c r="I419" s="37">
        <f t="shared" si="19"/>
        <v>25</v>
      </c>
      <c r="J419" s="38">
        <f t="shared" si="20"/>
        <v>0</v>
      </c>
      <c r="K419" s="315"/>
      <c r="L419" s="145"/>
    </row>
    <row r="420" spans="1:12" ht="20.100000000000001" customHeight="1" thickBot="1" x14ac:dyDescent="0.4">
      <c r="A420" s="144" t="str">
        <f>IF(B420=IFERROR(VLOOKUP(B420,entrant!$E$4:$J$188,1,FALSE),"THERE WAS AN ERROR"),"RAPPORT JOURNAL","")</f>
        <v/>
      </c>
      <c r="B420" s="147" t="s">
        <v>1198</v>
      </c>
      <c r="C420" s="170" t="s">
        <v>349</v>
      </c>
      <c r="D420" s="35">
        <f>SUMIF(entrant!$E$4:$E$2059,'Inventaire des produits'!B420,entrant!$G$4:$G$2059)</f>
        <v>96</v>
      </c>
      <c r="E420" s="35">
        <f>SUMIF(vente!$E$4:$E$2190,'Inventaire des produits'!B420,vente!$G$4:$G$2190)</f>
        <v>0</v>
      </c>
      <c r="F420" s="36">
        <f t="shared" si="18"/>
        <v>96</v>
      </c>
      <c r="G420" s="176">
        <v>11.818</v>
      </c>
      <c r="H420" s="182"/>
      <c r="I420" s="37">
        <f t="shared" si="19"/>
        <v>11.818</v>
      </c>
      <c r="J420" s="38">
        <f t="shared" si="20"/>
        <v>1134.528</v>
      </c>
      <c r="K420" s="315"/>
      <c r="L420" s="145"/>
    </row>
    <row r="421" spans="1:12" ht="20.100000000000001" customHeight="1" thickBot="1" x14ac:dyDescent="0.4">
      <c r="A421" s="144" t="str">
        <f>IF(B421=IFERROR(VLOOKUP(B421,entrant!$E$4:$J$188,1,FALSE),"THERE WAS AN ERROR"),"RAPPORT JOURNAL","")</f>
        <v/>
      </c>
      <c r="B421" s="147" t="s">
        <v>1199</v>
      </c>
      <c r="C421" s="170" t="s">
        <v>1196</v>
      </c>
      <c r="D421" s="35">
        <f>SUMIF(entrant!$E$4:$E$2059,'Inventaire des produits'!B421,entrant!$G$4:$G$2059)</f>
        <v>4</v>
      </c>
      <c r="E421" s="35">
        <f>SUMIF(vente!$E$4:$E$2190,'Inventaire des produits'!B421,vente!$G$4:$G$2190)</f>
        <v>4</v>
      </c>
      <c r="F421" s="36">
        <f t="shared" si="18"/>
        <v>0</v>
      </c>
      <c r="G421" s="176">
        <v>29.167000000000002</v>
      </c>
      <c r="H421" s="182"/>
      <c r="I421" s="37">
        <f t="shared" si="19"/>
        <v>29.167000000000002</v>
      </c>
      <c r="J421" s="38">
        <f t="shared" si="20"/>
        <v>0</v>
      </c>
      <c r="K421" s="315"/>
      <c r="L421" s="145"/>
    </row>
    <row r="422" spans="1:12" ht="20.100000000000001" customHeight="1" thickBot="1" x14ac:dyDescent="0.4">
      <c r="A422" s="144" t="str">
        <f>IF(B422=IFERROR(VLOOKUP(B422,entrant!$E$4:$J$188,1,FALSE),"THERE WAS AN ERROR"),"RAPPORT JOURNAL","")</f>
        <v/>
      </c>
      <c r="B422" s="147" t="s">
        <v>1200</v>
      </c>
      <c r="C422" s="170" t="s">
        <v>1196</v>
      </c>
      <c r="D422" s="35">
        <f>SUMIF(entrant!$E$4:$E$2059,'Inventaire des produits'!B422,entrant!$G$4:$G$2059)</f>
        <v>5</v>
      </c>
      <c r="E422" s="35">
        <f>SUMIF(vente!$E$4:$E$2190,'Inventaire des produits'!B422,vente!$G$4:$G$2190)</f>
        <v>5</v>
      </c>
      <c r="F422" s="36">
        <f t="shared" si="18"/>
        <v>0</v>
      </c>
      <c r="G422" s="176">
        <v>29.169</v>
      </c>
      <c r="H422" s="182"/>
      <c r="I422" s="37">
        <f t="shared" si="19"/>
        <v>29.169</v>
      </c>
      <c r="J422" s="38">
        <f t="shared" si="20"/>
        <v>0</v>
      </c>
      <c r="K422" s="315"/>
      <c r="L422" s="145"/>
    </row>
    <row r="423" spans="1:12" ht="20.100000000000001" customHeight="1" thickBot="1" x14ac:dyDescent="0.4">
      <c r="A423" s="144" t="str">
        <f>IF(B423=IFERROR(VLOOKUP(B423,entrant!$E$4:$J$188,1,FALSE),"THERE WAS AN ERROR"),"RAPPORT JOURNAL","")</f>
        <v/>
      </c>
      <c r="B423" s="147" t="s">
        <v>1215</v>
      </c>
      <c r="C423" s="170" t="s">
        <v>692</v>
      </c>
      <c r="D423" s="35">
        <f>SUMIF(entrant!$E$4:$E$2059,'Inventaire des produits'!B423,entrant!$G$4:$G$2059)</f>
        <v>9900</v>
      </c>
      <c r="E423" s="35">
        <f>SUMIF(vente!$E$4:$E$2190,'Inventaire des produits'!B423,vente!$G$4:$G$2190)</f>
        <v>0</v>
      </c>
      <c r="F423" s="36">
        <f t="shared" si="18"/>
        <v>9900</v>
      </c>
      <c r="G423" s="176">
        <v>0.79166666666666663</v>
      </c>
      <c r="H423" s="182"/>
      <c r="I423" s="37">
        <f t="shared" si="19"/>
        <v>0.79166666666666663</v>
      </c>
      <c r="J423" s="38">
        <f t="shared" si="20"/>
        <v>7837.5</v>
      </c>
      <c r="K423" s="315"/>
      <c r="L423" s="145"/>
    </row>
    <row r="424" spans="1:12" ht="20.100000000000001" customHeight="1" thickBot="1" x14ac:dyDescent="0.4">
      <c r="A424" s="144" t="str">
        <f>IF(B424=IFERROR(VLOOKUP(B424,entrant!$E$4:$J$188,1,FALSE),"THERE WAS AN ERROR"),"RAPPORT JOURNAL","")</f>
        <v/>
      </c>
      <c r="B424" s="147" t="s">
        <v>1217</v>
      </c>
      <c r="C424" s="170" t="s">
        <v>1068</v>
      </c>
      <c r="D424" s="35">
        <f>SUMIF(entrant!$E$4:$E$2059,'Inventaire des produits'!B424,entrant!$G$4:$G$2059)</f>
        <v>4500</v>
      </c>
      <c r="E424" s="35">
        <f>SUMIF(vente!$E$4:$E$2190,'Inventaire des produits'!B424,vente!$G$4:$G$2190)</f>
        <v>2950</v>
      </c>
      <c r="F424" s="36">
        <f t="shared" si="18"/>
        <v>1550</v>
      </c>
      <c r="G424" s="176">
        <v>1.0694444444444446</v>
      </c>
      <c r="H424" s="182"/>
      <c r="I424" s="37">
        <f t="shared" si="19"/>
        <v>1.0694444444444446</v>
      </c>
      <c r="J424" s="38">
        <f t="shared" si="20"/>
        <v>1657.6388888888891</v>
      </c>
      <c r="K424" s="315"/>
      <c r="L424" s="145"/>
    </row>
    <row r="425" spans="1:12" ht="20.100000000000001" customHeight="1" thickBot="1" x14ac:dyDescent="0.4">
      <c r="A425" s="144" t="str">
        <f>IF(B425=IFERROR(VLOOKUP(B425,entrant!$E$4:$J$188,1,FALSE),"THERE WAS AN ERROR"),"RAPPORT JOURNAL","")</f>
        <v/>
      </c>
      <c r="B425" s="147" t="s">
        <v>1202</v>
      </c>
      <c r="C425" s="170" t="s">
        <v>858</v>
      </c>
      <c r="D425" s="35">
        <f>SUMIF(entrant!$E$4:$E$2059,'Inventaire des produits'!B425,entrant!$G$4:$G$2059)</f>
        <v>20000</v>
      </c>
      <c r="E425" s="35">
        <f>SUMIF(vente!$E$4:$E$2190,'Inventaire des produits'!B425,vente!$G$4:$G$2190)</f>
        <v>15500</v>
      </c>
      <c r="F425" s="36">
        <f t="shared" si="18"/>
        <v>4500</v>
      </c>
      <c r="G425" s="176">
        <v>0.14166666666666669</v>
      </c>
      <c r="H425" s="182"/>
      <c r="I425" s="37">
        <f t="shared" si="19"/>
        <v>0.14166666666666669</v>
      </c>
      <c r="J425" s="38">
        <f t="shared" si="20"/>
        <v>637.50000000000011</v>
      </c>
      <c r="K425" s="315"/>
      <c r="L425" s="145"/>
    </row>
    <row r="426" spans="1:12" ht="20.100000000000001" customHeight="1" thickBot="1" x14ac:dyDescent="0.4">
      <c r="A426" s="144" t="str">
        <f>IF(B426=IFERROR(VLOOKUP(B426,entrant!$E$4:$J$188,1,FALSE),"THERE WAS AN ERROR"),"RAPPORT JOURNAL","")</f>
        <v/>
      </c>
      <c r="B426" s="147" t="s">
        <v>1205</v>
      </c>
      <c r="C426" s="170" t="s">
        <v>487</v>
      </c>
      <c r="D426" s="35">
        <f>SUMIF(entrant!$E$4:$E$2059,'Inventaire des produits'!B426,entrant!$G$4:$G$2059)</f>
        <v>1200</v>
      </c>
      <c r="E426" s="35">
        <f>SUMIF(vente!$E$4:$E$2190,'Inventaire des produits'!B426,vente!$G$4:$G$2190)</f>
        <v>0</v>
      </c>
      <c r="F426" s="36">
        <f t="shared" si="18"/>
        <v>1200</v>
      </c>
      <c r="G426" s="176">
        <v>1</v>
      </c>
      <c r="H426" s="182"/>
      <c r="I426" s="37">
        <f t="shared" si="19"/>
        <v>1</v>
      </c>
      <c r="J426" s="38">
        <f t="shared" si="20"/>
        <v>1200</v>
      </c>
      <c r="K426" s="315"/>
      <c r="L426" s="145"/>
    </row>
    <row r="427" spans="1:12" ht="20.100000000000001" customHeight="1" thickBot="1" x14ac:dyDescent="0.4">
      <c r="A427" s="144" t="str">
        <f>IF(B427=IFERROR(VLOOKUP(B427,entrant!$E$4:$J$188,1,FALSE),"THERE WAS AN ERROR"),"RAPPORT JOURNAL","")</f>
        <v/>
      </c>
      <c r="B427" s="147" t="s">
        <v>1207</v>
      </c>
      <c r="C427" s="170" t="s">
        <v>954</v>
      </c>
      <c r="D427" s="35">
        <f>SUMIF(entrant!$E$4:$E$2059,'Inventaire des produits'!B427,entrant!$G$4:$G$2059)</f>
        <v>1500</v>
      </c>
      <c r="E427" s="35">
        <f>SUMIF(vente!$E$4:$E$2190,'Inventaire des produits'!B427,vente!$G$4:$G$2190)</f>
        <v>1500</v>
      </c>
      <c r="F427" s="36">
        <f t="shared" si="18"/>
        <v>0</v>
      </c>
      <c r="G427" s="176">
        <v>1.0833333333333335</v>
      </c>
      <c r="H427" s="182">
        <v>0.05</v>
      </c>
      <c r="I427" s="37">
        <f t="shared" si="19"/>
        <v>1.0291666666666668</v>
      </c>
      <c r="J427" s="38">
        <f t="shared" si="20"/>
        <v>0</v>
      </c>
      <c r="K427" s="315"/>
      <c r="L427" s="145"/>
    </row>
    <row r="428" spans="1:12" ht="20.100000000000001" customHeight="1" thickBot="1" x14ac:dyDescent="0.4">
      <c r="A428" s="144" t="str">
        <f>IF(B428=IFERROR(VLOOKUP(B428,entrant!$E$4:$J$188,1,FALSE),"THERE WAS AN ERROR"),"RAPPORT JOURNAL","")</f>
        <v/>
      </c>
      <c r="B428" s="147" t="s">
        <v>1210</v>
      </c>
      <c r="C428" s="170" t="s">
        <v>52</v>
      </c>
      <c r="D428" s="35">
        <f>SUMIF(entrant!$E$4:$E$2059,'Inventaire des produits'!B428,entrant!$G$4:$G$2059)</f>
        <v>500</v>
      </c>
      <c r="E428" s="35">
        <f>SUMIF(vente!$E$4:$E$2190,'Inventaire des produits'!B428,vente!$G$4:$G$2190)</f>
        <v>500</v>
      </c>
      <c r="F428" s="36">
        <f t="shared" si="18"/>
        <v>0</v>
      </c>
      <c r="G428" s="176">
        <v>1.3333333333333335</v>
      </c>
      <c r="H428" s="182"/>
      <c r="I428" s="37">
        <f t="shared" si="19"/>
        <v>1.3333333333333335</v>
      </c>
      <c r="J428" s="38">
        <f t="shared" si="20"/>
        <v>0</v>
      </c>
      <c r="K428" s="315"/>
      <c r="L428" s="145"/>
    </row>
    <row r="429" spans="1:12" ht="20.100000000000001" customHeight="1" thickBot="1" x14ac:dyDescent="0.4">
      <c r="A429" s="144" t="str">
        <f>IF(B429=IFERROR(VLOOKUP(B429,entrant!$E$4:$J$188,1,FALSE),"THERE WAS AN ERROR"),"RAPPORT JOURNAL","")</f>
        <v/>
      </c>
      <c r="B429" s="147" t="s">
        <v>1212</v>
      </c>
      <c r="C429" s="170" t="s">
        <v>1068</v>
      </c>
      <c r="D429" s="35">
        <f>SUMIF(entrant!$E$4:$E$2059,'Inventaire des produits'!B429,entrant!$G$4:$G$2059)</f>
        <v>900</v>
      </c>
      <c r="E429" s="35">
        <f>SUMIF(vente!$E$4:$E$2190,'Inventaire des produits'!B429,vente!$G$4:$G$2190)</f>
        <v>0</v>
      </c>
      <c r="F429" s="36">
        <f t="shared" si="18"/>
        <v>900</v>
      </c>
      <c r="G429" s="176">
        <v>1.05</v>
      </c>
      <c r="H429" s="182"/>
      <c r="I429" s="37">
        <f t="shared" si="19"/>
        <v>1.05</v>
      </c>
      <c r="J429" s="38">
        <f t="shared" si="20"/>
        <v>945</v>
      </c>
      <c r="K429" s="315"/>
      <c r="L429" s="145"/>
    </row>
    <row r="430" spans="1:12" ht="20.100000000000001" customHeight="1" thickBot="1" x14ac:dyDescent="0.4">
      <c r="A430" s="144" t="str">
        <f>IF(B430=IFERROR(VLOOKUP(B430,entrant!$E$4:$J$188,1,FALSE),"THERE WAS AN ERROR"),"RAPPORT JOURNAL","")</f>
        <v/>
      </c>
      <c r="B430" s="147" t="s">
        <v>1222</v>
      </c>
      <c r="C430" s="170" t="s">
        <v>1221</v>
      </c>
      <c r="D430" s="35">
        <f>SUMIF(entrant!$E$4:$E$2059,'Inventaire des produits'!B430,entrant!$G$4:$G$2059)</f>
        <v>1200000</v>
      </c>
      <c r="E430" s="35">
        <f>SUMIF(vente!$E$4:$E$2190,'Inventaire des produits'!B430,vente!$G$4:$G$2190)</f>
        <v>642900</v>
      </c>
      <c r="F430" s="36">
        <f t="shared" si="18"/>
        <v>557100</v>
      </c>
      <c r="G430" s="176">
        <v>0.1167</v>
      </c>
      <c r="H430" s="182"/>
      <c r="I430" s="37">
        <f t="shared" si="19"/>
        <v>0.1167</v>
      </c>
      <c r="J430" s="38">
        <f t="shared" si="20"/>
        <v>65013.57</v>
      </c>
      <c r="K430" s="315"/>
      <c r="L430" s="145"/>
    </row>
    <row r="431" spans="1:12" ht="20.100000000000001" customHeight="1" thickBot="1" x14ac:dyDescent="0.4">
      <c r="A431" s="144" t="str">
        <f>IF(B431=IFERROR(VLOOKUP(B431,entrant!$E$4:$J$188,1,FALSE),"THERE WAS AN ERROR"),"RAPPORT JOURNAL","")</f>
        <v/>
      </c>
      <c r="B431" s="147" t="s">
        <v>1229</v>
      </c>
      <c r="C431" s="170" t="s">
        <v>1228</v>
      </c>
      <c r="D431" s="35">
        <f>SUMIF(entrant!$E$4:$E$2059,'Inventaire des produits'!B431,entrant!$G$4:$G$2059)</f>
        <v>12</v>
      </c>
      <c r="E431" s="35">
        <f>SUMIF(vente!$E$4:$E$2190,'Inventaire des produits'!B431,vente!$G$4:$G$2190)</f>
        <v>0</v>
      </c>
      <c r="F431" s="36">
        <f t="shared" si="18"/>
        <v>12</v>
      </c>
      <c r="G431" s="176">
        <v>100</v>
      </c>
      <c r="H431" s="182"/>
      <c r="I431" s="37">
        <f t="shared" si="19"/>
        <v>100</v>
      </c>
      <c r="J431" s="38">
        <f t="shared" si="20"/>
        <v>1200</v>
      </c>
      <c r="K431" s="315"/>
      <c r="L431" s="145"/>
    </row>
    <row r="432" spans="1:12" ht="20.100000000000001" customHeight="1" thickBot="1" x14ac:dyDescent="0.4">
      <c r="A432" s="144" t="str">
        <f>IF(B432=IFERROR(VLOOKUP(B432,entrant!$E$4:$J$188,1,FALSE),"THERE WAS AN ERROR"),"RAPPORT JOURNAL","")</f>
        <v/>
      </c>
      <c r="B432" s="147" t="s">
        <v>1231</v>
      </c>
      <c r="C432" s="170" t="s">
        <v>1230</v>
      </c>
      <c r="D432" s="35">
        <f>SUMIF(entrant!$E$4:$E$2059,'Inventaire des produits'!B432,entrant!$G$4:$G$2059)</f>
        <v>68</v>
      </c>
      <c r="E432" s="35">
        <f>SUMIF(vente!$E$4:$E$2190,'Inventaire des produits'!B432,vente!$G$4:$G$2190)</f>
        <v>68</v>
      </c>
      <c r="F432" s="36">
        <f t="shared" si="18"/>
        <v>0</v>
      </c>
      <c r="G432" s="176">
        <v>103.33333330000001</v>
      </c>
      <c r="H432" s="182"/>
      <c r="I432" s="37">
        <f t="shared" si="19"/>
        <v>103.33333330000001</v>
      </c>
      <c r="J432" s="38">
        <f t="shared" si="20"/>
        <v>0</v>
      </c>
      <c r="K432" s="315"/>
      <c r="L432" s="145"/>
    </row>
    <row r="433" spans="1:12" ht="20.100000000000001" customHeight="1" thickBot="1" x14ac:dyDescent="0.4">
      <c r="A433" s="144" t="str">
        <f>IF(B433=IFERROR(VLOOKUP(B433,entrant!$E$4:$J$188,1,FALSE),"THERE WAS AN ERROR"),"RAPPORT JOURNAL","")</f>
        <v/>
      </c>
      <c r="B433" s="147" t="s">
        <v>1233</v>
      </c>
      <c r="C433" s="170" t="s">
        <v>1232</v>
      </c>
      <c r="D433" s="35">
        <f>SUMIF(entrant!$E$4:$E$2059,'Inventaire des produits'!B433,entrant!$G$4:$G$2059)</f>
        <v>6</v>
      </c>
      <c r="E433" s="35">
        <f>SUMIF(vente!$E$4:$E$2190,'Inventaire des produits'!B433,vente!$G$4:$G$2190)</f>
        <v>0</v>
      </c>
      <c r="F433" s="36">
        <f t="shared" si="18"/>
        <v>6</v>
      </c>
      <c r="G433" s="176">
        <v>54.167000000000002</v>
      </c>
      <c r="H433" s="182"/>
      <c r="I433" s="37">
        <f t="shared" si="19"/>
        <v>54.167000000000002</v>
      </c>
      <c r="J433" s="38">
        <f t="shared" si="20"/>
        <v>325.00200000000001</v>
      </c>
      <c r="K433" s="315"/>
      <c r="L433" s="145"/>
    </row>
    <row r="434" spans="1:12" ht="20.100000000000001" customHeight="1" thickBot="1" x14ac:dyDescent="0.4">
      <c r="A434" s="144" t="str">
        <f>IF(B434=IFERROR(VLOOKUP(B434,entrant!$E$4:$J$188,1,FALSE),"THERE WAS AN ERROR"),"RAPPORT JOURNAL","")</f>
        <v/>
      </c>
      <c r="B434" s="147" t="s">
        <v>1234</v>
      </c>
      <c r="C434" s="170" t="s">
        <v>1235</v>
      </c>
      <c r="D434" s="35">
        <f>SUMIF(entrant!$E$4:$E$2059,'Inventaire des produits'!B434,entrant!$G$4:$G$2059)</f>
        <v>19</v>
      </c>
      <c r="E434" s="35">
        <f>SUMIF(vente!$E$4:$E$2190,'Inventaire des produits'!B434,vente!$G$4:$G$2190)</f>
        <v>19</v>
      </c>
      <c r="F434" s="36">
        <f t="shared" si="18"/>
        <v>0</v>
      </c>
      <c r="G434" s="176">
        <v>20</v>
      </c>
      <c r="H434" s="182"/>
      <c r="I434" s="37">
        <f t="shared" si="19"/>
        <v>20</v>
      </c>
      <c r="J434" s="38">
        <f t="shared" si="20"/>
        <v>0</v>
      </c>
      <c r="K434" s="315"/>
      <c r="L434" s="145"/>
    </row>
    <row r="435" spans="1:12" ht="20.100000000000001" customHeight="1" thickBot="1" x14ac:dyDescent="0.4">
      <c r="A435" s="144" t="str">
        <f>IF(B435=IFERROR(VLOOKUP(B435,entrant!$E$4:$J$188,1,FALSE),"THERE WAS AN ERROR"),"RAPPORT JOURNAL","")</f>
        <v/>
      </c>
      <c r="B435" s="147" t="s">
        <v>1237</v>
      </c>
      <c r="C435" s="170" t="s">
        <v>1236</v>
      </c>
      <c r="D435" s="35">
        <f>SUMIF(entrant!$E$4:$E$2059,'Inventaire des produits'!B435,entrant!$G$4:$G$2059)</f>
        <v>12</v>
      </c>
      <c r="E435" s="35">
        <f>SUMIF(vente!$E$4:$E$2190,'Inventaire des produits'!B435,vente!$G$4:$G$2190)</f>
        <v>12</v>
      </c>
      <c r="F435" s="36">
        <f t="shared" si="18"/>
        <v>0</v>
      </c>
      <c r="G435" s="176">
        <v>18.3333333</v>
      </c>
      <c r="H435" s="182"/>
      <c r="I435" s="37">
        <f t="shared" si="19"/>
        <v>18.3333333</v>
      </c>
      <c r="J435" s="38">
        <f t="shared" si="20"/>
        <v>0</v>
      </c>
      <c r="K435" s="315"/>
      <c r="L435" s="145"/>
    </row>
    <row r="436" spans="1:12" ht="20.100000000000001" customHeight="1" thickBot="1" x14ac:dyDescent="0.4">
      <c r="A436" s="144" t="str">
        <f>IF(B436=IFERROR(VLOOKUP(B436,entrant!$E$4:$J$188,1,FALSE),"THERE WAS AN ERROR"),"RAPPORT JOURNAL","")</f>
        <v/>
      </c>
      <c r="B436" s="147" t="s">
        <v>1238</v>
      </c>
      <c r="C436" s="170" t="s">
        <v>1239</v>
      </c>
      <c r="D436" s="35">
        <f>SUMIF(entrant!$E$4:$E$2059,'Inventaire des produits'!B436,entrant!$G$4:$G$2059)</f>
        <v>12</v>
      </c>
      <c r="E436" s="35">
        <f>SUMIF(vente!$E$4:$E$2190,'Inventaire des produits'!B436,vente!$G$4:$G$2190)</f>
        <v>12</v>
      </c>
      <c r="F436" s="36">
        <f t="shared" si="18"/>
        <v>0</v>
      </c>
      <c r="G436" s="176">
        <v>33.3333333</v>
      </c>
      <c r="H436" s="182"/>
      <c r="I436" s="37">
        <f t="shared" si="19"/>
        <v>33.3333333</v>
      </c>
      <c r="J436" s="38">
        <f t="shared" si="20"/>
        <v>0</v>
      </c>
      <c r="K436" s="315"/>
      <c r="L436" s="145"/>
    </row>
    <row r="437" spans="1:12" ht="20.100000000000001" customHeight="1" thickBot="1" x14ac:dyDescent="0.4">
      <c r="A437" s="144" t="str">
        <f>IF(B437=IFERROR(VLOOKUP(B437,entrant!$E$4:$J$188,1,FALSE),"THERE WAS AN ERROR"),"RAPPORT JOURNAL","")</f>
        <v/>
      </c>
      <c r="B437" s="147" t="s">
        <v>1240</v>
      </c>
      <c r="C437" s="170" t="s">
        <v>1241</v>
      </c>
      <c r="D437" s="35">
        <f>SUMIF(entrant!$E$4:$E$2059,'Inventaire des produits'!B437,entrant!$G$4:$G$2059)</f>
        <v>10</v>
      </c>
      <c r="E437" s="35">
        <f>SUMIF(vente!$E$4:$E$2190,'Inventaire des produits'!B437,vente!$G$4:$G$2190)</f>
        <v>10</v>
      </c>
      <c r="F437" s="36">
        <f t="shared" si="18"/>
        <v>0</v>
      </c>
      <c r="G437" s="176">
        <v>62.5</v>
      </c>
      <c r="H437" s="182"/>
      <c r="I437" s="37">
        <f t="shared" si="19"/>
        <v>62.5</v>
      </c>
      <c r="J437" s="38">
        <f t="shared" si="20"/>
        <v>0</v>
      </c>
      <c r="K437" s="315"/>
      <c r="L437" s="145"/>
    </row>
    <row r="438" spans="1:12" ht="20.100000000000001" customHeight="1" thickBot="1" x14ac:dyDescent="0.4">
      <c r="A438" s="144" t="str">
        <f>IF(B438=IFERROR(VLOOKUP(B438,entrant!$E$4:$J$188,1,FALSE),"THERE WAS AN ERROR"),"RAPPORT JOURNAL","")</f>
        <v/>
      </c>
      <c r="B438" s="147" t="s">
        <v>1242</v>
      </c>
      <c r="C438" s="170" t="s">
        <v>1243</v>
      </c>
      <c r="D438" s="35">
        <f>SUMIF(entrant!$E$4:$E$2059,'Inventaire des produits'!B438,entrant!$G$4:$G$2059)</f>
        <v>6</v>
      </c>
      <c r="E438" s="35">
        <f>SUMIF(vente!$E$4:$E$2190,'Inventaire des produits'!B438,vente!$G$4:$G$2190)</f>
        <v>6</v>
      </c>
      <c r="F438" s="36">
        <f t="shared" si="18"/>
        <v>0</v>
      </c>
      <c r="G438" s="176">
        <v>60</v>
      </c>
      <c r="H438" s="182"/>
      <c r="I438" s="37">
        <f t="shared" si="19"/>
        <v>60</v>
      </c>
      <c r="J438" s="38">
        <f t="shared" si="20"/>
        <v>0</v>
      </c>
      <c r="K438" s="315"/>
      <c r="L438" s="145"/>
    </row>
    <row r="439" spans="1:12" ht="20.100000000000001" customHeight="1" thickBot="1" x14ac:dyDescent="0.4">
      <c r="A439" s="144" t="str">
        <f>IF(B439=IFERROR(VLOOKUP(B439,entrant!$E$4:$J$188,1,FALSE),"THERE WAS AN ERROR"),"RAPPORT JOURNAL","")</f>
        <v/>
      </c>
      <c r="B439" s="147" t="s">
        <v>1245</v>
      </c>
      <c r="C439" s="170" t="s">
        <v>1244</v>
      </c>
      <c r="D439" s="35">
        <f>SUMIF(entrant!$E$4:$E$2059,'Inventaire des produits'!B439,entrant!$G$4:$G$2059)</f>
        <v>6</v>
      </c>
      <c r="E439" s="35">
        <f>SUMIF(vente!$E$4:$E$2190,'Inventaire des produits'!B439,vente!$G$4:$G$2190)</f>
        <v>6</v>
      </c>
      <c r="F439" s="36">
        <f t="shared" si="18"/>
        <v>0</v>
      </c>
      <c r="G439" s="176">
        <v>58.3333333</v>
      </c>
      <c r="H439" s="182"/>
      <c r="I439" s="37">
        <f t="shared" si="19"/>
        <v>58.3333333</v>
      </c>
      <c r="J439" s="38">
        <f t="shared" si="20"/>
        <v>0</v>
      </c>
      <c r="K439" s="315"/>
      <c r="L439" s="145"/>
    </row>
    <row r="440" spans="1:12" ht="20.100000000000001" customHeight="1" thickBot="1" x14ac:dyDescent="0.4">
      <c r="A440" s="144" t="str">
        <f>IF(B440=IFERROR(VLOOKUP(B440,entrant!$E$4:$J$188,1,FALSE),"THERE WAS AN ERROR"),"RAPPORT JOURNAL","")</f>
        <v/>
      </c>
      <c r="B440" s="147" t="s">
        <v>1254</v>
      </c>
      <c r="C440" s="170" t="s">
        <v>1253</v>
      </c>
      <c r="D440" s="35">
        <f>SUMIF(entrant!$E$4:$E$2059,'Inventaire des produits'!B440,entrant!$G$4:$G$2059)</f>
        <v>2500</v>
      </c>
      <c r="E440" s="35">
        <f>SUMIF(vente!$E$4:$E$2190,'Inventaire des produits'!B440,vente!$G$4:$G$2190)</f>
        <v>2500</v>
      </c>
      <c r="F440" s="36">
        <f t="shared" si="18"/>
        <v>0</v>
      </c>
      <c r="G440" s="176">
        <v>0.33</v>
      </c>
      <c r="H440" s="182"/>
      <c r="I440" s="37">
        <f t="shared" si="19"/>
        <v>0.33</v>
      </c>
      <c r="J440" s="38">
        <f t="shared" si="20"/>
        <v>0</v>
      </c>
      <c r="K440" s="315"/>
      <c r="L440" s="145"/>
    </row>
    <row r="441" spans="1:12" ht="20.100000000000001" customHeight="1" thickBot="1" x14ac:dyDescent="0.4">
      <c r="A441" s="144" t="str">
        <f>IF(B441=IFERROR(VLOOKUP(B441,entrant!$E$4:$J$188,1,FALSE),"THERE WAS AN ERROR"),"RAPPORT JOURNAL","")</f>
        <v/>
      </c>
      <c r="B441" s="147" t="s">
        <v>1256</v>
      </c>
      <c r="C441" s="170" t="s">
        <v>1255</v>
      </c>
      <c r="D441" s="35">
        <f>SUMIF(entrant!$E$4:$E$2059,'Inventaire des produits'!B441,entrant!$G$4:$G$2059)</f>
        <v>400</v>
      </c>
      <c r="E441" s="35">
        <f>SUMIF(vente!$E$4:$E$2190,'Inventaire des produits'!B441,vente!$G$4:$G$2190)</f>
        <v>400</v>
      </c>
      <c r="F441" s="36">
        <f t="shared" si="18"/>
        <v>0</v>
      </c>
      <c r="G441" s="176">
        <v>1</v>
      </c>
      <c r="H441" s="182"/>
      <c r="I441" s="37">
        <f t="shared" si="19"/>
        <v>1</v>
      </c>
      <c r="J441" s="38">
        <f t="shared" si="20"/>
        <v>0</v>
      </c>
      <c r="K441" s="315"/>
      <c r="L441" s="145"/>
    </row>
    <row r="442" spans="1:12" ht="20.100000000000001" customHeight="1" thickBot="1" x14ac:dyDescent="0.4">
      <c r="A442" s="144" t="str">
        <f>IF(B442=IFERROR(VLOOKUP(B442,entrant!$E$4:$J$188,1,FALSE),"THERE WAS AN ERROR"),"RAPPORT JOURNAL","")</f>
        <v/>
      </c>
      <c r="B442" s="147" t="s">
        <v>1257</v>
      </c>
      <c r="C442" s="170" t="s">
        <v>108</v>
      </c>
      <c r="D442" s="35">
        <f>SUMIF(entrant!$E$4:$E$2059,'Inventaire des produits'!B442,entrant!$G$4:$G$2059)</f>
        <v>1000</v>
      </c>
      <c r="E442" s="35">
        <f>SUMIF(vente!$E$4:$E$2190,'Inventaire des produits'!B442,vente!$G$4:$G$2190)</f>
        <v>800</v>
      </c>
      <c r="F442" s="36">
        <f t="shared" si="18"/>
        <v>200</v>
      </c>
      <c r="G442" s="176">
        <v>0.52</v>
      </c>
      <c r="H442" s="182"/>
      <c r="I442" s="37">
        <f t="shared" si="19"/>
        <v>0.52</v>
      </c>
      <c r="J442" s="38">
        <f t="shared" si="20"/>
        <v>104</v>
      </c>
      <c r="K442" s="315"/>
      <c r="L442" s="145"/>
    </row>
    <row r="443" spans="1:12" ht="20.100000000000001" customHeight="1" thickBot="1" x14ac:dyDescent="0.4">
      <c r="A443" s="144" t="str">
        <f>IF(B443=IFERROR(VLOOKUP(B443,entrant!$E$4:$J$188,1,FALSE),"THERE WAS AN ERROR"),"RAPPORT JOURNAL","")</f>
        <v/>
      </c>
      <c r="B443" s="147" t="s">
        <v>1259</v>
      </c>
      <c r="C443" s="170" t="s">
        <v>39</v>
      </c>
      <c r="D443" s="35">
        <f>SUMIF(entrant!$E$4:$E$2059,'Inventaire des produits'!B443,entrant!$G$4:$G$2059)</f>
        <v>7000</v>
      </c>
      <c r="E443" s="35">
        <f>SUMIF(vente!$E$4:$E$2190,'Inventaire des produits'!B443,vente!$G$4:$G$2190)</f>
        <v>0</v>
      </c>
      <c r="F443" s="36">
        <f t="shared" si="18"/>
        <v>7000</v>
      </c>
      <c r="G443" s="176">
        <v>0.27</v>
      </c>
      <c r="H443" s="182"/>
      <c r="I443" s="37">
        <f t="shared" si="19"/>
        <v>0.27</v>
      </c>
      <c r="J443" s="38">
        <f t="shared" si="20"/>
        <v>1890.0000000000002</v>
      </c>
      <c r="K443" s="315"/>
      <c r="L443" s="145"/>
    </row>
    <row r="444" spans="1:12" ht="20.100000000000001" customHeight="1" thickBot="1" x14ac:dyDescent="0.4">
      <c r="A444" s="144" t="str">
        <f>IF(B444=IFERROR(VLOOKUP(B444,entrant!$E$4:$J$188,1,FALSE),"THERE WAS AN ERROR"),"RAPPORT JOURNAL","")</f>
        <v/>
      </c>
      <c r="B444" s="147" t="s">
        <v>1260</v>
      </c>
      <c r="C444" s="170" t="s">
        <v>1261</v>
      </c>
      <c r="D444" s="35">
        <f>SUMIF(entrant!$E$4:$E$2059,'Inventaire des produits'!B444,entrant!$G$4:$G$2059)</f>
        <v>4000</v>
      </c>
      <c r="E444" s="35">
        <f>SUMIF(vente!$E$4:$E$2190,'Inventaire des produits'!B444,vente!$G$4:$G$2190)</f>
        <v>4000</v>
      </c>
      <c r="F444" s="36">
        <f t="shared" si="18"/>
        <v>0</v>
      </c>
      <c r="G444" s="176">
        <v>0.49</v>
      </c>
      <c r="H444" s="182"/>
      <c r="I444" s="37">
        <f t="shared" si="19"/>
        <v>0.49</v>
      </c>
      <c r="J444" s="38">
        <f t="shared" si="20"/>
        <v>0</v>
      </c>
      <c r="K444" s="315"/>
      <c r="L444" s="145"/>
    </row>
    <row r="445" spans="1:12" ht="20.100000000000001" customHeight="1" thickBot="1" x14ac:dyDescent="0.4">
      <c r="A445" s="144" t="str">
        <f>IF(B445=IFERROR(VLOOKUP(B445,entrant!$E$4:$J$188,1,FALSE),"THERE WAS AN ERROR"),"RAPPORT JOURNAL","")</f>
        <v/>
      </c>
      <c r="B445" s="147" t="s">
        <v>1263</v>
      </c>
      <c r="C445" s="170" t="s">
        <v>1262</v>
      </c>
      <c r="D445" s="35">
        <f>SUMIF(entrant!$E$4:$E$2059,'Inventaire des produits'!B445,entrant!$G$4:$G$2059)</f>
        <v>4000</v>
      </c>
      <c r="E445" s="35">
        <f>SUMIF(vente!$E$4:$E$2190,'Inventaire des produits'!B445,vente!$G$4:$G$2190)</f>
        <v>4000</v>
      </c>
      <c r="F445" s="36">
        <f t="shared" si="18"/>
        <v>0</v>
      </c>
      <c r="G445" s="176">
        <v>0.49</v>
      </c>
      <c r="H445" s="182"/>
      <c r="I445" s="37">
        <f t="shared" si="19"/>
        <v>0.49</v>
      </c>
      <c r="J445" s="38">
        <f t="shared" si="20"/>
        <v>0</v>
      </c>
      <c r="K445" s="315"/>
      <c r="L445" s="145"/>
    </row>
    <row r="446" spans="1:12" ht="20.100000000000001" customHeight="1" thickBot="1" x14ac:dyDescent="0.4">
      <c r="A446" s="144" t="str">
        <f>IF(B446=IFERROR(VLOOKUP(B446,entrant!$E$4:$J$188,1,FALSE),"THERE WAS AN ERROR"),"RAPPORT JOURNAL","")</f>
        <v/>
      </c>
      <c r="B446" s="147" t="s">
        <v>1265</v>
      </c>
      <c r="C446" s="170" t="s">
        <v>1264</v>
      </c>
      <c r="D446" s="35">
        <f>SUMIF(entrant!$E$4:$E$2059,'Inventaire des produits'!B446,entrant!$G$4:$G$2059)</f>
        <v>23</v>
      </c>
      <c r="E446" s="35">
        <f>SUMIF(vente!$E$4:$E$2190,'Inventaire des produits'!B446,vente!$G$4:$G$2190)</f>
        <v>0</v>
      </c>
      <c r="F446" s="36">
        <f t="shared" si="18"/>
        <v>23</v>
      </c>
      <c r="G446" s="176">
        <v>22</v>
      </c>
      <c r="H446" s="182"/>
      <c r="I446" s="37">
        <f t="shared" si="19"/>
        <v>22</v>
      </c>
      <c r="J446" s="38">
        <f t="shared" si="20"/>
        <v>506</v>
      </c>
      <c r="K446" s="315"/>
      <c r="L446" s="145"/>
    </row>
    <row r="447" spans="1:12" ht="20.100000000000001" customHeight="1" thickBot="1" x14ac:dyDescent="0.4">
      <c r="A447" s="144" t="str">
        <f>IF(B447=IFERROR(VLOOKUP(B447,entrant!$E$4:$J$188,1,FALSE),"THERE WAS AN ERROR"),"RAPPORT JOURNAL","")</f>
        <v/>
      </c>
      <c r="B447" s="147" t="s">
        <v>1268</v>
      </c>
      <c r="C447" s="170" t="s">
        <v>1267</v>
      </c>
      <c r="D447" s="35">
        <f>SUMIF(entrant!$E$4:$E$2059,'Inventaire des produits'!B447,entrant!$G$4:$G$2059)</f>
        <v>5000</v>
      </c>
      <c r="E447" s="35">
        <f>SUMIF(vente!$E$4:$E$2190,'Inventaire des produits'!B447,vente!$G$4:$G$2190)</f>
        <v>0</v>
      </c>
      <c r="F447" s="36">
        <f t="shared" si="18"/>
        <v>5000</v>
      </c>
      <c r="G447" s="176">
        <v>0.73</v>
      </c>
      <c r="H447" s="182"/>
      <c r="I447" s="37">
        <f t="shared" si="19"/>
        <v>0.73</v>
      </c>
      <c r="J447" s="38">
        <f t="shared" si="20"/>
        <v>3650</v>
      </c>
      <c r="K447" s="315"/>
      <c r="L447" s="145"/>
    </row>
    <row r="448" spans="1:12" ht="20.100000000000001" customHeight="1" thickBot="1" x14ac:dyDescent="0.4">
      <c r="A448" s="144" t="str">
        <f>IF(B448=IFERROR(VLOOKUP(B448,entrant!$E$4:$J$188,1,FALSE),"THERE WAS AN ERROR"),"RAPPORT JOURNAL","")</f>
        <v/>
      </c>
      <c r="B448" s="147" t="s">
        <v>1269</v>
      </c>
      <c r="C448" s="170" t="s">
        <v>218</v>
      </c>
      <c r="D448" s="35">
        <f>SUMIF(entrant!$E$4:$E$2059,'Inventaire des produits'!B448,entrant!$G$4:$G$2059)</f>
        <v>9000</v>
      </c>
      <c r="E448" s="35">
        <f>SUMIF(vente!$E$4:$E$2190,'Inventaire des produits'!B448,vente!$G$4:$G$2190)</f>
        <v>2000</v>
      </c>
      <c r="F448" s="36">
        <f t="shared" si="18"/>
        <v>7000</v>
      </c>
      <c r="G448" s="176">
        <v>0.52</v>
      </c>
      <c r="H448" s="182"/>
      <c r="I448" s="37">
        <f t="shared" si="19"/>
        <v>0.52</v>
      </c>
      <c r="J448" s="38">
        <f t="shared" si="20"/>
        <v>3640</v>
      </c>
      <c r="K448" s="315"/>
      <c r="L448" s="145"/>
    </row>
    <row r="449" spans="1:12" ht="20.100000000000001" customHeight="1" thickBot="1" x14ac:dyDescent="0.4">
      <c r="A449" s="144" t="str">
        <f>IF(B449=IFERROR(VLOOKUP(B449,entrant!$E$4:$J$188,1,FALSE),"THERE WAS AN ERROR"),"RAPPORT JOURNAL","")</f>
        <v/>
      </c>
      <c r="B449" s="147" t="s">
        <v>1270</v>
      </c>
      <c r="C449" s="170" t="s">
        <v>55</v>
      </c>
      <c r="D449" s="35">
        <f>SUMIF(entrant!$E$4:$E$2059,'Inventaire des produits'!B449,entrant!$G$4:$G$2059)</f>
        <v>1000</v>
      </c>
      <c r="E449" s="35">
        <f>SUMIF(vente!$E$4:$E$2190,'Inventaire des produits'!B449,vente!$G$4:$G$2190)</f>
        <v>0</v>
      </c>
      <c r="F449" s="36">
        <f t="shared" si="18"/>
        <v>1000</v>
      </c>
      <c r="G449" s="176">
        <v>0.6</v>
      </c>
      <c r="H449" s="182"/>
      <c r="I449" s="37">
        <f t="shared" si="19"/>
        <v>0.6</v>
      </c>
      <c r="J449" s="38">
        <f t="shared" si="20"/>
        <v>600</v>
      </c>
      <c r="K449" s="315"/>
      <c r="L449" s="145"/>
    </row>
    <row r="450" spans="1:12" ht="20.100000000000001" customHeight="1" thickBot="1" x14ac:dyDescent="0.4">
      <c r="A450" s="144" t="str">
        <f>IF(B450=IFERROR(VLOOKUP(B450,entrant!$E$4:$J$188,1,FALSE),"THERE WAS AN ERROR"),"RAPPORT JOURNAL","")</f>
        <v/>
      </c>
      <c r="B450" s="147" t="s">
        <v>1278</v>
      </c>
      <c r="C450" s="170" t="s">
        <v>1277</v>
      </c>
      <c r="D450" s="35">
        <f>SUMIF(entrant!$E$4:$E$2059,'Inventaire des produits'!B450,entrant!$G$4:$G$2059)</f>
        <v>80</v>
      </c>
      <c r="E450" s="35">
        <f>SUMIF(vente!$E$4:$E$2190,'Inventaire des produits'!B450,vente!$G$4:$G$2190)</f>
        <v>80</v>
      </c>
      <c r="F450" s="36">
        <f t="shared" si="18"/>
        <v>0</v>
      </c>
      <c r="G450" s="176">
        <v>6.5834000000000001</v>
      </c>
      <c r="H450" s="182"/>
      <c r="I450" s="37">
        <f t="shared" si="19"/>
        <v>6.5834000000000001</v>
      </c>
      <c r="J450" s="38">
        <f t="shared" si="20"/>
        <v>0</v>
      </c>
      <c r="K450" s="315"/>
      <c r="L450" s="145"/>
    </row>
    <row r="451" spans="1:12" ht="20.100000000000001" customHeight="1" thickBot="1" x14ac:dyDescent="0.4">
      <c r="A451" s="144" t="str">
        <f>IF(B451=IFERROR(VLOOKUP(B451,entrant!$E$4:$J$188,1,FALSE),"THERE WAS AN ERROR"),"RAPPORT JOURNAL","")</f>
        <v/>
      </c>
      <c r="B451" s="147" t="s">
        <v>1282</v>
      </c>
      <c r="C451" s="170" t="s">
        <v>1280</v>
      </c>
      <c r="D451" s="35">
        <f>SUMIF(entrant!$E$4:$E$2059,'Inventaire des produits'!B451,entrant!$G$4:$G$2059)</f>
        <v>500</v>
      </c>
      <c r="E451" s="35">
        <f>SUMIF(vente!$E$4:$E$2190,'Inventaire des produits'!B451,vente!$G$4:$G$2190)</f>
        <v>0</v>
      </c>
      <c r="F451" s="36">
        <f t="shared" ref="F451:F514" si="21">IF(OR(D451="",E451=""),"",D451-E451)</f>
        <v>500</v>
      </c>
      <c r="G451" s="176">
        <v>20</v>
      </c>
      <c r="H451" s="182"/>
      <c r="I451" s="37">
        <f t="shared" si="19"/>
        <v>20</v>
      </c>
      <c r="J451" s="38">
        <f t="shared" si="20"/>
        <v>10000</v>
      </c>
      <c r="K451" s="315"/>
      <c r="L451" s="145"/>
    </row>
    <row r="452" spans="1:12" ht="20.100000000000001" customHeight="1" thickBot="1" x14ac:dyDescent="0.4">
      <c r="A452" s="144" t="str">
        <f>IF(B452=IFERROR(VLOOKUP(B452,entrant!$E$4:$J$188,1,FALSE),"THERE WAS AN ERROR"),"RAPPORT JOURNAL","")</f>
        <v/>
      </c>
      <c r="B452" s="147" t="s">
        <v>1283</v>
      </c>
      <c r="C452" s="170" t="s">
        <v>1281</v>
      </c>
      <c r="D452" s="35">
        <f>SUMIF(entrant!$E$4:$E$2059,'Inventaire des produits'!B452,entrant!$G$4:$G$2059)</f>
        <v>1000</v>
      </c>
      <c r="E452" s="35">
        <f>SUMIF(vente!$E$4:$E$2190,'Inventaire des produits'!B452,vente!$G$4:$G$2190)</f>
        <v>0</v>
      </c>
      <c r="F452" s="36">
        <f t="shared" si="21"/>
        <v>1000</v>
      </c>
      <c r="G452" s="176">
        <v>23.333400000000001</v>
      </c>
      <c r="H452" s="182"/>
      <c r="I452" s="37">
        <f t="shared" ref="I452:I515" si="22">IF(H452="",G452,G452-G452*H452)</f>
        <v>23.333400000000001</v>
      </c>
      <c r="J452" s="38">
        <f t="shared" ref="J452:J515" si="23">IF(OR(F452="",G452=""),"",F452*I452)</f>
        <v>23333.4</v>
      </c>
      <c r="K452" s="315"/>
      <c r="L452" s="145"/>
    </row>
    <row r="453" spans="1:12" ht="20.100000000000001" customHeight="1" thickBot="1" x14ac:dyDescent="0.4">
      <c r="A453" s="144" t="str">
        <f>IF(B453=IFERROR(VLOOKUP(B453,entrant!$E$4:$J$188,1,FALSE),"THERE WAS AN ERROR"),"RAPPORT JOURNAL","")</f>
        <v/>
      </c>
      <c r="B453" s="147" t="s">
        <v>1289</v>
      </c>
      <c r="C453" s="170" t="s">
        <v>1288</v>
      </c>
      <c r="D453" s="35">
        <f>SUMIF(entrant!$E$4:$E$2059,'Inventaire des produits'!B453,entrant!$G$4:$G$2059)</f>
        <v>44</v>
      </c>
      <c r="E453" s="35">
        <f>SUMIF(vente!$E$4:$E$2190,'Inventaire des produits'!B453,vente!$G$4:$G$2190)</f>
        <v>23</v>
      </c>
      <c r="F453" s="36">
        <f t="shared" si="21"/>
        <v>21</v>
      </c>
      <c r="G453" s="176">
        <v>22</v>
      </c>
      <c r="H453" s="182"/>
      <c r="I453" s="37">
        <f t="shared" si="22"/>
        <v>22</v>
      </c>
      <c r="J453" s="38">
        <f t="shared" si="23"/>
        <v>462</v>
      </c>
      <c r="K453" s="315"/>
      <c r="L453" s="145"/>
    </row>
    <row r="454" spans="1:12" ht="20.100000000000001" customHeight="1" thickBot="1" x14ac:dyDescent="0.4">
      <c r="A454" s="144" t="str">
        <f>IF(B454=IFERROR(VLOOKUP(B454,entrant!$E$4:$J$188,1,FALSE),"THERE WAS AN ERROR"),"RAPPORT JOURNAL","")</f>
        <v/>
      </c>
      <c r="B454" s="147" t="s">
        <v>1293</v>
      </c>
      <c r="C454" s="170" t="s">
        <v>287</v>
      </c>
      <c r="D454" s="35">
        <f>SUMIF(entrant!$E$4:$E$2059,'Inventaire des produits'!B454,entrant!$G$4:$G$2059)</f>
        <v>10000</v>
      </c>
      <c r="E454" s="35">
        <f>SUMIF(vente!$E$4:$E$2190,'Inventaire des produits'!B454,vente!$G$4:$G$2190)</f>
        <v>10000</v>
      </c>
      <c r="F454" s="36">
        <f t="shared" si="21"/>
        <v>0</v>
      </c>
      <c r="G454" s="176">
        <f>693.34/1000/1.2</f>
        <v>0.57778333333333343</v>
      </c>
      <c r="H454" s="182">
        <v>0.30759900000000001</v>
      </c>
      <c r="I454" s="37">
        <f t="shared" si="22"/>
        <v>0.40005775778333341</v>
      </c>
      <c r="J454" s="38">
        <f t="shared" si="23"/>
        <v>0</v>
      </c>
      <c r="K454" s="315"/>
      <c r="L454" s="166"/>
    </row>
    <row r="455" spans="1:12" ht="20.100000000000001" customHeight="1" thickBot="1" x14ac:dyDescent="0.4">
      <c r="A455" s="144" t="str">
        <f>IF(B455=IFERROR(VLOOKUP(B455,entrant!$E$4:$J$188,1,FALSE),"THERE WAS AN ERROR"),"RAPPORT JOURNAL","")</f>
        <v/>
      </c>
      <c r="B455" s="147" t="s">
        <v>1294</v>
      </c>
      <c r="C455" s="170" t="s">
        <v>50</v>
      </c>
      <c r="D455" s="35">
        <f>SUMIF(entrant!$E$4:$E$2059,'Inventaire des produits'!B455,entrant!$G$4:$G$2059)</f>
        <v>12000</v>
      </c>
      <c r="E455" s="35">
        <f>SUMIF(vente!$E$4:$E$2190,'Inventaire des produits'!B455,vente!$G$4:$G$2190)</f>
        <v>8000</v>
      </c>
      <c r="F455" s="36">
        <f t="shared" si="21"/>
        <v>4000</v>
      </c>
      <c r="G455" s="176">
        <v>1.3666666667</v>
      </c>
      <c r="H455" s="182">
        <v>0.25</v>
      </c>
      <c r="I455" s="37">
        <f t="shared" si="22"/>
        <v>1.0250000000249999</v>
      </c>
      <c r="J455" s="38">
        <f t="shared" si="23"/>
        <v>4100.0000000999999</v>
      </c>
      <c r="K455" s="315"/>
      <c r="L455" s="145"/>
    </row>
    <row r="456" spans="1:12" ht="20.100000000000001" customHeight="1" thickBot="1" x14ac:dyDescent="0.4">
      <c r="A456" s="144" t="str">
        <f>IF(B456=IFERROR(VLOOKUP(B456,entrant!$E$4:$J$188,1,FALSE),"THERE WAS AN ERROR"),"RAPPORT JOURNAL","")</f>
        <v/>
      </c>
      <c r="B456" s="147" t="s">
        <v>1295</v>
      </c>
      <c r="C456" s="170" t="s">
        <v>50</v>
      </c>
      <c r="D456" s="35">
        <f>SUMIF(entrant!$E$4:$E$2059,'Inventaire des produits'!B456,entrant!$G$4:$G$2059)</f>
        <v>2400</v>
      </c>
      <c r="E456" s="35">
        <f>SUMIF(vente!$E$4:$E$2190,'Inventaire des produits'!B456,vente!$G$4:$G$2190)</f>
        <v>0</v>
      </c>
      <c r="F456" s="36">
        <f t="shared" si="21"/>
        <v>2400</v>
      </c>
      <c r="G456" s="176">
        <f>1.64/1.2</f>
        <v>1.3666666666666667</v>
      </c>
      <c r="H456" s="182">
        <v>1</v>
      </c>
      <c r="I456" s="37">
        <f t="shared" si="22"/>
        <v>0</v>
      </c>
      <c r="J456" s="38">
        <f t="shared" si="23"/>
        <v>0</v>
      </c>
      <c r="K456" s="315"/>
      <c r="L456" s="145"/>
    </row>
    <row r="457" spans="1:12" ht="20.100000000000001" customHeight="1" thickBot="1" x14ac:dyDescent="0.4">
      <c r="A457" s="144" t="str">
        <f>IF(B457=IFERROR(VLOOKUP(B457,entrant!$E$4:$J$188,1,FALSE),"THERE WAS AN ERROR"),"RAPPORT JOURNAL","")</f>
        <v/>
      </c>
      <c r="B457" s="147" t="s">
        <v>1300</v>
      </c>
      <c r="C457" s="170" t="s">
        <v>1298</v>
      </c>
      <c r="D457" s="35">
        <f>SUMIF(entrant!$E$4:$E$2059,'Inventaire des produits'!B457,entrant!$G$4:$G$2059)</f>
        <v>6000</v>
      </c>
      <c r="E457" s="35">
        <f>SUMIF(vente!$E$4:$E$2190,'Inventaire des produits'!B457,vente!$G$4:$G$2190)</f>
        <v>600</v>
      </c>
      <c r="F457" s="36">
        <f t="shared" si="21"/>
        <v>5400</v>
      </c>
      <c r="G457" s="176">
        <f>0.2/1.2</f>
        <v>0.16666666666666669</v>
      </c>
      <c r="H457" s="182">
        <v>0.25</v>
      </c>
      <c r="I457" s="37">
        <f t="shared" si="22"/>
        <v>0.125</v>
      </c>
      <c r="J457" s="38">
        <f t="shared" si="23"/>
        <v>675</v>
      </c>
      <c r="K457" s="315"/>
      <c r="L457" s="145"/>
    </row>
    <row r="458" spans="1:12" ht="20.100000000000001" customHeight="1" thickBot="1" x14ac:dyDescent="0.4">
      <c r="A458" s="144" t="str">
        <f>IF(B458=IFERROR(VLOOKUP(B458,entrant!$E$4:$J$188,1,FALSE),"THERE WAS AN ERROR"),"RAPPORT JOURNAL","")</f>
        <v/>
      </c>
      <c r="B458" s="147" t="s">
        <v>1299</v>
      </c>
      <c r="C458" s="170" t="s">
        <v>1297</v>
      </c>
      <c r="D458" s="35">
        <f>SUMIF(entrant!$E$4:$E$2059,'Inventaire des produits'!B458,entrant!$G$4:$G$2059)</f>
        <v>6000</v>
      </c>
      <c r="E458" s="35">
        <f>SUMIF(vente!$E$4:$E$2190,'Inventaire des produits'!B458,vente!$G$4:$G$2190)</f>
        <v>600</v>
      </c>
      <c r="F458" s="36">
        <f t="shared" si="21"/>
        <v>5400</v>
      </c>
      <c r="G458" s="176">
        <f>0.294/1.2</f>
        <v>0.245</v>
      </c>
      <c r="H458" s="182">
        <v>0.25</v>
      </c>
      <c r="I458" s="37">
        <f t="shared" si="22"/>
        <v>0.18375</v>
      </c>
      <c r="J458" s="38">
        <f t="shared" si="23"/>
        <v>992.25</v>
      </c>
      <c r="K458" s="315"/>
      <c r="L458" s="145"/>
    </row>
    <row r="459" spans="1:12" ht="20.100000000000001" customHeight="1" thickBot="1" x14ac:dyDescent="0.4">
      <c r="A459" s="144" t="str">
        <f>IF(B459=IFERROR(VLOOKUP(B459,entrant!$E$4:$J$188,1,FALSE),"THERE WAS AN ERROR"),"RAPPORT JOURNAL","")</f>
        <v/>
      </c>
      <c r="B459" s="147" t="s">
        <v>1303</v>
      </c>
      <c r="C459" s="170" t="s">
        <v>574</v>
      </c>
      <c r="D459" s="35">
        <f>SUMIF(entrant!$E$4:$E$2059,'Inventaire des produits'!B459,entrant!$G$4:$G$2059)</f>
        <v>17000</v>
      </c>
      <c r="E459" s="35">
        <f>SUMIF(vente!$E$4:$E$2190,'Inventaire des produits'!B459,vente!$G$4:$G$2190)</f>
        <v>16800</v>
      </c>
      <c r="F459" s="36">
        <f t="shared" si="21"/>
        <v>200</v>
      </c>
      <c r="G459" s="176">
        <v>0.51666666666666672</v>
      </c>
      <c r="H459" s="182"/>
      <c r="I459" s="37">
        <f t="shared" si="22"/>
        <v>0.51666666666666672</v>
      </c>
      <c r="J459" s="38">
        <f t="shared" si="23"/>
        <v>103.33333333333334</v>
      </c>
      <c r="K459" s="315"/>
      <c r="L459" s="145"/>
    </row>
    <row r="460" spans="1:12" ht="20.100000000000001" customHeight="1" thickBot="1" x14ac:dyDescent="0.4">
      <c r="A460" s="144" t="str">
        <f>IF(B460=IFERROR(VLOOKUP(B460,entrant!$E$4:$J$188,1,FALSE),"THERE WAS AN ERROR"),"RAPPORT JOURNAL","")</f>
        <v/>
      </c>
      <c r="B460" s="147" t="s">
        <v>1305</v>
      </c>
      <c r="C460" s="170" t="s">
        <v>1304</v>
      </c>
      <c r="D460" s="35">
        <f>SUMIF(entrant!$E$4:$E$2059,'Inventaire des produits'!B460,entrant!$G$4:$G$2059)</f>
        <v>300</v>
      </c>
      <c r="E460" s="35">
        <f>SUMIF(vente!$E$4:$E$2190,'Inventaire des produits'!B460,vente!$G$4:$G$2190)</f>
        <v>0</v>
      </c>
      <c r="F460" s="36">
        <f t="shared" si="21"/>
        <v>300</v>
      </c>
      <c r="G460" s="176">
        <v>1.5833333333333299</v>
      </c>
      <c r="H460" s="182"/>
      <c r="I460" s="37">
        <f t="shared" si="22"/>
        <v>1.5833333333333299</v>
      </c>
      <c r="J460" s="38">
        <f t="shared" si="23"/>
        <v>474.99999999999898</v>
      </c>
      <c r="K460" s="315"/>
      <c r="L460" s="145"/>
    </row>
    <row r="461" spans="1:12" ht="20.100000000000001" customHeight="1" thickBot="1" x14ac:dyDescent="0.4">
      <c r="A461" s="144" t="str">
        <f>IF(B461=IFERROR(VLOOKUP(B461,entrant!$E$4:$J$188,1,FALSE),"THERE WAS AN ERROR"),"RAPPORT JOURNAL","")</f>
        <v/>
      </c>
      <c r="B461" s="147" t="s">
        <v>1307</v>
      </c>
      <c r="C461" s="170" t="s">
        <v>1306</v>
      </c>
      <c r="D461" s="35">
        <f>SUMIF(entrant!$E$4:$E$2059,'Inventaire des produits'!B461,entrant!$G$4:$G$2059)</f>
        <v>2500</v>
      </c>
      <c r="E461" s="35">
        <f>SUMIF(vente!$E$4:$E$2190,'Inventaire des produits'!B461,vente!$G$4:$G$2190)</f>
        <v>0</v>
      </c>
      <c r="F461" s="36">
        <f t="shared" si="21"/>
        <v>2500</v>
      </c>
      <c r="G461" s="176">
        <f>1.15/1.2</f>
        <v>0.95833333333333326</v>
      </c>
      <c r="H461" s="182"/>
      <c r="I461" s="37">
        <f t="shared" si="22"/>
        <v>0.95833333333333326</v>
      </c>
      <c r="J461" s="38">
        <f t="shared" si="23"/>
        <v>2395.833333333333</v>
      </c>
      <c r="K461" s="315"/>
      <c r="L461" s="145"/>
    </row>
    <row r="462" spans="1:12" ht="20.100000000000001" customHeight="1" thickBot="1" x14ac:dyDescent="0.4">
      <c r="A462" s="144" t="str">
        <f>IF(B462=IFERROR(VLOOKUP(B462,entrant!$E$4:$J$188,1,FALSE),"THERE WAS AN ERROR"),"RAPPORT JOURNAL","")</f>
        <v/>
      </c>
      <c r="B462" s="147" t="s">
        <v>1309</v>
      </c>
      <c r="C462" s="170" t="s">
        <v>1308</v>
      </c>
      <c r="D462" s="35">
        <f>SUMIF(entrant!$E$4:$E$2059,'Inventaire des produits'!B462,entrant!$G$4:$G$2059)</f>
        <v>5000</v>
      </c>
      <c r="E462" s="35">
        <f>SUMIF(vente!$E$4:$E$2190,'Inventaire des produits'!B462,vente!$G$4:$G$2190)</f>
        <v>0</v>
      </c>
      <c r="F462" s="36">
        <f t="shared" si="21"/>
        <v>5000</v>
      </c>
      <c r="G462" s="176">
        <f>0.75/1.2</f>
        <v>0.625</v>
      </c>
      <c r="H462" s="182"/>
      <c r="I462" s="37">
        <f t="shared" si="22"/>
        <v>0.625</v>
      </c>
      <c r="J462" s="38">
        <f t="shared" si="23"/>
        <v>3125</v>
      </c>
      <c r="K462" s="315"/>
      <c r="L462" s="145"/>
    </row>
    <row r="463" spans="1:12" ht="20.100000000000001" customHeight="1" thickBot="1" x14ac:dyDescent="0.4">
      <c r="A463" s="144" t="str">
        <f>IF(B463=IFERROR(VLOOKUP(B463,entrant!$E$4:$J$188,1,FALSE),"THERE WAS AN ERROR"),"RAPPORT JOURNAL","")</f>
        <v/>
      </c>
      <c r="B463" s="147" t="s">
        <v>1311</v>
      </c>
      <c r="C463" s="170" t="s">
        <v>1310</v>
      </c>
      <c r="D463" s="35">
        <f>SUMIF(entrant!$E$4:$E$2059,'Inventaire des produits'!B463,entrant!$G$4:$G$2059)</f>
        <v>10500</v>
      </c>
      <c r="E463" s="35">
        <f>SUMIF(vente!$E$4:$E$2190,'Inventaire des produits'!B463,vente!$G$4:$G$2190)</f>
        <v>9500</v>
      </c>
      <c r="F463" s="36">
        <f t="shared" si="21"/>
        <v>1000</v>
      </c>
      <c r="G463" s="176">
        <f>2.4/1.2</f>
        <v>2</v>
      </c>
      <c r="H463" s="182"/>
      <c r="I463" s="37">
        <f t="shared" si="22"/>
        <v>2</v>
      </c>
      <c r="J463" s="38">
        <f t="shared" si="23"/>
        <v>2000</v>
      </c>
      <c r="K463" s="315"/>
      <c r="L463" s="145"/>
    </row>
    <row r="464" spans="1:12" ht="20.100000000000001" customHeight="1" thickBot="1" x14ac:dyDescent="0.4">
      <c r="A464" s="144" t="str">
        <f>IF(B464=IFERROR(VLOOKUP(B464,entrant!$E$4:$J$188,1,FALSE),"THERE WAS AN ERROR"),"RAPPORT JOURNAL","")</f>
        <v/>
      </c>
      <c r="B464" s="147" t="s">
        <v>1313</v>
      </c>
      <c r="C464" s="170" t="s">
        <v>1312</v>
      </c>
      <c r="D464" s="35">
        <f>SUMIF(entrant!$E$4:$E$2059,'Inventaire des produits'!B464,entrant!$G$4:$G$2059)</f>
        <v>144</v>
      </c>
      <c r="E464" s="35">
        <f>SUMIF(vente!$E$4:$E$2190,'Inventaire des produits'!B464,vente!$G$4:$G$2190)</f>
        <v>0</v>
      </c>
      <c r="F464" s="36">
        <f t="shared" si="21"/>
        <v>144</v>
      </c>
      <c r="G464" s="176">
        <f>6.5/1.2</f>
        <v>5.416666666666667</v>
      </c>
      <c r="H464" s="182"/>
      <c r="I464" s="37">
        <f t="shared" si="22"/>
        <v>5.416666666666667</v>
      </c>
      <c r="J464" s="38">
        <f t="shared" si="23"/>
        <v>780</v>
      </c>
      <c r="K464" s="315"/>
      <c r="L464" s="145"/>
    </row>
    <row r="465" spans="1:12" ht="20.100000000000001" customHeight="1" thickBot="1" x14ac:dyDescent="0.4">
      <c r="A465" s="144" t="str">
        <f>IF(B465=IFERROR(VLOOKUP(B465,entrant!$E$4:$J$188,1,FALSE),"THERE WAS AN ERROR"),"RAPPORT JOURNAL","")</f>
        <v/>
      </c>
      <c r="B465" s="147" t="s">
        <v>1314</v>
      </c>
      <c r="C465" s="170" t="s">
        <v>574</v>
      </c>
      <c r="D465" s="35">
        <f>SUMIF(entrant!$E$4:$E$2059,'Inventaire des produits'!B465,entrant!$G$4:$G$2059)</f>
        <v>7000</v>
      </c>
      <c r="E465" s="35">
        <f>SUMIF(vente!$E$4:$E$2190,'Inventaire des produits'!B465,vente!$G$4:$G$2190)</f>
        <v>0</v>
      </c>
      <c r="F465" s="36">
        <f t="shared" si="21"/>
        <v>7000</v>
      </c>
      <c r="G465" s="176">
        <f>0.65/1.2</f>
        <v>0.54166666666666674</v>
      </c>
      <c r="H465" s="182"/>
      <c r="I465" s="37">
        <f t="shared" si="22"/>
        <v>0.54166666666666674</v>
      </c>
      <c r="J465" s="38">
        <f t="shared" si="23"/>
        <v>3791.666666666667</v>
      </c>
      <c r="K465" s="315"/>
      <c r="L465" s="145"/>
    </row>
    <row r="466" spans="1:12" ht="20.100000000000001" customHeight="1" thickBot="1" x14ac:dyDescent="0.4">
      <c r="A466" s="144" t="str">
        <f>IF(B466=IFERROR(VLOOKUP(B466,entrant!$E$4:$J$188,1,FALSE),"THERE WAS AN ERROR"),"RAPPORT JOURNAL","")</f>
        <v/>
      </c>
      <c r="B466" s="147" t="s">
        <v>1319</v>
      </c>
      <c r="C466" s="170" t="s">
        <v>1318</v>
      </c>
      <c r="D466" s="35">
        <f>SUMIF(entrant!$E$4:$E$2059,'Inventaire des produits'!B466,entrant!$G$4:$G$2059)</f>
        <v>15000</v>
      </c>
      <c r="E466" s="35">
        <f>SUMIF(vente!$E$4:$E$2190,'Inventaire des produits'!B466,vente!$G$4:$G$2190)</f>
        <v>0</v>
      </c>
      <c r="F466" s="36">
        <f t="shared" si="21"/>
        <v>15000</v>
      </c>
      <c r="G466" s="176">
        <v>0.33333249999999998</v>
      </c>
      <c r="H466" s="182"/>
      <c r="I466" s="37">
        <f t="shared" si="22"/>
        <v>0.33333249999999998</v>
      </c>
      <c r="J466" s="38">
        <f t="shared" si="23"/>
        <v>4999.9874999999993</v>
      </c>
      <c r="K466" s="315"/>
      <c r="L466" s="145"/>
    </row>
    <row r="467" spans="1:12" ht="20.100000000000001" customHeight="1" thickBot="1" x14ac:dyDescent="0.4">
      <c r="A467" s="144" t="str">
        <f>IF(B467=IFERROR(VLOOKUP(B467,entrant!$E$4:$J$188,1,FALSE),"THERE WAS AN ERROR"),"RAPPORT JOURNAL","")</f>
        <v/>
      </c>
      <c r="B467" s="147" t="s">
        <v>1316</v>
      </c>
      <c r="C467" s="170" t="s">
        <v>1321</v>
      </c>
      <c r="D467" s="35">
        <f>SUMIF(entrant!$E$4:$E$2059,'Inventaire des produits'!B467,entrant!$G$4:$G$2059)</f>
        <v>18300</v>
      </c>
      <c r="E467" s="35">
        <f>SUMIF(vente!$E$4:$E$2190,'Inventaire des produits'!B467,vente!$G$4:$G$2190)</f>
        <v>12900</v>
      </c>
      <c r="F467" s="36">
        <f t="shared" si="21"/>
        <v>5400</v>
      </c>
      <c r="G467" s="176">
        <v>0.41665999999999997</v>
      </c>
      <c r="H467" s="182"/>
      <c r="I467" s="37">
        <f t="shared" si="22"/>
        <v>0.41665999999999997</v>
      </c>
      <c r="J467" s="38">
        <f t="shared" si="23"/>
        <v>2249.9639999999999</v>
      </c>
      <c r="K467" s="315"/>
      <c r="L467" s="145"/>
    </row>
    <row r="468" spans="1:12" ht="20.100000000000001" customHeight="1" thickBot="1" x14ac:dyDescent="0.4">
      <c r="A468" s="144" t="str">
        <f>IF(B468=IFERROR(VLOOKUP(B468,entrant!$E$4:$J$188,1,FALSE),"THERE WAS AN ERROR"),"RAPPORT JOURNAL","")</f>
        <v/>
      </c>
      <c r="B468" s="147" t="s">
        <v>1327</v>
      </c>
      <c r="C468" s="170" t="s">
        <v>1288</v>
      </c>
      <c r="D468" s="35">
        <f>SUMIF(entrant!$E$4:$E$2059,'Inventaire des produits'!B468,entrant!$G$4:$G$2059)</f>
        <v>227</v>
      </c>
      <c r="E468" s="35">
        <f>SUMIF(vente!$E$4:$E$2190,'Inventaire des produits'!B468,vente!$G$4:$G$2190)</f>
        <v>199</v>
      </c>
      <c r="F468" s="36">
        <f t="shared" si="21"/>
        <v>28</v>
      </c>
      <c r="G468" s="176">
        <v>20.84</v>
      </c>
      <c r="H468" s="182"/>
      <c r="I468" s="37">
        <f t="shared" si="22"/>
        <v>20.84</v>
      </c>
      <c r="J468" s="38">
        <f t="shared" si="23"/>
        <v>583.52</v>
      </c>
      <c r="K468" s="315"/>
      <c r="L468" s="145"/>
    </row>
    <row r="469" spans="1:12" ht="20.100000000000001" customHeight="1" thickBot="1" x14ac:dyDescent="0.4">
      <c r="A469" s="144" t="str">
        <f>IF(B469=IFERROR(VLOOKUP(B469,entrant!$E$4:$J$188,1,FALSE),"THERE WAS AN ERROR"),"RAPPORT JOURNAL","")</f>
        <v/>
      </c>
      <c r="B469" s="147" t="s">
        <v>1334</v>
      </c>
      <c r="C469" s="170" t="s">
        <v>47</v>
      </c>
      <c r="D469" s="35">
        <f>SUMIF(entrant!$E$4:$E$2059,'Inventaire des produits'!B469,entrant!$G$4:$G$2059)</f>
        <v>10</v>
      </c>
      <c r="E469" s="35">
        <f>SUMIF(vente!$E$4:$E$2190,'Inventaire des produits'!B469,vente!$G$4:$G$2190)</f>
        <v>0</v>
      </c>
      <c r="F469" s="36">
        <f t="shared" si="21"/>
        <v>10</v>
      </c>
      <c r="G469" s="176">
        <v>40</v>
      </c>
      <c r="H469" s="182"/>
      <c r="I469" s="37">
        <f t="shared" si="22"/>
        <v>40</v>
      </c>
      <c r="J469" s="38">
        <f t="shared" si="23"/>
        <v>400</v>
      </c>
      <c r="K469" s="315"/>
      <c r="L469" s="145"/>
    </row>
    <row r="470" spans="1:12" ht="20.100000000000001" customHeight="1" thickBot="1" x14ac:dyDescent="0.4">
      <c r="A470" s="144" t="str">
        <f>IF(B470=IFERROR(VLOOKUP(B470,entrant!$E$4:$J$188,1,FALSE),"THERE WAS AN ERROR"),"RAPPORT JOURNAL","")</f>
        <v/>
      </c>
      <c r="B470" s="147" t="s">
        <v>1335</v>
      </c>
      <c r="C470" s="170" t="s">
        <v>48</v>
      </c>
      <c r="D470" s="35">
        <f>SUMIF(entrant!$E$4:$E$2059,'Inventaire des produits'!B470,entrant!$G$4:$G$2059)</f>
        <v>20</v>
      </c>
      <c r="E470" s="35">
        <f>SUMIF(vente!$E$4:$E$2190,'Inventaire des produits'!B470,vente!$G$4:$G$2190)</f>
        <v>20</v>
      </c>
      <c r="F470" s="36">
        <f t="shared" si="21"/>
        <v>0</v>
      </c>
      <c r="G470" s="176">
        <v>50</v>
      </c>
      <c r="H470" s="182"/>
      <c r="I470" s="37">
        <f t="shared" si="22"/>
        <v>50</v>
      </c>
      <c r="J470" s="38">
        <f t="shared" si="23"/>
        <v>0</v>
      </c>
      <c r="K470" s="315"/>
      <c r="L470" s="145"/>
    </row>
    <row r="471" spans="1:12" ht="20.100000000000001" customHeight="1" thickBot="1" x14ac:dyDescent="0.4">
      <c r="A471" s="144" t="str">
        <f>IF(B471=IFERROR(VLOOKUP(B471,entrant!$E$4:$J$188,1,FALSE),"THERE WAS AN ERROR"),"RAPPORT JOURNAL","")</f>
        <v/>
      </c>
      <c r="B471" s="147" t="s">
        <v>1337</v>
      </c>
      <c r="C471" s="170" t="s">
        <v>1336</v>
      </c>
      <c r="D471" s="35">
        <f>SUMIF(entrant!$E$4:$E$2059,'Inventaire des produits'!B471,entrant!$G$4:$G$2059)</f>
        <v>10000</v>
      </c>
      <c r="E471" s="35">
        <f>SUMIF(vente!$E$4:$E$2190,'Inventaire des produits'!B471,vente!$G$4:$G$2190)</f>
        <v>0</v>
      </c>
      <c r="F471" s="36">
        <f t="shared" si="21"/>
        <v>10000</v>
      </c>
      <c r="G471" s="176">
        <f>480/1000</f>
        <v>0.48</v>
      </c>
      <c r="H471" s="182"/>
      <c r="I471" s="37">
        <f t="shared" si="22"/>
        <v>0.48</v>
      </c>
      <c r="J471" s="38">
        <f t="shared" si="23"/>
        <v>4800</v>
      </c>
      <c r="K471" s="315"/>
      <c r="L471" s="145"/>
    </row>
    <row r="472" spans="1:12" ht="20.100000000000001" customHeight="1" thickBot="1" x14ac:dyDescent="0.4">
      <c r="A472" s="144" t="str">
        <f>IF(B472=IFERROR(VLOOKUP(B472,entrant!$E$4:$J$188,1,FALSE),"THERE WAS AN ERROR"),"RAPPORT JOURNAL","")</f>
        <v/>
      </c>
      <c r="B472" s="147" t="s">
        <v>1338</v>
      </c>
      <c r="C472" s="170" t="s">
        <v>48</v>
      </c>
      <c r="D472" s="35">
        <f>SUMIF(entrant!$E$4:$E$2059,'Inventaire des produits'!B472,entrant!$G$4:$G$2059)</f>
        <v>71</v>
      </c>
      <c r="E472" s="35">
        <f>SUMIF(vente!$E$4:$E$2190,'Inventaire des produits'!B472,vente!$G$4:$G$2190)</f>
        <v>71</v>
      </c>
      <c r="F472" s="36">
        <f t="shared" si="21"/>
        <v>0</v>
      </c>
      <c r="G472" s="176">
        <v>49.94</v>
      </c>
      <c r="H472" s="182"/>
      <c r="I472" s="37">
        <f t="shared" si="22"/>
        <v>49.94</v>
      </c>
      <c r="J472" s="38">
        <f t="shared" si="23"/>
        <v>0</v>
      </c>
      <c r="K472" s="315"/>
      <c r="L472" s="145"/>
    </row>
    <row r="473" spans="1:12" ht="20.100000000000001" customHeight="1" thickBot="1" x14ac:dyDescent="0.4">
      <c r="A473" s="144" t="str">
        <f>IF(B473=IFERROR(VLOOKUP(B473,entrant!$E$4:$J$188,1,FALSE),"THERE WAS AN ERROR"),"RAPPORT JOURNAL","")</f>
        <v/>
      </c>
      <c r="B473" s="147" t="s">
        <v>1339</v>
      </c>
      <c r="C473" s="170" t="s">
        <v>49</v>
      </c>
      <c r="D473" s="35">
        <f>SUMIF(entrant!$E$4:$E$2059,'Inventaire des produits'!B473,entrant!$G$4:$G$2059)</f>
        <v>61</v>
      </c>
      <c r="E473" s="35">
        <f>SUMIF(vente!$E$4:$E$2190,'Inventaire des produits'!B473,vente!$G$4:$G$2190)</f>
        <v>60</v>
      </c>
      <c r="F473" s="36">
        <f t="shared" si="21"/>
        <v>1</v>
      </c>
      <c r="G473" s="176">
        <v>58</v>
      </c>
      <c r="H473" s="182"/>
      <c r="I473" s="37">
        <f t="shared" si="22"/>
        <v>58</v>
      </c>
      <c r="J473" s="38">
        <f t="shared" si="23"/>
        <v>58</v>
      </c>
      <c r="K473" s="315"/>
      <c r="L473" s="145"/>
    </row>
    <row r="474" spans="1:12" ht="20.100000000000001" customHeight="1" thickBot="1" x14ac:dyDescent="0.4">
      <c r="A474" s="144" t="str">
        <f>IF(B474=IFERROR(VLOOKUP(B474,entrant!$E$4:$J$188,1,FALSE),"THERE WAS AN ERROR"),"RAPPORT JOURNAL","")</f>
        <v/>
      </c>
      <c r="B474" s="147" t="s">
        <v>1369</v>
      </c>
      <c r="C474" s="170" t="s">
        <v>1370</v>
      </c>
      <c r="D474" s="35">
        <f>SUMIF(entrant!$E$4:$E$2059,'Inventaire des produits'!B474,entrant!$G$4:$G$2059)</f>
        <v>100</v>
      </c>
      <c r="E474" s="35">
        <f>SUMIF(vente!$E$4:$E$2190,'Inventaire des produits'!B474,vente!$G$4:$G$2190)</f>
        <v>0</v>
      </c>
      <c r="F474" s="36">
        <f t="shared" si="21"/>
        <v>100</v>
      </c>
      <c r="G474" s="176">
        <f>215/1.2/50</f>
        <v>3.5833333333333339</v>
      </c>
      <c r="H474" s="182">
        <v>1</v>
      </c>
      <c r="I474" s="37">
        <f t="shared" si="22"/>
        <v>0</v>
      </c>
      <c r="J474" s="38">
        <f t="shared" si="23"/>
        <v>0</v>
      </c>
      <c r="K474" s="315"/>
      <c r="L474" s="145"/>
    </row>
    <row r="475" spans="1:12" ht="20.100000000000001" customHeight="1" thickBot="1" x14ac:dyDescent="0.4">
      <c r="A475" s="144" t="str">
        <f>IF(B475=IFERROR(VLOOKUP(B475,entrant!$E$4:$J$188,1,FALSE),"THERE WAS AN ERROR"),"RAPPORT JOURNAL","")</f>
        <v/>
      </c>
      <c r="B475" s="147" t="s">
        <v>1374</v>
      </c>
      <c r="C475" s="170" t="s">
        <v>1375</v>
      </c>
      <c r="D475" s="35">
        <f>SUMIF(entrant!$E$4:$E$2059,'Inventaire des produits'!B475,entrant!$G$4:$G$2059)</f>
        <v>405</v>
      </c>
      <c r="E475" s="35">
        <f>SUMIF(vente!$E$4:$E$2190,'Inventaire des produits'!B475,vente!$G$4:$G$2190)</f>
        <v>0</v>
      </c>
      <c r="F475" s="36">
        <f t="shared" si="21"/>
        <v>405</v>
      </c>
      <c r="G475" s="176">
        <v>19.166666666600001</v>
      </c>
      <c r="H475" s="182"/>
      <c r="I475" s="37">
        <f t="shared" si="22"/>
        <v>19.166666666600001</v>
      </c>
      <c r="J475" s="38">
        <f t="shared" si="23"/>
        <v>7762.4999999730007</v>
      </c>
      <c r="K475" s="315"/>
      <c r="L475" s="145"/>
    </row>
    <row r="476" spans="1:12" ht="20.100000000000001" customHeight="1" thickBot="1" x14ac:dyDescent="0.4">
      <c r="A476" s="144" t="str">
        <f>IF(B476=IFERROR(VLOOKUP(B476,entrant!$E$4:$J$188,1,FALSE),"THERE WAS AN ERROR"),"RAPPORT JOURNAL","")</f>
        <v/>
      </c>
      <c r="B476" s="147" t="s">
        <v>1376</v>
      </c>
      <c r="C476" s="170" t="s">
        <v>1132</v>
      </c>
      <c r="D476" s="35">
        <f>SUMIF(entrant!$E$4:$E$2059,'Inventaire des produits'!B476,entrant!$G$4:$G$2059)</f>
        <v>360</v>
      </c>
      <c r="E476" s="35">
        <f>SUMIF(vente!$E$4:$E$2190,'Inventaire des produits'!B476,vente!$G$4:$G$2190)</f>
        <v>200</v>
      </c>
      <c r="F476" s="36">
        <f t="shared" si="21"/>
        <v>160</v>
      </c>
      <c r="G476" s="176">
        <v>6</v>
      </c>
      <c r="H476" s="182"/>
      <c r="I476" s="37">
        <f t="shared" si="22"/>
        <v>6</v>
      </c>
      <c r="J476" s="38">
        <f t="shared" si="23"/>
        <v>960</v>
      </c>
      <c r="K476" s="315"/>
      <c r="L476" s="145"/>
    </row>
    <row r="477" spans="1:12" ht="20.100000000000001" customHeight="1" thickBot="1" x14ac:dyDescent="0.4">
      <c r="A477" s="144" t="str">
        <f>IF(B477=IFERROR(VLOOKUP(B477,entrant!$E$4:$J$188,1,FALSE),"THERE WAS AN ERROR"),"RAPPORT JOURNAL","")</f>
        <v/>
      </c>
      <c r="B477" s="147" t="s">
        <v>1378</v>
      </c>
      <c r="C477" s="170" t="s">
        <v>1377</v>
      </c>
      <c r="D477" s="35">
        <f>SUMIF(entrant!$E$4:$E$2059,'Inventaire des produits'!B477,entrant!$G$4:$G$2059)</f>
        <v>2000</v>
      </c>
      <c r="E477" s="35">
        <f>SUMIF(vente!$E$4:$E$2190,'Inventaire des produits'!B477,vente!$G$4:$G$2190)</f>
        <v>160</v>
      </c>
      <c r="F477" s="36">
        <f t="shared" si="21"/>
        <v>1840</v>
      </c>
      <c r="G477" s="176">
        <v>2.9166666666666599</v>
      </c>
      <c r="H477" s="182"/>
      <c r="I477" s="37">
        <f t="shared" si="22"/>
        <v>2.9166666666666599</v>
      </c>
      <c r="J477" s="38">
        <f t="shared" si="23"/>
        <v>5366.6666666666542</v>
      </c>
      <c r="K477" s="315"/>
      <c r="L477" s="145"/>
    </row>
    <row r="478" spans="1:12" ht="20.100000000000001" customHeight="1" thickBot="1" x14ac:dyDescent="0.4">
      <c r="A478" s="144" t="str">
        <f>IF(B478=IFERROR(VLOOKUP(B478,entrant!$E$4:$J$188,1,FALSE),"THERE WAS AN ERROR"),"RAPPORT JOURNAL","")</f>
        <v/>
      </c>
      <c r="B478" s="147" t="s">
        <v>1398</v>
      </c>
      <c r="C478" s="170" t="s">
        <v>639</v>
      </c>
      <c r="D478" s="35">
        <f>SUMIF(entrant!$E$4:$E$2059,'Inventaire des produits'!B478,entrant!$G$4:$G$2059)</f>
        <v>300</v>
      </c>
      <c r="E478" s="35">
        <f>SUMIF(vente!$E$4:$E$2190,'Inventaire des produits'!B478,vente!$G$4:$G$2190)</f>
        <v>0</v>
      </c>
      <c r="F478" s="36">
        <f t="shared" si="21"/>
        <v>300</v>
      </c>
      <c r="G478" s="176">
        <v>1.06666666666667</v>
      </c>
      <c r="H478" s="182"/>
      <c r="I478" s="37">
        <f t="shared" si="22"/>
        <v>1.06666666666667</v>
      </c>
      <c r="J478" s="38">
        <f t="shared" si="23"/>
        <v>320.00000000000102</v>
      </c>
      <c r="K478" s="315"/>
      <c r="L478" s="145"/>
    </row>
    <row r="479" spans="1:12" ht="20.100000000000001" customHeight="1" thickBot="1" x14ac:dyDescent="0.4">
      <c r="A479" s="144" t="str">
        <f>IF(B479=IFERROR(VLOOKUP(B479,entrant!$E$4:$J$188,1,FALSE),"THERE WAS AN ERROR"),"RAPPORT JOURNAL","")</f>
        <v/>
      </c>
      <c r="B479" s="147" t="s">
        <v>1400</v>
      </c>
      <c r="C479" s="170" t="s">
        <v>639</v>
      </c>
      <c r="D479" s="35">
        <f>SUMIF(entrant!$E$4:$E$2059,'Inventaire des produits'!B479,entrant!$G$4:$G$2059)</f>
        <v>600</v>
      </c>
      <c r="E479" s="35">
        <f>SUMIF(vente!$E$4:$E$2190,'Inventaire des produits'!B479,vente!$G$4:$G$2190)</f>
        <v>600</v>
      </c>
      <c r="F479" s="36">
        <f t="shared" si="21"/>
        <v>0</v>
      </c>
      <c r="G479" s="176">
        <v>1</v>
      </c>
      <c r="H479" s="182"/>
      <c r="I479" s="37">
        <f t="shared" si="22"/>
        <v>1</v>
      </c>
      <c r="J479" s="38">
        <f t="shared" si="23"/>
        <v>0</v>
      </c>
      <c r="K479" s="315"/>
      <c r="L479" s="145"/>
    </row>
    <row r="480" spans="1:12" ht="20.100000000000001" customHeight="1" thickBot="1" x14ac:dyDescent="0.4">
      <c r="A480" s="144" t="str">
        <f>IF(B480=IFERROR(VLOOKUP(B480,entrant!$E$4:$J$188,1,FALSE),"THERE WAS AN ERROR"),"RAPPORT JOURNAL","")</f>
        <v/>
      </c>
      <c r="B480" s="147" t="s">
        <v>1402</v>
      </c>
      <c r="C480" s="170" t="s">
        <v>1401</v>
      </c>
      <c r="D480" s="35">
        <f>SUMIF(entrant!$E$4:$E$2059,'Inventaire des produits'!B480,entrant!$G$4:$G$2059)</f>
        <v>600</v>
      </c>
      <c r="E480" s="35">
        <f>SUMIF(vente!$E$4:$E$2190,'Inventaire des produits'!B480,vente!$G$4:$G$2190)</f>
        <v>0</v>
      </c>
      <c r="F480" s="36">
        <f t="shared" si="21"/>
        <v>600</v>
      </c>
      <c r="G480" s="176">
        <f>450/1.2/300</f>
        <v>1.25</v>
      </c>
      <c r="H480" s="182"/>
      <c r="I480" s="37">
        <f t="shared" si="22"/>
        <v>1.25</v>
      </c>
      <c r="J480" s="38">
        <f t="shared" si="23"/>
        <v>750</v>
      </c>
      <c r="K480" s="315"/>
      <c r="L480" s="145"/>
    </row>
    <row r="481" spans="1:12" ht="20.100000000000001" customHeight="1" thickBot="1" x14ac:dyDescent="0.4">
      <c r="A481" s="144" t="str">
        <f>IF(B481=IFERROR(VLOOKUP(B481,entrant!$E$4:$J$188,1,FALSE),"THERE WAS AN ERROR"),"RAPPORT JOURNAL","")</f>
        <v/>
      </c>
      <c r="B481" s="147" t="s">
        <v>1404</v>
      </c>
      <c r="C481" s="170" t="s">
        <v>642</v>
      </c>
      <c r="D481" s="35">
        <f>SUMIF(entrant!$E$4:$E$2059,'Inventaire des produits'!B481,entrant!$G$4:$G$2059)</f>
        <v>900</v>
      </c>
      <c r="E481" s="35">
        <f>SUMIF(vente!$E$4:$E$2190,'Inventaire des produits'!B481,vente!$G$4:$G$2190)</f>
        <v>500</v>
      </c>
      <c r="F481" s="36">
        <f t="shared" si="21"/>
        <v>400</v>
      </c>
      <c r="G481" s="176">
        <v>1.8333333333333333</v>
      </c>
      <c r="H481" s="182"/>
      <c r="I481" s="37">
        <f t="shared" si="22"/>
        <v>1.8333333333333333</v>
      </c>
      <c r="J481" s="38">
        <f t="shared" si="23"/>
        <v>733.33333333333326</v>
      </c>
      <c r="K481" s="315"/>
      <c r="L481" s="145"/>
    </row>
    <row r="482" spans="1:12" ht="20.100000000000001" customHeight="1" thickBot="1" x14ac:dyDescent="0.4">
      <c r="A482" s="144" t="str">
        <f>IF(B482=IFERROR(VLOOKUP(B482,entrant!$E$4:$J$188,1,FALSE),"THERE WAS AN ERROR"),"RAPPORT JOURNAL","")</f>
        <v/>
      </c>
      <c r="B482" s="147" t="s">
        <v>1406</v>
      </c>
      <c r="C482" s="170" t="s">
        <v>1068</v>
      </c>
      <c r="D482" s="35">
        <f>SUMIF(entrant!$E$4:$E$2059,'Inventaire des produits'!B482,entrant!$G$4:$G$2059)</f>
        <v>2400</v>
      </c>
      <c r="E482" s="35">
        <f>SUMIF(vente!$E$4:$E$2190,'Inventaire des produits'!B482,vente!$G$4:$G$2190)</f>
        <v>0</v>
      </c>
      <c r="F482" s="36">
        <f t="shared" si="21"/>
        <v>2400</v>
      </c>
      <c r="G482" s="176">
        <v>1.0833333333333299</v>
      </c>
      <c r="H482" s="182"/>
      <c r="I482" s="37">
        <f t="shared" si="22"/>
        <v>1.0833333333333299</v>
      </c>
      <c r="J482" s="38">
        <f t="shared" si="23"/>
        <v>2599.9999999999918</v>
      </c>
      <c r="K482" s="315"/>
      <c r="L482" s="145"/>
    </row>
    <row r="483" spans="1:12" ht="20.100000000000001" customHeight="1" thickBot="1" x14ac:dyDescent="0.4">
      <c r="A483" s="144" t="str">
        <f>IF(B483=IFERROR(VLOOKUP(B483,entrant!$E$4:$J$188,1,FALSE),"THERE WAS AN ERROR"),"RAPPORT JOURNAL","")</f>
        <v/>
      </c>
      <c r="B483" s="147" t="s">
        <v>1409</v>
      </c>
      <c r="C483" s="170" t="s">
        <v>1408</v>
      </c>
      <c r="D483" s="35">
        <f>SUMIF(entrant!$E$4:$E$2059,'Inventaire des produits'!B483,entrant!$G$4:$G$2059)</f>
        <v>800</v>
      </c>
      <c r="E483" s="35">
        <f>SUMIF(vente!$E$4:$E$2190,'Inventaire des produits'!B483,vente!$G$4:$G$2190)</f>
        <v>0</v>
      </c>
      <c r="F483" s="36">
        <f t="shared" si="21"/>
        <v>800</v>
      </c>
      <c r="G483" s="176">
        <f>450/1.2/300</f>
        <v>1.25</v>
      </c>
      <c r="H483" s="182"/>
      <c r="I483" s="37">
        <f t="shared" si="22"/>
        <v>1.25</v>
      </c>
      <c r="J483" s="38">
        <f t="shared" si="23"/>
        <v>1000</v>
      </c>
      <c r="K483" s="315"/>
      <c r="L483" s="145"/>
    </row>
    <row r="484" spans="1:12" ht="20.100000000000001" customHeight="1" thickBot="1" x14ac:dyDescent="0.4">
      <c r="A484" s="144" t="str">
        <f>IF(B484=IFERROR(VLOOKUP(B484,entrant!$E$4:$J$188,1,FALSE),"THERE WAS AN ERROR"),"RAPPORT JOURNAL","")</f>
        <v/>
      </c>
      <c r="B484" s="147" t="s">
        <v>1412</v>
      </c>
      <c r="C484" s="170" t="s">
        <v>642</v>
      </c>
      <c r="D484" s="35">
        <f>SUMIF(entrant!$E$4:$E$2059,'Inventaire des produits'!B484,entrant!$G$4:$G$2059)</f>
        <v>600</v>
      </c>
      <c r="E484" s="35">
        <f>SUMIF(vente!$E$4:$E$2190,'Inventaire des produits'!B484,vente!$G$4:$G$2190)</f>
        <v>0</v>
      </c>
      <c r="F484" s="36">
        <f t="shared" si="21"/>
        <v>600</v>
      </c>
      <c r="G484" s="176">
        <v>1.75</v>
      </c>
      <c r="H484" s="182"/>
      <c r="I484" s="37">
        <f t="shared" si="22"/>
        <v>1.75</v>
      </c>
      <c r="J484" s="38">
        <f t="shared" si="23"/>
        <v>1050</v>
      </c>
      <c r="K484" s="315"/>
      <c r="L484" s="145"/>
    </row>
    <row r="485" spans="1:12" ht="20.100000000000001" customHeight="1" thickBot="1" x14ac:dyDescent="0.4">
      <c r="A485" s="144" t="str">
        <f>IF(B485=IFERROR(VLOOKUP(B485,entrant!$E$4:$J$188,1,FALSE),"THERE WAS AN ERROR"),"RAPPORT JOURNAL","")</f>
        <v/>
      </c>
      <c r="B485" s="147" t="s">
        <v>1416</v>
      </c>
      <c r="C485" s="170" t="s">
        <v>1417</v>
      </c>
      <c r="D485" s="35">
        <f>SUMIF(entrant!$E$4:$E$2059,'Inventaire des produits'!B485,entrant!$G$4:$G$2059)</f>
        <v>960</v>
      </c>
      <c r="E485" s="35">
        <f>SUMIF(vente!$E$4:$E$2190,'Inventaire des produits'!B485,vente!$G$4:$G$2190)</f>
        <v>960</v>
      </c>
      <c r="F485" s="36">
        <f t="shared" si="21"/>
        <v>0</v>
      </c>
      <c r="G485" s="176">
        <f>432/1.2/480</f>
        <v>0.75</v>
      </c>
      <c r="H485" s="182"/>
      <c r="I485" s="37">
        <f t="shared" si="22"/>
        <v>0.75</v>
      </c>
      <c r="J485" s="38">
        <f t="shared" si="23"/>
        <v>0</v>
      </c>
      <c r="K485" s="315"/>
      <c r="L485" s="145"/>
    </row>
    <row r="486" spans="1:12" ht="20.100000000000001" customHeight="1" thickBot="1" x14ac:dyDescent="0.4">
      <c r="A486" s="144" t="str">
        <f>IF(B486=IFERROR(VLOOKUP(B486,entrant!$E$4:$J$188,1,FALSE),"THERE WAS AN ERROR"),"RAPPORT JOURNAL","")</f>
        <v/>
      </c>
      <c r="B486" s="147" t="s">
        <v>1420</v>
      </c>
      <c r="C486" s="170" t="s">
        <v>863</v>
      </c>
      <c r="D486" s="35">
        <f>SUMIF(entrant!$E$4:$E$2059,'Inventaire des produits'!B486,entrant!$G$4:$G$2059)</f>
        <v>6000</v>
      </c>
      <c r="E486" s="35">
        <f>SUMIF(vente!$E$4:$E$2190,'Inventaire des produits'!B486,vente!$G$4:$G$2190)</f>
        <v>6000</v>
      </c>
      <c r="F486" s="36">
        <f t="shared" si="21"/>
        <v>0</v>
      </c>
      <c r="G486" s="176">
        <v>1.1388888888888891</v>
      </c>
      <c r="H486" s="182"/>
      <c r="I486" s="37">
        <f t="shared" si="22"/>
        <v>1.1388888888888891</v>
      </c>
      <c r="J486" s="38">
        <f t="shared" si="23"/>
        <v>0</v>
      </c>
      <c r="K486" s="315"/>
      <c r="L486" s="145"/>
    </row>
    <row r="487" spans="1:12" ht="20.100000000000001" customHeight="1" thickBot="1" x14ac:dyDescent="0.4">
      <c r="A487" s="144" t="str">
        <f>IF(B487=IFERROR(VLOOKUP(B487,entrant!$E$4:$J$188,1,FALSE),"THERE WAS AN ERROR"),"RAPPORT JOURNAL","")</f>
        <v/>
      </c>
      <c r="B487" s="147" t="s">
        <v>1423</v>
      </c>
      <c r="C487" s="170" t="s">
        <v>1422</v>
      </c>
      <c r="D487" s="35">
        <f>SUMIF(entrant!$E$4:$E$2059,'Inventaire des produits'!B487,entrant!$G$4:$G$2059)</f>
        <v>300</v>
      </c>
      <c r="E487" s="35">
        <f>SUMIF(vente!$E$4:$E$2190,'Inventaire des produits'!B487,vente!$G$4:$G$2190)</f>
        <v>0</v>
      </c>
      <c r="F487" s="36">
        <f t="shared" si="21"/>
        <v>300</v>
      </c>
      <c r="G487" s="176">
        <v>2.0833333333333335</v>
      </c>
      <c r="H487" s="182"/>
      <c r="I487" s="37">
        <f t="shared" si="22"/>
        <v>2.0833333333333335</v>
      </c>
      <c r="J487" s="38">
        <f t="shared" si="23"/>
        <v>625</v>
      </c>
      <c r="K487" s="315"/>
      <c r="L487" s="145"/>
    </row>
    <row r="488" spans="1:12" ht="20.100000000000001" customHeight="1" thickBot="1" x14ac:dyDescent="0.4">
      <c r="A488" s="144" t="str">
        <f>IF(B488=IFERROR(VLOOKUP(B488,entrant!$E$4:$J$188,1,FALSE),"THERE WAS AN ERROR"),"RAPPORT JOURNAL","")</f>
        <v/>
      </c>
      <c r="B488" s="147" t="s">
        <v>1425</v>
      </c>
      <c r="C488" s="170" t="s">
        <v>517</v>
      </c>
      <c r="D488" s="35">
        <f>SUMIF(entrant!$E$4:$E$2059,'Inventaire des produits'!B488,entrant!$G$4:$G$2059)</f>
        <v>300</v>
      </c>
      <c r="E488" s="35">
        <f>SUMIF(vente!$E$4:$E$2190,'Inventaire des produits'!B488,vente!$G$4:$G$2190)</f>
        <v>0</v>
      </c>
      <c r="F488" s="36">
        <f t="shared" si="21"/>
        <v>300</v>
      </c>
      <c r="G488" s="176">
        <v>1.6666666666666667</v>
      </c>
      <c r="H488" s="182"/>
      <c r="I488" s="37">
        <f t="shared" si="22"/>
        <v>1.6666666666666667</v>
      </c>
      <c r="J488" s="38">
        <f t="shared" si="23"/>
        <v>500</v>
      </c>
      <c r="K488" s="315"/>
      <c r="L488" s="145"/>
    </row>
    <row r="489" spans="1:12" ht="20.100000000000001" customHeight="1" thickBot="1" x14ac:dyDescent="0.4">
      <c r="A489" s="144" t="str">
        <f>IF(B489=IFERROR(VLOOKUP(B489,entrant!$E$4:$J$188,1,FALSE),"THERE WAS AN ERROR"),"RAPPORT JOURNAL","")</f>
        <v/>
      </c>
      <c r="B489" s="147" t="s">
        <v>1428</v>
      </c>
      <c r="C489" s="170" t="s">
        <v>1427</v>
      </c>
      <c r="D489" s="35">
        <f>SUMIF(entrant!$E$4:$E$2059,'Inventaire des produits'!B489,entrant!$G$4:$G$2059)</f>
        <v>400</v>
      </c>
      <c r="E489" s="35">
        <f>SUMIF(vente!$E$4:$E$2190,'Inventaire des produits'!B489,vente!$G$4:$G$2190)</f>
        <v>400</v>
      </c>
      <c r="F489" s="36">
        <f t="shared" si="21"/>
        <v>0</v>
      </c>
      <c r="G489" s="176">
        <v>0.79166666666666674</v>
      </c>
      <c r="H489" s="182"/>
      <c r="I489" s="37">
        <f t="shared" si="22"/>
        <v>0.79166666666666674</v>
      </c>
      <c r="J489" s="38">
        <f t="shared" si="23"/>
        <v>0</v>
      </c>
      <c r="K489" s="315"/>
      <c r="L489" s="145"/>
    </row>
    <row r="490" spans="1:12" ht="20.100000000000001" customHeight="1" thickBot="1" x14ac:dyDescent="0.4">
      <c r="A490" s="144" t="str">
        <f>IF(B490=IFERROR(VLOOKUP(B490,entrant!$E$4:$J$188,1,FALSE),"THERE WAS AN ERROR"),"RAPPORT JOURNAL","")</f>
        <v/>
      </c>
      <c r="B490" s="147" t="s">
        <v>1430</v>
      </c>
      <c r="C490" s="170" t="s">
        <v>1429</v>
      </c>
      <c r="D490" s="35">
        <f>SUMIF(entrant!$E$4:$E$2059,'Inventaire des produits'!B490,entrant!$G$4:$G$2059)</f>
        <v>500</v>
      </c>
      <c r="E490" s="35">
        <f>SUMIF(vente!$E$4:$E$2190,'Inventaire des produits'!B490,vente!$G$4:$G$2190)</f>
        <v>0</v>
      </c>
      <c r="F490" s="36">
        <f t="shared" si="21"/>
        <v>500</v>
      </c>
      <c r="G490" s="176">
        <v>0.75</v>
      </c>
      <c r="H490" s="182"/>
      <c r="I490" s="37">
        <f t="shared" si="22"/>
        <v>0.75</v>
      </c>
      <c r="J490" s="38">
        <f t="shared" si="23"/>
        <v>375</v>
      </c>
      <c r="K490" s="315"/>
      <c r="L490" s="145"/>
    </row>
    <row r="491" spans="1:12" ht="20.100000000000001" customHeight="1" thickBot="1" x14ac:dyDescent="0.4">
      <c r="A491" s="144" t="str">
        <f>IF(B491=IFERROR(VLOOKUP(B491,entrant!$E$4:$J$188,1,FALSE),"THERE WAS AN ERROR"),"RAPPORT JOURNAL","")</f>
        <v/>
      </c>
      <c r="B491" s="147" t="s">
        <v>1434</v>
      </c>
      <c r="C491" s="170" t="s">
        <v>1433</v>
      </c>
      <c r="D491" s="35">
        <f>SUMIF(entrant!$E$4:$E$2059,'Inventaire des produits'!B491,entrant!$G$4:$G$2059)</f>
        <v>500</v>
      </c>
      <c r="E491" s="35">
        <f>SUMIF(vente!$E$4:$E$2190,'Inventaire des produits'!B491,vente!$G$4:$G$2190)</f>
        <v>0</v>
      </c>
      <c r="F491" s="36">
        <f t="shared" si="21"/>
        <v>500</v>
      </c>
      <c r="G491" s="176">
        <v>1.1666666666666667</v>
      </c>
      <c r="H491" s="182"/>
      <c r="I491" s="37">
        <f t="shared" si="22"/>
        <v>1.1666666666666667</v>
      </c>
      <c r="J491" s="38">
        <f t="shared" si="23"/>
        <v>583.33333333333337</v>
      </c>
      <c r="K491" s="315"/>
      <c r="L491" s="145"/>
    </row>
    <row r="492" spans="1:12" ht="20.100000000000001" customHeight="1" thickBot="1" x14ac:dyDescent="0.4">
      <c r="A492" s="144" t="str">
        <f>IF(B492=IFERROR(VLOOKUP(B492,entrant!$E$4:$J$188,1,FALSE),"THERE WAS AN ERROR"),"RAPPORT JOURNAL","")</f>
        <v/>
      </c>
      <c r="B492" s="147" t="s">
        <v>1444</v>
      </c>
      <c r="C492" s="170" t="s">
        <v>1445</v>
      </c>
      <c r="D492" s="35">
        <f>SUMIF(entrant!$E$4:$E$2059,'Inventaire des produits'!B492,entrant!$G$4:$G$2059)</f>
        <v>6400</v>
      </c>
      <c r="E492" s="35">
        <f>SUMIF(vente!$E$4:$E$2190,'Inventaire des produits'!B492,vente!$G$4:$G$2190)</f>
        <v>0</v>
      </c>
      <c r="F492" s="36">
        <f t="shared" si="21"/>
        <v>6400</v>
      </c>
      <c r="G492" s="176">
        <v>0.25</v>
      </c>
      <c r="H492" s="182"/>
      <c r="I492" s="37">
        <f t="shared" si="22"/>
        <v>0.25</v>
      </c>
      <c r="J492" s="38">
        <f t="shared" si="23"/>
        <v>1600</v>
      </c>
      <c r="K492" s="315"/>
      <c r="L492" s="145"/>
    </row>
    <row r="493" spans="1:12" ht="20.100000000000001" customHeight="1" thickBot="1" x14ac:dyDescent="0.4">
      <c r="A493" s="144" t="str">
        <f>IF(B493=IFERROR(VLOOKUP(B493,entrant!$E$4:$J$188,1,FALSE),"THERE WAS AN ERROR"),"RAPPORT JOURNAL","")</f>
        <v/>
      </c>
      <c r="B493" s="147" t="s">
        <v>1446</v>
      </c>
      <c r="C493" s="170" t="s">
        <v>1447</v>
      </c>
      <c r="D493" s="35">
        <f>SUMIF(entrant!$E$4:$E$2059,'Inventaire des produits'!B493,entrant!$G$4:$G$2059)</f>
        <v>6400</v>
      </c>
      <c r="E493" s="35">
        <f>SUMIF(vente!$E$4:$E$2190,'Inventaire des produits'!B493,vente!$G$4:$G$2190)</f>
        <v>0</v>
      </c>
      <c r="F493" s="36">
        <f t="shared" si="21"/>
        <v>6400</v>
      </c>
      <c r="G493" s="176">
        <v>0.28000000000000003</v>
      </c>
      <c r="H493" s="182"/>
      <c r="I493" s="37">
        <f t="shared" si="22"/>
        <v>0.28000000000000003</v>
      </c>
      <c r="J493" s="38">
        <f t="shared" si="23"/>
        <v>1792.0000000000002</v>
      </c>
      <c r="K493" s="315"/>
      <c r="L493" s="145"/>
    </row>
    <row r="494" spans="1:12" ht="20.100000000000001" customHeight="1" thickBot="1" x14ac:dyDescent="0.4">
      <c r="A494" s="144" t="str">
        <f>IF(B494=IFERROR(VLOOKUP(B494,entrant!$E$4:$J$188,1,FALSE),"THERE WAS AN ERROR"),"RAPPORT JOURNAL","")</f>
        <v/>
      </c>
      <c r="B494" s="147" t="s">
        <v>1449</v>
      </c>
      <c r="C494" s="170" t="s">
        <v>1448</v>
      </c>
      <c r="D494" s="35">
        <f>SUMIF(entrant!$E$4:$E$2059,'Inventaire des produits'!B494,entrant!$G$4:$G$2059)</f>
        <v>1500</v>
      </c>
      <c r="E494" s="35">
        <f>SUMIF(vente!$E$4:$E$2190,'Inventaire des produits'!B494,vente!$G$4:$G$2190)</f>
        <v>0</v>
      </c>
      <c r="F494" s="36">
        <f t="shared" si="21"/>
        <v>1500</v>
      </c>
      <c r="G494" s="176">
        <v>0.67</v>
      </c>
      <c r="H494" s="182"/>
      <c r="I494" s="37">
        <f t="shared" si="22"/>
        <v>0.67</v>
      </c>
      <c r="J494" s="38">
        <f t="shared" si="23"/>
        <v>1005.0000000000001</v>
      </c>
      <c r="K494" s="315"/>
      <c r="L494" s="145"/>
    </row>
    <row r="495" spans="1:12" ht="20.100000000000001" customHeight="1" thickBot="1" x14ac:dyDescent="0.4">
      <c r="A495" s="144" t="str">
        <f>IF(B495=IFERROR(VLOOKUP(B495,entrant!$E$4:$J$188,1,FALSE),"THERE WAS AN ERROR"),"RAPPORT JOURNAL","")</f>
        <v/>
      </c>
      <c r="B495" s="147" t="s">
        <v>1450</v>
      </c>
      <c r="C495" s="170" t="s">
        <v>1451</v>
      </c>
      <c r="D495" s="35">
        <f>SUMIF(entrant!$E$4:$E$2059,'Inventaire des produits'!B495,entrant!$G$4:$G$2059)</f>
        <v>10000</v>
      </c>
      <c r="E495" s="35">
        <f>SUMIF(vente!$E$4:$E$2190,'Inventaire des produits'!B495,vente!$G$4:$G$2190)</f>
        <v>0</v>
      </c>
      <c r="F495" s="36">
        <f t="shared" si="21"/>
        <v>10000</v>
      </c>
      <c r="G495" s="176">
        <v>0.67</v>
      </c>
      <c r="H495" s="182"/>
      <c r="I495" s="37">
        <f t="shared" si="22"/>
        <v>0.67</v>
      </c>
      <c r="J495" s="38">
        <f t="shared" si="23"/>
        <v>6700</v>
      </c>
      <c r="K495" s="315"/>
      <c r="L495" s="145"/>
    </row>
    <row r="496" spans="1:12" ht="20.100000000000001" customHeight="1" thickBot="1" x14ac:dyDescent="0.4">
      <c r="A496" s="144" t="str">
        <f>IF(B496=IFERROR(VLOOKUP(B496,entrant!$E$4:$J$188,1,FALSE),"THERE WAS AN ERROR"),"RAPPORT JOURNAL","")</f>
        <v/>
      </c>
      <c r="B496" s="147" t="s">
        <v>1452</v>
      </c>
      <c r="C496" s="170" t="s">
        <v>238</v>
      </c>
      <c r="D496" s="35">
        <f>SUMIF(entrant!$E$4:$E$2059,'Inventaire des produits'!B496,entrant!$G$4:$G$2059)</f>
        <v>1000</v>
      </c>
      <c r="E496" s="35">
        <f>SUMIF(vente!$E$4:$E$2190,'Inventaire des produits'!B496,vente!$G$4:$G$2190)</f>
        <v>470</v>
      </c>
      <c r="F496" s="36">
        <f t="shared" si="21"/>
        <v>530</v>
      </c>
      <c r="G496" s="176">
        <v>2.5099999999999998</v>
      </c>
      <c r="H496" s="182"/>
      <c r="I496" s="37">
        <f t="shared" si="22"/>
        <v>2.5099999999999998</v>
      </c>
      <c r="J496" s="38">
        <f t="shared" si="23"/>
        <v>1330.3</v>
      </c>
      <c r="K496" s="315"/>
      <c r="L496" s="145"/>
    </row>
    <row r="497" spans="1:12" ht="20.100000000000001" customHeight="1" thickBot="1" x14ac:dyDescent="0.4">
      <c r="A497" s="144" t="str">
        <f>IF(B497=IFERROR(VLOOKUP(B497,entrant!$E$4:$J$188,1,FALSE),"THERE WAS AN ERROR"),"RAPPORT JOURNAL","")</f>
        <v/>
      </c>
      <c r="B497" s="147" t="s">
        <v>1454</v>
      </c>
      <c r="C497" s="170" t="s">
        <v>1453</v>
      </c>
      <c r="D497" s="35">
        <f>SUMIF(entrant!$E$4:$E$2059,'Inventaire des produits'!B497,entrant!$G$4:$G$2059)</f>
        <v>80</v>
      </c>
      <c r="E497" s="35">
        <f>SUMIF(vente!$E$4:$E$2190,'Inventaire des produits'!B497,vente!$G$4:$G$2190)</f>
        <v>0</v>
      </c>
      <c r="F497" s="36">
        <f t="shared" si="21"/>
        <v>80</v>
      </c>
      <c r="G497" s="176">
        <v>14</v>
      </c>
      <c r="H497" s="182"/>
      <c r="I497" s="37">
        <f t="shared" si="22"/>
        <v>14</v>
      </c>
      <c r="J497" s="38">
        <f t="shared" si="23"/>
        <v>1120</v>
      </c>
      <c r="K497" s="315"/>
      <c r="L497" s="145"/>
    </row>
    <row r="498" spans="1:12" ht="20.100000000000001" customHeight="1" thickBot="1" x14ac:dyDescent="0.4">
      <c r="A498" s="144" t="str">
        <f>IF(B498=IFERROR(VLOOKUP(B498,entrant!$E$4:$J$188,1,FALSE),"THERE WAS AN ERROR"),"RAPPORT JOURNAL","")</f>
        <v/>
      </c>
      <c r="B498" s="147" t="s">
        <v>1463</v>
      </c>
      <c r="C498" s="170" t="s">
        <v>1460</v>
      </c>
      <c r="D498" s="35">
        <f>SUMIF(entrant!$E$4:$E$2059,'Inventaire des produits'!B498,entrant!$G$4:$G$2059)</f>
        <v>1000</v>
      </c>
      <c r="E498" s="35">
        <f>SUMIF(vente!$E$4:$E$2190,'Inventaire des produits'!B498,vente!$G$4:$G$2190)</f>
        <v>78</v>
      </c>
      <c r="F498" s="36">
        <f t="shared" si="21"/>
        <v>922</v>
      </c>
      <c r="G498" s="176">
        <v>15</v>
      </c>
      <c r="H498" s="182"/>
      <c r="I498" s="37">
        <f t="shared" si="22"/>
        <v>15</v>
      </c>
      <c r="J498" s="38">
        <f t="shared" si="23"/>
        <v>13830</v>
      </c>
      <c r="K498" s="315"/>
      <c r="L498" s="145"/>
    </row>
    <row r="499" spans="1:12" ht="20.100000000000001" customHeight="1" thickBot="1" x14ac:dyDescent="0.4">
      <c r="A499" s="144" t="str">
        <f>IF(B499=IFERROR(VLOOKUP(B499,entrant!$E$4:$J$188,1,FALSE),"THERE WAS AN ERROR"),"RAPPORT JOURNAL","")</f>
        <v/>
      </c>
      <c r="B499" s="147" t="s">
        <v>1464</v>
      </c>
      <c r="C499" s="170" t="s">
        <v>1461</v>
      </c>
      <c r="D499" s="35">
        <f>SUMIF(entrant!$E$4:$E$2059,'Inventaire des produits'!B499,entrant!$G$4:$G$2059)</f>
        <v>400</v>
      </c>
      <c r="E499" s="35">
        <f>SUMIF(vente!$E$4:$E$2190,'Inventaire des produits'!B499,vente!$G$4:$G$2190)</f>
        <v>367</v>
      </c>
      <c r="F499" s="36">
        <f t="shared" si="21"/>
        <v>33</v>
      </c>
      <c r="G499" s="176">
        <v>15</v>
      </c>
      <c r="H499" s="182"/>
      <c r="I499" s="37">
        <f t="shared" si="22"/>
        <v>15</v>
      </c>
      <c r="J499" s="38">
        <f t="shared" si="23"/>
        <v>495</v>
      </c>
      <c r="K499" s="315"/>
      <c r="L499" s="145"/>
    </row>
    <row r="500" spans="1:12" ht="20.100000000000001" customHeight="1" thickBot="1" x14ac:dyDescent="0.4">
      <c r="A500" s="144" t="str">
        <f>IF(B500=IFERROR(VLOOKUP(B500,entrant!$E$4:$J$188,1,FALSE),"THERE WAS AN ERROR"),"RAPPORT JOURNAL","")</f>
        <v/>
      </c>
      <c r="B500" s="147" t="s">
        <v>1465</v>
      </c>
      <c r="C500" s="170" t="s">
        <v>1462</v>
      </c>
      <c r="D500" s="35">
        <f>SUMIF(entrant!$E$4:$E$2059,'Inventaire des produits'!B500,entrant!$G$4:$G$2059)</f>
        <v>200</v>
      </c>
      <c r="E500" s="35">
        <f>SUMIF(vente!$E$4:$E$2190,'Inventaire des produits'!B500,vente!$G$4:$G$2190)</f>
        <v>173</v>
      </c>
      <c r="F500" s="36">
        <f t="shared" si="21"/>
        <v>27</v>
      </c>
      <c r="G500" s="176">
        <v>15</v>
      </c>
      <c r="H500" s="182"/>
      <c r="I500" s="37">
        <f t="shared" si="22"/>
        <v>15</v>
      </c>
      <c r="J500" s="38">
        <f t="shared" si="23"/>
        <v>405</v>
      </c>
      <c r="K500" s="315"/>
      <c r="L500" s="145"/>
    </row>
    <row r="501" spans="1:12" ht="20.100000000000001" customHeight="1" thickBot="1" x14ac:dyDescent="0.4">
      <c r="A501" s="144" t="str">
        <f>IF(B501=IFERROR(VLOOKUP(B501,entrant!$E$4:$J$188,1,FALSE),"THERE WAS AN ERROR"),"RAPPORT JOURNAL","")</f>
        <v/>
      </c>
      <c r="B501" s="147" t="s">
        <v>1482</v>
      </c>
      <c r="C501" s="170" t="s">
        <v>21</v>
      </c>
      <c r="D501" s="35">
        <f>SUMIF(entrant!$E$4:$E$2059,'Inventaire des produits'!B501,entrant!$G$4:$G$2059)</f>
        <v>8000</v>
      </c>
      <c r="E501" s="35">
        <f>SUMIF(vente!$E$4:$E$2190,'Inventaire des produits'!B501,vente!$G$4:$G$2190)</f>
        <v>0</v>
      </c>
      <c r="F501" s="36">
        <f t="shared" si="21"/>
        <v>8000</v>
      </c>
      <c r="G501" s="176">
        <v>0.87500000000000011</v>
      </c>
      <c r="H501" s="182"/>
      <c r="I501" s="37">
        <f t="shared" si="22"/>
        <v>0.87500000000000011</v>
      </c>
      <c r="J501" s="38">
        <f t="shared" si="23"/>
        <v>7000.0000000000009</v>
      </c>
      <c r="K501" s="315"/>
      <c r="L501" s="145"/>
    </row>
    <row r="502" spans="1:12" ht="20.100000000000001" customHeight="1" thickBot="1" x14ac:dyDescent="0.4">
      <c r="A502" s="144" t="str">
        <f>IF(B502=IFERROR(VLOOKUP(B502,entrant!$E$4:$J$188,1,FALSE),"THERE WAS AN ERROR"),"RAPPORT JOURNAL","")</f>
        <v/>
      </c>
      <c r="B502" s="147" t="s">
        <v>1495</v>
      </c>
      <c r="C502" s="170" t="s">
        <v>469</v>
      </c>
      <c r="D502" s="35">
        <f>SUMIF(entrant!$E$4:$E$2059,'Inventaire des produits'!B502,entrant!$G$4:$G$2059)</f>
        <v>1</v>
      </c>
      <c r="E502" s="35">
        <f>SUMIF(vente!$E$4:$E$2190,'Inventaire des produits'!B502,vente!$G$4:$G$2190)</f>
        <v>1</v>
      </c>
      <c r="F502" s="36">
        <f t="shared" si="21"/>
        <v>0</v>
      </c>
      <c r="G502" s="176">
        <v>260</v>
      </c>
      <c r="H502" s="182"/>
      <c r="I502" s="37">
        <f t="shared" si="22"/>
        <v>260</v>
      </c>
      <c r="J502" s="38">
        <f t="shared" si="23"/>
        <v>0</v>
      </c>
      <c r="K502" s="315"/>
      <c r="L502" s="145"/>
    </row>
    <row r="503" spans="1:12" ht="20.100000000000001" customHeight="1" thickBot="1" x14ac:dyDescent="0.4">
      <c r="A503" s="144" t="str">
        <f>IF(B503=IFERROR(VLOOKUP(B503,entrant!$E$4:$J$188,1,FALSE),"THERE WAS AN ERROR"),"RAPPORT JOURNAL","")</f>
        <v/>
      </c>
      <c r="B503" s="147" t="s">
        <v>1498</v>
      </c>
      <c r="C503" s="170" t="s">
        <v>1499</v>
      </c>
      <c r="D503" s="35">
        <f>SUMIF(entrant!$E$4:$E$2059,'Inventaire des produits'!B503,entrant!$G$4:$G$2059)</f>
        <v>63.5</v>
      </c>
      <c r="E503" s="35">
        <f>SUMIF(vente!$E$4:$E$2190,'Inventaire des produits'!B503,vente!$G$4:$G$2190)</f>
        <v>0</v>
      </c>
      <c r="F503" s="36">
        <f t="shared" si="21"/>
        <v>63.5</v>
      </c>
      <c r="G503" s="176">
        <v>22.5</v>
      </c>
      <c r="H503" s="182"/>
      <c r="I503" s="37">
        <f t="shared" si="22"/>
        <v>22.5</v>
      </c>
      <c r="J503" s="38">
        <f t="shared" si="23"/>
        <v>1428.75</v>
      </c>
      <c r="K503" s="315"/>
      <c r="L503" s="145"/>
    </row>
    <row r="504" spans="1:12" ht="20.100000000000001" customHeight="1" thickBot="1" x14ac:dyDescent="0.4">
      <c r="A504" s="144" t="str">
        <f>IF(B504=IFERROR(VLOOKUP(B504,entrant!$E$4:$J$188,1,FALSE),"THERE WAS AN ERROR"),"RAPPORT JOURNAL","")</f>
        <v/>
      </c>
      <c r="B504" s="147" t="s">
        <v>1507</v>
      </c>
      <c r="C504" s="170" t="s">
        <v>1506</v>
      </c>
      <c r="D504" s="35">
        <f>SUMIF(entrant!$E$4:$E$2059,'Inventaire des produits'!B504,entrant!$G$4:$G$2059)</f>
        <v>60</v>
      </c>
      <c r="E504" s="35">
        <f>SUMIF(vente!$E$4:$E$2190,'Inventaire des produits'!B504,vente!$G$4:$G$2190)</f>
        <v>0</v>
      </c>
      <c r="F504" s="36">
        <f t="shared" si="21"/>
        <v>60</v>
      </c>
      <c r="G504" s="176">
        <v>6.6666666666000003</v>
      </c>
      <c r="H504" s="182"/>
      <c r="I504" s="37">
        <f t="shared" si="22"/>
        <v>6.6666666666000003</v>
      </c>
      <c r="J504" s="38">
        <f t="shared" si="23"/>
        <v>399.99999999600004</v>
      </c>
      <c r="K504" s="315"/>
      <c r="L504" s="145"/>
    </row>
    <row r="505" spans="1:12" ht="20.100000000000001" customHeight="1" thickBot="1" x14ac:dyDescent="0.4">
      <c r="A505" s="144" t="str">
        <f>IF(B505=IFERROR(VLOOKUP(B505,entrant!$E$4:$J$188,1,FALSE),"THERE WAS AN ERROR"),"RAPPORT JOURNAL","")</f>
        <v/>
      </c>
      <c r="B505" s="147" t="s">
        <v>1509</v>
      </c>
      <c r="C505" s="170" t="s">
        <v>1508</v>
      </c>
      <c r="D505" s="35">
        <f>SUMIF(entrant!$E$4:$E$2059,'Inventaire des produits'!B505,entrant!$G$4:$G$2059)</f>
        <v>60</v>
      </c>
      <c r="E505" s="35">
        <f>SUMIF(vente!$E$4:$E$2190,'Inventaire des produits'!B505,vente!$G$4:$G$2190)</f>
        <v>32</v>
      </c>
      <c r="F505" s="36">
        <f t="shared" si="21"/>
        <v>28</v>
      </c>
      <c r="G505" s="176">
        <v>6.6666666660000002</v>
      </c>
      <c r="H505" s="182"/>
      <c r="I505" s="37">
        <f t="shared" si="22"/>
        <v>6.6666666660000002</v>
      </c>
      <c r="J505" s="38">
        <f t="shared" si="23"/>
        <v>186.66666664800002</v>
      </c>
      <c r="K505" s="315"/>
      <c r="L505" s="145"/>
    </row>
    <row r="506" spans="1:12" ht="20.100000000000001" customHeight="1" thickBot="1" x14ac:dyDescent="0.4">
      <c r="A506" s="144" t="str">
        <f>IF(B506=IFERROR(VLOOKUP(B506,entrant!$E$4:$J$188,1,FALSE),"THERE WAS AN ERROR"),"RAPPORT JOURNAL","")</f>
        <v/>
      </c>
      <c r="B506" s="147" t="s">
        <v>1510</v>
      </c>
      <c r="C506" s="170" t="s">
        <v>165</v>
      </c>
      <c r="D506" s="35">
        <f>SUMIF(entrant!$E$4:$E$2059,'Inventaire des produits'!B506,entrant!$G$4:$G$2059)</f>
        <v>48</v>
      </c>
      <c r="E506" s="35">
        <f>SUMIF(vente!$E$4:$E$2190,'Inventaire des produits'!B506,vente!$G$4:$G$2190)</f>
        <v>0</v>
      </c>
      <c r="F506" s="36">
        <f t="shared" si="21"/>
        <v>48</v>
      </c>
      <c r="G506" s="176">
        <v>2</v>
      </c>
      <c r="H506" s="182"/>
      <c r="I506" s="37">
        <f t="shared" si="22"/>
        <v>2</v>
      </c>
      <c r="J506" s="38">
        <f t="shared" si="23"/>
        <v>96</v>
      </c>
      <c r="K506" s="315"/>
      <c r="L506" s="145"/>
    </row>
    <row r="507" spans="1:12" ht="20.100000000000001" customHeight="1" thickBot="1" x14ac:dyDescent="0.4">
      <c r="A507" s="144" t="str">
        <f>IF(B507=IFERROR(VLOOKUP(B507,entrant!$E$4:$J$188,1,FALSE),"THERE WAS AN ERROR"),"RAPPORT JOURNAL","")</f>
        <v/>
      </c>
      <c r="B507" s="147" t="s">
        <v>1512</v>
      </c>
      <c r="C507" s="170" t="s">
        <v>287</v>
      </c>
      <c r="D507" s="35">
        <f>SUMIF(entrant!$E$4:$E$2059,'Inventaire des produits'!B507,entrant!$G$4:$G$2059)</f>
        <v>4000</v>
      </c>
      <c r="E507" s="35">
        <f>SUMIF(vente!$E$4:$E$2190,'Inventaire des produits'!B507,vente!$G$4:$G$2190)</f>
        <v>4000</v>
      </c>
      <c r="F507" s="36">
        <f t="shared" si="21"/>
        <v>0</v>
      </c>
      <c r="G507" s="176">
        <v>0.57778333333333298</v>
      </c>
      <c r="H507" s="182">
        <v>0.30759999999999998</v>
      </c>
      <c r="I507" s="37">
        <f t="shared" si="22"/>
        <v>0.40005717999999979</v>
      </c>
      <c r="J507" s="38">
        <f t="shared" si="23"/>
        <v>0</v>
      </c>
      <c r="K507" s="315"/>
      <c r="L507" s="145"/>
    </row>
    <row r="508" spans="1:12" ht="20.100000000000001" customHeight="1" thickBot="1" x14ac:dyDescent="0.4">
      <c r="A508" s="144" t="str">
        <f>IF(B508=IFERROR(VLOOKUP(B508,entrant!$E$4:$J$188,1,FALSE),"THERE WAS AN ERROR"),"RAPPORT JOURNAL","")</f>
        <v/>
      </c>
      <c r="B508" s="147" t="s">
        <v>1518</v>
      </c>
      <c r="C508" s="170" t="s">
        <v>1519</v>
      </c>
      <c r="D508" s="35">
        <f>SUMIF(entrant!$E$4:$E$2059,'Inventaire des produits'!B508,entrant!$G$4:$G$2059)</f>
        <v>10</v>
      </c>
      <c r="E508" s="35">
        <f>SUMIF(vente!$E$4:$E$2190,'Inventaire des produits'!B508,vente!$G$4:$G$2190)</f>
        <v>0</v>
      </c>
      <c r="F508" s="36">
        <f t="shared" si="21"/>
        <v>10</v>
      </c>
      <c r="G508" s="176">
        <v>108.33499999999999</v>
      </c>
      <c r="H508" s="182"/>
      <c r="I508" s="37">
        <f t="shared" si="22"/>
        <v>108.33499999999999</v>
      </c>
      <c r="J508" s="38">
        <f t="shared" si="23"/>
        <v>1083.3499999999999</v>
      </c>
      <c r="K508" s="315"/>
      <c r="L508" s="145"/>
    </row>
    <row r="509" spans="1:12" ht="20.100000000000001" customHeight="1" thickBot="1" x14ac:dyDescent="0.4">
      <c r="A509" s="144" t="str">
        <f>IF(B509=IFERROR(VLOOKUP(B509,entrant!$E$4:$J$188,1,FALSE),"THERE WAS AN ERROR"),"RAPPORT JOURNAL","")</f>
        <v/>
      </c>
      <c r="B509" s="147" t="s">
        <v>1520</v>
      </c>
      <c r="C509" s="170" t="s">
        <v>1521</v>
      </c>
      <c r="D509" s="35">
        <f>SUMIF(entrant!$E$4:$E$2059,'Inventaire des produits'!B509,entrant!$G$4:$G$2059)</f>
        <v>21</v>
      </c>
      <c r="E509" s="35">
        <f>SUMIF(vente!$E$4:$E$2190,'Inventaire des produits'!B509,vente!$G$4:$G$2190)</f>
        <v>21</v>
      </c>
      <c r="F509" s="36">
        <f t="shared" si="21"/>
        <v>0</v>
      </c>
      <c r="G509" s="176">
        <v>59.167000000000002</v>
      </c>
      <c r="H509" s="182"/>
      <c r="I509" s="37">
        <f t="shared" si="22"/>
        <v>59.167000000000002</v>
      </c>
      <c r="J509" s="38">
        <f t="shared" si="23"/>
        <v>0</v>
      </c>
      <c r="K509" s="315"/>
      <c r="L509" s="145"/>
    </row>
    <row r="510" spans="1:12" ht="20.100000000000001" customHeight="1" thickBot="1" x14ac:dyDescent="0.4">
      <c r="A510" s="144" t="str">
        <f>IF(B510=IFERROR(VLOOKUP(B510,entrant!$E$4:$J$188,1,FALSE),"THERE WAS AN ERROR"),"RAPPORT JOURNAL","")</f>
        <v/>
      </c>
      <c r="B510" s="147" t="s">
        <v>1523</v>
      </c>
      <c r="C510" s="170" t="s">
        <v>1522</v>
      </c>
      <c r="D510" s="35">
        <f>SUMIF(entrant!$E$4:$E$2059,'Inventaire des produits'!B510,entrant!$G$4:$G$2059)</f>
        <v>15</v>
      </c>
      <c r="E510" s="35">
        <f>SUMIF(vente!$E$4:$E$2190,'Inventaire des produits'!B510,vente!$G$4:$G$2190)</f>
        <v>15</v>
      </c>
      <c r="F510" s="36">
        <f t="shared" si="21"/>
        <v>0</v>
      </c>
      <c r="G510" s="176">
        <v>57.5</v>
      </c>
      <c r="H510" s="182"/>
      <c r="I510" s="37">
        <f t="shared" si="22"/>
        <v>57.5</v>
      </c>
      <c r="J510" s="38">
        <f t="shared" si="23"/>
        <v>0</v>
      </c>
      <c r="K510" s="315"/>
      <c r="L510" s="145"/>
    </row>
    <row r="511" spans="1:12" ht="20.100000000000001" customHeight="1" thickBot="1" x14ac:dyDescent="0.4">
      <c r="A511" s="144" t="str">
        <f>IF(B511=IFERROR(VLOOKUP(B511,entrant!$E$4:$J$188,1,FALSE),"THERE WAS AN ERROR"),"RAPPORT JOURNAL","")</f>
        <v/>
      </c>
      <c r="B511" s="147" t="s">
        <v>1526</v>
      </c>
      <c r="C511" s="170" t="s">
        <v>1525</v>
      </c>
      <c r="D511" s="35">
        <f>SUMIF(entrant!$E$4:$E$2059,'Inventaire des produits'!B511,entrant!$G$4:$G$2059)</f>
        <v>75</v>
      </c>
      <c r="E511" s="35">
        <f>SUMIF(vente!$E$4:$E$2190,'Inventaire des produits'!B511,vente!$G$4:$G$2190)</f>
        <v>74</v>
      </c>
      <c r="F511" s="36">
        <f t="shared" si="21"/>
        <v>1</v>
      </c>
      <c r="G511" s="176">
        <v>31.67</v>
      </c>
      <c r="H511" s="182"/>
      <c r="I511" s="37">
        <f t="shared" si="22"/>
        <v>31.67</v>
      </c>
      <c r="J511" s="38">
        <f t="shared" si="23"/>
        <v>31.67</v>
      </c>
      <c r="K511" s="315"/>
      <c r="L511" s="145"/>
    </row>
    <row r="512" spans="1:12" ht="20.100000000000001" customHeight="1" thickBot="1" x14ac:dyDescent="0.4">
      <c r="A512" s="144" t="str">
        <f>IF(B512=IFERROR(VLOOKUP(B512,entrant!$E$4:$J$188,1,FALSE),"THERE WAS AN ERROR"),"RAPPORT JOURNAL","")</f>
        <v/>
      </c>
      <c r="B512" s="147" t="s">
        <v>1527</v>
      </c>
      <c r="C512" s="170" t="s">
        <v>49</v>
      </c>
      <c r="D512" s="35">
        <f>SUMIF(entrant!$E$4:$E$2059,'Inventaire des produits'!B512,entrant!$G$4:$G$2059)</f>
        <v>62</v>
      </c>
      <c r="E512" s="35">
        <f>SUMIF(vente!$E$4:$E$2190,'Inventaire des produits'!B512,vente!$G$4:$G$2190)</f>
        <v>45</v>
      </c>
      <c r="F512" s="36">
        <f t="shared" si="21"/>
        <v>17</v>
      </c>
      <c r="G512" s="176">
        <v>58.5</v>
      </c>
      <c r="H512" s="182"/>
      <c r="I512" s="37">
        <f t="shared" si="22"/>
        <v>58.5</v>
      </c>
      <c r="J512" s="38">
        <f t="shared" si="23"/>
        <v>994.5</v>
      </c>
      <c r="K512" s="315"/>
      <c r="L512" s="145"/>
    </row>
    <row r="513" spans="1:12" ht="20.100000000000001" customHeight="1" thickBot="1" x14ac:dyDescent="0.4">
      <c r="A513" s="144" t="str">
        <f>IF(B513=IFERROR(VLOOKUP(B513,entrant!$E$4:$J$188,1,FALSE),"THERE WAS AN ERROR"),"RAPPORT JOURNAL","")</f>
        <v/>
      </c>
      <c r="B513" s="147" t="s">
        <v>1528</v>
      </c>
      <c r="C513" s="170" t="s">
        <v>40</v>
      </c>
      <c r="D513" s="35">
        <f>SUMIF(entrant!$E$4:$E$2059,'Inventaire des produits'!B513,entrant!$G$4:$G$2059)</f>
        <v>15000</v>
      </c>
      <c r="E513" s="35">
        <f>SUMIF(vente!$E$4:$E$2190,'Inventaire des produits'!B513,vente!$G$4:$G$2190)</f>
        <v>0</v>
      </c>
      <c r="F513" s="36">
        <f t="shared" si="21"/>
        <v>15000</v>
      </c>
      <c r="G513" s="176">
        <v>0.27777999999999997</v>
      </c>
      <c r="H513" s="182"/>
      <c r="I513" s="37">
        <f t="shared" si="22"/>
        <v>0.27777999999999997</v>
      </c>
      <c r="J513" s="38">
        <f t="shared" si="23"/>
        <v>4166.7</v>
      </c>
      <c r="K513" s="315"/>
      <c r="L513" s="145"/>
    </row>
    <row r="514" spans="1:12" ht="20.100000000000001" customHeight="1" thickBot="1" x14ac:dyDescent="0.4">
      <c r="A514" s="144" t="str">
        <f>IF(B514=IFERROR(VLOOKUP(B514,entrant!$E$4:$J$188,1,FALSE),"THERE WAS AN ERROR"),"RAPPORT JOURNAL","")</f>
        <v/>
      </c>
      <c r="B514" s="147" t="s">
        <v>1531</v>
      </c>
      <c r="C514" s="170" t="s">
        <v>218</v>
      </c>
      <c r="D514" s="35">
        <f>SUMIF(entrant!$E$4:$E$2059,'Inventaire des produits'!B514,entrant!$G$4:$G$2059)</f>
        <v>650</v>
      </c>
      <c r="E514" s="35">
        <f>SUMIF(vente!$E$4:$E$2190,'Inventaire des produits'!B514,vente!$G$4:$G$2190)</f>
        <v>0</v>
      </c>
      <c r="F514" s="36">
        <f t="shared" si="21"/>
        <v>650</v>
      </c>
      <c r="G514" s="176">
        <v>1</v>
      </c>
      <c r="H514" s="182"/>
      <c r="I514" s="37">
        <f t="shared" si="22"/>
        <v>1</v>
      </c>
      <c r="J514" s="38">
        <f t="shared" si="23"/>
        <v>650</v>
      </c>
      <c r="K514" s="315"/>
      <c r="L514" s="145"/>
    </row>
    <row r="515" spans="1:12" ht="20.100000000000001" customHeight="1" thickBot="1" x14ac:dyDescent="0.4">
      <c r="A515" s="144" t="str">
        <f>IF(B515=IFERROR(VLOOKUP(B515,entrant!$E$4:$J$188,1,FALSE),"THERE WAS AN ERROR"),"RAPPORT JOURNAL","")</f>
        <v/>
      </c>
      <c r="B515" s="147" t="s">
        <v>1532</v>
      </c>
      <c r="C515" s="170" t="s">
        <v>1236</v>
      </c>
      <c r="D515" s="35">
        <f>SUMIF(entrant!$E$4:$E$2059,'Inventaire des produits'!B515,entrant!$G$4:$G$2059)</f>
        <v>4</v>
      </c>
      <c r="E515" s="35">
        <f>SUMIF(vente!$E$4:$E$2190,'Inventaire des produits'!B515,vente!$G$4:$G$2190)</f>
        <v>0</v>
      </c>
      <c r="F515" s="36">
        <f t="shared" ref="F515:F578" si="24">IF(OR(D515="",E515=""),"",D515-E515)</f>
        <v>4</v>
      </c>
      <c r="G515" s="176">
        <v>18.437000000000001</v>
      </c>
      <c r="H515" s="182"/>
      <c r="I515" s="37">
        <f t="shared" si="22"/>
        <v>18.437000000000001</v>
      </c>
      <c r="J515" s="38">
        <f t="shared" si="23"/>
        <v>73.748000000000005</v>
      </c>
      <c r="K515" s="315"/>
      <c r="L515" s="145"/>
    </row>
    <row r="516" spans="1:12" ht="20.100000000000001" customHeight="1" thickBot="1" x14ac:dyDescent="0.4">
      <c r="A516" s="144" t="str">
        <f>IF(B516=IFERROR(VLOOKUP(B516,entrant!$E$4:$J$188,1,FALSE),"THERE WAS AN ERROR"),"RAPPORT JOURNAL","")</f>
        <v/>
      </c>
      <c r="B516" s="147" t="s">
        <v>1533</v>
      </c>
      <c r="C516" s="170" t="s">
        <v>1235</v>
      </c>
      <c r="D516" s="35">
        <f>SUMIF(entrant!$E$4:$E$2059,'Inventaire des produits'!B516,entrant!$G$4:$G$2059)</f>
        <v>2</v>
      </c>
      <c r="E516" s="35">
        <f>SUMIF(vente!$E$4:$E$2190,'Inventaire des produits'!B516,vente!$G$4:$G$2190)</f>
        <v>0</v>
      </c>
      <c r="F516" s="36">
        <f t="shared" si="24"/>
        <v>2</v>
      </c>
      <c r="G516" s="176">
        <v>21.667000000000002</v>
      </c>
      <c r="H516" s="182"/>
      <c r="I516" s="37">
        <f t="shared" ref="I516:I579" si="25">IF(H516="",G516,G516-G516*H516)</f>
        <v>21.667000000000002</v>
      </c>
      <c r="J516" s="38">
        <f t="shared" ref="J516:J579" si="26">IF(OR(F516="",G516=""),"",F516*I516)</f>
        <v>43.334000000000003</v>
      </c>
      <c r="K516" s="315"/>
      <c r="L516" s="145"/>
    </row>
    <row r="517" spans="1:12" ht="20.100000000000001" customHeight="1" thickBot="1" x14ac:dyDescent="0.4">
      <c r="A517" s="144" t="str">
        <f>IF(B517=IFERROR(VLOOKUP(B517,entrant!$E$4:$J$188,1,FALSE),"THERE WAS AN ERROR"),"RAPPORT JOURNAL","")</f>
        <v/>
      </c>
      <c r="B517" s="147" t="s">
        <v>1540</v>
      </c>
      <c r="C517" s="170" t="s">
        <v>1539</v>
      </c>
      <c r="D517" s="35">
        <f>SUMIF(entrant!$E$4:$E$2059,'Inventaire des produits'!B517,entrant!$G$4:$G$2059)</f>
        <v>2000</v>
      </c>
      <c r="E517" s="35">
        <f>SUMIF(vente!$E$4:$E$2190,'Inventaire des produits'!B517,vente!$G$4:$G$2190)</f>
        <v>0</v>
      </c>
      <c r="F517" s="36">
        <f t="shared" si="24"/>
        <v>2000</v>
      </c>
      <c r="G517" s="176">
        <v>2.9166666600000002</v>
      </c>
      <c r="H517" s="182"/>
      <c r="I517" s="37">
        <f t="shared" si="25"/>
        <v>2.9166666600000002</v>
      </c>
      <c r="J517" s="38">
        <f t="shared" si="26"/>
        <v>5833.3333200000006</v>
      </c>
      <c r="K517" s="315"/>
      <c r="L517" s="145"/>
    </row>
    <row r="518" spans="1:12" ht="20.100000000000001" customHeight="1" thickBot="1" x14ac:dyDescent="0.4">
      <c r="A518" s="144" t="str">
        <f>IF(B518=IFERROR(VLOOKUP(B518,entrant!$E$4:$J$188,1,FALSE),"THERE WAS AN ERROR"),"RAPPORT JOURNAL","")</f>
        <v/>
      </c>
      <c r="B518" s="147" t="s">
        <v>1548</v>
      </c>
      <c r="C518" s="170" t="s">
        <v>1547</v>
      </c>
      <c r="D518" s="35">
        <f>SUMIF(entrant!$E$4:$E$2059,'Inventaire des produits'!B518,entrant!$G$4:$G$2059)</f>
        <v>612</v>
      </c>
      <c r="E518" s="35">
        <f>SUMIF(vente!$E$4:$E$2190,'Inventaire des produits'!B518,vente!$G$4:$G$2190)</f>
        <v>408</v>
      </c>
      <c r="F518" s="36">
        <f t="shared" si="24"/>
        <v>204</v>
      </c>
      <c r="G518" s="176">
        <f>408/1.2/204</f>
        <v>1.6666666666666667</v>
      </c>
      <c r="H518" s="182"/>
      <c r="I518" s="37">
        <f t="shared" si="25"/>
        <v>1.6666666666666667</v>
      </c>
      <c r="J518" s="38">
        <f t="shared" si="26"/>
        <v>340</v>
      </c>
      <c r="K518" s="315"/>
      <c r="L518" s="145"/>
    </row>
    <row r="519" spans="1:12" ht="20.100000000000001" customHeight="1" thickBot="1" x14ac:dyDescent="0.4">
      <c r="A519" s="144" t="str">
        <f>IF(B519=IFERROR(VLOOKUP(B519,entrant!$E$4:$J$188,1,FALSE),"THERE WAS AN ERROR"),"RAPPORT JOURNAL","")</f>
        <v/>
      </c>
      <c r="B519" s="147" t="s">
        <v>1549</v>
      </c>
      <c r="C519" s="170" t="s">
        <v>649</v>
      </c>
      <c r="D519" s="35">
        <f>SUMIF(entrant!$E$4:$E$2059,'Inventaire des produits'!B519,entrant!$G$4:$G$2059)</f>
        <v>300</v>
      </c>
      <c r="E519" s="35">
        <f>SUMIF(vente!$E$4:$E$2190,'Inventaire des produits'!B519,vente!$G$4:$G$2190)</f>
        <v>0</v>
      </c>
      <c r="F519" s="36">
        <f t="shared" si="24"/>
        <v>300</v>
      </c>
      <c r="G519" s="176">
        <f>510/1.2/300</f>
        <v>1.4166666666666667</v>
      </c>
      <c r="H519" s="182"/>
      <c r="I519" s="37">
        <f t="shared" si="25"/>
        <v>1.4166666666666667</v>
      </c>
      <c r="J519" s="38">
        <f t="shared" si="26"/>
        <v>425</v>
      </c>
      <c r="K519" s="315"/>
      <c r="L519" s="145"/>
    </row>
    <row r="520" spans="1:12" ht="20.100000000000001" customHeight="1" thickBot="1" x14ac:dyDescent="0.4">
      <c r="A520" s="144" t="str">
        <f>IF(B520=IFERROR(VLOOKUP(B520,entrant!$E$4:$J$188,1,FALSE),"THERE WAS AN ERROR"),"RAPPORT JOURNAL","")</f>
        <v/>
      </c>
      <c r="B520" s="147" t="s">
        <v>1551</v>
      </c>
      <c r="C520" s="170" t="s">
        <v>1393</v>
      </c>
      <c r="D520" s="35">
        <f>SUMIF(entrant!$E$4:$E$2059,'Inventaire des produits'!B520,entrant!$G$4:$G$2059)</f>
        <v>16000</v>
      </c>
      <c r="E520" s="35">
        <f>SUMIF(vente!$E$4:$E$2190,'Inventaire des produits'!B520,vente!$G$4:$G$2190)</f>
        <v>3900</v>
      </c>
      <c r="F520" s="36">
        <f t="shared" si="24"/>
        <v>12100</v>
      </c>
      <c r="G520" s="176">
        <v>0.83333333333000004</v>
      </c>
      <c r="H520" s="182"/>
      <c r="I520" s="37">
        <f t="shared" si="25"/>
        <v>0.83333333333000004</v>
      </c>
      <c r="J520" s="38">
        <f t="shared" si="26"/>
        <v>10083.333333293</v>
      </c>
      <c r="K520" s="315"/>
      <c r="L520" s="145"/>
    </row>
    <row r="521" spans="1:12" ht="20.100000000000001" customHeight="1" thickBot="1" x14ac:dyDescent="0.4">
      <c r="A521" s="144" t="str">
        <f>IF(B521=IFERROR(VLOOKUP(B521,entrant!$E$4:$J$188,1,FALSE),"THERE WAS AN ERROR"),"RAPPORT JOURNAL","")</f>
        <v/>
      </c>
      <c r="B521" s="147" t="s">
        <v>1553</v>
      </c>
      <c r="C521" s="170" t="s">
        <v>218</v>
      </c>
      <c r="D521" s="35">
        <f>SUMIF(entrant!$E$4:$E$2059,'Inventaire des produits'!B521,entrant!$G$4:$G$2059)</f>
        <v>2000</v>
      </c>
      <c r="E521" s="35">
        <f>SUMIF(vente!$E$4:$E$2190,'Inventaire des produits'!B521,vente!$G$4:$G$2190)</f>
        <v>0</v>
      </c>
      <c r="F521" s="36">
        <f t="shared" si="24"/>
        <v>2000</v>
      </c>
      <c r="G521" s="176">
        <v>0.55000000000000004</v>
      </c>
      <c r="H521" s="182"/>
      <c r="I521" s="37">
        <f t="shared" si="25"/>
        <v>0.55000000000000004</v>
      </c>
      <c r="J521" s="38">
        <f t="shared" si="26"/>
        <v>1100</v>
      </c>
      <c r="K521" s="315"/>
      <c r="L521" s="145"/>
    </row>
    <row r="522" spans="1:12" ht="20.100000000000001" customHeight="1" thickBot="1" x14ac:dyDescent="0.4">
      <c r="A522" s="144" t="str">
        <f>IF(B522=IFERROR(VLOOKUP(B522,entrant!$E$4:$J$188,1,FALSE),"THERE WAS AN ERROR"),"RAPPORT JOURNAL","")</f>
        <v/>
      </c>
      <c r="B522" s="147" t="s">
        <v>1564</v>
      </c>
      <c r="C522" s="170" t="s">
        <v>218</v>
      </c>
      <c r="D522" s="35">
        <f>SUMIF(entrant!$E$4:$E$2059,'Inventaire des produits'!B522,entrant!$G$4:$G$2059)</f>
        <v>750</v>
      </c>
      <c r="E522" s="35">
        <f>SUMIF(vente!$E$4:$E$2190,'Inventaire des produits'!B522,vente!$G$4:$G$2190)</f>
        <v>0</v>
      </c>
      <c r="F522" s="36">
        <f t="shared" si="24"/>
        <v>750</v>
      </c>
      <c r="G522" s="176">
        <v>0.83299999999999996</v>
      </c>
      <c r="H522" s="182"/>
      <c r="I522" s="37">
        <f t="shared" si="25"/>
        <v>0.83299999999999996</v>
      </c>
      <c r="J522" s="38">
        <f t="shared" si="26"/>
        <v>624.75</v>
      </c>
      <c r="K522" s="315"/>
      <c r="L522" s="145"/>
    </row>
    <row r="523" spans="1:12" ht="20.100000000000001" customHeight="1" thickBot="1" x14ac:dyDescent="0.4">
      <c r="A523" s="144" t="str">
        <f>IF(B523=IFERROR(VLOOKUP(B523,entrant!$E$4:$J$188,1,FALSE),"THERE WAS AN ERROR"),"RAPPORT JOURNAL","")</f>
        <v/>
      </c>
      <c r="B523" s="147" t="s">
        <v>1565</v>
      </c>
      <c r="C523" s="170" t="s">
        <v>1519</v>
      </c>
      <c r="D523" s="35">
        <f>SUMIF(entrant!$E$4:$E$2059,'Inventaire des produits'!B523,entrant!$G$4:$G$2059)</f>
        <v>1</v>
      </c>
      <c r="E523" s="35">
        <f>SUMIF(vente!$E$4:$E$2190,'Inventaire des produits'!B523,vente!$G$4:$G$2190)</f>
        <v>0</v>
      </c>
      <c r="F523" s="36">
        <f t="shared" si="24"/>
        <v>1</v>
      </c>
      <c r="G523" s="176">
        <v>108.58</v>
      </c>
      <c r="H523" s="182"/>
      <c r="I523" s="37">
        <f t="shared" si="25"/>
        <v>108.58</v>
      </c>
      <c r="J523" s="38">
        <f t="shared" si="26"/>
        <v>108.58</v>
      </c>
      <c r="K523" s="315"/>
      <c r="L523" s="145"/>
    </row>
    <row r="524" spans="1:12" ht="20.100000000000001" customHeight="1" thickBot="1" x14ac:dyDescent="0.4">
      <c r="A524" s="144" t="str">
        <f>IF(B524=IFERROR(VLOOKUP(B524,entrant!$E$4:$J$188,1,FALSE),"THERE WAS AN ERROR"),"RAPPORT JOURNAL","")</f>
        <v/>
      </c>
      <c r="B524" s="147" t="s">
        <v>1567</v>
      </c>
      <c r="C524" s="170" t="s">
        <v>1235</v>
      </c>
      <c r="D524" s="35">
        <f>SUMIF(entrant!$E$4:$E$2059,'Inventaire des produits'!B524,entrant!$G$4:$G$2059)</f>
        <v>1</v>
      </c>
      <c r="E524" s="35">
        <f>SUMIF(vente!$E$4:$E$2190,'Inventaire des produits'!B524,vente!$G$4:$G$2190)</f>
        <v>0</v>
      </c>
      <c r="F524" s="36">
        <f t="shared" si="24"/>
        <v>1</v>
      </c>
      <c r="G524" s="176">
        <v>20.833300000000001</v>
      </c>
      <c r="H524" s="182"/>
      <c r="I524" s="37">
        <f t="shared" si="25"/>
        <v>20.833300000000001</v>
      </c>
      <c r="J524" s="38">
        <f t="shared" si="26"/>
        <v>20.833300000000001</v>
      </c>
      <c r="K524" s="315"/>
      <c r="L524" s="145"/>
    </row>
    <row r="525" spans="1:12" ht="20.100000000000001" customHeight="1" thickBot="1" x14ac:dyDescent="0.4">
      <c r="A525" s="144" t="str">
        <f>IF(B525=IFERROR(VLOOKUP(B525,entrant!$E$4:$J$188,1,FALSE),"THERE WAS AN ERROR"),"RAPPORT JOURNAL","")</f>
        <v/>
      </c>
      <c r="B525" s="147" t="s">
        <v>1571</v>
      </c>
      <c r="C525" s="170" t="s">
        <v>47</v>
      </c>
      <c r="D525" s="35">
        <f>SUMIF(entrant!$E$4:$E$2059,'Inventaire des produits'!B525,entrant!$G$4:$G$2059)</f>
        <v>50</v>
      </c>
      <c r="E525" s="35">
        <f>SUMIF(vente!$E$4:$E$2190,'Inventaire des produits'!B525,vente!$G$4:$G$2190)</f>
        <v>0</v>
      </c>
      <c r="F525" s="36">
        <f t="shared" si="24"/>
        <v>50</v>
      </c>
      <c r="G525" s="176">
        <v>45.83</v>
      </c>
      <c r="H525" s="182"/>
      <c r="I525" s="37">
        <f t="shared" si="25"/>
        <v>45.83</v>
      </c>
      <c r="J525" s="38">
        <f t="shared" si="26"/>
        <v>2291.5</v>
      </c>
      <c r="K525" s="315"/>
      <c r="L525" s="145"/>
    </row>
    <row r="526" spans="1:12" ht="20.100000000000001" customHeight="1" thickBot="1" x14ac:dyDescent="0.4">
      <c r="A526" s="144" t="str">
        <f>IF(B526=IFERROR(VLOOKUP(B526,entrant!$E$4:$J$188,1,FALSE),"THERE WAS AN ERROR"),"RAPPORT JOURNAL","")</f>
        <v/>
      </c>
      <c r="B526" s="147" t="s">
        <v>1572</v>
      </c>
      <c r="C526" s="170" t="s">
        <v>48</v>
      </c>
      <c r="D526" s="35">
        <f>SUMIF(entrant!$E$4:$E$2059,'Inventaire des produits'!B526,entrant!$G$4:$G$2059)</f>
        <v>50</v>
      </c>
      <c r="E526" s="35">
        <f>SUMIF(vente!$E$4:$E$2190,'Inventaire des produits'!B526,vente!$G$4:$G$2190)</f>
        <v>0</v>
      </c>
      <c r="F526" s="36">
        <f t="shared" si="24"/>
        <v>50</v>
      </c>
      <c r="G526" s="176">
        <v>48.5</v>
      </c>
      <c r="H526" s="182"/>
      <c r="I526" s="37">
        <f t="shared" si="25"/>
        <v>48.5</v>
      </c>
      <c r="J526" s="38">
        <f t="shared" si="26"/>
        <v>2425</v>
      </c>
      <c r="K526" s="315"/>
      <c r="L526" s="145"/>
    </row>
    <row r="527" spans="1:12" ht="20.100000000000001" customHeight="1" thickBot="1" x14ac:dyDescent="0.4">
      <c r="A527" s="144" t="str">
        <f>IF(B527=IFERROR(VLOOKUP(B527,entrant!$E$4:$J$188,1,FALSE),"THERE WAS AN ERROR"),"RAPPORT JOURNAL","")</f>
        <v/>
      </c>
      <c r="B527" s="147" t="s">
        <v>1574</v>
      </c>
      <c r="C527" s="170" t="s">
        <v>1573</v>
      </c>
      <c r="D527" s="35">
        <f>SUMIF(entrant!$E$4:$E$2059,'Inventaire des produits'!B527,entrant!$G$4:$G$2059)</f>
        <v>10</v>
      </c>
      <c r="E527" s="35">
        <f>SUMIF(vente!$E$4:$E$2190,'Inventaire des produits'!B527,vente!$G$4:$G$2190)</f>
        <v>0</v>
      </c>
      <c r="F527" s="36">
        <f t="shared" si="24"/>
        <v>10</v>
      </c>
      <c r="G527" s="176">
        <v>120</v>
      </c>
      <c r="H527" s="182"/>
      <c r="I527" s="37">
        <f t="shared" si="25"/>
        <v>120</v>
      </c>
      <c r="J527" s="38">
        <f t="shared" si="26"/>
        <v>1200</v>
      </c>
      <c r="K527" s="315"/>
      <c r="L527" s="145"/>
    </row>
    <row r="528" spans="1:12" ht="20.100000000000001" customHeight="1" thickBot="1" x14ac:dyDescent="0.4">
      <c r="A528" s="144" t="str">
        <f>IF(B528=IFERROR(VLOOKUP(B528,entrant!$E$4:$J$188,1,FALSE),"THERE WAS AN ERROR"),"RAPPORT JOURNAL","")</f>
        <v/>
      </c>
      <c r="B528" s="147" t="s">
        <v>1609</v>
      </c>
      <c r="C528" s="170" t="s">
        <v>1608</v>
      </c>
      <c r="D528" s="35">
        <f>SUMIF(entrant!$E$4:$E$2059,'Inventaire des produits'!B528,entrant!$G$4:$G$2059)</f>
        <v>400</v>
      </c>
      <c r="E528" s="35">
        <f>SUMIF(vente!$E$4:$E$2190,'Inventaire des produits'!B528,vente!$G$4:$G$2190)</f>
        <v>0</v>
      </c>
      <c r="F528" s="36">
        <f t="shared" si="24"/>
        <v>400</v>
      </c>
      <c r="G528" s="176">
        <v>4.58</v>
      </c>
      <c r="H528" s="182">
        <v>0.47233999999999998</v>
      </c>
      <c r="I528" s="37">
        <f t="shared" si="25"/>
        <v>2.4166828000000002</v>
      </c>
      <c r="J528" s="38">
        <f t="shared" si="26"/>
        <v>966.67312000000015</v>
      </c>
      <c r="K528" s="315"/>
      <c r="L528" s="145"/>
    </row>
    <row r="529" spans="1:12" ht="20.100000000000001" customHeight="1" thickBot="1" x14ac:dyDescent="0.4">
      <c r="A529" s="144" t="str">
        <f>IF(B529=IFERROR(VLOOKUP(B529,entrant!$E$4:$J$188,1,FALSE),"THERE WAS AN ERROR"),"RAPPORT JOURNAL","")</f>
        <v/>
      </c>
      <c r="B529" s="147" t="s">
        <v>1619</v>
      </c>
      <c r="C529" s="170" t="s">
        <v>947</v>
      </c>
      <c r="D529" s="35">
        <f>SUMIF(entrant!$E$4:$E$2059,'Inventaire des produits'!B529,entrant!$G$4:$G$2059)</f>
        <v>2000</v>
      </c>
      <c r="E529" s="35">
        <f>SUMIF(vente!$E$4:$E$2190,'Inventaire des produits'!B529,vente!$G$4:$G$2190)</f>
        <v>2000</v>
      </c>
      <c r="F529" s="36">
        <f t="shared" si="24"/>
        <v>0</v>
      </c>
      <c r="G529" s="176">
        <v>1.3</v>
      </c>
      <c r="H529" s="182"/>
      <c r="I529" s="37">
        <f t="shared" si="25"/>
        <v>1.3</v>
      </c>
      <c r="J529" s="38">
        <f t="shared" si="26"/>
        <v>0</v>
      </c>
      <c r="K529" s="315"/>
      <c r="L529" s="145"/>
    </row>
    <row r="530" spans="1:12" ht="20.100000000000001" customHeight="1" thickBot="1" x14ac:dyDescent="0.4">
      <c r="A530" s="144" t="str">
        <f>IF(B530=IFERROR(VLOOKUP(B530,entrant!$E$4:$J$188,1,FALSE),"THERE WAS AN ERROR"),"RAPPORT JOURNAL","")</f>
        <v/>
      </c>
      <c r="B530" s="147" t="s">
        <v>1628</v>
      </c>
      <c r="C530" s="170" t="s">
        <v>1255</v>
      </c>
      <c r="D530" s="35">
        <f>SUMIF(entrant!$E$4:$E$2059,'Inventaire des produits'!B530,entrant!$G$4:$G$2059)</f>
        <v>20000</v>
      </c>
      <c r="E530" s="35">
        <f>SUMIF(vente!$E$4:$E$2190,'Inventaire des produits'!B530,vente!$G$4:$G$2190)</f>
        <v>20000</v>
      </c>
      <c r="F530" s="36">
        <f t="shared" si="24"/>
        <v>0</v>
      </c>
      <c r="G530" s="176">
        <v>0.94</v>
      </c>
      <c r="H530" s="182"/>
      <c r="I530" s="37">
        <f t="shared" si="25"/>
        <v>0.94</v>
      </c>
      <c r="J530" s="38">
        <f t="shared" si="26"/>
        <v>0</v>
      </c>
      <c r="K530" s="315"/>
      <c r="L530" s="145"/>
    </row>
    <row r="531" spans="1:12" ht="20.100000000000001" customHeight="1" thickBot="1" x14ac:dyDescent="0.4">
      <c r="A531" s="144" t="str">
        <f>IF(B531=IFERROR(VLOOKUP(B531,entrant!$E$4:$J$188,1,FALSE),"THERE WAS AN ERROR"),"RAPPORT JOURNAL","")</f>
        <v/>
      </c>
      <c r="B531" s="147" t="s">
        <v>1631</v>
      </c>
      <c r="C531" s="170" t="s">
        <v>574</v>
      </c>
      <c r="D531" s="35">
        <f>SUMIF(entrant!$E$4:$E$2059,'Inventaire des produits'!B531,entrant!$G$4:$G$2059)</f>
        <v>5000</v>
      </c>
      <c r="E531" s="35">
        <f>SUMIF(vente!$E$4:$E$2190,'Inventaire des produits'!B531,vente!$G$4:$G$2190)</f>
        <v>0</v>
      </c>
      <c r="F531" s="36">
        <f t="shared" si="24"/>
        <v>5000</v>
      </c>
      <c r="G531" s="176">
        <v>0.53</v>
      </c>
      <c r="H531" s="182"/>
      <c r="I531" s="37">
        <f t="shared" si="25"/>
        <v>0.53</v>
      </c>
      <c r="J531" s="38">
        <f t="shared" si="26"/>
        <v>2650</v>
      </c>
      <c r="K531" s="315"/>
      <c r="L531" s="145"/>
    </row>
    <row r="532" spans="1:12" ht="20.100000000000001" customHeight="1" thickBot="1" x14ac:dyDescent="0.4">
      <c r="A532" s="144" t="str">
        <f>IF(B532=IFERROR(VLOOKUP(B532,entrant!$E$4:$J$188,1,FALSE),"THERE WAS AN ERROR"),"RAPPORT JOURNAL","")</f>
        <v/>
      </c>
      <c r="B532" s="147" t="s">
        <v>1634</v>
      </c>
      <c r="C532" s="170" t="s">
        <v>170</v>
      </c>
      <c r="D532" s="35">
        <f>SUMIF(entrant!$E$4:$E$2059,'Inventaire des produits'!B532,entrant!$G$4:$G$2059)</f>
        <v>2000</v>
      </c>
      <c r="E532" s="35">
        <f>SUMIF(vente!$E$4:$E$2190,'Inventaire des produits'!B532,vente!$G$4:$G$2190)</f>
        <v>0</v>
      </c>
      <c r="F532" s="36">
        <f t="shared" si="24"/>
        <v>2000</v>
      </c>
      <c r="G532" s="176">
        <v>0.8</v>
      </c>
      <c r="H532" s="182"/>
      <c r="I532" s="37">
        <f t="shared" si="25"/>
        <v>0.8</v>
      </c>
      <c r="J532" s="38">
        <f t="shared" si="26"/>
        <v>1600</v>
      </c>
      <c r="K532" s="315"/>
      <c r="L532" s="145"/>
    </row>
    <row r="533" spans="1:12" ht="20.100000000000001" customHeight="1" thickBot="1" x14ac:dyDescent="0.4">
      <c r="A533" s="144" t="str">
        <f>IF(B533=IFERROR(VLOOKUP(B533,entrant!$E$4:$J$188,1,FALSE),"THERE WAS AN ERROR"),"RAPPORT JOURNAL","")</f>
        <v/>
      </c>
      <c r="B533" s="147" t="s">
        <v>1637</v>
      </c>
      <c r="C533" s="170" t="s">
        <v>340</v>
      </c>
      <c r="D533" s="35">
        <f>SUMIF(entrant!$E$4:$E$2059,'Inventaire des produits'!B533,entrant!$G$4:$G$2059)</f>
        <v>4000</v>
      </c>
      <c r="E533" s="35">
        <f>SUMIF(vente!$E$4:$E$2190,'Inventaire des produits'!B533,vente!$G$4:$G$2190)</f>
        <v>0</v>
      </c>
      <c r="F533" s="36">
        <f t="shared" si="24"/>
        <v>4000</v>
      </c>
      <c r="G533" s="176">
        <f>0.69/1.2</f>
        <v>0.57499999999999996</v>
      </c>
      <c r="H533" s="182"/>
      <c r="I533" s="37">
        <f t="shared" si="25"/>
        <v>0.57499999999999996</v>
      </c>
      <c r="J533" s="38">
        <f t="shared" si="26"/>
        <v>2300</v>
      </c>
      <c r="K533" s="315"/>
      <c r="L533" s="145"/>
    </row>
    <row r="534" spans="1:12" ht="20.100000000000001" customHeight="1" thickBot="1" x14ac:dyDescent="0.4">
      <c r="A534" s="144" t="str">
        <f>IF(B534=IFERROR(VLOOKUP(B534,entrant!$E$4:$J$188,1,FALSE),"THERE WAS AN ERROR"),"RAPPORT JOURNAL","")</f>
        <v/>
      </c>
      <c r="B534" s="147" t="s">
        <v>1639</v>
      </c>
      <c r="C534" s="170" t="s">
        <v>1638</v>
      </c>
      <c r="D534" s="35">
        <f>SUMIF(entrant!$E$4:$E$2059,'Inventaire des produits'!B534,entrant!$G$4:$G$2059)</f>
        <v>1000</v>
      </c>
      <c r="E534" s="35">
        <f>SUMIF(vente!$E$4:$E$2190,'Inventaire des produits'!B534,vente!$G$4:$G$2190)</f>
        <v>0</v>
      </c>
      <c r="F534" s="36">
        <f t="shared" si="24"/>
        <v>1000</v>
      </c>
      <c r="G534" s="176">
        <v>0.28333333333333338</v>
      </c>
      <c r="H534" s="182"/>
      <c r="I534" s="37">
        <f t="shared" si="25"/>
        <v>0.28333333333333338</v>
      </c>
      <c r="J534" s="38">
        <f t="shared" si="26"/>
        <v>283.33333333333337</v>
      </c>
      <c r="K534" s="315"/>
      <c r="L534" s="145"/>
    </row>
    <row r="535" spans="1:12" ht="20.100000000000001" customHeight="1" thickBot="1" x14ac:dyDescent="0.4">
      <c r="A535" s="144" t="str">
        <f>IF(B535=IFERROR(VLOOKUP(B535,entrant!$E$4:$J$188,1,FALSE),"THERE WAS AN ERROR"),"RAPPORT JOURNAL","")</f>
        <v/>
      </c>
      <c r="B535" s="147" t="s">
        <v>1642</v>
      </c>
      <c r="C535" s="170" t="s">
        <v>639</v>
      </c>
      <c r="D535" s="35">
        <f>SUMIF(entrant!$E$4:$E$2059,'Inventaire des produits'!B535,entrant!$G$4:$G$2059)</f>
        <v>600</v>
      </c>
      <c r="E535" s="35">
        <f>SUMIF(vente!$E$4:$E$2190,'Inventaire des produits'!B535,vente!$G$4:$G$2190)</f>
        <v>0</v>
      </c>
      <c r="F535" s="36">
        <f t="shared" si="24"/>
        <v>600</v>
      </c>
      <c r="G535" s="176">
        <f>390/1.2/300</f>
        <v>1.0833333333333333</v>
      </c>
      <c r="H535" s="182">
        <v>0.05</v>
      </c>
      <c r="I535" s="37">
        <f t="shared" si="25"/>
        <v>1.0291666666666666</v>
      </c>
      <c r="J535" s="38">
        <f t="shared" si="26"/>
        <v>617.49999999999989</v>
      </c>
      <c r="K535" s="315"/>
      <c r="L535" s="145"/>
    </row>
    <row r="536" spans="1:12" ht="20.100000000000001" customHeight="1" thickBot="1" x14ac:dyDescent="0.4">
      <c r="A536" s="144" t="str">
        <f>IF(B536=IFERROR(VLOOKUP(B536,entrant!$E$4:$J$188,1,FALSE),"THERE WAS AN ERROR"),"RAPPORT JOURNAL","")</f>
        <v/>
      </c>
      <c r="B536" s="147" t="s">
        <v>1644</v>
      </c>
      <c r="C536" s="170" t="s">
        <v>863</v>
      </c>
      <c r="D536" s="35">
        <f>SUMIF(entrant!$E$4:$E$2059,'Inventaire des produits'!B536,entrant!$G$4:$G$2059)</f>
        <v>300</v>
      </c>
      <c r="E536" s="35">
        <f>SUMIF(vente!$E$4:$E$2190,'Inventaire des produits'!B536,vente!$G$4:$G$2190)</f>
        <v>0</v>
      </c>
      <c r="F536" s="36">
        <f t="shared" si="24"/>
        <v>300</v>
      </c>
      <c r="G536" s="176">
        <f>420/1.2/300</f>
        <v>1.1666666666666667</v>
      </c>
      <c r="H536" s="182">
        <v>0.05</v>
      </c>
      <c r="I536" s="37">
        <f t="shared" si="25"/>
        <v>1.1083333333333334</v>
      </c>
      <c r="J536" s="38">
        <f t="shared" si="26"/>
        <v>332.5</v>
      </c>
      <c r="K536" s="315"/>
      <c r="L536" s="145"/>
    </row>
    <row r="537" spans="1:12" ht="20.100000000000001" customHeight="1" thickBot="1" x14ac:dyDescent="0.4">
      <c r="A537" s="144" t="str">
        <f>IF(B537=IFERROR(VLOOKUP(B537,entrant!$E$4:$J$188,1,FALSE),"THERE WAS AN ERROR"),"RAPPORT JOURNAL","")</f>
        <v/>
      </c>
      <c r="B537" s="147" t="s">
        <v>1646</v>
      </c>
      <c r="C537" s="170" t="s">
        <v>863</v>
      </c>
      <c r="D537" s="35">
        <f>SUMIF(entrant!$E$4:$E$2059,'Inventaire des produits'!B537,entrant!$G$4:$G$2059)</f>
        <v>300</v>
      </c>
      <c r="E537" s="35">
        <f>SUMIF(vente!$E$4:$E$2190,'Inventaire des produits'!B537,vente!$G$4:$G$2190)</f>
        <v>0</v>
      </c>
      <c r="F537" s="36">
        <f t="shared" si="24"/>
        <v>300</v>
      </c>
      <c r="G537" s="176">
        <f>390/1.2/300</f>
        <v>1.0833333333333333</v>
      </c>
      <c r="H537" s="182"/>
      <c r="I537" s="37">
        <f t="shared" si="25"/>
        <v>1.0833333333333333</v>
      </c>
      <c r="J537" s="38">
        <f t="shared" si="26"/>
        <v>325</v>
      </c>
      <c r="K537" s="315"/>
      <c r="L537" s="145"/>
    </row>
    <row r="538" spans="1:12" ht="20.100000000000001" customHeight="1" thickBot="1" x14ac:dyDescent="0.4">
      <c r="A538" s="144" t="str">
        <f>IF(B538=IFERROR(VLOOKUP(B538,entrant!$E$4:$J$188,1,FALSE),"THERE WAS AN ERROR"),"RAPPORT JOURNAL","")</f>
        <v/>
      </c>
      <c r="B538" s="147" t="s">
        <v>1648</v>
      </c>
      <c r="C538" s="170" t="s">
        <v>86</v>
      </c>
      <c r="D538" s="35">
        <f>SUMIF(entrant!$E$4:$E$2059,'Inventaire des produits'!B538,entrant!$G$4:$G$2059)</f>
        <v>1000</v>
      </c>
      <c r="E538" s="35">
        <f>SUMIF(vente!$E$4:$E$2190,'Inventaire des produits'!B538,vente!$G$4:$G$2190)</f>
        <v>0</v>
      </c>
      <c r="F538" s="36">
        <f t="shared" si="24"/>
        <v>1000</v>
      </c>
      <c r="G538" s="176">
        <f>240/1.2/1000</f>
        <v>0.2</v>
      </c>
      <c r="H538" s="182"/>
      <c r="I538" s="37">
        <f t="shared" si="25"/>
        <v>0.2</v>
      </c>
      <c r="J538" s="38">
        <f t="shared" si="26"/>
        <v>200</v>
      </c>
      <c r="K538" s="315"/>
      <c r="L538" s="145"/>
    </row>
    <row r="539" spans="1:12" ht="20.100000000000001" customHeight="1" thickBot="1" x14ac:dyDescent="0.4">
      <c r="A539" s="144" t="str">
        <f>IF(B539=IFERROR(VLOOKUP(B539,entrant!$E$4:$J$188,1,FALSE),"THERE WAS AN ERROR"),"RAPPORT JOURNAL","")</f>
        <v/>
      </c>
      <c r="B539" s="147" t="s">
        <v>1651</v>
      </c>
      <c r="C539" s="170" t="s">
        <v>1652</v>
      </c>
      <c r="D539" s="35">
        <f>SUMIF(entrant!$E$4:$E$2059,'Inventaire des produits'!B539,entrant!$G$4:$G$2059)</f>
        <v>250</v>
      </c>
      <c r="E539" s="35">
        <f>SUMIF(vente!$E$4:$E$2190,'Inventaire des produits'!B539,vente!$G$4:$G$2190)</f>
        <v>0</v>
      </c>
      <c r="F539" s="36">
        <f t="shared" si="24"/>
        <v>250</v>
      </c>
      <c r="G539" s="176">
        <v>1.1000000000000001</v>
      </c>
      <c r="H539" s="182"/>
      <c r="I539" s="37">
        <f t="shared" si="25"/>
        <v>1.1000000000000001</v>
      </c>
      <c r="J539" s="38">
        <f t="shared" si="26"/>
        <v>275</v>
      </c>
      <c r="K539" s="315"/>
      <c r="L539" s="145"/>
    </row>
    <row r="540" spans="1:12" ht="20.100000000000001" customHeight="1" thickBot="1" x14ac:dyDescent="0.4">
      <c r="A540" s="144" t="str">
        <f>IF(B540=IFERROR(VLOOKUP(B540,entrant!$E$4:$J$188,1,FALSE),"THERE WAS AN ERROR"),"RAPPORT JOURNAL","")</f>
        <v/>
      </c>
      <c r="B540" s="147" t="s">
        <v>1654</v>
      </c>
      <c r="C540" s="170" t="s">
        <v>639</v>
      </c>
      <c r="D540" s="35">
        <f>SUMIF(entrant!$E$4:$E$2059,'Inventaire des produits'!B540,entrant!$G$4:$G$2059)</f>
        <v>600</v>
      </c>
      <c r="E540" s="35">
        <f>SUMIF(vente!$E$4:$E$2190,'Inventaire des produits'!B540,vente!$G$4:$G$2190)</f>
        <v>0</v>
      </c>
      <c r="F540" s="36">
        <f t="shared" si="24"/>
        <v>600</v>
      </c>
      <c r="G540" s="176">
        <f>360/1.2/300</f>
        <v>1</v>
      </c>
      <c r="H540" s="182"/>
      <c r="I540" s="37">
        <f t="shared" si="25"/>
        <v>1</v>
      </c>
      <c r="J540" s="38">
        <f t="shared" si="26"/>
        <v>600</v>
      </c>
      <c r="K540" s="315"/>
      <c r="L540" s="145"/>
    </row>
    <row r="541" spans="1:12" ht="20.100000000000001" customHeight="1" thickBot="1" x14ac:dyDescent="0.4">
      <c r="A541" s="144" t="str">
        <f>IF(B541=IFERROR(VLOOKUP(B541,entrant!$E$4:$J$188,1,FALSE),"THERE WAS AN ERROR"),"RAPPORT JOURNAL","")</f>
        <v/>
      </c>
      <c r="B541" s="147" t="s">
        <v>1656</v>
      </c>
      <c r="C541" s="170" t="s">
        <v>1657</v>
      </c>
      <c r="D541" s="35">
        <f>SUMIF(entrant!$E$4:$E$2059,'Inventaire des produits'!B541,entrant!$G$4:$G$2059)</f>
        <v>1</v>
      </c>
      <c r="E541" s="35">
        <f>SUMIF(vente!$E$4:$E$2190,'Inventaire des produits'!B541,vente!$G$4:$G$2190)</f>
        <v>0</v>
      </c>
      <c r="F541" s="36">
        <f t="shared" si="24"/>
        <v>1</v>
      </c>
      <c r="G541" s="176">
        <f>160/1.2</f>
        <v>133.33333333333334</v>
      </c>
      <c r="H541" s="182"/>
      <c r="I541" s="37">
        <f t="shared" si="25"/>
        <v>133.33333333333334</v>
      </c>
      <c r="J541" s="38">
        <f t="shared" si="26"/>
        <v>133.33333333333334</v>
      </c>
      <c r="K541" s="315"/>
      <c r="L541" s="145"/>
    </row>
    <row r="542" spans="1:12" ht="20.100000000000001" customHeight="1" thickBot="1" x14ac:dyDescent="0.4">
      <c r="A542" s="144" t="str">
        <f>IF(B542=IFERROR(VLOOKUP(B542,entrant!$E$4:$J$188,1,FALSE),"THERE WAS AN ERROR"),"RAPPORT JOURNAL","")</f>
        <v/>
      </c>
      <c r="B542" s="147" t="s">
        <v>1659</v>
      </c>
      <c r="C542" s="170" t="s">
        <v>517</v>
      </c>
      <c r="D542" s="35">
        <f>SUMIF(entrant!$E$4:$E$2059,'Inventaire des produits'!B542,entrant!$G$4:$G$2059)</f>
        <v>300</v>
      </c>
      <c r="E542" s="35">
        <f>SUMIF(vente!$E$4:$E$2190,'Inventaire des produits'!B542,vente!$G$4:$G$2190)</f>
        <v>0</v>
      </c>
      <c r="F542" s="36">
        <f t="shared" si="24"/>
        <v>300</v>
      </c>
      <c r="G542" s="176">
        <v>1.4166666666666667</v>
      </c>
      <c r="H542" s="182"/>
      <c r="I542" s="37">
        <f t="shared" si="25"/>
        <v>1.4166666666666667</v>
      </c>
      <c r="J542" s="38">
        <f t="shared" si="26"/>
        <v>425</v>
      </c>
      <c r="K542" s="315"/>
      <c r="L542" s="145"/>
    </row>
    <row r="543" spans="1:12" ht="20.100000000000001" customHeight="1" thickBot="1" x14ac:dyDescent="0.4">
      <c r="A543" s="144" t="str">
        <f>IF(B543=IFERROR(VLOOKUP(B543,entrant!$E$4:$J$188,1,FALSE),"THERE WAS AN ERROR"),"RAPPORT JOURNAL","")</f>
        <v/>
      </c>
      <c r="B543" s="147" t="s">
        <v>1661</v>
      </c>
      <c r="C543" s="170" t="s">
        <v>1547</v>
      </c>
      <c r="D543" s="35">
        <f>SUMIF(entrant!$E$4:$E$2059,'Inventaire des produits'!B543,entrant!$G$4:$G$2059)</f>
        <v>204</v>
      </c>
      <c r="E543" s="35">
        <f>SUMIF(vente!$E$4:$E$2190,'Inventaire des produits'!B543,vente!$G$4:$G$2190)</f>
        <v>0</v>
      </c>
      <c r="F543" s="36">
        <f t="shared" si="24"/>
        <v>204</v>
      </c>
      <c r="G543" s="176">
        <v>1.6544117647058822</v>
      </c>
      <c r="H543" s="182"/>
      <c r="I543" s="37">
        <f t="shared" si="25"/>
        <v>1.6544117647058822</v>
      </c>
      <c r="J543" s="38">
        <f t="shared" si="26"/>
        <v>337.5</v>
      </c>
      <c r="K543" s="315"/>
      <c r="L543" s="145"/>
    </row>
    <row r="544" spans="1:12" ht="20.100000000000001" customHeight="1" thickBot="1" x14ac:dyDescent="0.4">
      <c r="A544" s="144" t="str">
        <f>IF(B544=IFERROR(VLOOKUP(B544,entrant!$E$4:$J$188,1,FALSE),"THERE WAS AN ERROR"),"RAPPORT JOURNAL","")</f>
        <v/>
      </c>
      <c r="B544" s="147" t="s">
        <v>1664</v>
      </c>
      <c r="C544" s="170" t="s">
        <v>1663</v>
      </c>
      <c r="D544" s="35">
        <f>SUMIF(entrant!$E$4:$E$2059,'Inventaire des produits'!B544,entrant!$G$4:$G$2059)</f>
        <v>1000</v>
      </c>
      <c r="E544" s="35">
        <f>SUMIF(vente!$E$4:$E$2190,'Inventaire des produits'!B544,vente!$G$4:$G$2190)</f>
        <v>0</v>
      </c>
      <c r="F544" s="36">
        <f t="shared" si="24"/>
        <v>1000</v>
      </c>
      <c r="G544" s="176">
        <f>400/1.2/1000</f>
        <v>0.33333333333333337</v>
      </c>
      <c r="H544" s="182"/>
      <c r="I544" s="37">
        <f t="shared" si="25"/>
        <v>0.33333333333333337</v>
      </c>
      <c r="J544" s="38">
        <f t="shared" si="26"/>
        <v>333.33333333333337</v>
      </c>
      <c r="K544" s="315"/>
      <c r="L544" s="145"/>
    </row>
    <row r="545" spans="1:12" ht="20.100000000000001" customHeight="1" thickBot="1" x14ac:dyDescent="0.4">
      <c r="A545" s="144" t="str">
        <f>IF(B545=IFERROR(VLOOKUP(B545,entrant!$E$4:$J$188,1,FALSE),"THERE WAS AN ERROR"),"RAPPORT JOURNAL","")</f>
        <v/>
      </c>
      <c r="B545" s="147" t="s">
        <v>1670</v>
      </c>
      <c r="C545" s="170" t="s">
        <v>1669</v>
      </c>
      <c r="D545" s="35">
        <f>SUMIF(entrant!$E$4:$E$2059,'Inventaire des produits'!B545,entrant!$G$4:$G$2059)</f>
        <v>204</v>
      </c>
      <c r="E545" s="35">
        <f>SUMIF(vente!$E$4:$E$2190,'Inventaire des produits'!B545,vente!$G$4:$G$2190)</f>
        <v>0</v>
      </c>
      <c r="F545" s="36">
        <f t="shared" si="24"/>
        <v>204</v>
      </c>
      <c r="G545" s="176">
        <v>1.65</v>
      </c>
      <c r="H545" s="182"/>
      <c r="I545" s="37">
        <f t="shared" si="25"/>
        <v>1.65</v>
      </c>
      <c r="J545" s="38">
        <f t="shared" si="26"/>
        <v>336.59999999999997</v>
      </c>
      <c r="K545" s="315"/>
      <c r="L545" s="145"/>
    </row>
    <row r="546" spans="1:12" ht="20.100000000000001" customHeight="1" thickBot="1" x14ac:dyDescent="0.4">
      <c r="A546" s="144" t="str">
        <f>IF(B546=IFERROR(VLOOKUP(B546,entrant!$E$4:$J$188,1,FALSE),"THERE WAS AN ERROR"),"RAPPORT JOURNAL","")</f>
        <v/>
      </c>
      <c r="B546" s="147" t="s">
        <v>1681</v>
      </c>
      <c r="C546" s="170" t="s">
        <v>1680</v>
      </c>
      <c r="D546" s="35">
        <f>SUMIF(entrant!$E$4:$E$2059,'Inventaire des produits'!B546,entrant!$G$4:$G$2059)</f>
        <v>1000</v>
      </c>
      <c r="E546" s="35">
        <f>SUMIF(vente!$E$4:$E$2190,'Inventaire des produits'!B546,vente!$G$4:$G$2190)</f>
        <v>0</v>
      </c>
      <c r="F546" s="36">
        <f t="shared" si="24"/>
        <v>1000</v>
      </c>
      <c r="G546" s="176">
        <f>0.8/1.2</f>
        <v>0.66666666666666674</v>
      </c>
      <c r="H546" s="182"/>
      <c r="I546" s="37">
        <f t="shared" si="25"/>
        <v>0.66666666666666674</v>
      </c>
      <c r="J546" s="38">
        <f t="shared" si="26"/>
        <v>666.66666666666674</v>
      </c>
      <c r="K546" s="315"/>
      <c r="L546" s="145"/>
    </row>
    <row r="547" spans="1:12" ht="20.100000000000001" customHeight="1" thickBot="1" x14ac:dyDescent="0.4">
      <c r="A547" s="144" t="str">
        <f>IF(B547=IFERROR(VLOOKUP(B547,entrant!$E$4:$J$188,1,FALSE),"THERE WAS AN ERROR"),"RAPPORT JOURNAL","")</f>
        <v/>
      </c>
      <c r="B547" s="147" t="s">
        <v>1683</v>
      </c>
      <c r="C547" s="170" t="s">
        <v>1682</v>
      </c>
      <c r="D547" s="35">
        <f>SUMIF(entrant!$E$4:$E$2059,'Inventaire des produits'!B547,entrant!$G$4:$G$2059)</f>
        <v>100</v>
      </c>
      <c r="E547" s="35">
        <f>SUMIF(vente!$E$4:$E$2190,'Inventaire des produits'!B547,vente!$G$4:$G$2190)</f>
        <v>0</v>
      </c>
      <c r="F547" s="36">
        <f t="shared" si="24"/>
        <v>100</v>
      </c>
      <c r="G547" s="176">
        <f>21.6/1.2</f>
        <v>18.000000000000004</v>
      </c>
      <c r="H547" s="182"/>
      <c r="I547" s="37">
        <f t="shared" si="25"/>
        <v>18.000000000000004</v>
      </c>
      <c r="J547" s="38">
        <f t="shared" si="26"/>
        <v>1800.0000000000005</v>
      </c>
      <c r="K547" s="315"/>
      <c r="L547" s="145"/>
    </row>
    <row r="548" spans="1:12" ht="20.100000000000001" customHeight="1" thickBot="1" x14ac:dyDescent="0.4">
      <c r="A548" s="144" t="str">
        <f>IF(B548=IFERROR(VLOOKUP(B548,entrant!$E$4:$J$188,1,FALSE),"THERE WAS AN ERROR"),"RAPPORT JOURNAL","")</f>
        <v/>
      </c>
      <c r="B548" s="147" t="s">
        <v>1685</v>
      </c>
      <c r="C548" s="170" t="s">
        <v>1684</v>
      </c>
      <c r="D548" s="35">
        <f>SUMIF(entrant!$E$4:$E$2059,'Inventaire des produits'!B548,entrant!$G$4:$G$2059)</f>
        <v>800</v>
      </c>
      <c r="E548" s="35">
        <f>SUMIF(vente!$E$4:$E$2190,'Inventaire des produits'!B548,vente!$G$4:$G$2190)</f>
        <v>0</v>
      </c>
      <c r="F548" s="36">
        <f t="shared" si="24"/>
        <v>800</v>
      </c>
      <c r="G548" s="176">
        <f>2.6/1.2</f>
        <v>2.166666666666667</v>
      </c>
      <c r="H548" s="182"/>
      <c r="I548" s="37">
        <f t="shared" si="25"/>
        <v>2.166666666666667</v>
      </c>
      <c r="J548" s="38">
        <f t="shared" si="26"/>
        <v>1733.3333333333335</v>
      </c>
      <c r="K548" s="315"/>
      <c r="L548" s="145"/>
    </row>
    <row r="549" spans="1:12" ht="20.100000000000001" customHeight="1" thickBot="1" x14ac:dyDescent="0.4">
      <c r="A549" s="144" t="str">
        <f>IF(B549=IFERROR(VLOOKUP(B549,entrant!$E$4:$J$188,1,FALSE),"THERE WAS AN ERROR"),"RAPPORT JOURNAL","")</f>
        <v/>
      </c>
      <c r="B549" s="147" t="s">
        <v>1686</v>
      </c>
      <c r="C549" s="170" t="s">
        <v>1304</v>
      </c>
      <c r="D549" s="35">
        <f>SUMIF(entrant!$E$4:$E$2059,'Inventaire des produits'!B549,entrant!$G$4:$G$2059)</f>
        <v>100</v>
      </c>
      <c r="E549" s="35">
        <f>SUMIF(vente!$E$4:$E$2190,'Inventaire des produits'!B549,vente!$G$4:$G$2190)</f>
        <v>0</v>
      </c>
      <c r="F549" s="36">
        <f t="shared" si="24"/>
        <v>100</v>
      </c>
      <c r="G549" s="176">
        <f>2.1/1.2</f>
        <v>1.7500000000000002</v>
      </c>
      <c r="H549" s="182"/>
      <c r="I549" s="37">
        <f t="shared" si="25"/>
        <v>1.7500000000000002</v>
      </c>
      <c r="J549" s="38">
        <f t="shared" si="26"/>
        <v>175.00000000000003</v>
      </c>
      <c r="K549" s="315"/>
      <c r="L549" s="145"/>
    </row>
    <row r="550" spans="1:12" ht="20.100000000000001" customHeight="1" thickBot="1" x14ac:dyDescent="0.4">
      <c r="A550" s="144" t="str">
        <f>IF(B550=IFERROR(VLOOKUP(B550,entrant!$E$4:$J$188,1,FALSE),"THERE WAS AN ERROR"),"RAPPORT JOURNAL","")</f>
        <v/>
      </c>
      <c r="B550" s="147" t="s">
        <v>1687</v>
      </c>
      <c r="C550" s="170" t="s">
        <v>218</v>
      </c>
      <c r="D550" s="35">
        <f>SUMIF(entrant!$E$4:$E$2059,'Inventaire des produits'!B550,entrant!$G$4:$G$2059)</f>
        <v>15000</v>
      </c>
      <c r="E550" s="35">
        <f>SUMIF(vente!$E$4:$E$2190,'Inventaire des produits'!B550,vente!$G$4:$G$2190)</f>
        <v>0</v>
      </c>
      <c r="F550" s="36">
        <f t="shared" si="24"/>
        <v>15000</v>
      </c>
      <c r="G550" s="176">
        <f>0.58/1.2</f>
        <v>0.48333333333333334</v>
      </c>
      <c r="H550" s="182"/>
      <c r="I550" s="37">
        <f t="shared" si="25"/>
        <v>0.48333333333333334</v>
      </c>
      <c r="J550" s="38">
        <f t="shared" si="26"/>
        <v>7250</v>
      </c>
      <c r="K550" s="315"/>
      <c r="L550" s="145"/>
    </row>
    <row r="551" spans="1:12" ht="20.100000000000001" customHeight="1" thickBot="1" x14ac:dyDescent="0.4">
      <c r="A551" s="144" t="str">
        <f>IF(B551=IFERROR(VLOOKUP(B551,entrant!$E$4:$J$188,1,FALSE),"THERE WAS AN ERROR"),"RAPPORT JOURNAL","")</f>
        <v/>
      </c>
      <c r="B551" s="147" t="s">
        <v>1688</v>
      </c>
      <c r="C551" s="170" t="s">
        <v>55</v>
      </c>
      <c r="D551" s="35">
        <f>SUMIF(entrant!$E$4:$E$2059,'Inventaire des produits'!B551,entrant!$G$4:$G$2059)</f>
        <v>5000</v>
      </c>
      <c r="E551" s="35">
        <f>SUMIF(vente!$E$4:$E$2190,'Inventaire des produits'!B551,vente!$G$4:$G$2190)</f>
        <v>0</v>
      </c>
      <c r="F551" s="36">
        <f t="shared" si="24"/>
        <v>5000</v>
      </c>
      <c r="G551" s="176">
        <f>0.7/1.2</f>
        <v>0.58333333333333337</v>
      </c>
      <c r="H551" s="182"/>
      <c r="I551" s="37">
        <f t="shared" si="25"/>
        <v>0.58333333333333337</v>
      </c>
      <c r="J551" s="38">
        <f t="shared" si="26"/>
        <v>2916.666666666667</v>
      </c>
      <c r="K551" s="315"/>
      <c r="L551" s="145"/>
    </row>
    <row r="552" spans="1:12" ht="20.100000000000001" customHeight="1" thickBot="1" x14ac:dyDescent="0.4">
      <c r="A552" s="144" t="str">
        <f>IF(B552=IFERROR(VLOOKUP(B552,entrant!$E$4:$J$188,1,FALSE),"THERE WAS AN ERROR"),"RAPPORT JOURNAL","")</f>
        <v/>
      </c>
      <c r="B552" s="147" t="s">
        <v>1690</v>
      </c>
      <c r="C552" s="170" t="s">
        <v>1377</v>
      </c>
      <c r="D552" s="35">
        <f>SUMIF(entrant!$E$4:$E$2059,'Inventaire des produits'!B552,entrant!$G$4:$G$2059)</f>
        <v>1600</v>
      </c>
      <c r="E552" s="35">
        <f>SUMIF(vente!$E$4:$E$2190,'Inventaire des produits'!B552,vente!$G$4:$G$2190)</f>
        <v>0</v>
      </c>
      <c r="F552" s="36">
        <f t="shared" si="24"/>
        <v>1600</v>
      </c>
      <c r="G552" s="176">
        <v>2.75</v>
      </c>
      <c r="H552" s="182"/>
      <c r="I552" s="37">
        <f t="shared" si="25"/>
        <v>2.75</v>
      </c>
      <c r="J552" s="38">
        <f t="shared" si="26"/>
        <v>4400</v>
      </c>
      <c r="K552" s="315"/>
      <c r="L552" s="305"/>
    </row>
    <row r="553" spans="1:12" ht="20.100000000000001" customHeight="1" thickBot="1" x14ac:dyDescent="0.4">
      <c r="A553" s="144" t="str">
        <f>IF(B553=IFERROR(VLOOKUP(B553,entrant!$E$4:$J$188,1,FALSE),"THERE WAS AN ERROR"),"RAPPORT JOURNAL","")</f>
        <v/>
      </c>
      <c r="B553" s="147" t="s">
        <v>1691</v>
      </c>
      <c r="C553" s="170" t="s">
        <v>613</v>
      </c>
      <c r="D553" s="35">
        <f>SUMIF(entrant!$E$4:$E$2059,'Inventaire des produits'!B553,entrant!$G$4:$G$2059)</f>
        <v>180</v>
      </c>
      <c r="E553" s="35">
        <f>SUMIF(vente!$E$4:$E$2190,'Inventaire des produits'!B553,vente!$G$4:$G$2190)</f>
        <v>0</v>
      </c>
      <c r="F553" s="36">
        <f t="shared" si="24"/>
        <v>180</v>
      </c>
      <c r="G553" s="176">
        <v>26.677</v>
      </c>
      <c r="H553" s="182"/>
      <c r="I553" s="37">
        <f t="shared" si="25"/>
        <v>26.677</v>
      </c>
      <c r="J553" s="38">
        <f t="shared" si="26"/>
        <v>4801.8599999999997</v>
      </c>
      <c r="K553" s="315"/>
      <c r="L553" s="145"/>
    </row>
    <row r="554" spans="1:12" ht="20.100000000000001" customHeight="1" thickBot="1" x14ac:dyDescent="0.4">
      <c r="A554" s="144" t="str">
        <f>IF(B554=IFERROR(VLOOKUP(B554,entrant!$E$4:$J$188,1,FALSE),"THERE WAS AN ERROR"),"RAPPORT JOURNAL","")</f>
        <v/>
      </c>
      <c r="B554" s="147" t="s">
        <v>1692</v>
      </c>
      <c r="C554" s="170" t="s">
        <v>1122</v>
      </c>
      <c r="D554" s="35">
        <f>SUMIF(entrant!$E$4:$E$2059,'Inventaire des produits'!B554,entrant!$G$4:$G$2059)</f>
        <v>270</v>
      </c>
      <c r="E554" s="35">
        <f>SUMIF(vente!$E$4:$E$2190,'Inventaire des produits'!B554,vente!$G$4:$G$2190)</f>
        <v>0</v>
      </c>
      <c r="F554" s="36">
        <f t="shared" si="24"/>
        <v>270</v>
      </c>
      <c r="G554" s="176">
        <v>18.3309</v>
      </c>
      <c r="H554" s="182"/>
      <c r="I554" s="37">
        <f t="shared" si="25"/>
        <v>18.3309</v>
      </c>
      <c r="J554" s="38">
        <f t="shared" si="26"/>
        <v>4949.3429999999998</v>
      </c>
      <c r="K554" s="315"/>
      <c r="L554" s="145"/>
    </row>
    <row r="555" spans="1:12" ht="20.100000000000001" customHeight="1" thickBot="1" x14ac:dyDescent="0.4">
      <c r="A555" s="144" t="str">
        <f>IF(B555=IFERROR(VLOOKUP(B555,entrant!$E$4:$J$188,1,FALSE),"THERE WAS AN ERROR"),"RAPPORT JOURNAL","")</f>
        <v/>
      </c>
      <c r="B555" s="147" t="s">
        <v>1693</v>
      </c>
      <c r="C555" s="170" t="s">
        <v>207</v>
      </c>
      <c r="D555" s="35">
        <f>SUMIF(entrant!$E$4:$E$2059,'Inventaire des produits'!B555,entrant!$G$4:$G$2059)</f>
        <v>360</v>
      </c>
      <c r="E555" s="35">
        <f>SUMIF(vente!$E$4:$E$2190,'Inventaire des produits'!B555,vente!$G$4:$G$2190)</f>
        <v>0</v>
      </c>
      <c r="F555" s="36">
        <f t="shared" si="24"/>
        <v>360</v>
      </c>
      <c r="G555" s="176">
        <v>20.83</v>
      </c>
      <c r="H555" s="182"/>
      <c r="I555" s="37">
        <f t="shared" si="25"/>
        <v>20.83</v>
      </c>
      <c r="J555" s="38">
        <f t="shared" si="26"/>
        <v>7498.7999999999993</v>
      </c>
      <c r="K555" s="315"/>
      <c r="L555" s="145"/>
    </row>
    <row r="556" spans="1:12" ht="20.100000000000001" customHeight="1" thickBot="1" x14ac:dyDescent="0.4">
      <c r="A556" s="144" t="str">
        <f>IF(B556=IFERROR(VLOOKUP(B556,entrant!$E$4:$J$188,1,FALSE),"THERE WAS AN ERROR"),"RAPPORT JOURNAL","")</f>
        <v/>
      </c>
      <c r="B556" s="147" t="s">
        <v>1695</v>
      </c>
      <c r="C556" s="170" t="s">
        <v>1068</v>
      </c>
      <c r="D556" s="35">
        <f>SUMIF(entrant!$E$4:$E$2059,'Inventaire des produits'!B556,entrant!$G$4:$G$2059)</f>
        <v>6000</v>
      </c>
      <c r="E556" s="35">
        <f>SUMIF(vente!$E$4:$E$2190,'Inventaire des produits'!B556,vente!$G$4:$G$2190)</f>
        <v>0</v>
      </c>
      <c r="F556" s="36">
        <f t="shared" si="24"/>
        <v>6000</v>
      </c>
      <c r="G556" s="176">
        <v>1.11111111111</v>
      </c>
      <c r="H556" s="182"/>
      <c r="I556" s="37">
        <f t="shared" si="25"/>
        <v>1.11111111111</v>
      </c>
      <c r="J556" s="38">
        <f t="shared" si="26"/>
        <v>6666.6666666600004</v>
      </c>
      <c r="K556" s="315"/>
      <c r="L556" s="145"/>
    </row>
    <row r="557" spans="1:12" ht="20.100000000000001" customHeight="1" thickBot="1" x14ac:dyDescent="0.4">
      <c r="A557" s="144" t="str">
        <f>IF(B557=IFERROR(VLOOKUP(B557,entrant!$E$4:$J$188,1,FALSE),"THERE WAS AN ERROR"),"RAPPORT JOURNAL","")</f>
        <v/>
      </c>
      <c r="B557" s="147" t="s">
        <v>327</v>
      </c>
      <c r="C557" s="170" t="s">
        <v>30</v>
      </c>
      <c r="D557" s="35">
        <f>SUMIF(entrant!$E$4:$E$2059,'Inventaire des produits'!B557,entrant!$G$4:$G$2059)</f>
        <v>188</v>
      </c>
      <c r="E557" s="35">
        <f>SUMIF(vente!$E$4:$E$2190,'Inventaire des produits'!B557,vente!$G$4:$G$2190)</f>
        <v>0</v>
      </c>
      <c r="F557" s="36">
        <f t="shared" si="24"/>
        <v>188</v>
      </c>
      <c r="G557" s="176">
        <v>22</v>
      </c>
      <c r="H557" s="182"/>
      <c r="I557" s="37">
        <f t="shared" si="25"/>
        <v>22</v>
      </c>
      <c r="J557" s="38">
        <f t="shared" si="26"/>
        <v>4136</v>
      </c>
      <c r="K557" s="315"/>
      <c r="L557" s="145"/>
    </row>
    <row r="558" spans="1:12" ht="20.100000000000001" customHeight="1" thickBot="1" x14ac:dyDescent="0.4">
      <c r="A558" s="144" t="str">
        <f>IF(B558=IFERROR(VLOOKUP(B558,entrant!$E$4:$J$188,1,FALSE),"THERE WAS AN ERROR"),"RAPPORT JOURNAL","")</f>
        <v/>
      </c>
      <c r="B558" s="147" t="s">
        <v>1698</v>
      </c>
      <c r="C558" s="170" t="s">
        <v>47</v>
      </c>
      <c r="D558" s="35">
        <f>SUMIF(entrant!$E$4:$E$2059,'Inventaire des produits'!B558,entrant!$G$4:$G$2059)</f>
        <v>125</v>
      </c>
      <c r="E558" s="35">
        <f>SUMIF(vente!$E$4:$E$2190,'Inventaire des produits'!B558,vente!$G$4:$G$2190)</f>
        <v>0</v>
      </c>
      <c r="F558" s="36">
        <f t="shared" si="24"/>
        <v>125</v>
      </c>
      <c r="G558" s="176">
        <v>33</v>
      </c>
      <c r="H558" s="182"/>
      <c r="I558" s="37">
        <f t="shared" si="25"/>
        <v>33</v>
      </c>
      <c r="J558" s="38">
        <f t="shared" si="26"/>
        <v>4125</v>
      </c>
      <c r="K558" s="315"/>
      <c r="L558" s="145"/>
    </row>
    <row r="559" spans="1:12" ht="20.100000000000001" customHeight="1" thickBot="1" x14ac:dyDescent="0.4">
      <c r="A559" s="144" t="str">
        <f>IF(B559=IFERROR(VLOOKUP(B559,entrant!$E$4:$J$188,1,FALSE),"THERE WAS AN ERROR"),"RAPPORT JOURNAL","")</f>
        <v/>
      </c>
      <c r="B559" s="147"/>
      <c r="C559" s="170"/>
      <c r="D559" s="35">
        <f>SUMIF(entrant!$E$4:$E$2059,'Inventaire des produits'!B559,entrant!$G$4:$G$2059)</f>
        <v>0</v>
      </c>
      <c r="E559" s="35">
        <f>SUMIF(vente!$E$4:$E$2190,'Inventaire des produits'!B559,vente!$G$4:$G$2190)</f>
        <v>0</v>
      </c>
      <c r="F559" s="36">
        <f t="shared" si="24"/>
        <v>0</v>
      </c>
      <c r="G559" s="176"/>
      <c r="H559" s="182"/>
      <c r="I559" s="37">
        <f t="shared" si="25"/>
        <v>0</v>
      </c>
      <c r="J559" s="38" t="str">
        <f t="shared" si="26"/>
        <v/>
      </c>
      <c r="K559" s="315"/>
      <c r="L559" s="145"/>
    </row>
    <row r="560" spans="1:12" ht="20.100000000000001" customHeight="1" thickBot="1" x14ac:dyDescent="0.4">
      <c r="A560" s="144" t="str">
        <f>IF(B560=IFERROR(VLOOKUP(B560,entrant!$E$4:$J$188,1,FALSE),"THERE WAS AN ERROR"),"RAPPORT JOURNAL","")</f>
        <v/>
      </c>
      <c r="B560" s="147"/>
      <c r="C560" s="170"/>
      <c r="D560" s="35">
        <f>SUMIF(entrant!$E$4:$E$2059,'Inventaire des produits'!B560,entrant!$G$4:$G$2059)</f>
        <v>0</v>
      </c>
      <c r="E560" s="35">
        <f>SUMIF(vente!$E$4:$E$2190,'Inventaire des produits'!B560,vente!$G$4:$G$2190)</f>
        <v>0</v>
      </c>
      <c r="F560" s="36">
        <f t="shared" si="24"/>
        <v>0</v>
      </c>
      <c r="G560" s="176"/>
      <c r="H560" s="182"/>
      <c r="I560" s="37">
        <f t="shared" si="25"/>
        <v>0</v>
      </c>
      <c r="J560" s="38" t="str">
        <f t="shared" si="26"/>
        <v/>
      </c>
      <c r="K560" s="315"/>
      <c r="L560" s="145"/>
    </row>
    <row r="561" spans="1:12" ht="20.100000000000001" customHeight="1" thickBot="1" x14ac:dyDescent="0.4">
      <c r="A561" s="144" t="str">
        <f>IF(B561=IFERROR(VLOOKUP(B561,entrant!$E$4:$J$188,1,FALSE),"THERE WAS AN ERROR"),"RAPPORT JOURNAL","")</f>
        <v/>
      </c>
      <c r="B561" s="147"/>
      <c r="C561" s="170"/>
      <c r="D561" s="35">
        <f>SUMIF(entrant!$E$4:$E$2059,'Inventaire des produits'!B561,entrant!$G$4:$G$2059)</f>
        <v>0</v>
      </c>
      <c r="E561" s="35">
        <f>SUMIF(vente!$E$4:$E$2190,'Inventaire des produits'!B561,vente!$G$4:$G$2190)</f>
        <v>0</v>
      </c>
      <c r="F561" s="36">
        <f t="shared" si="24"/>
        <v>0</v>
      </c>
      <c r="G561" s="176"/>
      <c r="H561" s="182"/>
      <c r="I561" s="37">
        <f t="shared" si="25"/>
        <v>0</v>
      </c>
      <c r="J561" s="38" t="str">
        <f t="shared" si="26"/>
        <v/>
      </c>
      <c r="K561" s="315"/>
      <c r="L561" s="145"/>
    </row>
    <row r="562" spans="1:12" ht="20.100000000000001" customHeight="1" thickBot="1" x14ac:dyDescent="0.4">
      <c r="A562" s="144" t="str">
        <f>IF(B562=IFERROR(VLOOKUP(B562,entrant!$E$4:$J$188,1,FALSE),"THERE WAS AN ERROR"),"RAPPORT JOURNAL","")</f>
        <v/>
      </c>
      <c r="B562" s="147"/>
      <c r="C562" s="170"/>
      <c r="D562" s="35">
        <f>SUMIF(entrant!$E$4:$E$2059,'Inventaire des produits'!B562,entrant!$G$4:$G$2059)</f>
        <v>0</v>
      </c>
      <c r="E562" s="35">
        <f>SUMIF(vente!$E$4:$E$2190,'Inventaire des produits'!B562,vente!$G$4:$G$2190)</f>
        <v>0</v>
      </c>
      <c r="F562" s="36">
        <f t="shared" si="24"/>
        <v>0</v>
      </c>
      <c r="G562" s="176"/>
      <c r="H562" s="182"/>
      <c r="I562" s="37">
        <f t="shared" si="25"/>
        <v>0</v>
      </c>
      <c r="J562" s="38" t="str">
        <f t="shared" si="26"/>
        <v/>
      </c>
      <c r="K562" s="315"/>
      <c r="L562" s="145"/>
    </row>
    <row r="563" spans="1:12" ht="20.100000000000001" customHeight="1" thickBot="1" x14ac:dyDescent="0.4">
      <c r="A563" s="144" t="str">
        <f>IF(B563=IFERROR(VLOOKUP(B563,entrant!$E$4:$J$188,1,FALSE),"THERE WAS AN ERROR"),"RAPPORT JOURNAL","")</f>
        <v/>
      </c>
      <c r="B563" s="147"/>
      <c r="C563" s="170"/>
      <c r="D563" s="35">
        <f>SUMIF(entrant!$E$4:$E$2059,'Inventaire des produits'!B563,entrant!$G$4:$G$2059)</f>
        <v>0</v>
      </c>
      <c r="E563" s="35">
        <f>SUMIF(vente!$E$4:$E$2190,'Inventaire des produits'!B563,vente!$G$4:$G$2190)</f>
        <v>0</v>
      </c>
      <c r="F563" s="36">
        <f t="shared" si="24"/>
        <v>0</v>
      </c>
      <c r="G563" s="176"/>
      <c r="H563" s="182"/>
      <c r="I563" s="37">
        <f t="shared" si="25"/>
        <v>0</v>
      </c>
      <c r="J563" s="38" t="str">
        <f t="shared" si="26"/>
        <v/>
      </c>
      <c r="K563" s="315"/>
      <c r="L563" s="145"/>
    </row>
    <row r="564" spans="1:12" ht="20.100000000000001" customHeight="1" thickBot="1" x14ac:dyDescent="0.4">
      <c r="A564" s="144" t="str">
        <f>IF(B564=IFERROR(VLOOKUP(B564,entrant!$E$4:$J$188,1,FALSE),"THERE WAS AN ERROR"),"RAPPORT JOURNAL","")</f>
        <v/>
      </c>
      <c r="B564" s="147"/>
      <c r="C564" s="170"/>
      <c r="D564" s="35">
        <f>SUMIF(entrant!$E$4:$E$2059,'Inventaire des produits'!B564,entrant!$G$4:$G$2059)</f>
        <v>0</v>
      </c>
      <c r="E564" s="35">
        <f>SUMIF(vente!$E$4:$E$2190,'Inventaire des produits'!B564,vente!$G$4:$G$2190)</f>
        <v>0</v>
      </c>
      <c r="F564" s="36">
        <f t="shared" si="24"/>
        <v>0</v>
      </c>
      <c r="G564" s="176"/>
      <c r="H564" s="182"/>
      <c r="I564" s="37">
        <f t="shared" si="25"/>
        <v>0</v>
      </c>
      <c r="J564" s="38" t="str">
        <f t="shared" si="26"/>
        <v/>
      </c>
      <c r="K564" s="315"/>
      <c r="L564" s="145"/>
    </row>
    <row r="565" spans="1:12" ht="20.100000000000001" customHeight="1" thickBot="1" x14ac:dyDescent="0.4">
      <c r="A565" s="144" t="str">
        <f>IF(B565=IFERROR(VLOOKUP(B565,entrant!$E$4:$J$188,1,FALSE),"THERE WAS AN ERROR"),"RAPPORT JOURNAL","")</f>
        <v/>
      </c>
      <c r="B565" s="147"/>
      <c r="C565" s="170"/>
      <c r="D565" s="35">
        <f>SUMIF(entrant!$E$4:$E$2059,'Inventaire des produits'!B565,entrant!$G$4:$G$2059)</f>
        <v>0</v>
      </c>
      <c r="E565" s="35">
        <f>SUMIF(vente!$E$4:$E$2190,'Inventaire des produits'!B565,vente!$G$4:$G$2190)</f>
        <v>0</v>
      </c>
      <c r="F565" s="36">
        <f t="shared" si="24"/>
        <v>0</v>
      </c>
      <c r="G565" s="176"/>
      <c r="H565" s="182"/>
      <c r="I565" s="37">
        <f t="shared" si="25"/>
        <v>0</v>
      </c>
      <c r="J565" s="38" t="str">
        <f t="shared" si="26"/>
        <v/>
      </c>
      <c r="K565" s="315"/>
      <c r="L565" s="145"/>
    </row>
    <row r="566" spans="1:12" ht="20.100000000000001" customHeight="1" thickBot="1" x14ac:dyDescent="0.4">
      <c r="A566" s="144" t="str">
        <f>IF(B566=IFERROR(VLOOKUP(B566,entrant!$E$4:$J$188,1,FALSE),"THERE WAS AN ERROR"),"RAPPORT JOURNAL","")</f>
        <v/>
      </c>
      <c r="B566" s="147"/>
      <c r="C566" s="170"/>
      <c r="D566" s="35">
        <f>SUMIF(entrant!$E$4:$E$2059,'Inventaire des produits'!B566,entrant!$G$4:$G$2059)</f>
        <v>0</v>
      </c>
      <c r="E566" s="35">
        <f>SUMIF(vente!$E$4:$E$2190,'Inventaire des produits'!B566,vente!$G$4:$G$2190)</f>
        <v>0</v>
      </c>
      <c r="F566" s="36">
        <f t="shared" si="24"/>
        <v>0</v>
      </c>
      <c r="G566" s="176"/>
      <c r="H566" s="182"/>
      <c r="I566" s="37">
        <f t="shared" si="25"/>
        <v>0</v>
      </c>
      <c r="J566" s="38" t="str">
        <f t="shared" si="26"/>
        <v/>
      </c>
      <c r="K566" s="315"/>
      <c r="L566" s="145"/>
    </row>
    <row r="567" spans="1:12" ht="20.100000000000001" customHeight="1" thickBot="1" x14ac:dyDescent="0.4">
      <c r="A567" s="144" t="str">
        <f>IF(B567=IFERROR(VLOOKUP(B567,entrant!$E$4:$J$188,1,FALSE),"THERE WAS AN ERROR"),"RAPPORT JOURNAL","")</f>
        <v/>
      </c>
      <c r="B567" s="147"/>
      <c r="C567" s="170"/>
      <c r="D567" s="35">
        <f>SUMIF(entrant!$E$4:$E$2059,'Inventaire des produits'!B567,entrant!$G$4:$G$2059)</f>
        <v>0</v>
      </c>
      <c r="E567" s="35">
        <f>SUMIF(vente!$E$4:$E$2190,'Inventaire des produits'!B567,vente!$G$4:$G$2190)</f>
        <v>0</v>
      </c>
      <c r="F567" s="36">
        <f t="shared" si="24"/>
        <v>0</v>
      </c>
      <c r="G567" s="176"/>
      <c r="H567" s="182"/>
      <c r="I567" s="37">
        <f t="shared" si="25"/>
        <v>0</v>
      </c>
      <c r="J567" s="38" t="str">
        <f t="shared" si="26"/>
        <v/>
      </c>
      <c r="K567" s="315"/>
      <c r="L567" s="145"/>
    </row>
    <row r="568" spans="1:12" ht="20.100000000000001" customHeight="1" thickBot="1" x14ac:dyDescent="0.4">
      <c r="A568" s="144" t="str">
        <f>IF(B568=IFERROR(VLOOKUP(B568,entrant!$E$4:$J$188,1,FALSE),"THERE WAS AN ERROR"),"RAPPORT JOURNAL","")</f>
        <v/>
      </c>
      <c r="B568" s="147"/>
      <c r="C568" s="170"/>
      <c r="D568" s="35">
        <f>SUMIF(entrant!$E$4:$E$2059,'Inventaire des produits'!B568,entrant!$G$4:$G$2059)</f>
        <v>0</v>
      </c>
      <c r="E568" s="35">
        <f>SUMIF(vente!$E$4:$E$2190,'Inventaire des produits'!B568,vente!$G$4:$G$2190)</f>
        <v>0</v>
      </c>
      <c r="F568" s="36">
        <f t="shared" si="24"/>
        <v>0</v>
      </c>
      <c r="G568" s="176"/>
      <c r="H568" s="182"/>
      <c r="I568" s="37">
        <f t="shared" si="25"/>
        <v>0</v>
      </c>
      <c r="J568" s="38" t="str">
        <f t="shared" si="26"/>
        <v/>
      </c>
      <c r="K568" s="315"/>
      <c r="L568" s="145"/>
    </row>
    <row r="569" spans="1:12" ht="20.100000000000001" customHeight="1" thickBot="1" x14ac:dyDescent="0.4">
      <c r="A569" s="144" t="str">
        <f>IF(B569=IFERROR(VLOOKUP(B569,entrant!$E$4:$J$188,1,FALSE),"THERE WAS AN ERROR"),"RAPPORT JOURNAL","")</f>
        <v/>
      </c>
      <c r="B569" s="147"/>
      <c r="C569" s="170"/>
      <c r="D569" s="35">
        <f>SUMIF(entrant!$E$4:$E$2059,'Inventaire des produits'!B569,entrant!$G$4:$G$2059)</f>
        <v>0</v>
      </c>
      <c r="E569" s="35">
        <f>SUMIF(vente!$E$4:$E$2190,'Inventaire des produits'!B569,vente!$G$4:$G$2190)</f>
        <v>0</v>
      </c>
      <c r="F569" s="36">
        <f t="shared" si="24"/>
        <v>0</v>
      </c>
      <c r="G569" s="176"/>
      <c r="H569" s="182"/>
      <c r="I569" s="37">
        <f t="shared" si="25"/>
        <v>0</v>
      </c>
      <c r="J569" s="38" t="str">
        <f t="shared" si="26"/>
        <v/>
      </c>
      <c r="K569" s="315"/>
      <c r="L569" s="145"/>
    </row>
    <row r="570" spans="1:12" ht="20.100000000000001" customHeight="1" thickBot="1" x14ac:dyDescent="0.4">
      <c r="A570" s="144" t="str">
        <f>IF(B570=IFERROR(VLOOKUP(B570,entrant!$E$4:$J$188,1,FALSE),"THERE WAS AN ERROR"),"RAPPORT JOURNAL","")</f>
        <v/>
      </c>
      <c r="B570" s="147"/>
      <c r="C570" s="170"/>
      <c r="D570" s="35">
        <f>SUMIF(entrant!$E$4:$E$2059,'Inventaire des produits'!B570,entrant!$G$4:$G$2059)</f>
        <v>0</v>
      </c>
      <c r="E570" s="35">
        <f>SUMIF(vente!$E$4:$E$2190,'Inventaire des produits'!B570,vente!$G$4:$G$2190)</f>
        <v>0</v>
      </c>
      <c r="F570" s="36">
        <f t="shared" si="24"/>
        <v>0</v>
      </c>
      <c r="G570" s="176"/>
      <c r="H570" s="182"/>
      <c r="I570" s="37">
        <f t="shared" si="25"/>
        <v>0</v>
      </c>
      <c r="J570" s="38" t="str">
        <f t="shared" si="26"/>
        <v/>
      </c>
      <c r="K570" s="315"/>
      <c r="L570" s="145"/>
    </row>
    <row r="571" spans="1:12" ht="20.100000000000001" customHeight="1" thickBot="1" x14ac:dyDescent="0.4">
      <c r="A571" s="144" t="str">
        <f>IF(B571=IFERROR(VLOOKUP(B571,entrant!$E$4:$J$188,1,FALSE),"THERE WAS AN ERROR"),"RAPPORT JOURNAL","")</f>
        <v/>
      </c>
      <c r="B571" s="147"/>
      <c r="C571" s="170"/>
      <c r="D571" s="35">
        <f>SUMIF(entrant!$E$4:$E$2059,'Inventaire des produits'!B571,entrant!$G$4:$G$2059)</f>
        <v>0</v>
      </c>
      <c r="E571" s="35">
        <f>SUMIF(vente!$E$4:$E$2190,'Inventaire des produits'!B571,vente!$G$4:$G$2190)</f>
        <v>0</v>
      </c>
      <c r="F571" s="36">
        <f t="shared" si="24"/>
        <v>0</v>
      </c>
      <c r="G571" s="176"/>
      <c r="H571" s="182"/>
      <c r="I571" s="37">
        <f t="shared" si="25"/>
        <v>0</v>
      </c>
      <c r="J571" s="38" t="str">
        <f t="shared" si="26"/>
        <v/>
      </c>
      <c r="K571" s="315"/>
      <c r="L571" s="145"/>
    </row>
    <row r="572" spans="1:12" ht="20.100000000000001" customHeight="1" thickBot="1" x14ac:dyDescent="0.4">
      <c r="A572" s="144" t="str">
        <f>IF(B572=IFERROR(VLOOKUP(B572,entrant!$E$4:$J$188,1,FALSE),"THERE WAS AN ERROR"),"RAPPORT JOURNAL","")</f>
        <v/>
      </c>
      <c r="B572" s="147"/>
      <c r="C572" s="170"/>
      <c r="D572" s="35">
        <f>SUMIF(entrant!$E$4:$E$2059,'Inventaire des produits'!B572,entrant!$G$4:$G$2059)</f>
        <v>0</v>
      </c>
      <c r="E572" s="35">
        <f>SUMIF(vente!$E$4:$E$2190,'Inventaire des produits'!B572,vente!$G$4:$G$2190)</f>
        <v>0</v>
      </c>
      <c r="F572" s="36">
        <f t="shared" si="24"/>
        <v>0</v>
      </c>
      <c r="G572" s="176"/>
      <c r="H572" s="182"/>
      <c r="I572" s="37">
        <f t="shared" si="25"/>
        <v>0</v>
      </c>
      <c r="J572" s="38" t="str">
        <f t="shared" si="26"/>
        <v/>
      </c>
      <c r="K572" s="315"/>
      <c r="L572" s="145"/>
    </row>
    <row r="573" spans="1:12" ht="20.100000000000001" customHeight="1" thickBot="1" x14ac:dyDescent="0.4">
      <c r="A573" s="144" t="str">
        <f>IF(B573=IFERROR(VLOOKUP(B573,entrant!$E$4:$J$188,1,FALSE),"THERE WAS AN ERROR"),"RAPPORT JOURNAL","")</f>
        <v/>
      </c>
      <c r="B573" s="147"/>
      <c r="C573" s="170"/>
      <c r="D573" s="35">
        <f>SUMIF(entrant!$E$4:$E$2059,'Inventaire des produits'!B573,entrant!$G$4:$G$2059)</f>
        <v>0</v>
      </c>
      <c r="E573" s="35">
        <f>SUMIF(vente!$E$4:$E$2190,'Inventaire des produits'!B573,vente!$G$4:$G$2190)</f>
        <v>0</v>
      </c>
      <c r="F573" s="36">
        <f t="shared" si="24"/>
        <v>0</v>
      </c>
      <c r="G573" s="176"/>
      <c r="H573" s="182"/>
      <c r="I573" s="37">
        <f t="shared" si="25"/>
        <v>0</v>
      </c>
      <c r="J573" s="38" t="str">
        <f t="shared" si="26"/>
        <v/>
      </c>
      <c r="K573" s="315"/>
      <c r="L573" s="145"/>
    </row>
    <row r="574" spans="1:12" ht="20.100000000000001" customHeight="1" thickBot="1" x14ac:dyDescent="0.4">
      <c r="A574" s="144" t="str">
        <f>IF(B574=IFERROR(VLOOKUP(B574,entrant!$E$4:$J$188,1,FALSE),"THERE WAS AN ERROR"),"RAPPORT JOURNAL","")</f>
        <v/>
      </c>
      <c r="B574" s="147"/>
      <c r="C574" s="170"/>
      <c r="D574" s="35">
        <f>SUMIF(entrant!$E$4:$E$2059,'Inventaire des produits'!B574,entrant!$G$4:$G$2059)</f>
        <v>0</v>
      </c>
      <c r="E574" s="35">
        <f>SUMIF(vente!$E$4:$E$2190,'Inventaire des produits'!B574,vente!$G$4:$G$2190)</f>
        <v>0</v>
      </c>
      <c r="F574" s="36">
        <f t="shared" si="24"/>
        <v>0</v>
      </c>
      <c r="G574" s="176"/>
      <c r="H574" s="182"/>
      <c r="I574" s="37">
        <f t="shared" si="25"/>
        <v>0</v>
      </c>
      <c r="J574" s="38" t="str">
        <f t="shared" si="26"/>
        <v/>
      </c>
      <c r="K574" s="315"/>
      <c r="L574" s="145"/>
    </row>
    <row r="575" spans="1:12" ht="20.100000000000001" customHeight="1" thickBot="1" x14ac:dyDescent="0.4">
      <c r="A575" s="144" t="str">
        <f>IF(B575=IFERROR(VLOOKUP(B575,entrant!$E$4:$J$188,1,FALSE),"THERE WAS AN ERROR"),"RAPPORT JOURNAL","")</f>
        <v/>
      </c>
      <c r="B575" s="147"/>
      <c r="C575" s="170"/>
      <c r="D575" s="35">
        <f>SUMIF(entrant!$E$4:$E$2059,'Inventaire des produits'!B575,entrant!$G$4:$G$2059)</f>
        <v>0</v>
      </c>
      <c r="E575" s="35">
        <f>SUMIF(vente!$E$4:$E$2190,'Inventaire des produits'!B575,vente!$G$4:$G$2190)</f>
        <v>0</v>
      </c>
      <c r="F575" s="36">
        <f t="shared" si="24"/>
        <v>0</v>
      </c>
      <c r="G575" s="176"/>
      <c r="H575" s="182"/>
      <c r="I575" s="37">
        <f t="shared" si="25"/>
        <v>0</v>
      </c>
      <c r="J575" s="38" t="str">
        <f t="shared" si="26"/>
        <v/>
      </c>
      <c r="K575" s="315"/>
      <c r="L575" s="145"/>
    </row>
    <row r="576" spans="1:12" ht="20.100000000000001" customHeight="1" thickBot="1" x14ac:dyDescent="0.4">
      <c r="A576" s="144" t="str">
        <f>IF(B576=IFERROR(VLOOKUP(B576,entrant!$E$4:$J$188,1,FALSE),"THERE WAS AN ERROR"),"RAPPORT JOURNAL","")</f>
        <v/>
      </c>
      <c r="B576" s="147"/>
      <c r="C576" s="170"/>
      <c r="D576" s="35">
        <f>SUMIF(entrant!$E$4:$E$2059,'Inventaire des produits'!B576,entrant!$G$4:$G$2059)</f>
        <v>0</v>
      </c>
      <c r="E576" s="35">
        <f>SUMIF(vente!$E$4:$E$2190,'Inventaire des produits'!B576,vente!$G$4:$G$2190)</f>
        <v>0</v>
      </c>
      <c r="F576" s="36">
        <f t="shared" si="24"/>
        <v>0</v>
      </c>
      <c r="G576" s="176"/>
      <c r="H576" s="182"/>
      <c r="I576" s="37">
        <f t="shared" si="25"/>
        <v>0</v>
      </c>
      <c r="J576" s="38" t="str">
        <f t="shared" si="26"/>
        <v/>
      </c>
      <c r="K576" s="315"/>
      <c r="L576" s="145"/>
    </row>
    <row r="577" spans="1:12" ht="20.100000000000001" customHeight="1" thickBot="1" x14ac:dyDescent="0.4">
      <c r="A577" s="144" t="str">
        <f>IF(B577=IFERROR(VLOOKUP(B577,entrant!$E$4:$J$188,1,FALSE),"THERE WAS AN ERROR"),"RAPPORT JOURNAL","")</f>
        <v/>
      </c>
      <c r="B577" s="147"/>
      <c r="C577" s="170"/>
      <c r="D577" s="35">
        <f>SUMIF(entrant!$E$4:$E$2059,'Inventaire des produits'!B577,entrant!$G$4:$G$2059)</f>
        <v>0</v>
      </c>
      <c r="E577" s="35">
        <f>SUMIF(vente!$E$4:$E$2190,'Inventaire des produits'!B577,vente!$G$4:$G$2190)</f>
        <v>0</v>
      </c>
      <c r="F577" s="36">
        <f t="shared" si="24"/>
        <v>0</v>
      </c>
      <c r="G577" s="176"/>
      <c r="H577" s="182"/>
      <c r="I577" s="37">
        <f t="shared" si="25"/>
        <v>0</v>
      </c>
      <c r="J577" s="38" t="str">
        <f t="shared" si="26"/>
        <v/>
      </c>
      <c r="K577" s="315"/>
      <c r="L577" s="145"/>
    </row>
    <row r="578" spans="1:12" ht="20.100000000000001" customHeight="1" thickBot="1" x14ac:dyDescent="0.4">
      <c r="A578" s="144" t="str">
        <f>IF(B578=IFERROR(VLOOKUP(B578,entrant!$E$4:$J$188,1,FALSE),"THERE WAS AN ERROR"),"RAPPORT JOURNAL","")</f>
        <v/>
      </c>
      <c r="B578" s="147"/>
      <c r="C578" s="170"/>
      <c r="D578" s="35">
        <f>SUMIF(entrant!$E$4:$E$2059,'Inventaire des produits'!B578,entrant!$G$4:$G$2059)</f>
        <v>0</v>
      </c>
      <c r="E578" s="35">
        <f>SUMIF(vente!$E$4:$E$2190,'Inventaire des produits'!B578,vente!$G$4:$G$2190)</f>
        <v>0</v>
      </c>
      <c r="F578" s="36">
        <f t="shared" si="24"/>
        <v>0</v>
      </c>
      <c r="G578" s="176"/>
      <c r="H578" s="182"/>
      <c r="I578" s="37">
        <f t="shared" si="25"/>
        <v>0</v>
      </c>
      <c r="J578" s="38" t="str">
        <f t="shared" si="26"/>
        <v/>
      </c>
      <c r="K578" s="315"/>
      <c r="L578" s="145"/>
    </row>
    <row r="579" spans="1:12" ht="20.100000000000001" customHeight="1" thickBot="1" x14ac:dyDescent="0.4">
      <c r="A579" s="144" t="str">
        <f>IF(B579=IFERROR(VLOOKUP(B579,entrant!$E$4:$J$188,1,FALSE),"THERE WAS AN ERROR"),"RAPPORT JOURNAL","")</f>
        <v/>
      </c>
      <c r="B579" s="147"/>
      <c r="C579" s="170"/>
      <c r="D579" s="35">
        <f>SUMIF(entrant!$E$4:$E$2059,'Inventaire des produits'!B579,entrant!$G$4:$G$2059)</f>
        <v>0</v>
      </c>
      <c r="E579" s="35">
        <f>SUMIF(vente!$E$4:$E$2190,'Inventaire des produits'!B579,vente!$G$4:$G$2190)</f>
        <v>0</v>
      </c>
      <c r="F579" s="36">
        <f t="shared" ref="F579:F642" si="27">IF(OR(D579="",E579=""),"",D579-E579)</f>
        <v>0</v>
      </c>
      <c r="G579" s="176"/>
      <c r="H579" s="182"/>
      <c r="I579" s="37">
        <f t="shared" si="25"/>
        <v>0</v>
      </c>
      <c r="J579" s="38" t="str">
        <f t="shared" si="26"/>
        <v/>
      </c>
      <c r="K579" s="315"/>
      <c r="L579" s="145"/>
    </row>
    <row r="580" spans="1:12" ht="20.100000000000001" customHeight="1" thickBot="1" x14ac:dyDescent="0.4">
      <c r="A580" s="144" t="str">
        <f>IF(B580=IFERROR(VLOOKUP(B580,entrant!$E$4:$J$188,1,FALSE),"THERE WAS AN ERROR"),"RAPPORT JOURNAL","")</f>
        <v/>
      </c>
      <c r="B580" s="147"/>
      <c r="C580" s="170"/>
      <c r="D580" s="35">
        <f>SUMIF(entrant!$E$4:$E$2059,'Inventaire des produits'!B580,entrant!$G$4:$G$2059)</f>
        <v>0</v>
      </c>
      <c r="E580" s="35">
        <f>SUMIF(vente!$E$4:$E$2190,'Inventaire des produits'!B580,vente!$G$4:$G$2190)</f>
        <v>0</v>
      </c>
      <c r="F580" s="36">
        <f t="shared" si="27"/>
        <v>0</v>
      </c>
      <c r="G580" s="176"/>
      <c r="H580" s="182"/>
      <c r="I580" s="37">
        <f t="shared" ref="I580:I643" si="28">IF(H580="",G580,G580-G580*H580)</f>
        <v>0</v>
      </c>
      <c r="J580" s="38" t="str">
        <f t="shared" ref="J580:J643" si="29">IF(OR(F580="",G580=""),"",F580*I580)</f>
        <v/>
      </c>
      <c r="K580" s="315"/>
      <c r="L580" s="145"/>
    </row>
    <row r="581" spans="1:12" ht="20.100000000000001" customHeight="1" thickBot="1" x14ac:dyDescent="0.4">
      <c r="A581" s="144" t="str">
        <f>IF(B581=IFERROR(VLOOKUP(B581,entrant!$E$4:$J$188,1,FALSE),"THERE WAS AN ERROR"),"RAPPORT JOURNAL","")</f>
        <v/>
      </c>
      <c r="B581" s="147"/>
      <c r="C581" s="170"/>
      <c r="D581" s="35">
        <f>SUMIF(entrant!$E$4:$E$2059,'Inventaire des produits'!B581,entrant!$G$4:$G$2059)</f>
        <v>0</v>
      </c>
      <c r="E581" s="35">
        <f>SUMIF(vente!$E$4:$E$2190,'Inventaire des produits'!B581,vente!$G$4:$G$2190)</f>
        <v>0</v>
      </c>
      <c r="F581" s="36">
        <f t="shared" si="27"/>
        <v>0</v>
      </c>
      <c r="G581" s="176"/>
      <c r="H581" s="182"/>
      <c r="I581" s="37">
        <f t="shared" si="28"/>
        <v>0</v>
      </c>
      <c r="J581" s="38" t="str">
        <f t="shared" si="29"/>
        <v/>
      </c>
      <c r="K581" s="315"/>
      <c r="L581" s="145"/>
    </row>
    <row r="582" spans="1:12" ht="20.100000000000001" customHeight="1" thickBot="1" x14ac:dyDescent="0.4">
      <c r="A582" s="144" t="str">
        <f>IF(B582=IFERROR(VLOOKUP(B582,entrant!$E$4:$J$188,1,FALSE),"THERE WAS AN ERROR"),"RAPPORT JOURNAL","")</f>
        <v/>
      </c>
      <c r="B582" s="147"/>
      <c r="C582" s="170"/>
      <c r="D582" s="35">
        <f>SUMIF(entrant!$E$4:$E$2059,'Inventaire des produits'!B582,entrant!$G$4:$G$2059)</f>
        <v>0</v>
      </c>
      <c r="E582" s="35">
        <f>SUMIF(vente!$E$4:$E$2190,'Inventaire des produits'!B582,vente!$G$4:$G$2190)</f>
        <v>0</v>
      </c>
      <c r="F582" s="36">
        <f t="shared" si="27"/>
        <v>0</v>
      </c>
      <c r="G582" s="176"/>
      <c r="H582" s="182"/>
      <c r="I582" s="37">
        <f t="shared" si="28"/>
        <v>0</v>
      </c>
      <c r="J582" s="38" t="str">
        <f t="shared" si="29"/>
        <v/>
      </c>
      <c r="K582" s="315"/>
      <c r="L582" s="145"/>
    </row>
    <row r="583" spans="1:12" ht="20.100000000000001" customHeight="1" thickBot="1" x14ac:dyDescent="0.4">
      <c r="A583" s="144" t="str">
        <f>IF(B583=IFERROR(VLOOKUP(B583,entrant!$E$4:$J$188,1,FALSE),"THERE WAS AN ERROR"),"RAPPORT JOURNAL","")</f>
        <v/>
      </c>
      <c r="B583" s="147"/>
      <c r="C583" s="170"/>
      <c r="D583" s="35">
        <f>SUMIF(entrant!$E$4:$E$2059,'Inventaire des produits'!B583,entrant!$G$4:$G$2059)</f>
        <v>0</v>
      </c>
      <c r="E583" s="35">
        <f>SUMIF(vente!$E$4:$E$2190,'Inventaire des produits'!B583,vente!$G$4:$G$2190)</f>
        <v>0</v>
      </c>
      <c r="F583" s="36">
        <f t="shared" si="27"/>
        <v>0</v>
      </c>
      <c r="G583" s="176"/>
      <c r="H583" s="182"/>
      <c r="I583" s="37">
        <f t="shared" si="28"/>
        <v>0</v>
      </c>
      <c r="J583" s="38" t="str">
        <f t="shared" si="29"/>
        <v/>
      </c>
      <c r="K583" s="315"/>
      <c r="L583" s="145"/>
    </row>
    <row r="584" spans="1:12" ht="20.100000000000001" customHeight="1" thickBot="1" x14ac:dyDescent="0.4">
      <c r="A584" s="144" t="str">
        <f>IF(B584=IFERROR(VLOOKUP(B584,entrant!$E$4:$J$188,1,FALSE),"THERE WAS AN ERROR"),"RAPPORT JOURNAL","")</f>
        <v/>
      </c>
      <c r="B584" s="147"/>
      <c r="C584" s="170"/>
      <c r="D584" s="35">
        <f>SUMIF(entrant!$E$4:$E$2059,'Inventaire des produits'!B584,entrant!$G$4:$G$2059)</f>
        <v>0</v>
      </c>
      <c r="E584" s="35">
        <f>SUMIF(vente!$E$4:$E$2190,'Inventaire des produits'!B584,vente!$G$4:$G$2190)</f>
        <v>0</v>
      </c>
      <c r="F584" s="36">
        <f t="shared" si="27"/>
        <v>0</v>
      </c>
      <c r="G584" s="176"/>
      <c r="H584" s="182"/>
      <c r="I584" s="37">
        <f t="shared" si="28"/>
        <v>0</v>
      </c>
      <c r="J584" s="38" t="str">
        <f t="shared" si="29"/>
        <v/>
      </c>
      <c r="K584" s="315"/>
      <c r="L584" s="145"/>
    </row>
    <row r="585" spans="1:12" ht="20.100000000000001" customHeight="1" thickBot="1" x14ac:dyDescent="0.4">
      <c r="A585" s="144" t="str">
        <f>IF(B585=IFERROR(VLOOKUP(B585,entrant!$E$4:$J$188,1,FALSE),"THERE WAS AN ERROR"),"RAPPORT JOURNAL","")</f>
        <v/>
      </c>
      <c r="B585" s="147"/>
      <c r="C585" s="170"/>
      <c r="D585" s="35">
        <f>SUMIF(entrant!$E$4:$E$2059,'Inventaire des produits'!B585,entrant!$G$4:$G$2059)</f>
        <v>0</v>
      </c>
      <c r="E585" s="35">
        <f>SUMIF(vente!$E$4:$E$2190,'Inventaire des produits'!B585,vente!$G$4:$G$2190)</f>
        <v>0</v>
      </c>
      <c r="F585" s="36">
        <f t="shared" si="27"/>
        <v>0</v>
      </c>
      <c r="G585" s="176"/>
      <c r="H585" s="182"/>
      <c r="I585" s="37">
        <f t="shared" si="28"/>
        <v>0</v>
      </c>
      <c r="J585" s="38" t="str">
        <f t="shared" si="29"/>
        <v/>
      </c>
      <c r="K585" s="315"/>
      <c r="L585" s="145"/>
    </row>
    <row r="586" spans="1:12" ht="20.100000000000001" customHeight="1" thickBot="1" x14ac:dyDescent="0.4">
      <c r="A586" s="144" t="str">
        <f>IF(B586=IFERROR(VLOOKUP(B586,entrant!$E$4:$J$188,1,FALSE),"THERE WAS AN ERROR"),"RAPPORT JOURNAL","")</f>
        <v/>
      </c>
      <c r="B586" s="147"/>
      <c r="C586" s="170"/>
      <c r="D586" s="35">
        <f>SUMIF(entrant!$E$4:$E$2059,'Inventaire des produits'!B586,entrant!$G$4:$G$2059)</f>
        <v>0</v>
      </c>
      <c r="E586" s="35">
        <f>SUMIF(vente!$E$4:$E$2190,'Inventaire des produits'!B586,vente!$G$4:$G$2190)</f>
        <v>0</v>
      </c>
      <c r="F586" s="36">
        <f t="shared" si="27"/>
        <v>0</v>
      </c>
      <c r="G586" s="176"/>
      <c r="H586" s="182"/>
      <c r="I586" s="37">
        <f t="shared" si="28"/>
        <v>0</v>
      </c>
      <c r="J586" s="38" t="str">
        <f t="shared" si="29"/>
        <v/>
      </c>
      <c r="K586" s="315"/>
      <c r="L586" s="145"/>
    </row>
    <row r="587" spans="1:12" ht="20.100000000000001" customHeight="1" thickBot="1" x14ac:dyDescent="0.4">
      <c r="A587" s="144" t="str">
        <f>IF(B587=IFERROR(VLOOKUP(B587,entrant!$E$4:$J$188,1,FALSE),"THERE WAS AN ERROR"),"RAPPORT JOURNAL","")</f>
        <v/>
      </c>
      <c r="B587" s="147"/>
      <c r="C587" s="170"/>
      <c r="D587" s="35">
        <f>SUMIF(entrant!$E$4:$E$2059,'Inventaire des produits'!B587,entrant!$G$4:$G$2059)</f>
        <v>0</v>
      </c>
      <c r="E587" s="35">
        <f>SUMIF(vente!$E$4:$E$2190,'Inventaire des produits'!B587,vente!$G$4:$G$2190)</f>
        <v>0</v>
      </c>
      <c r="F587" s="36">
        <f t="shared" si="27"/>
        <v>0</v>
      </c>
      <c r="G587" s="176"/>
      <c r="H587" s="182"/>
      <c r="I587" s="37">
        <f t="shared" si="28"/>
        <v>0</v>
      </c>
      <c r="J587" s="38" t="str">
        <f t="shared" si="29"/>
        <v/>
      </c>
      <c r="K587" s="315"/>
      <c r="L587" s="145"/>
    </row>
    <row r="588" spans="1:12" ht="20.100000000000001" customHeight="1" thickBot="1" x14ac:dyDescent="0.4">
      <c r="A588" s="144" t="str">
        <f>IF(B588=IFERROR(VLOOKUP(B588,entrant!$E$4:$J$188,1,FALSE),"THERE WAS AN ERROR"),"RAPPORT JOURNAL","")</f>
        <v/>
      </c>
      <c r="B588" s="147"/>
      <c r="C588" s="170"/>
      <c r="D588" s="35">
        <f>SUMIF(entrant!$E$4:$E$2059,'Inventaire des produits'!B588,entrant!$G$4:$G$2059)</f>
        <v>0</v>
      </c>
      <c r="E588" s="35">
        <f>SUMIF(vente!$E$4:$E$2190,'Inventaire des produits'!B588,vente!$G$4:$G$2190)</f>
        <v>0</v>
      </c>
      <c r="F588" s="36">
        <f t="shared" si="27"/>
        <v>0</v>
      </c>
      <c r="G588" s="176"/>
      <c r="H588" s="182"/>
      <c r="I588" s="37">
        <f t="shared" si="28"/>
        <v>0</v>
      </c>
      <c r="J588" s="38" t="str">
        <f t="shared" si="29"/>
        <v/>
      </c>
      <c r="K588" s="315"/>
      <c r="L588" s="145"/>
    </row>
    <row r="589" spans="1:12" ht="20.100000000000001" customHeight="1" thickBot="1" x14ac:dyDescent="0.4">
      <c r="A589" s="144" t="str">
        <f>IF(B589=IFERROR(VLOOKUP(B589,entrant!$E$4:$J$188,1,FALSE),"THERE WAS AN ERROR"),"RAPPORT JOURNAL","")</f>
        <v/>
      </c>
      <c r="B589" s="147"/>
      <c r="C589" s="170"/>
      <c r="D589" s="35">
        <f>SUMIF(entrant!$E$4:$E$2059,'Inventaire des produits'!B589,entrant!$G$4:$G$2059)</f>
        <v>0</v>
      </c>
      <c r="E589" s="35">
        <f>SUMIF(vente!$E$4:$E$2190,'Inventaire des produits'!B589,vente!$G$4:$G$2190)</f>
        <v>0</v>
      </c>
      <c r="F589" s="36">
        <f t="shared" si="27"/>
        <v>0</v>
      </c>
      <c r="G589" s="176"/>
      <c r="H589" s="182"/>
      <c r="I589" s="37">
        <f t="shared" si="28"/>
        <v>0</v>
      </c>
      <c r="J589" s="38" t="str">
        <f t="shared" si="29"/>
        <v/>
      </c>
      <c r="K589" s="315"/>
      <c r="L589" s="145"/>
    </row>
    <row r="590" spans="1:12" ht="20.100000000000001" customHeight="1" thickBot="1" x14ac:dyDescent="0.4">
      <c r="A590" s="144" t="str">
        <f>IF(B590=IFERROR(VLOOKUP(B590,entrant!$E$4:$J$188,1,FALSE),"THERE WAS AN ERROR"),"RAPPORT JOURNAL","")</f>
        <v/>
      </c>
      <c r="B590" s="147"/>
      <c r="C590" s="170"/>
      <c r="D590" s="35">
        <f>SUMIF(entrant!$E$4:$E$2059,'Inventaire des produits'!B590,entrant!$G$4:$G$2059)</f>
        <v>0</v>
      </c>
      <c r="E590" s="35">
        <f>SUMIF(vente!$E$4:$E$2190,'Inventaire des produits'!B590,vente!$G$4:$G$2190)</f>
        <v>0</v>
      </c>
      <c r="F590" s="36">
        <f t="shared" si="27"/>
        <v>0</v>
      </c>
      <c r="G590" s="176"/>
      <c r="H590" s="182"/>
      <c r="I590" s="37">
        <f t="shared" si="28"/>
        <v>0</v>
      </c>
      <c r="J590" s="38" t="str">
        <f t="shared" si="29"/>
        <v/>
      </c>
      <c r="K590" s="315"/>
      <c r="L590" s="145"/>
    </row>
    <row r="591" spans="1:12" ht="20.100000000000001" customHeight="1" thickBot="1" x14ac:dyDescent="0.4">
      <c r="A591" s="144" t="str">
        <f>IF(B591=IFERROR(VLOOKUP(B591,entrant!$E$4:$J$188,1,FALSE),"THERE WAS AN ERROR"),"RAPPORT JOURNAL","")</f>
        <v/>
      </c>
      <c r="B591" s="147"/>
      <c r="C591" s="170"/>
      <c r="D591" s="35">
        <f>SUMIF(entrant!$E$4:$E$2059,'Inventaire des produits'!B591,entrant!$G$4:$G$2059)</f>
        <v>0</v>
      </c>
      <c r="E591" s="35">
        <f>SUMIF(vente!$E$4:$E$2190,'Inventaire des produits'!B591,vente!$G$4:$G$2190)</f>
        <v>0</v>
      </c>
      <c r="F591" s="36">
        <f t="shared" si="27"/>
        <v>0</v>
      </c>
      <c r="G591" s="176"/>
      <c r="H591" s="182"/>
      <c r="I591" s="37">
        <f t="shared" si="28"/>
        <v>0</v>
      </c>
      <c r="J591" s="38" t="str">
        <f t="shared" si="29"/>
        <v/>
      </c>
      <c r="K591" s="315"/>
      <c r="L591" s="145"/>
    </row>
    <row r="592" spans="1:12" ht="20.100000000000001" customHeight="1" thickBot="1" x14ac:dyDescent="0.4">
      <c r="A592" s="144" t="str">
        <f>IF(B592=IFERROR(VLOOKUP(B592,entrant!$E$4:$J$188,1,FALSE),"THERE WAS AN ERROR"),"RAPPORT JOURNAL","")</f>
        <v/>
      </c>
      <c r="B592" s="147"/>
      <c r="C592" s="170"/>
      <c r="D592" s="35">
        <f>SUMIF(entrant!$E$4:$E$2059,'Inventaire des produits'!B592,entrant!$G$4:$G$2059)</f>
        <v>0</v>
      </c>
      <c r="E592" s="35">
        <f>SUMIF(vente!$E$4:$E$2190,'Inventaire des produits'!B592,vente!$G$4:$G$2190)</f>
        <v>0</v>
      </c>
      <c r="F592" s="36">
        <f t="shared" si="27"/>
        <v>0</v>
      </c>
      <c r="G592" s="176"/>
      <c r="H592" s="182"/>
      <c r="I592" s="37">
        <f t="shared" si="28"/>
        <v>0</v>
      </c>
      <c r="J592" s="38" t="str">
        <f t="shared" si="29"/>
        <v/>
      </c>
      <c r="K592" s="315"/>
      <c r="L592" s="145"/>
    </row>
    <row r="593" spans="1:12" ht="20.100000000000001" customHeight="1" thickBot="1" x14ac:dyDescent="0.4">
      <c r="A593" s="144" t="str">
        <f>IF(B593=IFERROR(VLOOKUP(B593,entrant!$E$4:$J$188,1,FALSE),"THERE WAS AN ERROR"),"RAPPORT JOURNAL","")</f>
        <v/>
      </c>
      <c r="B593" s="147"/>
      <c r="C593" s="170"/>
      <c r="D593" s="35">
        <f>SUMIF(entrant!$E$4:$E$2059,'Inventaire des produits'!B593,entrant!$G$4:$G$2059)</f>
        <v>0</v>
      </c>
      <c r="E593" s="35">
        <f>SUMIF(vente!$E$4:$E$2190,'Inventaire des produits'!B593,vente!$G$4:$G$2190)</f>
        <v>0</v>
      </c>
      <c r="F593" s="36">
        <f t="shared" si="27"/>
        <v>0</v>
      </c>
      <c r="G593" s="176"/>
      <c r="H593" s="182"/>
      <c r="I593" s="37">
        <f t="shared" si="28"/>
        <v>0</v>
      </c>
      <c r="J593" s="38" t="str">
        <f t="shared" si="29"/>
        <v/>
      </c>
      <c r="K593" s="315"/>
      <c r="L593" s="145"/>
    </row>
    <row r="594" spans="1:12" ht="20.100000000000001" customHeight="1" thickBot="1" x14ac:dyDescent="0.4">
      <c r="A594" s="144" t="str">
        <f>IF(B594=IFERROR(VLOOKUP(B594,entrant!$E$4:$J$188,1,FALSE),"THERE WAS AN ERROR"),"RAPPORT JOURNAL","")</f>
        <v/>
      </c>
      <c r="B594" s="147"/>
      <c r="C594" s="170"/>
      <c r="D594" s="35">
        <f>SUMIF(entrant!$E$4:$E$2059,'Inventaire des produits'!B594,entrant!$G$4:$G$2059)</f>
        <v>0</v>
      </c>
      <c r="E594" s="35">
        <f>SUMIF(vente!$E$4:$E$2190,'Inventaire des produits'!B594,vente!$G$4:$G$2190)</f>
        <v>0</v>
      </c>
      <c r="F594" s="36">
        <f t="shared" si="27"/>
        <v>0</v>
      </c>
      <c r="G594" s="176"/>
      <c r="H594" s="182"/>
      <c r="I594" s="37">
        <f t="shared" si="28"/>
        <v>0</v>
      </c>
      <c r="J594" s="38" t="str">
        <f t="shared" si="29"/>
        <v/>
      </c>
      <c r="K594" s="315"/>
      <c r="L594" s="145"/>
    </row>
    <row r="595" spans="1:12" ht="20.100000000000001" customHeight="1" thickBot="1" x14ac:dyDescent="0.4">
      <c r="A595" s="144" t="str">
        <f>IF(B595=IFERROR(VLOOKUP(B595,entrant!$E$4:$J$188,1,FALSE),"THERE WAS AN ERROR"),"RAPPORT JOURNAL","")</f>
        <v/>
      </c>
      <c r="B595" s="147"/>
      <c r="C595" s="170"/>
      <c r="D595" s="35">
        <f>SUMIF(entrant!$E$4:$E$2059,'Inventaire des produits'!B595,entrant!$G$4:$G$2059)</f>
        <v>0</v>
      </c>
      <c r="E595" s="35">
        <f>SUMIF(vente!$E$4:$E$2190,'Inventaire des produits'!B595,vente!$G$4:$G$2190)</f>
        <v>0</v>
      </c>
      <c r="F595" s="36">
        <f t="shared" si="27"/>
        <v>0</v>
      </c>
      <c r="G595" s="176"/>
      <c r="H595" s="182"/>
      <c r="I595" s="37">
        <f t="shared" si="28"/>
        <v>0</v>
      </c>
      <c r="J595" s="38" t="str">
        <f t="shared" si="29"/>
        <v/>
      </c>
      <c r="K595" s="315"/>
      <c r="L595" s="145"/>
    </row>
    <row r="596" spans="1:12" ht="20.100000000000001" customHeight="1" thickBot="1" x14ac:dyDescent="0.4">
      <c r="A596" s="144" t="str">
        <f>IF(B596=IFERROR(VLOOKUP(B596,entrant!$E$4:$J$188,1,FALSE),"THERE WAS AN ERROR"),"RAPPORT JOURNAL","")</f>
        <v/>
      </c>
      <c r="B596" s="147"/>
      <c r="C596" s="170"/>
      <c r="D596" s="35">
        <f>SUMIF(entrant!$E$4:$E$2059,'Inventaire des produits'!B596,entrant!$G$4:$G$2059)</f>
        <v>0</v>
      </c>
      <c r="E596" s="35">
        <f>SUMIF(vente!$E$4:$E$2190,'Inventaire des produits'!B596,vente!$G$4:$G$2190)</f>
        <v>0</v>
      </c>
      <c r="F596" s="36">
        <f t="shared" si="27"/>
        <v>0</v>
      </c>
      <c r="G596" s="176"/>
      <c r="H596" s="182"/>
      <c r="I596" s="37">
        <f t="shared" si="28"/>
        <v>0</v>
      </c>
      <c r="J596" s="38" t="str">
        <f t="shared" si="29"/>
        <v/>
      </c>
      <c r="K596" s="315"/>
      <c r="L596" s="145"/>
    </row>
    <row r="597" spans="1:12" ht="20.100000000000001" customHeight="1" thickBot="1" x14ac:dyDescent="0.4">
      <c r="A597" s="144" t="str">
        <f>IF(B597=IFERROR(VLOOKUP(B597,entrant!$E$4:$J$188,1,FALSE),"THERE WAS AN ERROR"),"RAPPORT JOURNAL","")</f>
        <v/>
      </c>
      <c r="B597" s="147"/>
      <c r="C597" s="170"/>
      <c r="D597" s="35">
        <f>SUMIF(entrant!$E$4:$E$2059,'Inventaire des produits'!B597,entrant!$G$4:$G$2059)</f>
        <v>0</v>
      </c>
      <c r="E597" s="35">
        <f>SUMIF(vente!$E$4:$E$2190,'Inventaire des produits'!B597,vente!$G$4:$G$2190)</f>
        <v>0</v>
      </c>
      <c r="F597" s="36">
        <f t="shared" si="27"/>
        <v>0</v>
      </c>
      <c r="G597" s="176"/>
      <c r="H597" s="182"/>
      <c r="I597" s="37">
        <f t="shared" si="28"/>
        <v>0</v>
      </c>
      <c r="J597" s="38" t="str">
        <f t="shared" si="29"/>
        <v/>
      </c>
      <c r="K597" s="315"/>
      <c r="L597" s="145"/>
    </row>
    <row r="598" spans="1:12" ht="20.100000000000001" customHeight="1" thickBot="1" x14ac:dyDescent="0.4">
      <c r="A598" s="144" t="str">
        <f>IF(B598=IFERROR(VLOOKUP(B598,entrant!$E$4:$J$188,1,FALSE),"THERE WAS AN ERROR"),"RAPPORT JOURNAL","")</f>
        <v/>
      </c>
      <c r="B598" s="147"/>
      <c r="C598" s="170"/>
      <c r="D598" s="35">
        <f>SUMIF(entrant!$E$4:$E$2059,'Inventaire des produits'!B598,entrant!$G$4:$G$2059)</f>
        <v>0</v>
      </c>
      <c r="E598" s="35">
        <f>SUMIF(vente!$E$4:$E$2190,'Inventaire des produits'!B598,vente!$G$4:$G$2190)</f>
        <v>0</v>
      </c>
      <c r="F598" s="36">
        <f t="shared" si="27"/>
        <v>0</v>
      </c>
      <c r="G598" s="176"/>
      <c r="H598" s="182"/>
      <c r="I598" s="37">
        <f t="shared" si="28"/>
        <v>0</v>
      </c>
      <c r="J598" s="38" t="str">
        <f t="shared" si="29"/>
        <v/>
      </c>
      <c r="K598" s="315"/>
      <c r="L598" s="145"/>
    </row>
    <row r="599" spans="1:12" ht="20.100000000000001" customHeight="1" thickBot="1" x14ac:dyDescent="0.4">
      <c r="A599" s="144" t="str">
        <f>IF(B599=IFERROR(VLOOKUP(B599,entrant!$E$4:$J$188,1,FALSE),"THERE WAS AN ERROR"),"RAPPORT JOURNAL","")</f>
        <v/>
      </c>
      <c r="B599" s="147"/>
      <c r="C599" s="170"/>
      <c r="D599" s="35">
        <f>SUMIF(entrant!$E$4:$E$2059,'Inventaire des produits'!B599,entrant!$G$4:$G$2059)</f>
        <v>0</v>
      </c>
      <c r="E599" s="35">
        <f>SUMIF(vente!$E$4:$E$2190,'Inventaire des produits'!B599,vente!$G$4:$G$2190)</f>
        <v>0</v>
      </c>
      <c r="F599" s="36">
        <f t="shared" si="27"/>
        <v>0</v>
      </c>
      <c r="G599" s="176"/>
      <c r="H599" s="182"/>
      <c r="I599" s="37">
        <f t="shared" si="28"/>
        <v>0</v>
      </c>
      <c r="J599" s="38" t="str">
        <f t="shared" si="29"/>
        <v/>
      </c>
      <c r="K599" s="315"/>
      <c r="L599" s="145"/>
    </row>
    <row r="600" spans="1:12" ht="20.100000000000001" customHeight="1" thickBot="1" x14ac:dyDescent="0.4">
      <c r="A600" s="144" t="str">
        <f>IF(B600=IFERROR(VLOOKUP(B600,entrant!$E$4:$J$188,1,FALSE),"THERE WAS AN ERROR"),"RAPPORT JOURNAL","")</f>
        <v/>
      </c>
      <c r="B600" s="147"/>
      <c r="C600" s="170"/>
      <c r="D600" s="35">
        <f>SUMIF(entrant!$E$4:$E$2059,'Inventaire des produits'!B600,entrant!$G$4:$G$2059)</f>
        <v>0</v>
      </c>
      <c r="E600" s="35">
        <f>SUMIF(vente!$E$4:$E$2190,'Inventaire des produits'!B600,vente!$G$4:$G$2190)</f>
        <v>0</v>
      </c>
      <c r="F600" s="36">
        <f t="shared" si="27"/>
        <v>0</v>
      </c>
      <c r="G600" s="176"/>
      <c r="H600" s="182"/>
      <c r="I600" s="37">
        <f t="shared" si="28"/>
        <v>0</v>
      </c>
      <c r="J600" s="38" t="str">
        <f t="shared" si="29"/>
        <v/>
      </c>
      <c r="K600" s="315"/>
      <c r="L600" s="145"/>
    </row>
    <row r="601" spans="1:12" ht="20.100000000000001" customHeight="1" thickBot="1" x14ac:dyDescent="0.4">
      <c r="A601" s="144" t="str">
        <f>IF(B601=IFERROR(VLOOKUP(B601,entrant!$E$4:$J$188,1,FALSE),"THERE WAS AN ERROR"),"RAPPORT JOURNAL","")</f>
        <v/>
      </c>
      <c r="B601" s="147"/>
      <c r="C601" s="170"/>
      <c r="D601" s="35">
        <f>SUMIF(entrant!$E$4:$E$2059,'Inventaire des produits'!B601,entrant!$G$4:$G$2059)</f>
        <v>0</v>
      </c>
      <c r="E601" s="35">
        <f>SUMIF(vente!$E$4:$E$2190,'Inventaire des produits'!B601,vente!$G$4:$G$2190)</f>
        <v>0</v>
      </c>
      <c r="F601" s="36">
        <f t="shared" si="27"/>
        <v>0</v>
      </c>
      <c r="G601" s="176"/>
      <c r="H601" s="182"/>
      <c r="I601" s="37">
        <f t="shared" si="28"/>
        <v>0</v>
      </c>
      <c r="J601" s="38" t="str">
        <f t="shared" si="29"/>
        <v/>
      </c>
      <c r="K601" s="315"/>
      <c r="L601" s="145"/>
    </row>
    <row r="602" spans="1:12" ht="20.100000000000001" customHeight="1" thickBot="1" x14ac:dyDescent="0.4">
      <c r="A602" s="144" t="str">
        <f>IF(B602=IFERROR(VLOOKUP(B602,entrant!$E$4:$J$188,1,FALSE),"THERE WAS AN ERROR"),"RAPPORT JOURNAL","")</f>
        <v/>
      </c>
      <c r="B602" s="147"/>
      <c r="C602" s="170"/>
      <c r="D602" s="35">
        <f>SUMIF(entrant!$E$4:$E$2059,'Inventaire des produits'!B602,entrant!$G$4:$G$2059)</f>
        <v>0</v>
      </c>
      <c r="E602" s="35">
        <f>SUMIF(vente!$E$4:$E$2190,'Inventaire des produits'!B602,vente!$G$4:$G$2190)</f>
        <v>0</v>
      </c>
      <c r="F602" s="36">
        <f t="shared" si="27"/>
        <v>0</v>
      </c>
      <c r="G602" s="176"/>
      <c r="H602" s="182"/>
      <c r="I602" s="37">
        <f t="shared" si="28"/>
        <v>0</v>
      </c>
      <c r="J602" s="38" t="str">
        <f t="shared" si="29"/>
        <v/>
      </c>
      <c r="K602" s="315"/>
      <c r="L602" s="145"/>
    </row>
    <row r="603" spans="1:12" ht="20.100000000000001" customHeight="1" thickBot="1" x14ac:dyDescent="0.4">
      <c r="A603" s="144" t="str">
        <f>IF(B603=IFERROR(VLOOKUP(B603,entrant!$E$4:$J$188,1,FALSE),"THERE WAS AN ERROR"),"RAPPORT JOURNAL","")</f>
        <v/>
      </c>
      <c r="B603" s="147"/>
      <c r="C603" s="170"/>
      <c r="D603" s="35">
        <f>SUMIF(entrant!$E$4:$E$2059,'Inventaire des produits'!B603,entrant!$G$4:$G$2059)</f>
        <v>0</v>
      </c>
      <c r="E603" s="35">
        <f>SUMIF(vente!$E$4:$E$2190,'Inventaire des produits'!B603,vente!$G$4:$G$2190)</f>
        <v>0</v>
      </c>
      <c r="F603" s="36">
        <f t="shared" si="27"/>
        <v>0</v>
      </c>
      <c r="G603" s="176"/>
      <c r="H603" s="182"/>
      <c r="I603" s="37">
        <f t="shared" si="28"/>
        <v>0</v>
      </c>
      <c r="J603" s="38" t="str">
        <f t="shared" si="29"/>
        <v/>
      </c>
      <c r="K603" s="315"/>
      <c r="L603" s="145"/>
    </row>
    <row r="604" spans="1:12" ht="20.100000000000001" customHeight="1" thickBot="1" x14ac:dyDescent="0.4">
      <c r="A604" s="144" t="str">
        <f>IF(B604=IFERROR(VLOOKUP(B604,entrant!$E$4:$J$188,1,FALSE),"THERE WAS AN ERROR"),"RAPPORT JOURNAL","")</f>
        <v/>
      </c>
      <c r="B604" s="147"/>
      <c r="C604" s="170"/>
      <c r="D604" s="35">
        <f>SUMIF(entrant!$E$4:$E$2059,'Inventaire des produits'!B604,entrant!$G$4:$G$2059)</f>
        <v>0</v>
      </c>
      <c r="E604" s="35">
        <f>SUMIF(vente!$E$4:$E$2190,'Inventaire des produits'!B604,vente!$G$4:$G$2190)</f>
        <v>0</v>
      </c>
      <c r="F604" s="36">
        <f t="shared" si="27"/>
        <v>0</v>
      </c>
      <c r="G604" s="176"/>
      <c r="H604" s="182"/>
      <c r="I604" s="37">
        <f t="shared" si="28"/>
        <v>0</v>
      </c>
      <c r="J604" s="38" t="str">
        <f t="shared" si="29"/>
        <v/>
      </c>
      <c r="K604" s="315"/>
      <c r="L604" s="145"/>
    </row>
    <row r="605" spans="1:12" ht="20.100000000000001" customHeight="1" thickBot="1" x14ac:dyDescent="0.4">
      <c r="A605" s="144" t="str">
        <f>IF(B605=IFERROR(VLOOKUP(B605,entrant!$E$4:$J$188,1,FALSE),"THERE WAS AN ERROR"),"RAPPORT JOURNAL","")</f>
        <v/>
      </c>
      <c r="B605" s="147"/>
      <c r="C605" s="170"/>
      <c r="D605" s="35">
        <f>SUMIF(entrant!$E$4:$E$2059,'Inventaire des produits'!B605,entrant!$G$4:$G$2059)</f>
        <v>0</v>
      </c>
      <c r="E605" s="35">
        <f>SUMIF(vente!$E$4:$E$2190,'Inventaire des produits'!B605,vente!$G$4:$G$2190)</f>
        <v>0</v>
      </c>
      <c r="F605" s="36">
        <f t="shared" si="27"/>
        <v>0</v>
      </c>
      <c r="G605" s="176"/>
      <c r="H605" s="182"/>
      <c r="I605" s="37">
        <f t="shared" si="28"/>
        <v>0</v>
      </c>
      <c r="J605" s="38" t="str">
        <f t="shared" si="29"/>
        <v/>
      </c>
      <c r="K605" s="315"/>
      <c r="L605" s="145"/>
    </row>
    <row r="606" spans="1:12" ht="20.100000000000001" customHeight="1" thickBot="1" x14ac:dyDescent="0.4">
      <c r="A606" s="144" t="str">
        <f>IF(B606=IFERROR(VLOOKUP(B606,entrant!$E$4:$J$188,1,FALSE),"THERE WAS AN ERROR"),"RAPPORT JOURNAL","")</f>
        <v/>
      </c>
      <c r="B606" s="147"/>
      <c r="C606" s="170"/>
      <c r="D606" s="35">
        <f>SUMIF(entrant!$E$4:$E$2059,'Inventaire des produits'!B606,entrant!$G$4:$G$2059)</f>
        <v>0</v>
      </c>
      <c r="E606" s="35">
        <f>SUMIF(vente!$E$4:$E$2190,'Inventaire des produits'!B606,vente!$G$4:$G$2190)</f>
        <v>0</v>
      </c>
      <c r="F606" s="36">
        <f t="shared" si="27"/>
        <v>0</v>
      </c>
      <c r="G606" s="176"/>
      <c r="H606" s="182"/>
      <c r="I606" s="37">
        <f t="shared" si="28"/>
        <v>0</v>
      </c>
      <c r="J606" s="38" t="str">
        <f t="shared" si="29"/>
        <v/>
      </c>
      <c r="K606" s="315"/>
      <c r="L606" s="145"/>
    </row>
    <row r="607" spans="1:12" ht="20.100000000000001" customHeight="1" thickBot="1" x14ac:dyDescent="0.4">
      <c r="A607" s="144" t="str">
        <f>IF(B607=IFERROR(VLOOKUP(B607,entrant!$E$4:$J$188,1,FALSE),"THERE WAS AN ERROR"),"RAPPORT JOURNAL","")</f>
        <v/>
      </c>
      <c r="B607" s="147"/>
      <c r="C607" s="170"/>
      <c r="D607" s="35">
        <f>SUMIF(entrant!$E$4:$E$2059,'Inventaire des produits'!B607,entrant!$G$4:$G$2059)</f>
        <v>0</v>
      </c>
      <c r="E607" s="35">
        <f>SUMIF(vente!$E$4:$E$2190,'Inventaire des produits'!B607,vente!$G$4:$G$2190)</f>
        <v>0</v>
      </c>
      <c r="F607" s="36">
        <f t="shared" si="27"/>
        <v>0</v>
      </c>
      <c r="G607" s="176"/>
      <c r="H607" s="182"/>
      <c r="I607" s="37">
        <f t="shared" si="28"/>
        <v>0</v>
      </c>
      <c r="J607" s="38" t="str">
        <f t="shared" si="29"/>
        <v/>
      </c>
      <c r="K607" s="315"/>
      <c r="L607" s="145"/>
    </row>
    <row r="608" spans="1:12" ht="20.100000000000001" customHeight="1" thickBot="1" x14ac:dyDescent="0.4">
      <c r="A608" s="144" t="str">
        <f>IF(B608=IFERROR(VLOOKUP(B608,entrant!$E$4:$J$188,1,FALSE),"THERE WAS AN ERROR"),"RAPPORT JOURNAL","")</f>
        <v/>
      </c>
      <c r="B608" s="147"/>
      <c r="C608" s="170"/>
      <c r="D608" s="35">
        <f>SUMIF(entrant!$E$4:$E$2059,'Inventaire des produits'!B608,entrant!$G$4:$G$2059)</f>
        <v>0</v>
      </c>
      <c r="E608" s="35">
        <f>SUMIF(vente!$E$4:$E$2190,'Inventaire des produits'!B608,vente!$G$4:$G$2190)</f>
        <v>0</v>
      </c>
      <c r="F608" s="36">
        <f t="shared" si="27"/>
        <v>0</v>
      </c>
      <c r="G608" s="176"/>
      <c r="H608" s="182"/>
      <c r="I608" s="37">
        <f t="shared" si="28"/>
        <v>0</v>
      </c>
      <c r="J608" s="38" t="str">
        <f t="shared" si="29"/>
        <v/>
      </c>
      <c r="K608" s="315"/>
      <c r="L608" s="145"/>
    </row>
    <row r="609" spans="1:12" ht="20.100000000000001" customHeight="1" thickBot="1" x14ac:dyDescent="0.4">
      <c r="A609" s="144" t="str">
        <f>IF(B609=IFERROR(VLOOKUP(B609,entrant!$E$4:$J$188,1,FALSE),"THERE WAS AN ERROR"),"RAPPORT JOURNAL","")</f>
        <v/>
      </c>
      <c r="B609" s="147"/>
      <c r="C609" s="170"/>
      <c r="D609" s="35">
        <f>SUMIF(entrant!$E$4:$E$2059,'Inventaire des produits'!B609,entrant!$G$4:$G$2059)</f>
        <v>0</v>
      </c>
      <c r="E609" s="35">
        <f>SUMIF(vente!$E$4:$E$2190,'Inventaire des produits'!B609,vente!$G$4:$G$2190)</f>
        <v>0</v>
      </c>
      <c r="F609" s="36">
        <f t="shared" si="27"/>
        <v>0</v>
      </c>
      <c r="G609" s="176"/>
      <c r="H609" s="182"/>
      <c r="I609" s="37">
        <f t="shared" si="28"/>
        <v>0</v>
      </c>
      <c r="J609" s="38" t="str">
        <f t="shared" si="29"/>
        <v/>
      </c>
      <c r="K609" s="315"/>
      <c r="L609" s="145"/>
    </row>
    <row r="610" spans="1:12" ht="20.100000000000001" customHeight="1" thickBot="1" x14ac:dyDescent="0.4">
      <c r="A610" s="144" t="str">
        <f>IF(B610=IFERROR(VLOOKUP(B610,entrant!$E$4:$J$188,1,FALSE),"THERE WAS AN ERROR"),"RAPPORT JOURNAL","")</f>
        <v/>
      </c>
      <c r="B610" s="147"/>
      <c r="C610" s="170"/>
      <c r="D610" s="35">
        <f>SUMIF(entrant!$E$4:$E$2059,'Inventaire des produits'!B610,entrant!$G$4:$G$2059)</f>
        <v>0</v>
      </c>
      <c r="E610" s="35">
        <f>SUMIF(vente!$E$4:$E$2190,'Inventaire des produits'!B610,vente!$G$4:$G$2190)</f>
        <v>0</v>
      </c>
      <c r="F610" s="36">
        <f t="shared" si="27"/>
        <v>0</v>
      </c>
      <c r="G610" s="176"/>
      <c r="H610" s="182"/>
      <c r="I610" s="37">
        <f t="shared" si="28"/>
        <v>0</v>
      </c>
      <c r="J610" s="38" t="str">
        <f t="shared" si="29"/>
        <v/>
      </c>
      <c r="K610" s="315"/>
      <c r="L610" s="145"/>
    </row>
    <row r="611" spans="1:12" ht="20.100000000000001" customHeight="1" thickBot="1" x14ac:dyDescent="0.4">
      <c r="A611" s="144" t="str">
        <f>IF(B611=IFERROR(VLOOKUP(B611,entrant!$E$4:$J$188,1,FALSE),"THERE WAS AN ERROR"),"RAPPORT JOURNAL","")</f>
        <v/>
      </c>
      <c r="B611" s="147"/>
      <c r="C611" s="170"/>
      <c r="D611" s="35">
        <f>SUMIF(entrant!$E$4:$E$2059,'Inventaire des produits'!B611,entrant!$G$4:$G$2059)</f>
        <v>0</v>
      </c>
      <c r="E611" s="35">
        <f>SUMIF(vente!$E$4:$E$2190,'Inventaire des produits'!B611,vente!$G$4:$G$2190)</f>
        <v>0</v>
      </c>
      <c r="F611" s="36">
        <f t="shared" si="27"/>
        <v>0</v>
      </c>
      <c r="G611" s="176"/>
      <c r="H611" s="182"/>
      <c r="I611" s="37">
        <f t="shared" si="28"/>
        <v>0</v>
      </c>
      <c r="J611" s="38" t="str">
        <f t="shared" si="29"/>
        <v/>
      </c>
      <c r="K611" s="315"/>
      <c r="L611" s="145"/>
    </row>
    <row r="612" spans="1:12" ht="20.100000000000001" customHeight="1" thickBot="1" x14ac:dyDescent="0.4">
      <c r="A612" s="144" t="str">
        <f>IF(B612=IFERROR(VLOOKUP(B612,entrant!$E$4:$J$188,1,FALSE),"THERE WAS AN ERROR"),"RAPPORT JOURNAL","")</f>
        <v/>
      </c>
      <c r="B612" s="147"/>
      <c r="C612" s="170"/>
      <c r="D612" s="35">
        <f>SUMIF(entrant!$E$4:$E$2059,'Inventaire des produits'!B612,entrant!$G$4:$G$2059)</f>
        <v>0</v>
      </c>
      <c r="E612" s="35">
        <f>SUMIF(vente!$E$4:$E$2190,'Inventaire des produits'!B612,vente!$G$4:$G$2190)</f>
        <v>0</v>
      </c>
      <c r="F612" s="36">
        <f t="shared" si="27"/>
        <v>0</v>
      </c>
      <c r="G612" s="176"/>
      <c r="H612" s="182"/>
      <c r="I612" s="37">
        <f t="shared" si="28"/>
        <v>0</v>
      </c>
      <c r="J612" s="38" t="str">
        <f t="shared" si="29"/>
        <v/>
      </c>
      <c r="K612" s="315"/>
      <c r="L612" s="145"/>
    </row>
    <row r="613" spans="1:12" ht="20.100000000000001" customHeight="1" thickBot="1" x14ac:dyDescent="0.4">
      <c r="A613" s="144" t="str">
        <f>IF(B613=IFERROR(VLOOKUP(B613,entrant!$E$4:$J$188,1,FALSE),"THERE WAS AN ERROR"),"RAPPORT JOURNAL","")</f>
        <v/>
      </c>
      <c r="B613" s="147"/>
      <c r="C613" s="170"/>
      <c r="D613" s="35">
        <f>SUMIF(entrant!$E$4:$E$2059,'Inventaire des produits'!B613,entrant!$G$4:$G$2059)</f>
        <v>0</v>
      </c>
      <c r="E613" s="35">
        <f>SUMIF(vente!$E$4:$E$2190,'Inventaire des produits'!B613,vente!$G$4:$G$2190)</f>
        <v>0</v>
      </c>
      <c r="F613" s="36">
        <f t="shared" si="27"/>
        <v>0</v>
      </c>
      <c r="G613" s="176"/>
      <c r="H613" s="182"/>
      <c r="I613" s="37">
        <f t="shared" si="28"/>
        <v>0</v>
      </c>
      <c r="J613" s="38" t="str">
        <f t="shared" si="29"/>
        <v/>
      </c>
      <c r="K613" s="315"/>
      <c r="L613" s="145"/>
    </row>
    <row r="614" spans="1:12" ht="20.100000000000001" customHeight="1" thickBot="1" x14ac:dyDescent="0.4">
      <c r="A614" s="144" t="str">
        <f>IF(B614=IFERROR(VLOOKUP(B614,entrant!$E$4:$J$188,1,FALSE),"THERE WAS AN ERROR"),"RAPPORT JOURNAL","")</f>
        <v/>
      </c>
      <c r="B614" s="147"/>
      <c r="C614" s="170"/>
      <c r="D614" s="35">
        <f>SUMIF(entrant!$E$4:$E$2059,'Inventaire des produits'!B614,entrant!$G$4:$G$2059)</f>
        <v>0</v>
      </c>
      <c r="E614" s="35">
        <f>SUMIF(vente!$E$4:$E$2190,'Inventaire des produits'!B614,vente!$G$4:$G$2190)</f>
        <v>0</v>
      </c>
      <c r="F614" s="36">
        <f t="shared" si="27"/>
        <v>0</v>
      </c>
      <c r="G614" s="176"/>
      <c r="H614" s="182"/>
      <c r="I614" s="37">
        <f t="shared" si="28"/>
        <v>0</v>
      </c>
      <c r="J614" s="38" t="str">
        <f t="shared" si="29"/>
        <v/>
      </c>
      <c r="K614" s="315"/>
      <c r="L614" s="145"/>
    </row>
    <row r="615" spans="1:12" ht="20.100000000000001" customHeight="1" thickBot="1" x14ac:dyDescent="0.4">
      <c r="A615" s="144" t="str">
        <f>IF(B615=IFERROR(VLOOKUP(B615,entrant!$E$4:$J$188,1,FALSE),"THERE WAS AN ERROR"),"RAPPORT JOURNAL","")</f>
        <v/>
      </c>
      <c r="B615" s="147"/>
      <c r="C615" s="170"/>
      <c r="D615" s="35">
        <f>SUMIF(entrant!$E$4:$E$2059,'Inventaire des produits'!B615,entrant!$G$4:$G$2059)</f>
        <v>0</v>
      </c>
      <c r="E615" s="35">
        <f>SUMIF(vente!$E$4:$E$2190,'Inventaire des produits'!B615,vente!$G$4:$G$2190)</f>
        <v>0</v>
      </c>
      <c r="F615" s="36">
        <f t="shared" si="27"/>
        <v>0</v>
      </c>
      <c r="G615" s="176"/>
      <c r="H615" s="182"/>
      <c r="I615" s="37">
        <f t="shared" si="28"/>
        <v>0</v>
      </c>
      <c r="J615" s="38" t="str">
        <f t="shared" si="29"/>
        <v/>
      </c>
      <c r="K615" s="315"/>
      <c r="L615" s="145"/>
    </row>
    <row r="616" spans="1:12" ht="20.100000000000001" customHeight="1" thickBot="1" x14ac:dyDescent="0.4">
      <c r="A616" s="144" t="str">
        <f>IF(B616=IFERROR(VLOOKUP(B616,entrant!$E$4:$J$188,1,FALSE),"THERE WAS AN ERROR"),"RAPPORT JOURNAL","")</f>
        <v/>
      </c>
      <c r="B616" s="147"/>
      <c r="C616" s="170"/>
      <c r="D616" s="35">
        <f>SUMIF(entrant!$E$4:$E$2059,'Inventaire des produits'!B616,entrant!$G$4:$G$2059)</f>
        <v>0</v>
      </c>
      <c r="E616" s="35">
        <f>SUMIF(vente!$E$4:$E$2190,'Inventaire des produits'!B616,vente!$G$4:$G$2190)</f>
        <v>0</v>
      </c>
      <c r="F616" s="36">
        <f t="shared" si="27"/>
        <v>0</v>
      </c>
      <c r="G616" s="176"/>
      <c r="H616" s="182"/>
      <c r="I616" s="37">
        <f t="shared" si="28"/>
        <v>0</v>
      </c>
      <c r="J616" s="38" t="str">
        <f t="shared" si="29"/>
        <v/>
      </c>
      <c r="K616" s="315"/>
      <c r="L616" s="145"/>
    </row>
    <row r="617" spans="1:12" ht="20.100000000000001" customHeight="1" thickBot="1" x14ac:dyDescent="0.4">
      <c r="A617" s="144" t="str">
        <f>IF(B617=IFERROR(VLOOKUP(B617,entrant!$E$4:$J$188,1,FALSE),"THERE WAS AN ERROR"),"RAPPORT JOURNAL","")</f>
        <v/>
      </c>
      <c r="B617" s="147"/>
      <c r="C617" s="170"/>
      <c r="D617" s="35">
        <f>SUMIF(entrant!$E$4:$E$2059,'Inventaire des produits'!B617,entrant!$G$4:$G$2059)</f>
        <v>0</v>
      </c>
      <c r="E617" s="35">
        <f>SUMIF(vente!$E$4:$E$2190,'Inventaire des produits'!B617,vente!$G$4:$G$2190)</f>
        <v>0</v>
      </c>
      <c r="F617" s="36">
        <f t="shared" si="27"/>
        <v>0</v>
      </c>
      <c r="G617" s="176"/>
      <c r="H617" s="182"/>
      <c r="I617" s="37">
        <f t="shared" si="28"/>
        <v>0</v>
      </c>
      <c r="J617" s="38" t="str">
        <f t="shared" si="29"/>
        <v/>
      </c>
      <c r="K617" s="315"/>
      <c r="L617" s="145"/>
    </row>
    <row r="618" spans="1:12" ht="20.100000000000001" customHeight="1" thickBot="1" x14ac:dyDescent="0.4">
      <c r="A618" s="144" t="str">
        <f>IF(B618=IFERROR(VLOOKUP(B618,entrant!$E$4:$J$188,1,FALSE),"THERE WAS AN ERROR"),"RAPPORT JOURNAL","")</f>
        <v/>
      </c>
      <c r="B618" s="147"/>
      <c r="C618" s="170"/>
      <c r="D618" s="35">
        <f>SUMIF(entrant!$E$4:$E$2059,'Inventaire des produits'!B618,entrant!$G$4:$G$2059)</f>
        <v>0</v>
      </c>
      <c r="E618" s="35">
        <f>SUMIF(vente!$E$4:$E$2190,'Inventaire des produits'!B618,vente!$G$4:$G$2190)</f>
        <v>0</v>
      </c>
      <c r="F618" s="36">
        <f t="shared" si="27"/>
        <v>0</v>
      </c>
      <c r="G618" s="176"/>
      <c r="H618" s="182"/>
      <c r="I618" s="37">
        <f t="shared" si="28"/>
        <v>0</v>
      </c>
      <c r="J618" s="38" t="str">
        <f t="shared" si="29"/>
        <v/>
      </c>
      <c r="K618" s="315"/>
      <c r="L618" s="145"/>
    </row>
    <row r="619" spans="1:12" ht="20.100000000000001" customHeight="1" thickBot="1" x14ac:dyDescent="0.4">
      <c r="A619" s="144" t="str">
        <f>IF(B619=IFERROR(VLOOKUP(B619,entrant!$E$4:$J$188,1,FALSE),"THERE WAS AN ERROR"),"RAPPORT JOURNAL","")</f>
        <v/>
      </c>
      <c r="B619" s="147"/>
      <c r="C619" s="170"/>
      <c r="D619" s="35">
        <f>SUMIF(entrant!$E$4:$E$2059,'Inventaire des produits'!B619,entrant!$G$4:$G$2059)</f>
        <v>0</v>
      </c>
      <c r="E619" s="35">
        <f>SUMIF(vente!$E$4:$E$2190,'Inventaire des produits'!B619,vente!$G$4:$G$2190)</f>
        <v>0</v>
      </c>
      <c r="F619" s="36">
        <f t="shared" si="27"/>
        <v>0</v>
      </c>
      <c r="G619" s="176"/>
      <c r="H619" s="182"/>
      <c r="I619" s="37">
        <f t="shared" si="28"/>
        <v>0</v>
      </c>
      <c r="J619" s="38" t="str">
        <f t="shared" si="29"/>
        <v/>
      </c>
      <c r="K619" s="315"/>
      <c r="L619" s="145"/>
    </row>
    <row r="620" spans="1:12" ht="20.100000000000001" customHeight="1" thickBot="1" x14ac:dyDescent="0.4">
      <c r="A620" s="144" t="str">
        <f>IF(B620=IFERROR(VLOOKUP(B620,entrant!$E$4:$J$188,1,FALSE),"THERE WAS AN ERROR"),"RAPPORT JOURNAL","")</f>
        <v/>
      </c>
      <c r="B620" s="147"/>
      <c r="C620" s="170"/>
      <c r="D620" s="35">
        <f>SUMIF(entrant!$E$4:$E$2059,'Inventaire des produits'!B620,entrant!$G$4:$G$2059)</f>
        <v>0</v>
      </c>
      <c r="E620" s="35">
        <f>SUMIF(vente!$E$4:$E$2190,'Inventaire des produits'!B620,vente!$G$4:$G$2190)</f>
        <v>0</v>
      </c>
      <c r="F620" s="36">
        <f t="shared" si="27"/>
        <v>0</v>
      </c>
      <c r="G620" s="176"/>
      <c r="H620" s="182"/>
      <c r="I620" s="37">
        <f t="shared" si="28"/>
        <v>0</v>
      </c>
      <c r="J620" s="38" t="str">
        <f t="shared" si="29"/>
        <v/>
      </c>
      <c r="K620" s="315"/>
      <c r="L620" s="145"/>
    </row>
    <row r="621" spans="1:12" ht="20.100000000000001" customHeight="1" thickBot="1" x14ac:dyDescent="0.4">
      <c r="A621" s="144" t="str">
        <f>IF(B621=IFERROR(VLOOKUP(B621,entrant!$E$4:$J$188,1,FALSE),"THERE WAS AN ERROR"),"RAPPORT JOURNAL","")</f>
        <v/>
      </c>
      <c r="B621" s="147"/>
      <c r="C621" s="170"/>
      <c r="D621" s="35">
        <f>SUMIF(entrant!$E$4:$E$2059,'Inventaire des produits'!B621,entrant!$G$4:$G$2059)</f>
        <v>0</v>
      </c>
      <c r="E621" s="35">
        <f>SUMIF(vente!$E$4:$E$2190,'Inventaire des produits'!B621,vente!$G$4:$G$2190)</f>
        <v>0</v>
      </c>
      <c r="F621" s="36">
        <f t="shared" si="27"/>
        <v>0</v>
      </c>
      <c r="G621" s="176"/>
      <c r="H621" s="182"/>
      <c r="I621" s="37">
        <f t="shared" si="28"/>
        <v>0</v>
      </c>
      <c r="J621" s="38" t="str">
        <f t="shared" si="29"/>
        <v/>
      </c>
      <c r="K621" s="315"/>
      <c r="L621" s="145"/>
    </row>
    <row r="622" spans="1:12" ht="20.100000000000001" customHeight="1" thickBot="1" x14ac:dyDescent="0.4">
      <c r="A622" s="144" t="str">
        <f>IF(B622=IFERROR(VLOOKUP(B622,entrant!$E$4:$J$188,1,FALSE),"THERE WAS AN ERROR"),"RAPPORT JOURNAL","")</f>
        <v/>
      </c>
      <c r="B622" s="147"/>
      <c r="C622" s="170"/>
      <c r="D622" s="35">
        <f>SUMIF(entrant!$E$4:$E$2059,'Inventaire des produits'!B622,entrant!$G$4:$G$2059)</f>
        <v>0</v>
      </c>
      <c r="E622" s="35">
        <f>SUMIF(vente!$E$4:$E$2190,'Inventaire des produits'!B622,vente!$G$4:$G$2190)</f>
        <v>0</v>
      </c>
      <c r="F622" s="36">
        <f t="shared" si="27"/>
        <v>0</v>
      </c>
      <c r="G622" s="176"/>
      <c r="H622" s="182"/>
      <c r="I622" s="37">
        <f t="shared" si="28"/>
        <v>0</v>
      </c>
      <c r="J622" s="38" t="str">
        <f t="shared" si="29"/>
        <v/>
      </c>
      <c r="K622" s="315"/>
      <c r="L622" s="145"/>
    </row>
    <row r="623" spans="1:12" ht="20.100000000000001" customHeight="1" thickBot="1" x14ac:dyDescent="0.4">
      <c r="A623" s="144" t="str">
        <f>IF(B623=IFERROR(VLOOKUP(B623,entrant!$E$4:$J$188,1,FALSE),"THERE WAS AN ERROR"),"RAPPORT JOURNAL","")</f>
        <v/>
      </c>
      <c r="B623" s="147"/>
      <c r="C623" s="170"/>
      <c r="D623" s="35">
        <f>SUMIF(entrant!$E$4:$E$2059,'Inventaire des produits'!B623,entrant!$G$4:$G$2059)</f>
        <v>0</v>
      </c>
      <c r="E623" s="35">
        <f>SUMIF(vente!$E$4:$E$2190,'Inventaire des produits'!B623,vente!$G$4:$G$2190)</f>
        <v>0</v>
      </c>
      <c r="F623" s="36">
        <f t="shared" si="27"/>
        <v>0</v>
      </c>
      <c r="G623" s="176"/>
      <c r="H623" s="182"/>
      <c r="I623" s="37">
        <f t="shared" si="28"/>
        <v>0</v>
      </c>
      <c r="J623" s="38" t="str">
        <f t="shared" si="29"/>
        <v/>
      </c>
      <c r="K623" s="315"/>
      <c r="L623" s="145"/>
    </row>
    <row r="624" spans="1:12" ht="20.100000000000001" customHeight="1" thickBot="1" x14ac:dyDescent="0.4">
      <c r="A624" s="144" t="str">
        <f>IF(B624=IFERROR(VLOOKUP(B624,entrant!$E$4:$J$188,1,FALSE),"THERE WAS AN ERROR"),"RAPPORT JOURNAL","")</f>
        <v/>
      </c>
      <c r="B624" s="147"/>
      <c r="C624" s="170"/>
      <c r="D624" s="35">
        <f>SUMIF(entrant!$E$4:$E$2059,'Inventaire des produits'!B624,entrant!$G$4:$G$2059)</f>
        <v>0</v>
      </c>
      <c r="E624" s="35">
        <f>SUMIF(vente!$E$4:$E$2190,'Inventaire des produits'!B624,vente!$G$4:$G$2190)</f>
        <v>0</v>
      </c>
      <c r="F624" s="36">
        <f t="shared" si="27"/>
        <v>0</v>
      </c>
      <c r="G624" s="176"/>
      <c r="H624" s="182"/>
      <c r="I624" s="37">
        <f t="shared" si="28"/>
        <v>0</v>
      </c>
      <c r="J624" s="38" t="str">
        <f t="shared" si="29"/>
        <v/>
      </c>
      <c r="K624" s="315"/>
      <c r="L624" s="145"/>
    </row>
    <row r="625" spans="1:12" ht="20.100000000000001" customHeight="1" thickBot="1" x14ac:dyDescent="0.4">
      <c r="A625" s="144" t="str">
        <f>IF(B625=IFERROR(VLOOKUP(B625,entrant!$E$4:$J$188,1,FALSE),"THERE WAS AN ERROR"),"RAPPORT JOURNAL","")</f>
        <v/>
      </c>
      <c r="B625" s="147"/>
      <c r="C625" s="170"/>
      <c r="D625" s="35">
        <f>SUMIF(entrant!$E$4:$E$2059,'Inventaire des produits'!B625,entrant!$G$4:$G$2059)</f>
        <v>0</v>
      </c>
      <c r="E625" s="35">
        <f>SUMIF(vente!$E$4:$E$2190,'Inventaire des produits'!B625,vente!$G$4:$G$2190)</f>
        <v>0</v>
      </c>
      <c r="F625" s="36">
        <f t="shared" si="27"/>
        <v>0</v>
      </c>
      <c r="G625" s="176"/>
      <c r="H625" s="182"/>
      <c r="I625" s="37">
        <f t="shared" si="28"/>
        <v>0</v>
      </c>
      <c r="J625" s="38" t="str">
        <f t="shared" si="29"/>
        <v/>
      </c>
      <c r="K625" s="315"/>
      <c r="L625" s="145"/>
    </row>
    <row r="626" spans="1:12" ht="20.100000000000001" customHeight="1" thickBot="1" x14ac:dyDescent="0.4">
      <c r="A626" s="144" t="str">
        <f>IF(B626=IFERROR(VLOOKUP(B626,entrant!$E$4:$J$188,1,FALSE),"THERE WAS AN ERROR"),"RAPPORT JOURNAL","")</f>
        <v/>
      </c>
      <c r="B626" s="147"/>
      <c r="C626" s="170"/>
      <c r="D626" s="35">
        <f>SUMIF(entrant!$E$4:$E$2059,'Inventaire des produits'!B626,entrant!$G$4:$G$2059)</f>
        <v>0</v>
      </c>
      <c r="E626" s="35">
        <f>SUMIF(vente!$E$4:$E$2190,'Inventaire des produits'!B626,vente!$G$4:$G$2190)</f>
        <v>0</v>
      </c>
      <c r="F626" s="36">
        <f t="shared" si="27"/>
        <v>0</v>
      </c>
      <c r="G626" s="176"/>
      <c r="H626" s="182"/>
      <c r="I626" s="37">
        <f t="shared" si="28"/>
        <v>0</v>
      </c>
      <c r="J626" s="38" t="str">
        <f t="shared" si="29"/>
        <v/>
      </c>
      <c r="K626" s="315"/>
      <c r="L626" s="145"/>
    </row>
    <row r="627" spans="1:12" ht="20.100000000000001" customHeight="1" thickBot="1" x14ac:dyDescent="0.4">
      <c r="A627" s="144" t="str">
        <f>IF(B627=IFERROR(VLOOKUP(B627,entrant!$E$4:$J$188,1,FALSE),"THERE WAS AN ERROR"),"RAPPORT JOURNAL","")</f>
        <v/>
      </c>
      <c r="B627" s="147"/>
      <c r="C627" s="170"/>
      <c r="D627" s="35">
        <f>SUMIF(entrant!$E$4:$E$2059,'Inventaire des produits'!B627,entrant!$G$4:$G$2059)</f>
        <v>0</v>
      </c>
      <c r="E627" s="35">
        <f>SUMIF(vente!$E$4:$E$2190,'Inventaire des produits'!B627,vente!$G$4:$G$2190)</f>
        <v>0</v>
      </c>
      <c r="F627" s="36">
        <f t="shared" si="27"/>
        <v>0</v>
      </c>
      <c r="G627" s="176"/>
      <c r="H627" s="182"/>
      <c r="I627" s="37">
        <f t="shared" si="28"/>
        <v>0</v>
      </c>
      <c r="J627" s="38" t="str">
        <f t="shared" si="29"/>
        <v/>
      </c>
      <c r="K627" s="315"/>
      <c r="L627" s="145"/>
    </row>
    <row r="628" spans="1:12" ht="20.100000000000001" customHeight="1" thickBot="1" x14ac:dyDescent="0.4">
      <c r="A628" s="144" t="str">
        <f>IF(B628=IFERROR(VLOOKUP(B628,entrant!$E$4:$J$188,1,FALSE),"THERE WAS AN ERROR"),"RAPPORT JOURNAL","")</f>
        <v/>
      </c>
      <c r="B628" s="147"/>
      <c r="C628" s="170"/>
      <c r="D628" s="35">
        <f>SUMIF(entrant!$E$4:$E$2059,'Inventaire des produits'!B628,entrant!$G$4:$G$2059)</f>
        <v>0</v>
      </c>
      <c r="E628" s="35">
        <f>SUMIF(vente!$E$4:$E$2190,'Inventaire des produits'!B628,vente!$G$4:$G$2190)</f>
        <v>0</v>
      </c>
      <c r="F628" s="36">
        <f t="shared" si="27"/>
        <v>0</v>
      </c>
      <c r="G628" s="176"/>
      <c r="H628" s="182"/>
      <c r="I628" s="37">
        <f t="shared" si="28"/>
        <v>0</v>
      </c>
      <c r="J628" s="38" t="str">
        <f t="shared" si="29"/>
        <v/>
      </c>
      <c r="K628" s="315"/>
      <c r="L628" s="145"/>
    </row>
    <row r="629" spans="1:12" ht="20.100000000000001" customHeight="1" thickBot="1" x14ac:dyDescent="0.4">
      <c r="A629" s="144" t="str">
        <f>IF(B629=IFERROR(VLOOKUP(B629,entrant!$E$4:$J$188,1,FALSE),"THERE WAS AN ERROR"),"RAPPORT JOURNAL","")</f>
        <v/>
      </c>
      <c r="B629" s="147"/>
      <c r="C629" s="170"/>
      <c r="D629" s="35">
        <f>SUMIF(entrant!$E$4:$E$2059,'Inventaire des produits'!B629,entrant!$G$4:$G$2059)</f>
        <v>0</v>
      </c>
      <c r="E629" s="35">
        <f>SUMIF(vente!$E$4:$E$2190,'Inventaire des produits'!B629,vente!$G$4:$G$2190)</f>
        <v>0</v>
      </c>
      <c r="F629" s="36">
        <f t="shared" si="27"/>
        <v>0</v>
      </c>
      <c r="G629" s="176"/>
      <c r="H629" s="182"/>
      <c r="I629" s="37">
        <f t="shared" si="28"/>
        <v>0</v>
      </c>
      <c r="J629" s="38" t="str">
        <f t="shared" si="29"/>
        <v/>
      </c>
      <c r="K629" s="315"/>
      <c r="L629" s="145"/>
    </row>
    <row r="630" spans="1:12" ht="20.100000000000001" customHeight="1" thickBot="1" x14ac:dyDescent="0.4">
      <c r="A630" s="144" t="str">
        <f>IF(B630=IFERROR(VLOOKUP(B630,entrant!$E$4:$J$188,1,FALSE),"THERE WAS AN ERROR"),"RAPPORT JOURNAL","")</f>
        <v/>
      </c>
      <c r="B630" s="147"/>
      <c r="C630" s="170"/>
      <c r="D630" s="35">
        <f>SUMIF(entrant!$E$4:$E$2059,'Inventaire des produits'!B630,entrant!$G$4:$G$2059)</f>
        <v>0</v>
      </c>
      <c r="E630" s="35">
        <f>SUMIF(vente!$E$4:$E$2190,'Inventaire des produits'!B630,vente!$G$4:$G$2190)</f>
        <v>0</v>
      </c>
      <c r="F630" s="36">
        <f t="shared" si="27"/>
        <v>0</v>
      </c>
      <c r="G630" s="176"/>
      <c r="H630" s="182"/>
      <c r="I630" s="37">
        <f t="shared" si="28"/>
        <v>0</v>
      </c>
      <c r="J630" s="38" t="str">
        <f t="shared" si="29"/>
        <v/>
      </c>
      <c r="K630" s="315"/>
      <c r="L630" s="145"/>
    </row>
    <row r="631" spans="1:12" ht="20.100000000000001" customHeight="1" thickBot="1" x14ac:dyDescent="0.4">
      <c r="A631" s="144" t="str">
        <f>IF(B631=IFERROR(VLOOKUP(B631,entrant!$E$4:$J$188,1,FALSE),"THERE WAS AN ERROR"),"RAPPORT JOURNAL","")</f>
        <v/>
      </c>
      <c r="B631" s="147"/>
      <c r="C631" s="170"/>
      <c r="D631" s="35">
        <f>SUMIF(entrant!$E$4:$E$2059,'Inventaire des produits'!B631,entrant!$G$4:$G$2059)</f>
        <v>0</v>
      </c>
      <c r="E631" s="35">
        <f>SUMIF(vente!$E$4:$E$2190,'Inventaire des produits'!B631,vente!$G$4:$G$2190)</f>
        <v>0</v>
      </c>
      <c r="F631" s="36">
        <f t="shared" si="27"/>
        <v>0</v>
      </c>
      <c r="G631" s="176"/>
      <c r="H631" s="182"/>
      <c r="I631" s="37">
        <f t="shared" si="28"/>
        <v>0</v>
      </c>
      <c r="J631" s="38" t="str">
        <f t="shared" si="29"/>
        <v/>
      </c>
      <c r="K631" s="315"/>
      <c r="L631" s="145"/>
    </row>
    <row r="632" spans="1:12" ht="20.100000000000001" customHeight="1" thickBot="1" x14ac:dyDescent="0.4">
      <c r="A632" s="144" t="str">
        <f>IF(B632=IFERROR(VLOOKUP(B632,entrant!$E$4:$J$188,1,FALSE),"THERE WAS AN ERROR"),"RAPPORT JOURNAL","")</f>
        <v/>
      </c>
      <c r="B632" s="147"/>
      <c r="C632" s="170"/>
      <c r="D632" s="35">
        <f>SUMIF(entrant!$E$4:$E$2059,'Inventaire des produits'!B632,entrant!$G$4:$G$2059)</f>
        <v>0</v>
      </c>
      <c r="E632" s="35">
        <f>SUMIF(vente!$E$4:$E$2190,'Inventaire des produits'!B632,vente!$G$4:$G$2190)</f>
        <v>0</v>
      </c>
      <c r="F632" s="36">
        <f t="shared" si="27"/>
        <v>0</v>
      </c>
      <c r="G632" s="176"/>
      <c r="H632" s="182"/>
      <c r="I632" s="37">
        <f t="shared" si="28"/>
        <v>0</v>
      </c>
      <c r="J632" s="38" t="str">
        <f t="shared" si="29"/>
        <v/>
      </c>
      <c r="K632" s="315"/>
      <c r="L632" s="145"/>
    </row>
    <row r="633" spans="1:12" ht="20.100000000000001" customHeight="1" thickBot="1" x14ac:dyDescent="0.4">
      <c r="A633" s="144" t="str">
        <f>IF(B633=IFERROR(VLOOKUP(B633,entrant!$E$4:$J$188,1,FALSE),"THERE WAS AN ERROR"),"RAPPORT JOURNAL","")</f>
        <v/>
      </c>
      <c r="B633" s="147"/>
      <c r="C633" s="170"/>
      <c r="D633" s="35">
        <f>SUMIF(entrant!$E$4:$E$2059,'Inventaire des produits'!B633,entrant!$G$4:$G$2059)</f>
        <v>0</v>
      </c>
      <c r="E633" s="35">
        <f>SUMIF(vente!$E$4:$E$2190,'Inventaire des produits'!B633,vente!$G$4:$G$2190)</f>
        <v>0</v>
      </c>
      <c r="F633" s="36">
        <f t="shared" si="27"/>
        <v>0</v>
      </c>
      <c r="G633" s="176"/>
      <c r="H633" s="182"/>
      <c r="I633" s="37">
        <f t="shared" si="28"/>
        <v>0</v>
      </c>
      <c r="J633" s="38" t="str">
        <f t="shared" si="29"/>
        <v/>
      </c>
      <c r="K633" s="315"/>
      <c r="L633" s="145"/>
    </row>
    <row r="634" spans="1:12" ht="20.100000000000001" customHeight="1" thickBot="1" x14ac:dyDescent="0.4">
      <c r="A634" s="144" t="str">
        <f>IF(B634=IFERROR(VLOOKUP(B634,entrant!$E$4:$J$188,1,FALSE),"THERE WAS AN ERROR"),"RAPPORT JOURNAL","")</f>
        <v/>
      </c>
      <c r="B634" s="147"/>
      <c r="C634" s="170"/>
      <c r="D634" s="35">
        <f>SUMIF(entrant!$E$4:$E$2059,'Inventaire des produits'!B634,entrant!$G$4:$G$2059)</f>
        <v>0</v>
      </c>
      <c r="E634" s="35">
        <f>SUMIF(vente!$E$4:$E$2190,'Inventaire des produits'!B634,vente!$G$4:$G$2190)</f>
        <v>0</v>
      </c>
      <c r="F634" s="36">
        <f t="shared" si="27"/>
        <v>0</v>
      </c>
      <c r="G634" s="176"/>
      <c r="H634" s="182"/>
      <c r="I634" s="37">
        <f t="shared" si="28"/>
        <v>0</v>
      </c>
      <c r="J634" s="38" t="str">
        <f t="shared" si="29"/>
        <v/>
      </c>
      <c r="K634" s="315"/>
      <c r="L634" s="145"/>
    </row>
    <row r="635" spans="1:12" ht="20.100000000000001" customHeight="1" thickBot="1" x14ac:dyDescent="0.4">
      <c r="A635" s="144" t="str">
        <f>IF(B635=IFERROR(VLOOKUP(B635,entrant!$E$4:$J$188,1,FALSE),"THERE WAS AN ERROR"),"RAPPORT JOURNAL","")</f>
        <v/>
      </c>
      <c r="B635" s="147"/>
      <c r="C635" s="170"/>
      <c r="D635" s="35">
        <f>SUMIF(entrant!$E$4:$E$2059,'Inventaire des produits'!B635,entrant!$G$4:$G$2059)</f>
        <v>0</v>
      </c>
      <c r="E635" s="35">
        <f>SUMIF(vente!$E$4:$E$2190,'Inventaire des produits'!B635,vente!$G$4:$G$2190)</f>
        <v>0</v>
      </c>
      <c r="F635" s="36">
        <f t="shared" si="27"/>
        <v>0</v>
      </c>
      <c r="G635" s="176"/>
      <c r="H635" s="182"/>
      <c r="I635" s="37">
        <f t="shared" si="28"/>
        <v>0</v>
      </c>
      <c r="J635" s="38" t="str">
        <f t="shared" si="29"/>
        <v/>
      </c>
      <c r="K635" s="315"/>
      <c r="L635" s="145"/>
    </row>
    <row r="636" spans="1:12" ht="20.100000000000001" customHeight="1" thickBot="1" x14ac:dyDescent="0.4">
      <c r="A636" s="144" t="str">
        <f>IF(B636=IFERROR(VLOOKUP(B636,entrant!$E$4:$J$188,1,FALSE),"THERE WAS AN ERROR"),"RAPPORT JOURNAL","")</f>
        <v/>
      </c>
      <c r="B636" s="147"/>
      <c r="C636" s="170"/>
      <c r="D636" s="35">
        <f>SUMIF(entrant!$E$4:$E$2059,'Inventaire des produits'!B636,entrant!$G$4:$G$2059)</f>
        <v>0</v>
      </c>
      <c r="E636" s="35">
        <f>SUMIF(vente!$E$4:$E$2190,'Inventaire des produits'!B636,vente!$G$4:$G$2190)</f>
        <v>0</v>
      </c>
      <c r="F636" s="36">
        <f t="shared" si="27"/>
        <v>0</v>
      </c>
      <c r="G636" s="176"/>
      <c r="H636" s="182"/>
      <c r="I636" s="37">
        <f t="shared" si="28"/>
        <v>0</v>
      </c>
      <c r="J636" s="38" t="str">
        <f t="shared" si="29"/>
        <v/>
      </c>
      <c r="K636" s="315"/>
      <c r="L636" s="145"/>
    </row>
    <row r="637" spans="1:12" ht="20.100000000000001" customHeight="1" thickBot="1" x14ac:dyDescent="0.4">
      <c r="A637" s="144" t="str">
        <f>IF(B637=IFERROR(VLOOKUP(B637,entrant!$E$4:$J$188,1,FALSE),"THERE WAS AN ERROR"),"RAPPORT JOURNAL","")</f>
        <v/>
      </c>
      <c r="B637" s="147"/>
      <c r="C637" s="170"/>
      <c r="D637" s="35">
        <f>SUMIF(entrant!$E$4:$E$2059,'Inventaire des produits'!B637,entrant!$G$4:$G$2059)</f>
        <v>0</v>
      </c>
      <c r="E637" s="35">
        <f>SUMIF(vente!$E$4:$E$2190,'Inventaire des produits'!B637,vente!$G$4:$G$2190)</f>
        <v>0</v>
      </c>
      <c r="F637" s="36">
        <f t="shared" si="27"/>
        <v>0</v>
      </c>
      <c r="G637" s="176"/>
      <c r="H637" s="182"/>
      <c r="I637" s="37">
        <f t="shared" si="28"/>
        <v>0</v>
      </c>
      <c r="J637" s="38" t="str">
        <f t="shared" si="29"/>
        <v/>
      </c>
      <c r="K637" s="315"/>
      <c r="L637" s="145"/>
    </row>
    <row r="638" spans="1:12" ht="20.100000000000001" customHeight="1" thickBot="1" x14ac:dyDescent="0.4">
      <c r="A638" s="144" t="str">
        <f>IF(B638=IFERROR(VLOOKUP(B638,entrant!$E$4:$J$188,1,FALSE),"THERE WAS AN ERROR"),"RAPPORT JOURNAL","")</f>
        <v/>
      </c>
      <c r="B638" s="147"/>
      <c r="C638" s="170"/>
      <c r="D638" s="35">
        <f>SUMIF(entrant!$E$4:$E$2059,'Inventaire des produits'!B638,entrant!$G$4:$G$2059)</f>
        <v>0</v>
      </c>
      <c r="E638" s="35">
        <f>SUMIF(vente!$E$4:$E$2190,'Inventaire des produits'!B638,vente!$G$4:$G$2190)</f>
        <v>0</v>
      </c>
      <c r="F638" s="36">
        <f t="shared" si="27"/>
        <v>0</v>
      </c>
      <c r="G638" s="176"/>
      <c r="H638" s="182"/>
      <c r="I638" s="37">
        <f t="shared" si="28"/>
        <v>0</v>
      </c>
      <c r="J638" s="38" t="str">
        <f t="shared" si="29"/>
        <v/>
      </c>
      <c r="K638" s="315"/>
      <c r="L638" s="145"/>
    </row>
    <row r="639" spans="1:12" ht="20.100000000000001" customHeight="1" thickBot="1" x14ac:dyDescent="0.4">
      <c r="A639" s="144" t="str">
        <f>IF(B639=IFERROR(VLOOKUP(B639,entrant!$E$4:$J$188,1,FALSE),"THERE WAS AN ERROR"),"RAPPORT JOURNAL","")</f>
        <v/>
      </c>
      <c r="B639" s="147"/>
      <c r="C639" s="170"/>
      <c r="D639" s="35">
        <f>SUMIF(entrant!$E$4:$E$2059,'Inventaire des produits'!B639,entrant!$G$4:$G$2059)</f>
        <v>0</v>
      </c>
      <c r="E639" s="35">
        <f>SUMIF(vente!$E$4:$E$2190,'Inventaire des produits'!B639,vente!$G$4:$G$2190)</f>
        <v>0</v>
      </c>
      <c r="F639" s="36">
        <f t="shared" si="27"/>
        <v>0</v>
      </c>
      <c r="G639" s="176"/>
      <c r="H639" s="182"/>
      <c r="I639" s="37">
        <f t="shared" si="28"/>
        <v>0</v>
      </c>
      <c r="J639" s="38" t="str">
        <f t="shared" si="29"/>
        <v/>
      </c>
      <c r="K639" s="315"/>
      <c r="L639" s="145"/>
    </row>
    <row r="640" spans="1:12" ht="20.100000000000001" customHeight="1" thickBot="1" x14ac:dyDescent="0.4">
      <c r="A640" s="144" t="str">
        <f>IF(B640=IFERROR(VLOOKUP(B640,entrant!$E$4:$J$188,1,FALSE),"THERE WAS AN ERROR"),"RAPPORT JOURNAL","")</f>
        <v/>
      </c>
      <c r="B640" s="147"/>
      <c r="C640" s="170"/>
      <c r="D640" s="35">
        <f>SUMIF(entrant!$E$4:$E$2059,'Inventaire des produits'!B640,entrant!$G$4:$G$2059)</f>
        <v>0</v>
      </c>
      <c r="E640" s="35">
        <f>SUMIF(vente!$E$4:$E$2190,'Inventaire des produits'!B640,vente!$G$4:$G$2190)</f>
        <v>0</v>
      </c>
      <c r="F640" s="36">
        <f t="shared" si="27"/>
        <v>0</v>
      </c>
      <c r="G640" s="176"/>
      <c r="H640" s="182"/>
      <c r="I640" s="37">
        <f t="shared" si="28"/>
        <v>0</v>
      </c>
      <c r="J640" s="38" t="str">
        <f t="shared" si="29"/>
        <v/>
      </c>
      <c r="K640" s="315"/>
      <c r="L640" s="145"/>
    </row>
    <row r="641" spans="1:12" ht="20.100000000000001" customHeight="1" thickBot="1" x14ac:dyDescent="0.4">
      <c r="A641" s="144" t="str">
        <f>IF(B641=IFERROR(VLOOKUP(B641,entrant!$E$4:$J$188,1,FALSE),"THERE WAS AN ERROR"),"RAPPORT JOURNAL","")</f>
        <v/>
      </c>
      <c r="B641" s="147"/>
      <c r="C641" s="170"/>
      <c r="D641" s="35">
        <f>SUMIF(entrant!$E$4:$E$2059,'Inventaire des produits'!B641,entrant!$G$4:$G$2059)</f>
        <v>0</v>
      </c>
      <c r="E641" s="35">
        <f>SUMIF(vente!$E$4:$E$2190,'Inventaire des produits'!B641,vente!$G$4:$G$2190)</f>
        <v>0</v>
      </c>
      <c r="F641" s="36">
        <f t="shared" si="27"/>
        <v>0</v>
      </c>
      <c r="G641" s="176"/>
      <c r="H641" s="182"/>
      <c r="I641" s="37">
        <f t="shared" si="28"/>
        <v>0</v>
      </c>
      <c r="J641" s="38" t="str">
        <f t="shared" si="29"/>
        <v/>
      </c>
      <c r="K641" s="315"/>
      <c r="L641" s="145"/>
    </row>
    <row r="642" spans="1:12" ht="20.100000000000001" customHeight="1" thickBot="1" x14ac:dyDescent="0.4">
      <c r="A642" s="144" t="str">
        <f>IF(B642=IFERROR(VLOOKUP(B642,entrant!$E$4:$J$188,1,FALSE),"THERE WAS AN ERROR"),"RAPPORT JOURNAL","")</f>
        <v/>
      </c>
      <c r="B642" s="147"/>
      <c r="C642" s="170"/>
      <c r="D642" s="35">
        <f>SUMIF(entrant!$E$4:$E$2059,'Inventaire des produits'!B642,entrant!$G$4:$G$2059)</f>
        <v>0</v>
      </c>
      <c r="E642" s="35">
        <f>SUMIF(vente!$E$4:$E$2190,'Inventaire des produits'!B642,vente!$G$4:$G$2190)</f>
        <v>0</v>
      </c>
      <c r="F642" s="36">
        <f t="shared" si="27"/>
        <v>0</v>
      </c>
      <c r="G642" s="176"/>
      <c r="H642" s="182"/>
      <c r="I642" s="37">
        <f t="shared" si="28"/>
        <v>0</v>
      </c>
      <c r="J642" s="38" t="str">
        <f t="shared" si="29"/>
        <v/>
      </c>
      <c r="K642" s="315"/>
      <c r="L642" s="145"/>
    </row>
    <row r="643" spans="1:12" ht="20.100000000000001" customHeight="1" thickBot="1" x14ac:dyDescent="0.4">
      <c r="A643" s="144" t="str">
        <f>IF(B643=IFERROR(VLOOKUP(B643,entrant!$E$4:$J$188,1,FALSE),"THERE WAS AN ERROR"),"RAPPORT JOURNAL","")</f>
        <v/>
      </c>
      <c r="B643" s="147"/>
      <c r="C643" s="170"/>
      <c r="D643" s="35">
        <f>SUMIF(entrant!$E$4:$E$2059,'Inventaire des produits'!B643,entrant!$G$4:$G$2059)</f>
        <v>0</v>
      </c>
      <c r="E643" s="35">
        <f>SUMIF(vente!$E$4:$E$2190,'Inventaire des produits'!B643,vente!$G$4:$G$2190)</f>
        <v>0</v>
      </c>
      <c r="F643" s="36">
        <f t="shared" ref="F643:F706" si="30">IF(OR(D643="",E643=""),"",D643-E643)</f>
        <v>0</v>
      </c>
      <c r="G643" s="176"/>
      <c r="H643" s="182"/>
      <c r="I643" s="37">
        <f t="shared" si="28"/>
        <v>0</v>
      </c>
      <c r="J643" s="38" t="str">
        <f t="shared" si="29"/>
        <v/>
      </c>
      <c r="K643" s="315"/>
      <c r="L643" s="145"/>
    </row>
    <row r="644" spans="1:12" ht="20.100000000000001" customHeight="1" thickBot="1" x14ac:dyDescent="0.4">
      <c r="A644" s="144" t="str">
        <f>IF(B644=IFERROR(VLOOKUP(B644,entrant!$E$4:$J$188,1,FALSE),"THERE WAS AN ERROR"),"RAPPORT JOURNAL","")</f>
        <v/>
      </c>
      <c r="B644" s="147"/>
      <c r="C644" s="170"/>
      <c r="D644" s="35">
        <f>SUMIF(entrant!$E$4:$E$2059,'Inventaire des produits'!B644,entrant!$G$4:$G$2059)</f>
        <v>0</v>
      </c>
      <c r="E644" s="35">
        <f>SUMIF(vente!$E$4:$E$2190,'Inventaire des produits'!B644,vente!$G$4:$G$2190)</f>
        <v>0</v>
      </c>
      <c r="F644" s="36">
        <f t="shared" si="30"/>
        <v>0</v>
      </c>
      <c r="G644" s="176"/>
      <c r="H644" s="182"/>
      <c r="I644" s="37">
        <f t="shared" ref="I644:I707" si="31">IF(H644="",G644,G644-G644*H644)</f>
        <v>0</v>
      </c>
      <c r="J644" s="38" t="str">
        <f t="shared" ref="J644:J707" si="32">IF(OR(F644="",G644=""),"",F644*I644)</f>
        <v/>
      </c>
      <c r="K644" s="315"/>
      <c r="L644" s="145"/>
    </row>
    <row r="645" spans="1:12" ht="20.100000000000001" customHeight="1" thickBot="1" x14ac:dyDescent="0.4">
      <c r="A645" s="144" t="str">
        <f>IF(B645=IFERROR(VLOOKUP(B645,entrant!$E$4:$J$188,1,FALSE),"THERE WAS AN ERROR"),"RAPPORT JOURNAL","")</f>
        <v/>
      </c>
      <c r="B645" s="147"/>
      <c r="C645" s="170"/>
      <c r="D645" s="35">
        <f>SUMIF(entrant!$E$4:$E$2059,'Inventaire des produits'!B645,entrant!$G$4:$G$2059)</f>
        <v>0</v>
      </c>
      <c r="E645" s="35">
        <f>SUMIF(vente!$E$4:$E$2190,'Inventaire des produits'!B645,vente!$G$4:$G$2190)</f>
        <v>0</v>
      </c>
      <c r="F645" s="36">
        <f t="shared" si="30"/>
        <v>0</v>
      </c>
      <c r="G645" s="176"/>
      <c r="H645" s="182"/>
      <c r="I645" s="37">
        <f t="shared" si="31"/>
        <v>0</v>
      </c>
      <c r="J645" s="38" t="str">
        <f t="shared" si="32"/>
        <v/>
      </c>
      <c r="K645" s="315"/>
      <c r="L645" s="145"/>
    </row>
    <row r="646" spans="1:12" ht="20.100000000000001" customHeight="1" thickBot="1" x14ac:dyDescent="0.4">
      <c r="A646" s="144" t="str">
        <f>IF(B646=IFERROR(VLOOKUP(B646,entrant!$E$4:$J$188,1,FALSE),"THERE WAS AN ERROR"),"RAPPORT JOURNAL","")</f>
        <v/>
      </c>
      <c r="B646" s="147"/>
      <c r="C646" s="170"/>
      <c r="D646" s="35">
        <f>SUMIF(entrant!$E$4:$E$2059,'Inventaire des produits'!B646,entrant!$G$4:$G$2059)</f>
        <v>0</v>
      </c>
      <c r="E646" s="35">
        <f>SUMIF(vente!$E$4:$E$2190,'Inventaire des produits'!B646,vente!$G$4:$G$2190)</f>
        <v>0</v>
      </c>
      <c r="F646" s="36">
        <f t="shared" si="30"/>
        <v>0</v>
      </c>
      <c r="G646" s="176"/>
      <c r="H646" s="182"/>
      <c r="I646" s="37">
        <f t="shared" si="31"/>
        <v>0</v>
      </c>
      <c r="J646" s="38" t="str">
        <f t="shared" si="32"/>
        <v/>
      </c>
      <c r="K646" s="315"/>
      <c r="L646" s="145"/>
    </row>
    <row r="647" spans="1:12" ht="20.100000000000001" customHeight="1" thickBot="1" x14ac:dyDescent="0.4">
      <c r="A647" s="144" t="str">
        <f>IF(B647=IFERROR(VLOOKUP(B647,entrant!$E$4:$J$188,1,FALSE),"THERE WAS AN ERROR"),"RAPPORT JOURNAL","")</f>
        <v/>
      </c>
      <c r="B647" s="147"/>
      <c r="C647" s="170"/>
      <c r="D647" s="35">
        <f>SUMIF(entrant!$E$4:$E$2059,'Inventaire des produits'!B647,entrant!$G$4:$G$2059)</f>
        <v>0</v>
      </c>
      <c r="E647" s="35">
        <f>SUMIF(vente!$E$4:$E$2190,'Inventaire des produits'!B647,vente!$G$4:$G$2190)</f>
        <v>0</v>
      </c>
      <c r="F647" s="36">
        <f t="shared" si="30"/>
        <v>0</v>
      </c>
      <c r="G647" s="176"/>
      <c r="H647" s="182"/>
      <c r="I647" s="37">
        <f t="shared" si="31"/>
        <v>0</v>
      </c>
      <c r="J647" s="38" t="str">
        <f t="shared" si="32"/>
        <v/>
      </c>
      <c r="K647" s="315"/>
      <c r="L647" s="145"/>
    </row>
    <row r="648" spans="1:12" ht="20.100000000000001" customHeight="1" thickBot="1" x14ac:dyDescent="0.4">
      <c r="A648" s="144" t="str">
        <f>IF(B648=IFERROR(VLOOKUP(B648,entrant!$E$4:$J$188,1,FALSE),"THERE WAS AN ERROR"),"RAPPORT JOURNAL","")</f>
        <v/>
      </c>
      <c r="B648" s="147"/>
      <c r="C648" s="170"/>
      <c r="D648" s="35">
        <f>SUMIF(entrant!$E$4:$E$2059,'Inventaire des produits'!B648,entrant!$G$4:$G$2059)</f>
        <v>0</v>
      </c>
      <c r="E648" s="35">
        <f>SUMIF(vente!$E$4:$E$2190,'Inventaire des produits'!B648,vente!$G$4:$G$2190)</f>
        <v>0</v>
      </c>
      <c r="F648" s="36">
        <f t="shared" si="30"/>
        <v>0</v>
      </c>
      <c r="G648" s="176"/>
      <c r="H648" s="182"/>
      <c r="I648" s="37">
        <f t="shared" si="31"/>
        <v>0</v>
      </c>
      <c r="J648" s="38" t="str">
        <f t="shared" si="32"/>
        <v/>
      </c>
      <c r="K648" s="315"/>
      <c r="L648" s="145"/>
    </row>
    <row r="649" spans="1:12" ht="20.100000000000001" customHeight="1" thickBot="1" x14ac:dyDescent="0.4">
      <c r="A649" s="144" t="str">
        <f>IF(B649=IFERROR(VLOOKUP(B649,entrant!$E$4:$J$188,1,FALSE),"THERE WAS AN ERROR"),"RAPPORT JOURNAL","")</f>
        <v/>
      </c>
      <c r="B649" s="147"/>
      <c r="C649" s="170"/>
      <c r="D649" s="35">
        <f>SUMIF(entrant!$E$4:$E$2059,'Inventaire des produits'!B649,entrant!$G$4:$G$2059)</f>
        <v>0</v>
      </c>
      <c r="E649" s="35">
        <f>SUMIF(vente!$E$4:$E$2190,'Inventaire des produits'!B649,vente!$G$4:$G$2190)</f>
        <v>0</v>
      </c>
      <c r="F649" s="36">
        <f t="shared" si="30"/>
        <v>0</v>
      </c>
      <c r="G649" s="176"/>
      <c r="H649" s="182"/>
      <c r="I649" s="37">
        <f t="shared" si="31"/>
        <v>0</v>
      </c>
      <c r="J649" s="38" t="str">
        <f t="shared" si="32"/>
        <v/>
      </c>
      <c r="K649" s="315"/>
      <c r="L649" s="145"/>
    </row>
    <row r="650" spans="1:12" ht="20.100000000000001" customHeight="1" thickBot="1" x14ac:dyDescent="0.4">
      <c r="A650" s="144" t="str">
        <f>IF(B650=IFERROR(VLOOKUP(B650,entrant!$E$4:$J$188,1,FALSE),"THERE WAS AN ERROR"),"RAPPORT JOURNAL","")</f>
        <v/>
      </c>
      <c r="B650" s="147"/>
      <c r="C650" s="170"/>
      <c r="D650" s="35">
        <f>SUMIF(entrant!$E$4:$E$2059,'Inventaire des produits'!B650,entrant!$G$4:$G$2059)</f>
        <v>0</v>
      </c>
      <c r="E650" s="35">
        <f>SUMIF(vente!$E$4:$E$2190,'Inventaire des produits'!B650,vente!$G$4:$G$2190)</f>
        <v>0</v>
      </c>
      <c r="F650" s="36">
        <f t="shared" si="30"/>
        <v>0</v>
      </c>
      <c r="G650" s="176"/>
      <c r="H650" s="182"/>
      <c r="I650" s="37">
        <f t="shared" si="31"/>
        <v>0</v>
      </c>
      <c r="J650" s="38" t="str">
        <f t="shared" si="32"/>
        <v/>
      </c>
      <c r="K650" s="315"/>
      <c r="L650" s="145"/>
    </row>
    <row r="651" spans="1:12" ht="20.100000000000001" customHeight="1" thickBot="1" x14ac:dyDescent="0.4">
      <c r="A651" s="144" t="str">
        <f>IF(B651=IFERROR(VLOOKUP(B651,entrant!$E$4:$J$188,1,FALSE),"THERE WAS AN ERROR"),"RAPPORT JOURNAL","")</f>
        <v/>
      </c>
      <c r="B651" s="147"/>
      <c r="C651" s="170"/>
      <c r="D651" s="35">
        <f>SUMIF(entrant!$E$4:$E$2059,'Inventaire des produits'!B651,entrant!$G$4:$G$2059)</f>
        <v>0</v>
      </c>
      <c r="E651" s="35">
        <f>SUMIF(vente!$E$4:$E$2190,'Inventaire des produits'!B651,vente!$G$4:$G$2190)</f>
        <v>0</v>
      </c>
      <c r="F651" s="36">
        <f t="shared" si="30"/>
        <v>0</v>
      </c>
      <c r="G651" s="176"/>
      <c r="H651" s="182"/>
      <c r="I651" s="37">
        <f t="shared" si="31"/>
        <v>0</v>
      </c>
      <c r="J651" s="38" t="str">
        <f t="shared" si="32"/>
        <v/>
      </c>
      <c r="K651" s="315"/>
      <c r="L651" s="145"/>
    </row>
    <row r="652" spans="1:12" ht="20.100000000000001" customHeight="1" thickBot="1" x14ac:dyDescent="0.4">
      <c r="A652" s="144" t="str">
        <f>IF(B652=IFERROR(VLOOKUP(B652,entrant!$E$4:$J$188,1,FALSE),"THERE WAS AN ERROR"),"RAPPORT JOURNAL","")</f>
        <v/>
      </c>
      <c r="B652" s="147"/>
      <c r="C652" s="170"/>
      <c r="D652" s="35">
        <f>SUMIF(entrant!$E$4:$E$2059,'Inventaire des produits'!B652,entrant!$G$4:$G$2059)</f>
        <v>0</v>
      </c>
      <c r="E652" s="35">
        <f>SUMIF(vente!$E$4:$E$2190,'Inventaire des produits'!B652,vente!$G$4:$G$2190)</f>
        <v>0</v>
      </c>
      <c r="F652" s="36">
        <f t="shared" si="30"/>
        <v>0</v>
      </c>
      <c r="G652" s="176"/>
      <c r="H652" s="182"/>
      <c r="I652" s="37">
        <f t="shared" si="31"/>
        <v>0</v>
      </c>
      <c r="J652" s="38" t="str">
        <f t="shared" si="32"/>
        <v/>
      </c>
      <c r="K652" s="315"/>
      <c r="L652" s="145"/>
    </row>
    <row r="653" spans="1:12" ht="20.100000000000001" customHeight="1" thickBot="1" x14ac:dyDescent="0.4">
      <c r="A653" s="144" t="str">
        <f>IF(B653=IFERROR(VLOOKUP(B653,entrant!$E$4:$J$188,1,FALSE),"THERE WAS AN ERROR"),"RAPPORT JOURNAL","")</f>
        <v/>
      </c>
      <c r="B653" s="147"/>
      <c r="C653" s="170"/>
      <c r="D653" s="35">
        <f>SUMIF(entrant!$E$4:$E$2059,'Inventaire des produits'!B653,entrant!$G$4:$G$2059)</f>
        <v>0</v>
      </c>
      <c r="E653" s="35">
        <f>SUMIF(vente!$E$4:$E$2190,'Inventaire des produits'!B653,vente!$G$4:$G$2190)</f>
        <v>0</v>
      </c>
      <c r="F653" s="36">
        <f t="shared" si="30"/>
        <v>0</v>
      </c>
      <c r="G653" s="176"/>
      <c r="H653" s="182"/>
      <c r="I653" s="37">
        <f t="shared" si="31"/>
        <v>0</v>
      </c>
      <c r="J653" s="38" t="str">
        <f t="shared" si="32"/>
        <v/>
      </c>
      <c r="K653" s="315"/>
      <c r="L653" s="145"/>
    </row>
    <row r="654" spans="1:12" ht="20.100000000000001" customHeight="1" thickBot="1" x14ac:dyDescent="0.4">
      <c r="A654" s="144" t="str">
        <f>IF(B654=IFERROR(VLOOKUP(B654,entrant!$E$4:$J$188,1,FALSE),"THERE WAS AN ERROR"),"RAPPORT JOURNAL","")</f>
        <v/>
      </c>
      <c r="B654" s="147"/>
      <c r="C654" s="170"/>
      <c r="D654" s="35">
        <f>SUMIF(entrant!$E$4:$E$2059,'Inventaire des produits'!B654,entrant!$G$4:$G$2059)</f>
        <v>0</v>
      </c>
      <c r="E654" s="35">
        <f>SUMIF(vente!$E$4:$E$2190,'Inventaire des produits'!B654,vente!$G$4:$G$2190)</f>
        <v>0</v>
      </c>
      <c r="F654" s="36">
        <f t="shared" si="30"/>
        <v>0</v>
      </c>
      <c r="G654" s="176"/>
      <c r="H654" s="182"/>
      <c r="I654" s="37">
        <f t="shared" si="31"/>
        <v>0</v>
      </c>
      <c r="J654" s="38" t="str">
        <f t="shared" si="32"/>
        <v/>
      </c>
      <c r="K654" s="315"/>
      <c r="L654" s="145"/>
    </row>
    <row r="655" spans="1:12" ht="20.100000000000001" customHeight="1" thickBot="1" x14ac:dyDescent="0.4">
      <c r="A655" s="144" t="str">
        <f>IF(B655=IFERROR(VLOOKUP(B655,entrant!$E$4:$J$188,1,FALSE),"THERE WAS AN ERROR"),"RAPPORT JOURNAL","")</f>
        <v/>
      </c>
      <c r="B655" s="147"/>
      <c r="C655" s="170"/>
      <c r="D655" s="35">
        <f>SUMIF(entrant!$E$4:$E$2059,'Inventaire des produits'!B655,entrant!$G$4:$G$2059)</f>
        <v>0</v>
      </c>
      <c r="E655" s="35">
        <f>SUMIF(vente!$E$4:$E$2190,'Inventaire des produits'!B655,vente!$G$4:$G$2190)</f>
        <v>0</v>
      </c>
      <c r="F655" s="36">
        <f t="shared" si="30"/>
        <v>0</v>
      </c>
      <c r="G655" s="176"/>
      <c r="H655" s="182"/>
      <c r="I655" s="37">
        <f t="shared" si="31"/>
        <v>0</v>
      </c>
      <c r="J655" s="38" t="str">
        <f t="shared" si="32"/>
        <v/>
      </c>
      <c r="K655" s="315"/>
      <c r="L655" s="145"/>
    </row>
    <row r="656" spans="1:12" ht="20.100000000000001" customHeight="1" thickBot="1" x14ac:dyDescent="0.4">
      <c r="A656" s="144" t="str">
        <f>IF(B656=IFERROR(VLOOKUP(B656,entrant!$E$4:$J$188,1,FALSE),"THERE WAS AN ERROR"),"RAPPORT JOURNAL","")</f>
        <v/>
      </c>
      <c r="B656" s="147"/>
      <c r="C656" s="170"/>
      <c r="D656" s="35">
        <f>SUMIF(entrant!$E$4:$E$2059,'Inventaire des produits'!B656,entrant!$G$4:$G$2059)</f>
        <v>0</v>
      </c>
      <c r="E656" s="35">
        <f>SUMIF(vente!$E$4:$E$2190,'Inventaire des produits'!B656,vente!$G$4:$G$2190)</f>
        <v>0</v>
      </c>
      <c r="F656" s="36">
        <f t="shared" si="30"/>
        <v>0</v>
      </c>
      <c r="G656" s="176"/>
      <c r="H656" s="182"/>
      <c r="I656" s="37">
        <f t="shared" si="31"/>
        <v>0</v>
      </c>
      <c r="J656" s="38" t="str">
        <f t="shared" si="32"/>
        <v/>
      </c>
      <c r="K656" s="315"/>
      <c r="L656" s="145"/>
    </row>
    <row r="657" spans="1:12" ht="20.100000000000001" customHeight="1" thickBot="1" x14ac:dyDescent="0.4">
      <c r="A657" s="144" t="str">
        <f>IF(B657=IFERROR(VLOOKUP(B657,entrant!$E$4:$J$188,1,FALSE),"THERE WAS AN ERROR"),"RAPPORT JOURNAL","")</f>
        <v/>
      </c>
      <c r="B657" s="147"/>
      <c r="C657" s="170"/>
      <c r="D657" s="35">
        <f>SUMIF(entrant!$E$4:$E$2059,'Inventaire des produits'!B657,entrant!$G$4:$G$2059)</f>
        <v>0</v>
      </c>
      <c r="E657" s="35">
        <f>SUMIF(vente!$E$4:$E$2190,'Inventaire des produits'!B657,vente!$G$4:$G$2190)</f>
        <v>0</v>
      </c>
      <c r="F657" s="36">
        <f t="shared" si="30"/>
        <v>0</v>
      </c>
      <c r="G657" s="176"/>
      <c r="H657" s="182"/>
      <c r="I657" s="37">
        <f t="shared" si="31"/>
        <v>0</v>
      </c>
      <c r="J657" s="38" t="str">
        <f t="shared" si="32"/>
        <v/>
      </c>
      <c r="K657" s="315"/>
      <c r="L657" s="145"/>
    </row>
    <row r="658" spans="1:12" ht="20.100000000000001" customHeight="1" thickBot="1" x14ac:dyDescent="0.4">
      <c r="A658" s="144" t="str">
        <f>IF(B658=IFERROR(VLOOKUP(B658,entrant!$E$4:$J$188,1,FALSE),"THERE WAS AN ERROR"),"RAPPORT JOURNAL","")</f>
        <v/>
      </c>
      <c r="B658" s="147"/>
      <c r="C658" s="170"/>
      <c r="D658" s="35">
        <f>SUMIF(entrant!$E$4:$E$2059,'Inventaire des produits'!B658,entrant!$G$4:$G$2059)</f>
        <v>0</v>
      </c>
      <c r="E658" s="35">
        <f>SUMIF(vente!$E$4:$E$2190,'Inventaire des produits'!B658,vente!$G$4:$G$2190)</f>
        <v>0</v>
      </c>
      <c r="F658" s="36">
        <f t="shared" si="30"/>
        <v>0</v>
      </c>
      <c r="G658" s="176"/>
      <c r="H658" s="182"/>
      <c r="I658" s="37">
        <f t="shared" si="31"/>
        <v>0</v>
      </c>
      <c r="J658" s="38" t="str">
        <f t="shared" si="32"/>
        <v/>
      </c>
      <c r="K658" s="315"/>
      <c r="L658" s="145"/>
    </row>
    <row r="659" spans="1:12" ht="20.100000000000001" customHeight="1" thickBot="1" x14ac:dyDescent="0.4">
      <c r="A659" s="144" t="str">
        <f>IF(B659=IFERROR(VLOOKUP(B659,entrant!$E$4:$J$188,1,FALSE),"THERE WAS AN ERROR"),"RAPPORT JOURNAL","")</f>
        <v/>
      </c>
      <c r="B659" s="147"/>
      <c r="C659" s="170"/>
      <c r="D659" s="35">
        <f>SUMIF(entrant!$E$4:$E$2059,'Inventaire des produits'!B659,entrant!$G$4:$G$2059)</f>
        <v>0</v>
      </c>
      <c r="E659" s="35">
        <f>SUMIF(vente!$E$4:$E$2190,'Inventaire des produits'!B659,vente!$G$4:$G$2190)</f>
        <v>0</v>
      </c>
      <c r="F659" s="36">
        <f t="shared" si="30"/>
        <v>0</v>
      </c>
      <c r="G659" s="176"/>
      <c r="H659" s="182"/>
      <c r="I659" s="37">
        <f t="shared" si="31"/>
        <v>0</v>
      </c>
      <c r="J659" s="38" t="str">
        <f t="shared" si="32"/>
        <v/>
      </c>
      <c r="K659" s="315"/>
      <c r="L659" s="145"/>
    </row>
    <row r="660" spans="1:12" ht="20.100000000000001" customHeight="1" thickBot="1" x14ac:dyDescent="0.4">
      <c r="A660" s="144" t="str">
        <f>IF(B660=IFERROR(VLOOKUP(B660,entrant!$E$4:$J$188,1,FALSE),"THERE WAS AN ERROR"),"RAPPORT JOURNAL","")</f>
        <v/>
      </c>
      <c r="B660" s="147"/>
      <c r="C660" s="170"/>
      <c r="D660" s="35">
        <f>SUMIF(entrant!$E$4:$E$2059,'Inventaire des produits'!B660,entrant!$G$4:$G$2059)</f>
        <v>0</v>
      </c>
      <c r="E660" s="35">
        <f>SUMIF(vente!$E$4:$E$2190,'Inventaire des produits'!B660,vente!$G$4:$G$2190)</f>
        <v>0</v>
      </c>
      <c r="F660" s="36">
        <f t="shared" si="30"/>
        <v>0</v>
      </c>
      <c r="G660" s="176"/>
      <c r="H660" s="182"/>
      <c r="I660" s="37">
        <f t="shared" si="31"/>
        <v>0</v>
      </c>
      <c r="J660" s="38" t="str">
        <f t="shared" si="32"/>
        <v/>
      </c>
      <c r="K660" s="315"/>
      <c r="L660" s="145"/>
    </row>
    <row r="661" spans="1:12" ht="20.100000000000001" customHeight="1" thickBot="1" x14ac:dyDescent="0.4">
      <c r="A661" s="144" t="str">
        <f>IF(B661=IFERROR(VLOOKUP(B661,entrant!$E$4:$J$188,1,FALSE),"THERE WAS AN ERROR"),"RAPPORT JOURNAL","")</f>
        <v/>
      </c>
      <c r="B661" s="147"/>
      <c r="C661" s="170"/>
      <c r="D661" s="35">
        <f>SUMIF(entrant!$E$4:$E$2059,'Inventaire des produits'!B661,entrant!$G$4:$G$2059)</f>
        <v>0</v>
      </c>
      <c r="E661" s="35">
        <f>SUMIF(vente!$E$4:$E$2190,'Inventaire des produits'!B661,vente!$G$4:$G$2190)</f>
        <v>0</v>
      </c>
      <c r="F661" s="36">
        <f t="shared" si="30"/>
        <v>0</v>
      </c>
      <c r="G661" s="176"/>
      <c r="H661" s="182"/>
      <c r="I661" s="37">
        <f t="shared" si="31"/>
        <v>0</v>
      </c>
      <c r="J661" s="38" t="str">
        <f t="shared" si="32"/>
        <v/>
      </c>
      <c r="K661" s="315"/>
      <c r="L661" s="145"/>
    </row>
    <row r="662" spans="1:12" ht="20.100000000000001" customHeight="1" thickBot="1" x14ac:dyDescent="0.4">
      <c r="A662" s="144" t="str">
        <f>IF(B662=IFERROR(VLOOKUP(B662,entrant!$E$4:$J$188,1,FALSE),"THERE WAS AN ERROR"),"RAPPORT JOURNAL","")</f>
        <v/>
      </c>
      <c r="B662" s="147"/>
      <c r="C662" s="170"/>
      <c r="D662" s="35">
        <f>SUMIF(entrant!$E$4:$E$2059,'Inventaire des produits'!B662,entrant!$G$4:$G$2059)</f>
        <v>0</v>
      </c>
      <c r="E662" s="35">
        <f>SUMIF(vente!$E$4:$E$2190,'Inventaire des produits'!B662,vente!$G$4:$G$2190)</f>
        <v>0</v>
      </c>
      <c r="F662" s="36">
        <f t="shared" si="30"/>
        <v>0</v>
      </c>
      <c r="G662" s="176"/>
      <c r="H662" s="182"/>
      <c r="I662" s="37">
        <f t="shared" si="31"/>
        <v>0</v>
      </c>
      <c r="J662" s="38" t="str">
        <f t="shared" si="32"/>
        <v/>
      </c>
      <c r="K662" s="315"/>
      <c r="L662" s="145"/>
    </row>
    <row r="663" spans="1:12" ht="20.100000000000001" customHeight="1" thickBot="1" x14ac:dyDescent="0.4">
      <c r="A663" s="144" t="str">
        <f>IF(B663=IFERROR(VLOOKUP(B663,entrant!$E$4:$J$188,1,FALSE),"THERE WAS AN ERROR"),"RAPPORT JOURNAL","")</f>
        <v/>
      </c>
      <c r="B663" s="147"/>
      <c r="C663" s="170"/>
      <c r="D663" s="35">
        <f>SUMIF(entrant!$E$4:$E$2059,'Inventaire des produits'!B663,entrant!$G$4:$G$2059)</f>
        <v>0</v>
      </c>
      <c r="E663" s="35">
        <f>SUMIF(vente!$E$4:$E$2190,'Inventaire des produits'!B663,vente!$G$4:$G$2190)</f>
        <v>0</v>
      </c>
      <c r="F663" s="36">
        <f t="shared" si="30"/>
        <v>0</v>
      </c>
      <c r="G663" s="176"/>
      <c r="H663" s="182"/>
      <c r="I663" s="37">
        <f t="shared" si="31"/>
        <v>0</v>
      </c>
      <c r="J663" s="38" t="str">
        <f t="shared" si="32"/>
        <v/>
      </c>
      <c r="K663" s="315"/>
      <c r="L663" s="145"/>
    </row>
    <row r="664" spans="1:12" ht="20.100000000000001" customHeight="1" thickBot="1" x14ac:dyDescent="0.4">
      <c r="A664" s="144" t="str">
        <f>IF(B664=IFERROR(VLOOKUP(B664,entrant!$E$4:$J$188,1,FALSE),"THERE WAS AN ERROR"),"RAPPORT JOURNAL","")</f>
        <v/>
      </c>
      <c r="B664" s="147"/>
      <c r="C664" s="170"/>
      <c r="D664" s="35">
        <f>SUMIF(entrant!$E$4:$E$2059,'Inventaire des produits'!B664,entrant!$G$4:$G$2059)</f>
        <v>0</v>
      </c>
      <c r="E664" s="35">
        <f>SUMIF(vente!$E$4:$E$2190,'Inventaire des produits'!B664,vente!$G$4:$G$2190)</f>
        <v>0</v>
      </c>
      <c r="F664" s="36">
        <f t="shared" si="30"/>
        <v>0</v>
      </c>
      <c r="G664" s="176"/>
      <c r="H664" s="182"/>
      <c r="I664" s="37">
        <f t="shared" si="31"/>
        <v>0</v>
      </c>
      <c r="J664" s="38" t="str">
        <f t="shared" si="32"/>
        <v/>
      </c>
      <c r="K664" s="315"/>
      <c r="L664" s="145"/>
    </row>
    <row r="665" spans="1:12" ht="20.100000000000001" customHeight="1" thickBot="1" x14ac:dyDescent="0.4">
      <c r="A665" s="144" t="str">
        <f>IF(B665=IFERROR(VLOOKUP(B665,entrant!$E$4:$J$188,1,FALSE),"THERE WAS AN ERROR"),"RAPPORT JOURNAL","")</f>
        <v/>
      </c>
      <c r="B665" s="147"/>
      <c r="C665" s="170"/>
      <c r="D665" s="35">
        <f>SUMIF(entrant!$E$4:$E$2059,'Inventaire des produits'!B665,entrant!$G$4:$G$2059)</f>
        <v>0</v>
      </c>
      <c r="E665" s="35">
        <f>SUMIF(vente!$E$4:$E$2190,'Inventaire des produits'!B665,vente!$G$4:$G$2190)</f>
        <v>0</v>
      </c>
      <c r="F665" s="36">
        <f t="shared" si="30"/>
        <v>0</v>
      </c>
      <c r="G665" s="176"/>
      <c r="H665" s="182"/>
      <c r="I665" s="37">
        <f t="shared" si="31"/>
        <v>0</v>
      </c>
      <c r="J665" s="38" t="str">
        <f t="shared" si="32"/>
        <v/>
      </c>
      <c r="K665" s="315"/>
      <c r="L665" s="145"/>
    </row>
    <row r="666" spans="1:12" ht="20.100000000000001" customHeight="1" thickBot="1" x14ac:dyDescent="0.4">
      <c r="A666" s="144" t="str">
        <f>IF(B666=IFERROR(VLOOKUP(B666,entrant!$E$4:$J$188,1,FALSE),"THERE WAS AN ERROR"),"RAPPORT JOURNAL","")</f>
        <v/>
      </c>
      <c r="B666" s="147"/>
      <c r="C666" s="170"/>
      <c r="D666" s="35">
        <f>SUMIF(entrant!$E$4:$E$2059,'Inventaire des produits'!B666,entrant!$G$4:$G$2059)</f>
        <v>0</v>
      </c>
      <c r="E666" s="35">
        <f>SUMIF(vente!$E$4:$E$2190,'Inventaire des produits'!B666,vente!$G$4:$G$2190)</f>
        <v>0</v>
      </c>
      <c r="F666" s="36">
        <f t="shared" si="30"/>
        <v>0</v>
      </c>
      <c r="G666" s="176"/>
      <c r="H666" s="182"/>
      <c r="I666" s="37">
        <f t="shared" si="31"/>
        <v>0</v>
      </c>
      <c r="J666" s="38" t="str">
        <f t="shared" si="32"/>
        <v/>
      </c>
      <c r="K666" s="315"/>
      <c r="L666" s="145"/>
    </row>
    <row r="667" spans="1:12" ht="20.100000000000001" customHeight="1" thickBot="1" x14ac:dyDescent="0.4">
      <c r="A667" s="144" t="str">
        <f>IF(B667=IFERROR(VLOOKUP(B667,entrant!$E$4:$J$188,1,FALSE),"THERE WAS AN ERROR"),"RAPPORT JOURNAL","")</f>
        <v/>
      </c>
      <c r="B667" s="147"/>
      <c r="C667" s="170"/>
      <c r="D667" s="35">
        <f>SUMIF(entrant!$E$4:$E$2059,'Inventaire des produits'!B667,entrant!$G$4:$G$2059)</f>
        <v>0</v>
      </c>
      <c r="E667" s="35">
        <f>SUMIF(vente!$E$4:$E$2190,'Inventaire des produits'!B667,vente!$G$4:$G$2190)</f>
        <v>0</v>
      </c>
      <c r="F667" s="36">
        <f t="shared" si="30"/>
        <v>0</v>
      </c>
      <c r="G667" s="176"/>
      <c r="H667" s="182"/>
      <c r="I667" s="37">
        <f t="shared" si="31"/>
        <v>0</v>
      </c>
      <c r="J667" s="38" t="str">
        <f t="shared" si="32"/>
        <v/>
      </c>
      <c r="K667" s="315"/>
      <c r="L667" s="145"/>
    </row>
    <row r="668" spans="1:12" ht="20.100000000000001" customHeight="1" thickBot="1" x14ac:dyDescent="0.4">
      <c r="A668" s="144" t="str">
        <f>IF(B668=IFERROR(VLOOKUP(B668,entrant!$E$4:$J$188,1,FALSE),"THERE WAS AN ERROR"),"RAPPORT JOURNAL","")</f>
        <v/>
      </c>
      <c r="B668" s="147"/>
      <c r="C668" s="170"/>
      <c r="D668" s="35">
        <f>SUMIF(entrant!$E$4:$E$2059,'Inventaire des produits'!B668,entrant!$G$4:$G$2059)</f>
        <v>0</v>
      </c>
      <c r="E668" s="35">
        <f>SUMIF(vente!$E$4:$E$2190,'Inventaire des produits'!B668,vente!$G$4:$G$2190)</f>
        <v>0</v>
      </c>
      <c r="F668" s="36">
        <f t="shared" si="30"/>
        <v>0</v>
      </c>
      <c r="G668" s="176"/>
      <c r="H668" s="182"/>
      <c r="I668" s="37">
        <f t="shared" si="31"/>
        <v>0</v>
      </c>
      <c r="J668" s="38" t="str">
        <f t="shared" si="32"/>
        <v/>
      </c>
      <c r="K668" s="315"/>
      <c r="L668" s="145"/>
    </row>
    <row r="669" spans="1:12" ht="20.100000000000001" customHeight="1" thickBot="1" x14ac:dyDescent="0.4">
      <c r="A669" s="144" t="str">
        <f>IF(B669=IFERROR(VLOOKUP(B669,entrant!$E$4:$J$188,1,FALSE),"THERE WAS AN ERROR"),"RAPPORT JOURNAL","")</f>
        <v/>
      </c>
      <c r="B669" s="147"/>
      <c r="C669" s="170"/>
      <c r="D669" s="35">
        <f>SUMIF(entrant!$E$4:$E$2059,'Inventaire des produits'!B669,entrant!$G$4:$G$2059)</f>
        <v>0</v>
      </c>
      <c r="E669" s="35">
        <f>SUMIF(vente!$E$4:$E$2190,'Inventaire des produits'!B669,vente!$G$4:$G$2190)</f>
        <v>0</v>
      </c>
      <c r="F669" s="36">
        <f t="shared" si="30"/>
        <v>0</v>
      </c>
      <c r="G669" s="176"/>
      <c r="H669" s="182"/>
      <c r="I669" s="37">
        <f t="shared" si="31"/>
        <v>0</v>
      </c>
      <c r="J669" s="38" t="str">
        <f t="shared" si="32"/>
        <v/>
      </c>
      <c r="K669" s="315"/>
      <c r="L669" s="145"/>
    </row>
    <row r="670" spans="1:12" ht="20.100000000000001" customHeight="1" thickBot="1" x14ac:dyDescent="0.4">
      <c r="A670" s="144" t="str">
        <f>IF(B670=IFERROR(VLOOKUP(B670,entrant!$E$4:$J$188,1,FALSE),"THERE WAS AN ERROR"),"RAPPORT JOURNAL","")</f>
        <v/>
      </c>
      <c r="B670" s="147"/>
      <c r="C670" s="170"/>
      <c r="D670" s="35">
        <f>SUMIF(entrant!$E$4:$E$2059,'Inventaire des produits'!B670,entrant!$G$4:$G$2059)</f>
        <v>0</v>
      </c>
      <c r="E670" s="35">
        <f>SUMIF(vente!$E$4:$E$2190,'Inventaire des produits'!B670,vente!$G$4:$G$2190)</f>
        <v>0</v>
      </c>
      <c r="F670" s="36">
        <f t="shared" si="30"/>
        <v>0</v>
      </c>
      <c r="G670" s="176"/>
      <c r="H670" s="182"/>
      <c r="I670" s="37">
        <f t="shared" si="31"/>
        <v>0</v>
      </c>
      <c r="J670" s="38" t="str">
        <f t="shared" si="32"/>
        <v/>
      </c>
      <c r="K670" s="315"/>
      <c r="L670" s="145"/>
    </row>
    <row r="671" spans="1:12" ht="20.100000000000001" customHeight="1" thickBot="1" x14ac:dyDescent="0.4">
      <c r="A671" s="144" t="str">
        <f>IF(B671=IFERROR(VLOOKUP(B671,entrant!$E$4:$J$188,1,FALSE),"THERE WAS AN ERROR"),"RAPPORT JOURNAL","")</f>
        <v/>
      </c>
      <c r="B671" s="147"/>
      <c r="C671" s="170"/>
      <c r="D671" s="35">
        <f>SUMIF(entrant!$E$4:$E$2059,'Inventaire des produits'!B671,entrant!$G$4:$G$2059)</f>
        <v>0</v>
      </c>
      <c r="E671" s="35">
        <f>SUMIF(vente!$E$4:$E$2190,'Inventaire des produits'!B671,vente!$G$4:$G$2190)</f>
        <v>0</v>
      </c>
      <c r="F671" s="36">
        <f t="shared" si="30"/>
        <v>0</v>
      </c>
      <c r="G671" s="176"/>
      <c r="H671" s="182"/>
      <c r="I671" s="37">
        <f t="shared" si="31"/>
        <v>0</v>
      </c>
      <c r="J671" s="38" t="str">
        <f t="shared" si="32"/>
        <v/>
      </c>
      <c r="K671" s="315"/>
      <c r="L671" s="145"/>
    </row>
    <row r="672" spans="1:12" ht="20.100000000000001" customHeight="1" thickBot="1" x14ac:dyDescent="0.4">
      <c r="A672" s="144" t="str">
        <f>IF(B672=IFERROR(VLOOKUP(B672,entrant!$E$4:$J$188,1,FALSE),"THERE WAS AN ERROR"),"RAPPORT JOURNAL","")</f>
        <v/>
      </c>
      <c r="B672" s="147"/>
      <c r="C672" s="170"/>
      <c r="D672" s="35">
        <f>SUMIF(entrant!$E$4:$E$2059,'Inventaire des produits'!B672,entrant!$G$4:$G$2059)</f>
        <v>0</v>
      </c>
      <c r="E672" s="35">
        <f>SUMIF(vente!$E$4:$E$2190,'Inventaire des produits'!B672,vente!$G$4:$G$2190)</f>
        <v>0</v>
      </c>
      <c r="F672" s="36">
        <f t="shared" si="30"/>
        <v>0</v>
      </c>
      <c r="G672" s="176"/>
      <c r="H672" s="182"/>
      <c r="I672" s="37">
        <f t="shared" si="31"/>
        <v>0</v>
      </c>
      <c r="J672" s="38" t="str">
        <f t="shared" si="32"/>
        <v/>
      </c>
      <c r="K672" s="315"/>
      <c r="L672" s="145"/>
    </row>
    <row r="673" spans="1:12" ht="20.100000000000001" customHeight="1" thickBot="1" x14ac:dyDescent="0.4">
      <c r="A673" s="144" t="str">
        <f>IF(B673=IFERROR(VLOOKUP(B673,entrant!$E$4:$J$188,1,FALSE),"THERE WAS AN ERROR"),"RAPPORT JOURNAL","")</f>
        <v/>
      </c>
      <c r="B673" s="147"/>
      <c r="C673" s="170"/>
      <c r="D673" s="35">
        <f>SUMIF(entrant!$E$4:$E$2059,'Inventaire des produits'!B673,entrant!$G$4:$G$2059)</f>
        <v>0</v>
      </c>
      <c r="E673" s="35">
        <f>SUMIF(vente!$E$4:$E$2190,'Inventaire des produits'!B673,vente!$G$4:$G$2190)</f>
        <v>0</v>
      </c>
      <c r="F673" s="36">
        <f t="shared" si="30"/>
        <v>0</v>
      </c>
      <c r="G673" s="176"/>
      <c r="H673" s="182"/>
      <c r="I673" s="37">
        <f t="shared" si="31"/>
        <v>0</v>
      </c>
      <c r="J673" s="38" t="str">
        <f t="shared" si="32"/>
        <v/>
      </c>
      <c r="K673" s="315"/>
      <c r="L673" s="145"/>
    </row>
    <row r="674" spans="1:12" ht="20.100000000000001" customHeight="1" thickBot="1" x14ac:dyDescent="0.4">
      <c r="A674" s="144" t="str">
        <f>IF(B674=IFERROR(VLOOKUP(B674,entrant!$E$4:$J$188,1,FALSE),"THERE WAS AN ERROR"),"RAPPORT JOURNAL","")</f>
        <v/>
      </c>
      <c r="B674" s="147"/>
      <c r="C674" s="170"/>
      <c r="D674" s="35">
        <f>SUMIF(entrant!$E$4:$E$2059,'Inventaire des produits'!B674,entrant!$G$4:$G$2059)</f>
        <v>0</v>
      </c>
      <c r="E674" s="35">
        <f>SUMIF(vente!$E$4:$E$2190,'Inventaire des produits'!B674,vente!$G$4:$G$2190)</f>
        <v>0</v>
      </c>
      <c r="F674" s="36">
        <f t="shared" si="30"/>
        <v>0</v>
      </c>
      <c r="G674" s="176"/>
      <c r="H674" s="182"/>
      <c r="I674" s="37">
        <f t="shared" si="31"/>
        <v>0</v>
      </c>
      <c r="J674" s="38" t="str">
        <f t="shared" si="32"/>
        <v/>
      </c>
      <c r="K674" s="315"/>
      <c r="L674" s="145"/>
    </row>
    <row r="675" spans="1:12" ht="20.100000000000001" customHeight="1" thickBot="1" x14ac:dyDescent="0.4">
      <c r="A675" s="144" t="str">
        <f>IF(B675=IFERROR(VLOOKUP(B675,entrant!$E$4:$J$188,1,FALSE),"THERE WAS AN ERROR"),"RAPPORT JOURNAL","")</f>
        <v/>
      </c>
      <c r="B675" s="147"/>
      <c r="C675" s="170"/>
      <c r="D675" s="35">
        <f>SUMIF(entrant!$E$4:$E$2059,'Inventaire des produits'!B675,entrant!$G$4:$G$2059)</f>
        <v>0</v>
      </c>
      <c r="E675" s="35">
        <f>SUMIF(vente!$E$4:$E$2190,'Inventaire des produits'!B675,vente!$G$4:$G$2190)</f>
        <v>0</v>
      </c>
      <c r="F675" s="36">
        <f t="shared" si="30"/>
        <v>0</v>
      </c>
      <c r="G675" s="176"/>
      <c r="H675" s="182"/>
      <c r="I675" s="37">
        <f t="shared" si="31"/>
        <v>0</v>
      </c>
      <c r="J675" s="38" t="str">
        <f t="shared" si="32"/>
        <v/>
      </c>
      <c r="K675" s="315"/>
      <c r="L675" s="145"/>
    </row>
    <row r="676" spans="1:12" ht="20.100000000000001" customHeight="1" thickBot="1" x14ac:dyDescent="0.4">
      <c r="A676" s="144" t="str">
        <f>IF(B676=IFERROR(VLOOKUP(B676,entrant!$E$4:$J$188,1,FALSE),"THERE WAS AN ERROR"),"RAPPORT JOURNAL","")</f>
        <v/>
      </c>
      <c r="B676" s="147"/>
      <c r="C676" s="170"/>
      <c r="D676" s="35">
        <f>SUMIF(entrant!$E$4:$E$2059,'Inventaire des produits'!B676,entrant!$G$4:$G$2059)</f>
        <v>0</v>
      </c>
      <c r="E676" s="35">
        <f>SUMIF(vente!$E$4:$E$2190,'Inventaire des produits'!B676,vente!$G$4:$G$2190)</f>
        <v>0</v>
      </c>
      <c r="F676" s="36">
        <f t="shared" si="30"/>
        <v>0</v>
      </c>
      <c r="G676" s="176"/>
      <c r="H676" s="182"/>
      <c r="I676" s="37">
        <f t="shared" si="31"/>
        <v>0</v>
      </c>
      <c r="J676" s="38" t="str">
        <f t="shared" si="32"/>
        <v/>
      </c>
      <c r="K676" s="315"/>
      <c r="L676" s="145"/>
    </row>
    <row r="677" spans="1:12" ht="20.100000000000001" customHeight="1" thickBot="1" x14ac:dyDescent="0.4">
      <c r="A677" s="144" t="str">
        <f>IF(B677=IFERROR(VLOOKUP(B677,entrant!$E$4:$J$188,1,FALSE),"THERE WAS AN ERROR"),"RAPPORT JOURNAL","")</f>
        <v/>
      </c>
      <c r="B677" s="147"/>
      <c r="C677" s="170"/>
      <c r="D677" s="35">
        <f>SUMIF(entrant!$E$4:$E$2059,'Inventaire des produits'!B677,entrant!$G$4:$G$2059)</f>
        <v>0</v>
      </c>
      <c r="E677" s="35">
        <f>SUMIF(vente!$E$4:$E$2190,'Inventaire des produits'!B677,vente!$G$4:$G$2190)</f>
        <v>0</v>
      </c>
      <c r="F677" s="36">
        <f t="shared" si="30"/>
        <v>0</v>
      </c>
      <c r="G677" s="176"/>
      <c r="H677" s="182"/>
      <c r="I677" s="37">
        <f t="shared" si="31"/>
        <v>0</v>
      </c>
      <c r="J677" s="38" t="str">
        <f t="shared" si="32"/>
        <v/>
      </c>
      <c r="K677" s="315"/>
      <c r="L677" s="145"/>
    </row>
    <row r="678" spans="1:12" ht="20.100000000000001" customHeight="1" thickBot="1" x14ac:dyDescent="0.4">
      <c r="A678" s="144" t="str">
        <f>IF(B678=IFERROR(VLOOKUP(B678,entrant!$E$4:$J$188,1,FALSE),"THERE WAS AN ERROR"),"RAPPORT JOURNAL","")</f>
        <v/>
      </c>
      <c r="B678" s="147"/>
      <c r="C678" s="170"/>
      <c r="D678" s="35">
        <f>SUMIF(entrant!$E$4:$E$2059,'Inventaire des produits'!B678,entrant!$G$4:$G$2059)</f>
        <v>0</v>
      </c>
      <c r="E678" s="35">
        <f>SUMIF(vente!$E$4:$E$2190,'Inventaire des produits'!B678,vente!$G$4:$G$2190)</f>
        <v>0</v>
      </c>
      <c r="F678" s="36">
        <f t="shared" si="30"/>
        <v>0</v>
      </c>
      <c r="G678" s="176"/>
      <c r="H678" s="182"/>
      <c r="I678" s="37">
        <f t="shared" si="31"/>
        <v>0</v>
      </c>
      <c r="J678" s="38" t="str">
        <f t="shared" si="32"/>
        <v/>
      </c>
      <c r="K678" s="315"/>
      <c r="L678" s="145"/>
    </row>
    <row r="679" spans="1:12" ht="20.100000000000001" customHeight="1" thickBot="1" x14ac:dyDescent="0.4">
      <c r="A679" s="144" t="str">
        <f>IF(B679=IFERROR(VLOOKUP(B679,entrant!$E$4:$J$188,1,FALSE),"THERE WAS AN ERROR"),"RAPPORT JOURNAL","")</f>
        <v/>
      </c>
      <c r="B679" s="147"/>
      <c r="C679" s="170"/>
      <c r="D679" s="35">
        <f>SUMIF(entrant!$E$4:$E$2059,'Inventaire des produits'!B679,entrant!$G$4:$G$2059)</f>
        <v>0</v>
      </c>
      <c r="E679" s="35">
        <f>SUMIF(vente!$E$4:$E$2190,'Inventaire des produits'!B679,vente!$G$4:$G$2190)</f>
        <v>0</v>
      </c>
      <c r="F679" s="36">
        <f t="shared" si="30"/>
        <v>0</v>
      </c>
      <c r="G679" s="176"/>
      <c r="H679" s="182"/>
      <c r="I679" s="37">
        <f t="shared" si="31"/>
        <v>0</v>
      </c>
      <c r="J679" s="38" t="str">
        <f t="shared" si="32"/>
        <v/>
      </c>
      <c r="K679" s="315"/>
      <c r="L679" s="145"/>
    </row>
    <row r="680" spans="1:12" ht="20.100000000000001" customHeight="1" thickBot="1" x14ac:dyDescent="0.4">
      <c r="A680" s="144" t="str">
        <f>IF(B680=IFERROR(VLOOKUP(B680,entrant!$E$4:$J$188,1,FALSE),"THERE WAS AN ERROR"),"RAPPORT JOURNAL","")</f>
        <v/>
      </c>
      <c r="B680" s="147"/>
      <c r="C680" s="170"/>
      <c r="D680" s="35">
        <f>SUMIF(entrant!$E$4:$E$2059,'Inventaire des produits'!B680,entrant!$G$4:$G$2059)</f>
        <v>0</v>
      </c>
      <c r="E680" s="35">
        <f>SUMIF(vente!$E$4:$E$2190,'Inventaire des produits'!B680,vente!$G$4:$G$2190)</f>
        <v>0</v>
      </c>
      <c r="F680" s="36">
        <f t="shared" si="30"/>
        <v>0</v>
      </c>
      <c r="G680" s="176"/>
      <c r="H680" s="182"/>
      <c r="I680" s="37">
        <f t="shared" si="31"/>
        <v>0</v>
      </c>
      <c r="J680" s="38" t="str">
        <f t="shared" si="32"/>
        <v/>
      </c>
      <c r="K680" s="315"/>
      <c r="L680" s="145"/>
    </row>
    <row r="681" spans="1:12" ht="20.100000000000001" customHeight="1" thickBot="1" x14ac:dyDescent="0.4">
      <c r="A681" s="144" t="str">
        <f>IF(B681=IFERROR(VLOOKUP(B681,entrant!$E$4:$J$188,1,FALSE),"THERE WAS AN ERROR"),"RAPPORT JOURNAL","")</f>
        <v/>
      </c>
      <c r="B681" s="147"/>
      <c r="C681" s="170"/>
      <c r="D681" s="35">
        <f>SUMIF(entrant!$E$4:$E$2059,'Inventaire des produits'!B681,entrant!$G$4:$G$2059)</f>
        <v>0</v>
      </c>
      <c r="E681" s="35">
        <f>SUMIF(vente!$E$4:$E$2190,'Inventaire des produits'!B681,vente!$G$4:$G$2190)</f>
        <v>0</v>
      </c>
      <c r="F681" s="36">
        <f t="shared" si="30"/>
        <v>0</v>
      </c>
      <c r="G681" s="176"/>
      <c r="H681" s="182"/>
      <c r="I681" s="37">
        <f t="shared" si="31"/>
        <v>0</v>
      </c>
      <c r="J681" s="38" t="str">
        <f t="shared" si="32"/>
        <v/>
      </c>
      <c r="K681" s="315"/>
      <c r="L681" s="145"/>
    </row>
    <row r="682" spans="1:12" ht="20.100000000000001" customHeight="1" thickBot="1" x14ac:dyDescent="0.4">
      <c r="A682" s="144" t="str">
        <f>IF(B682=IFERROR(VLOOKUP(B682,entrant!$E$4:$J$188,1,FALSE),"THERE WAS AN ERROR"),"RAPPORT JOURNAL","")</f>
        <v/>
      </c>
      <c r="B682" s="147"/>
      <c r="C682" s="170"/>
      <c r="D682" s="35">
        <f>SUMIF(entrant!$E$4:$E$2059,'Inventaire des produits'!B682,entrant!$G$4:$G$2059)</f>
        <v>0</v>
      </c>
      <c r="E682" s="35">
        <f>SUMIF(vente!$E$4:$E$2190,'Inventaire des produits'!B682,vente!$G$4:$G$2190)</f>
        <v>0</v>
      </c>
      <c r="F682" s="36">
        <f t="shared" si="30"/>
        <v>0</v>
      </c>
      <c r="G682" s="176"/>
      <c r="H682" s="182"/>
      <c r="I682" s="37">
        <f t="shared" si="31"/>
        <v>0</v>
      </c>
      <c r="J682" s="38" t="str">
        <f t="shared" si="32"/>
        <v/>
      </c>
      <c r="K682" s="315"/>
      <c r="L682" s="145"/>
    </row>
    <row r="683" spans="1:12" ht="20.100000000000001" customHeight="1" thickBot="1" x14ac:dyDescent="0.4">
      <c r="A683" s="144" t="str">
        <f>IF(B683=IFERROR(VLOOKUP(B683,entrant!$E$4:$J$188,1,FALSE),"THERE WAS AN ERROR"),"RAPPORT JOURNAL","")</f>
        <v/>
      </c>
      <c r="B683" s="147"/>
      <c r="C683" s="170"/>
      <c r="D683" s="35">
        <f>SUMIF(entrant!$E$4:$E$2059,'Inventaire des produits'!B683,entrant!$G$4:$G$2059)</f>
        <v>0</v>
      </c>
      <c r="E683" s="35">
        <f>SUMIF(vente!$E$4:$E$2190,'Inventaire des produits'!B683,vente!$G$4:$G$2190)</f>
        <v>0</v>
      </c>
      <c r="F683" s="36">
        <f t="shared" si="30"/>
        <v>0</v>
      </c>
      <c r="G683" s="176"/>
      <c r="H683" s="182"/>
      <c r="I683" s="37">
        <f t="shared" si="31"/>
        <v>0</v>
      </c>
      <c r="J683" s="38" t="str">
        <f t="shared" si="32"/>
        <v/>
      </c>
      <c r="K683" s="315"/>
      <c r="L683" s="145"/>
    </row>
    <row r="684" spans="1:12" ht="20.100000000000001" customHeight="1" thickBot="1" x14ac:dyDescent="0.4">
      <c r="A684" s="144" t="str">
        <f>IF(B684=IFERROR(VLOOKUP(B684,entrant!$E$4:$J$188,1,FALSE),"THERE WAS AN ERROR"),"RAPPORT JOURNAL","")</f>
        <v/>
      </c>
      <c r="B684" s="147"/>
      <c r="C684" s="170"/>
      <c r="D684" s="35">
        <f>SUMIF(entrant!$E$4:$E$2059,'Inventaire des produits'!B684,entrant!$G$4:$G$2059)</f>
        <v>0</v>
      </c>
      <c r="E684" s="35">
        <f>SUMIF(vente!$E$4:$E$2190,'Inventaire des produits'!B684,vente!$G$4:$G$2190)</f>
        <v>0</v>
      </c>
      <c r="F684" s="36">
        <f t="shared" si="30"/>
        <v>0</v>
      </c>
      <c r="G684" s="176"/>
      <c r="H684" s="182"/>
      <c r="I684" s="37">
        <f t="shared" si="31"/>
        <v>0</v>
      </c>
      <c r="J684" s="38" t="str">
        <f t="shared" si="32"/>
        <v/>
      </c>
      <c r="K684" s="315"/>
      <c r="L684" s="145"/>
    </row>
    <row r="685" spans="1:12" ht="20.100000000000001" customHeight="1" thickBot="1" x14ac:dyDescent="0.4">
      <c r="A685" s="144" t="str">
        <f>IF(B685=IFERROR(VLOOKUP(B685,entrant!$E$4:$J$188,1,FALSE),"THERE WAS AN ERROR"),"RAPPORT JOURNAL","")</f>
        <v/>
      </c>
      <c r="B685" s="147"/>
      <c r="C685" s="170"/>
      <c r="D685" s="35">
        <f>SUMIF(entrant!$E$4:$E$2059,'Inventaire des produits'!B685,entrant!$G$4:$G$2059)</f>
        <v>0</v>
      </c>
      <c r="E685" s="35">
        <f>SUMIF(vente!$E$4:$E$2190,'Inventaire des produits'!B685,vente!$G$4:$G$2190)</f>
        <v>0</v>
      </c>
      <c r="F685" s="36">
        <f t="shared" si="30"/>
        <v>0</v>
      </c>
      <c r="G685" s="176"/>
      <c r="H685" s="182"/>
      <c r="I685" s="37">
        <f t="shared" si="31"/>
        <v>0</v>
      </c>
      <c r="J685" s="38" t="str">
        <f t="shared" si="32"/>
        <v/>
      </c>
      <c r="K685" s="315"/>
      <c r="L685" s="145"/>
    </row>
    <row r="686" spans="1:12" ht="20.100000000000001" customHeight="1" thickBot="1" x14ac:dyDescent="0.4">
      <c r="A686" s="144" t="str">
        <f>IF(B686=IFERROR(VLOOKUP(B686,entrant!$E$4:$J$188,1,FALSE),"THERE WAS AN ERROR"),"RAPPORT JOURNAL","")</f>
        <v/>
      </c>
      <c r="B686" s="147"/>
      <c r="C686" s="170"/>
      <c r="D686" s="35">
        <f>SUMIF(entrant!$E$4:$E$2059,'Inventaire des produits'!B686,entrant!$G$4:$G$2059)</f>
        <v>0</v>
      </c>
      <c r="E686" s="35">
        <f>SUMIF(vente!$E$4:$E$2190,'Inventaire des produits'!B686,vente!$G$4:$G$2190)</f>
        <v>0</v>
      </c>
      <c r="F686" s="36">
        <f t="shared" si="30"/>
        <v>0</v>
      </c>
      <c r="G686" s="176"/>
      <c r="H686" s="182"/>
      <c r="I686" s="37">
        <f t="shared" si="31"/>
        <v>0</v>
      </c>
      <c r="J686" s="38" t="str">
        <f t="shared" si="32"/>
        <v/>
      </c>
      <c r="K686" s="315"/>
      <c r="L686" s="145"/>
    </row>
    <row r="687" spans="1:12" ht="20.100000000000001" customHeight="1" thickBot="1" x14ac:dyDescent="0.4">
      <c r="A687" s="144" t="str">
        <f>IF(B687=IFERROR(VLOOKUP(B687,entrant!$E$4:$J$188,1,FALSE),"THERE WAS AN ERROR"),"RAPPORT JOURNAL","")</f>
        <v/>
      </c>
      <c r="B687" s="147"/>
      <c r="C687" s="170"/>
      <c r="D687" s="35">
        <f>SUMIF(entrant!$E$4:$E$2059,'Inventaire des produits'!B687,entrant!$G$4:$G$2059)</f>
        <v>0</v>
      </c>
      <c r="E687" s="35">
        <f>SUMIF(vente!$E$4:$E$2190,'Inventaire des produits'!B687,vente!$G$4:$G$2190)</f>
        <v>0</v>
      </c>
      <c r="F687" s="36">
        <f t="shared" si="30"/>
        <v>0</v>
      </c>
      <c r="G687" s="176"/>
      <c r="H687" s="182"/>
      <c r="I687" s="37">
        <f t="shared" si="31"/>
        <v>0</v>
      </c>
      <c r="J687" s="38" t="str">
        <f t="shared" si="32"/>
        <v/>
      </c>
      <c r="K687" s="315"/>
      <c r="L687" s="145"/>
    </row>
    <row r="688" spans="1:12" ht="20.100000000000001" customHeight="1" thickBot="1" x14ac:dyDescent="0.4">
      <c r="A688" s="144" t="str">
        <f>IF(B688=IFERROR(VLOOKUP(B688,entrant!$E$4:$J$188,1,FALSE),"THERE WAS AN ERROR"),"RAPPORT JOURNAL","")</f>
        <v/>
      </c>
      <c r="B688" s="147"/>
      <c r="C688" s="170"/>
      <c r="D688" s="35">
        <f>SUMIF(entrant!$E$4:$E$2059,'Inventaire des produits'!B688,entrant!$G$4:$G$2059)</f>
        <v>0</v>
      </c>
      <c r="E688" s="35">
        <f>SUMIF(vente!$E$4:$E$2190,'Inventaire des produits'!B688,vente!$G$4:$G$2190)</f>
        <v>0</v>
      </c>
      <c r="F688" s="36">
        <f t="shared" si="30"/>
        <v>0</v>
      </c>
      <c r="G688" s="176"/>
      <c r="H688" s="182"/>
      <c r="I688" s="37">
        <f t="shared" si="31"/>
        <v>0</v>
      </c>
      <c r="J688" s="38" t="str">
        <f t="shared" si="32"/>
        <v/>
      </c>
      <c r="K688" s="315"/>
      <c r="L688" s="145"/>
    </row>
    <row r="689" spans="1:12" ht="20.100000000000001" customHeight="1" thickBot="1" x14ac:dyDescent="0.4">
      <c r="A689" s="144" t="str">
        <f>IF(B689=IFERROR(VLOOKUP(B689,entrant!$E$4:$J$188,1,FALSE),"THERE WAS AN ERROR"),"RAPPORT JOURNAL","")</f>
        <v/>
      </c>
      <c r="B689" s="147"/>
      <c r="C689" s="170"/>
      <c r="D689" s="35">
        <f>SUMIF(entrant!$E$4:$E$2059,'Inventaire des produits'!B689,entrant!$G$4:$G$2059)</f>
        <v>0</v>
      </c>
      <c r="E689" s="35">
        <f>SUMIF(vente!$E$4:$E$2190,'Inventaire des produits'!B689,vente!$G$4:$G$2190)</f>
        <v>0</v>
      </c>
      <c r="F689" s="36">
        <f t="shared" si="30"/>
        <v>0</v>
      </c>
      <c r="G689" s="176"/>
      <c r="H689" s="182"/>
      <c r="I689" s="37">
        <f t="shared" si="31"/>
        <v>0</v>
      </c>
      <c r="J689" s="38" t="str">
        <f t="shared" si="32"/>
        <v/>
      </c>
      <c r="K689" s="315"/>
      <c r="L689" s="145"/>
    </row>
    <row r="690" spans="1:12" ht="20.100000000000001" customHeight="1" thickBot="1" x14ac:dyDescent="0.4">
      <c r="A690" s="144" t="str">
        <f>IF(B690=IFERROR(VLOOKUP(B690,entrant!$E$4:$J$188,1,FALSE),"THERE WAS AN ERROR"),"RAPPORT JOURNAL","")</f>
        <v/>
      </c>
      <c r="B690" s="147"/>
      <c r="C690" s="170"/>
      <c r="D690" s="35">
        <f>SUMIF(entrant!$E$4:$E$2059,'Inventaire des produits'!B690,entrant!$G$4:$G$2059)</f>
        <v>0</v>
      </c>
      <c r="E690" s="35">
        <f>SUMIF(vente!$E$4:$E$2190,'Inventaire des produits'!B690,vente!$G$4:$G$2190)</f>
        <v>0</v>
      </c>
      <c r="F690" s="36">
        <f t="shared" si="30"/>
        <v>0</v>
      </c>
      <c r="G690" s="176"/>
      <c r="H690" s="182"/>
      <c r="I690" s="37">
        <f t="shared" si="31"/>
        <v>0</v>
      </c>
      <c r="J690" s="38" t="str">
        <f t="shared" si="32"/>
        <v/>
      </c>
      <c r="K690" s="315"/>
      <c r="L690" s="145"/>
    </row>
    <row r="691" spans="1:12" ht="20.100000000000001" customHeight="1" thickBot="1" x14ac:dyDescent="0.4">
      <c r="A691" s="144" t="str">
        <f>IF(B691=IFERROR(VLOOKUP(B691,entrant!$E$4:$J$188,1,FALSE),"THERE WAS AN ERROR"),"RAPPORT JOURNAL","")</f>
        <v/>
      </c>
      <c r="B691" s="147"/>
      <c r="C691" s="170"/>
      <c r="D691" s="35">
        <f>SUMIF(entrant!$E$4:$E$2059,'Inventaire des produits'!B691,entrant!$G$4:$G$2059)</f>
        <v>0</v>
      </c>
      <c r="E691" s="35">
        <f>SUMIF(vente!$E$4:$E$2190,'Inventaire des produits'!B691,vente!$G$4:$G$2190)</f>
        <v>0</v>
      </c>
      <c r="F691" s="36">
        <f t="shared" si="30"/>
        <v>0</v>
      </c>
      <c r="G691" s="176"/>
      <c r="H691" s="182"/>
      <c r="I691" s="37">
        <f t="shared" si="31"/>
        <v>0</v>
      </c>
      <c r="J691" s="38" t="str">
        <f t="shared" si="32"/>
        <v/>
      </c>
      <c r="K691" s="315"/>
      <c r="L691" s="145"/>
    </row>
    <row r="692" spans="1:12" ht="20.100000000000001" customHeight="1" thickBot="1" x14ac:dyDescent="0.4">
      <c r="A692" s="144" t="str">
        <f>IF(B692=IFERROR(VLOOKUP(B692,entrant!$E$4:$J$188,1,FALSE),"THERE WAS AN ERROR"),"RAPPORT JOURNAL","")</f>
        <v/>
      </c>
      <c r="B692" s="147"/>
      <c r="C692" s="170"/>
      <c r="D692" s="35">
        <f>SUMIF(entrant!$E$4:$E$2059,'Inventaire des produits'!B692,entrant!$G$4:$G$2059)</f>
        <v>0</v>
      </c>
      <c r="E692" s="35">
        <f>SUMIF(vente!$E$4:$E$2190,'Inventaire des produits'!B692,vente!$G$4:$G$2190)</f>
        <v>0</v>
      </c>
      <c r="F692" s="36">
        <f t="shared" si="30"/>
        <v>0</v>
      </c>
      <c r="G692" s="176"/>
      <c r="H692" s="182"/>
      <c r="I692" s="37">
        <f t="shared" si="31"/>
        <v>0</v>
      </c>
      <c r="J692" s="38" t="str">
        <f t="shared" si="32"/>
        <v/>
      </c>
      <c r="K692" s="315"/>
      <c r="L692" s="145"/>
    </row>
    <row r="693" spans="1:12" ht="20.100000000000001" customHeight="1" thickBot="1" x14ac:dyDescent="0.4">
      <c r="A693" s="144" t="str">
        <f>IF(B693=IFERROR(VLOOKUP(B693,entrant!$E$4:$J$188,1,FALSE),"THERE WAS AN ERROR"),"RAPPORT JOURNAL","")</f>
        <v/>
      </c>
      <c r="B693" s="147"/>
      <c r="C693" s="170"/>
      <c r="D693" s="35">
        <f>SUMIF(entrant!$E$4:$E$2059,'Inventaire des produits'!B693,entrant!$G$4:$G$2059)</f>
        <v>0</v>
      </c>
      <c r="E693" s="35">
        <f>SUMIF(vente!$E$4:$E$2190,'Inventaire des produits'!B693,vente!$G$4:$G$2190)</f>
        <v>0</v>
      </c>
      <c r="F693" s="36">
        <f t="shared" si="30"/>
        <v>0</v>
      </c>
      <c r="G693" s="176"/>
      <c r="H693" s="182"/>
      <c r="I693" s="37">
        <f t="shared" si="31"/>
        <v>0</v>
      </c>
      <c r="J693" s="38" t="str">
        <f t="shared" si="32"/>
        <v/>
      </c>
      <c r="K693" s="315"/>
      <c r="L693" s="145"/>
    </row>
    <row r="694" spans="1:12" ht="20.100000000000001" customHeight="1" thickBot="1" x14ac:dyDescent="0.4">
      <c r="A694" s="144" t="str">
        <f>IF(B694=IFERROR(VLOOKUP(B694,entrant!$E$4:$J$188,1,FALSE),"THERE WAS AN ERROR"),"RAPPORT JOURNAL","")</f>
        <v/>
      </c>
      <c r="B694" s="147"/>
      <c r="C694" s="170"/>
      <c r="D694" s="35">
        <f>SUMIF(entrant!$E$4:$E$2059,'Inventaire des produits'!B694,entrant!$G$4:$G$2059)</f>
        <v>0</v>
      </c>
      <c r="E694" s="35">
        <f>SUMIF(vente!$E$4:$E$2190,'Inventaire des produits'!B694,vente!$G$4:$G$2190)</f>
        <v>0</v>
      </c>
      <c r="F694" s="36">
        <f t="shared" si="30"/>
        <v>0</v>
      </c>
      <c r="G694" s="176"/>
      <c r="H694" s="182"/>
      <c r="I694" s="37">
        <f t="shared" si="31"/>
        <v>0</v>
      </c>
      <c r="J694" s="38" t="str">
        <f t="shared" si="32"/>
        <v/>
      </c>
      <c r="K694" s="315"/>
      <c r="L694" s="145"/>
    </row>
    <row r="695" spans="1:12" ht="20.100000000000001" customHeight="1" thickBot="1" x14ac:dyDescent="0.4">
      <c r="A695" s="144" t="str">
        <f>IF(B695=IFERROR(VLOOKUP(B695,entrant!$E$4:$J$188,1,FALSE),"THERE WAS AN ERROR"),"RAPPORT JOURNAL","")</f>
        <v/>
      </c>
      <c r="B695" s="147"/>
      <c r="C695" s="170"/>
      <c r="D695" s="35">
        <f>SUMIF(entrant!$E$4:$E$2059,'Inventaire des produits'!B695,entrant!$G$4:$G$2059)</f>
        <v>0</v>
      </c>
      <c r="E695" s="35">
        <f>SUMIF(vente!$E$4:$E$2190,'Inventaire des produits'!B695,vente!$G$4:$G$2190)</f>
        <v>0</v>
      </c>
      <c r="F695" s="36">
        <f t="shared" si="30"/>
        <v>0</v>
      </c>
      <c r="G695" s="176"/>
      <c r="H695" s="182"/>
      <c r="I695" s="37">
        <f t="shared" si="31"/>
        <v>0</v>
      </c>
      <c r="J695" s="38" t="str">
        <f t="shared" si="32"/>
        <v/>
      </c>
      <c r="K695" s="315"/>
      <c r="L695" s="145"/>
    </row>
    <row r="696" spans="1:12" ht="20.100000000000001" customHeight="1" thickBot="1" x14ac:dyDescent="0.4">
      <c r="A696" s="144" t="str">
        <f>IF(B696=IFERROR(VLOOKUP(B696,entrant!$E$4:$J$188,1,FALSE),"THERE WAS AN ERROR"),"RAPPORT JOURNAL","")</f>
        <v/>
      </c>
      <c r="B696" s="147"/>
      <c r="C696" s="170"/>
      <c r="D696" s="35">
        <f>SUMIF(entrant!$E$4:$E$2059,'Inventaire des produits'!B696,entrant!$G$4:$G$2059)</f>
        <v>0</v>
      </c>
      <c r="E696" s="35">
        <f>SUMIF(vente!$E$4:$E$2190,'Inventaire des produits'!B696,vente!$G$4:$G$2190)</f>
        <v>0</v>
      </c>
      <c r="F696" s="36">
        <f t="shared" si="30"/>
        <v>0</v>
      </c>
      <c r="G696" s="176"/>
      <c r="H696" s="182"/>
      <c r="I696" s="37">
        <f t="shared" si="31"/>
        <v>0</v>
      </c>
      <c r="J696" s="38" t="str">
        <f t="shared" si="32"/>
        <v/>
      </c>
      <c r="K696" s="315"/>
      <c r="L696" s="145"/>
    </row>
    <row r="697" spans="1:12" ht="20.100000000000001" customHeight="1" thickBot="1" x14ac:dyDescent="0.4">
      <c r="A697" s="144" t="str">
        <f>IF(B697=IFERROR(VLOOKUP(B697,entrant!$E$4:$J$188,1,FALSE),"THERE WAS AN ERROR"),"RAPPORT JOURNAL","")</f>
        <v/>
      </c>
      <c r="B697" s="147"/>
      <c r="C697" s="170"/>
      <c r="D697" s="35">
        <f>SUMIF(entrant!$E$4:$E$2059,'Inventaire des produits'!B697,entrant!$G$4:$G$2059)</f>
        <v>0</v>
      </c>
      <c r="E697" s="35">
        <f>SUMIF(vente!$E$4:$E$2190,'Inventaire des produits'!B697,vente!$G$4:$G$2190)</f>
        <v>0</v>
      </c>
      <c r="F697" s="36">
        <f t="shared" si="30"/>
        <v>0</v>
      </c>
      <c r="G697" s="176"/>
      <c r="H697" s="182"/>
      <c r="I697" s="37">
        <f t="shared" si="31"/>
        <v>0</v>
      </c>
      <c r="J697" s="38" t="str">
        <f t="shared" si="32"/>
        <v/>
      </c>
      <c r="K697" s="315"/>
      <c r="L697" s="145"/>
    </row>
    <row r="698" spans="1:12" ht="20.100000000000001" customHeight="1" thickBot="1" x14ac:dyDescent="0.4">
      <c r="A698" s="144" t="str">
        <f>IF(B698=IFERROR(VLOOKUP(B698,entrant!$E$4:$J$188,1,FALSE),"THERE WAS AN ERROR"),"RAPPORT JOURNAL","")</f>
        <v/>
      </c>
      <c r="B698" s="147"/>
      <c r="C698" s="170"/>
      <c r="D698" s="35">
        <f>SUMIF(entrant!$E$4:$E$2059,'Inventaire des produits'!B698,entrant!$G$4:$G$2059)</f>
        <v>0</v>
      </c>
      <c r="E698" s="35">
        <f>SUMIF(vente!$E$4:$E$2190,'Inventaire des produits'!B698,vente!$G$4:$G$2190)</f>
        <v>0</v>
      </c>
      <c r="F698" s="36">
        <f t="shared" si="30"/>
        <v>0</v>
      </c>
      <c r="G698" s="176"/>
      <c r="H698" s="182"/>
      <c r="I698" s="37">
        <f t="shared" si="31"/>
        <v>0</v>
      </c>
      <c r="J698" s="38" t="str">
        <f t="shared" si="32"/>
        <v/>
      </c>
      <c r="K698" s="315"/>
      <c r="L698" s="145"/>
    </row>
    <row r="699" spans="1:12" ht="20.100000000000001" customHeight="1" thickBot="1" x14ac:dyDescent="0.4">
      <c r="A699" s="144" t="str">
        <f>IF(B699=IFERROR(VLOOKUP(B699,entrant!$E$4:$J$188,1,FALSE),"THERE WAS AN ERROR"),"RAPPORT JOURNAL","")</f>
        <v/>
      </c>
      <c r="B699" s="147"/>
      <c r="C699" s="170"/>
      <c r="D699" s="35">
        <f>SUMIF(entrant!$E$4:$E$2059,'Inventaire des produits'!B699,entrant!$G$4:$G$2059)</f>
        <v>0</v>
      </c>
      <c r="E699" s="35">
        <f>SUMIF(vente!$E$4:$E$2190,'Inventaire des produits'!B699,vente!$G$4:$G$2190)</f>
        <v>0</v>
      </c>
      <c r="F699" s="36">
        <f t="shared" si="30"/>
        <v>0</v>
      </c>
      <c r="G699" s="176"/>
      <c r="H699" s="182"/>
      <c r="I699" s="37">
        <f t="shared" si="31"/>
        <v>0</v>
      </c>
      <c r="J699" s="38" t="str">
        <f t="shared" si="32"/>
        <v/>
      </c>
      <c r="K699" s="315"/>
      <c r="L699" s="145"/>
    </row>
    <row r="700" spans="1:12" ht="20.100000000000001" customHeight="1" thickBot="1" x14ac:dyDescent="0.4">
      <c r="A700" s="144" t="str">
        <f>IF(B700=IFERROR(VLOOKUP(B700,entrant!$E$4:$J$188,1,FALSE),"THERE WAS AN ERROR"),"RAPPORT JOURNAL","")</f>
        <v/>
      </c>
      <c r="B700" s="147"/>
      <c r="C700" s="170"/>
      <c r="D700" s="35">
        <f>SUMIF(entrant!$E$4:$E$2059,'Inventaire des produits'!B700,entrant!$G$4:$G$2059)</f>
        <v>0</v>
      </c>
      <c r="E700" s="35">
        <f>SUMIF(vente!$E$4:$E$2190,'Inventaire des produits'!B700,vente!$G$4:$G$2190)</f>
        <v>0</v>
      </c>
      <c r="F700" s="36">
        <f t="shared" si="30"/>
        <v>0</v>
      </c>
      <c r="G700" s="176"/>
      <c r="H700" s="182"/>
      <c r="I700" s="37">
        <f t="shared" si="31"/>
        <v>0</v>
      </c>
      <c r="J700" s="38" t="str">
        <f t="shared" si="32"/>
        <v/>
      </c>
      <c r="K700" s="315"/>
      <c r="L700" s="145"/>
    </row>
    <row r="701" spans="1:12" ht="20.100000000000001" customHeight="1" thickBot="1" x14ac:dyDescent="0.4">
      <c r="A701" s="144" t="str">
        <f>IF(B701=IFERROR(VLOOKUP(B701,entrant!$E$4:$J$188,1,FALSE),"THERE WAS AN ERROR"),"RAPPORT JOURNAL","")</f>
        <v/>
      </c>
      <c r="B701" s="147"/>
      <c r="C701" s="170"/>
      <c r="D701" s="35">
        <f>SUMIF(entrant!$E$4:$E$2059,'Inventaire des produits'!B701,entrant!$G$4:$G$2059)</f>
        <v>0</v>
      </c>
      <c r="E701" s="35">
        <f>SUMIF(vente!$E$4:$E$2190,'Inventaire des produits'!B701,vente!$G$4:$G$2190)</f>
        <v>0</v>
      </c>
      <c r="F701" s="36">
        <f t="shared" si="30"/>
        <v>0</v>
      </c>
      <c r="G701" s="176"/>
      <c r="H701" s="182"/>
      <c r="I701" s="37">
        <f t="shared" si="31"/>
        <v>0</v>
      </c>
      <c r="J701" s="38" t="str">
        <f t="shared" si="32"/>
        <v/>
      </c>
      <c r="K701" s="315"/>
      <c r="L701" s="145"/>
    </row>
    <row r="702" spans="1:12" ht="20.100000000000001" customHeight="1" thickBot="1" x14ac:dyDescent="0.4">
      <c r="A702" s="144" t="str">
        <f>IF(B702=IFERROR(VLOOKUP(B702,entrant!$E$4:$J$188,1,FALSE),"THERE WAS AN ERROR"),"RAPPORT JOURNAL","")</f>
        <v/>
      </c>
      <c r="B702" s="147"/>
      <c r="C702" s="170"/>
      <c r="D702" s="35">
        <f>SUMIF(entrant!$E$4:$E$2059,'Inventaire des produits'!B702,entrant!$G$4:$G$2059)</f>
        <v>0</v>
      </c>
      <c r="E702" s="35">
        <f>SUMIF(vente!$E$4:$E$2190,'Inventaire des produits'!B702,vente!$G$4:$G$2190)</f>
        <v>0</v>
      </c>
      <c r="F702" s="36">
        <f t="shared" si="30"/>
        <v>0</v>
      </c>
      <c r="G702" s="176"/>
      <c r="H702" s="182"/>
      <c r="I702" s="37">
        <f t="shared" si="31"/>
        <v>0</v>
      </c>
      <c r="J702" s="38" t="str">
        <f t="shared" si="32"/>
        <v/>
      </c>
      <c r="K702" s="315"/>
      <c r="L702" s="145"/>
    </row>
    <row r="703" spans="1:12" ht="20.100000000000001" customHeight="1" thickBot="1" x14ac:dyDescent="0.4">
      <c r="A703" s="144" t="str">
        <f>IF(B703=IFERROR(VLOOKUP(B703,entrant!$E$4:$J$188,1,FALSE),"THERE WAS AN ERROR"),"RAPPORT JOURNAL","")</f>
        <v/>
      </c>
      <c r="B703" s="147"/>
      <c r="C703" s="170"/>
      <c r="D703" s="35">
        <f>SUMIF(entrant!$E$4:$E$2059,'Inventaire des produits'!B703,entrant!$G$4:$G$2059)</f>
        <v>0</v>
      </c>
      <c r="E703" s="35">
        <f>SUMIF(vente!$E$4:$E$2190,'Inventaire des produits'!B703,vente!$G$4:$G$2190)</f>
        <v>0</v>
      </c>
      <c r="F703" s="36">
        <f t="shared" si="30"/>
        <v>0</v>
      </c>
      <c r="G703" s="176"/>
      <c r="H703" s="182"/>
      <c r="I703" s="37">
        <f t="shared" si="31"/>
        <v>0</v>
      </c>
      <c r="J703" s="38" t="str">
        <f t="shared" si="32"/>
        <v/>
      </c>
      <c r="K703" s="315"/>
      <c r="L703" s="145"/>
    </row>
    <row r="704" spans="1:12" ht="20.100000000000001" customHeight="1" thickBot="1" x14ac:dyDescent="0.4">
      <c r="A704" s="144" t="str">
        <f>IF(B704=IFERROR(VLOOKUP(B704,entrant!$E$4:$J$188,1,FALSE),"THERE WAS AN ERROR"),"RAPPORT JOURNAL","")</f>
        <v/>
      </c>
      <c r="B704" s="147"/>
      <c r="C704" s="170"/>
      <c r="D704" s="35">
        <f>SUMIF(entrant!$E$4:$E$2059,'Inventaire des produits'!B704,entrant!$G$4:$G$2059)</f>
        <v>0</v>
      </c>
      <c r="E704" s="35">
        <f>SUMIF(vente!$E$4:$E$2190,'Inventaire des produits'!B704,vente!$G$4:$G$2190)</f>
        <v>0</v>
      </c>
      <c r="F704" s="36">
        <f t="shared" si="30"/>
        <v>0</v>
      </c>
      <c r="G704" s="176"/>
      <c r="H704" s="182"/>
      <c r="I704" s="37">
        <f t="shared" si="31"/>
        <v>0</v>
      </c>
      <c r="J704" s="38" t="str">
        <f t="shared" si="32"/>
        <v/>
      </c>
      <c r="K704" s="315"/>
      <c r="L704" s="145"/>
    </row>
    <row r="705" spans="1:12" ht="20.100000000000001" customHeight="1" thickBot="1" x14ac:dyDescent="0.4">
      <c r="A705" s="144" t="str">
        <f>IF(B705=IFERROR(VLOOKUP(B705,entrant!$E$4:$J$188,1,FALSE),"THERE WAS AN ERROR"),"RAPPORT JOURNAL","")</f>
        <v/>
      </c>
      <c r="B705" s="147"/>
      <c r="C705" s="170"/>
      <c r="D705" s="35">
        <f>SUMIF(entrant!$E$4:$E$2059,'Inventaire des produits'!B705,entrant!$G$4:$G$2059)</f>
        <v>0</v>
      </c>
      <c r="E705" s="35">
        <f>SUMIF(vente!$E$4:$E$2190,'Inventaire des produits'!B705,vente!$G$4:$G$2190)</f>
        <v>0</v>
      </c>
      <c r="F705" s="36">
        <f t="shared" si="30"/>
        <v>0</v>
      </c>
      <c r="G705" s="176"/>
      <c r="H705" s="182"/>
      <c r="I705" s="37">
        <f t="shared" si="31"/>
        <v>0</v>
      </c>
      <c r="J705" s="38" t="str">
        <f t="shared" si="32"/>
        <v/>
      </c>
      <c r="K705" s="315"/>
      <c r="L705" s="145"/>
    </row>
    <row r="706" spans="1:12" ht="20.100000000000001" customHeight="1" thickBot="1" x14ac:dyDescent="0.4">
      <c r="A706" s="144" t="str">
        <f>IF(B706=IFERROR(VLOOKUP(B706,entrant!$E$4:$J$188,1,FALSE),"THERE WAS AN ERROR"),"RAPPORT JOURNAL","")</f>
        <v/>
      </c>
      <c r="B706" s="147"/>
      <c r="C706" s="170"/>
      <c r="D706" s="35">
        <f>SUMIF(entrant!$E$4:$E$2059,'Inventaire des produits'!B706,entrant!$G$4:$G$2059)</f>
        <v>0</v>
      </c>
      <c r="E706" s="35">
        <f>SUMIF(vente!$E$4:$E$2190,'Inventaire des produits'!B706,vente!$G$4:$G$2190)</f>
        <v>0</v>
      </c>
      <c r="F706" s="36">
        <f t="shared" si="30"/>
        <v>0</v>
      </c>
      <c r="G706" s="176"/>
      <c r="H706" s="182"/>
      <c r="I706" s="37">
        <f t="shared" si="31"/>
        <v>0</v>
      </c>
      <c r="J706" s="38" t="str">
        <f t="shared" si="32"/>
        <v/>
      </c>
      <c r="K706" s="315"/>
      <c r="L706" s="145"/>
    </row>
    <row r="707" spans="1:12" ht="20.100000000000001" customHeight="1" thickBot="1" x14ac:dyDescent="0.4">
      <c r="A707" s="144" t="str">
        <f>IF(B707=IFERROR(VLOOKUP(B707,entrant!$E$4:$J$188,1,FALSE),"THERE WAS AN ERROR"),"RAPPORT JOURNAL","")</f>
        <v/>
      </c>
      <c r="B707" s="147"/>
      <c r="C707" s="170"/>
      <c r="D707" s="35">
        <f>SUMIF(entrant!$E$4:$E$2059,'Inventaire des produits'!B707,entrant!$G$4:$G$2059)</f>
        <v>0</v>
      </c>
      <c r="E707" s="35">
        <f>SUMIF(vente!$E$4:$E$2190,'Inventaire des produits'!B707,vente!$G$4:$G$2190)</f>
        <v>0</v>
      </c>
      <c r="F707" s="36">
        <f t="shared" ref="F707:F770" si="33">IF(OR(D707="",E707=""),"",D707-E707)</f>
        <v>0</v>
      </c>
      <c r="G707" s="176"/>
      <c r="H707" s="182"/>
      <c r="I707" s="37">
        <f t="shared" si="31"/>
        <v>0</v>
      </c>
      <c r="J707" s="38" t="str">
        <f t="shared" si="32"/>
        <v/>
      </c>
      <c r="K707" s="315"/>
      <c r="L707" s="145"/>
    </row>
    <row r="708" spans="1:12" ht="20.100000000000001" customHeight="1" thickBot="1" x14ac:dyDescent="0.4">
      <c r="A708" s="144" t="str">
        <f>IF(B708=IFERROR(VLOOKUP(B708,entrant!$E$4:$J$188,1,FALSE),"THERE WAS AN ERROR"),"RAPPORT JOURNAL","")</f>
        <v/>
      </c>
      <c r="B708" s="147"/>
      <c r="C708" s="170"/>
      <c r="D708" s="35">
        <f>SUMIF(entrant!$E$4:$E$2059,'Inventaire des produits'!B708,entrant!$G$4:$G$2059)</f>
        <v>0</v>
      </c>
      <c r="E708" s="35">
        <f>SUMIF(vente!$E$4:$E$2190,'Inventaire des produits'!B708,vente!$G$4:$G$2190)</f>
        <v>0</v>
      </c>
      <c r="F708" s="36">
        <f t="shared" si="33"/>
        <v>0</v>
      </c>
      <c r="G708" s="176"/>
      <c r="H708" s="182"/>
      <c r="I708" s="37">
        <f t="shared" ref="I708:I771" si="34">IF(H708="",G708,G708-G708*H708)</f>
        <v>0</v>
      </c>
      <c r="J708" s="38" t="str">
        <f t="shared" ref="J708:J771" si="35">IF(OR(F708="",G708=""),"",F708*I708)</f>
        <v/>
      </c>
      <c r="K708" s="315"/>
      <c r="L708" s="145"/>
    </row>
    <row r="709" spans="1:12" ht="20.100000000000001" customHeight="1" thickBot="1" x14ac:dyDescent="0.4">
      <c r="A709" s="144" t="str">
        <f>IF(B709=IFERROR(VLOOKUP(B709,entrant!$E$4:$J$188,1,FALSE),"THERE WAS AN ERROR"),"RAPPORT JOURNAL","")</f>
        <v/>
      </c>
      <c r="B709" s="147"/>
      <c r="C709" s="170"/>
      <c r="D709" s="35">
        <f>SUMIF(entrant!$E$4:$E$2059,'Inventaire des produits'!B709,entrant!$G$4:$G$2059)</f>
        <v>0</v>
      </c>
      <c r="E709" s="35">
        <f>SUMIF(vente!$E$4:$E$2190,'Inventaire des produits'!B709,vente!$G$4:$G$2190)</f>
        <v>0</v>
      </c>
      <c r="F709" s="36">
        <f t="shared" si="33"/>
        <v>0</v>
      </c>
      <c r="G709" s="176"/>
      <c r="H709" s="182"/>
      <c r="I709" s="37">
        <f t="shared" si="34"/>
        <v>0</v>
      </c>
      <c r="J709" s="38" t="str">
        <f t="shared" si="35"/>
        <v/>
      </c>
      <c r="K709" s="315"/>
      <c r="L709" s="145"/>
    </row>
    <row r="710" spans="1:12" ht="20.100000000000001" customHeight="1" thickBot="1" x14ac:dyDescent="0.4">
      <c r="A710" s="144" t="str">
        <f>IF(B710=IFERROR(VLOOKUP(B710,entrant!$E$4:$J$188,1,FALSE),"THERE WAS AN ERROR"),"RAPPORT JOURNAL","")</f>
        <v/>
      </c>
      <c r="B710" s="147"/>
      <c r="C710" s="170"/>
      <c r="D710" s="35">
        <f>SUMIF(entrant!$E$4:$E$2059,'Inventaire des produits'!B710,entrant!$G$4:$G$2059)</f>
        <v>0</v>
      </c>
      <c r="E710" s="35">
        <f>SUMIF(vente!$E$4:$E$2190,'Inventaire des produits'!B710,vente!$G$4:$G$2190)</f>
        <v>0</v>
      </c>
      <c r="F710" s="36">
        <f t="shared" si="33"/>
        <v>0</v>
      </c>
      <c r="G710" s="176"/>
      <c r="H710" s="182"/>
      <c r="I710" s="37">
        <f t="shared" si="34"/>
        <v>0</v>
      </c>
      <c r="J710" s="38" t="str">
        <f t="shared" si="35"/>
        <v/>
      </c>
      <c r="K710" s="315"/>
      <c r="L710" s="145"/>
    </row>
    <row r="711" spans="1:12" ht="20.100000000000001" customHeight="1" thickBot="1" x14ac:dyDescent="0.4">
      <c r="A711" s="144" t="str">
        <f>IF(B711=IFERROR(VLOOKUP(B711,entrant!$E$4:$J$188,1,FALSE),"THERE WAS AN ERROR"),"RAPPORT JOURNAL","")</f>
        <v/>
      </c>
      <c r="B711" s="147"/>
      <c r="C711" s="170"/>
      <c r="D711" s="35">
        <f>SUMIF(entrant!$E$4:$E$2059,'Inventaire des produits'!B711,entrant!$G$4:$G$2059)</f>
        <v>0</v>
      </c>
      <c r="E711" s="35">
        <f>SUMIF(vente!$E$4:$E$2190,'Inventaire des produits'!B711,vente!$G$4:$G$2190)</f>
        <v>0</v>
      </c>
      <c r="F711" s="36">
        <f t="shared" si="33"/>
        <v>0</v>
      </c>
      <c r="G711" s="176"/>
      <c r="H711" s="182"/>
      <c r="I711" s="37">
        <f t="shared" si="34"/>
        <v>0</v>
      </c>
      <c r="J711" s="38" t="str">
        <f t="shared" si="35"/>
        <v/>
      </c>
      <c r="K711" s="315"/>
      <c r="L711" s="145"/>
    </row>
    <row r="712" spans="1:12" ht="20.100000000000001" customHeight="1" thickBot="1" x14ac:dyDescent="0.4">
      <c r="A712" s="144" t="str">
        <f>IF(B712=IFERROR(VLOOKUP(B712,entrant!$E$4:$J$188,1,FALSE),"THERE WAS AN ERROR"),"RAPPORT JOURNAL","")</f>
        <v/>
      </c>
      <c r="B712" s="147"/>
      <c r="C712" s="170"/>
      <c r="D712" s="35">
        <f>SUMIF(entrant!$E$4:$E$2059,'Inventaire des produits'!B712,entrant!$G$4:$G$2059)</f>
        <v>0</v>
      </c>
      <c r="E712" s="35">
        <f>SUMIF(vente!$E$4:$E$2190,'Inventaire des produits'!B712,vente!$G$4:$G$2190)</f>
        <v>0</v>
      </c>
      <c r="F712" s="36">
        <f t="shared" si="33"/>
        <v>0</v>
      </c>
      <c r="G712" s="176"/>
      <c r="H712" s="182"/>
      <c r="I712" s="37">
        <f t="shared" si="34"/>
        <v>0</v>
      </c>
      <c r="J712" s="38" t="str">
        <f t="shared" si="35"/>
        <v/>
      </c>
      <c r="K712" s="315"/>
      <c r="L712" s="145"/>
    </row>
    <row r="713" spans="1:12" ht="20.100000000000001" customHeight="1" thickBot="1" x14ac:dyDescent="0.4">
      <c r="A713" s="144" t="str">
        <f>IF(B713=IFERROR(VLOOKUP(B713,entrant!$E$4:$J$188,1,FALSE),"THERE WAS AN ERROR"),"RAPPORT JOURNAL","")</f>
        <v/>
      </c>
      <c r="B713" s="147"/>
      <c r="C713" s="170"/>
      <c r="D713" s="35">
        <f>SUMIF(entrant!$E$4:$E$2059,'Inventaire des produits'!B713,entrant!$G$4:$G$2059)</f>
        <v>0</v>
      </c>
      <c r="E713" s="35">
        <f>SUMIF(vente!$E$4:$E$2190,'Inventaire des produits'!B713,vente!$G$4:$G$2190)</f>
        <v>0</v>
      </c>
      <c r="F713" s="36">
        <f t="shared" si="33"/>
        <v>0</v>
      </c>
      <c r="G713" s="176"/>
      <c r="H713" s="182"/>
      <c r="I713" s="37">
        <f t="shared" si="34"/>
        <v>0</v>
      </c>
      <c r="J713" s="38" t="str">
        <f t="shared" si="35"/>
        <v/>
      </c>
      <c r="K713" s="315"/>
      <c r="L713" s="145"/>
    </row>
    <row r="714" spans="1:12" ht="20.100000000000001" customHeight="1" thickBot="1" x14ac:dyDescent="0.4">
      <c r="A714" s="144" t="str">
        <f>IF(B714=IFERROR(VLOOKUP(B714,entrant!$E$4:$J$188,1,FALSE),"THERE WAS AN ERROR"),"RAPPORT JOURNAL","")</f>
        <v/>
      </c>
      <c r="B714" s="147"/>
      <c r="C714" s="170"/>
      <c r="D714" s="35">
        <f>SUMIF(entrant!$E$4:$E$2059,'Inventaire des produits'!B714,entrant!$G$4:$G$2059)</f>
        <v>0</v>
      </c>
      <c r="E714" s="35">
        <f>SUMIF(vente!$E$4:$E$2190,'Inventaire des produits'!B714,vente!$G$4:$G$2190)</f>
        <v>0</v>
      </c>
      <c r="F714" s="36">
        <f t="shared" si="33"/>
        <v>0</v>
      </c>
      <c r="G714" s="176"/>
      <c r="H714" s="182"/>
      <c r="I714" s="37">
        <f t="shared" si="34"/>
        <v>0</v>
      </c>
      <c r="J714" s="38" t="str">
        <f t="shared" si="35"/>
        <v/>
      </c>
      <c r="K714" s="315"/>
      <c r="L714" s="145"/>
    </row>
    <row r="715" spans="1:12" ht="20.100000000000001" customHeight="1" thickBot="1" x14ac:dyDescent="0.4">
      <c r="A715" s="144" t="str">
        <f>IF(B715=IFERROR(VLOOKUP(B715,entrant!$E$4:$J$188,1,FALSE),"THERE WAS AN ERROR"),"RAPPORT JOURNAL","")</f>
        <v/>
      </c>
      <c r="B715" s="147"/>
      <c r="C715" s="170"/>
      <c r="D715" s="35">
        <f>SUMIF(entrant!$E$4:$E$2059,'Inventaire des produits'!B715,entrant!$G$4:$G$2059)</f>
        <v>0</v>
      </c>
      <c r="E715" s="35">
        <f>SUMIF(vente!$E$4:$E$2190,'Inventaire des produits'!B715,vente!$G$4:$G$2190)</f>
        <v>0</v>
      </c>
      <c r="F715" s="36">
        <f t="shared" si="33"/>
        <v>0</v>
      </c>
      <c r="G715" s="176"/>
      <c r="H715" s="182"/>
      <c r="I715" s="37">
        <f t="shared" si="34"/>
        <v>0</v>
      </c>
      <c r="J715" s="38" t="str">
        <f t="shared" si="35"/>
        <v/>
      </c>
      <c r="K715" s="315"/>
      <c r="L715" s="145"/>
    </row>
    <row r="716" spans="1:12" ht="20.100000000000001" customHeight="1" thickBot="1" x14ac:dyDescent="0.4">
      <c r="A716" s="144" t="str">
        <f>IF(B716=IFERROR(VLOOKUP(B716,entrant!$E$4:$J$188,1,FALSE),"THERE WAS AN ERROR"),"RAPPORT JOURNAL","")</f>
        <v/>
      </c>
      <c r="B716" s="147"/>
      <c r="C716" s="170"/>
      <c r="D716" s="35">
        <f>SUMIF(entrant!$E$4:$E$2059,'Inventaire des produits'!B716,entrant!$G$4:$G$2059)</f>
        <v>0</v>
      </c>
      <c r="E716" s="35">
        <f>SUMIF(vente!$E$4:$E$2190,'Inventaire des produits'!B716,vente!$G$4:$G$2190)</f>
        <v>0</v>
      </c>
      <c r="F716" s="36">
        <f t="shared" si="33"/>
        <v>0</v>
      </c>
      <c r="G716" s="176"/>
      <c r="H716" s="182"/>
      <c r="I716" s="37">
        <f t="shared" si="34"/>
        <v>0</v>
      </c>
      <c r="J716" s="38" t="str">
        <f t="shared" si="35"/>
        <v/>
      </c>
      <c r="K716" s="315"/>
      <c r="L716" s="145"/>
    </row>
    <row r="717" spans="1:12" ht="20.100000000000001" customHeight="1" thickBot="1" x14ac:dyDescent="0.4">
      <c r="A717" s="144" t="str">
        <f>IF(B717=IFERROR(VLOOKUP(B717,entrant!$E$4:$J$188,1,FALSE),"THERE WAS AN ERROR"),"RAPPORT JOURNAL","")</f>
        <v/>
      </c>
      <c r="B717" s="147"/>
      <c r="C717" s="170"/>
      <c r="D717" s="35">
        <f>SUMIF(entrant!$E$4:$E$2059,'Inventaire des produits'!B717,entrant!$G$4:$G$2059)</f>
        <v>0</v>
      </c>
      <c r="E717" s="35">
        <f>SUMIF(vente!$E$4:$E$2190,'Inventaire des produits'!B717,vente!$G$4:$G$2190)</f>
        <v>0</v>
      </c>
      <c r="F717" s="36">
        <f t="shared" si="33"/>
        <v>0</v>
      </c>
      <c r="G717" s="176"/>
      <c r="H717" s="182"/>
      <c r="I717" s="37">
        <f t="shared" si="34"/>
        <v>0</v>
      </c>
      <c r="J717" s="38" t="str">
        <f t="shared" si="35"/>
        <v/>
      </c>
      <c r="K717" s="315"/>
      <c r="L717" s="145"/>
    </row>
    <row r="718" spans="1:12" ht="20.100000000000001" customHeight="1" thickBot="1" x14ac:dyDescent="0.4">
      <c r="A718" s="144" t="str">
        <f>IF(B718=IFERROR(VLOOKUP(B718,entrant!$E$4:$J$188,1,FALSE),"THERE WAS AN ERROR"),"RAPPORT JOURNAL","")</f>
        <v/>
      </c>
      <c r="B718" s="147"/>
      <c r="C718" s="170"/>
      <c r="D718" s="35">
        <f>SUMIF(entrant!$E$4:$E$2059,'Inventaire des produits'!B718,entrant!$G$4:$G$2059)</f>
        <v>0</v>
      </c>
      <c r="E718" s="35">
        <f>SUMIF(vente!$E$4:$E$2190,'Inventaire des produits'!B718,vente!$G$4:$G$2190)</f>
        <v>0</v>
      </c>
      <c r="F718" s="36">
        <f t="shared" si="33"/>
        <v>0</v>
      </c>
      <c r="G718" s="176"/>
      <c r="H718" s="182"/>
      <c r="I718" s="37">
        <f t="shared" si="34"/>
        <v>0</v>
      </c>
      <c r="J718" s="38" t="str">
        <f t="shared" si="35"/>
        <v/>
      </c>
      <c r="K718" s="315"/>
      <c r="L718" s="145"/>
    </row>
    <row r="719" spans="1:12" ht="20.100000000000001" customHeight="1" thickBot="1" x14ac:dyDescent="0.4">
      <c r="A719" s="144" t="str">
        <f>IF(B719=IFERROR(VLOOKUP(B719,entrant!$E$4:$J$188,1,FALSE),"THERE WAS AN ERROR"),"RAPPORT JOURNAL","")</f>
        <v/>
      </c>
      <c r="B719" s="147"/>
      <c r="C719" s="170"/>
      <c r="D719" s="35">
        <f>SUMIF(entrant!$E$4:$E$2059,'Inventaire des produits'!B719,entrant!$G$4:$G$2059)</f>
        <v>0</v>
      </c>
      <c r="E719" s="35">
        <f>SUMIF(vente!$E$4:$E$2190,'Inventaire des produits'!B719,vente!$G$4:$G$2190)</f>
        <v>0</v>
      </c>
      <c r="F719" s="36">
        <f t="shared" si="33"/>
        <v>0</v>
      </c>
      <c r="G719" s="176"/>
      <c r="H719" s="182"/>
      <c r="I719" s="37">
        <f t="shared" si="34"/>
        <v>0</v>
      </c>
      <c r="J719" s="38" t="str">
        <f t="shared" si="35"/>
        <v/>
      </c>
      <c r="K719" s="315"/>
      <c r="L719" s="145"/>
    </row>
    <row r="720" spans="1:12" ht="20.100000000000001" customHeight="1" thickBot="1" x14ac:dyDescent="0.4">
      <c r="A720" s="144" t="str">
        <f>IF(B720=IFERROR(VLOOKUP(B720,entrant!$E$4:$J$188,1,FALSE),"THERE WAS AN ERROR"),"RAPPORT JOURNAL","")</f>
        <v/>
      </c>
      <c r="B720" s="147"/>
      <c r="C720" s="170"/>
      <c r="D720" s="35">
        <f>SUMIF(entrant!$E$4:$E$2059,'Inventaire des produits'!B720,entrant!$G$4:$G$2059)</f>
        <v>0</v>
      </c>
      <c r="E720" s="35">
        <f>SUMIF(vente!$E$4:$E$2190,'Inventaire des produits'!B720,vente!$G$4:$G$2190)</f>
        <v>0</v>
      </c>
      <c r="F720" s="36">
        <f t="shared" si="33"/>
        <v>0</v>
      </c>
      <c r="G720" s="176"/>
      <c r="H720" s="182"/>
      <c r="I720" s="37">
        <f t="shared" si="34"/>
        <v>0</v>
      </c>
      <c r="J720" s="38" t="str">
        <f t="shared" si="35"/>
        <v/>
      </c>
      <c r="K720" s="315"/>
      <c r="L720" s="145"/>
    </row>
    <row r="721" spans="1:12" ht="20.100000000000001" customHeight="1" thickBot="1" x14ac:dyDescent="0.4">
      <c r="A721" s="144" t="str">
        <f>IF(B721=IFERROR(VLOOKUP(B721,entrant!$E$4:$J$188,1,FALSE),"THERE WAS AN ERROR"),"RAPPORT JOURNAL","")</f>
        <v/>
      </c>
      <c r="B721" s="147"/>
      <c r="C721" s="170"/>
      <c r="D721" s="35">
        <f>SUMIF(entrant!$E$4:$E$2059,'Inventaire des produits'!B721,entrant!$G$4:$G$2059)</f>
        <v>0</v>
      </c>
      <c r="E721" s="35">
        <f>SUMIF(vente!$E$4:$E$2190,'Inventaire des produits'!B721,vente!$G$4:$G$2190)</f>
        <v>0</v>
      </c>
      <c r="F721" s="36">
        <f t="shared" si="33"/>
        <v>0</v>
      </c>
      <c r="G721" s="176"/>
      <c r="H721" s="182"/>
      <c r="I721" s="37">
        <f t="shared" si="34"/>
        <v>0</v>
      </c>
      <c r="J721" s="38" t="str">
        <f t="shared" si="35"/>
        <v/>
      </c>
      <c r="K721" s="315"/>
      <c r="L721" s="145"/>
    </row>
    <row r="722" spans="1:12" ht="20.100000000000001" customHeight="1" thickBot="1" x14ac:dyDescent="0.4">
      <c r="A722" s="144" t="str">
        <f>IF(B722=IFERROR(VLOOKUP(B722,entrant!$E$4:$J$188,1,FALSE),"THERE WAS AN ERROR"),"RAPPORT JOURNAL","")</f>
        <v/>
      </c>
      <c r="B722" s="147"/>
      <c r="C722" s="170"/>
      <c r="D722" s="35">
        <f>SUMIF(entrant!$E$4:$E$2059,'Inventaire des produits'!B722,entrant!$G$4:$G$2059)</f>
        <v>0</v>
      </c>
      <c r="E722" s="35">
        <f>SUMIF(vente!$E$4:$E$2190,'Inventaire des produits'!B722,vente!$G$4:$G$2190)</f>
        <v>0</v>
      </c>
      <c r="F722" s="36">
        <f t="shared" si="33"/>
        <v>0</v>
      </c>
      <c r="G722" s="176"/>
      <c r="H722" s="182"/>
      <c r="I722" s="37">
        <f t="shared" si="34"/>
        <v>0</v>
      </c>
      <c r="J722" s="38" t="str">
        <f t="shared" si="35"/>
        <v/>
      </c>
      <c r="K722" s="315"/>
      <c r="L722" s="145"/>
    </row>
    <row r="723" spans="1:12" ht="20.100000000000001" customHeight="1" thickBot="1" x14ac:dyDescent="0.4">
      <c r="A723" s="144" t="str">
        <f>IF(B723=IFERROR(VLOOKUP(B723,entrant!$E$4:$J$188,1,FALSE),"THERE WAS AN ERROR"),"RAPPORT JOURNAL","")</f>
        <v/>
      </c>
      <c r="B723" s="147"/>
      <c r="C723" s="170"/>
      <c r="D723" s="35">
        <f>SUMIF(entrant!$E$4:$E$2059,'Inventaire des produits'!B723,entrant!$G$4:$G$2059)</f>
        <v>0</v>
      </c>
      <c r="E723" s="35">
        <f>SUMIF(vente!$E$4:$E$2190,'Inventaire des produits'!B723,vente!$G$4:$G$2190)</f>
        <v>0</v>
      </c>
      <c r="F723" s="36">
        <f t="shared" si="33"/>
        <v>0</v>
      </c>
      <c r="G723" s="176"/>
      <c r="H723" s="182"/>
      <c r="I723" s="37">
        <f t="shared" si="34"/>
        <v>0</v>
      </c>
      <c r="J723" s="38" t="str">
        <f t="shared" si="35"/>
        <v/>
      </c>
      <c r="K723" s="315"/>
      <c r="L723" s="145"/>
    </row>
    <row r="724" spans="1:12" ht="20.100000000000001" customHeight="1" thickBot="1" x14ac:dyDescent="0.4">
      <c r="A724" s="144" t="str">
        <f>IF(B724=IFERROR(VLOOKUP(B724,entrant!$E$4:$J$188,1,FALSE),"THERE WAS AN ERROR"),"RAPPORT JOURNAL","")</f>
        <v/>
      </c>
      <c r="B724" s="147"/>
      <c r="C724" s="170"/>
      <c r="D724" s="35">
        <f>SUMIF(entrant!$E$4:$E$2059,'Inventaire des produits'!B724,entrant!$G$4:$G$2059)</f>
        <v>0</v>
      </c>
      <c r="E724" s="35">
        <f>SUMIF(vente!$E$4:$E$2190,'Inventaire des produits'!B724,vente!$G$4:$G$2190)</f>
        <v>0</v>
      </c>
      <c r="F724" s="36">
        <f t="shared" si="33"/>
        <v>0</v>
      </c>
      <c r="G724" s="176"/>
      <c r="H724" s="182"/>
      <c r="I724" s="37">
        <f t="shared" si="34"/>
        <v>0</v>
      </c>
      <c r="J724" s="38" t="str">
        <f t="shared" si="35"/>
        <v/>
      </c>
      <c r="K724" s="315"/>
      <c r="L724" s="145"/>
    </row>
    <row r="725" spans="1:12" ht="20.100000000000001" customHeight="1" thickBot="1" x14ac:dyDescent="0.4">
      <c r="A725" s="144" t="str">
        <f>IF(B725=IFERROR(VLOOKUP(B725,entrant!$E$4:$J$188,1,FALSE),"THERE WAS AN ERROR"),"RAPPORT JOURNAL","")</f>
        <v/>
      </c>
      <c r="B725" s="147"/>
      <c r="C725" s="170"/>
      <c r="D725" s="35">
        <f>SUMIF(entrant!$E$4:$E$2059,'Inventaire des produits'!B725,entrant!$G$4:$G$2059)</f>
        <v>0</v>
      </c>
      <c r="E725" s="35">
        <f>SUMIF(vente!$E$4:$E$2190,'Inventaire des produits'!B725,vente!$G$4:$G$2190)</f>
        <v>0</v>
      </c>
      <c r="F725" s="36">
        <f t="shared" si="33"/>
        <v>0</v>
      </c>
      <c r="G725" s="176"/>
      <c r="H725" s="182"/>
      <c r="I725" s="37">
        <f t="shared" si="34"/>
        <v>0</v>
      </c>
      <c r="J725" s="38" t="str">
        <f t="shared" si="35"/>
        <v/>
      </c>
      <c r="K725" s="315"/>
      <c r="L725" s="145"/>
    </row>
    <row r="726" spans="1:12" ht="20.100000000000001" customHeight="1" thickBot="1" x14ac:dyDescent="0.4">
      <c r="A726" s="144" t="str">
        <f>IF(B726=IFERROR(VLOOKUP(B726,entrant!$E$4:$J$188,1,FALSE),"THERE WAS AN ERROR"),"RAPPORT JOURNAL","")</f>
        <v/>
      </c>
      <c r="B726" s="147"/>
      <c r="C726" s="170"/>
      <c r="D726" s="35">
        <f>SUMIF(entrant!$E$4:$E$2059,'Inventaire des produits'!B726,entrant!$G$4:$G$2059)</f>
        <v>0</v>
      </c>
      <c r="E726" s="35">
        <f>SUMIF(vente!$E$4:$E$2190,'Inventaire des produits'!B726,vente!$G$4:$G$2190)</f>
        <v>0</v>
      </c>
      <c r="F726" s="36">
        <f t="shared" si="33"/>
        <v>0</v>
      </c>
      <c r="G726" s="176"/>
      <c r="H726" s="182"/>
      <c r="I726" s="37">
        <f t="shared" si="34"/>
        <v>0</v>
      </c>
      <c r="J726" s="38" t="str">
        <f t="shared" si="35"/>
        <v/>
      </c>
      <c r="K726" s="315"/>
      <c r="L726" s="145"/>
    </row>
    <row r="727" spans="1:12" ht="20.100000000000001" customHeight="1" thickBot="1" x14ac:dyDescent="0.4">
      <c r="A727" s="144" t="str">
        <f>IF(B727=IFERROR(VLOOKUP(B727,entrant!$E$4:$J$188,1,FALSE),"THERE WAS AN ERROR"),"RAPPORT JOURNAL","")</f>
        <v/>
      </c>
      <c r="B727" s="147"/>
      <c r="C727" s="170"/>
      <c r="D727" s="35">
        <f>SUMIF(entrant!$E$4:$E$2059,'Inventaire des produits'!B727,entrant!$G$4:$G$2059)</f>
        <v>0</v>
      </c>
      <c r="E727" s="35">
        <f>SUMIF(vente!$E$4:$E$2190,'Inventaire des produits'!B727,vente!$G$4:$G$2190)</f>
        <v>0</v>
      </c>
      <c r="F727" s="36">
        <f t="shared" si="33"/>
        <v>0</v>
      </c>
      <c r="G727" s="176"/>
      <c r="H727" s="182"/>
      <c r="I727" s="37">
        <f t="shared" si="34"/>
        <v>0</v>
      </c>
      <c r="J727" s="38" t="str">
        <f t="shared" si="35"/>
        <v/>
      </c>
      <c r="K727" s="315"/>
      <c r="L727" s="145"/>
    </row>
    <row r="728" spans="1:12" ht="20.100000000000001" customHeight="1" thickBot="1" x14ac:dyDescent="0.4">
      <c r="A728" s="144" t="str">
        <f>IF(B728=IFERROR(VLOOKUP(B728,entrant!$E$4:$J$188,1,FALSE),"THERE WAS AN ERROR"),"RAPPORT JOURNAL","")</f>
        <v/>
      </c>
      <c r="B728" s="147"/>
      <c r="C728" s="170"/>
      <c r="D728" s="35">
        <f>SUMIF(entrant!$E$4:$E$2059,'Inventaire des produits'!B728,entrant!$G$4:$G$2059)</f>
        <v>0</v>
      </c>
      <c r="E728" s="35">
        <f>SUMIF(vente!$E$4:$E$2190,'Inventaire des produits'!B728,vente!$G$4:$G$2190)</f>
        <v>0</v>
      </c>
      <c r="F728" s="36">
        <f t="shared" si="33"/>
        <v>0</v>
      </c>
      <c r="G728" s="176"/>
      <c r="H728" s="182"/>
      <c r="I728" s="37">
        <f t="shared" si="34"/>
        <v>0</v>
      </c>
      <c r="J728" s="38" t="str">
        <f t="shared" si="35"/>
        <v/>
      </c>
      <c r="K728" s="315"/>
      <c r="L728" s="145"/>
    </row>
    <row r="729" spans="1:12" ht="20.100000000000001" customHeight="1" thickBot="1" x14ac:dyDescent="0.4">
      <c r="A729" s="144" t="str">
        <f>IF(B729=IFERROR(VLOOKUP(B729,entrant!$E$4:$J$188,1,FALSE),"THERE WAS AN ERROR"),"RAPPORT JOURNAL","")</f>
        <v/>
      </c>
      <c r="B729" s="147"/>
      <c r="C729" s="170"/>
      <c r="D729" s="35">
        <f>SUMIF(entrant!$E$4:$E$2059,'Inventaire des produits'!B729,entrant!$G$4:$G$2059)</f>
        <v>0</v>
      </c>
      <c r="E729" s="35">
        <f>SUMIF(vente!$E$4:$E$2190,'Inventaire des produits'!B729,vente!$G$4:$G$2190)</f>
        <v>0</v>
      </c>
      <c r="F729" s="36">
        <f t="shared" si="33"/>
        <v>0</v>
      </c>
      <c r="G729" s="176"/>
      <c r="H729" s="182"/>
      <c r="I729" s="37">
        <f t="shared" si="34"/>
        <v>0</v>
      </c>
      <c r="J729" s="38" t="str">
        <f t="shared" si="35"/>
        <v/>
      </c>
      <c r="K729" s="315"/>
      <c r="L729" s="145"/>
    </row>
    <row r="730" spans="1:12" ht="20.100000000000001" customHeight="1" thickBot="1" x14ac:dyDescent="0.4">
      <c r="A730" s="144" t="str">
        <f>IF(B730=IFERROR(VLOOKUP(B730,entrant!$E$4:$J$188,1,FALSE),"THERE WAS AN ERROR"),"RAPPORT JOURNAL","")</f>
        <v/>
      </c>
      <c r="B730" s="147"/>
      <c r="C730" s="170"/>
      <c r="D730" s="35">
        <f>SUMIF(entrant!$E$4:$E$2059,'Inventaire des produits'!B730,entrant!$G$4:$G$2059)</f>
        <v>0</v>
      </c>
      <c r="E730" s="35">
        <f>SUMIF(vente!$E$4:$E$2190,'Inventaire des produits'!B730,vente!$G$4:$G$2190)</f>
        <v>0</v>
      </c>
      <c r="F730" s="36">
        <f t="shared" si="33"/>
        <v>0</v>
      </c>
      <c r="G730" s="176"/>
      <c r="H730" s="182"/>
      <c r="I730" s="37">
        <f t="shared" si="34"/>
        <v>0</v>
      </c>
      <c r="J730" s="38" t="str">
        <f t="shared" si="35"/>
        <v/>
      </c>
      <c r="K730" s="315"/>
      <c r="L730" s="145"/>
    </row>
    <row r="731" spans="1:12" ht="20.100000000000001" customHeight="1" thickBot="1" x14ac:dyDescent="0.4">
      <c r="A731" s="144" t="str">
        <f>IF(B731=IFERROR(VLOOKUP(B731,entrant!$E$4:$J$188,1,FALSE),"THERE WAS AN ERROR"),"RAPPORT JOURNAL","")</f>
        <v/>
      </c>
      <c r="B731" s="147"/>
      <c r="C731" s="170"/>
      <c r="D731" s="35">
        <f>SUMIF(entrant!$E$4:$E$2059,'Inventaire des produits'!B731,entrant!$G$4:$G$2059)</f>
        <v>0</v>
      </c>
      <c r="E731" s="35">
        <f>SUMIF(vente!$E$4:$E$2190,'Inventaire des produits'!B731,vente!$G$4:$G$2190)</f>
        <v>0</v>
      </c>
      <c r="F731" s="36">
        <f t="shared" si="33"/>
        <v>0</v>
      </c>
      <c r="G731" s="176"/>
      <c r="H731" s="182"/>
      <c r="I731" s="37">
        <f t="shared" si="34"/>
        <v>0</v>
      </c>
      <c r="J731" s="38" t="str">
        <f t="shared" si="35"/>
        <v/>
      </c>
      <c r="K731" s="315"/>
      <c r="L731" s="145"/>
    </row>
    <row r="732" spans="1:12" ht="20.100000000000001" customHeight="1" thickBot="1" x14ac:dyDescent="0.4">
      <c r="A732" s="144" t="str">
        <f>IF(B732=IFERROR(VLOOKUP(B732,entrant!$E$4:$J$188,1,FALSE),"THERE WAS AN ERROR"),"RAPPORT JOURNAL","")</f>
        <v/>
      </c>
      <c r="B732" s="147"/>
      <c r="C732" s="170"/>
      <c r="D732" s="35">
        <f>SUMIF(entrant!$E$4:$E$2059,'Inventaire des produits'!B732,entrant!$G$4:$G$2059)</f>
        <v>0</v>
      </c>
      <c r="E732" s="35">
        <f>SUMIF(vente!$E$4:$E$2190,'Inventaire des produits'!B732,vente!$G$4:$G$2190)</f>
        <v>0</v>
      </c>
      <c r="F732" s="36">
        <f t="shared" si="33"/>
        <v>0</v>
      </c>
      <c r="G732" s="176"/>
      <c r="H732" s="182"/>
      <c r="I732" s="37">
        <f t="shared" si="34"/>
        <v>0</v>
      </c>
      <c r="J732" s="38" t="str">
        <f t="shared" si="35"/>
        <v/>
      </c>
      <c r="K732" s="315"/>
      <c r="L732" s="145"/>
    </row>
    <row r="733" spans="1:12" ht="20.100000000000001" customHeight="1" thickBot="1" x14ac:dyDescent="0.4">
      <c r="A733" s="144" t="str">
        <f>IF(B733=IFERROR(VLOOKUP(B733,entrant!$E$4:$J$188,1,FALSE),"THERE WAS AN ERROR"),"RAPPORT JOURNAL","")</f>
        <v/>
      </c>
      <c r="B733" s="147"/>
      <c r="C733" s="170"/>
      <c r="D733" s="35">
        <f>SUMIF(entrant!$E$4:$E$2059,'Inventaire des produits'!B733,entrant!$G$4:$G$2059)</f>
        <v>0</v>
      </c>
      <c r="E733" s="35">
        <f>SUMIF(vente!$E$4:$E$2190,'Inventaire des produits'!B733,vente!$G$4:$G$2190)</f>
        <v>0</v>
      </c>
      <c r="F733" s="36">
        <f t="shared" si="33"/>
        <v>0</v>
      </c>
      <c r="G733" s="176"/>
      <c r="H733" s="182"/>
      <c r="I733" s="37">
        <f t="shared" si="34"/>
        <v>0</v>
      </c>
      <c r="J733" s="38" t="str">
        <f t="shared" si="35"/>
        <v/>
      </c>
      <c r="K733" s="315"/>
      <c r="L733" s="145"/>
    </row>
    <row r="734" spans="1:12" ht="20.100000000000001" customHeight="1" thickBot="1" x14ac:dyDescent="0.4">
      <c r="A734" s="144" t="str">
        <f>IF(B734=IFERROR(VLOOKUP(B734,entrant!$E$4:$J$188,1,FALSE),"THERE WAS AN ERROR"),"RAPPORT JOURNAL","")</f>
        <v/>
      </c>
      <c r="B734" s="147"/>
      <c r="C734" s="170"/>
      <c r="D734" s="35">
        <f>SUMIF(entrant!$E$4:$E$2059,'Inventaire des produits'!B734,entrant!$G$4:$G$2059)</f>
        <v>0</v>
      </c>
      <c r="E734" s="35">
        <f>SUMIF(vente!$E$4:$E$2190,'Inventaire des produits'!B734,vente!$G$4:$G$2190)</f>
        <v>0</v>
      </c>
      <c r="F734" s="36">
        <f t="shared" si="33"/>
        <v>0</v>
      </c>
      <c r="G734" s="176"/>
      <c r="H734" s="182"/>
      <c r="I734" s="37">
        <f t="shared" si="34"/>
        <v>0</v>
      </c>
      <c r="J734" s="38" t="str">
        <f t="shared" si="35"/>
        <v/>
      </c>
      <c r="K734" s="315"/>
      <c r="L734" s="145"/>
    </row>
    <row r="735" spans="1:12" ht="20.100000000000001" customHeight="1" thickBot="1" x14ac:dyDescent="0.4">
      <c r="A735" s="144" t="str">
        <f>IF(B735=IFERROR(VLOOKUP(B735,entrant!$E$4:$J$188,1,FALSE),"THERE WAS AN ERROR"),"RAPPORT JOURNAL","")</f>
        <v/>
      </c>
      <c r="B735" s="147"/>
      <c r="C735" s="170"/>
      <c r="D735" s="35">
        <f>SUMIF(entrant!$E$4:$E$2059,'Inventaire des produits'!B735,entrant!$G$4:$G$2059)</f>
        <v>0</v>
      </c>
      <c r="E735" s="35">
        <f>SUMIF(vente!$E$4:$E$2190,'Inventaire des produits'!B735,vente!$G$4:$G$2190)</f>
        <v>0</v>
      </c>
      <c r="F735" s="36">
        <f t="shared" si="33"/>
        <v>0</v>
      </c>
      <c r="G735" s="176"/>
      <c r="H735" s="182"/>
      <c r="I735" s="37">
        <f t="shared" si="34"/>
        <v>0</v>
      </c>
      <c r="J735" s="38" t="str">
        <f t="shared" si="35"/>
        <v/>
      </c>
      <c r="K735" s="315"/>
      <c r="L735" s="145"/>
    </row>
    <row r="736" spans="1:12" ht="20.100000000000001" customHeight="1" thickBot="1" x14ac:dyDescent="0.4">
      <c r="A736" s="144" t="str">
        <f>IF(B736=IFERROR(VLOOKUP(B736,entrant!$E$4:$J$188,1,FALSE),"THERE WAS AN ERROR"),"RAPPORT JOURNAL","")</f>
        <v/>
      </c>
      <c r="B736" s="147"/>
      <c r="C736" s="170"/>
      <c r="D736" s="35">
        <f>SUMIF(entrant!$E$4:$E$2059,'Inventaire des produits'!B736,entrant!$G$4:$G$2059)</f>
        <v>0</v>
      </c>
      <c r="E736" s="35">
        <f>SUMIF(vente!$E$4:$E$2190,'Inventaire des produits'!B736,vente!$G$4:$G$2190)</f>
        <v>0</v>
      </c>
      <c r="F736" s="36">
        <f t="shared" si="33"/>
        <v>0</v>
      </c>
      <c r="G736" s="176"/>
      <c r="H736" s="182"/>
      <c r="I736" s="37">
        <f t="shared" si="34"/>
        <v>0</v>
      </c>
      <c r="J736" s="38" t="str">
        <f t="shared" si="35"/>
        <v/>
      </c>
      <c r="K736" s="315"/>
      <c r="L736" s="145"/>
    </row>
    <row r="737" spans="1:12" ht="20.100000000000001" customHeight="1" thickBot="1" x14ac:dyDescent="0.4">
      <c r="A737" s="144" t="str">
        <f>IF(B737=IFERROR(VLOOKUP(B737,entrant!$E$4:$J$188,1,FALSE),"THERE WAS AN ERROR"),"RAPPORT JOURNAL","")</f>
        <v/>
      </c>
      <c r="B737" s="147"/>
      <c r="C737" s="170"/>
      <c r="D737" s="35">
        <f>SUMIF(entrant!$E$4:$E$2059,'Inventaire des produits'!B737,entrant!$G$4:$G$2059)</f>
        <v>0</v>
      </c>
      <c r="E737" s="35">
        <f>SUMIF(vente!$E$4:$E$2190,'Inventaire des produits'!B737,vente!$G$4:$G$2190)</f>
        <v>0</v>
      </c>
      <c r="F737" s="36">
        <f t="shared" si="33"/>
        <v>0</v>
      </c>
      <c r="G737" s="176"/>
      <c r="H737" s="182"/>
      <c r="I737" s="37">
        <f t="shared" si="34"/>
        <v>0</v>
      </c>
      <c r="J737" s="38" t="str">
        <f t="shared" si="35"/>
        <v/>
      </c>
      <c r="K737" s="315"/>
      <c r="L737" s="145"/>
    </row>
    <row r="738" spans="1:12" ht="20.100000000000001" customHeight="1" thickBot="1" x14ac:dyDescent="0.4">
      <c r="A738" s="144" t="str">
        <f>IF(B738=IFERROR(VLOOKUP(B738,entrant!$E$4:$J$188,1,FALSE),"THERE WAS AN ERROR"),"RAPPORT JOURNAL","")</f>
        <v/>
      </c>
      <c r="B738" s="147"/>
      <c r="C738" s="170"/>
      <c r="D738" s="35">
        <f>SUMIF(entrant!$E$4:$E$2059,'Inventaire des produits'!B738,entrant!$G$4:$G$2059)</f>
        <v>0</v>
      </c>
      <c r="E738" s="35">
        <f>SUMIF(vente!$E$4:$E$2190,'Inventaire des produits'!B738,vente!$G$4:$G$2190)</f>
        <v>0</v>
      </c>
      <c r="F738" s="36">
        <f t="shared" si="33"/>
        <v>0</v>
      </c>
      <c r="G738" s="176"/>
      <c r="H738" s="182"/>
      <c r="I738" s="37">
        <f t="shared" si="34"/>
        <v>0</v>
      </c>
      <c r="J738" s="38" t="str">
        <f t="shared" si="35"/>
        <v/>
      </c>
      <c r="K738" s="315"/>
      <c r="L738" s="145"/>
    </row>
    <row r="739" spans="1:12" ht="20.100000000000001" customHeight="1" thickBot="1" x14ac:dyDescent="0.4">
      <c r="A739" s="144" t="str">
        <f>IF(B739=IFERROR(VLOOKUP(B739,entrant!$E$4:$J$188,1,FALSE),"THERE WAS AN ERROR"),"RAPPORT JOURNAL","")</f>
        <v/>
      </c>
      <c r="B739" s="147"/>
      <c r="C739" s="170"/>
      <c r="D739" s="35">
        <f>SUMIF(entrant!$E$4:$E$2059,'Inventaire des produits'!B739,entrant!$G$4:$G$2059)</f>
        <v>0</v>
      </c>
      <c r="E739" s="35">
        <f>SUMIF(vente!$E$4:$E$2190,'Inventaire des produits'!B739,vente!$G$4:$G$2190)</f>
        <v>0</v>
      </c>
      <c r="F739" s="36">
        <f t="shared" si="33"/>
        <v>0</v>
      </c>
      <c r="G739" s="176"/>
      <c r="H739" s="182"/>
      <c r="I739" s="37">
        <f t="shared" si="34"/>
        <v>0</v>
      </c>
      <c r="J739" s="38" t="str">
        <f t="shared" si="35"/>
        <v/>
      </c>
      <c r="K739" s="315"/>
      <c r="L739" s="145"/>
    </row>
    <row r="740" spans="1:12" ht="20.100000000000001" customHeight="1" thickBot="1" x14ac:dyDescent="0.4">
      <c r="A740" s="144" t="str">
        <f>IF(B740=IFERROR(VLOOKUP(B740,entrant!$E$4:$J$188,1,FALSE),"THERE WAS AN ERROR"),"RAPPORT JOURNAL","")</f>
        <v/>
      </c>
      <c r="B740" s="147"/>
      <c r="C740" s="170"/>
      <c r="D740" s="35">
        <f>SUMIF(entrant!$E$4:$E$2059,'Inventaire des produits'!B740,entrant!$G$4:$G$2059)</f>
        <v>0</v>
      </c>
      <c r="E740" s="35">
        <f>SUMIF(vente!$E$4:$E$2190,'Inventaire des produits'!B740,vente!$G$4:$G$2190)</f>
        <v>0</v>
      </c>
      <c r="F740" s="36">
        <f t="shared" si="33"/>
        <v>0</v>
      </c>
      <c r="G740" s="176"/>
      <c r="H740" s="182"/>
      <c r="I740" s="37">
        <f t="shared" si="34"/>
        <v>0</v>
      </c>
      <c r="J740" s="38" t="str">
        <f t="shared" si="35"/>
        <v/>
      </c>
      <c r="K740" s="315"/>
      <c r="L740" s="145"/>
    </row>
    <row r="741" spans="1:12" ht="20.100000000000001" customHeight="1" thickBot="1" x14ac:dyDescent="0.4">
      <c r="A741" s="144" t="str">
        <f>IF(B741=IFERROR(VLOOKUP(B741,entrant!$E$4:$J$188,1,FALSE),"THERE WAS AN ERROR"),"RAPPORT JOURNAL","")</f>
        <v/>
      </c>
      <c r="B741" s="147"/>
      <c r="C741" s="170"/>
      <c r="D741" s="35">
        <f>SUMIF(entrant!$E$4:$E$2059,'Inventaire des produits'!B741,entrant!$G$4:$G$2059)</f>
        <v>0</v>
      </c>
      <c r="E741" s="35">
        <f>SUMIF(vente!$E$4:$E$2190,'Inventaire des produits'!B741,vente!$G$4:$G$2190)</f>
        <v>0</v>
      </c>
      <c r="F741" s="36">
        <f t="shared" si="33"/>
        <v>0</v>
      </c>
      <c r="G741" s="176"/>
      <c r="H741" s="182"/>
      <c r="I741" s="37">
        <f t="shared" si="34"/>
        <v>0</v>
      </c>
      <c r="J741" s="38" t="str">
        <f t="shared" si="35"/>
        <v/>
      </c>
      <c r="K741" s="315"/>
      <c r="L741" s="145"/>
    </row>
    <row r="742" spans="1:12" ht="20.100000000000001" customHeight="1" thickBot="1" x14ac:dyDescent="0.4">
      <c r="A742" s="144" t="str">
        <f>IF(B742=IFERROR(VLOOKUP(B742,entrant!$E$4:$J$188,1,FALSE),"THERE WAS AN ERROR"),"RAPPORT JOURNAL","")</f>
        <v/>
      </c>
      <c r="B742" s="147"/>
      <c r="C742" s="170"/>
      <c r="D742" s="35">
        <f>SUMIF(entrant!$E$4:$E$2059,'Inventaire des produits'!B742,entrant!$G$4:$G$2059)</f>
        <v>0</v>
      </c>
      <c r="E742" s="35">
        <f>SUMIF(vente!$E$4:$E$2190,'Inventaire des produits'!B742,vente!$G$4:$G$2190)</f>
        <v>0</v>
      </c>
      <c r="F742" s="36">
        <f t="shared" si="33"/>
        <v>0</v>
      </c>
      <c r="G742" s="176"/>
      <c r="H742" s="182"/>
      <c r="I742" s="37">
        <f t="shared" si="34"/>
        <v>0</v>
      </c>
      <c r="J742" s="38" t="str">
        <f t="shared" si="35"/>
        <v/>
      </c>
      <c r="K742" s="315"/>
      <c r="L742" s="145"/>
    </row>
    <row r="743" spans="1:12" ht="20.100000000000001" customHeight="1" thickBot="1" x14ac:dyDescent="0.4">
      <c r="A743" s="144" t="str">
        <f>IF(B743=IFERROR(VLOOKUP(B743,entrant!$E$4:$J$188,1,FALSE),"THERE WAS AN ERROR"),"RAPPORT JOURNAL","")</f>
        <v/>
      </c>
      <c r="B743" s="147"/>
      <c r="C743" s="170"/>
      <c r="D743" s="35">
        <f>SUMIF(entrant!$E$4:$E$2059,'Inventaire des produits'!B743,entrant!$G$4:$G$2059)</f>
        <v>0</v>
      </c>
      <c r="E743" s="35">
        <f>SUMIF(vente!$E$4:$E$2190,'Inventaire des produits'!B743,vente!$G$4:$G$2190)</f>
        <v>0</v>
      </c>
      <c r="F743" s="36">
        <f t="shared" si="33"/>
        <v>0</v>
      </c>
      <c r="G743" s="176"/>
      <c r="H743" s="182"/>
      <c r="I743" s="37">
        <f t="shared" si="34"/>
        <v>0</v>
      </c>
      <c r="J743" s="38" t="str">
        <f t="shared" si="35"/>
        <v/>
      </c>
      <c r="K743" s="315"/>
      <c r="L743" s="145"/>
    </row>
    <row r="744" spans="1:12" ht="20.100000000000001" customHeight="1" thickBot="1" x14ac:dyDescent="0.4">
      <c r="A744" s="144" t="str">
        <f>IF(B744=IFERROR(VLOOKUP(B744,entrant!$E$4:$J$188,1,FALSE),"THERE WAS AN ERROR"),"RAPPORT JOURNAL","")</f>
        <v/>
      </c>
      <c r="B744" s="147"/>
      <c r="C744" s="170"/>
      <c r="D744" s="35">
        <f>SUMIF(entrant!$E$4:$E$2059,'Inventaire des produits'!B744,entrant!$G$4:$G$2059)</f>
        <v>0</v>
      </c>
      <c r="E744" s="35">
        <f>SUMIF(vente!$E$4:$E$2190,'Inventaire des produits'!B744,vente!$G$4:$G$2190)</f>
        <v>0</v>
      </c>
      <c r="F744" s="36">
        <f t="shared" si="33"/>
        <v>0</v>
      </c>
      <c r="G744" s="176"/>
      <c r="H744" s="182"/>
      <c r="I744" s="37">
        <f t="shared" si="34"/>
        <v>0</v>
      </c>
      <c r="J744" s="38" t="str">
        <f t="shared" si="35"/>
        <v/>
      </c>
      <c r="K744" s="315"/>
      <c r="L744" s="145"/>
    </row>
    <row r="745" spans="1:12" ht="20.100000000000001" customHeight="1" thickBot="1" x14ac:dyDescent="0.4">
      <c r="A745" s="144" t="str">
        <f>IF(B745=IFERROR(VLOOKUP(B745,entrant!$E$4:$J$188,1,FALSE),"THERE WAS AN ERROR"),"RAPPORT JOURNAL","")</f>
        <v/>
      </c>
      <c r="B745" s="147"/>
      <c r="C745" s="170"/>
      <c r="D745" s="35">
        <f>SUMIF(entrant!$E$4:$E$2059,'Inventaire des produits'!B745,entrant!$G$4:$G$2059)</f>
        <v>0</v>
      </c>
      <c r="E745" s="35">
        <f>SUMIF(vente!$E$4:$E$2190,'Inventaire des produits'!B745,vente!$G$4:$G$2190)</f>
        <v>0</v>
      </c>
      <c r="F745" s="36">
        <f t="shared" si="33"/>
        <v>0</v>
      </c>
      <c r="G745" s="176"/>
      <c r="H745" s="182"/>
      <c r="I745" s="37">
        <f t="shared" si="34"/>
        <v>0</v>
      </c>
      <c r="J745" s="38" t="str">
        <f t="shared" si="35"/>
        <v/>
      </c>
      <c r="K745" s="315"/>
      <c r="L745" s="145"/>
    </row>
    <row r="746" spans="1:12" ht="20.100000000000001" customHeight="1" thickBot="1" x14ac:dyDescent="0.4">
      <c r="A746" s="144" t="str">
        <f>IF(B746=IFERROR(VLOOKUP(B746,entrant!$E$4:$J$188,1,FALSE),"THERE WAS AN ERROR"),"RAPPORT JOURNAL","")</f>
        <v/>
      </c>
      <c r="B746" s="147"/>
      <c r="C746" s="170"/>
      <c r="D746" s="35">
        <f>SUMIF(entrant!$E$4:$E$2059,'Inventaire des produits'!B746,entrant!$G$4:$G$2059)</f>
        <v>0</v>
      </c>
      <c r="E746" s="35">
        <f>SUMIF(vente!$E$4:$E$2190,'Inventaire des produits'!B746,vente!$G$4:$G$2190)</f>
        <v>0</v>
      </c>
      <c r="F746" s="36">
        <f t="shared" si="33"/>
        <v>0</v>
      </c>
      <c r="G746" s="176"/>
      <c r="H746" s="182"/>
      <c r="I746" s="37">
        <f t="shared" si="34"/>
        <v>0</v>
      </c>
      <c r="J746" s="38" t="str">
        <f t="shared" si="35"/>
        <v/>
      </c>
      <c r="K746" s="315"/>
      <c r="L746" s="145"/>
    </row>
    <row r="747" spans="1:12" ht="20.100000000000001" customHeight="1" thickBot="1" x14ac:dyDescent="0.4">
      <c r="A747" s="144" t="str">
        <f>IF(B747=IFERROR(VLOOKUP(B747,entrant!$E$4:$J$188,1,FALSE),"THERE WAS AN ERROR"),"RAPPORT JOURNAL","")</f>
        <v/>
      </c>
      <c r="B747" s="147"/>
      <c r="C747" s="170"/>
      <c r="D747" s="35">
        <f>SUMIF(entrant!$E$4:$E$2059,'Inventaire des produits'!B747,entrant!$G$4:$G$2059)</f>
        <v>0</v>
      </c>
      <c r="E747" s="35">
        <f>SUMIF(vente!$E$4:$E$2190,'Inventaire des produits'!B747,vente!$G$4:$G$2190)</f>
        <v>0</v>
      </c>
      <c r="F747" s="36">
        <f t="shared" si="33"/>
        <v>0</v>
      </c>
      <c r="G747" s="176"/>
      <c r="H747" s="182"/>
      <c r="I747" s="37">
        <f t="shared" si="34"/>
        <v>0</v>
      </c>
      <c r="J747" s="38" t="str">
        <f t="shared" si="35"/>
        <v/>
      </c>
      <c r="K747" s="315"/>
      <c r="L747" s="145"/>
    </row>
    <row r="748" spans="1:12" ht="20.100000000000001" customHeight="1" thickBot="1" x14ac:dyDescent="0.4">
      <c r="A748" s="144" t="str">
        <f>IF(B748=IFERROR(VLOOKUP(B748,entrant!$E$4:$J$188,1,FALSE),"THERE WAS AN ERROR"),"RAPPORT JOURNAL","")</f>
        <v/>
      </c>
      <c r="B748" s="147"/>
      <c r="C748" s="170"/>
      <c r="D748" s="35">
        <f>SUMIF(entrant!$E$4:$E$2059,'Inventaire des produits'!B748,entrant!$G$4:$G$2059)</f>
        <v>0</v>
      </c>
      <c r="E748" s="35">
        <f>SUMIF(vente!$E$4:$E$2190,'Inventaire des produits'!B748,vente!$G$4:$G$2190)</f>
        <v>0</v>
      </c>
      <c r="F748" s="36">
        <f t="shared" si="33"/>
        <v>0</v>
      </c>
      <c r="G748" s="176"/>
      <c r="H748" s="182"/>
      <c r="I748" s="37">
        <f t="shared" si="34"/>
        <v>0</v>
      </c>
      <c r="J748" s="38" t="str">
        <f t="shared" si="35"/>
        <v/>
      </c>
      <c r="K748" s="315"/>
      <c r="L748" s="145"/>
    </row>
    <row r="749" spans="1:12" ht="20.100000000000001" customHeight="1" thickBot="1" x14ac:dyDescent="0.4">
      <c r="A749" s="144" t="str">
        <f>IF(B749=IFERROR(VLOOKUP(B749,entrant!$E$4:$J$188,1,FALSE),"THERE WAS AN ERROR"),"RAPPORT JOURNAL","")</f>
        <v/>
      </c>
      <c r="B749" s="147"/>
      <c r="C749" s="170"/>
      <c r="D749" s="35">
        <f>SUMIF(entrant!$E$4:$E$2059,'Inventaire des produits'!B749,entrant!$G$4:$G$2059)</f>
        <v>0</v>
      </c>
      <c r="E749" s="35">
        <f>SUMIF(vente!$E$4:$E$2190,'Inventaire des produits'!B749,vente!$G$4:$G$2190)</f>
        <v>0</v>
      </c>
      <c r="F749" s="36">
        <f t="shared" si="33"/>
        <v>0</v>
      </c>
      <c r="G749" s="176"/>
      <c r="H749" s="182"/>
      <c r="I749" s="37">
        <f t="shared" si="34"/>
        <v>0</v>
      </c>
      <c r="J749" s="38" t="str">
        <f t="shared" si="35"/>
        <v/>
      </c>
      <c r="K749" s="315"/>
      <c r="L749" s="145"/>
    </row>
    <row r="750" spans="1:12" ht="20.100000000000001" customHeight="1" thickBot="1" x14ac:dyDescent="0.4">
      <c r="A750" s="144" t="str">
        <f>IF(B750=IFERROR(VLOOKUP(B750,entrant!$E$4:$J$188,1,FALSE),"THERE WAS AN ERROR"),"RAPPORT JOURNAL","")</f>
        <v/>
      </c>
      <c r="B750" s="147"/>
      <c r="C750" s="170"/>
      <c r="D750" s="35">
        <f>SUMIF(entrant!$E$4:$E$2059,'Inventaire des produits'!B750,entrant!$G$4:$G$2059)</f>
        <v>0</v>
      </c>
      <c r="E750" s="35">
        <f>SUMIF(vente!$E$4:$E$2190,'Inventaire des produits'!B750,vente!$G$4:$G$2190)</f>
        <v>0</v>
      </c>
      <c r="F750" s="36">
        <f t="shared" si="33"/>
        <v>0</v>
      </c>
      <c r="G750" s="176"/>
      <c r="H750" s="182"/>
      <c r="I750" s="37">
        <f t="shared" si="34"/>
        <v>0</v>
      </c>
      <c r="J750" s="38" t="str">
        <f t="shared" si="35"/>
        <v/>
      </c>
      <c r="K750" s="315"/>
      <c r="L750" s="145"/>
    </row>
    <row r="751" spans="1:12" ht="20.100000000000001" customHeight="1" thickBot="1" x14ac:dyDescent="0.4">
      <c r="A751" s="144" t="str">
        <f>IF(B751=IFERROR(VLOOKUP(B751,entrant!$E$4:$J$188,1,FALSE),"THERE WAS AN ERROR"),"RAPPORT JOURNAL","")</f>
        <v/>
      </c>
      <c r="B751" s="147"/>
      <c r="C751" s="170"/>
      <c r="D751" s="35">
        <f>SUMIF(entrant!$E$4:$E$2059,'Inventaire des produits'!B751,entrant!$G$4:$G$2059)</f>
        <v>0</v>
      </c>
      <c r="E751" s="35">
        <f>SUMIF(vente!$E$4:$E$2190,'Inventaire des produits'!B751,vente!$G$4:$G$2190)</f>
        <v>0</v>
      </c>
      <c r="F751" s="36">
        <f t="shared" si="33"/>
        <v>0</v>
      </c>
      <c r="G751" s="176"/>
      <c r="H751" s="182"/>
      <c r="I751" s="37">
        <f t="shared" si="34"/>
        <v>0</v>
      </c>
      <c r="J751" s="38" t="str">
        <f t="shared" si="35"/>
        <v/>
      </c>
      <c r="K751" s="315"/>
      <c r="L751" s="145"/>
    </row>
    <row r="752" spans="1:12" ht="20.100000000000001" customHeight="1" thickBot="1" x14ac:dyDescent="0.4">
      <c r="A752" s="144" t="str">
        <f>IF(B752=IFERROR(VLOOKUP(B752,entrant!$E$4:$J$188,1,FALSE),"THERE WAS AN ERROR"),"RAPPORT JOURNAL","")</f>
        <v/>
      </c>
      <c r="B752" s="147"/>
      <c r="C752" s="170"/>
      <c r="D752" s="35">
        <f>SUMIF(entrant!$E$4:$E$2059,'Inventaire des produits'!B752,entrant!$G$4:$G$2059)</f>
        <v>0</v>
      </c>
      <c r="E752" s="35">
        <f>SUMIF(vente!$E$4:$E$2190,'Inventaire des produits'!B752,vente!$G$4:$G$2190)</f>
        <v>0</v>
      </c>
      <c r="F752" s="36">
        <f t="shared" si="33"/>
        <v>0</v>
      </c>
      <c r="G752" s="176"/>
      <c r="H752" s="182"/>
      <c r="I752" s="37">
        <f t="shared" si="34"/>
        <v>0</v>
      </c>
      <c r="J752" s="38" t="str">
        <f t="shared" si="35"/>
        <v/>
      </c>
      <c r="K752" s="315"/>
      <c r="L752" s="145"/>
    </row>
    <row r="753" spans="1:12" ht="20.100000000000001" customHeight="1" thickBot="1" x14ac:dyDescent="0.4">
      <c r="A753" s="144" t="str">
        <f>IF(B753=IFERROR(VLOOKUP(B753,entrant!$E$4:$J$188,1,FALSE),"THERE WAS AN ERROR"),"RAPPORT JOURNAL","")</f>
        <v/>
      </c>
      <c r="B753" s="147"/>
      <c r="C753" s="170"/>
      <c r="D753" s="35">
        <f>SUMIF(entrant!$E$4:$E$2059,'Inventaire des produits'!B753,entrant!$G$4:$G$2059)</f>
        <v>0</v>
      </c>
      <c r="E753" s="35">
        <f>SUMIF(vente!$E$4:$E$2190,'Inventaire des produits'!B753,vente!$G$4:$G$2190)</f>
        <v>0</v>
      </c>
      <c r="F753" s="36">
        <f t="shared" si="33"/>
        <v>0</v>
      </c>
      <c r="G753" s="176"/>
      <c r="H753" s="182"/>
      <c r="I753" s="37">
        <f t="shared" si="34"/>
        <v>0</v>
      </c>
      <c r="J753" s="38" t="str">
        <f t="shared" si="35"/>
        <v/>
      </c>
      <c r="K753" s="315"/>
      <c r="L753" s="145"/>
    </row>
    <row r="754" spans="1:12" ht="20.100000000000001" customHeight="1" thickBot="1" x14ac:dyDescent="0.4">
      <c r="A754" s="144" t="str">
        <f>IF(B754=IFERROR(VLOOKUP(B754,entrant!$E$4:$J$188,1,FALSE),"THERE WAS AN ERROR"),"RAPPORT JOURNAL","")</f>
        <v/>
      </c>
      <c r="B754" s="147"/>
      <c r="C754" s="170"/>
      <c r="D754" s="35">
        <f>SUMIF(entrant!$E$4:$E$2059,'Inventaire des produits'!B754,entrant!$G$4:$G$2059)</f>
        <v>0</v>
      </c>
      <c r="E754" s="35">
        <f>SUMIF(vente!$E$4:$E$2190,'Inventaire des produits'!B754,vente!$G$4:$G$2190)</f>
        <v>0</v>
      </c>
      <c r="F754" s="36">
        <f t="shared" si="33"/>
        <v>0</v>
      </c>
      <c r="G754" s="176"/>
      <c r="H754" s="182"/>
      <c r="I754" s="37">
        <f t="shared" si="34"/>
        <v>0</v>
      </c>
      <c r="J754" s="38" t="str">
        <f t="shared" si="35"/>
        <v/>
      </c>
      <c r="K754" s="315"/>
      <c r="L754" s="145"/>
    </row>
    <row r="755" spans="1:12" ht="20.100000000000001" customHeight="1" thickBot="1" x14ac:dyDescent="0.4">
      <c r="A755" s="144" t="str">
        <f>IF(B755=IFERROR(VLOOKUP(B755,entrant!$E$4:$J$188,1,FALSE),"THERE WAS AN ERROR"),"RAPPORT JOURNAL","")</f>
        <v/>
      </c>
      <c r="B755" s="147"/>
      <c r="C755" s="170"/>
      <c r="D755" s="35">
        <f>SUMIF(entrant!$E$4:$E$2059,'Inventaire des produits'!B755,entrant!$G$4:$G$2059)</f>
        <v>0</v>
      </c>
      <c r="E755" s="35">
        <f>SUMIF(vente!$E$4:$E$2190,'Inventaire des produits'!B755,vente!$G$4:$G$2190)</f>
        <v>0</v>
      </c>
      <c r="F755" s="36">
        <f t="shared" si="33"/>
        <v>0</v>
      </c>
      <c r="G755" s="176"/>
      <c r="H755" s="182"/>
      <c r="I755" s="37">
        <f t="shared" si="34"/>
        <v>0</v>
      </c>
      <c r="J755" s="38" t="str">
        <f t="shared" si="35"/>
        <v/>
      </c>
      <c r="K755" s="315"/>
      <c r="L755" s="145"/>
    </row>
    <row r="756" spans="1:12" ht="20.100000000000001" customHeight="1" thickBot="1" x14ac:dyDescent="0.4">
      <c r="A756" s="144" t="str">
        <f>IF(B756=IFERROR(VLOOKUP(B756,entrant!$E$4:$J$188,1,FALSE),"THERE WAS AN ERROR"),"RAPPORT JOURNAL","")</f>
        <v/>
      </c>
      <c r="B756" s="147"/>
      <c r="C756" s="170"/>
      <c r="D756" s="35">
        <f>SUMIF(entrant!$E$4:$E$2059,'Inventaire des produits'!B756,entrant!$G$4:$G$2059)</f>
        <v>0</v>
      </c>
      <c r="E756" s="35">
        <f>SUMIF(vente!$E$4:$E$2190,'Inventaire des produits'!B756,vente!$G$4:$G$2190)</f>
        <v>0</v>
      </c>
      <c r="F756" s="36">
        <f t="shared" si="33"/>
        <v>0</v>
      </c>
      <c r="G756" s="176"/>
      <c r="H756" s="182"/>
      <c r="I756" s="37">
        <f t="shared" si="34"/>
        <v>0</v>
      </c>
      <c r="J756" s="38" t="str">
        <f t="shared" si="35"/>
        <v/>
      </c>
      <c r="K756" s="315"/>
      <c r="L756" s="145"/>
    </row>
    <row r="757" spans="1:12" ht="20.100000000000001" customHeight="1" thickBot="1" x14ac:dyDescent="0.4">
      <c r="A757" s="144" t="str">
        <f>IF(B757=IFERROR(VLOOKUP(B757,entrant!$E$4:$J$188,1,FALSE),"THERE WAS AN ERROR"),"RAPPORT JOURNAL","")</f>
        <v/>
      </c>
      <c r="B757" s="147"/>
      <c r="C757" s="170"/>
      <c r="D757" s="35">
        <f>SUMIF(entrant!$E$4:$E$2059,'Inventaire des produits'!B757,entrant!$G$4:$G$2059)</f>
        <v>0</v>
      </c>
      <c r="E757" s="35">
        <f>SUMIF(vente!$E$4:$E$2190,'Inventaire des produits'!B757,vente!$G$4:$G$2190)</f>
        <v>0</v>
      </c>
      <c r="F757" s="36">
        <f t="shared" si="33"/>
        <v>0</v>
      </c>
      <c r="G757" s="176"/>
      <c r="H757" s="182"/>
      <c r="I757" s="37">
        <f t="shared" si="34"/>
        <v>0</v>
      </c>
      <c r="J757" s="38" t="str">
        <f t="shared" si="35"/>
        <v/>
      </c>
      <c r="K757" s="315"/>
      <c r="L757" s="145"/>
    </row>
    <row r="758" spans="1:12" ht="20.100000000000001" customHeight="1" thickBot="1" x14ac:dyDescent="0.4">
      <c r="A758" s="144" t="str">
        <f>IF(B758=IFERROR(VLOOKUP(B758,entrant!$E$4:$J$188,1,FALSE),"THERE WAS AN ERROR"),"RAPPORT JOURNAL","")</f>
        <v/>
      </c>
      <c r="B758" s="147"/>
      <c r="C758" s="170"/>
      <c r="D758" s="35">
        <f>SUMIF(entrant!$E$4:$E$2059,'Inventaire des produits'!B758,entrant!$G$4:$G$2059)</f>
        <v>0</v>
      </c>
      <c r="E758" s="35">
        <f>SUMIF(vente!$E$4:$E$2190,'Inventaire des produits'!B758,vente!$G$4:$G$2190)</f>
        <v>0</v>
      </c>
      <c r="F758" s="36">
        <f t="shared" si="33"/>
        <v>0</v>
      </c>
      <c r="G758" s="176"/>
      <c r="H758" s="182"/>
      <c r="I758" s="37">
        <f t="shared" si="34"/>
        <v>0</v>
      </c>
      <c r="J758" s="38" t="str">
        <f t="shared" si="35"/>
        <v/>
      </c>
      <c r="K758" s="315"/>
      <c r="L758" s="145"/>
    </row>
    <row r="759" spans="1:12" ht="20.100000000000001" customHeight="1" thickBot="1" x14ac:dyDescent="0.4">
      <c r="A759" s="144" t="str">
        <f>IF(B759=IFERROR(VLOOKUP(B759,entrant!$E$4:$J$188,1,FALSE),"THERE WAS AN ERROR"),"RAPPORT JOURNAL","")</f>
        <v/>
      </c>
      <c r="B759" s="147"/>
      <c r="C759" s="170"/>
      <c r="D759" s="35">
        <f>SUMIF(entrant!$E$4:$E$2059,'Inventaire des produits'!B759,entrant!$G$4:$G$2059)</f>
        <v>0</v>
      </c>
      <c r="E759" s="35">
        <f>SUMIF(vente!$E$4:$E$2190,'Inventaire des produits'!B759,vente!$G$4:$G$2190)</f>
        <v>0</v>
      </c>
      <c r="F759" s="36">
        <f t="shared" si="33"/>
        <v>0</v>
      </c>
      <c r="G759" s="176"/>
      <c r="H759" s="182"/>
      <c r="I759" s="37">
        <f t="shared" si="34"/>
        <v>0</v>
      </c>
      <c r="J759" s="38" t="str">
        <f t="shared" si="35"/>
        <v/>
      </c>
      <c r="K759" s="315"/>
      <c r="L759" s="145"/>
    </row>
    <row r="760" spans="1:12" ht="20.100000000000001" customHeight="1" thickBot="1" x14ac:dyDescent="0.4">
      <c r="A760" s="144" t="str">
        <f>IF(B760=IFERROR(VLOOKUP(B760,entrant!$E$4:$J$188,1,FALSE),"THERE WAS AN ERROR"),"RAPPORT JOURNAL","")</f>
        <v/>
      </c>
      <c r="B760" s="147"/>
      <c r="C760" s="170"/>
      <c r="D760" s="35">
        <f>SUMIF(entrant!$E$4:$E$2059,'Inventaire des produits'!B760,entrant!$G$4:$G$2059)</f>
        <v>0</v>
      </c>
      <c r="E760" s="35">
        <f>SUMIF(vente!$E$4:$E$2190,'Inventaire des produits'!B760,vente!$G$4:$G$2190)</f>
        <v>0</v>
      </c>
      <c r="F760" s="36">
        <f t="shared" si="33"/>
        <v>0</v>
      </c>
      <c r="G760" s="176"/>
      <c r="H760" s="182"/>
      <c r="I760" s="37">
        <f t="shared" si="34"/>
        <v>0</v>
      </c>
      <c r="J760" s="38" t="str">
        <f t="shared" si="35"/>
        <v/>
      </c>
      <c r="K760" s="315"/>
      <c r="L760" s="145"/>
    </row>
    <row r="761" spans="1:12" ht="20.100000000000001" customHeight="1" thickBot="1" x14ac:dyDescent="0.4">
      <c r="A761" s="144" t="str">
        <f>IF(B761=IFERROR(VLOOKUP(B761,entrant!$E$4:$J$188,1,FALSE),"THERE WAS AN ERROR"),"RAPPORT JOURNAL","")</f>
        <v/>
      </c>
      <c r="B761" s="147"/>
      <c r="C761" s="170"/>
      <c r="D761" s="35">
        <f>SUMIF(entrant!$E$4:$E$2059,'Inventaire des produits'!B761,entrant!$G$4:$G$2059)</f>
        <v>0</v>
      </c>
      <c r="E761" s="35">
        <f>SUMIF(vente!$E$4:$E$2190,'Inventaire des produits'!B761,vente!$G$4:$G$2190)</f>
        <v>0</v>
      </c>
      <c r="F761" s="36">
        <f t="shared" si="33"/>
        <v>0</v>
      </c>
      <c r="G761" s="176"/>
      <c r="H761" s="182"/>
      <c r="I761" s="37">
        <f t="shared" si="34"/>
        <v>0</v>
      </c>
      <c r="J761" s="38" t="str">
        <f t="shared" si="35"/>
        <v/>
      </c>
      <c r="K761" s="315"/>
      <c r="L761" s="145"/>
    </row>
    <row r="762" spans="1:12" ht="20.100000000000001" customHeight="1" thickBot="1" x14ac:dyDescent="0.4">
      <c r="A762" s="144" t="str">
        <f>IF(B762=IFERROR(VLOOKUP(B762,entrant!$E$4:$J$188,1,FALSE),"THERE WAS AN ERROR"),"RAPPORT JOURNAL","")</f>
        <v/>
      </c>
      <c r="B762" s="147"/>
      <c r="C762" s="170"/>
      <c r="D762" s="35">
        <f>SUMIF(entrant!$E$4:$E$2059,'Inventaire des produits'!B762,entrant!$G$4:$G$2059)</f>
        <v>0</v>
      </c>
      <c r="E762" s="35">
        <f>SUMIF(vente!$E$4:$E$2190,'Inventaire des produits'!B762,vente!$G$4:$G$2190)</f>
        <v>0</v>
      </c>
      <c r="F762" s="36">
        <f t="shared" si="33"/>
        <v>0</v>
      </c>
      <c r="G762" s="176"/>
      <c r="H762" s="182"/>
      <c r="I762" s="37">
        <f t="shared" si="34"/>
        <v>0</v>
      </c>
      <c r="J762" s="38" t="str">
        <f t="shared" si="35"/>
        <v/>
      </c>
      <c r="K762" s="315"/>
      <c r="L762" s="145"/>
    </row>
    <row r="763" spans="1:12" ht="20.100000000000001" customHeight="1" thickBot="1" x14ac:dyDescent="0.4">
      <c r="A763" s="144" t="str">
        <f>IF(B763=IFERROR(VLOOKUP(B763,entrant!$E$4:$J$188,1,FALSE),"THERE WAS AN ERROR"),"RAPPORT JOURNAL","")</f>
        <v/>
      </c>
      <c r="B763" s="147"/>
      <c r="C763" s="170"/>
      <c r="D763" s="35">
        <f>SUMIF(entrant!$E$4:$E$2059,'Inventaire des produits'!B763,entrant!$G$4:$G$2059)</f>
        <v>0</v>
      </c>
      <c r="E763" s="35">
        <f>SUMIF(vente!$E$4:$E$2190,'Inventaire des produits'!B763,vente!$G$4:$G$2190)</f>
        <v>0</v>
      </c>
      <c r="F763" s="36">
        <f t="shared" si="33"/>
        <v>0</v>
      </c>
      <c r="G763" s="176"/>
      <c r="H763" s="182"/>
      <c r="I763" s="37">
        <f t="shared" si="34"/>
        <v>0</v>
      </c>
      <c r="J763" s="38" t="str">
        <f t="shared" si="35"/>
        <v/>
      </c>
      <c r="K763" s="315"/>
      <c r="L763" s="145"/>
    </row>
    <row r="764" spans="1:12" ht="20.100000000000001" customHeight="1" thickBot="1" x14ac:dyDescent="0.4">
      <c r="A764" s="144" t="str">
        <f>IF(B764=IFERROR(VLOOKUP(B764,entrant!$E$4:$J$188,1,FALSE),"THERE WAS AN ERROR"),"RAPPORT JOURNAL","")</f>
        <v/>
      </c>
      <c r="B764" s="147"/>
      <c r="C764" s="170"/>
      <c r="D764" s="35">
        <f>SUMIF(entrant!$E$4:$E$2059,'Inventaire des produits'!B764,entrant!$G$4:$G$2059)</f>
        <v>0</v>
      </c>
      <c r="E764" s="35">
        <f>SUMIF(vente!$E$4:$E$2190,'Inventaire des produits'!B764,vente!$G$4:$G$2190)</f>
        <v>0</v>
      </c>
      <c r="F764" s="36">
        <f t="shared" si="33"/>
        <v>0</v>
      </c>
      <c r="G764" s="176"/>
      <c r="H764" s="182"/>
      <c r="I764" s="37">
        <f t="shared" si="34"/>
        <v>0</v>
      </c>
      <c r="J764" s="38" t="str">
        <f t="shared" si="35"/>
        <v/>
      </c>
      <c r="K764" s="315"/>
      <c r="L764" s="145"/>
    </row>
    <row r="765" spans="1:12" ht="20.100000000000001" customHeight="1" thickBot="1" x14ac:dyDescent="0.4">
      <c r="A765" s="144" t="str">
        <f>IF(B765=IFERROR(VLOOKUP(B765,entrant!$E$4:$J$188,1,FALSE),"THERE WAS AN ERROR"),"RAPPORT JOURNAL","")</f>
        <v/>
      </c>
      <c r="B765" s="147"/>
      <c r="C765" s="170"/>
      <c r="D765" s="35">
        <f>SUMIF(entrant!$E$4:$E$2059,'Inventaire des produits'!B765,entrant!$G$4:$G$2059)</f>
        <v>0</v>
      </c>
      <c r="E765" s="35">
        <f>SUMIF(vente!$E$4:$E$2190,'Inventaire des produits'!B765,vente!$G$4:$G$2190)</f>
        <v>0</v>
      </c>
      <c r="F765" s="36">
        <f t="shared" si="33"/>
        <v>0</v>
      </c>
      <c r="G765" s="176"/>
      <c r="H765" s="182"/>
      <c r="I765" s="37">
        <f t="shared" si="34"/>
        <v>0</v>
      </c>
      <c r="J765" s="38" t="str">
        <f t="shared" si="35"/>
        <v/>
      </c>
      <c r="K765" s="315"/>
      <c r="L765" s="145"/>
    </row>
    <row r="766" spans="1:12" ht="20.100000000000001" customHeight="1" thickBot="1" x14ac:dyDescent="0.4">
      <c r="A766" s="144" t="str">
        <f>IF(B766=IFERROR(VLOOKUP(B766,entrant!$E$4:$J$188,1,FALSE),"THERE WAS AN ERROR"),"RAPPORT JOURNAL","")</f>
        <v/>
      </c>
      <c r="B766" s="147"/>
      <c r="C766" s="170"/>
      <c r="D766" s="35">
        <f>SUMIF(entrant!$E$4:$E$2059,'Inventaire des produits'!B766,entrant!$G$4:$G$2059)</f>
        <v>0</v>
      </c>
      <c r="E766" s="35">
        <f>SUMIF(vente!$E$4:$E$2190,'Inventaire des produits'!B766,vente!$G$4:$G$2190)</f>
        <v>0</v>
      </c>
      <c r="F766" s="36">
        <f t="shared" si="33"/>
        <v>0</v>
      </c>
      <c r="G766" s="176"/>
      <c r="H766" s="182"/>
      <c r="I766" s="37">
        <f t="shared" si="34"/>
        <v>0</v>
      </c>
      <c r="J766" s="38" t="str">
        <f t="shared" si="35"/>
        <v/>
      </c>
      <c r="K766" s="315"/>
      <c r="L766" s="145"/>
    </row>
    <row r="767" spans="1:12" ht="20.100000000000001" customHeight="1" thickBot="1" x14ac:dyDescent="0.4">
      <c r="A767" s="144" t="str">
        <f>IF(B767=IFERROR(VLOOKUP(B767,entrant!$E$4:$J$188,1,FALSE),"THERE WAS AN ERROR"),"RAPPORT JOURNAL","")</f>
        <v/>
      </c>
      <c r="B767" s="147"/>
      <c r="C767" s="170"/>
      <c r="D767" s="35">
        <f>SUMIF(entrant!$E$4:$E$2059,'Inventaire des produits'!B767,entrant!$G$4:$G$2059)</f>
        <v>0</v>
      </c>
      <c r="E767" s="35">
        <f>SUMIF(vente!$E$4:$E$2190,'Inventaire des produits'!B767,vente!$G$4:$G$2190)</f>
        <v>0</v>
      </c>
      <c r="F767" s="36">
        <f t="shared" si="33"/>
        <v>0</v>
      </c>
      <c r="G767" s="176"/>
      <c r="H767" s="182"/>
      <c r="I767" s="37">
        <f t="shared" si="34"/>
        <v>0</v>
      </c>
      <c r="J767" s="38" t="str">
        <f t="shared" si="35"/>
        <v/>
      </c>
      <c r="K767" s="315"/>
      <c r="L767" s="145"/>
    </row>
    <row r="768" spans="1:12" ht="20.100000000000001" customHeight="1" thickBot="1" x14ac:dyDescent="0.4">
      <c r="A768" s="144" t="str">
        <f>IF(B768=IFERROR(VLOOKUP(B768,entrant!$E$4:$J$188,1,FALSE),"THERE WAS AN ERROR"),"RAPPORT JOURNAL","")</f>
        <v/>
      </c>
      <c r="B768" s="147"/>
      <c r="C768" s="170"/>
      <c r="D768" s="35">
        <f>SUMIF(entrant!$E$4:$E$2059,'Inventaire des produits'!B768,entrant!$G$4:$G$2059)</f>
        <v>0</v>
      </c>
      <c r="E768" s="35">
        <f>SUMIF(vente!$E$4:$E$2190,'Inventaire des produits'!B768,vente!$G$4:$G$2190)</f>
        <v>0</v>
      </c>
      <c r="F768" s="36">
        <f t="shared" si="33"/>
        <v>0</v>
      </c>
      <c r="G768" s="176"/>
      <c r="H768" s="182"/>
      <c r="I768" s="37">
        <f t="shared" si="34"/>
        <v>0</v>
      </c>
      <c r="J768" s="38" t="str">
        <f t="shared" si="35"/>
        <v/>
      </c>
      <c r="K768" s="315"/>
      <c r="L768" s="145"/>
    </row>
    <row r="769" spans="1:12" ht="20.100000000000001" customHeight="1" thickBot="1" x14ac:dyDescent="0.4">
      <c r="A769" s="144" t="str">
        <f>IF(B769=IFERROR(VLOOKUP(B769,entrant!$E$4:$J$188,1,FALSE),"THERE WAS AN ERROR"),"RAPPORT JOURNAL","")</f>
        <v/>
      </c>
      <c r="B769" s="147"/>
      <c r="C769" s="170"/>
      <c r="D769" s="35">
        <f>SUMIF(entrant!$E$4:$E$2059,'Inventaire des produits'!B769,entrant!$G$4:$G$2059)</f>
        <v>0</v>
      </c>
      <c r="E769" s="35">
        <f>SUMIF(vente!$E$4:$E$2190,'Inventaire des produits'!B769,vente!$G$4:$G$2190)</f>
        <v>0</v>
      </c>
      <c r="F769" s="36">
        <f t="shared" si="33"/>
        <v>0</v>
      </c>
      <c r="G769" s="176"/>
      <c r="H769" s="182"/>
      <c r="I769" s="37">
        <f t="shared" si="34"/>
        <v>0</v>
      </c>
      <c r="J769" s="38" t="str">
        <f t="shared" si="35"/>
        <v/>
      </c>
      <c r="K769" s="315"/>
      <c r="L769" s="145"/>
    </row>
    <row r="770" spans="1:12" ht="20.100000000000001" customHeight="1" thickBot="1" x14ac:dyDescent="0.4">
      <c r="A770" s="144" t="str">
        <f>IF(B770=IFERROR(VLOOKUP(B770,entrant!$E$4:$J$188,1,FALSE),"THERE WAS AN ERROR"),"RAPPORT JOURNAL","")</f>
        <v/>
      </c>
      <c r="B770" s="147"/>
      <c r="C770" s="170"/>
      <c r="D770" s="35">
        <f>SUMIF(entrant!$E$4:$E$2059,'Inventaire des produits'!B770,entrant!$G$4:$G$2059)</f>
        <v>0</v>
      </c>
      <c r="E770" s="35">
        <f>SUMIF(vente!$E$4:$E$2190,'Inventaire des produits'!B770,vente!$G$4:$G$2190)</f>
        <v>0</v>
      </c>
      <c r="F770" s="36">
        <f t="shared" si="33"/>
        <v>0</v>
      </c>
      <c r="G770" s="176"/>
      <c r="H770" s="182"/>
      <c r="I770" s="37">
        <f t="shared" si="34"/>
        <v>0</v>
      </c>
      <c r="J770" s="38" t="str">
        <f t="shared" si="35"/>
        <v/>
      </c>
      <c r="K770" s="315"/>
      <c r="L770" s="145"/>
    </row>
    <row r="771" spans="1:12" ht="20.100000000000001" customHeight="1" thickBot="1" x14ac:dyDescent="0.4">
      <c r="A771" s="144" t="str">
        <f>IF(B771=IFERROR(VLOOKUP(B771,entrant!$E$4:$J$188,1,FALSE),"THERE WAS AN ERROR"),"RAPPORT JOURNAL","")</f>
        <v/>
      </c>
      <c r="B771" s="147"/>
      <c r="C771" s="170"/>
      <c r="D771" s="35">
        <f>SUMIF(entrant!$E$4:$E$2059,'Inventaire des produits'!B771,entrant!$G$4:$G$2059)</f>
        <v>0</v>
      </c>
      <c r="E771" s="35">
        <f>SUMIF(vente!$E$4:$E$2190,'Inventaire des produits'!B771,vente!$G$4:$G$2190)</f>
        <v>0</v>
      </c>
      <c r="F771" s="36">
        <f t="shared" ref="F771:F834" si="36">IF(OR(D771="",E771=""),"",D771-E771)</f>
        <v>0</v>
      </c>
      <c r="G771" s="176"/>
      <c r="H771" s="182"/>
      <c r="I771" s="37">
        <f t="shared" si="34"/>
        <v>0</v>
      </c>
      <c r="J771" s="38" t="str">
        <f t="shared" si="35"/>
        <v/>
      </c>
      <c r="K771" s="315"/>
      <c r="L771" s="145"/>
    </row>
    <row r="772" spans="1:12" ht="20.100000000000001" customHeight="1" thickBot="1" x14ac:dyDescent="0.4">
      <c r="A772" s="144" t="str">
        <f>IF(B772=IFERROR(VLOOKUP(B772,entrant!$E$4:$J$188,1,FALSE),"THERE WAS AN ERROR"),"RAPPORT JOURNAL","")</f>
        <v/>
      </c>
      <c r="B772" s="147"/>
      <c r="C772" s="170"/>
      <c r="D772" s="35">
        <f>SUMIF(entrant!$E$4:$E$2059,'Inventaire des produits'!B772,entrant!$G$4:$G$2059)</f>
        <v>0</v>
      </c>
      <c r="E772" s="35">
        <f>SUMIF(vente!$E$4:$E$2190,'Inventaire des produits'!B772,vente!$G$4:$G$2190)</f>
        <v>0</v>
      </c>
      <c r="F772" s="36">
        <f t="shared" si="36"/>
        <v>0</v>
      </c>
      <c r="G772" s="176"/>
      <c r="H772" s="182"/>
      <c r="I772" s="37">
        <f t="shared" ref="I772:I835" si="37">IF(H772="",G772,G772-G772*H772)</f>
        <v>0</v>
      </c>
      <c r="J772" s="38" t="str">
        <f t="shared" ref="J772:J835" si="38">IF(OR(F772="",G772=""),"",F772*I772)</f>
        <v/>
      </c>
      <c r="K772" s="315"/>
      <c r="L772" s="145"/>
    </row>
    <row r="773" spans="1:12" ht="20.100000000000001" customHeight="1" thickBot="1" x14ac:dyDescent="0.4">
      <c r="A773" s="144" t="str">
        <f>IF(B773=IFERROR(VLOOKUP(B773,entrant!$E$4:$J$188,1,FALSE),"THERE WAS AN ERROR"),"RAPPORT JOURNAL","")</f>
        <v/>
      </c>
      <c r="B773" s="147"/>
      <c r="C773" s="170"/>
      <c r="D773" s="35">
        <f>SUMIF(entrant!$E$4:$E$2059,'Inventaire des produits'!B773,entrant!$G$4:$G$2059)</f>
        <v>0</v>
      </c>
      <c r="E773" s="35">
        <f>SUMIF(vente!$E$4:$E$2190,'Inventaire des produits'!B773,vente!$G$4:$G$2190)</f>
        <v>0</v>
      </c>
      <c r="F773" s="36">
        <f t="shared" si="36"/>
        <v>0</v>
      </c>
      <c r="G773" s="176"/>
      <c r="H773" s="182"/>
      <c r="I773" s="37">
        <f t="shared" si="37"/>
        <v>0</v>
      </c>
      <c r="J773" s="38" t="str">
        <f t="shared" si="38"/>
        <v/>
      </c>
      <c r="K773" s="315"/>
      <c r="L773" s="145"/>
    </row>
    <row r="774" spans="1:12" ht="20.100000000000001" customHeight="1" thickBot="1" x14ac:dyDescent="0.4">
      <c r="A774" s="144" t="str">
        <f>IF(B774=IFERROR(VLOOKUP(B774,entrant!$E$4:$J$188,1,FALSE),"THERE WAS AN ERROR"),"RAPPORT JOURNAL","")</f>
        <v/>
      </c>
      <c r="B774" s="147"/>
      <c r="C774" s="170"/>
      <c r="D774" s="35">
        <f>SUMIF(entrant!$E$4:$E$2059,'Inventaire des produits'!B774,entrant!$G$4:$G$2059)</f>
        <v>0</v>
      </c>
      <c r="E774" s="35">
        <f>SUMIF(vente!$E$4:$E$2190,'Inventaire des produits'!B774,vente!$G$4:$G$2190)</f>
        <v>0</v>
      </c>
      <c r="F774" s="36">
        <f t="shared" si="36"/>
        <v>0</v>
      </c>
      <c r="G774" s="176"/>
      <c r="H774" s="182"/>
      <c r="I774" s="37">
        <f t="shared" si="37"/>
        <v>0</v>
      </c>
      <c r="J774" s="38" t="str">
        <f t="shared" si="38"/>
        <v/>
      </c>
      <c r="K774" s="315"/>
      <c r="L774" s="145"/>
    </row>
    <row r="775" spans="1:12" ht="20.100000000000001" customHeight="1" thickBot="1" x14ac:dyDescent="0.4">
      <c r="A775" s="144" t="str">
        <f>IF(B775=IFERROR(VLOOKUP(B775,entrant!$E$4:$J$188,1,FALSE),"THERE WAS AN ERROR"),"RAPPORT JOURNAL","")</f>
        <v/>
      </c>
      <c r="B775" s="147"/>
      <c r="C775" s="170"/>
      <c r="D775" s="35">
        <f>SUMIF(entrant!$E$4:$E$2059,'Inventaire des produits'!B775,entrant!$G$4:$G$2059)</f>
        <v>0</v>
      </c>
      <c r="E775" s="35">
        <f>SUMIF(vente!$E$4:$E$2190,'Inventaire des produits'!B775,vente!$G$4:$G$2190)</f>
        <v>0</v>
      </c>
      <c r="F775" s="36">
        <f t="shared" si="36"/>
        <v>0</v>
      </c>
      <c r="G775" s="176"/>
      <c r="H775" s="182"/>
      <c r="I775" s="37">
        <f t="shared" si="37"/>
        <v>0</v>
      </c>
      <c r="J775" s="38" t="str">
        <f t="shared" si="38"/>
        <v/>
      </c>
      <c r="K775" s="315"/>
      <c r="L775" s="145"/>
    </row>
    <row r="776" spans="1:12" ht="20.100000000000001" customHeight="1" thickBot="1" x14ac:dyDescent="0.4">
      <c r="A776" s="144" t="str">
        <f>IF(B776=IFERROR(VLOOKUP(B776,entrant!$E$4:$J$188,1,FALSE),"THERE WAS AN ERROR"),"RAPPORT JOURNAL","")</f>
        <v/>
      </c>
      <c r="B776" s="147"/>
      <c r="C776" s="170"/>
      <c r="D776" s="35">
        <f>SUMIF(entrant!$E$4:$E$2059,'Inventaire des produits'!B776,entrant!$G$4:$G$2059)</f>
        <v>0</v>
      </c>
      <c r="E776" s="35">
        <f>SUMIF(vente!$E$4:$E$2190,'Inventaire des produits'!B776,vente!$G$4:$G$2190)</f>
        <v>0</v>
      </c>
      <c r="F776" s="36">
        <f t="shared" si="36"/>
        <v>0</v>
      </c>
      <c r="G776" s="176"/>
      <c r="H776" s="182"/>
      <c r="I776" s="37">
        <f t="shared" si="37"/>
        <v>0</v>
      </c>
      <c r="J776" s="38" t="str">
        <f t="shared" si="38"/>
        <v/>
      </c>
      <c r="K776" s="315"/>
      <c r="L776" s="145"/>
    </row>
    <row r="777" spans="1:12" ht="20.100000000000001" customHeight="1" thickBot="1" x14ac:dyDescent="0.4">
      <c r="A777" s="144" t="str">
        <f>IF(B777=IFERROR(VLOOKUP(B777,entrant!$E$4:$J$188,1,FALSE),"THERE WAS AN ERROR"),"RAPPORT JOURNAL","")</f>
        <v/>
      </c>
      <c r="B777" s="147"/>
      <c r="C777" s="170"/>
      <c r="D777" s="35">
        <f>SUMIF(entrant!$E$4:$E$2059,'Inventaire des produits'!B777,entrant!$G$4:$G$2059)</f>
        <v>0</v>
      </c>
      <c r="E777" s="35">
        <f>SUMIF(vente!$E$4:$E$2190,'Inventaire des produits'!B777,vente!$G$4:$G$2190)</f>
        <v>0</v>
      </c>
      <c r="F777" s="36">
        <f t="shared" si="36"/>
        <v>0</v>
      </c>
      <c r="G777" s="176"/>
      <c r="H777" s="182"/>
      <c r="I777" s="37">
        <f t="shared" si="37"/>
        <v>0</v>
      </c>
      <c r="J777" s="38" t="str">
        <f t="shared" si="38"/>
        <v/>
      </c>
      <c r="K777" s="315"/>
      <c r="L777" s="145"/>
    </row>
    <row r="778" spans="1:12" ht="20.100000000000001" customHeight="1" thickBot="1" x14ac:dyDescent="0.4">
      <c r="A778" s="144" t="str">
        <f>IF(B778=IFERROR(VLOOKUP(B778,entrant!$E$4:$J$188,1,FALSE),"THERE WAS AN ERROR"),"RAPPORT JOURNAL","")</f>
        <v/>
      </c>
      <c r="B778" s="147"/>
      <c r="C778" s="170"/>
      <c r="D778" s="35">
        <f>SUMIF(entrant!$E$4:$E$2059,'Inventaire des produits'!B778,entrant!$G$4:$G$2059)</f>
        <v>0</v>
      </c>
      <c r="E778" s="35">
        <f>SUMIF(vente!$E$4:$E$2190,'Inventaire des produits'!B778,vente!$G$4:$G$2190)</f>
        <v>0</v>
      </c>
      <c r="F778" s="36">
        <f t="shared" si="36"/>
        <v>0</v>
      </c>
      <c r="G778" s="176"/>
      <c r="H778" s="182"/>
      <c r="I778" s="37">
        <f t="shared" si="37"/>
        <v>0</v>
      </c>
      <c r="J778" s="38" t="str">
        <f t="shared" si="38"/>
        <v/>
      </c>
      <c r="K778" s="315"/>
      <c r="L778" s="145"/>
    </row>
    <row r="779" spans="1:12" ht="20.100000000000001" customHeight="1" thickBot="1" x14ac:dyDescent="0.4">
      <c r="A779" s="144" t="str">
        <f>IF(B779=IFERROR(VLOOKUP(B779,entrant!$E$4:$J$188,1,FALSE),"THERE WAS AN ERROR"),"RAPPORT JOURNAL","")</f>
        <v/>
      </c>
      <c r="B779" s="147"/>
      <c r="C779" s="170"/>
      <c r="D779" s="35">
        <f>SUMIF(entrant!$E$4:$E$2059,'Inventaire des produits'!B779,entrant!$G$4:$G$2059)</f>
        <v>0</v>
      </c>
      <c r="E779" s="35">
        <f>SUMIF(vente!$E$4:$E$2190,'Inventaire des produits'!B779,vente!$G$4:$G$2190)</f>
        <v>0</v>
      </c>
      <c r="F779" s="36">
        <f t="shared" si="36"/>
        <v>0</v>
      </c>
      <c r="G779" s="176"/>
      <c r="H779" s="182"/>
      <c r="I779" s="37">
        <f t="shared" si="37"/>
        <v>0</v>
      </c>
      <c r="J779" s="38" t="str">
        <f t="shared" si="38"/>
        <v/>
      </c>
      <c r="K779" s="315"/>
      <c r="L779" s="145"/>
    </row>
    <row r="780" spans="1:12" ht="20.100000000000001" customHeight="1" thickBot="1" x14ac:dyDescent="0.4">
      <c r="A780" s="144" t="str">
        <f>IF(B780=IFERROR(VLOOKUP(B780,entrant!$E$4:$J$188,1,FALSE),"THERE WAS AN ERROR"),"RAPPORT JOURNAL","")</f>
        <v/>
      </c>
      <c r="B780" s="147"/>
      <c r="C780" s="170"/>
      <c r="D780" s="35">
        <f>SUMIF(entrant!$E$4:$E$2059,'Inventaire des produits'!B780,entrant!$G$4:$G$2059)</f>
        <v>0</v>
      </c>
      <c r="E780" s="35">
        <f>SUMIF(vente!$E$4:$E$2190,'Inventaire des produits'!B780,vente!$G$4:$G$2190)</f>
        <v>0</v>
      </c>
      <c r="F780" s="36">
        <f t="shared" si="36"/>
        <v>0</v>
      </c>
      <c r="G780" s="176"/>
      <c r="H780" s="182"/>
      <c r="I780" s="37">
        <f t="shared" si="37"/>
        <v>0</v>
      </c>
      <c r="J780" s="38" t="str">
        <f t="shared" si="38"/>
        <v/>
      </c>
      <c r="K780" s="315"/>
      <c r="L780" s="145"/>
    </row>
    <row r="781" spans="1:12" ht="20.100000000000001" customHeight="1" thickBot="1" x14ac:dyDescent="0.4">
      <c r="A781" s="144" t="str">
        <f>IF(B781=IFERROR(VLOOKUP(B781,entrant!$E$4:$J$188,1,FALSE),"THERE WAS AN ERROR"),"RAPPORT JOURNAL","")</f>
        <v/>
      </c>
      <c r="B781" s="147"/>
      <c r="C781" s="170"/>
      <c r="D781" s="35">
        <f>SUMIF(entrant!$E$4:$E$2059,'Inventaire des produits'!B781,entrant!$G$4:$G$2059)</f>
        <v>0</v>
      </c>
      <c r="E781" s="35">
        <f>SUMIF(vente!$E$4:$E$2190,'Inventaire des produits'!B781,vente!$G$4:$G$2190)</f>
        <v>0</v>
      </c>
      <c r="F781" s="36">
        <f t="shared" si="36"/>
        <v>0</v>
      </c>
      <c r="G781" s="176"/>
      <c r="H781" s="182"/>
      <c r="I781" s="37">
        <f t="shared" si="37"/>
        <v>0</v>
      </c>
      <c r="J781" s="38" t="str">
        <f t="shared" si="38"/>
        <v/>
      </c>
      <c r="K781" s="315"/>
      <c r="L781" s="145"/>
    </row>
    <row r="782" spans="1:12" ht="20.100000000000001" customHeight="1" thickBot="1" x14ac:dyDescent="0.4">
      <c r="A782" s="144" t="str">
        <f>IF(B782=IFERROR(VLOOKUP(B782,entrant!$E$4:$J$188,1,FALSE),"THERE WAS AN ERROR"),"RAPPORT JOURNAL","")</f>
        <v/>
      </c>
      <c r="B782" s="147"/>
      <c r="C782" s="170"/>
      <c r="D782" s="35">
        <f>SUMIF(entrant!$E$4:$E$2059,'Inventaire des produits'!B782,entrant!$G$4:$G$2059)</f>
        <v>0</v>
      </c>
      <c r="E782" s="35">
        <f>SUMIF(vente!$E$4:$E$2190,'Inventaire des produits'!B782,vente!$G$4:$G$2190)</f>
        <v>0</v>
      </c>
      <c r="F782" s="36">
        <f t="shared" si="36"/>
        <v>0</v>
      </c>
      <c r="G782" s="176"/>
      <c r="H782" s="182"/>
      <c r="I782" s="37">
        <f t="shared" si="37"/>
        <v>0</v>
      </c>
      <c r="J782" s="38" t="str">
        <f t="shared" si="38"/>
        <v/>
      </c>
      <c r="K782" s="315"/>
      <c r="L782" s="145"/>
    </row>
    <row r="783" spans="1:12" ht="20.100000000000001" customHeight="1" thickBot="1" x14ac:dyDescent="0.4">
      <c r="A783" s="144" t="str">
        <f>IF(B783=IFERROR(VLOOKUP(B783,entrant!$E$4:$J$188,1,FALSE),"THERE WAS AN ERROR"),"RAPPORT JOURNAL","")</f>
        <v/>
      </c>
      <c r="B783" s="147"/>
      <c r="C783" s="170"/>
      <c r="D783" s="35">
        <f>SUMIF(entrant!$E$4:$E$2059,'Inventaire des produits'!B783,entrant!$G$4:$G$2059)</f>
        <v>0</v>
      </c>
      <c r="E783" s="35">
        <f>SUMIF(vente!$E$4:$E$2190,'Inventaire des produits'!B783,vente!$G$4:$G$2190)</f>
        <v>0</v>
      </c>
      <c r="F783" s="36">
        <f t="shared" si="36"/>
        <v>0</v>
      </c>
      <c r="G783" s="176"/>
      <c r="H783" s="182"/>
      <c r="I783" s="37">
        <f t="shared" si="37"/>
        <v>0</v>
      </c>
      <c r="J783" s="38" t="str">
        <f t="shared" si="38"/>
        <v/>
      </c>
      <c r="K783" s="315"/>
      <c r="L783" s="145"/>
    </row>
    <row r="784" spans="1:12" ht="20.100000000000001" customHeight="1" thickBot="1" x14ac:dyDescent="0.4">
      <c r="A784" s="144" t="str">
        <f>IF(B784=IFERROR(VLOOKUP(B784,entrant!$E$4:$J$188,1,FALSE),"THERE WAS AN ERROR"),"RAPPORT JOURNAL","")</f>
        <v/>
      </c>
      <c r="B784" s="147"/>
      <c r="C784" s="170"/>
      <c r="D784" s="35">
        <f>SUMIF(entrant!$E$4:$E$2059,'Inventaire des produits'!B784,entrant!$G$4:$G$2059)</f>
        <v>0</v>
      </c>
      <c r="E784" s="35">
        <f>SUMIF(vente!$E$4:$E$2190,'Inventaire des produits'!B784,vente!$G$4:$G$2190)</f>
        <v>0</v>
      </c>
      <c r="F784" s="36">
        <f t="shared" si="36"/>
        <v>0</v>
      </c>
      <c r="G784" s="176"/>
      <c r="H784" s="182"/>
      <c r="I784" s="37">
        <f t="shared" si="37"/>
        <v>0</v>
      </c>
      <c r="J784" s="38" t="str">
        <f t="shared" si="38"/>
        <v/>
      </c>
      <c r="K784" s="315"/>
      <c r="L784" s="145"/>
    </row>
    <row r="785" spans="1:12" ht="20.100000000000001" customHeight="1" thickBot="1" x14ac:dyDescent="0.4">
      <c r="A785" s="144" t="str">
        <f>IF(B785=IFERROR(VLOOKUP(B785,entrant!$E$4:$J$188,1,FALSE),"THERE WAS AN ERROR"),"RAPPORT JOURNAL","")</f>
        <v/>
      </c>
      <c r="B785" s="147"/>
      <c r="C785" s="170"/>
      <c r="D785" s="35">
        <f>SUMIF(entrant!$E$4:$E$2059,'Inventaire des produits'!B785,entrant!$G$4:$G$2059)</f>
        <v>0</v>
      </c>
      <c r="E785" s="35">
        <f>SUMIF(vente!$E$4:$E$2190,'Inventaire des produits'!B785,vente!$G$4:$G$2190)</f>
        <v>0</v>
      </c>
      <c r="F785" s="36">
        <f t="shared" si="36"/>
        <v>0</v>
      </c>
      <c r="G785" s="176"/>
      <c r="H785" s="182"/>
      <c r="I785" s="37">
        <f t="shared" si="37"/>
        <v>0</v>
      </c>
      <c r="J785" s="38" t="str">
        <f t="shared" si="38"/>
        <v/>
      </c>
      <c r="K785" s="315"/>
      <c r="L785" s="145"/>
    </row>
    <row r="786" spans="1:12" ht="20.100000000000001" customHeight="1" thickBot="1" x14ac:dyDescent="0.4">
      <c r="A786" s="144" t="str">
        <f>IF(B786=IFERROR(VLOOKUP(B786,entrant!$E$4:$J$188,1,FALSE),"THERE WAS AN ERROR"),"RAPPORT JOURNAL","")</f>
        <v/>
      </c>
      <c r="B786" s="147"/>
      <c r="C786" s="170"/>
      <c r="D786" s="35">
        <f>SUMIF(entrant!$E$4:$E$2059,'Inventaire des produits'!B786,entrant!$G$4:$G$2059)</f>
        <v>0</v>
      </c>
      <c r="E786" s="35">
        <f>SUMIF(vente!$E$4:$E$2190,'Inventaire des produits'!B786,vente!$G$4:$G$2190)</f>
        <v>0</v>
      </c>
      <c r="F786" s="36">
        <f t="shared" si="36"/>
        <v>0</v>
      </c>
      <c r="G786" s="176"/>
      <c r="H786" s="182"/>
      <c r="I786" s="37">
        <f t="shared" si="37"/>
        <v>0</v>
      </c>
      <c r="J786" s="38" t="str">
        <f t="shared" si="38"/>
        <v/>
      </c>
      <c r="K786" s="315"/>
      <c r="L786" s="145"/>
    </row>
    <row r="787" spans="1:12" ht="20.100000000000001" customHeight="1" thickBot="1" x14ac:dyDescent="0.4">
      <c r="A787" s="144" t="str">
        <f>IF(B787=IFERROR(VLOOKUP(B787,entrant!$E$4:$J$188,1,FALSE),"THERE WAS AN ERROR"),"RAPPORT JOURNAL","")</f>
        <v/>
      </c>
      <c r="B787" s="147"/>
      <c r="C787" s="170"/>
      <c r="D787" s="35">
        <f>SUMIF(entrant!$E$4:$E$2059,'Inventaire des produits'!B787,entrant!$G$4:$G$2059)</f>
        <v>0</v>
      </c>
      <c r="E787" s="35">
        <f>SUMIF(vente!$E$4:$E$2190,'Inventaire des produits'!B787,vente!$G$4:$G$2190)</f>
        <v>0</v>
      </c>
      <c r="F787" s="36">
        <f t="shared" si="36"/>
        <v>0</v>
      </c>
      <c r="G787" s="176"/>
      <c r="H787" s="182"/>
      <c r="I787" s="37">
        <f t="shared" si="37"/>
        <v>0</v>
      </c>
      <c r="J787" s="38" t="str">
        <f t="shared" si="38"/>
        <v/>
      </c>
      <c r="K787" s="315"/>
      <c r="L787" s="145"/>
    </row>
    <row r="788" spans="1:12" ht="20.100000000000001" customHeight="1" thickBot="1" x14ac:dyDescent="0.4">
      <c r="A788" s="144" t="str">
        <f>IF(B788=IFERROR(VLOOKUP(B788,entrant!$E$4:$J$188,1,FALSE),"THERE WAS AN ERROR"),"RAPPORT JOURNAL","")</f>
        <v/>
      </c>
      <c r="B788" s="147"/>
      <c r="C788" s="170"/>
      <c r="D788" s="35">
        <f>SUMIF(entrant!$E$4:$E$2059,'Inventaire des produits'!B788,entrant!$G$4:$G$2059)</f>
        <v>0</v>
      </c>
      <c r="E788" s="35">
        <f>SUMIF(vente!$E$4:$E$2190,'Inventaire des produits'!B788,vente!$G$4:$G$2190)</f>
        <v>0</v>
      </c>
      <c r="F788" s="36">
        <f t="shared" si="36"/>
        <v>0</v>
      </c>
      <c r="G788" s="176"/>
      <c r="H788" s="182"/>
      <c r="I788" s="37">
        <f t="shared" si="37"/>
        <v>0</v>
      </c>
      <c r="J788" s="38" t="str">
        <f t="shared" si="38"/>
        <v/>
      </c>
      <c r="K788" s="315"/>
      <c r="L788" s="145"/>
    </row>
    <row r="789" spans="1:12" ht="20.100000000000001" customHeight="1" thickBot="1" x14ac:dyDescent="0.4">
      <c r="A789" s="144" t="str">
        <f>IF(B789=IFERROR(VLOOKUP(B789,entrant!$E$4:$J$188,1,FALSE),"THERE WAS AN ERROR"),"RAPPORT JOURNAL","")</f>
        <v/>
      </c>
      <c r="B789" s="147"/>
      <c r="C789" s="170"/>
      <c r="D789" s="35">
        <f>SUMIF(entrant!$E$4:$E$2059,'Inventaire des produits'!B789,entrant!$G$4:$G$2059)</f>
        <v>0</v>
      </c>
      <c r="E789" s="35">
        <f>SUMIF(vente!$E$4:$E$2190,'Inventaire des produits'!B789,vente!$G$4:$G$2190)</f>
        <v>0</v>
      </c>
      <c r="F789" s="36">
        <f t="shared" si="36"/>
        <v>0</v>
      </c>
      <c r="G789" s="176"/>
      <c r="H789" s="182"/>
      <c r="I789" s="37">
        <f t="shared" si="37"/>
        <v>0</v>
      </c>
      <c r="J789" s="38" t="str">
        <f t="shared" si="38"/>
        <v/>
      </c>
      <c r="K789" s="315"/>
      <c r="L789" s="145"/>
    </row>
    <row r="790" spans="1:12" ht="20.100000000000001" customHeight="1" thickBot="1" x14ac:dyDescent="0.4">
      <c r="A790" s="144" t="str">
        <f>IF(B790=IFERROR(VLOOKUP(B790,entrant!$E$4:$J$188,1,FALSE),"THERE WAS AN ERROR"),"RAPPORT JOURNAL","")</f>
        <v/>
      </c>
      <c r="B790" s="147"/>
      <c r="C790" s="170"/>
      <c r="D790" s="35">
        <f>SUMIF(entrant!$E$4:$E$2059,'Inventaire des produits'!B790,entrant!$G$4:$G$2059)</f>
        <v>0</v>
      </c>
      <c r="E790" s="35">
        <f>SUMIF(vente!$E$4:$E$2190,'Inventaire des produits'!B790,vente!$G$4:$G$2190)</f>
        <v>0</v>
      </c>
      <c r="F790" s="36">
        <f t="shared" si="36"/>
        <v>0</v>
      </c>
      <c r="G790" s="176"/>
      <c r="H790" s="182"/>
      <c r="I790" s="37">
        <f t="shared" si="37"/>
        <v>0</v>
      </c>
      <c r="J790" s="38" t="str">
        <f t="shared" si="38"/>
        <v/>
      </c>
      <c r="K790" s="315"/>
      <c r="L790" s="145"/>
    </row>
    <row r="791" spans="1:12" ht="20.100000000000001" customHeight="1" thickBot="1" x14ac:dyDescent="0.4">
      <c r="A791" s="144" t="str">
        <f>IF(B791=IFERROR(VLOOKUP(B791,entrant!$E$4:$J$188,1,FALSE),"THERE WAS AN ERROR"),"RAPPORT JOURNAL","")</f>
        <v/>
      </c>
      <c r="B791" s="147"/>
      <c r="C791" s="170"/>
      <c r="D791" s="35">
        <f>SUMIF(entrant!$E$4:$E$2059,'Inventaire des produits'!B791,entrant!$G$4:$G$2059)</f>
        <v>0</v>
      </c>
      <c r="E791" s="35">
        <f>SUMIF(vente!$E$4:$E$2190,'Inventaire des produits'!B791,vente!$G$4:$G$2190)</f>
        <v>0</v>
      </c>
      <c r="F791" s="36">
        <f t="shared" si="36"/>
        <v>0</v>
      </c>
      <c r="G791" s="176"/>
      <c r="H791" s="182"/>
      <c r="I791" s="37">
        <f t="shared" si="37"/>
        <v>0</v>
      </c>
      <c r="J791" s="38" t="str">
        <f t="shared" si="38"/>
        <v/>
      </c>
      <c r="K791" s="315"/>
      <c r="L791" s="145"/>
    </row>
    <row r="792" spans="1:12" ht="20.100000000000001" customHeight="1" thickBot="1" x14ac:dyDescent="0.4">
      <c r="A792" s="144" t="str">
        <f>IF(B792=IFERROR(VLOOKUP(B792,entrant!$E$4:$J$188,1,FALSE),"THERE WAS AN ERROR"),"RAPPORT JOURNAL","")</f>
        <v/>
      </c>
      <c r="B792" s="147"/>
      <c r="C792" s="170"/>
      <c r="D792" s="35">
        <f>SUMIF(entrant!$E$4:$E$2059,'Inventaire des produits'!B792,entrant!$G$4:$G$2059)</f>
        <v>0</v>
      </c>
      <c r="E792" s="35">
        <f>SUMIF(vente!$E$4:$E$2190,'Inventaire des produits'!B792,vente!$G$4:$G$2190)</f>
        <v>0</v>
      </c>
      <c r="F792" s="36">
        <f t="shared" si="36"/>
        <v>0</v>
      </c>
      <c r="G792" s="176"/>
      <c r="H792" s="182"/>
      <c r="I792" s="37">
        <f t="shared" si="37"/>
        <v>0</v>
      </c>
      <c r="J792" s="38" t="str">
        <f t="shared" si="38"/>
        <v/>
      </c>
      <c r="K792" s="315"/>
      <c r="L792" s="145"/>
    </row>
    <row r="793" spans="1:12" ht="20.100000000000001" customHeight="1" thickBot="1" x14ac:dyDescent="0.4">
      <c r="A793" s="144" t="str">
        <f>IF(B793=IFERROR(VLOOKUP(B793,entrant!$E$4:$J$188,1,FALSE),"THERE WAS AN ERROR"),"RAPPORT JOURNAL","")</f>
        <v/>
      </c>
      <c r="B793" s="147"/>
      <c r="C793" s="170"/>
      <c r="D793" s="35">
        <f>SUMIF(entrant!$E$4:$E$2059,'Inventaire des produits'!B793,entrant!$G$4:$G$2059)</f>
        <v>0</v>
      </c>
      <c r="E793" s="35">
        <f>SUMIF(vente!$E$4:$E$2190,'Inventaire des produits'!B793,vente!$G$4:$G$2190)</f>
        <v>0</v>
      </c>
      <c r="F793" s="36">
        <f t="shared" si="36"/>
        <v>0</v>
      </c>
      <c r="G793" s="176"/>
      <c r="H793" s="182"/>
      <c r="I793" s="37">
        <f t="shared" si="37"/>
        <v>0</v>
      </c>
      <c r="J793" s="38" t="str">
        <f t="shared" si="38"/>
        <v/>
      </c>
      <c r="K793" s="315"/>
      <c r="L793" s="145"/>
    </row>
    <row r="794" spans="1:12" ht="20.100000000000001" customHeight="1" thickBot="1" x14ac:dyDescent="0.4">
      <c r="A794" s="144" t="str">
        <f>IF(B794=IFERROR(VLOOKUP(B794,entrant!$E$4:$J$188,1,FALSE),"THERE WAS AN ERROR"),"RAPPORT JOURNAL","")</f>
        <v/>
      </c>
      <c r="B794" s="147"/>
      <c r="C794" s="170"/>
      <c r="D794" s="35">
        <f>SUMIF(entrant!$E$4:$E$2059,'Inventaire des produits'!B794,entrant!$G$4:$G$2059)</f>
        <v>0</v>
      </c>
      <c r="E794" s="35">
        <f>SUMIF(vente!$E$4:$E$2190,'Inventaire des produits'!B794,vente!$G$4:$G$2190)</f>
        <v>0</v>
      </c>
      <c r="F794" s="36">
        <f t="shared" si="36"/>
        <v>0</v>
      </c>
      <c r="G794" s="176"/>
      <c r="H794" s="182"/>
      <c r="I794" s="37">
        <f t="shared" si="37"/>
        <v>0</v>
      </c>
      <c r="J794" s="38" t="str">
        <f t="shared" si="38"/>
        <v/>
      </c>
      <c r="K794" s="315"/>
      <c r="L794" s="145"/>
    </row>
    <row r="795" spans="1:12" ht="20.100000000000001" customHeight="1" thickBot="1" x14ac:dyDescent="0.4">
      <c r="A795" s="144" t="str">
        <f>IF(B795=IFERROR(VLOOKUP(B795,entrant!$E$4:$J$188,1,FALSE),"THERE WAS AN ERROR"),"RAPPORT JOURNAL","")</f>
        <v/>
      </c>
      <c r="B795" s="147"/>
      <c r="C795" s="170"/>
      <c r="D795" s="35">
        <f>SUMIF(entrant!$E$4:$E$2059,'Inventaire des produits'!B795,entrant!$G$4:$G$2059)</f>
        <v>0</v>
      </c>
      <c r="E795" s="35">
        <f>SUMIF(vente!$E$4:$E$2190,'Inventaire des produits'!B795,vente!$G$4:$G$2190)</f>
        <v>0</v>
      </c>
      <c r="F795" s="36">
        <f t="shared" si="36"/>
        <v>0</v>
      </c>
      <c r="G795" s="176"/>
      <c r="H795" s="182"/>
      <c r="I795" s="37">
        <f t="shared" si="37"/>
        <v>0</v>
      </c>
      <c r="J795" s="38" t="str">
        <f t="shared" si="38"/>
        <v/>
      </c>
      <c r="K795" s="315"/>
      <c r="L795" s="145"/>
    </row>
    <row r="796" spans="1:12" ht="20.100000000000001" customHeight="1" thickBot="1" x14ac:dyDescent="0.4">
      <c r="A796" s="144" t="str">
        <f>IF(B796=IFERROR(VLOOKUP(B796,entrant!$E$4:$J$188,1,FALSE),"THERE WAS AN ERROR"),"RAPPORT JOURNAL","")</f>
        <v/>
      </c>
      <c r="B796" s="147"/>
      <c r="C796" s="170"/>
      <c r="D796" s="35">
        <f>SUMIF(entrant!$E$4:$E$2059,'Inventaire des produits'!B796,entrant!$G$4:$G$2059)</f>
        <v>0</v>
      </c>
      <c r="E796" s="35">
        <f>SUMIF(vente!$E$4:$E$2190,'Inventaire des produits'!B796,vente!$G$4:$G$2190)</f>
        <v>0</v>
      </c>
      <c r="F796" s="36">
        <f t="shared" si="36"/>
        <v>0</v>
      </c>
      <c r="G796" s="176"/>
      <c r="H796" s="182"/>
      <c r="I796" s="37">
        <f t="shared" si="37"/>
        <v>0</v>
      </c>
      <c r="J796" s="38" t="str">
        <f t="shared" si="38"/>
        <v/>
      </c>
      <c r="K796" s="315"/>
      <c r="L796" s="145"/>
    </row>
    <row r="797" spans="1:12" ht="20.100000000000001" customHeight="1" thickBot="1" x14ac:dyDescent="0.4">
      <c r="A797" s="144" t="str">
        <f>IF(B797=IFERROR(VLOOKUP(B797,entrant!$E$4:$J$188,1,FALSE),"THERE WAS AN ERROR"),"RAPPORT JOURNAL","")</f>
        <v/>
      </c>
      <c r="B797" s="147"/>
      <c r="C797" s="170"/>
      <c r="D797" s="35">
        <f>SUMIF(entrant!$E$4:$E$2059,'Inventaire des produits'!B797,entrant!$G$4:$G$2059)</f>
        <v>0</v>
      </c>
      <c r="E797" s="35">
        <f>SUMIF(vente!$E$4:$E$2190,'Inventaire des produits'!B797,vente!$G$4:$G$2190)</f>
        <v>0</v>
      </c>
      <c r="F797" s="36">
        <f t="shared" si="36"/>
        <v>0</v>
      </c>
      <c r="G797" s="176"/>
      <c r="H797" s="182"/>
      <c r="I797" s="37">
        <f t="shared" si="37"/>
        <v>0</v>
      </c>
      <c r="J797" s="38" t="str">
        <f t="shared" si="38"/>
        <v/>
      </c>
      <c r="K797" s="315"/>
      <c r="L797" s="145"/>
    </row>
    <row r="798" spans="1:12" ht="20.100000000000001" customHeight="1" thickBot="1" x14ac:dyDescent="0.4">
      <c r="A798" s="144" t="str">
        <f>IF(B798=IFERROR(VLOOKUP(B798,entrant!$E$4:$J$188,1,FALSE),"THERE WAS AN ERROR"),"RAPPORT JOURNAL","")</f>
        <v/>
      </c>
      <c r="B798" s="147"/>
      <c r="C798" s="170"/>
      <c r="D798" s="35">
        <f>SUMIF(entrant!$E$4:$E$2059,'Inventaire des produits'!B798,entrant!$G$4:$G$2059)</f>
        <v>0</v>
      </c>
      <c r="E798" s="35">
        <f>SUMIF(vente!$E$4:$E$2190,'Inventaire des produits'!B798,vente!$G$4:$G$2190)</f>
        <v>0</v>
      </c>
      <c r="F798" s="36">
        <f t="shared" si="36"/>
        <v>0</v>
      </c>
      <c r="G798" s="176"/>
      <c r="H798" s="182"/>
      <c r="I798" s="37">
        <f t="shared" si="37"/>
        <v>0</v>
      </c>
      <c r="J798" s="38" t="str">
        <f t="shared" si="38"/>
        <v/>
      </c>
      <c r="K798" s="315"/>
      <c r="L798" s="145"/>
    </row>
    <row r="799" spans="1:12" ht="20.100000000000001" customHeight="1" thickBot="1" x14ac:dyDescent="0.4">
      <c r="A799" s="144" t="str">
        <f>IF(B799=IFERROR(VLOOKUP(B799,entrant!$E$4:$J$188,1,FALSE),"THERE WAS AN ERROR"),"RAPPORT JOURNAL","")</f>
        <v/>
      </c>
      <c r="B799" s="147"/>
      <c r="C799" s="170"/>
      <c r="D799" s="35">
        <f>SUMIF(entrant!$E$4:$E$2059,'Inventaire des produits'!B799,entrant!$G$4:$G$2059)</f>
        <v>0</v>
      </c>
      <c r="E799" s="35">
        <f>SUMIF(vente!$E$4:$E$2190,'Inventaire des produits'!B799,vente!$G$4:$G$2190)</f>
        <v>0</v>
      </c>
      <c r="F799" s="36">
        <f t="shared" si="36"/>
        <v>0</v>
      </c>
      <c r="G799" s="176"/>
      <c r="H799" s="182"/>
      <c r="I799" s="37">
        <f t="shared" si="37"/>
        <v>0</v>
      </c>
      <c r="J799" s="38" t="str">
        <f t="shared" si="38"/>
        <v/>
      </c>
      <c r="K799" s="315"/>
      <c r="L799" s="145"/>
    </row>
    <row r="800" spans="1:12" ht="20.100000000000001" customHeight="1" thickBot="1" x14ac:dyDescent="0.4">
      <c r="A800" s="144" t="str">
        <f>IF(B800=IFERROR(VLOOKUP(B800,entrant!$E$4:$J$188,1,FALSE),"THERE WAS AN ERROR"),"RAPPORT JOURNAL","")</f>
        <v/>
      </c>
      <c r="B800" s="147"/>
      <c r="C800" s="170"/>
      <c r="D800" s="35">
        <f>SUMIF(entrant!$E$4:$E$2059,'Inventaire des produits'!B800,entrant!$G$4:$G$2059)</f>
        <v>0</v>
      </c>
      <c r="E800" s="35">
        <f>SUMIF(vente!$E$4:$E$2190,'Inventaire des produits'!B800,vente!$G$4:$G$2190)</f>
        <v>0</v>
      </c>
      <c r="F800" s="36">
        <f t="shared" si="36"/>
        <v>0</v>
      </c>
      <c r="G800" s="176"/>
      <c r="H800" s="182"/>
      <c r="I800" s="37">
        <f t="shared" si="37"/>
        <v>0</v>
      </c>
      <c r="J800" s="38" t="str">
        <f t="shared" si="38"/>
        <v/>
      </c>
      <c r="K800" s="315"/>
      <c r="L800" s="145"/>
    </row>
    <row r="801" spans="1:12" ht="20.100000000000001" customHeight="1" thickBot="1" x14ac:dyDescent="0.4">
      <c r="A801" s="144" t="str">
        <f>IF(B801=IFERROR(VLOOKUP(B801,entrant!$E$4:$J$188,1,FALSE),"THERE WAS AN ERROR"),"RAPPORT JOURNAL","")</f>
        <v/>
      </c>
      <c r="B801" s="147"/>
      <c r="C801" s="170"/>
      <c r="D801" s="35">
        <f>SUMIF(entrant!$E$4:$E$2059,'Inventaire des produits'!B801,entrant!$G$4:$G$2059)</f>
        <v>0</v>
      </c>
      <c r="E801" s="35">
        <f>SUMIF(vente!$E$4:$E$2190,'Inventaire des produits'!B801,vente!$G$4:$G$2190)</f>
        <v>0</v>
      </c>
      <c r="F801" s="36">
        <f t="shared" si="36"/>
        <v>0</v>
      </c>
      <c r="G801" s="176"/>
      <c r="H801" s="182"/>
      <c r="I801" s="37">
        <f t="shared" si="37"/>
        <v>0</v>
      </c>
      <c r="J801" s="38" t="str">
        <f t="shared" si="38"/>
        <v/>
      </c>
      <c r="K801" s="315"/>
      <c r="L801" s="145"/>
    </row>
    <row r="802" spans="1:12" ht="20.100000000000001" customHeight="1" thickBot="1" x14ac:dyDescent="0.4">
      <c r="A802" s="144" t="str">
        <f>IF(B802=IFERROR(VLOOKUP(B802,entrant!$E$4:$J$188,1,FALSE),"THERE WAS AN ERROR"),"RAPPORT JOURNAL","")</f>
        <v/>
      </c>
      <c r="B802" s="147"/>
      <c r="C802" s="170"/>
      <c r="D802" s="35">
        <f>SUMIF(entrant!$E$4:$E$2059,'Inventaire des produits'!B802,entrant!$G$4:$G$2059)</f>
        <v>0</v>
      </c>
      <c r="E802" s="35">
        <f>SUMIF(vente!$E$4:$E$2190,'Inventaire des produits'!B802,vente!$G$4:$G$2190)</f>
        <v>0</v>
      </c>
      <c r="F802" s="36">
        <f t="shared" si="36"/>
        <v>0</v>
      </c>
      <c r="G802" s="176"/>
      <c r="H802" s="182"/>
      <c r="I802" s="37">
        <f t="shared" si="37"/>
        <v>0</v>
      </c>
      <c r="J802" s="38" t="str">
        <f t="shared" si="38"/>
        <v/>
      </c>
      <c r="K802" s="315"/>
      <c r="L802" s="145"/>
    </row>
    <row r="803" spans="1:12" ht="20.100000000000001" customHeight="1" thickBot="1" x14ac:dyDescent="0.4">
      <c r="A803" s="144" t="str">
        <f>IF(B803=IFERROR(VLOOKUP(B803,entrant!$E$4:$J$188,1,FALSE),"THERE WAS AN ERROR"),"RAPPORT JOURNAL","")</f>
        <v/>
      </c>
      <c r="B803" s="147"/>
      <c r="C803" s="170"/>
      <c r="D803" s="35">
        <f>SUMIF(entrant!$E$4:$E$2059,'Inventaire des produits'!B803,entrant!$G$4:$G$2059)</f>
        <v>0</v>
      </c>
      <c r="E803" s="35">
        <f>SUMIF(vente!$E$4:$E$2190,'Inventaire des produits'!B803,vente!$G$4:$G$2190)</f>
        <v>0</v>
      </c>
      <c r="F803" s="36">
        <f t="shared" si="36"/>
        <v>0</v>
      </c>
      <c r="G803" s="176"/>
      <c r="H803" s="182"/>
      <c r="I803" s="37">
        <f t="shared" si="37"/>
        <v>0</v>
      </c>
      <c r="J803" s="38" t="str">
        <f t="shared" si="38"/>
        <v/>
      </c>
      <c r="K803" s="315"/>
      <c r="L803" s="145"/>
    </row>
    <row r="804" spans="1:12" ht="20.100000000000001" customHeight="1" thickBot="1" x14ac:dyDescent="0.4">
      <c r="A804" s="144" t="str">
        <f>IF(B804=IFERROR(VLOOKUP(B804,entrant!$E$4:$J$188,1,FALSE),"THERE WAS AN ERROR"),"RAPPORT JOURNAL","")</f>
        <v/>
      </c>
      <c r="B804" s="147"/>
      <c r="C804" s="170"/>
      <c r="D804" s="35">
        <f>SUMIF(entrant!$E$4:$E$2059,'Inventaire des produits'!B804,entrant!$G$4:$G$2059)</f>
        <v>0</v>
      </c>
      <c r="E804" s="35">
        <f>SUMIF(vente!$E$4:$E$2190,'Inventaire des produits'!B804,vente!$G$4:$G$2190)</f>
        <v>0</v>
      </c>
      <c r="F804" s="36">
        <f t="shared" si="36"/>
        <v>0</v>
      </c>
      <c r="G804" s="176"/>
      <c r="H804" s="182"/>
      <c r="I804" s="37">
        <f t="shared" si="37"/>
        <v>0</v>
      </c>
      <c r="J804" s="38" t="str">
        <f t="shared" si="38"/>
        <v/>
      </c>
      <c r="K804" s="315"/>
      <c r="L804" s="145"/>
    </row>
    <row r="805" spans="1:12" ht="20.100000000000001" customHeight="1" thickBot="1" x14ac:dyDescent="0.4">
      <c r="A805" s="144" t="str">
        <f>IF(B805=IFERROR(VLOOKUP(B805,entrant!$E$4:$J$188,1,FALSE),"THERE WAS AN ERROR"),"RAPPORT JOURNAL","")</f>
        <v/>
      </c>
      <c r="B805" s="147"/>
      <c r="C805" s="170"/>
      <c r="D805" s="35">
        <f>SUMIF(entrant!$E$4:$E$2059,'Inventaire des produits'!B805,entrant!$G$4:$G$2059)</f>
        <v>0</v>
      </c>
      <c r="E805" s="35">
        <f>SUMIF(vente!$E$4:$E$2190,'Inventaire des produits'!B805,vente!$G$4:$G$2190)</f>
        <v>0</v>
      </c>
      <c r="F805" s="36">
        <f t="shared" si="36"/>
        <v>0</v>
      </c>
      <c r="G805" s="176"/>
      <c r="H805" s="182"/>
      <c r="I805" s="37">
        <f t="shared" si="37"/>
        <v>0</v>
      </c>
      <c r="J805" s="38" t="str">
        <f t="shared" si="38"/>
        <v/>
      </c>
      <c r="K805" s="315"/>
      <c r="L805" s="145"/>
    </row>
    <row r="806" spans="1:12" ht="20.100000000000001" customHeight="1" thickBot="1" x14ac:dyDescent="0.4">
      <c r="A806" s="144" t="str">
        <f>IF(B806=IFERROR(VLOOKUP(B806,entrant!$E$4:$J$188,1,FALSE),"THERE WAS AN ERROR"),"RAPPORT JOURNAL","")</f>
        <v/>
      </c>
      <c r="B806" s="147"/>
      <c r="C806" s="170"/>
      <c r="D806" s="35">
        <f>SUMIF(entrant!$E$4:$E$2059,'Inventaire des produits'!B806,entrant!$G$4:$G$2059)</f>
        <v>0</v>
      </c>
      <c r="E806" s="35">
        <f>SUMIF(vente!$E$4:$E$2190,'Inventaire des produits'!B806,vente!$G$4:$G$2190)</f>
        <v>0</v>
      </c>
      <c r="F806" s="36">
        <f t="shared" si="36"/>
        <v>0</v>
      </c>
      <c r="G806" s="176"/>
      <c r="H806" s="182"/>
      <c r="I806" s="37">
        <f t="shared" si="37"/>
        <v>0</v>
      </c>
      <c r="J806" s="38" t="str">
        <f t="shared" si="38"/>
        <v/>
      </c>
      <c r="K806" s="315"/>
      <c r="L806" s="145"/>
    </row>
    <row r="807" spans="1:12" ht="20.100000000000001" customHeight="1" thickBot="1" x14ac:dyDescent="0.4">
      <c r="A807" s="144" t="str">
        <f>IF(B807=IFERROR(VLOOKUP(B807,entrant!$E$4:$J$188,1,FALSE),"THERE WAS AN ERROR"),"RAPPORT JOURNAL","")</f>
        <v/>
      </c>
      <c r="B807" s="147"/>
      <c r="C807" s="170"/>
      <c r="D807" s="35">
        <f>SUMIF(entrant!$E$4:$E$2059,'Inventaire des produits'!B807,entrant!$G$4:$G$2059)</f>
        <v>0</v>
      </c>
      <c r="E807" s="35">
        <f>SUMIF(vente!$E$4:$E$2190,'Inventaire des produits'!B807,vente!$G$4:$G$2190)</f>
        <v>0</v>
      </c>
      <c r="F807" s="36">
        <f t="shared" si="36"/>
        <v>0</v>
      </c>
      <c r="G807" s="176"/>
      <c r="H807" s="182"/>
      <c r="I807" s="37">
        <f t="shared" si="37"/>
        <v>0</v>
      </c>
      <c r="J807" s="38" t="str">
        <f t="shared" si="38"/>
        <v/>
      </c>
      <c r="K807" s="315"/>
      <c r="L807" s="145"/>
    </row>
    <row r="808" spans="1:12" ht="20.100000000000001" customHeight="1" thickBot="1" x14ac:dyDescent="0.4">
      <c r="A808" s="144" t="str">
        <f>IF(B808=IFERROR(VLOOKUP(B808,entrant!$E$4:$J$188,1,FALSE),"THERE WAS AN ERROR"),"RAPPORT JOURNAL","")</f>
        <v/>
      </c>
      <c r="B808" s="147"/>
      <c r="C808" s="170"/>
      <c r="D808" s="35">
        <f>SUMIF(entrant!$E$4:$E$2059,'Inventaire des produits'!B808,entrant!$G$4:$G$2059)</f>
        <v>0</v>
      </c>
      <c r="E808" s="35">
        <f>SUMIF(vente!$E$4:$E$2190,'Inventaire des produits'!B808,vente!$G$4:$G$2190)</f>
        <v>0</v>
      </c>
      <c r="F808" s="36">
        <f t="shared" si="36"/>
        <v>0</v>
      </c>
      <c r="G808" s="176"/>
      <c r="H808" s="182"/>
      <c r="I808" s="37">
        <f t="shared" si="37"/>
        <v>0</v>
      </c>
      <c r="J808" s="38" t="str">
        <f t="shared" si="38"/>
        <v/>
      </c>
      <c r="K808" s="315"/>
      <c r="L808" s="145"/>
    </row>
    <row r="809" spans="1:12" ht="20.100000000000001" customHeight="1" thickBot="1" x14ac:dyDescent="0.4">
      <c r="A809" s="144" t="str">
        <f>IF(B809=IFERROR(VLOOKUP(B809,entrant!$E$4:$J$188,1,FALSE),"THERE WAS AN ERROR"),"RAPPORT JOURNAL","")</f>
        <v/>
      </c>
      <c r="B809" s="147"/>
      <c r="C809" s="170"/>
      <c r="D809" s="35">
        <f>SUMIF(entrant!$E$4:$E$2059,'Inventaire des produits'!B809,entrant!$G$4:$G$2059)</f>
        <v>0</v>
      </c>
      <c r="E809" s="35">
        <f>SUMIF(vente!$E$4:$E$2190,'Inventaire des produits'!B809,vente!$G$4:$G$2190)</f>
        <v>0</v>
      </c>
      <c r="F809" s="36">
        <f t="shared" si="36"/>
        <v>0</v>
      </c>
      <c r="G809" s="176"/>
      <c r="H809" s="182"/>
      <c r="I809" s="37">
        <f t="shared" si="37"/>
        <v>0</v>
      </c>
      <c r="J809" s="38" t="str">
        <f t="shared" si="38"/>
        <v/>
      </c>
      <c r="K809" s="315"/>
      <c r="L809" s="145"/>
    </row>
    <row r="810" spans="1:12" ht="20.100000000000001" customHeight="1" thickBot="1" x14ac:dyDescent="0.4">
      <c r="A810" s="144" t="str">
        <f>IF(B810=IFERROR(VLOOKUP(B810,entrant!$E$4:$J$188,1,FALSE),"THERE WAS AN ERROR"),"RAPPORT JOURNAL","")</f>
        <v/>
      </c>
      <c r="B810" s="147"/>
      <c r="C810" s="170"/>
      <c r="D810" s="35">
        <f>SUMIF(entrant!$E$4:$E$2059,'Inventaire des produits'!B810,entrant!$G$4:$G$2059)</f>
        <v>0</v>
      </c>
      <c r="E810" s="35">
        <f>SUMIF(vente!$E$4:$E$2190,'Inventaire des produits'!B810,vente!$G$4:$G$2190)</f>
        <v>0</v>
      </c>
      <c r="F810" s="36">
        <f t="shared" si="36"/>
        <v>0</v>
      </c>
      <c r="G810" s="176"/>
      <c r="H810" s="182"/>
      <c r="I810" s="37">
        <f t="shared" si="37"/>
        <v>0</v>
      </c>
      <c r="J810" s="38" t="str">
        <f t="shared" si="38"/>
        <v/>
      </c>
      <c r="K810" s="315"/>
      <c r="L810" s="145"/>
    </row>
    <row r="811" spans="1:12" ht="20.100000000000001" customHeight="1" thickBot="1" x14ac:dyDescent="0.4">
      <c r="A811" s="144" t="str">
        <f>IF(B811=IFERROR(VLOOKUP(B811,entrant!$E$4:$J$188,1,FALSE),"THERE WAS AN ERROR"),"RAPPORT JOURNAL","")</f>
        <v/>
      </c>
      <c r="B811" s="147"/>
      <c r="C811" s="170"/>
      <c r="D811" s="35">
        <f>SUMIF(entrant!$E$4:$E$2059,'Inventaire des produits'!B811,entrant!$G$4:$G$2059)</f>
        <v>0</v>
      </c>
      <c r="E811" s="35">
        <f>SUMIF(vente!$E$4:$E$2190,'Inventaire des produits'!B811,vente!$G$4:$G$2190)</f>
        <v>0</v>
      </c>
      <c r="F811" s="36">
        <f t="shared" si="36"/>
        <v>0</v>
      </c>
      <c r="G811" s="176"/>
      <c r="H811" s="182"/>
      <c r="I811" s="37">
        <f t="shared" si="37"/>
        <v>0</v>
      </c>
      <c r="J811" s="38" t="str">
        <f t="shared" si="38"/>
        <v/>
      </c>
      <c r="K811" s="315"/>
      <c r="L811" s="145"/>
    </row>
    <row r="812" spans="1:12" ht="20.100000000000001" customHeight="1" thickBot="1" x14ac:dyDescent="0.4">
      <c r="A812" s="144" t="str">
        <f>IF(B812=IFERROR(VLOOKUP(B812,entrant!$E$4:$J$188,1,FALSE),"THERE WAS AN ERROR"),"RAPPORT JOURNAL","")</f>
        <v/>
      </c>
      <c r="B812" s="147"/>
      <c r="C812" s="170"/>
      <c r="D812" s="35">
        <f>SUMIF(entrant!$E$4:$E$2059,'Inventaire des produits'!B812,entrant!$G$4:$G$2059)</f>
        <v>0</v>
      </c>
      <c r="E812" s="35">
        <f>SUMIF(vente!$E$4:$E$2190,'Inventaire des produits'!B812,vente!$G$4:$G$2190)</f>
        <v>0</v>
      </c>
      <c r="F812" s="36">
        <f t="shared" si="36"/>
        <v>0</v>
      </c>
      <c r="G812" s="176"/>
      <c r="H812" s="182"/>
      <c r="I812" s="37">
        <f t="shared" si="37"/>
        <v>0</v>
      </c>
      <c r="J812" s="38" t="str">
        <f t="shared" si="38"/>
        <v/>
      </c>
      <c r="K812" s="315"/>
      <c r="L812" s="145"/>
    </row>
    <row r="813" spans="1:12" ht="20.100000000000001" customHeight="1" thickBot="1" x14ac:dyDescent="0.4">
      <c r="A813" s="144" t="str">
        <f>IF(B813=IFERROR(VLOOKUP(B813,entrant!$E$4:$J$188,1,FALSE),"THERE WAS AN ERROR"),"RAPPORT JOURNAL","")</f>
        <v/>
      </c>
      <c r="B813" s="147"/>
      <c r="C813" s="170"/>
      <c r="D813" s="35">
        <f>SUMIF(entrant!$E$4:$E$2059,'Inventaire des produits'!B813,entrant!$G$4:$G$2059)</f>
        <v>0</v>
      </c>
      <c r="E813" s="35">
        <f>SUMIF(vente!$E$4:$E$2190,'Inventaire des produits'!B813,vente!$G$4:$G$2190)</f>
        <v>0</v>
      </c>
      <c r="F813" s="36">
        <f t="shared" si="36"/>
        <v>0</v>
      </c>
      <c r="G813" s="176"/>
      <c r="H813" s="182"/>
      <c r="I813" s="37">
        <f t="shared" si="37"/>
        <v>0</v>
      </c>
      <c r="J813" s="38" t="str">
        <f t="shared" si="38"/>
        <v/>
      </c>
      <c r="K813" s="315"/>
      <c r="L813" s="145"/>
    </row>
    <row r="814" spans="1:12" ht="20.100000000000001" customHeight="1" thickBot="1" x14ac:dyDescent="0.4">
      <c r="A814" s="144" t="str">
        <f>IF(B814=IFERROR(VLOOKUP(B814,entrant!$E$4:$J$188,1,FALSE),"THERE WAS AN ERROR"),"RAPPORT JOURNAL","")</f>
        <v/>
      </c>
      <c r="B814" s="147"/>
      <c r="C814" s="170"/>
      <c r="D814" s="35">
        <f>SUMIF(entrant!$E$4:$E$2059,'Inventaire des produits'!B814,entrant!$G$4:$G$2059)</f>
        <v>0</v>
      </c>
      <c r="E814" s="35">
        <f>SUMIF(vente!$E$4:$E$2190,'Inventaire des produits'!B814,vente!$G$4:$G$2190)</f>
        <v>0</v>
      </c>
      <c r="F814" s="36">
        <f t="shared" si="36"/>
        <v>0</v>
      </c>
      <c r="G814" s="176"/>
      <c r="H814" s="182"/>
      <c r="I814" s="37">
        <f t="shared" si="37"/>
        <v>0</v>
      </c>
      <c r="J814" s="38" t="str">
        <f t="shared" si="38"/>
        <v/>
      </c>
      <c r="K814" s="315"/>
      <c r="L814" s="145"/>
    </row>
    <row r="815" spans="1:12" ht="20.100000000000001" customHeight="1" thickBot="1" x14ac:dyDescent="0.4">
      <c r="A815" s="144" t="str">
        <f>IF(B815=IFERROR(VLOOKUP(B815,entrant!$E$4:$J$188,1,FALSE),"THERE WAS AN ERROR"),"RAPPORT JOURNAL","")</f>
        <v/>
      </c>
      <c r="B815" s="147"/>
      <c r="C815" s="170"/>
      <c r="D815" s="35">
        <f>SUMIF(entrant!$E$4:$E$2059,'Inventaire des produits'!B815,entrant!$G$4:$G$2059)</f>
        <v>0</v>
      </c>
      <c r="E815" s="35">
        <f>SUMIF(vente!$E$4:$E$2190,'Inventaire des produits'!B815,vente!$G$4:$G$2190)</f>
        <v>0</v>
      </c>
      <c r="F815" s="36">
        <f t="shared" si="36"/>
        <v>0</v>
      </c>
      <c r="G815" s="176"/>
      <c r="H815" s="182"/>
      <c r="I815" s="37">
        <f t="shared" si="37"/>
        <v>0</v>
      </c>
      <c r="J815" s="38" t="str">
        <f t="shared" si="38"/>
        <v/>
      </c>
      <c r="K815" s="315"/>
      <c r="L815" s="145"/>
    </row>
    <row r="816" spans="1:12" ht="20.100000000000001" customHeight="1" thickBot="1" x14ac:dyDescent="0.4">
      <c r="A816" s="144" t="str">
        <f>IF(B816=IFERROR(VLOOKUP(B816,entrant!$E$4:$J$188,1,FALSE),"THERE WAS AN ERROR"),"RAPPORT JOURNAL","")</f>
        <v/>
      </c>
      <c r="B816" s="147"/>
      <c r="C816" s="170"/>
      <c r="D816" s="35">
        <f>SUMIF(entrant!$E$4:$E$2059,'Inventaire des produits'!B816,entrant!$G$4:$G$2059)</f>
        <v>0</v>
      </c>
      <c r="E816" s="35">
        <f>SUMIF(vente!$E$4:$E$2190,'Inventaire des produits'!B816,vente!$G$4:$G$2190)</f>
        <v>0</v>
      </c>
      <c r="F816" s="36">
        <f t="shared" si="36"/>
        <v>0</v>
      </c>
      <c r="G816" s="176"/>
      <c r="H816" s="182"/>
      <c r="I816" s="37">
        <f t="shared" si="37"/>
        <v>0</v>
      </c>
      <c r="J816" s="38" t="str">
        <f t="shared" si="38"/>
        <v/>
      </c>
      <c r="K816" s="315"/>
      <c r="L816" s="145"/>
    </row>
    <row r="817" spans="1:12" ht="20.100000000000001" customHeight="1" thickBot="1" x14ac:dyDescent="0.4">
      <c r="A817" s="144" t="str">
        <f>IF(B817=IFERROR(VLOOKUP(B817,entrant!$E$4:$J$188,1,FALSE),"THERE WAS AN ERROR"),"RAPPORT JOURNAL","")</f>
        <v/>
      </c>
      <c r="B817" s="147"/>
      <c r="C817" s="170"/>
      <c r="D817" s="35">
        <f>SUMIF(entrant!$E$4:$E$2059,'Inventaire des produits'!B817,entrant!$G$4:$G$2059)</f>
        <v>0</v>
      </c>
      <c r="E817" s="35">
        <f>SUMIF(vente!$E$4:$E$2190,'Inventaire des produits'!B817,vente!$G$4:$G$2190)</f>
        <v>0</v>
      </c>
      <c r="F817" s="36">
        <f t="shared" si="36"/>
        <v>0</v>
      </c>
      <c r="G817" s="176"/>
      <c r="H817" s="182"/>
      <c r="I817" s="37">
        <f t="shared" si="37"/>
        <v>0</v>
      </c>
      <c r="J817" s="38" t="str">
        <f t="shared" si="38"/>
        <v/>
      </c>
      <c r="K817" s="315"/>
      <c r="L817" s="145"/>
    </row>
    <row r="818" spans="1:12" ht="20.100000000000001" customHeight="1" thickBot="1" x14ac:dyDescent="0.4">
      <c r="A818" s="144" t="str">
        <f>IF(B818=IFERROR(VLOOKUP(B818,entrant!$E$4:$J$188,1,FALSE),"THERE WAS AN ERROR"),"RAPPORT JOURNAL","")</f>
        <v/>
      </c>
      <c r="B818" s="147"/>
      <c r="C818" s="170"/>
      <c r="D818" s="35">
        <f>SUMIF(entrant!$E$4:$E$2059,'Inventaire des produits'!B818,entrant!$G$4:$G$2059)</f>
        <v>0</v>
      </c>
      <c r="E818" s="35">
        <f>SUMIF(vente!$E$4:$E$2190,'Inventaire des produits'!B818,vente!$G$4:$G$2190)</f>
        <v>0</v>
      </c>
      <c r="F818" s="36">
        <f t="shared" si="36"/>
        <v>0</v>
      </c>
      <c r="G818" s="176"/>
      <c r="H818" s="182"/>
      <c r="I818" s="37">
        <f t="shared" si="37"/>
        <v>0</v>
      </c>
      <c r="J818" s="38" t="str">
        <f t="shared" si="38"/>
        <v/>
      </c>
      <c r="K818" s="315"/>
      <c r="L818" s="145"/>
    </row>
    <row r="819" spans="1:12" ht="20.100000000000001" customHeight="1" thickBot="1" x14ac:dyDescent="0.4">
      <c r="A819" s="144" t="str">
        <f>IF(B819=IFERROR(VLOOKUP(B819,entrant!$E$4:$J$188,1,FALSE),"THERE WAS AN ERROR"),"RAPPORT JOURNAL","")</f>
        <v/>
      </c>
      <c r="B819" s="147"/>
      <c r="C819" s="170"/>
      <c r="D819" s="35">
        <f>SUMIF(entrant!$E$4:$E$2059,'Inventaire des produits'!B819,entrant!$G$4:$G$2059)</f>
        <v>0</v>
      </c>
      <c r="E819" s="35">
        <f>SUMIF(vente!$E$4:$E$2190,'Inventaire des produits'!B819,vente!$G$4:$G$2190)</f>
        <v>0</v>
      </c>
      <c r="F819" s="36">
        <f t="shared" si="36"/>
        <v>0</v>
      </c>
      <c r="G819" s="176"/>
      <c r="H819" s="182"/>
      <c r="I819" s="37">
        <f t="shared" si="37"/>
        <v>0</v>
      </c>
      <c r="J819" s="38" t="str">
        <f t="shared" si="38"/>
        <v/>
      </c>
      <c r="K819" s="315"/>
      <c r="L819" s="145"/>
    </row>
    <row r="820" spans="1:12" ht="20.100000000000001" customHeight="1" thickBot="1" x14ac:dyDescent="0.4">
      <c r="A820" s="144" t="str">
        <f>IF(B820=IFERROR(VLOOKUP(B820,entrant!$E$4:$J$188,1,FALSE),"THERE WAS AN ERROR"),"RAPPORT JOURNAL","")</f>
        <v/>
      </c>
      <c r="B820" s="147"/>
      <c r="C820" s="170"/>
      <c r="D820" s="35">
        <f>SUMIF(entrant!$E$4:$E$2059,'Inventaire des produits'!B820,entrant!$G$4:$G$2059)</f>
        <v>0</v>
      </c>
      <c r="E820" s="35">
        <f>SUMIF(vente!$E$4:$E$2190,'Inventaire des produits'!B820,vente!$G$4:$G$2190)</f>
        <v>0</v>
      </c>
      <c r="F820" s="36">
        <f t="shared" si="36"/>
        <v>0</v>
      </c>
      <c r="G820" s="176"/>
      <c r="H820" s="182"/>
      <c r="I820" s="37">
        <f t="shared" si="37"/>
        <v>0</v>
      </c>
      <c r="J820" s="38" t="str">
        <f t="shared" si="38"/>
        <v/>
      </c>
      <c r="K820" s="315"/>
      <c r="L820" s="145"/>
    </row>
    <row r="821" spans="1:12" ht="20.100000000000001" customHeight="1" thickBot="1" x14ac:dyDescent="0.4">
      <c r="A821" s="144" t="str">
        <f>IF(B821=IFERROR(VLOOKUP(B821,entrant!$E$4:$J$188,1,FALSE),"THERE WAS AN ERROR"),"RAPPORT JOURNAL","")</f>
        <v/>
      </c>
      <c r="B821" s="147"/>
      <c r="C821" s="170"/>
      <c r="D821" s="35">
        <f>SUMIF(entrant!$E$4:$E$2059,'Inventaire des produits'!B821,entrant!$G$4:$G$2059)</f>
        <v>0</v>
      </c>
      <c r="E821" s="35">
        <f>SUMIF(vente!$E$4:$E$2190,'Inventaire des produits'!B821,vente!$G$4:$G$2190)</f>
        <v>0</v>
      </c>
      <c r="F821" s="36">
        <f t="shared" si="36"/>
        <v>0</v>
      </c>
      <c r="G821" s="176"/>
      <c r="H821" s="182"/>
      <c r="I821" s="37">
        <f t="shared" si="37"/>
        <v>0</v>
      </c>
      <c r="J821" s="38" t="str">
        <f t="shared" si="38"/>
        <v/>
      </c>
      <c r="K821" s="315"/>
      <c r="L821" s="145"/>
    </row>
    <row r="822" spans="1:12" ht="20.100000000000001" customHeight="1" thickBot="1" x14ac:dyDescent="0.4">
      <c r="A822" s="144" t="str">
        <f>IF(B822=IFERROR(VLOOKUP(B822,entrant!$E$4:$J$188,1,FALSE),"THERE WAS AN ERROR"),"RAPPORT JOURNAL","")</f>
        <v/>
      </c>
      <c r="B822" s="147"/>
      <c r="C822" s="170"/>
      <c r="D822" s="35">
        <f>SUMIF(entrant!$E$4:$E$2059,'Inventaire des produits'!B822,entrant!$G$4:$G$2059)</f>
        <v>0</v>
      </c>
      <c r="E822" s="35">
        <f>SUMIF(vente!$E$4:$E$2190,'Inventaire des produits'!B822,vente!$G$4:$G$2190)</f>
        <v>0</v>
      </c>
      <c r="F822" s="36">
        <f t="shared" si="36"/>
        <v>0</v>
      </c>
      <c r="G822" s="176"/>
      <c r="H822" s="182"/>
      <c r="I822" s="37">
        <f t="shared" si="37"/>
        <v>0</v>
      </c>
      <c r="J822" s="38" t="str">
        <f t="shared" si="38"/>
        <v/>
      </c>
      <c r="K822" s="315"/>
      <c r="L822" s="145"/>
    </row>
    <row r="823" spans="1:12" ht="20.100000000000001" customHeight="1" thickBot="1" x14ac:dyDescent="0.4">
      <c r="A823" s="144" t="str">
        <f>IF(B823=IFERROR(VLOOKUP(B823,entrant!$E$4:$J$188,1,FALSE),"THERE WAS AN ERROR"),"RAPPORT JOURNAL","")</f>
        <v/>
      </c>
      <c r="B823" s="147"/>
      <c r="C823" s="170"/>
      <c r="D823" s="35">
        <f>SUMIF(entrant!$E$4:$E$2059,'Inventaire des produits'!B823,entrant!$G$4:$G$2059)</f>
        <v>0</v>
      </c>
      <c r="E823" s="35">
        <f>SUMIF(vente!$E$4:$E$2190,'Inventaire des produits'!B823,vente!$G$4:$G$2190)</f>
        <v>0</v>
      </c>
      <c r="F823" s="36">
        <f t="shared" si="36"/>
        <v>0</v>
      </c>
      <c r="G823" s="176"/>
      <c r="H823" s="182"/>
      <c r="I823" s="37">
        <f t="shared" si="37"/>
        <v>0</v>
      </c>
      <c r="J823" s="38" t="str">
        <f t="shared" si="38"/>
        <v/>
      </c>
      <c r="K823" s="315"/>
      <c r="L823" s="145"/>
    </row>
    <row r="824" spans="1:12" ht="20.100000000000001" customHeight="1" thickBot="1" x14ac:dyDescent="0.4">
      <c r="A824" s="144" t="str">
        <f>IF(B824=IFERROR(VLOOKUP(B824,entrant!$E$4:$J$188,1,FALSE),"THERE WAS AN ERROR"),"RAPPORT JOURNAL","")</f>
        <v/>
      </c>
      <c r="B824" s="147"/>
      <c r="C824" s="170"/>
      <c r="D824" s="35">
        <f>SUMIF(entrant!$E$4:$E$2059,'Inventaire des produits'!B824,entrant!$G$4:$G$2059)</f>
        <v>0</v>
      </c>
      <c r="E824" s="35">
        <f>SUMIF(vente!$E$4:$E$2190,'Inventaire des produits'!B824,vente!$G$4:$G$2190)</f>
        <v>0</v>
      </c>
      <c r="F824" s="36">
        <f t="shared" si="36"/>
        <v>0</v>
      </c>
      <c r="G824" s="176"/>
      <c r="H824" s="182"/>
      <c r="I824" s="37">
        <f t="shared" si="37"/>
        <v>0</v>
      </c>
      <c r="J824" s="38" t="str">
        <f t="shared" si="38"/>
        <v/>
      </c>
      <c r="K824" s="315"/>
      <c r="L824" s="145"/>
    </row>
    <row r="825" spans="1:12" ht="20.100000000000001" customHeight="1" thickBot="1" x14ac:dyDescent="0.4">
      <c r="A825" s="144" t="str">
        <f>IF(B825=IFERROR(VLOOKUP(B825,entrant!$E$4:$J$188,1,FALSE),"THERE WAS AN ERROR"),"RAPPORT JOURNAL","")</f>
        <v/>
      </c>
      <c r="B825" s="147"/>
      <c r="C825" s="170"/>
      <c r="D825" s="35">
        <f>SUMIF(entrant!$E$4:$E$2059,'Inventaire des produits'!B825,entrant!$G$4:$G$2059)</f>
        <v>0</v>
      </c>
      <c r="E825" s="35">
        <f>SUMIF(vente!$E$4:$E$2190,'Inventaire des produits'!B825,vente!$G$4:$G$2190)</f>
        <v>0</v>
      </c>
      <c r="F825" s="36">
        <f t="shared" si="36"/>
        <v>0</v>
      </c>
      <c r="G825" s="176"/>
      <c r="H825" s="182"/>
      <c r="I825" s="37">
        <f t="shared" si="37"/>
        <v>0</v>
      </c>
      <c r="J825" s="38" t="str">
        <f t="shared" si="38"/>
        <v/>
      </c>
      <c r="K825" s="315"/>
      <c r="L825" s="145"/>
    </row>
    <row r="826" spans="1:12" ht="20.100000000000001" customHeight="1" thickBot="1" x14ac:dyDescent="0.4">
      <c r="A826" s="144" t="str">
        <f>IF(B826=IFERROR(VLOOKUP(B826,entrant!$E$4:$J$188,1,FALSE),"THERE WAS AN ERROR"),"RAPPORT JOURNAL","")</f>
        <v/>
      </c>
      <c r="B826" s="147"/>
      <c r="C826" s="170"/>
      <c r="D826" s="35">
        <f>SUMIF(entrant!$E$4:$E$2059,'Inventaire des produits'!B826,entrant!$G$4:$G$2059)</f>
        <v>0</v>
      </c>
      <c r="E826" s="35">
        <f>SUMIF(vente!$E$4:$E$2190,'Inventaire des produits'!B826,vente!$G$4:$G$2190)</f>
        <v>0</v>
      </c>
      <c r="F826" s="36">
        <f t="shared" si="36"/>
        <v>0</v>
      </c>
      <c r="G826" s="176"/>
      <c r="H826" s="182"/>
      <c r="I826" s="37">
        <f t="shared" si="37"/>
        <v>0</v>
      </c>
      <c r="J826" s="38" t="str">
        <f t="shared" si="38"/>
        <v/>
      </c>
      <c r="K826" s="315"/>
      <c r="L826" s="145"/>
    </row>
    <row r="827" spans="1:12" ht="20.100000000000001" customHeight="1" thickBot="1" x14ac:dyDescent="0.4">
      <c r="A827" s="144" t="str">
        <f>IF(B827=IFERROR(VLOOKUP(B827,entrant!$E$4:$J$188,1,FALSE),"THERE WAS AN ERROR"),"RAPPORT JOURNAL","")</f>
        <v/>
      </c>
      <c r="B827" s="147"/>
      <c r="C827" s="170"/>
      <c r="D827" s="35">
        <f>SUMIF(entrant!$E$4:$E$2059,'Inventaire des produits'!B827,entrant!$G$4:$G$2059)</f>
        <v>0</v>
      </c>
      <c r="E827" s="35">
        <f>SUMIF(vente!$E$4:$E$2190,'Inventaire des produits'!B827,vente!$G$4:$G$2190)</f>
        <v>0</v>
      </c>
      <c r="F827" s="36">
        <f t="shared" si="36"/>
        <v>0</v>
      </c>
      <c r="G827" s="176"/>
      <c r="H827" s="182"/>
      <c r="I827" s="37">
        <f t="shared" si="37"/>
        <v>0</v>
      </c>
      <c r="J827" s="38" t="str">
        <f t="shared" si="38"/>
        <v/>
      </c>
      <c r="K827" s="315"/>
      <c r="L827" s="145"/>
    </row>
    <row r="828" spans="1:12" ht="20.100000000000001" customHeight="1" thickBot="1" x14ac:dyDescent="0.4">
      <c r="A828" s="144" t="str">
        <f>IF(B828=IFERROR(VLOOKUP(B828,entrant!$E$4:$J$188,1,FALSE),"THERE WAS AN ERROR"),"RAPPORT JOURNAL","")</f>
        <v/>
      </c>
      <c r="B828" s="147"/>
      <c r="C828" s="170"/>
      <c r="D828" s="35">
        <f>SUMIF(entrant!$E$4:$E$2059,'Inventaire des produits'!B828,entrant!$G$4:$G$2059)</f>
        <v>0</v>
      </c>
      <c r="E828" s="35">
        <f>SUMIF(vente!$E$4:$E$2190,'Inventaire des produits'!B828,vente!$G$4:$G$2190)</f>
        <v>0</v>
      </c>
      <c r="F828" s="36">
        <f t="shared" si="36"/>
        <v>0</v>
      </c>
      <c r="G828" s="176"/>
      <c r="H828" s="182"/>
      <c r="I828" s="37">
        <f t="shared" si="37"/>
        <v>0</v>
      </c>
      <c r="J828" s="38" t="str">
        <f t="shared" si="38"/>
        <v/>
      </c>
      <c r="K828" s="315"/>
      <c r="L828" s="145"/>
    </row>
    <row r="829" spans="1:12" ht="20.100000000000001" customHeight="1" thickBot="1" x14ac:dyDescent="0.4">
      <c r="A829" s="144" t="str">
        <f>IF(B829=IFERROR(VLOOKUP(B829,entrant!$E$4:$J$188,1,FALSE),"THERE WAS AN ERROR"),"RAPPORT JOURNAL","")</f>
        <v/>
      </c>
      <c r="B829" s="147"/>
      <c r="C829" s="170"/>
      <c r="D829" s="35">
        <f>SUMIF(entrant!$E$4:$E$2059,'Inventaire des produits'!B829,entrant!$G$4:$G$2059)</f>
        <v>0</v>
      </c>
      <c r="E829" s="35">
        <f>SUMIF(vente!$E$4:$E$2190,'Inventaire des produits'!B829,vente!$G$4:$G$2190)</f>
        <v>0</v>
      </c>
      <c r="F829" s="36">
        <f t="shared" si="36"/>
        <v>0</v>
      </c>
      <c r="G829" s="176"/>
      <c r="H829" s="182"/>
      <c r="I829" s="37">
        <f t="shared" si="37"/>
        <v>0</v>
      </c>
      <c r="J829" s="38" t="str">
        <f t="shared" si="38"/>
        <v/>
      </c>
      <c r="K829" s="315"/>
      <c r="L829" s="145"/>
    </row>
    <row r="830" spans="1:12" ht="20.100000000000001" customHeight="1" thickBot="1" x14ac:dyDescent="0.4">
      <c r="A830" s="144" t="str">
        <f>IF(B830=IFERROR(VLOOKUP(B830,entrant!$E$4:$J$188,1,FALSE),"THERE WAS AN ERROR"),"RAPPORT JOURNAL","")</f>
        <v/>
      </c>
      <c r="B830" s="147"/>
      <c r="C830" s="170"/>
      <c r="D830" s="35">
        <f>SUMIF(entrant!$E$4:$E$2059,'Inventaire des produits'!B830,entrant!$G$4:$G$2059)</f>
        <v>0</v>
      </c>
      <c r="E830" s="35">
        <f>SUMIF(vente!$E$4:$E$2190,'Inventaire des produits'!B830,vente!$G$4:$G$2190)</f>
        <v>0</v>
      </c>
      <c r="F830" s="36">
        <f t="shared" si="36"/>
        <v>0</v>
      </c>
      <c r="G830" s="176"/>
      <c r="H830" s="182"/>
      <c r="I830" s="37">
        <f t="shared" si="37"/>
        <v>0</v>
      </c>
      <c r="J830" s="38" t="str">
        <f t="shared" si="38"/>
        <v/>
      </c>
      <c r="K830" s="315"/>
      <c r="L830" s="145"/>
    </row>
    <row r="831" spans="1:12" ht="20.100000000000001" customHeight="1" thickBot="1" x14ac:dyDescent="0.4">
      <c r="A831" s="144" t="str">
        <f>IF(B831=IFERROR(VLOOKUP(B831,entrant!$E$4:$J$188,1,FALSE),"THERE WAS AN ERROR"),"RAPPORT JOURNAL","")</f>
        <v/>
      </c>
      <c r="B831" s="147"/>
      <c r="C831" s="170"/>
      <c r="D831" s="35">
        <f>SUMIF(entrant!$E$4:$E$2059,'Inventaire des produits'!B831,entrant!$G$4:$G$2059)</f>
        <v>0</v>
      </c>
      <c r="E831" s="35">
        <f>SUMIF(vente!$E$4:$E$2190,'Inventaire des produits'!B831,vente!$G$4:$G$2190)</f>
        <v>0</v>
      </c>
      <c r="F831" s="36">
        <f t="shared" si="36"/>
        <v>0</v>
      </c>
      <c r="G831" s="176"/>
      <c r="H831" s="182"/>
      <c r="I831" s="37">
        <f t="shared" si="37"/>
        <v>0</v>
      </c>
      <c r="J831" s="38" t="str">
        <f t="shared" si="38"/>
        <v/>
      </c>
      <c r="K831" s="315"/>
      <c r="L831" s="145"/>
    </row>
    <row r="832" spans="1:12" ht="20.100000000000001" customHeight="1" thickBot="1" x14ac:dyDescent="0.4">
      <c r="A832" s="144" t="str">
        <f>IF(B832=IFERROR(VLOOKUP(B832,entrant!$E$4:$J$188,1,FALSE),"THERE WAS AN ERROR"),"RAPPORT JOURNAL","")</f>
        <v/>
      </c>
      <c r="B832" s="147"/>
      <c r="C832" s="170"/>
      <c r="D832" s="35">
        <f>SUMIF(entrant!$E$4:$E$2059,'Inventaire des produits'!B832,entrant!$G$4:$G$2059)</f>
        <v>0</v>
      </c>
      <c r="E832" s="35">
        <f>SUMIF(vente!$E$4:$E$2190,'Inventaire des produits'!B832,vente!$G$4:$G$2190)</f>
        <v>0</v>
      </c>
      <c r="F832" s="36">
        <f t="shared" si="36"/>
        <v>0</v>
      </c>
      <c r="G832" s="176"/>
      <c r="H832" s="182"/>
      <c r="I832" s="37">
        <f t="shared" si="37"/>
        <v>0</v>
      </c>
      <c r="J832" s="38" t="str">
        <f t="shared" si="38"/>
        <v/>
      </c>
      <c r="K832" s="315"/>
      <c r="L832" s="145"/>
    </row>
    <row r="833" spans="1:12" ht="20.100000000000001" customHeight="1" thickBot="1" x14ac:dyDescent="0.4">
      <c r="A833" s="144" t="str">
        <f>IF(B833=IFERROR(VLOOKUP(B833,entrant!$E$4:$J$188,1,FALSE),"THERE WAS AN ERROR"),"RAPPORT JOURNAL","")</f>
        <v/>
      </c>
      <c r="B833" s="147"/>
      <c r="C833" s="170"/>
      <c r="D833" s="35">
        <f>SUMIF(entrant!$E$4:$E$2059,'Inventaire des produits'!B833,entrant!$G$4:$G$2059)</f>
        <v>0</v>
      </c>
      <c r="E833" s="35">
        <f>SUMIF(vente!$E$4:$E$2190,'Inventaire des produits'!B833,vente!$G$4:$G$2190)</f>
        <v>0</v>
      </c>
      <c r="F833" s="36">
        <f t="shared" si="36"/>
        <v>0</v>
      </c>
      <c r="G833" s="176"/>
      <c r="H833" s="182"/>
      <c r="I833" s="37">
        <f t="shared" si="37"/>
        <v>0</v>
      </c>
      <c r="J833" s="38" t="str">
        <f t="shared" si="38"/>
        <v/>
      </c>
      <c r="K833" s="315"/>
      <c r="L833" s="145"/>
    </row>
    <row r="834" spans="1:12" ht="20.100000000000001" customHeight="1" thickBot="1" x14ac:dyDescent="0.4">
      <c r="A834" s="144" t="str">
        <f>IF(B834=IFERROR(VLOOKUP(B834,entrant!$E$4:$J$188,1,FALSE),"THERE WAS AN ERROR"),"RAPPORT JOURNAL","")</f>
        <v/>
      </c>
      <c r="B834" s="147"/>
      <c r="C834" s="170"/>
      <c r="D834" s="35">
        <f>SUMIF(entrant!$E$4:$E$2059,'Inventaire des produits'!B834,entrant!$G$4:$G$2059)</f>
        <v>0</v>
      </c>
      <c r="E834" s="35">
        <f>SUMIF(vente!$E$4:$E$2190,'Inventaire des produits'!B834,vente!$G$4:$G$2190)</f>
        <v>0</v>
      </c>
      <c r="F834" s="36">
        <f t="shared" si="36"/>
        <v>0</v>
      </c>
      <c r="G834" s="176"/>
      <c r="H834" s="182"/>
      <c r="I834" s="37">
        <f t="shared" si="37"/>
        <v>0</v>
      </c>
      <c r="J834" s="38" t="str">
        <f t="shared" si="38"/>
        <v/>
      </c>
      <c r="K834" s="315"/>
      <c r="L834" s="145"/>
    </row>
    <row r="835" spans="1:12" ht="20.100000000000001" customHeight="1" thickBot="1" x14ac:dyDescent="0.4">
      <c r="A835" s="144" t="str">
        <f>IF(B835=IFERROR(VLOOKUP(B835,entrant!$E$4:$J$188,1,FALSE),"THERE WAS AN ERROR"),"RAPPORT JOURNAL","")</f>
        <v/>
      </c>
      <c r="B835" s="147"/>
      <c r="C835" s="170"/>
      <c r="D835" s="35">
        <f>SUMIF(entrant!$E$4:$E$2059,'Inventaire des produits'!B835,entrant!$G$4:$G$2059)</f>
        <v>0</v>
      </c>
      <c r="E835" s="35">
        <f>SUMIF(vente!$E$4:$E$2190,'Inventaire des produits'!B835,vente!$G$4:$G$2190)</f>
        <v>0</v>
      </c>
      <c r="F835" s="36">
        <f t="shared" ref="F835:F898" si="39">IF(OR(D835="",E835=""),"",D835-E835)</f>
        <v>0</v>
      </c>
      <c r="G835" s="176"/>
      <c r="H835" s="182"/>
      <c r="I835" s="37">
        <f t="shared" si="37"/>
        <v>0</v>
      </c>
      <c r="J835" s="38" t="str">
        <f t="shared" si="38"/>
        <v/>
      </c>
      <c r="K835" s="315"/>
      <c r="L835" s="145"/>
    </row>
    <row r="836" spans="1:12" ht="20.100000000000001" customHeight="1" thickBot="1" x14ac:dyDescent="0.4">
      <c r="A836" s="144" t="str">
        <f>IF(B836=IFERROR(VLOOKUP(B836,entrant!$E$4:$J$188,1,FALSE),"THERE WAS AN ERROR"),"RAPPORT JOURNAL","")</f>
        <v/>
      </c>
      <c r="B836" s="147"/>
      <c r="C836" s="170"/>
      <c r="D836" s="35">
        <f>SUMIF(entrant!$E$4:$E$2059,'Inventaire des produits'!B836,entrant!$G$4:$G$2059)</f>
        <v>0</v>
      </c>
      <c r="E836" s="35">
        <f>SUMIF(vente!$E$4:$E$2190,'Inventaire des produits'!B836,vente!$G$4:$G$2190)</f>
        <v>0</v>
      </c>
      <c r="F836" s="36">
        <f t="shared" si="39"/>
        <v>0</v>
      </c>
      <c r="G836" s="176"/>
      <c r="H836" s="182"/>
      <c r="I836" s="37">
        <f t="shared" ref="I836:I899" si="40">IF(H836="",G836,G836-G836*H836)</f>
        <v>0</v>
      </c>
      <c r="J836" s="38" t="str">
        <f t="shared" ref="J836:J899" si="41">IF(OR(F836="",G836=""),"",F836*I836)</f>
        <v/>
      </c>
      <c r="K836" s="315"/>
      <c r="L836" s="145"/>
    </row>
    <row r="837" spans="1:12" ht="20.100000000000001" customHeight="1" thickBot="1" x14ac:dyDescent="0.4">
      <c r="A837" s="144" t="str">
        <f>IF(B837=IFERROR(VLOOKUP(B837,entrant!$E$4:$J$188,1,FALSE),"THERE WAS AN ERROR"),"RAPPORT JOURNAL","")</f>
        <v/>
      </c>
      <c r="B837" s="147"/>
      <c r="C837" s="170"/>
      <c r="D837" s="35">
        <f>SUMIF(entrant!$E$4:$E$2059,'Inventaire des produits'!B837,entrant!$G$4:$G$2059)</f>
        <v>0</v>
      </c>
      <c r="E837" s="35">
        <f>SUMIF(vente!$E$4:$E$2190,'Inventaire des produits'!B837,vente!$G$4:$G$2190)</f>
        <v>0</v>
      </c>
      <c r="F837" s="36">
        <f t="shared" si="39"/>
        <v>0</v>
      </c>
      <c r="G837" s="176"/>
      <c r="H837" s="182"/>
      <c r="I837" s="37">
        <f t="shared" si="40"/>
        <v>0</v>
      </c>
      <c r="J837" s="38" t="str">
        <f t="shared" si="41"/>
        <v/>
      </c>
      <c r="K837" s="315"/>
      <c r="L837" s="145"/>
    </row>
    <row r="838" spans="1:12" ht="20.100000000000001" customHeight="1" thickBot="1" x14ac:dyDescent="0.4">
      <c r="A838" s="144" t="str">
        <f>IF(B838=IFERROR(VLOOKUP(B838,entrant!$E$4:$J$188,1,FALSE),"THERE WAS AN ERROR"),"RAPPORT JOURNAL","")</f>
        <v/>
      </c>
      <c r="B838" s="147"/>
      <c r="C838" s="170"/>
      <c r="D838" s="35">
        <f>SUMIF(entrant!$E$4:$E$2059,'Inventaire des produits'!B838,entrant!$G$4:$G$2059)</f>
        <v>0</v>
      </c>
      <c r="E838" s="35">
        <f>SUMIF(vente!$E$4:$E$2190,'Inventaire des produits'!B838,vente!$G$4:$G$2190)</f>
        <v>0</v>
      </c>
      <c r="F838" s="36">
        <f t="shared" si="39"/>
        <v>0</v>
      </c>
      <c r="G838" s="176"/>
      <c r="H838" s="182"/>
      <c r="I838" s="37">
        <f t="shared" si="40"/>
        <v>0</v>
      </c>
      <c r="J838" s="38" t="str">
        <f t="shared" si="41"/>
        <v/>
      </c>
      <c r="K838" s="315"/>
      <c r="L838" s="145"/>
    </row>
    <row r="839" spans="1:12" ht="20.100000000000001" customHeight="1" thickBot="1" x14ac:dyDescent="0.4">
      <c r="A839" s="144" t="str">
        <f>IF(B839=IFERROR(VLOOKUP(B839,entrant!$E$4:$J$188,1,FALSE),"THERE WAS AN ERROR"),"RAPPORT JOURNAL","")</f>
        <v/>
      </c>
      <c r="B839" s="147"/>
      <c r="C839" s="170"/>
      <c r="D839" s="35">
        <f>SUMIF(entrant!$E$4:$E$2059,'Inventaire des produits'!B839,entrant!$G$4:$G$2059)</f>
        <v>0</v>
      </c>
      <c r="E839" s="35">
        <f>SUMIF(vente!$E$4:$E$2190,'Inventaire des produits'!B839,vente!$G$4:$G$2190)</f>
        <v>0</v>
      </c>
      <c r="F839" s="36">
        <f t="shared" si="39"/>
        <v>0</v>
      </c>
      <c r="G839" s="176"/>
      <c r="H839" s="182"/>
      <c r="I839" s="37">
        <f t="shared" si="40"/>
        <v>0</v>
      </c>
      <c r="J839" s="38" t="str">
        <f t="shared" si="41"/>
        <v/>
      </c>
      <c r="K839" s="315"/>
      <c r="L839" s="145"/>
    </row>
    <row r="840" spans="1:12" ht="20.100000000000001" customHeight="1" thickBot="1" x14ac:dyDescent="0.4">
      <c r="A840" s="144" t="str">
        <f>IF(B840=IFERROR(VLOOKUP(B840,entrant!$E$4:$J$188,1,FALSE),"THERE WAS AN ERROR"),"RAPPORT JOURNAL","")</f>
        <v/>
      </c>
      <c r="B840" s="147"/>
      <c r="C840" s="170"/>
      <c r="D840" s="35">
        <f>SUMIF(entrant!$E$4:$E$2059,'Inventaire des produits'!B840,entrant!$G$4:$G$2059)</f>
        <v>0</v>
      </c>
      <c r="E840" s="35">
        <f>SUMIF(vente!$E$4:$E$2190,'Inventaire des produits'!B840,vente!$G$4:$G$2190)</f>
        <v>0</v>
      </c>
      <c r="F840" s="36">
        <f t="shared" si="39"/>
        <v>0</v>
      </c>
      <c r="G840" s="176"/>
      <c r="H840" s="182"/>
      <c r="I840" s="37">
        <f t="shared" si="40"/>
        <v>0</v>
      </c>
      <c r="J840" s="38" t="str">
        <f t="shared" si="41"/>
        <v/>
      </c>
      <c r="K840" s="315"/>
      <c r="L840" s="145"/>
    </row>
    <row r="841" spans="1:12" ht="20.100000000000001" customHeight="1" thickBot="1" x14ac:dyDescent="0.4">
      <c r="A841" s="144" t="str">
        <f>IF(B841=IFERROR(VLOOKUP(B841,entrant!$E$4:$J$188,1,FALSE),"THERE WAS AN ERROR"),"RAPPORT JOURNAL","")</f>
        <v/>
      </c>
      <c r="B841" s="147"/>
      <c r="C841" s="170"/>
      <c r="D841" s="35">
        <f>SUMIF(entrant!$E$4:$E$2059,'Inventaire des produits'!B841,entrant!$G$4:$G$2059)</f>
        <v>0</v>
      </c>
      <c r="E841" s="35">
        <f>SUMIF(vente!$E$4:$E$2190,'Inventaire des produits'!B841,vente!$G$4:$G$2190)</f>
        <v>0</v>
      </c>
      <c r="F841" s="36">
        <f t="shared" si="39"/>
        <v>0</v>
      </c>
      <c r="G841" s="176"/>
      <c r="H841" s="182"/>
      <c r="I841" s="37">
        <f t="shared" si="40"/>
        <v>0</v>
      </c>
      <c r="J841" s="38" t="str">
        <f t="shared" si="41"/>
        <v/>
      </c>
      <c r="K841" s="315"/>
      <c r="L841" s="145"/>
    </row>
    <row r="842" spans="1:12" ht="20.100000000000001" customHeight="1" thickBot="1" x14ac:dyDescent="0.4">
      <c r="A842" s="144" t="str">
        <f>IF(B842=IFERROR(VLOOKUP(B842,entrant!$E$4:$J$188,1,FALSE),"THERE WAS AN ERROR"),"RAPPORT JOURNAL","")</f>
        <v/>
      </c>
      <c r="B842" s="147"/>
      <c r="C842" s="170"/>
      <c r="D842" s="35">
        <f>SUMIF(entrant!$E$4:$E$2059,'Inventaire des produits'!B842,entrant!$G$4:$G$2059)</f>
        <v>0</v>
      </c>
      <c r="E842" s="35">
        <f>SUMIF(vente!$E$4:$E$2190,'Inventaire des produits'!B842,vente!$G$4:$G$2190)</f>
        <v>0</v>
      </c>
      <c r="F842" s="36">
        <f t="shared" si="39"/>
        <v>0</v>
      </c>
      <c r="G842" s="176"/>
      <c r="H842" s="182"/>
      <c r="I842" s="37">
        <f t="shared" si="40"/>
        <v>0</v>
      </c>
      <c r="J842" s="38" t="str">
        <f t="shared" si="41"/>
        <v/>
      </c>
      <c r="K842" s="315"/>
      <c r="L842" s="145"/>
    </row>
    <row r="843" spans="1:12" ht="20.100000000000001" customHeight="1" thickBot="1" x14ac:dyDescent="0.4">
      <c r="A843" s="144" t="str">
        <f>IF(B843=IFERROR(VLOOKUP(B843,entrant!$E$4:$J$188,1,FALSE),"THERE WAS AN ERROR"),"RAPPORT JOURNAL","")</f>
        <v/>
      </c>
      <c r="B843" s="147"/>
      <c r="C843" s="170"/>
      <c r="D843" s="35">
        <f>SUMIF(entrant!$E$4:$E$2059,'Inventaire des produits'!B843,entrant!$G$4:$G$2059)</f>
        <v>0</v>
      </c>
      <c r="E843" s="35">
        <f>SUMIF(vente!$E$4:$E$2190,'Inventaire des produits'!B843,vente!$G$4:$G$2190)</f>
        <v>0</v>
      </c>
      <c r="F843" s="36">
        <f t="shared" si="39"/>
        <v>0</v>
      </c>
      <c r="G843" s="176"/>
      <c r="H843" s="182"/>
      <c r="I843" s="37">
        <f t="shared" si="40"/>
        <v>0</v>
      </c>
      <c r="J843" s="38" t="str">
        <f t="shared" si="41"/>
        <v/>
      </c>
      <c r="K843" s="315"/>
      <c r="L843" s="145"/>
    </row>
    <row r="844" spans="1:12" ht="20.100000000000001" customHeight="1" thickBot="1" x14ac:dyDescent="0.4">
      <c r="A844" s="144" t="str">
        <f>IF(B844=IFERROR(VLOOKUP(B844,entrant!$E$4:$J$188,1,FALSE),"THERE WAS AN ERROR"),"RAPPORT JOURNAL","")</f>
        <v/>
      </c>
      <c r="B844" s="147"/>
      <c r="C844" s="170"/>
      <c r="D844" s="35">
        <f>SUMIF(entrant!$E$4:$E$2059,'Inventaire des produits'!B844,entrant!$G$4:$G$2059)</f>
        <v>0</v>
      </c>
      <c r="E844" s="35">
        <f>SUMIF(vente!$E$4:$E$2190,'Inventaire des produits'!B844,vente!$G$4:$G$2190)</f>
        <v>0</v>
      </c>
      <c r="F844" s="36">
        <f t="shared" si="39"/>
        <v>0</v>
      </c>
      <c r="G844" s="176"/>
      <c r="H844" s="182"/>
      <c r="I844" s="37">
        <f t="shared" si="40"/>
        <v>0</v>
      </c>
      <c r="J844" s="38" t="str">
        <f t="shared" si="41"/>
        <v/>
      </c>
      <c r="K844" s="315"/>
      <c r="L844" s="145"/>
    </row>
    <row r="845" spans="1:12" ht="20.100000000000001" customHeight="1" thickBot="1" x14ac:dyDescent="0.4">
      <c r="A845" s="144" t="str">
        <f>IF(B845=IFERROR(VLOOKUP(B845,entrant!$E$4:$J$188,1,FALSE),"THERE WAS AN ERROR"),"RAPPORT JOURNAL","")</f>
        <v/>
      </c>
      <c r="B845" s="147"/>
      <c r="C845" s="170"/>
      <c r="D845" s="35">
        <f>SUMIF(entrant!$E$4:$E$2059,'Inventaire des produits'!B845,entrant!$G$4:$G$2059)</f>
        <v>0</v>
      </c>
      <c r="E845" s="35">
        <f>SUMIF(vente!$E$4:$E$2190,'Inventaire des produits'!B845,vente!$G$4:$G$2190)</f>
        <v>0</v>
      </c>
      <c r="F845" s="36">
        <f t="shared" si="39"/>
        <v>0</v>
      </c>
      <c r="G845" s="176"/>
      <c r="H845" s="182"/>
      <c r="I845" s="37">
        <f t="shared" si="40"/>
        <v>0</v>
      </c>
      <c r="J845" s="38" t="str">
        <f t="shared" si="41"/>
        <v/>
      </c>
      <c r="K845" s="315"/>
      <c r="L845" s="145"/>
    </row>
    <row r="846" spans="1:12" ht="20.100000000000001" customHeight="1" thickBot="1" x14ac:dyDescent="0.4">
      <c r="A846" s="144" t="str">
        <f>IF(B846=IFERROR(VLOOKUP(B846,entrant!$E$4:$J$188,1,FALSE),"THERE WAS AN ERROR"),"RAPPORT JOURNAL","")</f>
        <v/>
      </c>
      <c r="B846" s="147"/>
      <c r="C846" s="170"/>
      <c r="D846" s="35">
        <f>SUMIF(entrant!$E$4:$E$2059,'Inventaire des produits'!B846,entrant!$G$4:$G$2059)</f>
        <v>0</v>
      </c>
      <c r="E846" s="35">
        <f>SUMIF(vente!$E$4:$E$2190,'Inventaire des produits'!B846,vente!$G$4:$G$2190)</f>
        <v>0</v>
      </c>
      <c r="F846" s="36">
        <f t="shared" si="39"/>
        <v>0</v>
      </c>
      <c r="G846" s="176"/>
      <c r="H846" s="182"/>
      <c r="I846" s="37">
        <f t="shared" si="40"/>
        <v>0</v>
      </c>
      <c r="J846" s="38" t="str">
        <f t="shared" si="41"/>
        <v/>
      </c>
      <c r="K846" s="315"/>
      <c r="L846" s="145"/>
    </row>
    <row r="847" spans="1:12" ht="20.100000000000001" customHeight="1" thickBot="1" x14ac:dyDescent="0.4">
      <c r="A847" s="144" t="str">
        <f>IF(B847=IFERROR(VLOOKUP(B847,entrant!$E$4:$J$188,1,FALSE),"THERE WAS AN ERROR"),"RAPPORT JOURNAL","")</f>
        <v/>
      </c>
      <c r="B847" s="147"/>
      <c r="C847" s="170"/>
      <c r="D847" s="35">
        <f>SUMIF(entrant!$E$4:$E$2059,'Inventaire des produits'!B847,entrant!$G$4:$G$2059)</f>
        <v>0</v>
      </c>
      <c r="E847" s="35">
        <f>SUMIF(vente!$E$4:$E$2190,'Inventaire des produits'!B847,vente!$G$4:$G$2190)</f>
        <v>0</v>
      </c>
      <c r="F847" s="36">
        <f t="shared" si="39"/>
        <v>0</v>
      </c>
      <c r="G847" s="176"/>
      <c r="H847" s="182"/>
      <c r="I847" s="37">
        <f t="shared" si="40"/>
        <v>0</v>
      </c>
      <c r="J847" s="38" t="str">
        <f t="shared" si="41"/>
        <v/>
      </c>
      <c r="K847" s="315"/>
      <c r="L847" s="145"/>
    </row>
    <row r="848" spans="1:12" ht="20.100000000000001" customHeight="1" thickBot="1" x14ac:dyDescent="0.4">
      <c r="A848" s="144" t="str">
        <f>IF(B848=IFERROR(VLOOKUP(B848,entrant!$E$4:$J$188,1,FALSE),"THERE WAS AN ERROR"),"RAPPORT JOURNAL","")</f>
        <v/>
      </c>
      <c r="B848" s="147"/>
      <c r="C848" s="170"/>
      <c r="D848" s="35">
        <f>SUMIF(entrant!$E$4:$E$2059,'Inventaire des produits'!B848,entrant!$G$4:$G$2059)</f>
        <v>0</v>
      </c>
      <c r="E848" s="35">
        <f>SUMIF(vente!$E$4:$E$2190,'Inventaire des produits'!B848,vente!$G$4:$G$2190)</f>
        <v>0</v>
      </c>
      <c r="F848" s="36">
        <f t="shared" si="39"/>
        <v>0</v>
      </c>
      <c r="G848" s="176"/>
      <c r="H848" s="182"/>
      <c r="I848" s="37">
        <f t="shared" si="40"/>
        <v>0</v>
      </c>
      <c r="J848" s="38" t="str">
        <f t="shared" si="41"/>
        <v/>
      </c>
      <c r="K848" s="315"/>
      <c r="L848" s="145"/>
    </row>
    <row r="849" spans="1:12" ht="20.100000000000001" customHeight="1" thickBot="1" x14ac:dyDescent="0.4">
      <c r="A849" s="144" t="str">
        <f>IF(B849=IFERROR(VLOOKUP(B849,entrant!$E$4:$J$188,1,FALSE),"THERE WAS AN ERROR"),"RAPPORT JOURNAL","")</f>
        <v/>
      </c>
      <c r="B849" s="147"/>
      <c r="C849" s="170"/>
      <c r="D849" s="35">
        <f>SUMIF(entrant!$E$4:$E$2059,'Inventaire des produits'!B849,entrant!$G$4:$G$2059)</f>
        <v>0</v>
      </c>
      <c r="E849" s="35">
        <f>SUMIF(vente!$E$4:$E$2190,'Inventaire des produits'!B849,vente!$G$4:$G$2190)</f>
        <v>0</v>
      </c>
      <c r="F849" s="36">
        <f t="shared" si="39"/>
        <v>0</v>
      </c>
      <c r="G849" s="176"/>
      <c r="H849" s="182"/>
      <c r="I849" s="37">
        <f t="shared" si="40"/>
        <v>0</v>
      </c>
      <c r="J849" s="38" t="str">
        <f t="shared" si="41"/>
        <v/>
      </c>
      <c r="K849" s="315"/>
      <c r="L849" s="145"/>
    </row>
    <row r="850" spans="1:12" ht="20.100000000000001" customHeight="1" thickBot="1" x14ac:dyDescent="0.4">
      <c r="A850" s="144" t="str">
        <f>IF(B850=IFERROR(VLOOKUP(B850,entrant!$E$4:$J$188,1,FALSE),"THERE WAS AN ERROR"),"RAPPORT JOURNAL","")</f>
        <v/>
      </c>
      <c r="B850" s="147"/>
      <c r="C850" s="170"/>
      <c r="D850" s="35">
        <f>SUMIF(entrant!$E$4:$E$2059,'Inventaire des produits'!B850,entrant!$G$4:$G$2059)</f>
        <v>0</v>
      </c>
      <c r="E850" s="35">
        <f>SUMIF(vente!$E$4:$E$2190,'Inventaire des produits'!B850,vente!$G$4:$G$2190)</f>
        <v>0</v>
      </c>
      <c r="F850" s="36">
        <f t="shared" si="39"/>
        <v>0</v>
      </c>
      <c r="G850" s="176"/>
      <c r="H850" s="182"/>
      <c r="I850" s="37">
        <f t="shared" si="40"/>
        <v>0</v>
      </c>
      <c r="J850" s="38" t="str">
        <f t="shared" si="41"/>
        <v/>
      </c>
      <c r="K850" s="315"/>
      <c r="L850" s="145"/>
    </row>
    <row r="851" spans="1:12" ht="20.100000000000001" customHeight="1" thickBot="1" x14ac:dyDescent="0.4">
      <c r="A851" s="144" t="str">
        <f>IF(B851=IFERROR(VLOOKUP(B851,entrant!$E$4:$J$188,1,FALSE),"THERE WAS AN ERROR"),"RAPPORT JOURNAL","")</f>
        <v/>
      </c>
      <c r="B851" s="147"/>
      <c r="C851" s="170"/>
      <c r="D851" s="35">
        <f>SUMIF(entrant!$E$4:$E$2059,'Inventaire des produits'!B851,entrant!$G$4:$G$2059)</f>
        <v>0</v>
      </c>
      <c r="E851" s="35">
        <f>SUMIF(vente!$E$4:$E$2190,'Inventaire des produits'!B851,vente!$G$4:$G$2190)</f>
        <v>0</v>
      </c>
      <c r="F851" s="36">
        <f t="shared" si="39"/>
        <v>0</v>
      </c>
      <c r="G851" s="176"/>
      <c r="H851" s="182"/>
      <c r="I851" s="37">
        <f t="shared" si="40"/>
        <v>0</v>
      </c>
      <c r="J851" s="38" t="str">
        <f t="shared" si="41"/>
        <v/>
      </c>
      <c r="K851" s="315"/>
      <c r="L851" s="145"/>
    </row>
    <row r="852" spans="1:12" ht="20.100000000000001" customHeight="1" thickBot="1" x14ac:dyDescent="0.4">
      <c r="A852" s="144" t="str">
        <f>IF(B852=IFERROR(VLOOKUP(B852,entrant!$E$4:$J$188,1,FALSE),"THERE WAS AN ERROR"),"RAPPORT JOURNAL","")</f>
        <v/>
      </c>
      <c r="B852" s="147"/>
      <c r="C852" s="170"/>
      <c r="D852" s="35">
        <f>SUMIF(entrant!$E$4:$E$2059,'Inventaire des produits'!B852,entrant!$G$4:$G$2059)</f>
        <v>0</v>
      </c>
      <c r="E852" s="35">
        <f>SUMIF(vente!$E$4:$E$2190,'Inventaire des produits'!B852,vente!$G$4:$G$2190)</f>
        <v>0</v>
      </c>
      <c r="F852" s="36">
        <f t="shared" si="39"/>
        <v>0</v>
      </c>
      <c r="G852" s="176"/>
      <c r="H852" s="182"/>
      <c r="I852" s="37">
        <f t="shared" si="40"/>
        <v>0</v>
      </c>
      <c r="J852" s="38" t="str">
        <f t="shared" si="41"/>
        <v/>
      </c>
      <c r="K852" s="315"/>
      <c r="L852" s="145"/>
    </row>
    <row r="853" spans="1:12" ht="20.100000000000001" customHeight="1" thickBot="1" x14ac:dyDescent="0.4">
      <c r="A853" s="144" t="str">
        <f>IF(B853=IFERROR(VLOOKUP(B853,entrant!$E$4:$J$188,1,FALSE),"THERE WAS AN ERROR"),"RAPPORT JOURNAL","")</f>
        <v/>
      </c>
      <c r="B853" s="147"/>
      <c r="C853" s="170"/>
      <c r="D853" s="35">
        <f>SUMIF(entrant!$E$4:$E$2059,'Inventaire des produits'!B853,entrant!$G$4:$G$2059)</f>
        <v>0</v>
      </c>
      <c r="E853" s="35">
        <f>SUMIF(vente!$E$4:$E$2190,'Inventaire des produits'!B853,vente!$G$4:$G$2190)</f>
        <v>0</v>
      </c>
      <c r="F853" s="36">
        <f t="shared" si="39"/>
        <v>0</v>
      </c>
      <c r="G853" s="176"/>
      <c r="H853" s="182"/>
      <c r="I853" s="37">
        <f t="shared" si="40"/>
        <v>0</v>
      </c>
      <c r="J853" s="38" t="str">
        <f t="shared" si="41"/>
        <v/>
      </c>
      <c r="K853" s="315"/>
      <c r="L853" s="145"/>
    </row>
    <row r="854" spans="1:12" ht="20.100000000000001" customHeight="1" thickBot="1" x14ac:dyDescent="0.4">
      <c r="A854" s="144" t="str">
        <f>IF(B854=IFERROR(VLOOKUP(B854,entrant!$E$4:$J$188,1,FALSE),"THERE WAS AN ERROR"),"RAPPORT JOURNAL","")</f>
        <v/>
      </c>
      <c r="B854" s="147"/>
      <c r="C854" s="170"/>
      <c r="D854" s="35">
        <f>SUMIF(entrant!$E$4:$E$2059,'Inventaire des produits'!B854,entrant!$G$4:$G$2059)</f>
        <v>0</v>
      </c>
      <c r="E854" s="35">
        <f>SUMIF(vente!$E$4:$E$2190,'Inventaire des produits'!B854,vente!$G$4:$G$2190)</f>
        <v>0</v>
      </c>
      <c r="F854" s="36">
        <f t="shared" si="39"/>
        <v>0</v>
      </c>
      <c r="G854" s="176"/>
      <c r="H854" s="182"/>
      <c r="I854" s="37">
        <f t="shared" si="40"/>
        <v>0</v>
      </c>
      <c r="J854" s="38" t="str">
        <f t="shared" si="41"/>
        <v/>
      </c>
      <c r="K854" s="315"/>
      <c r="L854" s="145"/>
    </row>
    <row r="855" spans="1:12" ht="20.100000000000001" customHeight="1" thickBot="1" x14ac:dyDescent="0.4">
      <c r="A855" s="144" t="str">
        <f>IF(B855=IFERROR(VLOOKUP(B855,entrant!$E$4:$J$188,1,FALSE),"THERE WAS AN ERROR"),"RAPPORT JOURNAL","")</f>
        <v/>
      </c>
      <c r="B855" s="147"/>
      <c r="C855" s="170"/>
      <c r="D855" s="35">
        <f>SUMIF(entrant!$E$4:$E$2059,'Inventaire des produits'!B855,entrant!$G$4:$G$2059)</f>
        <v>0</v>
      </c>
      <c r="E855" s="35">
        <f>SUMIF(vente!$E$4:$E$2190,'Inventaire des produits'!B855,vente!$G$4:$G$2190)</f>
        <v>0</v>
      </c>
      <c r="F855" s="36">
        <f t="shared" si="39"/>
        <v>0</v>
      </c>
      <c r="G855" s="176"/>
      <c r="H855" s="182"/>
      <c r="I855" s="37">
        <f t="shared" si="40"/>
        <v>0</v>
      </c>
      <c r="J855" s="38" t="str">
        <f t="shared" si="41"/>
        <v/>
      </c>
      <c r="K855" s="315"/>
      <c r="L855" s="145"/>
    </row>
    <row r="856" spans="1:12" ht="20.100000000000001" customHeight="1" thickBot="1" x14ac:dyDescent="0.4">
      <c r="A856" s="144" t="str">
        <f>IF(B856=IFERROR(VLOOKUP(B856,entrant!$E$4:$J$188,1,FALSE),"THERE WAS AN ERROR"),"RAPPORT JOURNAL","")</f>
        <v/>
      </c>
      <c r="B856" s="147"/>
      <c r="C856" s="170"/>
      <c r="D856" s="35">
        <f>SUMIF(entrant!$E$4:$E$2059,'Inventaire des produits'!B856,entrant!$G$4:$G$2059)</f>
        <v>0</v>
      </c>
      <c r="E856" s="35">
        <f>SUMIF(vente!$E$4:$E$2190,'Inventaire des produits'!B856,vente!$G$4:$G$2190)</f>
        <v>0</v>
      </c>
      <c r="F856" s="36">
        <f t="shared" si="39"/>
        <v>0</v>
      </c>
      <c r="G856" s="176"/>
      <c r="H856" s="182"/>
      <c r="I856" s="37">
        <f t="shared" si="40"/>
        <v>0</v>
      </c>
      <c r="J856" s="38" t="str">
        <f t="shared" si="41"/>
        <v/>
      </c>
      <c r="K856" s="315"/>
      <c r="L856" s="145"/>
    </row>
    <row r="857" spans="1:12" ht="20.100000000000001" customHeight="1" thickBot="1" x14ac:dyDescent="0.4">
      <c r="A857" s="144" t="str">
        <f>IF(B857=IFERROR(VLOOKUP(B857,entrant!$E$4:$J$188,1,FALSE),"THERE WAS AN ERROR"),"RAPPORT JOURNAL","")</f>
        <v/>
      </c>
      <c r="B857" s="147"/>
      <c r="C857" s="170"/>
      <c r="D857" s="35">
        <f>SUMIF(entrant!$E$4:$E$2059,'Inventaire des produits'!B857,entrant!$G$4:$G$2059)</f>
        <v>0</v>
      </c>
      <c r="E857" s="35">
        <f>SUMIF(vente!$E$4:$E$2190,'Inventaire des produits'!B857,vente!$G$4:$G$2190)</f>
        <v>0</v>
      </c>
      <c r="F857" s="36">
        <f t="shared" si="39"/>
        <v>0</v>
      </c>
      <c r="G857" s="176"/>
      <c r="H857" s="182"/>
      <c r="I857" s="37">
        <f t="shared" si="40"/>
        <v>0</v>
      </c>
      <c r="J857" s="38" t="str">
        <f t="shared" si="41"/>
        <v/>
      </c>
      <c r="K857" s="315"/>
      <c r="L857" s="145"/>
    </row>
    <row r="858" spans="1:12" ht="20.100000000000001" customHeight="1" thickBot="1" x14ac:dyDescent="0.4">
      <c r="A858" s="144" t="str">
        <f>IF(B858=IFERROR(VLOOKUP(B858,entrant!$E$4:$J$188,1,FALSE),"THERE WAS AN ERROR"),"RAPPORT JOURNAL","")</f>
        <v/>
      </c>
      <c r="B858" s="147"/>
      <c r="C858" s="170"/>
      <c r="D858" s="35">
        <f>SUMIF(entrant!$E$4:$E$2059,'Inventaire des produits'!B858,entrant!$G$4:$G$2059)</f>
        <v>0</v>
      </c>
      <c r="E858" s="35">
        <f>SUMIF(vente!$E$4:$E$2190,'Inventaire des produits'!B858,vente!$G$4:$G$2190)</f>
        <v>0</v>
      </c>
      <c r="F858" s="36">
        <f t="shared" si="39"/>
        <v>0</v>
      </c>
      <c r="G858" s="176"/>
      <c r="H858" s="182"/>
      <c r="I858" s="37">
        <f t="shared" si="40"/>
        <v>0</v>
      </c>
      <c r="J858" s="38" t="str">
        <f t="shared" si="41"/>
        <v/>
      </c>
      <c r="K858" s="315"/>
      <c r="L858" s="145"/>
    </row>
    <row r="859" spans="1:12" ht="20.100000000000001" customHeight="1" thickBot="1" x14ac:dyDescent="0.4">
      <c r="A859" s="144" t="str">
        <f>IF(B859=IFERROR(VLOOKUP(B859,entrant!$E$4:$J$188,1,FALSE),"THERE WAS AN ERROR"),"RAPPORT JOURNAL","")</f>
        <v/>
      </c>
      <c r="B859" s="147"/>
      <c r="C859" s="170"/>
      <c r="D859" s="35">
        <f>SUMIF(entrant!$E$4:$E$2059,'Inventaire des produits'!B859,entrant!$G$4:$G$2059)</f>
        <v>0</v>
      </c>
      <c r="E859" s="35">
        <f>SUMIF(vente!$E$4:$E$2190,'Inventaire des produits'!B859,vente!$G$4:$G$2190)</f>
        <v>0</v>
      </c>
      <c r="F859" s="36">
        <f t="shared" si="39"/>
        <v>0</v>
      </c>
      <c r="G859" s="176"/>
      <c r="H859" s="182"/>
      <c r="I859" s="37">
        <f t="shared" si="40"/>
        <v>0</v>
      </c>
      <c r="J859" s="38" t="str">
        <f t="shared" si="41"/>
        <v/>
      </c>
      <c r="K859" s="315"/>
      <c r="L859" s="145"/>
    </row>
    <row r="860" spans="1:12" ht="20.100000000000001" customHeight="1" thickBot="1" x14ac:dyDescent="0.4">
      <c r="A860" s="144" t="str">
        <f>IF(B860=IFERROR(VLOOKUP(B860,entrant!$E$4:$J$188,1,FALSE),"THERE WAS AN ERROR"),"RAPPORT JOURNAL","")</f>
        <v/>
      </c>
      <c r="B860" s="147"/>
      <c r="C860" s="170"/>
      <c r="D860" s="35">
        <f>SUMIF(entrant!$E$4:$E$2059,'Inventaire des produits'!B860,entrant!$G$4:$G$2059)</f>
        <v>0</v>
      </c>
      <c r="E860" s="35">
        <f>SUMIF(vente!$E$4:$E$2190,'Inventaire des produits'!B860,vente!$G$4:$G$2190)</f>
        <v>0</v>
      </c>
      <c r="F860" s="36">
        <f t="shared" si="39"/>
        <v>0</v>
      </c>
      <c r="G860" s="176"/>
      <c r="H860" s="182"/>
      <c r="I860" s="37">
        <f t="shared" si="40"/>
        <v>0</v>
      </c>
      <c r="J860" s="38" t="str">
        <f t="shared" si="41"/>
        <v/>
      </c>
      <c r="K860" s="315"/>
      <c r="L860" s="145"/>
    </row>
    <row r="861" spans="1:12" ht="20.100000000000001" customHeight="1" thickBot="1" x14ac:dyDescent="0.4">
      <c r="A861" s="144" t="str">
        <f>IF(B861=IFERROR(VLOOKUP(B861,entrant!$E$4:$J$188,1,FALSE),"THERE WAS AN ERROR"),"RAPPORT JOURNAL","")</f>
        <v/>
      </c>
      <c r="B861" s="147"/>
      <c r="C861" s="170"/>
      <c r="D861" s="35">
        <f>SUMIF(entrant!$E$4:$E$2059,'Inventaire des produits'!B861,entrant!$G$4:$G$2059)</f>
        <v>0</v>
      </c>
      <c r="E861" s="35">
        <f>SUMIF(vente!$E$4:$E$2190,'Inventaire des produits'!B861,vente!$G$4:$G$2190)</f>
        <v>0</v>
      </c>
      <c r="F861" s="36">
        <f t="shared" si="39"/>
        <v>0</v>
      </c>
      <c r="G861" s="176"/>
      <c r="H861" s="182"/>
      <c r="I861" s="37">
        <f t="shared" si="40"/>
        <v>0</v>
      </c>
      <c r="J861" s="38" t="str">
        <f t="shared" si="41"/>
        <v/>
      </c>
      <c r="K861" s="315"/>
      <c r="L861" s="145"/>
    </row>
    <row r="862" spans="1:12" ht="20.100000000000001" customHeight="1" thickBot="1" x14ac:dyDescent="0.4">
      <c r="A862" s="144" t="str">
        <f>IF(B862=IFERROR(VLOOKUP(B862,entrant!$E$4:$J$188,1,FALSE),"THERE WAS AN ERROR"),"RAPPORT JOURNAL","")</f>
        <v/>
      </c>
      <c r="B862" s="147"/>
      <c r="C862" s="170"/>
      <c r="D862" s="35">
        <f>SUMIF(entrant!$E$4:$E$2059,'Inventaire des produits'!B862,entrant!$G$4:$G$2059)</f>
        <v>0</v>
      </c>
      <c r="E862" s="35">
        <f>SUMIF(vente!$E$4:$E$2190,'Inventaire des produits'!B862,vente!$G$4:$G$2190)</f>
        <v>0</v>
      </c>
      <c r="F862" s="36">
        <f t="shared" si="39"/>
        <v>0</v>
      </c>
      <c r="G862" s="176"/>
      <c r="H862" s="182"/>
      <c r="I862" s="37">
        <f t="shared" si="40"/>
        <v>0</v>
      </c>
      <c r="J862" s="38" t="str">
        <f t="shared" si="41"/>
        <v/>
      </c>
      <c r="K862" s="315"/>
      <c r="L862" s="145"/>
    </row>
    <row r="863" spans="1:12" ht="20.100000000000001" customHeight="1" thickBot="1" x14ac:dyDescent="0.4">
      <c r="A863" s="144" t="str">
        <f>IF(B863=IFERROR(VLOOKUP(B863,entrant!$E$4:$J$188,1,FALSE),"THERE WAS AN ERROR"),"RAPPORT JOURNAL","")</f>
        <v/>
      </c>
      <c r="B863" s="147"/>
      <c r="C863" s="170"/>
      <c r="D863" s="35">
        <f>SUMIF(entrant!$E$4:$E$2059,'Inventaire des produits'!B863,entrant!$G$4:$G$2059)</f>
        <v>0</v>
      </c>
      <c r="E863" s="35">
        <f>SUMIF(vente!$E$4:$E$2190,'Inventaire des produits'!B863,vente!$G$4:$G$2190)</f>
        <v>0</v>
      </c>
      <c r="F863" s="36">
        <f t="shared" si="39"/>
        <v>0</v>
      </c>
      <c r="G863" s="176"/>
      <c r="H863" s="182"/>
      <c r="I863" s="37">
        <f t="shared" si="40"/>
        <v>0</v>
      </c>
      <c r="J863" s="38" t="str">
        <f t="shared" si="41"/>
        <v/>
      </c>
      <c r="K863" s="315"/>
      <c r="L863" s="145"/>
    </row>
    <row r="864" spans="1:12" ht="20.100000000000001" customHeight="1" thickBot="1" x14ac:dyDescent="0.4">
      <c r="A864" s="144" t="str">
        <f>IF(B864=IFERROR(VLOOKUP(B864,entrant!$E$4:$J$188,1,FALSE),"THERE WAS AN ERROR"),"RAPPORT JOURNAL","")</f>
        <v/>
      </c>
      <c r="B864" s="147"/>
      <c r="C864" s="170"/>
      <c r="D864" s="35">
        <f>SUMIF(entrant!$E$4:$E$2059,'Inventaire des produits'!B864,entrant!$G$4:$G$2059)</f>
        <v>0</v>
      </c>
      <c r="E864" s="35">
        <f>SUMIF(vente!$E$4:$E$2190,'Inventaire des produits'!B864,vente!$G$4:$G$2190)</f>
        <v>0</v>
      </c>
      <c r="F864" s="36">
        <f t="shared" si="39"/>
        <v>0</v>
      </c>
      <c r="G864" s="176"/>
      <c r="H864" s="182"/>
      <c r="I864" s="37">
        <f t="shared" si="40"/>
        <v>0</v>
      </c>
      <c r="J864" s="38" t="str">
        <f t="shared" si="41"/>
        <v/>
      </c>
      <c r="K864" s="315"/>
      <c r="L864" s="145"/>
    </row>
    <row r="865" spans="1:12" ht="20.100000000000001" customHeight="1" thickBot="1" x14ac:dyDescent="0.4">
      <c r="A865" s="144" t="str">
        <f>IF(B865=IFERROR(VLOOKUP(B865,entrant!$E$4:$J$188,1,FALSE),"THERE WAS AN ERROR"),"RAPPORT JOURNAL","")</f>
        <v/>
      </c>
      <c r="B865" s="147"/>
      <c r="C865" s="170"/>
      <c r="D865" s="35">
        <f>SUMIF(entrant!$E$4:$E$2059,'Inventaire des produits'!B865,entrant!$G$4:$G$2059)</f>
        <v>0</v>
      </c>
      <c r="E865" s="35">
        <f>SUMIF(vente!$E$4:$E$2190,'Inventaire des produits'!B865,vente!$G$4:$G$2190)</f>
        <v>0</v>
      </c>
      <c r="F865" s="36">
        <f t="shared" si="39"/>
        <v>0</v>
      </c>
      <c r="G865" s="176"/>
      <c r="H865" s="182"/>
      <c r="I865" s="37">
        <f t="shared" si="40"/>
        <v>0</v>
      </c>
      <c r="J865" s="38" t="str">
        <f t="shared" si="41"/>
        <v/>
      </c>
      <c r="K865" s="315"/>
      <c r="L865" s="145"/>
    </row>
    <row r="866" spans="1:12" ht="20.100000000000001" customHeight="1" thickBot="1" x14ac:dyDescent="0.4">
      <c r="A866" s="144" t="str">
        <f>IF(B866=IFERROR(VLOOKUP(B866,entrant!$E$4:$J$188,1,FALSE),"THERE WAS AN ERROR"),"RAPPORT JOURNAL","")</f>
        <v/>
      </c>
      <c r="B866" s="147"/>
      <c r="C866" s="170"/>
      <c r="D866" s="35">
        <f>SUMIF(entrant!$E$4:$E$2059,'Inventaire des produits'!B866,entrant!$G$4:$G$2059)</f>
        <v>0</v>
      </c>
      <c r="E866" s="35">
        <f>SUMIF(vente!$E$4:$E$2190,'Inventaire des produits'!B866,vente!$G$4:$G$2190)</f>
        <v>0</v>
      </c>
      <c r="F866" s="36">
        <f t="shared" si="39"/>
        <v>0</v>
      </c>
      <c r="G866" s="176"/>
      <c r="H866" s="182"/>
      <c r="I866" s="37">
        <f t="shared" si="40"/>
        <v>0</v>
      </c>
      <c r="J866" s="38" t="str">
        <f t="shared" si="41"/>
        <v/>
      </c>
      <c r="K866" s="315"/>
      <c r="L866" s="145"/>
    </row>
    <row r="867" spans="1:12" ht="20.100000000000001" customHeight="1" thickBot="1" x14ac:dyDescent="0.4">
      <c r="A867" s="144" t="str">
        <f>IF(B867=IFERROR(VLOOKUP(B867,entrant!$E$4:$J$188,1,FALSE),"THERE WAS AN ERROR"),"RAPPORT JOURNAL","")</f>
        <v/>
      </c>
      <c r="B867" s="147"/>
      <c r="C867" s="170"/>
      <c r="D867" s="35">
        <f>SUMIF(entrant!$E$4:$E$2059,'Inventaire des produits'!B867,entrant!$G$4:$G$2059)</f>
        <v>0</v>
      </c>
      <c r="E867" s="35">
        <f>SUMIF(vente!$E$4:$E$2190,'Inventaire des produits'!B867,vente!$G$4:$G$2190)</f>
        <v>0</v>
      </c>
      <c r="F867" s="36">
        <f t="shared" si="39"/>
        <v>0</v>
      </c>
      <c r="G867" s="176"/>
      <c r="H867" s="182"/>
      <c r="I867" s="37">
        <f t="shared" si="40"/>
        <v>0</v>
      </c>
      <c r="J867" s="38" t="str">
        <f t="shared" si="41"/>
        <v/>
      </c>
      <c r="K867" s="315"/>
      <c r="L867" s="145"/>
    </row>
    <row r="868" spans="1:12" ht="20.100000000000001" customHeight="1" thickBot="1" x14ac:dyDescent="0.4">
      <c r="A868" s="144" t="str">
        <f>IF(B868=IFERROR(VLOOKUP(B868,entrant!$E$4:$J$188,1,FALSE),"THERE WAS AN ERROR"),"RAPPORT JOURNAL","")</f>
        <v/>
      </c>
      <c r="B868" s="147"/>
      <c r="C868" s="170"/>
      <c r="D868" s="35">
        <f>SUMIF(entrant!$E$4:$E$2059,'Inventaire des produits'!B868,entrant!$G$4:$G$2059)</f>
        <v>0</v>
      </c>
      <c r="E868" s="35">
        <f>SUMIF(vente!$E$4:$E$2190,'Inventaire des produits'!B868,vente!$G$4:$G$2190)</f>
        <v>0</v>
      </c>
      <c r="F868" s="36">
        <f t="shared" si="39"/>
        <v>0</v>
      </c>
      <c r="G868" s="176"/>
      <c r="H868" s="182"/>
      <c r="I868" s="37">
        <f t="shared" si="40"/>
        <v>0</v>
      </c>
      <c r="J868" s="38" t="str">
        <f t="shared" si="41"/>
        <v/>
      </c>
      <c r="K868" s="315"/>
      <c r="L868" s="145"/>
    </row>
    <row r="869" spans="1:12" ht="20.100000000000001" customHeight="1" thickBot="1" x14ac:dyDescent="0.4">
      <c r="A869" s="144" t="str">
        <f>IF(B869=IFERROR(VLOOKUP(B869,entrant!$E$4:$J$188,1,FALSE),"THERE WAS AN ERROR"),"RAPPORT JOURNAL","")</f>
        <v/>
      </c>
      <c r="B869" s="147"/>
      <c r="C869" s="170"/>
      <c r="D869" s="35">
        <f>SUMIF(entrant!$E$4:$E$2059,'Inventaire des produits'!B869,entrant!$G$4:$G$2059)</f>
        <v>0</v>
      </c>
      <c r="E869" s="35">
        <f>SUMIF(vente!$E$4:$E$2190,'Inventaire des produits'!B869,vente!$G$4:$G$2190)</f>
        <v>0</v>
      </c>
      <c r="F869" s="36">
        <f t="shared" si="39"/>
        <v>0</v>
      </c>
      <c r="G869" s="176"/>
      <c r="H869" s="182"/>
      <c r="I869" s="37">
        <f t="shared" si="40"/>
        <v>0</v>
      </c>
      <c r="J869" s="38" t="str">
        <f t="shared" si="41"/>
        <v/>
      </c>
      <c r="K869" s="315"/>
      <c r="L869" s="145"/>
    </row>
    <row r="870" spans="1:12" ht="20.100000000000001" customHeight="1" thickBot="1" x14ac:dyDescent="0.4">
      <c r="A870" s="144" t="str">
        <f>IF(B870=IFERROR(VLOOKUP(B870,entrant!$E$4:$J$188,1,FALSE),"THERE WAS AN ERROR"),"RAPPORT JOURNAL","")</f>
        <v/>
      </c>
      <c r="B870" s="147"/>
      <c r="C870" s="170"/>
      <c r="D870" s="35">
        <f>SUMIF(entrant!$E$4:$E$2059,'Inventaire des produits'!B870,entrant!$G$4:$G$2059)</f>
        <v>0</v>
      </c>
      <c r="E870" s="35">
        <f>SUMIF(vente!$E$4:$E$2190,'Inventaire des produits'!B870,vente!$G$4:$G$2190)</f>
        <v>0</v>
      </c>
      <c r="F870" s="36">
        <f t="shared" si="39"/>
        <v>0</v>
      </c>
      <c r="G870" s="176"/>
      <c r="H870" s="182"/>
      <c r="I870" s="37">
        <f t="shared" si="40"/>
        <v>0</v>
      </c>
      <c r="J870" s="38" t="str">
        <f t="shared" si="41"/>
        <v/>
      </c>
      <c r="K870" s="315"/>
      <c r="L870" s="145"/>
    </row>
    <row r="871" spans="1:12" ht="20.100000000000001" customHeight="1" thickBot="1" x14ac:dyDescent="0.4">
      <c r="A871" s="144" t="str">
        <f>IF(B871=IFERROR(VLOOKUP(B871,entrant!$E$4:$J$188,1,FALSE),"THERE WAS AN ERROR"),"RAPPORT JOURNAL","")</f>
        <v/>
      </c>
      <c r="B871" s="147"/>
      <c r="C871" s="170"/>
      <c r="D871" s="35">
        <f>SUMIF(entrant!$E$4:$E$2059,'Inventaire des produits'!B871,entrant!$G$4:$G$2059)</f>
        <v>0</v>
      </c>
      <c r="E871" s="35">
        <f>SUMIF(vente!$E$4:$E$2190,'Inventaire des produits'!B871,vente!$G$4:$G$2190)</f>
        <v>0</v>
      </c>
      <c r="F871" s="36">
        <f t="shared" si="39"/>
        <v>0</v>
      </c>
      <c r="G871" s="176"/>
      <c r="H871" s="182"/>
      <c r="I871" s="37">
        <f t="shared" si="40"/>
        <v>0</v>
      </c>
      <c r="J871" s="38" t="str">
        <f t="shared" si="41"/>
        <v/>
      </c>
      <c r="K871" s="315"/>
      <c r="L871" s="145"/>
    </row>
    <row r="872" spans="1:12" ht="20.100000000000001" customHeight="1" thickBot="1" x14ac:dyDescent="0.4">
      <c r="A872" s="144" t="str">
        <f>IF(B872=IFERROR(VLOOKUP(B872,entrant!$E$4:$J$188,1,FALSE),"THERE WAS AN ERROR"),"RAPPORT JOURNAL","")</f>
        <v/>
      </c>
      <c r="B872" s="147"/>
      <c r="C872" s="170"/>
      <c r="D872" s="35">
        <f>SUMIF(entrant!$E$4:$E$2059,'Inventaire des produits'!B872,entrant!$G$4:$G$2059)</f>
        <v>0</v>
      </c>
      <c r="E872" s="35">
        <f>SUMIF(vente!$E$4:$E$2190,'Inventaire des produits'!B872,vente!$G$4:$G$2190)</f>
        <v>0</v>
      </c>
      <c r="F872" s="36">
        <f t="shared" si="39"/>
        <v>0</v>
      </c>
      <c r="G872" s="176"/>
      <c r="H872" s="182"/>
      <c r="I872" s="37">
        <f t="shared" si="40"/>
        <v>0</v>
      </c>
      <c r="J872" s="38" t="str">
        <f t="shared" si="41"/>
        <v/>
      </c>
      <c r="K872" s="315"/>
      <c r="L872" s="145"/>
    </row>
    <row r="873" spans="1:12" ht="20.100000000000001" customHeight="1" thickBot="1" x14ac:dyDescent="0.4">
      <c r="A873" s="144" t="str">
        <f>IF(B873=IFERROR(VLOOKUP(B873,entrant!$E$4:$J$188,1,FALSE),"THERE WAS AN ERROR"),"RAPPORT JOURNAL","")</f>
        <v/>
      </c>
      <c r="B873" s="147"/>
      <c r="C873" s="170"/>
      <c r="D873" s="35">
        <f>SUMIF(entrant!$E$4:$E$2059,'Inventaire des produits'!B873,entrant!$G$4:$G$2059)</f>
        <v>0</v>
      </c>
      <c r="E873" s="35">
        <f>SUMIF(vente!$E$4:$E$2190,'Inventaire des produits'!B873,vente!$G$4:$G$2190)</f>
        <v>0</v>
      </c>
      <c r="F873" s="36">
        <f t="shared" si="39"/>
        <v>0</v>
      </c>
      <c r="G873" s="176"/>
      <c r="H873" s="182"/>
      <c r="I873" s="37">
        <f t="shared" si="40"/>
        <v>0</v>
      </c>
      <c r="J873" s="38" t="str">
        <f t="shared" si="41"/>
        <v/>
      </c>
      <c r="K873" s="315"/>
      <c r="L873" s="145"/>
    </row>
    <row r="874" spans="1:12" ht="20.100000000000001" customHeight="1" thickBot="1" x14ac:dyDescent="0.4">
      <c r="A874" s="144" t="str">
        <f>IF(B874=IFERROR(VLOOKUP(B874,entrant!$E$4:$J$188,1,FALSE),"THERE WAS AN ERROR"),"RAPPORT JOURNAL","")</f>
        <v/>
      </c>
      <c r="B874" s="147"/>
      <c r="C874" s="170"/>
      <c r="D874" s="35">
        <f>SUMIF(entrant!$E$4:$E$2059,'Inventaire des produits'!B874,entrant!$G$4:$G$2059)</f>
        <v>0</v>
      </c>
      <c r="E874" s="35">
        <f>SUMIF(vente!$E$4:$E$2190,'Inventaire des produits'!B874,vente!$G$4:$G$2190)</f>
        <v>0</v>
      </c>
      <c r="F874" s="36">
        <f t="shared" si="39"/>
        <v>0</v>
      </c>
      <c r="G874" s="176"/>
      <c r="H874" s="182"/>
      <c r="I874" s="37">
        <f t="shared" si="40"/>
        <v>0</v>
      </c>
      <c r="J874" s="38" t="str">
        <f t="shared" si="41"/>
        <v/>
      </c>
      <c r="K874" s="315"/>
      <c r="L874" s="145"/>
    </row>
    <row r="875" spans="1:12" ht="20.100000000000001" customHeight="1" thickBot="1" x14ac:dyDescent="0.4">
      <c r="A875" s="144" t="str">
        <f>IF(B875=IFERROR(VLOOKUP(B875,entrant!$E$4:$J$188,1,FALSE),"THERE WAS AN ERROR"),"RAPPORT JOURNAL","")</f>
        <v/>
      </c>
      <c r="B875" s="147"/>
      <c r="C875" s="170"/>
      <c r="D875" s="35">
        <f>SUMIF(entrant!$E$4:$E$2059,'Inventaire des produits'!B875,entrant!$G$4:$G$2059)</f>
        <v>0</v>
      </c>
      <c r="E875" s="35">
        <f>SUMIF(vente!$E$4:$E$2190,'Inventaire des produits'!B875,vente!$G$4:$G$2190)</f>
        <v>0</v>
      </c>
      <c r="F875" s="36">
        <f t="shared" si="39"/>
        <v>0</v>
      </c>
      <c r="G875" s="176"/>
      <c r="H875" s="182"/>
      <c r="I875" s="37">
        <f t="shared" si="40"/>
        <v>0</v>
      </c>
      <c r="J875" s="38" t="str">
        <f t="shared" si="41"/>
        <v/>
      </c>
      <c r="K875" s="315"/>
      <c r="L875" s="145"/>
    </row>
    <row r="876" spans="1:12" ht="20.100000000000001" customHeight="1" thickBot="1" x14ac:dyDescent="0.4">
      <c r="A876" s="144" t="str">
        <f>IF(B876=IFERROR(VLOOKUP(B876,entrant!$E$4:$J$188,1,FALSE),"THERE WAS AN ERROR"),"RAPPORT JOURNAL","")</f>
        <v/>
      </c>
      <c r="B876" s="147"/>
      <c r="C876" s="170"/>
      <c r="D876" s="35">
        <f>SUMIF(entrant!$E$4:$E$2059,'Inventaire des produits'!B876,entrant!$G$4:$G$2059)</f>
        <v>0</v>
      </c>
      <c r="E876" s="35">
        <f>SUMIF(vente!$E$4:$E$2190,'Inventaire des produits'!B876,vente!$G$4:$G$2190)</f>
        <v>0</v>
      </c>
      <c r="F876" s="36">
        <f t="shared" si="39"/>
        <v>0</v>
      </c>
      <c r="G876" s="176"/>
      <c r="H876" s="182"/>
      <c r="I876" s="37">
        <f t="shared" si="40"/>
        <v>0</v>
      </c>
      <c r="J876" s="38" t="str">
        <f t="shared" si="41"/>
        <v/>
      </c>
      <c r="K876" s="315"/>
      <c r="L876" s="145"/>
    </row>
    <row r="877" spans="1:12" ht="20.100000000000001" customHeight="1" thickBot="1" x14ac:dyDescent="0.4">
      <c r="A877" s="144" t="str">
        <f>IF(B877=IFERROR(VLOOKUP(B877,entrant!$E$4:$J$188,1,FALSE),"THERE WAS AN ERROR"),"RAPPORT JOURNAL","")</f>
        <v/>
      </c>
      <c r="B877" s="147"/>
      <c r="C877" s="170"/>
      <c r="D877" s="35">
        <f>SUMIF(entrant!$E$4:$E$2059,'Inventaire des produits'!B877,entrant!$G$4:$G$2059)</f>
        <v>0</v>
      </c>
      <c r="E877" s="35">
        <f>SUMIF(vente!$E$4:$E$2190,'Inventaire des produits'!B877,vente!$G$4:$G$2190)</f>
        <v>0</v>
      </c>
      <c r="F877" s="36">
        <f t="shared" si="39"/>
        <v>0</v>
      </c>
      <c r="G877" s="176"/>
      <c r="H877" s="182"/>
      <c r="I877" s="37">
        <f t="shared" si="40"/>
        <v>0</v>
      </c>
      <c r="J877" s="38" t="str">
        <f t="shared" si="41"/>
        <v/>
      </c>
      <c r="K877" s="315"/>
      <c r="L877" s="145"/>
    </row>
    <row r="878" spans="1:12" ht="20.100000000000001" customHeight="1" thickBot="1" x14ac:dyDescent="0.4">
      <c r="A878" s="144" t="str">
        <f>IF(B878=IFERROR(VLOOKUP(B878,entrant!$E$4:$J$188,1,FALSE),"THERE WAS AN ERROR"),"RAPPORT JOURNAL","")</f>
        <v/>
      </c>
      <c r="B878" s="147"/>
      <c r="C878" s="170"/>
      <c r="D878" s="35">
        <f>SUMIF(entrant!$E$4:$E$2059,'Inventaire des produits'!B878,entrant!$G$4:$G$2059)</f>
        <v>0</v>
      </c>
      <c r="E878" s="35">
        <f>SUMIF(vente!$E$4:$E$2190,'Inventaire des produits'!B878,vente!$G$4:$G$2190)</f>
        <v>0</v>
      </c>
      <c r="F878" s="36">
        <f t="shared" si="39"/>
        <v>0</v>
      </c>
      <c r="G878" s="176"/>
      <c r="H878" s="182"/>
      <c r="I878" s="37">
        <f t="shared" si="40"/>
        <v>0</v>
      </c>
      <c r="J878" s="38" t="str">
        <f t="shared" si="41"/>
        <v/>
      </c>
      <c r="K878" s="315"/>
      <c r="L878" s="145"/>
    </row>
    <row r="879" spans="1:12" ht="20.100000000000001" customHeight="1" thickBot="1" x14ac:dyDescent="0.4">
      <c r="A879" s="144" t="str">
        <f>IF(B879=IFERROR(VLOOKUP(B879,entrant!$E$4:$J$188,1,FALSE),"THERE WAS AN ERROR"),"RAPPORT JOURNAL","")</f>
        <v/>
      </c>
      <c r="B879" s="147"/>
      <c r="C879" s="170"/>
      <c r="D879" s="35">
        <f>SUMIF(entrant!$E$4:$E$2059,'Inventaire des produits'!B879,entrant!$G$4:$G$2059)</f>
        <v>0</v>
      </c>
      <c r="E879" s="35">
        <f>SUMIF(vente!$E$4:$E$2190,'Inventaire des produits'!B879,vente!$G$4:$G$2190)</f>
        <v>0</v>
      </c>
      <c r="F879" s="36">
        <f t="shared" si="39"/>
        <v>0</v>
      </c>
      <c r="G879" s="176"/>
      <c r="H879" s="182"/>
      <c r="I879" s="37">
        <f t="shared" si="40"/>
        <v>0</v>
      </c>
      <c r="J879" s="38" t="str">
        <f t="shared" si="41"/>
        <v/>
      </c>
      <c r="K879" s="315"/>
      <c r="L879" s="145"/>
    </row>
    <row r="880" spans="1:12" ht="20.100000000000001" customHeight="1" thickBot="1" x14ac:dyDescent="0.4">
      <c r="A880" s="144" t="str">
        <f>IF(B880=IFERROR(VLOOKUP(B880,entrant!$E$4:$J$188,1,FALSE),"THERE WAS AN ERROR"),"RAPPORT JOURNAL","")</f>
        <v/>
      </c>
      <c r="B880" s="147"/>
      <c r="C880" s="170"/>
      <c r="D880" s="35">
        <f>SUMIF(entrant!$E$4:$E$2059,'Inventaire des produits'!B880,entrant!$G$4:$G$2059)</f>
        <v>0</v>
      </c>
      <c r="E880" s="35">
        <f>SUMIF(vente!$E$4:$E$2190,'Inventaire des produits'!B880,vente!$G$4:$G$2190)</f>
        <v>0</v>
      </c>
      <c r="F880" s="36">
        <f t="shared" si="39"/>
        <v>0</v>
      </c>
      <c r="G880" s="176"/>
      <c r="H880" s="182"/>
      <c r="I880" s="37">
        <f t="shared" si="40"/>
        <v>0</v>
      </c>
      <c r="J880" s="38" t="str">
        <f t="shared" si="41"/>
        <v/>
      </c>
      <c r="K880" s="315"/>
      <c r="L880" s="145"/>
    </row>
    <row r="881" spans="1:12" ht="20.100000000000001" customHeight="1" thickBot="1" x14ac:dyDescent="0.4">
      <c r="A881" s="144" t="str">
        <f>IF(B881=IFERROR(VLOOKUP(B881,entrant!$E$4:$J$188,1,FALSE),"THERE WAS AN ERROR"),"RAPPORT JOURNAL","")</f>
        <v/>
      </c>
      <c r="B881" s="147"/>
      <c r="C881" s="170"/>
      <c r="D881" s="35">
        <f>SUMIF(entrant!$E$4:$E$2059,'Inventaire des produits'!B881,entrant!$G$4:$G$2059)</f>
        <v>0</v>
      </c>
      <c r="E881" s="35">
        <f>SUMIF(vente!$E$4:$E$2190,'Inventaire des produits'!B881,vente!$G$4:$G$2190)</f>
        <v>0</v>
      </c>
      <c r="F881" s="36">
        <f t="shared" si="39"/>
        <v>0</v>
      </c>
      <c r="G881" s="176"/>
      <c r="H881" s="182"/>
      <c r="I881" s="37">
        <f t="shared" si="40"/>
        <v>0</v>
      </c>
      <c r="J881" s="38" t="str">
        <f t="shared" si="41"/>
        <v/>
      </c>
      <c r="K881" s="315"/>
      <c r="L881" s="145"/>
    </row>
    <row r="882" spans="1:12" ht="20.100000000000001" customHeight="1" thickBot="1" x14ac:dyDescent="0.4">
      <c r="A882" s="144" t="str">
        <f>IF(B882=IFERROR(VLOOKUP(B882,entrant!$E$4:$J$188,1,FALSE),"THERE WAS AN ERROR"),"RAPPORT JOURNAL","")</f>
        <v/>
      </c>
      <c r="B882" s="147"/>
      <c r="C882" s="170"/>
      <c r="D882" s="35">
        <f>SUMIF(entrant!$E$4:$E$2059,'Inventaire des produits'!B882,entrant!$G$4:$G$2059)</f>
        <v>0</v>
      </c>
      <c r="E882" s="35">
        <f>SUMIF(vente!$E$4:$E$2190,'Inventaire des produits'!B882,vente!$G$4:$G$2190)</f>
        <v>0</v>
      </c>
      <c r="F882" s="36">
        <f t="shared" si="39"/>
        <v>0</v>
      </c>
      <c r="G882" s="176"/>
      <c r="H882" s="182"/>
      <c r="I882" s="37">
        <f t="shared" si="40"/>
        <v>0</v>
      </c>
      <c r="J882" s="38" t="str">
        <f t="shared" si="41"/>
        <v/>
      </c>
      <c r="K882" s="315"/>
      <c r="L882" s="145"/>
    </row>
    <row r="883" spans="1:12" ht="20.100000000000001" customHeight="1" thickBot="1" x14ac:dyDescent="0.4">
      <c r="A883" s="144" t="str">
        <f>IF(B883=IFERROR(VLOOKUP(B883,entrant!$E$4:$J$188,1,FALSE),"THERE WAS AN ERROR"),"RAPPORT JOURNAL","")</f>
        <v/>
      </c>
      <c r="B883" s="147"/>
      <c r="C883" s="170"/>
      <c r="D883" s="35">
        <f>SUMIF(entrant!$E$4:$E$2059,'Inventaire des produits'!B883,entrant!$G$4:$G$2059)</f>
        <v>0</v>
      </c>
      <c r="E883" s="35">
        <f>SUMIF(vente!$E$4:$E$2190,'Inventaire des produits'!B883,vente!$G$4:$G$2190)</f>
        <v>0</v>
      </c>
      <c r="F883" s="36">
        <f t="shared" si="39"/>
        <v>0</v>
      </c>
      <c r="G883" s="176"/>
      <c r="H883" s="182"/>
      <c r="I883" s="37">
        <f t="shared" si="40"/>
        <v>0</v>
      </c>
      <c r="J883" s="38" t="str">
        <f t="shared" si="41"/>
        <v/>
      </c>
      <c r="K883" s="315"/>
      <c r="L883" s="145"/>
    </row>
    <row r="884" spans="1:12" ht="20.100000000000001" customHeight="1" thickBot="1" x14ac:dyDescent="0.4">
      <c r="A884" s="144" t="str">
        <f>IF(B884=IFERROR(VLOOKUP(B884,entrant!$E$4:$J$188,1,FALSE),"THERE WAS AN ERROR"),"RAPPORT JOURNAL","")</f>
        <v/>
      </c>
      <c r="B884" s="147"/>
      <c r="C884" s="170"/>
      <c r="D884" s="35">
        <f>SUMIF(entrant!$E$4:$E$2059,'Inventaire des produits'!B884,entrant!$G$4:$G$2059)</f>
        <v>0</v>
      </c>
      <c r="E884" s="35">
        <f>SUMIF(vente!$E$4:$E$2190,'Inventaire des produits'!B884,vente!$G$4:$G$2190)</f>
        <v>0</v>
      </c>
      <c r="F884" s="36">
        <f t="shared" si="39"/>
        <v>0</v>
      </c>
      <c r="G884" s="176"/>
      <c r="H884" s="182"/>
      <c r="I884" s="37">
        <f t="shared" si="40"/>
        <v>0</v>
      </c>
      <c r="J884" s="38" t="str">
        <f t="shared" si="41"/>
        <v/>
      </c>
      <c r="K884" s="315"/>
      <c r="L884" s="145"/>
    </row>
    <row r="885" spans="1:12" ht="20.100000000000001" customHeight="1" thickBot="1" x14ac:dyDescent="0.4">
      <c r="A885" s="144" t="str">
        <f>IF(B885=IFERROR(VLOOKUP(B885,entrant!$E$4:$J$188,1,FALSE),"THERE WAS AN ERROR"),"RAPPORT JOURNAL","")</f>
        <v/>
      </c>
      <c r="B885" s="147"/>
      <c r="C885" s="170"/>
      <c r="D885" s="35">
        <f>SUMIF(entrant!$E$4:$E$2059,'Inventaire des produits'!B885,entrant!$G$4:$G$2059)</f>
        <v>0</v>
      </c>
      <c r="E885" s="35">
        <f>SUMIF(vente!$E$4:$E$2190,'Inventaire des produits'!B885,vente!$G$4:$G$2190)</f>
        <v>0</v>
      </c>
      <c r="F885" s="36">
        <f t="shared" si="39"/>
        <v>0</v>
      </c>
      <c r="G885" s="176"/>
      <c r="H885" s="182"/>
      <c r="I885" s="37">
        <f t="shared" si="40"/>
        <v>0</v>
      </c>
      <c r="J885" s="38" t="str">
        <f t="shared" si="41"/>
        <v/>
      </c>
      <c r="K885" s="315"/>
      <c r="L885" s="145"/>
    </row>
    <row r="886" spans="1:12" ht="20.100000000000001" customHeight="1" thickBot="1" x14ac:dyDescent="0.4">
      <c r="A886" s="144" t="str">
        <f>IF(B886=IFERROR(VLOOKUP(B886,entrant!$E$4:$J$188,1,FALSE),"THERE WAS AN ERROR"),"RAPPORT JOURNAL","")</f>
        <v/>
      </c>
      <c r="B886" s="147"/>
      <c r="C886" s="170"/>
      <c r="D886" s="35">
        <f>SUMIF(entrant!$E$4:$E$2059,'Inventaire des produits'!B886,entrant!$G$4:$G$2059)</f>
        <v>0</v>
      </c>
      <c r="E886" s="35">
        <f>SUMIF(vente!$E$4:$E$2190,'Inventaire des produits'!B886,vente!$G$4:$G$2190)</f>
        <v>0</v>
      </c>
      <c r="F886" s="36">
        <f t="shared" si="39"/>
        <v>0</v>
      </c>
      <c r="G886" s="176"/>
      <c r="H886" s="182"/>
      <c r="I886" s="37">
        <f t="shared" si="40"/>
        <v>0</v>
      </c>
      <c r="J886" s="38" t="str">
        <f t="shared" si="41"/>
        <v/>
      </c>
      <c r="K886" s="315"/>
      <c r="L886" s="145"/>
    </row>
    <row r="887" spans="1:12" ht="20.100000000000001" customHeight="1" thickBot="1" x14ac:dyDescent="0.4">
      <c r="A887" s="144" t="str">
        <f>IF(B887=IFERROR(VLOOKUP(B887,entrant!$E$4:$J$188,1,FALSE),"THERE WAS AN ERROR"),"RAPPORT JOURNAL","")</f>
        <v/>
      </c>
      <c r="B887" s="147"/>
      <c r="C887" s="170"/>
      <c r="D887" s="35">
        <f>SUMIF(entrant!$E$4:$E$2059,'Inventaire des produits'!B887,entrant!$G$4:$G$2059)</f>
        <v>0</v>
      </c>
      <c r="E887" s="35">
        <f>SUMIF(vente!$E$4:$E$2190,'Inventaire des produits'!B887,vente!$G$4:$G$2190)</f>
        <v>0</v>
      </c>
      <c r="F887" s="36">
        <f t="shared" si="39"/>
        <v>0</v>
      </c>
      <c r="G887" s="176"/>
      <c r="H887" s="182"/>
      <c r="I887" s="37">
        <f t="shared" si="40"/>
        <v>0</v>
      </c>
      <c r="J887" s="38" t="str">
        <f t="shared" si="41"/>
        <v/>
      </c>
      <c r="K887" s="315"/>
      <c r="L887" s="145"/>
    </row>
    <row r="888" spans="1:12" ht="20.100000000000001" customHeight="1" thickBot="1" x14ac:dyDescent="0.4">
      <c r="A888" s="144" t="str">
        <f>IF(B888=IFERROR(VLOOKUP(B888,entrant!$E$4:$J$188,1,FALSE),"THERE WAS AN ERROR"),"RAPPORT JOURNAL","")</f>
        <v/>
      </c>
      <c r="B888" s="147"/>
      <c r="C888" s="170"/>
      <c r="D888" s="35">
        <f>SUMIF(entrant!$E$4:$E$2059,'Inventaire des produits'!B888,entrant!$G$4:$G$2059)</f>
        <v>0</v>
      </c>
      <c r="E888" s="35">
        <f>SUMIF(vente!$E$4:$E$2190,'Inventaire des produits'!B888,vente!$G$4:$G$2190)</f>
        <v>0</v>
      </c>
      <c r="F888" s="36">
        <f t="shared" si="39"/>
        <v>0</v>
      </c>
      <c r="G888" s="176"/>
      <c r="H888" s="182"/>
      <c r="I888" s="37">
        <f t="shared" si="40"/>
        <v>0</v>
      </c>
      <c r="J888" s="38" t="str">
        <f t="shared" si="41"/>
        <v/>
      </c>
      <c r="K888" s="315"/>
      <c r="L888" s="145"/>
    </row>
    <row r="889" spans="1:12" ht="20.100000000000001" customHeight="1" thickBot="1" x14ac:dyDescent="0.4">
      <c r="A889" s="144" t="str">
        <f>IF(B889=IFERROR(VLOOKUP(B889,entrant!$E$4:$J$188,1,FALSE),"THERE WAS AN ERROR"),"RAPPORT JOURNAL","")</f>
        <v/>
      </c>
      <c r="B889" s="147"/>
      <c r="C889" s="170"/>
      <c r="D889" s="35">
        <f>SUMIF(entrant!$E$4:$E$2059,'Inventaire des produits'!B889,entrant!$G$4:$G$2059)</f>
        <v>0</v>
      </c>
      <c r="E889" s="35">
        <f>SUMIF(vente!$E$4:$E$2190,'Inventaire des produits'!B889,vente!$G$4:$G$2190)</f>
        <v>0</v>
      </c>
      <c r="F889" s="36">
        <f t="shared" si="39"/>
        <v>0</v>
      </c>
      <c r="G889" s="176"/>
      <c r="H889" s="182"/>
      <c r="I889" s="37">
        <f t="shared" si="40"/>
        <v>0</v>
      </c>
      <c r="J889" s="38" t="str">
        <f t="shared" si="41"/>
        <v/>
      </c>
      <c r="K889" s="315"/>
      <c r="L889" s="145"/>
    </row>
    <row r="890" spans="1:12" ht="20.100000000000001" customHeight="1" thickBot="1" x14ac:dyDescent="0.4">
      <c r="A890" s="144" t="str">
        <f>IF(B890=IFERROR(VLOOKUP(B890,entrant!$E$4:$J$188,1,FALSE),"THERE WAS AN ERROR"),"RAPPORT JOURNAL","")</f>
        <v/>
      </c>
      <c r="B890" s="147"/>
      <c r="C890" s="170"/>
      <c r="D890" s="35">
        <f>SUMIF(entrant!$E$4:$E$2059,'Inventaire des produits'!B890,entrant!$G$4:$G$2059)</f>
        <v>0</v>
      </c>
      <c r="E890" s="35">
        <f>SUMIF(vente!$E$4:$E$2190,'Inventaire des produits'!B890,vente!$G$4:$G$2190)</f>
        <v>0</v>
      </c>
      <c r="F890" s="36">
        <f t="shared" si="39"/>
        <v>0</v>
      </c>
      <c r="G890" s="176"/>
      <c r="H890" s="182"/>
      <c r="I890" s="37">
        <f t="shared" si="40"/>
        <v>0</v>
      </c>
      <c r="J890" s="38" t="str">
        <f t="shared" si="41"/>
        <v/>
      </c>
      <c r="K890" s="315"/>
      <c r="L890" s="145"/>
    </row>
    <row r="891" spans="1:12" ht="20.100000000000001" customHeight="1" thickBot="1" x14ac:dyDescent="0.4">
      <c r="A891" s="144" t="str">
        <f>IF(B891=IFERROR(VLOOKUP(B891,entrant!$E$4:$J$188,1,FALSE),"THERE WAS AN ERROR"),"RAPPORT JOURNAL","")</f>
        <v/>
      </c>
      <c r="B891" s="147"/>
      <c r="C891" s="170"/>
      <c r="D891" s="35">
        <f>SUMIF(entrant!$E$4:$E$2059,'Inventaire des produits'!B891,entrant!$G$4:$G$2059)</f>
        <v>0</v>
      </c>
      <c r="E891" s="35">
        <f>SUMIF(vente!$E$4:$E$2190,'Inventaire des produits'!B891,vente!$G$4:$G$2190)</f>
        <v>0</v>
      </c>
      <c r="F891" s="36">
        <f t="shared" si="39"/>
        <v>0</v>
      </c>
      <c r="G891" s="176"/>
      <c r="H891" s="182"/>
      <c r="I891" s="37">
        <f t="shared" si="40"/>
        <v>0</v>
      </c>
      <c r="J891" s="38" t="str">
        <f t="shared" si="41"/>
        <v/>
      </c>
      <c r="K891" s="315"/>
      <c r="L891" s="145"/>
    </row>
    <row r="892" spans="1:12" ht="20.100000000000001" customHeight="1" thickBot="1" x14ac:dyDescent="0.4">
      <c r="A892" s="144" t="str">
        <f>IF(B892=IFERROR(VLOOKUP(B892,entrant!$E$4:$J$188,1,FALSE),"THERE WAS AN ERROR"),"RAPPORT JOURNAL","")</f>
        <v/>
      </c>
      <c r="B892" s="147"/>
      <c r="C892" s="170"/>
      <c r="D892" s="35">
        <f>SUMIF(entrant!$E$4:$E$2059,'Inventaire des produits'!B892,entrant!$G$4:$G$2059)</f>
        <v>0</v>
      </c>
      <c r="E892" s="35">
        <f>SUMIF(vente!$E$4:$E$2190,'Inventaire des produits'!B892,vente!$G$4:$G$2190)</f>
        <v>0</v>
      </c>
      <c r="F892" s="36">
        <f t="shared" si="39"/>
        <v>0</v>
      </c>
      <c r="G892" s="176"/>
      <c r="H892" s="182"/>
      <c r="I892" s="37">
        <f t="shared" si="40"/>
        <v>0</v>
      </c>
      <c r="J892" s="38" t="str">
        <f t="shared" si="41"/>
        <v/>
      </c>
      <c r="K892" s="315"/>
      <c r="L892" s="145"/>
    </row>
    <row r="893" spans="1:12" ht="20.100000000000001" customHeight="1" thickBot="1" x14ac:dyDescent="0.4">
      <c r="A893" s="144" t="str">
        <f>IF(B893=IFERROR(VLOOKUP(B893,entrant!$E$4:$J$188,1,FALSE),"THERE WAS AN ERROR"),"RAPPORT JOURNAL","")</f>
        <v/>
      </c>
      <c r="B893" s="147"/>
      <c r="C893" s="170"/>
      <c r="D893" s="35">
        <f>SUMIF(entrant!$E$4:$E$2059,'Inventaire des produits'!B893,entrant!$G$4:$G$2059)</f>
        <v>0</v>
      </c>
      <c r="E893" s="35">
        <f>SUMIF(vente!$E$4:$E$2190,'Inventaire des produits'!B893,vente!$G$4:$G$2190)</f>
        <v>0</v>
      </c>
      <c r="F893" s="36">
        <f t="shared" si="39"/>
        <v>0</v>
      </c>
      <c r="G893" s="176"/>
      <c r="H893" s="182"/>
      <c r="I893" s="37">
        <f t="shared" si="40"/>
        <v>0</v>
      </c>
      <c r="J893" s="38" t="str">
        <f t="shared" si="41"/>
        <v/>
      </c>
      <c r="K893" s="315"/>
      <c r="L893" s="145"/>
    </row>
    <row r="894" spans="1:12" ht="20.100000000000001" customHeight="1" thickBot="1" x14ac:dyDescent="0.4">
      <c r="A894" s="144" t="str">
        <f>IF(B894=IFERROR(VLOOKUP(B894,entrant!$E$4:$J$188,1,FALSE),"THERE WAS AN ERROR"),"RAPPORT JOURNAL","")</f>
        <v/>
      </c>
      <c r="B894" s="147"/>
      <c r="C894" s="170"/>
      <c r="D894" s="35">
        <f>SUMIF(entrant!$E$4:$E$2059,'Inventaire des produits'!B894,entrant!$G$4:$G$2059)</f>
        <v>0</v>
      </c>
      <c r="E894" s="35">
        <f>SUMIF(vente!$E$4:$E$2190,'Inventaire des produits'!B894,vente!$G$4:$G$2190)</f>
        <v>0</v>
      </c>
      <c r="F894" s="36">
        <f t="shared" si="39"/>
        <v>0</v>
      </c>
      <c r="G894" s="176"/>
      <c r="H894" s="182"/>
      <c r="I894" s="37">
        <f t="shared" si="40"/>
        <v>0</v>
      </c>
      <c r="J894" s="38" t="str">
        <f t="shared" si="41"/>
        <v/>
      </c>
      <c r="K894" s="315"/>
      <c r="L894" s="145"/>
    </row>
    <row r="895" spans="1:12" ht="20.100000000000001" customHeight="1" thickBot="1" x14ac:dyDescent="0.4">
      <c r="A895" s="144" t="str">
        <f>IF(B895=IFERROR(VLOOKUP(B895,entrant!$E$4:$J$188,1,FALSE),"THERE WAS AN ERROR"),"RAPPORT JOURNAL","")</f>
        <v/>
      </c>
      <c r="B895" s="147"/>
      <c r="C895" s="170"/>
      <c r="D895" s="35">
        <f>SUMIF(entrant!$E$4:$E$2059,'Inventaire des produits'!B895,entrant!$G$4:$G$2059)</f>
        <v>0</v>
      </c>
      <c r="E895" s="35">
        <f>SUMIF(vente!$E$4:$E$2190,'Inventaire des produits'!B895,vente!$G$4:$G$2190)</f>
        <v>0</v>
      </c>
      <c r="F895" s="36">
        <f t="shared" si="39"/>
        <v>0</v>
      </c>
      <c r="G895" s="176"/>
      <c r="H895" s="182"/>
      <c r="I895" s="37">
        <f t="shared" si="40"/>
        <v>0</v>
      </c>
      <c r="J895" s="38" t="str">
        <f t="shared" si="41"/>
        <v/>
      </c>
      <c r="K895" s="315"/>
      <c r="L895" s="145"/>
    </row>
    <row r="896" spans="1:12" ht="20.100000000000001" customHeight="1" thickBot="1" x14ac:dyDescent="0.4">
      <c r="A896" s="144" t="str">
        <f>IF(B896=IFERROR(VLOOKUP(B896,entrant!$E$4:$J$188,1,FALSE),"THERE WAS AN ERROR"),"RAPPORT JOURNAL","")</f>
        <v/>
      </c>
      <c r="B896" s="147"/>
      <c r="C896" s="170"/>
      <c r="D896" s="35">
        <f>SUMIF(entrant!$E$4:$E$2059,'Inventaire des produits'!B896,entrant!$G$4:$G$2059)</f>
        <v>0</v>
      </c>
      <c r="E896" s="35">
        <f>SUMIF(vente!$E$4:$E$2190,'Inventaire des produits'!B896,vente!$G$4:$G$2190)</f>
        <v>0</v>
      </c>
      <c r="F896" s="36">
        <f t="shared" si="39"/>
        <v>0</v>
      </c>
      <c r="G896" s="176"/>
      <c r="H896" s="182"/>
      <c r="I896" s="37">
        <f t="shared" si="40"/>
        <v>0</v>
      </c>
      <c r="J896" s="38" t="str">
        <f t="shared" si="41"/>
        <v/>
      </c>
      <c r="K896" s="315"/>
      <c r="L896" s="145"/>
    </row>
    <row r="897" spans="1:12" ht="20.100000000000001" customHeight="1" thickBot="1" x14ac:dyDescent="0.4">
      <c r="A897" s="144" t="str">
        <f>IF(B897=IFERROR(VLOOKUP(B897,entrant!$E$4:$J$188,1,FALSE),"THERE WAS AN ERROR"),"RAPPORT JOURNAL","")</f>
        <v/>
      </c>
      <c r="B897" s="147"/>
      <c r="C897" s="170"/>
      <c r="D897" s="35">
        <f>SUMIF(entrant!$E$4:$E$2059,'Inventaire des produits'!B897,entrant!$G$4:$G$2059)</f>
        <v>0</v>
      </c>
      <c r="E897" s="35">
        <f>SUMIF(vente!$E$4:$E$2190,'Inventaire des produits'!B897,vente!$G$4:$G$2190)</f>
        <v>0</v>
      </c>
      <c r="F897" s="36">
        <f t="shared" si="39"/>
        <v>0</v>
      </c>
      <c r="G897" s="176"/>
      <c r="H897" s="182"/>
      <c r="I897" s="37">
        <f t="shared" si="40"/>
        <v>0</v>
      </c>
      <c r="J897" s="38" t="str">
        <f t="shared" si="41"/>
        <v/>
      </c>
      <c r="K897" s="315"/>
      <c r="L897" s="145"/>
    </row>
    <row r="898" spans="1:12" ht="20.100000000000001" customHeight="1" thickBot="1" x14ac:dyDescent="0.4">
      <c r="A898" s="144" t="str">
        <f>IF(B898=IFERROR(VLOOKUP(B898,entrant!$E$4:$J$188,1,FALSE),"THERE WAS AN ERROR"),"RAPPORT JOURNAL","")</f>
        <v/>
      </c>
      <c r="B898" s="147"/>
      <c r="C898" s="170"/>
      <c r="D898" s="35">
        <f>SUMIF(entrant!$E$4:$E$2059,'Inventaire des produits'!B898,entrant!$G$4:$G$2059)</f>
        <v>0</v>
      </c>
      <c r="E898" s="35">
        <f>SUMIF(vente!$E$4:$E$2190,'Inventaire des produits'!B898,vente!$G$4:$G$2190)</f>
        <v>0</v>
      </c>
      <c r="F898" s="36">
        <f t="shared" si="39"/>
        <v>0</v>
      </c>
      <c r="G898" s="176"/>
      <c r="H898" s="182"/>
      <c r="I898" s="37">
        <f t="shared" si="40"/>
        <v>0</v>
      </c>
      <c r="J898" s="38" t="str">
        <f t="shared" si="41"/>
        <v/>
      </c>
      <c r="K898" s="315"/>
      <c r="L898" s="145"/>
    </row>
    <row r="899" spans="1:12" ht="20.100000000000001" customHeight="1" thickBot="1" x14ac:dyDescent="0.4">
      <c r="A899" s="144" t="str">
        <f>IF(B899=IFERROR(VLOOKUP(B899,entrant!$E$4:$J$188,1,FALSE),"THERE WAS AN ERROR"),"RAPPORT JOURNAL","")</f>
        <v/>
      </c>
      <c r="B899" s="147"/>
      <c r="C899" s="170"/>
      <c r="D899" s="35">
        <f>SUMIF(entrant!$E$4:$E$2059,'Inventaire des produits'!B899,entrant!$G$4:$G$2059)</f>
        <v>0</v>
      </c>
      <c r="E899" s="35">
        <f>SUMIF(vente!$E$4:$E$2190,'Inventaire des produits'!B899,vente!$G$4:$G$2190)</f>
        <v>0</v>
      </c>
      <c r="F899" s="36">
        <f t="shared" ref="F899:F962" si="42">IF(OR(D899="",E899=""),"",D899-E899)</f>
        <v>0</v>
      </c>
      <c r="G899" s="176"/>
      <c r="H899" s="182"/>
      <c r="I899" s="37">
        <f t="shared" si="40"/>
        <v>0</v>
      </c>
      <c r="J899" s="38" t="str">
        <f t="shared" si="41"/>
        <v/>
      </c>
      <c r="K899" s="315"/>
      <c r="L899" s="145"/>
    </row>
    <row r="900" spans="1:12" ht="20.100000000000001" customHeight="1" thickBot="1" x14ac:dyDescent="0.4">
      <c r="A900" s="144" t="str">
        <f>IF(B900=IFERROR(VLOOKUP(B900,entrant!$E$4:$J$188,1,FALSE),"THERE WAS AN ERROR"),"RAPPORT JOURNAL","")</f>
        <v/>
      </c>
      <c r="B900" s="147"/>
      <c r="C900" s="170"/>
      <c r="D900" s="35">
        <f>SUMIF(entrant!$E$4:$E$2059,'Inventaire des produits'!B900,entrant!$G$4:$G$2059)</f>
        <v>0</v>
      </c>
      <c r="E900" s="35">
        <f>SUMIF(vente!$E$4:$E$2190,'Inventaire des produits'!B900,vente!$G$4:$G$2190)</f>
        <v>0</v>
      </c>
      <c r="F900" s="36">
        <f t="shared" si="42"/>
        <v>0</v>
      </c>
      <c r="G900" s="176"/>
      <c r="H900" s="182"/>
      <c r="I900" s="37">
        <f t="shared" ref="I900:I963" si="43">IF(H900="",G900,G900-G900*H900)</f>
        <v>0</v>
      </c>
      <c r="J900" s="38" t="str">
        <f t="shared" ref="J900:J963" si="44">IF(OR(F900="",G900=""),"",F900*I900)</f>
        <v/>
      </c>
      <c r="K900" s="315"/>
      <c r="L900" s="145"/>
    </row>
    <row r="901" spans="1:12" ht="20.100000000000001" customHeight="1" thickBot="1" x14ac:dyDescent="0.4">
      <c r="A901" s="144" t="str">
        <f>IF(B901=IFERROR(VLOOKUP(B901,entrant!$E$4:$J$188,1,FALSE),"THERE WAS AN ERROR"),"RAPPORT JOURNAL","")</f>
        <v/>
      </c>
      <c r="B901" s="147"/>
      <c r="C901" s="170"/>
      <c r="D901" s="35">
        <f>SUMIF(entrant!$E$4:$E$2059,'Inventaire des produits'!B901,entrant!$G$4:$G$2059)</f>
        <v>0</v>
      </c>
      <c r="E901" s="35">
        <f>SUMIF(vente!$E$4:$E$2190,'Inventaire des produits'!B901,vente!$G$4:$G$2190)</f>
        <v>0</v>
      </c>
      <c r="F901" s="36">
        <f t="shared" si="42"/>
        <v>0</v>
      </c>
      <c r="G901" s="176"/>
      <c r="H901" s="182"/>
      <c r="I901" s="37">
        <f t="shared" si="43"/>
        <v>0</v>
      </c>
      <c r="J901" s="38" t="str">
        <f t="shared" si="44"/>
        <v/>
      </c>
      <c r="K901" s="315"/>
      <c r="L901" s="145"/>
    </row>
    <row r="902" spans="1:12" ht="20.100000000000001" customHeight="1" thickBot="1" x14ac:dyDescent="0.4">
      <c r="A902" s="144" t="str">
        <f>IF(B902=IFERROR(VLOOKUP(B902,entrant!$E$4:$J$188,1,FALSE),"THERE WAS AN ERROR"),"RAPPORT JOURNAL","")</f>
        <v/>
      </c>
      <c r="B902" s="147"/>
      <c r="C902" s="170"/>
      <c r="D902" s="35">
        <f>SUMIF(entrant!$E$4:$E$2059,'Inventaire des produits'!B902,entrant!$G$4:$G$2059)</f>
        <v>0</v>
      </c>
      <c r="E902" s="35">
        <f>SUMIF(vente!$E$4:$E$2190,'Inventaire des produits'!B902,vente!$G$4:$G$2190)</f>
        <v>0</v>
      </c>
      <c r="F902" s="36">
        <f t="shared" si="42"/>
        <v>0</v>
      </c>
      <c r="G902" s="176"/>
      <c r="H902" s="182"/>
      <c r="I902" s="37">
        <f t="shared" si="43"/>
        <v>0</v>
      </c>
      <c r="J902" s="38" t="str">
        <f t="shared" si="44"/>
        <v/>
      </c>
      <c r="K902" s="315"/>
      <c r="L902" s="145"/>
    </row>
    <row r="903" spans="1:12" ht="20.100000000000001" customHeight="1" thickBot="1" x14ac:dyDescent="0.4">
      <c r="A903" s="144" t="str">
        <f>IF(B903=IFERROR(VLOOKUP(B903,entrant!$E$4:$J$188,1,FALSE),"THERE WAS AN ERROR"),"RAPPORT JOURNAL","")</f>
        <v/>
      </c>
      <c r="B903" s="147"/>
      <c r="C903" s="170"/>
      <c r="D903" s="35">
        <f>SUMIF(entrant!$E$4:$E$2059,'Inventaire des produits'!B903,entrant!$G$4:$G$2059)</f>
        <v>0</v>
      </c>
      <c r="E903" s="35">
        <f>SUMIF(vente!$E$4:$E$2190,'Inventaire des produits'!B903,vente!$G$4:$G$2190)</f>
        <v>0</v>
      </c>
      <c r="F903" s="36">
        <f t="shared" si="42"/>
        <v>0</v>
      </c>
      <c r="G903" s="176"/>
      <c r="H903" s="182"/>
      <c r="I903" s="37">
        <f t="shared" si="43"/>
        <v>0</v>
      </c>
      <c r="J903" s="38" t="str">
        <f t="shared" si="44"/>
        <v/>
      </c>
      <c r="K903" s="315"/>
      <c r="L903" s="145"/>
    </row>
    <row r="904" spans="1:12" ht="20.100000000000001" customHeight="1" thickBot="1" x14ac:dyDescent="0.4">
      <c r="A904" s="144" t="str">
        <f>IF(B904=IFERROR(VLOOKUP(B904,entrant!$E$4:$J$188,1,FALSE),"THERE WAS AN ERROR"),"RAPPORT JOURNAL","")</f>
        <v/>
      </c>
      <c r="B904" s="147"/>
      <c r="C904" s="170"/>
      <c r="D904" s="35">
        <f>SUMIF(entrant!$E$4:$E$2059,'Inventaire des produits'!B904,entrant!$G$4:$G$2059)</f>
        <v>0</v>
      </c>
      <c r="E904" s="35">
        <f>SUMIF(vente!$E$4:$E$2190,'Inventaire des produits'!B904,vente!$G$4:$G$2190)</f>
        <v>0</v>
      </c>
      <c r="F904" s="36">
        <f t="shared" si="42"/>
        <v>0</v>
      </c>
      <c r="G904" s="176"/>
      <c r="H904" s="182"/>
      <c r="I904" s="37">
        <f t="shared" si="43"/>
        <v>0</v>
      </c>
      <c r="J904" s="38" t="str">
        <f t="shared" si="44"/>
        <v/>
      </c>
      <c r="K904" s="315"/>
      <c r="L904" s="145"/>
    </row>
    <row r="905" spans="1:12" ht="20.100000000000001" customHeight="1" thickBot="1" x14ac:dyDescent="0.4">
      <c r="A905" s="144" t="str">
        <f>IF(B905=IFERROR(VLOOKUP(B905,entrant!$E$4:$J$188,1,FALSE),"THERE WAS AN ERROR"),"RAPPORT JOURNAL","")</f>
        <v/>
      </c>
      <c r="B905" s="147"/>
      <c r="C905" s="170"/>
      <c r="D905" s="35">
        <f>SUMIF(entrant!$E$4:$E$2059,'Inventaire des produits'!B905,entrant!$G$4:$G$2059)</f>
        <v>0</v>
      </c>
      <c r="E905" s="35">
        <f>SUMIF(vente!$E$4:$E$2190,'Inventaire des produits'!B905,vente!$G$4:$G$2190)</f>
        <v>0</v>
      </c>
      <c r="F905" s="36">
        <f t="shared" si="42"/>
        <v>0</v>
      </c>
      <c r="G905" s="176"/>
      <c r="H905" s="182"/>
      <c r="I905" s="37">
        <f t="shared" si="43"/>
        <v>0</v>
      </c>
      <c r="J905" s="38" t="str">
        <f t="shared" si="44"/>
        <v/>
      </c>
      <c r="K905" s="315"/>
      <c r="L905" s="145"/>
    </row>
    <row r="906" spans="1:12" ht="20.100000000000001" customHeight="1" thickBot="1" x14ac:dyDescent="0.4">
      <c r="A906" s="144" t="str">
        <f>IF(B906=IFERROR(VLOOKUP(B906,entrant!$E$4:$J$188,1,FALSE),"THERE WAS AN ERROR"),"RAPPORT JOURNAL","")</f>
        <v/>
      </c>
      <c r="B906" s="147"/>
      <c r="C906" s="170"/>
      <c r="D906" s="35">
        <f>SUMIF(entrant!$E$4:$E$2059,'Inventaire des produits'!B906,entrant!$G$4:$G$2059)</f>
        <v>0</v>
      </c>
      <c r="E906" s="35">
        <f>SUMIF(vente!$E$4:$E$2190,'Inventaire des produits'!B906,vente!$G$4:$G$2190)</f>
        <v>0</v>
      </c>
      <c r="F906" s="36">
        <f t="shared" si="42"/>
        <v>0</v>
      </c>
      <c r="G906" s="176"/>
      <c r="H906" s="182"/>
      <c r="I906" s="37">
        <f t="shared" si="43"/>
        <v>0</v>
      </c>
      <c r="J906" s="38" t="str">
        <f t="shared" si="44"/>
        <v/>
      </c>
      <c r="K906" s="315"/>
      <c r="L906" s="145"/>
    </row>
    <row r="907" spans="1:12" ht="20.100000000000001" customHeight="1" thickBot="1" x14ac:dyDescent="0.4">
      <c r="A907" s="144" t="str">
        <f>IF(B907=IFERROR(VLOOKUP(B907,entrant!$E$4:$J$188,1,FALSE),"THERE WAS AN ERROR"),"RAPPORT JOURNAL","")</f>
        <v/>
      </c>
      <c r="B907" s="147"/>
      <c r="C907" s="170"/>
      <c r="D907" s="35">
        <f>SUMIF(entrant!$E$4:$E$2059,'Inventaire des produits'!B907,entrant!$G$4:$G$2059)</f>
        <v>0</v>
      </c>
      <c r="E907" s="35">
        <f>SUMIF(vente!$E$4:$E$2190,'Inventaire des produits'!B907,vente!$G$4:$G$2190)</f>
        <v>0</v>
      </c>
      <c r="F907" s="36">
        <f t="shared" si="42"/>
        <v>0</v>
      </c>
      <c r="G907" s="176"/>
      <c r="H907" s="182"/>
      <c r="I907" s="37">
        <f t="shared" si="43"/>
        <v>0</v>
      </c>
      <c r="J907" s="38" t="str">
        <f t="shared" si="44"/>
        <v/>
      </c>
      <c r="K907" s="315"/>
      <c r="L907" s="145"/>
    </row>
    <row r="908" spans="1:12" ht="20.100000000000001" customHeight="1" thickBot="1" x14ac:dyDescent="0.4">
      <c r="A908" s="144" t="str">
        <f>IF(B908=IFERROR(VLOOKUP(B908,entrant!$E$4:$J$188,1,FALSE),"THERE WAS AN ERROR"),"RAPPORT JOURNAL","")</f>
        <v/>
      </c>
      <c r="B908" s="147"/>
      <c r="C908" s="170"/>
      <c r="D908" s="35">
        <f>SUMIF(entrant!$E$4:$E$2059,'Inventaire des produits'!B908,entrant!$G$4:$G$2059)</f>
        <v>0</v>
      </c>
      <c r="E908" s="35">
        <f>SUMIF(vente!$E$4:$E$2190,'Inventaire des produits'!B908,vente!$G$4:$G$2190)</f>
        <v>0</v>
      </c>
      <c r="F908" s="36">
        <f t="shared" si="42"/>
        <v>0</v>
      </c>
      <c r="G908" s="176"/>
      <c r="H908" s="182"/>
      <c r="I908" s="37">
        <f t="shared" si="43"/>
        <v>0</v>
      </c>
      <c r="J908" s="38" t="str">
        <f t="shared" si="44"/>
        <v/>
      </c>
      <c r="K908" s="315"/>
      <c r="L908" s="145"/>
    </row>
    <row r="909" spans="1:12" ht="20.100000000000001" customHeight="1" thickBot="1" x14ac:dyDescent="0.4">
      <c r="A909" s="144" t="str">
        <f>IF(B909=IFERROR(VLOOKUP(B909,entrant!$E$4:$J$188,1,FALSE),"THERE WAS AN ERROR"),"RAPPORT JOURNAL","")</f>
        <v/>
      </c>
      <c r="B909" s="147"/>
      <c r="C909" s="170"/>
      <c r="D909" s="35">
        <f>SUMIF(entrant!$E$4:$E$2059,'Inventaire des produits'!B909,entrant!$G$4:$G$2059)</f>
        <v>0</v>
      </c>
      <c r="E909" s="35">
        <f>SUMIF(vente!$E$4:$E$2190,'Inventaire des produits'!B909,vente!$G$4:$G$2190)</f>
        <v>0</v>
      </c>
      <c r="F909" s="36">
        <f t="shared" si="42"/>
        <v>0</v>
      </c>
      <c r="G909" s="176"/>
      <c r="H909" s="182"/>
      <c r="I909" s="37">
        <f t="shared" si="43"/>
        <v>0</v>
      </c>
      <c r="J909" s="38" t="str">
        <f t="shared" si="44"/>
        <v/>
      </c>
      <c r="K909" s="315"/>
      <c r="L909" s="145"/>
    </row>
    <row r="910" spans="1:12" ht="20.100000000000001" customHeight="1" thickBot="1" x14ac:dyDescent="0.4">
      <c r="A910" s="144" t="str">
        <f>IF(B910=IFERROR(VLOOKUP(B910,entrant!$E$4:$J$188,1,FALSE),"THERE WAS AN ERROR"),"RAPPORT JOURNAL","")</f>
        <v/>
      </c>
      <c r="B910" s="147"/>
      <c r="C910" s="170"/>
      <c r="D910" s="35">
        <f>SUMIF(entrant!$E$4:$E$2059,'Inventaire des produits'!B910,entrant!$G$4:$G$2059)</f>
        <v>0</v>
      </c>
      <c r="E910" s="35">
        <f>SUMIF(vente!$E$4:$E$2190,'Inventaire des produits'!B910,vente!$G$4:$G$2190)</f>
        <v>0</v>
      </c>
      <c r="F910" s="36">
        <f t="shared" si="42"/>
        <v>0</v>
      </c>
      <c r="G910" s="176"/>
      <c r="H910" s="182"/>
      <c r="I910" s="37">
        <f t="shared" si="43"/>
        <v>0</v>
      </c>
      <c r="J910" s="38" t="str">
        <f t="shared" si="44"/>
        <v/>
      </c>
      <c r="K910" s="315"/>
      <c r="L910" s="145"/>
    </row>
    <row r="911" spans="1:12" ht="20.100000000000001" customHeight="1" thickBot="1" x14ac:dyDescent="0.4">
      <c r="A911" s="144" t="str">
        <f>IF(B911=IFERROR(VLOOKUP(B911,entrant!$E$4:$J$188,1,FALSE),"THERE WAS AN ERROR"),"RAPPORT JOURNAL","")</f>
        <v/>
      </c>
      <c r="B911" s="147"/>
      <c r="C911" s="170"/>
      <c r="D911" s="35">
        <f>SUMIF(entrant!$E$4:$E$2059,'Inventaire des produits'!B911,entrant!$G$4:$G$2059)</f>
        <v>0</v>
      </c>
      <c r="E911" s="35">
        <f>SUMIF(vente!$E$4:$E$2190,'Inventaire des produits'!B911,vente!$G$4:$G$2190)</f>
        <v>0</v>
      </c>
      <c r="F911" s="36">
        <f t="shared" si="42"/>
        <v>0</v>
      </c>
      <c r="G911" s="176"/>
      <c r="H911" s="182"/>
      <c r="I911" s="37">
        <f t="shared" si="43"/>
        <v>0</v>
      </c>
      <c r="J911" s="38" t="str">
        <f t="shared" si="44"/>
        <v/>
      </c>
      <c r="K911" s="315"/>
      <c r="L911" s="145"/>
    </row>
    <row r="912" spans="1:12" ht="20.100000000000001" customHeight="1" thickBot="1" x14ac:dyDescent="0.4">
      <c r="A912" s="144" t="str">
        <f>IF(B912=IFERROR(VLOOKUP(B912,entrant!$E$4:$J$188,1,FALSE),"THERE WAS AN ERROR"),"RAPPORT JOURNAL","")</f>
        <v/>
      </c>
      <c r="B912" s="147"/>
      <c r="C912" s="170"/>
      <c r="D912" s="35">
        <f>SUMIF(entrant!$E$4:$E$2059,'Inventaire des produits'!B912,entrant!$G$4:$G$2059)</f>
        <v>0</v>
      </c>
      <c r="E912" s="35">
        <f>SUMIF(vente!$E$4:$E$2190,'Inventaire des produits'!B912,vente!$G$4:$G$2190)</f>
        <v>0</v>
      </c>
      <c r="F912" s="36">
        <f t="shared" si="42"/>
        <v>0</v>
      </c>
      <c r="G912" s="176"/>
      <c r="H912" s="182"/>
      <c r="I912" s="37">
        <f t="shared" si="43"/>
        <v>0</v>
      </c>
      <c r="J912" s="38" t="str">
        <f t="shared" si="44"/>
        <v/>
      </c>
      <c r="K912" s="315"/>
      <c r="L912" s="145"/>
    </row>
    <row r="913" spans="1:12" ht="20.100000000000001" customHeight="1" thickBot="1" x14ac:dyDescent="0.4">
      <c r="A913" s="144" t="str">
        <f>IF(B913=IFERROR(VLOOKUP(B913,entrant!$E$4:$J$188,1,FALSE),"THERE WAS AN ERROR"),"RAPPORT JOURNAL","")</f>
        <v/>
      </c>
      <c r="B913" s="147"/>
      <c r="C913" s="170"/>
      <c r="D913" s="35">
        <f>SUMIF(entrant!$E$4:$E$2059,'Inventaire des produits'!B913,entrant!$G$4:$G$2059)</f>
        <v>0</v>
      </c>
      <c r="E913" s="35">
        <f>SUMIF(vente!$E$4:$E$2190,'Inventaire des produits'!B913,vente!$G$4:$G$2190)</f>
        <v>0</v>
      </c>
      <c r="F913" s="36">
        <f t="shared" si="42"/>
        <v>0</v>
      </c>
      <c r="G913" s="176"/>
      <c r="H913" s="182"/>
      <c r="I913" s="37">
        <f t="shared" si="43"/>
        <v>0</v>
      </c>
      <c r="J913" s="38" t="str">
        <f t="shared" si="44"/>
        <v/>
      </c>
      <c r="K913" s="315"/>
      <c r="L913" s="145"/>
    </row>
    <row r="914" spans="1:12" ht="20.100000000000001" customHeight="1" thickBot="1" x14ac:dyDescent="0.4">
      <c r="A914" s="144" t="str">
        <f>IF(B914=IFERROR(VLOOKUP(B914,entrant!$E$4:$J$188,1,FALSE),"THERE WAS AN ERROR"),"RAPPORT JOURNAL","")</f>
        <v/>
      </c>
      <c r="B914" s="147"/>
      <c r="C914" s="170"/>
      <c r="D914" s="35">
        <f>SUMIF(entrant!$E$4:$E$2059,'Inventaire des produits'!B914,entrant!$G$4:$G$2059)</f>
        <v>0</v>
      </c>
      <c r="E914" s="35">
        <f>SUMIF(vente!$E$4:$E$2190,'Inventaire des produits'!B914,vente!$G$4:$G$2190)</f>
        <v>0</v>
      </c>
      <c r="F914" s="36">
        <f t="shared" si="42"/>
        <v>0</v>
      </c>
      <c r="G914" s="176"/>
      <c r="H914" s="182"/>
      <c r="I914" s="37">
        <f t="shared" si="43"/>
        <v>0</v>
      </c>
      <c r="J914" s="38" t="str">
        <f t="shared" si="44"/>
        <v/>
      </c>
      <c r="K914" s="315"/>
      <c r="L914" s="145"/>
    </row>
    <row r="915" spans="1:12" ht="20.100000000000001" customHeight="1" thickBot="1" x14ac:dyDescent="0.4">
      <c r="A915" s="144" t="str">
        <f>IF(B915=IFERROR(VLOOKUP(B915,entrant!$E$4:$J$188,1,FALSE),"THERE WAS AN ERROR"),"RAPPORT JOURNAL","")</f>
        <v/>
      </c>
      <c r="B915" s="147"/>
      <c r="C915" s="170"/>
      <c r="D915" s="35">
        <f>SUMIF(entrant!$E$4:$E$2059,'Inventaire des produits'!B915,entrant!$G$4:$G$2059)</f>
        <v>0</v>
      </c>
      <c r="E915" s="35">
        <f>SUMIF(vente!$E$4:$E$2190,'Inventaire des produits'!B915,vente!$G$4:$G$2190)</f>
        <v>0</v>
      </c>
      <c r="F915" s="36">
        <f t="shared" si="42"/>
        <v>0</v>
      </c>
      <c r="G915" s="176"/>
      <c r="H915" s="182"/>
      <c r="I915" s="37">
        <f t="shared" si="43"/>
        <v>0</v>
      </c>
      <c r="J915" s="38" t="str">
        <f t="shared" si="44"/>
        <v/>
      </c>
      <c r="K915" s="315"/>
      <c r="L915" s="145"/>
    </row>
    <row r="916" spans="1:12" ht="20.100000000000001" customHeight="1" thickBot="1" x14ac:dyDescent="0.4">
      <c r="A916" s="144" t="str">
        <f>IF(B916=IFERROR(VLOOKUP(B916,entrant!$E$4:$J$188,1,FALSE),"THERE WAS AN ERROR"),"RAPPORT JOURNAL","")</f>
        <v/>
      </c>
      <c r="B916" s="147"/>
      <c r="C916" s="170"/>
      <c r="D916" s="35">
        <f>SUMIF(entrant!$E$4:$E$2059,'Inventaire des produits'!B916,entrant!$G$4:$G$2059)</f>
        <v>0</v>
      </c>
      <c r="E916" s="35">
        <f>SUMIF(vente!$E$4:$E$2190,'Inventaire des produits'!B916,vente!$G$4:$G$2190)</f>
        <v>0</v>
      </c>
      <c r="F916" s="36">
        <f t="shared" si="42"/>
        <v>0</v>
      </c>
      <c r="G916" s="176"/>
      <c r="H916" s="182"/>
      <c r="I916" s="37">
        <f t="shared" si="43"/>
        <v>0</v>
      </c>
      <c r="J916" s="38" t="str">
        <f t="shared" si="44"/>
        <v/>
      </c>
      <c r="K916" s="315"/>
      <c r="L916" s="145"/>
    </row>
    <row r="917" spans="1:12" ht="20.100000000000001" customHeight="1" thickBot="1" x14ac:dyDescent="0.4">
      <c r="A917" s="144" t="str">
        <f>IF(B917=IFERROR(VLOOKUP(B917,entrant!$E$4:$J$188,1,FALSE),"THERE WAS AN ERROR"),"RAPPORT JOURNAL","")</f>
        <v/>
      </c>
      <c r="B917" s="147"/>
      <c r="C917" s="170"/>
      <c r="D917" s="35">
        <f>SUMIF(entrant!$E$4:$E$2059,'Inventaire des produits'!B917,entrant!$G$4:$G$2059)</f>
        <v>0</v>
      </c>
      <c r="E917" s="35">
        <f>SUMIF(vente!$E$4:$E$2190,'Inventaire des produits'!B917,vente!$G$4:$G$2190)</f>
        <v>0</v>
      </c>
      <c r="F917" s="36">
        <f t="shared" si="42"/>
        <v>0</v>
      </c>
      <c r="G917" s="176"/>
      <c r="H917" s="182"/>
      <c r="I917" s="37">
        <f t="shared" si="43"/>
        <v>0</v>
      </c>
      <c r="J917" s="38" t="str">
        <f t="shared" si="44"/>
        <v/>
      </c>
      <c r="K917" s="315"/>
      <c r="L917" s="145"/>
    </row>
    <row r="918" spans="1:12" ht="20.100000000000001" customHeight="1" thickBot="1" x14ac:dyDescent="0.4">
      <c r="A918" s="144" t="str">
        <f>IF(B918=IFERROR(VLOOKUP(B918,entrant!$E$4:$J$188,1,FALSE),"THERE WAS AN ERROR"),"RAPPORT JOURNAL","")</f>
        <v/>
      </c>
      <c r="B918" s="147"/>
      <c r="C918" s="170"/>
      <c r="D918" s="35">
        <f>SUMIF(entrant!$E$4:$E$2059,'Inventaire des produits'!B918,entrant!$G$4:$G$2059)</f>
        <v>0</v>
      </c>
      <c r="E918" s="35">
        <f>SUMIF(vente!$E$4:$E$2190,'Inventaire des produits'!B918,vente!$G$4:$G$2190)</f>
        <v>0</v>
      </c>
      <c r="F918" s="36">
        <f t="shared" si="42"/>
        <v>0</v>
      </c>
      <c r="G918" s="176"/>
      <c r="H918" s="182"/>
      <c r="I918" s="37">
        <f t="shared" si="43"/>
        <v>0</v>
      </c>
      <c r="J918" s="38" t="str">
        <f t="shared" si="44"/>
        <v/>
      </c>
      <c r="K918" s="315"/>
      <c r="L918" s="145"/>
    </row>
    <row r="919" spans="1:12" ht="20.100000000000001" customHeight="1" thickBot="1" x14ac:dyDescent="0.4">
      <c r="A919" s="144" t="str">
        <f>IF(B919=IFERROR(VLOOKUP(B919,entrant!$E$4:$J$188,1,FALSE),"THERE WAS AN ERROR"),"RAPPORT JOURNAL","")</f>
        <v/>
      </c>
      <c r="B919" s="147"/>
      <c r="C919" s="170"/>
      <c r="D919" s="35">
        <f>SUMIF(entrant!$E$4:$E$2059,'Inventaire des produits'!B919,entrant!$G$4:$G$2059)</f>
        <v>0</v>
      </c>
      <c r="E919" s="35">
        <f>SUMIF(vente!$E$4:$E$2190,'Inventaire des produits'!B919,vente!$G$4:$G$2190)</f>
        <v>0</v>
      </c>
      <c r="F919" s="36">
        <f t="shared" si="42"/>
        <v>0</v>
      </c>
      <c r="G919" s="176"/>
      <c r="H919" s="182"/>
      <c r="I919" s="37">
        <f t="shared" si="43"/>
        <v>0</v>
      </c>
      <c r="J919" s="38" t="str">
        <f t="shared" si="44"/>
        <v/>
      </c>
      <c r="K919" s="315"/>
      <c r="L919" s="145"/>
    </row>
    <row r="920" spans="1:12" ht="20.100000000000001" customHeight="1" thickBot="1" x14ac:dyDescent="0.4">
      <c r="A920" s="144" t="str">
        <f>IF(B920=IFERROR(VLOOKUP(B920,entrant!$E$4:$J$188,1,FALSE),"THERE WAS AN ERROR"),"RAPPORT JOURNAL","")</f>
        <v/>
      </c>
      <c r="B920" s="147"/>
      <c r="C920" s="170"/>
      <c r="D920" s="35">
        <f>SUMIF(entrant!$E$4:$E$2059,'Inventaire des produits'!B920,entrant!$G$4:$G$2059)</f>
        <v>0</v>
      </c>
      <c r="E920" s="35">
        <f>SUMIF(vente!$E$4:$E$2190,'Inventaire des produits'!B920,vente!$G$4:$G$2190)</f>
        <v>0</v>
      </c>
      <c r="F920" s="36">
        <f t="shared" si="42"/>
        <v>0</v>
      </c>
      <c r="G920" s="176"/>
      <c r="H920" s="182"/>
      <c r="I920" s="37">
        <f t="shared" si="43"/>
        <v>0</v>
      </c>
      <c r="J920" s="38" t="str">
        <f t="shared" si="44"/>
        <v/>
      </c>
      <c r="K920" s="315"/>
      <c r="L920" s="145"/>
    </row>
    <row r="921" spans="1:12" ht="20.100000000000001" customHeight="1" thickBot="1" x14ac:dyDescent="0.4">
      <c r="A921" s="144" t="str">
        <f>IF(B921=IFERROR(VLOOKUP(B921,entrant!$E$4:$J$188,1,FALSE),"THERE WAS AN ERROR"),"RAPPORT JOURNAL","")</f>
        <v/>
      </c>
      <c r="B921" s="147"/>
      <c r="C921" s="170"/>
      <c r="D921" s="35">
        <f>SUMIF(entrant!$E$4:$E$2059,'Inventaire des produits'!B921,entrant!$G$4:$G$2059)</f>
        <v>0</v>
      </c>
      <c r="E921" s="35">
        <f>SUMIF(vente!$E$4:$E$2190,'Inventaire des produits'!B921,vente!$G$4:$G$2190)</f>
        <v>0</v>
      </c>
      <c r="F921" s="36">
        <f t="shared" si="42"/>
        <v>0</v>
      </c>
      <c r="G921" s="176"/>
      <c r="H921" s="182"/>
      <c r="I921" s="37">
        <f t="shared" si="43"/>
        <v>0</v>
      </c>
      <c r="J921" s="38" t="str">
        <f t="shared" si="44"/>
        <v/>
      </c>
      <c r="K921" s="315"/>
      <c r="L921" s="145"/>
    </row>
    <row r="922" spans="1:12" ht="20.100000000000001" customHeight="1" thickBot="1" x14ac:dyDescent="0.4">
      <c r="A922" s="144" t="str">
        <f>IF(B922=IFERROR(VLOOKUP(B922,entrant!$E$4:$J$188,1,FALSE),"THERE WAS AN ERROR"),"RAPPORT JOURNAL","")</f>
        <v/>
      </c>
      <c r="B922" s="147"/>
      <c r="C922" s="170"/>
      <c r="D922" s="35">
        <f>SUMIF(entrant!$E$4:$E$2059,'Inventaire des produits'!B922,entrant!$G$4:$G$2059)</f>
        <v>0</v>
      </c>
      <c r="E922" s="35">
        <f>SUMIF(vente!$E$4:$E$2190,'Inventaire des produits'!B922,vente!$G$4:$G$2190)</f>
        <v>0</v>
      </c>
      <c r="F922" s="36">
        <f t="shared" si="42"/>
        <v>0</v>
      </c>
      <c r="G922" s="176"/>
      <c r="H922" s="182"/>
      <c r="I922" s="37">
        <f t="shared" si="43"/>
        <v>0</v>
      </c>
      <c r="J922" s="38" t="str">
        <f t="shared" si="44"/>
        <v/>
      </c>
      <c r="K922" s="315"/>
      <c r="L922" s="145"/>
    </row>
    <row r="923" spans="1:12" ht="20.100000000000001" customHeight="1" thickBot="1" x14ac:dyDescent="0.4">
      <c r="A923" s="144" t="str">
        <f>IF(B923=IFERROR(VLOOKUP(B923,entrant!$E$4:$J$188,1,FALSE),"THERE WAS AN ERROR"),"RAPPORT JOURNAL","")</f>
        <v/>
      </c>
      <c r="B923" s="147"/>
      <c r="C923" s="170"/>
      <c r="D923" s="35">
        <f>SUMIF(entrant!$E$4:$E$2059,'Inventaire des produits'!B923,entrant!$G$4:$G$2059)</f>
        <v>0</v>
      </c>
      <c r="E923" s="35">
        <f>SUMIF(vente!$E$4:$E$2190,'Inventaire des produits'!B923,vente!$G$4:$G$2190)</f>
        <v>0</v>
      </c>
      <c r="F923" s="36">
        <f t="shared" si="42"/>
        <v>0</v>
      </c>
      <c r="G923" s="176"/>
      <c r="H923" s="182"/>
      <c r="I923" s="37">
        <f t="shared" si="43"/>
        <v>0</v>
      </c>
      <c r="J923" s="38" t="str">
        <f t="shared" si="44"/>
        <v/>
      </c>
      <c r="K923" s="315"/>
      <c r="L923" s="145"/>
    </row>
    <row r="924" spans="1:12" ht="20.100000000000001" customHeight="1" thickBot="1" x14ac:dyDescent="0.4">
      <c r="A924" s="144" t="str">
        <f>IF(B924=IFERROR(VLOOKUP(B924,entrant!$E$4:$J$188,1,FALSE),"THERE WAS AN ERROR"),"RAPPORT JOURNAL","")</f>
        <v/>
      </c>
      <c r="B924" s="147"/>
      <c r="C924" s="170"/>
      <c r="D924" s="35">
        <f>SUMIF(entrant!$E$4:$E$2059,'Inventaire des produits'!B924,entrant!$G$4:$G$2059)</f>
        <v>0</v>
      </c>
      <c r="E924" s="35">
        <f>SUMIF(vente!$E$4:$E$2190,'Inventaire des produits'!B924,vente!$G$4:$G$2190)</f>
        <v>0</v>
      </c>
      <c r="F924" s="36">
        <f t="shared" si="42"/>
        <v>0</v>
      </c>
      <c r="G924" s="176"/>
      <c r="H924" s="182"/>
      <c r="I924" s="37">
        <f t="shared" si="43"/>
        <v>0</v>
      </c>
      <c r="J924" s="38" t="str">
        <f t="shared" si="44"/>
        <v/>
      </c>
      <c r="K924" s="315"/>
      <c r="L924" s="145"/>
    </row>
    <row r="925" spans="1:12" ht="20.100000000000001" customHeight="1" thickBot="1" x14ac:dyDescent="0.4">
      <c r="A925" s="144" t="str">
        <f>IF(B925=IFERROR(VLOOKUP(B925,entrant!$E$4:$J$188,1,FALSE),"THERE WAS AN ERROR"),"RAPPORT JOURNAL","")</f>
        <v/>
      </c>
      <c r="B925" s="147"/>
      <c r="C925" s="170"/>
      <c r="D925" s="35">
        <f>SUMIF(entrant!$E$4:$E$2059,'Inventaire des produits'!B925,entrant!$G$4:$G$2059)</f>
        <v>0</v>
      </c>
      <c r="E925" s="35">
        <f>SUMIF(vente!$E$4:$E$2190,'Inventaire des produits'!B925,vente!$G$4:$G$2190)</f>
        <v>0</v>
      </c>
      <c r="F925" s="36">
        <f t="shared" si="42"/>
        <v>0</v>
      </c>
      <c r="G925" s="176"/>
      <c r="H925" s="182"/>
      <c r="I925" s="37">
        <f t="shared" si="43"/>
        <v>0</v>
      </c>
      <c r="J925" s="38" t="str">
        <f t="shared" si="44"/>
        <v/>
      </c>
      <c r="K925" s="315"/>
      <c r="L925" s="145"/>
    </row>
    <row r="926" spans="1:12" ht="20.100000000000001" customHeight="1" thickBot="1" x14ac:dyDescent="0.4">
      <c r="A926" s="144" t="str">
        <f>IF(B926=IFERROR(VLOOKUP(B926,entrant!$E$4:$J$188,1,FALSE),"THERE WAS AN ERROR"),"RAPPORT JOURNAL","")</f>
        <v/>
      </c>
      <c r="B926" s="147"/>
      <c r="C926" s="170"/>
      <c r="D926" s="35">
        <f>SUMIF(entrant!$E$4:$E$2059,'Inventaire des produits'!B926,entrant!$G$4:$G$2059)</f>
        <v>0</v>
      </c>
      <c r="E926" s="35">
        <f>SUMIF(vente!$E$4:$E$2190,'Inventaire des produits'!B926,vente!$G$4:$G$2190)</f>
        <v>0</v>
      </c>
      <c r="F926" s="36">
        <f t="shared" si="42"/>
        <v>0</v>
      </c>
      <c r="G926" s="176"/>
      <c r="H926" s="182"/>
      <c r="I926" s="37">
        <f t="shared" si="43"/>
        <v>0</v>
      </c>
      <c r="J926" s="38" t="str">
        <f t="shared" si="44"/>
        <v/>
      </c>
      <c r="K926" s="315"/>
      <c r="L926" s="145"/>
    </row>
    <row r="927" spans="1:12" ht="20.100000000000001" customHeight="1" thickBot="1" x14ac:dyDescent="0.4">
      <c r="A927" s="144" t="str">
        <f>IF(B927=IFERROR(VLOOKUP(B927,entrant!$E$4:$J$188,1,FALSE),"THERE WAS AN ERROR"),"RAPPORT JOURNAL","")</f>
        <v/>
      </c>
      <c r="B927" s="147"/>
      <c r="C927" s="170"/>
      <c r="D927" s="35">
        <f>SUMIF(entrant!$E$4:$E$2059,'Inventaire des produits'!B927,entrant!$G$4:$G$2059)</f>
        <v>0</v>
      </c>
      <c r="E927" s="35">
        <f>SUMIF(vente!$E$4:$E$2190,'Inventaire des produits'!B927,vente!$G$4:$G$2190)</f>
        <v>0</v>
      </c>
      <c r="F927" s="36">
        <f t="shared" si="42"/>
        <v>0</v>
      </c>
      <c r="G927" s="176"/>
      <c r="H927" s="182"/>
      <c r="I927" s="37">
        <f t="shared" si="43"/>
        <v>0</v>
      </c>
      <c r="J927" s="38" t="str">
        <f t="shared" si="44"/>
        <v/>
      </c>
      <c r="K927" s="315"/>
      <c r="L927" s="145"/>
    </row>
    <row r="928" spans="1:12" ht="20.100000000000001" customHeight="1" thickBot="1" x14ac:dyDescent="0.4">
      <c r="A928" s="144" t="str">
        <f>IF(B928=IFERROR(VLOOKUP(B928,entrant!$E$4:$J$188,1,FALSE),"THERE WAS AN ERROR"),"RAPPORT JOURNAL","")</f>
        <v/>
      </c>
      <c r="B928" s="147"/>
      <c r="C928" s="170"/>
      <c r="D928" s="35">
        <f>SUMIF(entrant!$E$4:$E$2059,'Inventaire des produits'!B928,entrant!$G$4:$G$2059)</f>
        <v>0</v>
      </c>
      <c r="E928" s="35">
        <f>SUMIF(vente!$E$4:$E$2190,'Inventaire des produits'!B928,vente!$G$4:$G$2190)</f>
        <v>0</v>
      </c>
      <c r="F928" s="36">
        <f t="shared" si="42"/>
        <v>0</v>
      </c>
      <c r="G928" s="176"/>
      <c r="H928" s="182"/>
      <c r="I928" s="37">
        <f t="shared" si="43"/>
        <v>0</v>
      </c>
      <c r="J928" s="38" t="str">
        <f t="shared" si="44"/>
        <v/>
      </c>
      <c r="K928" s="315"/>
      <c r="L928" s="145"/>
    </row>
    <row r="929" spans="1:12" ht="20.100000000000001" customHeight="1" thickBot="1" x14ac:dyDescent="0.4">
      <c r="A929" s="144" t="str">
        <f>IF(B929=IFERROR(VLOOKUP(B929,entrant!$E$4:$J$188,1,FALSE),"THERE WAS AN ERROR"),"RAPPORT JOURNAL","")</f>
        <v/>
      </c>
      <c r="B929" s="147"/>
      <c r="C929" s="170"/>
      <c r="D929" s="35">
        <f>SUMIF(entrant!$E$4:$E$2059,'Inventaire des produits'!B929,entrant!$G$4:$G$2059)</f>
        <v>0</v>
      </c>
      <c r="E929" s="35">
        <f>SUMIF(vente!$E$4:$E$2190,'Inventaire des produits'!B929,vente!$G$4:$G$2190)</f>
        <v>0</v>
      </c>
      <c r="F929" s="36">
        <f t="shared" si="42"/>
        <v>0</v>
      </c>
      <c r="G929" s="176"/>
      <c r="H929" s="182"/>
      <c r="I929" s="37">
        <f t="shared" si="43"/>
        <v>0</v>
      </c>
      <c r="J929" s="38" t="str">
        <f t="shared" si="44"/>
        <v/>
      </c>
      <c r="K929" s="315"/>
      <c r="L929" s="145"/>
    </row>
    <row r="930" spans="1:12" ht="20.100000000000001" customHeight="1" thickBot="1" x14ac:dyDescent="0.4">
      <c r="A930" s="144" t="str">
        <f>IF(B930=IFERROR(VLOOKUP(B930,entrant!$E$4:$J$188,1,FALSE),"THERE WAS AN ERROR"),"RAPPORT JOURNAL","")</f>
        <v/>
      </c>
      <c r="B930" s="147"/>
      <c r="C930" s="170"/>
      <c r="D930" s="35">
        <f>SUMIF(entrant!$E$4:$E$2059,'Inventaire des produits'!B930,entrant!$G$4:$G$2059)</f>
        <v>0</v>
      </c>
      <c r="E930" s="35">
        <f>SUMIF(vente!$E$4:$E$2190,'Inventaire des produits'!B930,vente!$G$4:$G$2190)</f>
        <v>0</v>
      </c>
      <c r="F930" s="36">
        <f t="shared" si="42"/>
        <v>0</v>
      </c>
      <c r="G930" s="176"/>
      <c r="H930" s="182"/>
      <c r="I930" s="37">
        <f t="shared" si="43"/>
        <v>0</v>
      </c>
      <c r="J930" s="38" t="str">
        <f t="shared" si="44"/>
        <v/>
      </c>
      <c r="K930" s="315"/>
      <c r="L930" s="145"/>
    </row>
    <row r="931" spans="1:12" ht="20.100000000000001" customHeight="1" thickBot="1" x14ac:dyDescent="0.4">
      <c r="A931" s="144" t="str">
        <f>IF(B931=IFERROR(VLOOKUP(B931,entrant!$E$4:$J$188,1,FALSE),"THERE WAS AN ERROR"),"RAPPORT JOURNAL","")</f>
        <v/>
      </c>
      <c r="B931" s="147"/>
      <c r="C931" s="170"/>
      <c r="D931" s="35">
        <f>SUMIF(entrant!$E$4:$E$2059,'Inventaire des produits'!B931,entrant!$G$4:$G$2059)</f>
        <v>0</v>
      </c>
      <c r="E931" s="35">
        <f>SUMIF(vente!$E$4:$E$2190,'Inventaire des produits'!B931,vente!$G$4:$G$2190)</f>
        <v>0</v>
      </c>
      <c r="F931" s="36">
        <f t="shared" si="42"/>
        <v>0</v>
      </c>
      <c r="G931" s="176"/>
      <c r="H931" s="182"/>
      <c r="I931" s="37">
        <f t="shared" si="43"/>
        <v>0</v>
      </c>
      <c r="J931" s="38" t="str">
        <f t="shared" si="44"/>
        <v/>
      </c>
      <c r="K931" s="315"/>
      <c r="L931" s="145"/>
    </row>
    <row r="932" spans="1:12" ht="20.100000000000001" customHeight="1" thickBot="1" x14ac:dyDescent="0.4">
      <c r="A932" s="144" t="str">
        <f>IF(B932=IFERROR(VLOOKUP(B932,entrant!$E$4:$J$188,1,FALSE),"THERE WAS AN ERROR"),"RAPPORT JOURNAL","")</f>
        <v/>
      </c>
      <c r="B932" s="147"/>
      <c r="C932" s="170"/>
      <c r="D932" s="35">
        <f>SUMIF(entrant!$E$4:$E$2059,'Inventaire des produits'!B932,entrant!$G$4:$G$2059)</f>
        <v>0</v>
      </c>
      <c r="E932" s="35">
        <f>SUMIF(vente!$E$4:$E$2190,'Inventaire des produits'!B932,vente!$G$4:$G$2190)</f>
        <v>0</v>
      </c>
      <c r="F932" s="36">
        <f t="shared" si="42"/>
        <v>0</v>
      </c>
      <c r="G932" s="176"/>
      <c r="H932" s="182"/>
      <c r="I932" s="37">
        <f t="shared" si="43"/>
        <v>0</v>
      </c>
      <c r="J932" s="38" t="str">
        <f t="shared" si="44"/>
        <v/>
      </c>
      <c r="K932" s="315"/>
      <c r="L932" s="145"/>
    </row>
    <row r="933" spans="1:12" ht="20.100000000000001" customHeight="1" thickBot="1" x14ac:dyDescent="0.4">
      <c r="A933" s="144" t="str">
        <f>IF(B933=IFERROR(VLOOKUP(B933,entrant!$E$4:$J$188,1,FALSE),"THERE WAS AN ERROR"),"RAPPORT JOURNAL","")</f>
        <v/>
      </c>
      <c r="B933" s="147"/>
      <c r="C933" s="170"/>
      <c r="D933" s="35">
        <f>SUMIF(entrant!$E$4:$E$2059,'Inventaire des produits'!B933,entrant!$G$4:$G$2059)</f>
        <v>0</v>
      </c>
      <c r="E933" s="35">
        <f>SUMIF(vente!$E$4:$E$2190,'Inventaire des produits'!B933,vente!$G$4:$G$2190)</f>
        <v>0</v>
      </c>
      <c r="F933" s="36">
        <f t="shared" si="42"/>
        <v>0</v>
      </c>
      <c r="G933" s="176"/>
      <c r="H933" s="182"/>
      <c r="I933" s="37">
        <f t="shared" si="43"/>
        <v>0</v>
      </c>
      <c r="J933" s="38" t="str">
        <f t="shared" si="44"/>
        <v/>
      </c>
      <c r="K933" s="315"/>
      <c r="L933" s="145"/>
    </row>
    <row r="934" spans="1:12" ht="20.100000000000001" customHeight="1" thickBot="1" x14ac:dyDescent="0.4">
      <c r="A934" s="144" t="str">
        <f>IF(B934=IFERROR(VLOOKUP(B934,entrant!$E$4:$J$188,1,FALSE),"THERE WAS AN ERROR"),"RAPPORT JOURNAL","")</f>
        <v/>
      </c>
      <c r="B934" s="147"/>
      <c r="C934" s="170"/>
      <c r="D934" s="35">
        <f>SUMIF(entrant!$E$4:$E$2059,'Inventaire des produits'!B934,entrant!$G$4:$G$2059)</f>
        <v>0</v>
      </c>
      <c r="E934" s="35">
        <f>SUMIF(vente!$E$4:$E$2190,'Inventaire des produits'!B934,vente!$G$4:$G$2190)</f>
        <v>0</v>
      </c>
      <c r="F934" s="36">
        <f t="shared" si="42"/>
        <v>0</v>
      </c>
      <c r="G934" s="176"/>
      <c r="H934" s="182"/>
      <c r="I934" s="37">
        <f t="shared" si="43"/>
        <v>0</v>
      </c>
      <c r="J934" s="38" t="str">
        <f t="shared" si="44"/>
        <v/>
      </c>
      <c r="K934" s="315"/>
      <c r="L934" s="145"/>
    </row>
    <row r="935" spans="1:12" ht="20.100000000000001" customHeight="1" thickBot="1" x14ac:dyDescent="0.4">
      <c r="A935" s="144" t="str">
        <f>IF(B935=IFERROR(VLOOKUP(B935,entrant!$E$4:$J$188,1,FALSE),"THERE WAS AN ERROR"),"RAPPORT JOURNAL","")</f>
        <v/>
      </c>
      <c r="B935" s="147"/>
      <c r="C935" s="170"/>
      <c r="D935" s="35">
        <f>SUMIF(entrant!$E$4:$E$2059,'Inventaire des produits'!B935,entrant!$G$4:$G$2059)</f>
        <v>0</v>
      </c>
      <c r="E935" s="35">
        <f>SUMIF(vente!$E$4:$E$2190,'Inventaire des produits'!B935,vente!$G$4:$G$2190)</f>
        <v>0</v>
      </c>
      <c r="F935" s="36">
        <f t="shared" si="42"/>
        <v>0</v>
      </c>
      <c r="G935" s="176"/>
      <c r="H935" s="182"/>
      <c r="I935" s="37">
        <f t="shared" si="43"/>
        <v>0</v>
      </c>
      <c r="J935" s="38" t="str">
        <f t="shared" si="44"/>
        <v/>
      </c>
      <c r="K935" s="315"/>
      <c r="L935" s="145"/>
    </row>
    <row r="936" spans="1:12" ht="20.100000000000001" customHeight="1" thickBot="1" x14ac:dyDescent="0.4">
      <c r="A936" s="144" t="str">
        <f>IF(B936=IFERROR(VLOOKUP(B936,entrant!$E$4:$J$188,1,FALSE),"THERE WAS AN ERROR"),"RAPPORT JOURNAL","")</f>
        <v/>
      </c>
      <c r="B936" s="147"/>
      <c r="C936" s="170"/>
      <c r="D936" s="35">
        <f>SUMIF(entrant!$E$4:$E$2059,'Inventaire des produits'!B936,entrant!$G$4:$G$2059)</f>
        <v>0</v>
      </c>
      <c r="E936" s="35">
        <f>SUMIF(vente!$E$4:$E$2190,'Inventaire des produits'!B936,vente!$G$4:$G$2190)</f>
        <v>0</v>
      </c>
      <c r="F936" s="36">
        <f t="shared" si="42"/>
        <v>0</v>
      </c>
      <c r="G936" s="176"/>
      <c r="H936" s="182"/>
      <c r="I936" s="37">
        <f t="shared" si="43"/>
        <v>0</v>
      </c>
      <c r="J936" s="38" t="str">
        <f t="shared" si="44"/>
        <v/>
      </c>
      <c r="K936" s="315"/>
      <c r="L936" s="145"/>
    </row>
    <row r="937" spans="1:12" ht="20.100000000000001" customHeight="1" thickBot="1" x14ac:dyDescent="0.4">
      <c r="A937" s="144" t="str">
        <f>IF(B937=IFERROR(VLOOKUP(B937,entrant!$E$4:$J$188,1,FALSE),"THERE WAS AN ERROR"),"RAPPORT JOURNAL","")</f>
        <v/>
      </c>
      <c r="B937" s="147"/>
      <c r="C937" s="170"/>
      <c r="D937" s="35">
        <f>SUMIF(entrant!$E$4:$E$2059,'Inventaire des produits'!B937,entrant!$G$4:$G$2059)</f>
        <v>0</v>
      </c>
      <c r="E937" s="35">
        <f>SUMIF(vente!$E$4:$E$2190,'Inventaire des produits'!B937,vente!$G$4:$G$2190)</f>
        <v>0</v>
      </c>
      <c r="F937" s="36">
        <f t="shared" si="42"/>
        <v>0</v>
      </c>
      <c r="G937" s="176"/>
      <c r="H937" s="182"/>
      <c r="I937" s="37">
        <f t="shared" si="43"/>
        <v>0</v>
      </c>
      <c r="J937" s="38" t="str">
        <f t="shared" si="44"/>
        <v/>
      </c>
      <c r="K937" s="315"/>
      <c r="L937" s="145"/>
    </row>
    <row r="938" spans="1:12" ht="20.100000000000001" customHeight="1" thickBot="1" x14ac:dyDescent="0.4">
      <c r="A938" s="144" t="str">
        <f>IF(B938=IFERROR(VLOOKUP(B938,entrant!$E$4:$J$188,1,FALSE),"THERE WAS AN ERROR"),"RAPPORT JOURNAL","")</f>
        <v/>
      </c>
      <c r="B938" s="147"/>
      <c r="C938" s="170"/>
      <c r="D938" s="35">
        <f>SUMIF(entrant!$E$4:$E$2059,'Inventaire des produits'!B938,entrant!$G$4:$G$2059)</f>
        <v>0</v>
      </c>
      <c r="E938" s="35">
        <f>SUMIF(vente!$E$4:$E$2190,'Inventaire des produits'!B938,vente!$G$4:$G$2190)</f>
        <v>0</v>
      </c>
      <c r="F938" s="36">
        <f t="shared" si="42"/>
        <v>0</v>
      </c>
      <c r="G938" s="176"/>
      <c r="H938" s="182"/>
      <c r="I938" s="37">
        <f t="shared" si="43"/>
        <v>0</v>
      </c>
      <c r="J938" s="38" t="str">
        <f t="shared" si="44"/>
        <v/>
      </c>
      <c r="K938" s="315"/>
      <c r="L938" s="145"/>
    </row>
    <row r="939" spans="1:12" ht="20.100000000000001" customHeight="1" thickBot="1" x14ac:dyDescent="0.4">
      <c r="A939" s="144" t="str">
        <f>IF(B939=IFERROR(VLOOKUP(B939,entrant!$E$4:$J$188,1,FALSE),"THERE WAS AN ERROR"),"RAPPORT JOURNAL","")</f>
        <v/>
      </c>
      <c r="B939" s="147"/>
      <c r="C939" s="170"/>
      <c r="D939" s="35">
        <f>SUMIF(entrant!$E$4:$E$2059,'Inventaire des produits'!B939,entrant!$G$4:$G$2059)</f>
        <v>0</v>
      </c>
      <c r="E939" s="35">
        <f>SUMIF(vente!$E$4:$E$2190,'Inventaire des produits'!B939,vente!$G$4:$G$2190)</f>
        <v>0</v>
      </c>
      <c r="F939" s="36">
        <f t="shared" si="42"/>
        <v>0</v>
      </c>
      <c r="G939" s="176"/>
      <c r="H939" s="182"/>
      <c r="I939" s="37">
        <f t="shared" si="43"/>
        <v>0</v>
      </c>
      <c r="J939" s="38" t="str">
        <f t="shared" si="44"/>
        <v/>
      </c>
      <c r="K939" s="315"/>
      <c r="L939" s="145"/>
    </row>
    <row r="940" spans="1:12" ht="20.100000000000001" customHeight="1" thickBot="1" x14ac:dyDescent="0.4">
      <c r="A940" s="144" t="str">
        <f>IF(B940=IFERROR(VLOOKUP(B940,entrant!$E$4:$J$188,1,FALSE),"THERE WAS AN ERROR"),"RAPPORT JOURNAL","")</f>
        <v/>
      </c>
      <c r="B940" s="147"/>
      <c r="C940" s="170"/>
      <c r="D940" s="35">
        <f>SUMIF(entrant!$E$4:$E$2059,'Inventaire des produits'!B940,entrant!$G$4:$G$2059)</f>
        <v>0</v>
      </c>
      <c r="E940" s="35">
        <f>SUMIF(vente!$E$4:$E$2190,'Inventaire des produits'!B940,vente!$G$4:$G$2190)</f>
        <v>0</v>
      </c>
      <c r="F940" s="36">
        <f t="shared" si="42"/>
        <v>0</v>
      </c>
      <c r="G940" s="176"/>
      <c r="H940" s="182"/>
      <c r="I940" s="37">
        <f t="shared" si="43"/>
        <v>0</v>
      </c>
      <c r="J940" s="38" t="str">
        <f t="shared" si="44"/>
        <v/>
      </c>
      <c r="K940" s="315"/>
      <c r="L940" s="145"/>
    </row>
    <row r="941" spans="1:12" ht="20.100000000000001" customHeight="1" thickBot="1" x14ac:dyDescent="0.4">
      <c r="A941" s="144" t="str">
        <f>IF(B941=IFERROR(VLOOKUP(B941,entrant!$E$4:$J$188,1,FALSE),"THERE WAS AN ERROR"),"RAPPORT JOURNAL","")</f>
        <v/>
      </c>
      <c r="B941" s="147"/>
      <c r="C941" s="170"/>
      <c r="D941" s="35">
        <f>SUMIF(entrant!$E$4:$E$2059,'Inventaire des produits'!B941,entrant!$G$4:$G$2059)</f>
        <v>0</v>
      </c>
      <c r="E941" s="35">
        <f>SUMIF(vente!$E$4:$E$2190,'Inventaire des produits'!B941,vente!$G$4:$G$2190)</f>
        <v>0</v>
      </c>
      <c r="F941" s="36">
        <f t="shared" si="42"/>
        <v>0</v>
      </c>
      <c r="G941" s="176"/>
      <c r="H941" s="182"/>
      <c r="I941" s="37">
        <f t="shared" si="43"/>
        <v>0</v>
      </c>
      <c r="J941" s="38" t="str">
        <f t="shared" si="44"/>
        <v/>
      </c>
      <c r="K941" s="315"/>
      <c r="L941" s="145"/>
    </row>
    <row r="942" spans="1:12" ht="20.100000000000001" customHeight="1" thickBot="1" x14ac:dyDescent="0.4">
      <c r="A942" s="144" t="str">
        <f>IF(B942=IFERROR(VLOOKUP(B942,entrant!$E$4:$J$188,1,FALSE),"THERE WAS AN ERROR"),"RAPPORT JOURNAL","")</f>
        <v/>
      </c>
      <c r="B942" s="147"/>
      <c r="C942" s="170"/>
      <c r="D942" s="35">
        <f>SUMIF(entrant!$E$4:$E$2059,'Inventaire des produits'!B942,entrant!$G$4:$G$2059)</f>
        <v>0</v>
      </c>
      <c r="E942" s="35">
        <f>SUMIF(vente!$E$4:$E$2190,'Inventaire des produits'!B942,vente!$G$4:$G$2190)</f>
        <v>0</v>
      </c>
      <c r="F942" s="36">
        <f t="shared" si="42"/>
        <v>0</v>
      </c>
      <c r="G942" s="176"/>
      <c r="H942" s="182"/>
      <c r="I942" s="37">
        <f t="shared" si="43"/>
        <v>0</v>
      </c>
      <c r="J942" s="38" t="str">
        <f t="shared" si="44"/>
        <v/>
      </c>
      <c r="K942" s="315"/>
      <c r="L942" s="145"/>
    </row>
    <row r="943" spans="1:12" ht="20.100000000000001" customHeight="1" thickBot="1" x14ac:dyDescent="0.4">
      <c r="A943" s="144" t="str">
        <f>IF(B943=IFERROR(VLOOKUP(B943,entrant!$E$4:$J$188,1,FALSE),"THERE WAS AN ERROR"),"RAPPORT JOURNAL","")</f>
        <v/>
      </c>
      <c r="B943" s="147"/>
      <c r="C943" s="170"/>
      <c r="D943" s="35">
        <f>SUMIF(entrant!$E$4:$E$2059,'Inventaire des produits'!B943,entrant!$G$4:$G$2059)</f>
        <v>0</v>
      </c>
      <c r="E943" s="35">
        <f>SUMIF(vente!$E$4:$E$2190,'Inventaire des produits'!B943,vente!$G$4:$G$2190)</f>
        <v>0</v>
      </c>
      <c r="F943" s="36">
        <f t="shared" si="42"/>
        <v>0</v>
      </c>
      <c r="G943" s="176"/>
      <c r="H943" s="182"/>
      <c r="I943" s="37">
        <f t="shared" si="43"/>
        <v>0</v>
      </c>
      <c r="J943" s="38" t="str">
        <f t="shared" si="44"/>
        <v/>
      </c>
      <c r="K943" s="315"/>
      <c r="L943" s="145"/>
    </row>
    <row r="944" spans="1:12" ht="20.100000000000001" customHeight="1" thickBot="1" x14ac:dyDescent="0.4">
      <c r="A944" s="144" t="str">
        <f>IF(B944=IFERROR(VLOOKUP(B944,entrant!$E$4:$J$188,1,FALSE),"THERE WAS AN ERROR"),"RAPPORT JOURNAL","")</f>
        <v/>
      </c>
      <c r="B944" s="147"/>
      <c r="C944" s="170"/>
      <c r="D944" s="35">
        <f>SUMIF(entrant!$E$4:$E$2059,'Inventaire des produits'!B944,entrant!$G$4:$G$2059)</f>
        <v>0</v>
      </c>
      <c r="E944" s="35">
        <f>SUMIF(vente!$E$4:$E$2190,'Inventaire des produits'!B944,vente!$G$4:$G$2190)</f>
        <v>0</v>
      </c>
      <c r="F944" s="36">
        <f t="shared" si="42"/>
        <v>0</v>
      </c>
      <c r="G944" s="176"/>
      <c r="H944" s="182"/>
      <c r="I944" s="37">
        <f t="shared" si="43"/>
        <v>0</v>
      </c>
      <c r="J944" s="38" t="str">
        <f t="shared" si="44"/>
        <v/>
      </c>
      <c r="K944" s="315"/>
      <c r="L944" s="145"/>
    </row>
    <row r="945" spans="1:12" ht="20.100000000000001" customHeight="1" thickBot="1" x14ac:dyDescent="0.4">
      <c r="A945" s="144" t="str">
        <f>IF(B945=IFERROR(VLOOKUP(B945,entrant!$E$4:$J$188,1,FALSE),"THERE WAS AN ERROR"),"RAPPORT JOURNAL","")</f>
        <v/>
      </c>
      <c r="B945" s="147"/>
      <c r="C945" s="170"/>
      <c r="D945" s="35">
        <f>SUMIF(entrant!$E$4:$E$2059,'Inventaire des produits'!B945,entrant!$G$4:$G$2059)</f>
        <v>0</v>
      </c>
      <c r="E945" s="35">
        <f>SUMIF(vente!$E$4:$E$2190,'Inventaire des produits'!B945,vente!$G$4:$G$2190)</f>
        <v>0</v>
      </c>
      <c r="F945" s="36">
        <f t="shared" si="42"/>
        <v>0</v>
      </c>
      <c r="G945" s="176"/>
      <c r="H945" s="182"/>
      <c r="I945" s="37">
        <f t="shared" si="43"/>
        <v>0</v>
      </c>
      <c r="J945" s="38" t="str">
        <f t="shared" si="44"/>
        <v/>
      </c>
      <c r="K945" s="315"/>
      <c r="L945" s="145"/>
    </row>
    <row r="946" spans="1:12" ht="20.100000000000001" customHeight="1" thickBot="1" x14ac:dyDescent="0.4">
      <c r="A946" s="144" t="str">
        <f>IF(B946=IFERROR(VLOOKUP(B946,entrant!$E$4:$J$188,1,FALSE),"THERE WAS AN ERROR"),"RAPPORT JOURNAL","")</f>
        <v/>
      </c>
      <c r="B946" s="147"/>
      <c r="C946" s="170"/>
      <c r="D946" s="35">
        <f>SUMIF(entrant!$E$4:$E$2059,'Inventaire des produits'!B946,entrant!$G$4:$G$2059)</f>
        <v>0</v>
      </c>
      <c r="E946" s="35">
        <f>SUMIF(vente!$E$4:$E$2190,'Inventaire des produits'!B946,vente!$G$4:$G$2190)</f>
        <v>0</v>
      </c>
      <c r="F946" s="36">
        <f t="shared" si="42"/>
        <v>0</v>
      </c>
      <c r="G946" s="176"/>
      <c r="H946" s="182"/>
      <c r="I946" s="37">
        <f t="shared" si="43"/>
        <v>0</v>
      </c>
      <c r="J946" s="38" t="str">
        <f t="shared" si="44"/>
        <v/>
      </c>
      <c r="K946" s="315"/>
      <c r="L946" s="145"/>
    </row>
    <row r="947" spans="1:12" ht="20.100000000000001" customHeight="1" thickBot="1" x14ac:dyDescent="0.4">
      <c r="A947" s="144" t="str">
        <f>IF(B947=IFERROR(VLOOKUP(B947,entrant!$E$4:$J$188,1,FALSE),"THERE WAS AN ERROR"),"RAPPORT JOURNAL","")</f>
        <v/>
      </c>
      <c r="B947" s="147"/>
      <c r="C947" s="170"/>
      <c r="D947" s="35">
        <f>SUMIF(entrant!$E$4:$E$2059,'Inventaire des produits'!B947,entrant!$G$4:$G$2059)</f>
        <v>0</v>
      </c>
      <c r="E947" s="35">
        <f>SUMIF(vente!$E$4:$E$2190,'Inventaire des produits'!B947,vente!$G$4:$G$2190)</f>
        <v>0</v>
      </c>
      <c r="F947" s="36">
        <f t="shared" si="42"/>
        <v>0</v>
      </c>
      <c r="G947" s="176"/>
      <c r="H947" s="182"/>
      <c r="I947" s="37">
        <f t="shared" si="43"/>
        <v>0</v>
      </c>
      <c r="J947" s="38" t="str">
        <f t="shared" si="44"/>
        <v/>
      </c>
      <c r="K947" s="315"/>
      <c r="L947" s="145"/>
    </row>
    <row r="948" spans="1:12" ht="20.100000000000001" customHeight="1" thickBot="1" x14ac:dyDescent="0.4">
      <c r="A948" s="144" t="str">
        <f>IF(B948=IFERROR(VLOOKUP(B948,entrant!$E$4:$J$188,1,FALSE),"THERE WAS AN ERROR"),"RAPPORT JOURNAL","")</f>
        <v/>
      </c>
      <c r="B948" s="147"/>
      <c r="C948" s="170"/>
      <c r="D948" s="35">
        <f>SUMIF(entrant!$E$4:$E$2059,'Inventaire des produits'!B948,entrant!$G$4:$G$2059)</f>
        <v>0</v>
      </c>
      <c r="E948" s="35">
        <f>SUMIF(vente!$E$4:$E$2190,'Inventaire des produits'!B948,vente!$G$4:$G$2190)</f>
        <v>0</v>
      </c>
      <c r="F948" s="36">
        <f t="shared" si="42"/>
        <v>0</v>
      </c>
      <c r="G948" s="176"/>
      <c r="H948" s="182"/>
      <c r="I948" s="37">
        <f t="shared" si="43"/>
        <v>0</v>
      </c>
      <c r="J948" s="38" t="str">
        <f t="shared" si="44"/>
        <v/>
      </c>
      <c r="K948" s="315"/>
      <c r="L948" s="145"/>
    </row>
    <row r="949" spans="1:12" ht="20.100000000000001" customHeight="1" thickBot="1" x14ac:dyDescent="0.4">
      <c r="A949" s="144" t="str">
        <f>IF(B949=IFERROR(VLOOKUP(B949,entrant!$E$4:$J$188,1,FALSE),"THERE WAS AN ERROR"),"RAPPORT JOURNAL","")</f>
        <v/>
      </c>
      <c r="B949" s="147"/>
      <c r="C949" s="170"/>
      <c r="D949" s="35">
        <f>SUMIF(entrant!$E$4:$E$2059,'Inventaire des produits'!B949,entrant!$G$4:$G$2059)</f>
        <v>0</v>
      </c>
      <c r="E949" s="35">
        <f>SUMIF(vente!$E$4:$E$2190,'Inventaire des produits'!B949,vente!$G$4:$G$2190)</f>
        <v>0</v>
      </c>
      <c r="F949" s="36">
        <f t="shared" si="42"/>
        <v>0</v>
      </c>
      <c r="G949" s="176"/>
      <c r="H949" s="182"/>
      <c r="I949" s="37">
        <f t="shared" si="43"/>
        <v>0</v>
      </c>
      <c r="J949" s="38" t="str">
        <f t="shared" si="44"/>
        <v/>
      </c>
      <c r="K949" s="315"/>
      <c r="L949" s="145"/>
    </row>
    <row r="950" spans="1:12" ht="20.100000000000001" customHeight="1" thickBot="1" x14ac:dyDescent="0.4">
      <c r="A950" s="144" t="str">
        <f>IF(B950=IFERROR(VLOOKUP(B950,entrant!$E$4:$J$188,1,FALSE),"THERE WAS AN ERROR"),"RAPPORT JOURNAL","")</f>
        <v/>
      </c>
      <c r="B950" s="147"/>
      <c r="C950" s="170"/>
      <c r="D950" s="35">
        <f>SUMIF(entrant!$E$4:$E$2059,'Inventaire des produits'!B950,entrant!$G$4:$G$2059)</f>
        <v>0</v>
      </c>
      <c r="E950" s="35">
        <f>SUMIF(vente!$E$4:$E$2190,'Inventaire des produits'!B950,vente!$G$4:$G$2190)</f>
        <v>0</v>
      </c>
      <c r="F950" s="36">
        <f t="shared" si="42"/>
        <v>0</v>
      </c>
      <c r="G950" s="176"/>
      <c r="H950" s="182"/>
      <c r="I950" s="37">
        <f t="shared" si="43"/>
        <v>0</v>
      </c>
      <c r="J950" s="38" t="str">
        <f t="shared" si="44"/>
        <v/>
      </c>
      <c r="K950" s="315"/>
      <c r="L950" s="145"/>
    </row>
    <row r="951" spans="1:12" ht="20.100000000000001" customHeight="1" thickBot="1" x14ac:dyDescent="0.4">
      <c r="A951" s="144" t="str">
        <f>IF(B951=IFERROR(VLOOKUP(B951,entrant!$E$4:$J$188,1,FALSE),"THERE WAS AN ERROR"),"RAPPORT JOURNAL","")</f>
        <v/>
      </c>
      <c r="B951" s="147"/>
      <c r="C951" s="170"/>
      <c r="D951" s="35">
        <f>SUMIF(entrant!$E$4:$E$2059,'Inventaire des produits'!B951,entrant!$G$4:$G$2059)</f>
        <v>0</v>
      </c>
      <c r="E951" s="35">
        <f>SUMIF(vente!$E$4:$E$2190,'Inventaire des produits'!B951,vente!$G$4:$G$2190)</f>
        <v>0</v>
      </c>
      <c r="F951" s="36">
        <f t="shared" si="42"/>
        <v>0</v>
      </c>
      <c r="G951" s="176"/>
      <c r="H951" s="182"/>
      <c r="I951" s="37">
        <f t="shared" si="43"/>
        <v>0</v>
      </c>
      <c r="J951" s="38" t="str">
        <f t="shared" si="44"/>
        <v/>
      </c>
      <c r="K951" s="315"/>
      <c r="L951" s="145"/>
    </row>
    <row r="952" spans="1:12" ht="20.100000000000001" customHeight="1" thickBot="1" x14ac:dyDescent="0.4">
      <c r="A952" s="144" t="str">
        <f>IF(B952=IFERROR(VLOOKUP(B952,entrant!$E$4:$J$188,1,FALSE),"THERE WAS AN ERROR"),"RAPPORT JOURNAL","")</f>
        <v/>
      </c>
      <c r="B952" s="147"/>
      <c r="C952" s="170"/>
      <c r="D952" s="35">
        <f>SUMIF(entrant!$E$4:$E$2059,'Inventaire des produits'!B952,entrant!$G$4:$G$2059)</f>
        <v>0</v>
      </c>
      <c r="E952" s="35">
        <f>SUMIF(vente!$E$4:$E$2190,'Inventaire des produits'!B952,vente!$G$4:$G$2190)</f>
        <v>0</v>
      </c>
      <c r="F952" s="36">
        <f t="shared" si="42"/>
        <v>0</v>
      </c>
      <c r="G952" s="176"/>
      <c r="H952" s="182"/>
      <c r="I952" s="37">
        <f t="shared" si="43"/>
        <v>0</v>
      </c>
      <c r="J952" s="38" t="str">
        <f t="shared" si="44"/>
        <v/>
      </c>
      <c r="K952" s="315"/>
      <c r="L952" s="145"/>
    </row>
    <row r="953" spans="1:12" ht="20.100000000000001" customHeight="1" thickBot="1" x14ac:dyDescent="0.4">
      <c r="A953" s="144" t="str">
        <f>IF(B953=IFERROR(VLOOKUP(B953,entrant!$E$4:$J$188,1,FALSE),"THERE WAS AN ERROR"),"RAPPORT JOURNAL","")</f>
        <v/>
      </c>
      <c r="B953" s="147"/>
      <c r="C953" s="170"/>
      <c r="D953" s="35">
        <f>SUMIF(entrant!$E$4:$E$2059,'Inventaire des produits'!B953,entrant!$G$4:$G$2059)</f>
        <v>0</v>
      </c>
      <c r="E953" s="35">
        <f>SUMIF(vente!$E$4:$E$2190,'Inventaire des produits'!B953,vente!$G$4:$G$2190)</f>
        <v>0</v>
      </c>
      <c r="F953" s="36">
        <f t="shared" si="42"/>
        <v>0</v>
      </c>
      <c r="G953" s="176"/>
      <c r="H953" s="182"/>
      <c r="I953" s="37">
        <f t="shared" si="43"/>
        <v>0</v>
      </c>
      <c r="J953" s="38" t="str">
        <f t="shared" si="44"/>
        <v/>
      </c>
      <c r="K953" s="315"/>
      <c r="L953" s="145"/>
    </row>
    <row r="954" spans="1:12" ht="20.100000000000001" customHeight="1" thickBot="1" x14ac:dyDescent="0.4">
      <c r="A954" s="144" t="str">
        <f>IF(B954=IFERROR(VLOOKUP(B954,entrant!$E$4:$J$188,1,FALSE),"THERE WAS AN ERROR"),"RAPPORT JOURNAL","")</f>
        <v/>
      </c>
      <c r="B954" s="147"/>
      <c r="C954" s="170"/>
      <c r="D954" s="35">
        <f>SUMIF(entrant!$E$4:$E$2059,'Inventaire des produits'!B954,entrant!$G$4:$G$2059)</f>
        <v>0</v>
      </c>
      <c r="E954" s="35">
        <f>SUMIF(vente!$E$4:$E$2190,'Inventaire des produits'!B954,vente!$G$4:$G$2190)</f>
        <v>0</v>
      </c>
      <c r="F954" s="36">
        <f t="shared" si="42"/>
        <v>0</v>
      </c>
      <c r="G954" s="176"/>
      <c r="H954" s="182"/>
      <c r="I954" s="37">
        <f t="shared" si="43"/>
        <v>0</v>
      </c>
      <c r="J954" s="38" t="str">
        <f t="shared" si="44"/>
        <v/>
      </c>
      <c r="K954" s="315"/>
      <c r="L954" s="145"/>
    </row>
    <row r="955" spans="1:12" ht="20.100000000000001" customHeight="1" thickBot="1" x14ac:dyDescent="0.4">
      <c r="A955" s="144" t="str">
        <f>IF(B955=IFERROR(VLOOKUP(B955,entrant!$E$4:$J$188,1,FALSE),"THERE WAS AN ERROR"),"RAPPORT JOURNAL","")</f>
        <v/>
      </c>
      <c r="B955" s="147"/>
      <c r="C955" s="170"/>
      <c r="D955" s="35">
        <f>SUMIF(entrant!$E$4:$E$2059,'Inventaire des produits'!B955,entrant!$G$4:$G$2059)</f>
        <v>0</v>
      </c>
      <c r="E955" s="35">
        <f>SUMIF(vente!$E$4:$E$2190,'Inventaire des produits'!B955,vente!$G$4:$G$2190)</f>
        <v>0</v>
      </c>
      <c r="F955" s="36">
        <f t="shared" si="42"/>
        <v>0</v>
      </c>
      <c r="G955" s="176"/>
      <c r="H955" s="182"/>
      <c r="I955" s="37">
        <f t="shared" si="43"/>
        <v>0</v>
      </c>
      <c r="J955" s="38" t="str">
        <f t="shared" si="44"/>
        <v/>
      </c>
      <c r="K955" s="315"/>
      <c r="L955" s="145"/>
    </row>
    <row r="956" spans="1:12" ht="20.100000000000001" customHeight="1" thickBot="1" x14ac:dyDescent="0.4">
      <c r="A956" s="144" t="str">
        <f>IF(B956=IFERROR(VLOOKUP(B956,entrant!$E$4:$J$188,1,FALSE),"THERE WAS AN ERROR"),"RAPPORT JOURNAL","")</f>
        <v/>
      </c>
      <c r="B956" s="147"/>
      <c r="C956" s="170"/>
      <c r="D956" s="35">
        <f>SUMIF(entrant!$E$4:$E$2059,'Inventaire des produits'!B956,entrant!$G$4:$G$2059)</f>
        <v>0</v>
      </c>
      <c r="E956" s="35">
        <f>SUMIF(vente!$E$4:$E$2190,'Inventaire des produits'!B956,vente!$G$4:$G$2190)</f>
        <v>0</v>
      </c>
      <c r="F956" s="36">
        <f t="shared" si="42"/>
        <v>0</v>
      </c>
      <c r="G956" s="176"/>
      <c r="H956" s="182"/>
      <c r="I956" s="37">
        <f t="shared" si="43"/>
        <v>0</v>
      </c>
      <c r="J956" s="38" t="str">
        <f t="shared" si="44"/>
        <v/>
      </c>
      <c r="K956" s="315"/>
      <c r="L956" s="145"/>
    </row>
    <row r="957" spans="1:12" ht="20.100000000000001" customHeight="1" thickBot="1" x14ac:dyDescent="0.4">
      <c r="A957" s="144" t="str">
        <f>IF(B957=IFERROR(VLOOKUP(B957,entrant!$E$4:$J$188,1,FALSE),"THERE WAS AN ERROR"),"RAPPORT JOURNAL","")</f>
        <v/>
      </c>
      <c r="B957" s="147"/>
      <c r="C957" s="170"/>
      <c r="D957" s="35">
        <f>SUMIF(entrant!$E$4:$E$2059,'Inventaire des produits'!B957,entrant!$G$4:$G$2059)</f>
        <v>0</v>
      </c>
      <c r="E957" s="35">
        <f>SUMIF(vente!$E$4:$E$2190,'Inventaire des produits'!B957,vente!$G$4:$G$2190)</f>
        <v>0</v>
      </c>
      <c r="F957" s="36">
        <f t="shared" si="42"/>
        <v>0</v>
      </c>
      <c r="G957" s="176"/>
      <c r="H957" s="182"/>
      <c r="I957" s="37">
        <f t="shared" si="43"/>
        <v>0</v>
      </c>
      <c r="J957" s="38" t="str">
        <f t="shared" si="44"/>
        <v/>
      </c>
      <c r="K957" s="315"/>
      <c r="L957" s="145"/>
    </row>
    <row r="958" spans="1:12" ht="20.100000000000001" customHeight="1" thickBot="1" x14ac:dyDescent="0.4">
      <c r="A958" s="144" t="str">
        <f>IF(B958=IFERROR(VLOOKUP(B958,entrant!$E$4:$J$188,1,FALSE),"THERE WAS AN ERROR"),"RAPPORT JOURNAL","")</f>
        <v/>
      </c>
      <c r="B958" s="147"/>
      <c r="C958" s="170"/>
      <c r="D958" s="35">
        <f>SUMIF(entrant!$E$4:$E$2059,'Inventaire des produits'!B958,entrant!$G$4:$G$2059)</f>
        <v>0</v>
      </c>
      <c r="E958" s="35">
        <f>SUMIF(vente!$E$4:$E$2190,'Inventaire des produits'!B958,vente!$G$4:$G$2190)</f>
        <v>0</v>
      </c>
      <c r="F958" s="36">
        <f t="shared" si="42"/>
        <v>0</v>
      </c>
      <c r="G958" s="176"/>
      <c r="H958" s="182"/>
      <c r="I958" s="37">
        <f t="shared" si="43"/>
        <v>0</v>
      </c>
      <c r="J958" s="38" t="str">
        <f t="shared" si="44"/>
        <v/>
      </c>
      <c r="K958" s="315"/>
      <c r="L958" s="145"/>
    </row>
    <row r="959" spans="1:12" ht="20.100000000000001" customHeight="1" thickBot="1" x14ac:dyDescent="0.4">
      <c r="A959" s="144" t="str">
        <f>IF(B959=IFERROR(VLOOKUP(B959,entrant!$E$4:$J$188,1,FALSE),"THERE WAS AN ERROR"),"RAPPORT JOURNAL","")</f>
        <v/>
      </c>
      <c r="B959" s="147"/>
      <c r="C959" s="170"/>
      <c r="D959" s="35">
        <f>SUMIF(entrant!$E$4:$E$2059,'Inventaire des produits'!B959,entrant!$G$4:$G$2059)</f>
        <v>0</v>
      </c>
      <c r="E959" s="35">
        <f>SUMIF(vente!$E$4:$E$2190,'Inventaire des produits'!B959,vente!$G$4:$G$2190)</f>
        <v>0</v>
      </c>
      <c r="F959" s="36">
        <f t="shared" si="42"/>
        <v>0</v>
      </c>
      <c r="G959" s="176"/>
      <c r="H959" s="182"/>
      <c r="I959" s="37">
        <f t="shared" si="43"/>
        <v>0</v>
      </c>
      <c r="J959" s="38" t="str">
        <f t="shared" si="44"/>
        <v/>
      </c>
      <c r="K959" s="315"/>
      <c r="L959" s="145"/>
    </row>
    <row r="960" spans="1:12" ht="20.100000000000001" customHeight="1" thickBot="1" x14ac:dyDescent="0.4">
      <c r="A960" s="144" t="str">
        <f>IF(B960=IFERROR(VLOOKUP(B960,entrant!$E$4:$J$188,1,FALSE),"THERE WAS AN ERROR"),"RAPPORT JOURNAL","")</f>
        <v/>
      </c>
      <c r="B960" s="147"/>
      <c r="C960" s="170"/>
      <c r="D960" s="35">
        <f>SUMIF(entrant!$E$4:$E$2059,'Inventaire des produits'!B960,entrant!$G$4:$G$2059)</f>
        <v>0</v>
      </c>
      <c r="E960" s="35">
        <f>SUMIF(vente!$E$4:$E$2190,'Inventaire des produits'!B960,vente!$G$4:$G$2190)</f>
        <v>0</v>
      </c>
      <c r="F960" s="36">
        <f t="shared" si="42"/>
        <v>0</v>
      </c>
      <c r="G960" s="176"/>
      <c r="H960" s="182"/>
      <c r="I960" s="37">
        <f t="shared" si="43"/>
        <v>0</v>
      </c>
      <c r="J960" s="38" t="str">
        <f t="shared" si="44"/>
        <v/>
      </c>
      <c r="K960" s="315"/>
      <c r="L960" s="145"/>
    </row>
    <row r="961" spans="1:12" ht="20.100000000000001" customHeight="1" thickBot="1" x14ac:dyDescent="0.4">
      <c r="A961" s="144" t="str">
        <f>IF(B961=IFERROR(VLOOKUP(B961,entrant!$E$4:$J$188,1,FALSE),"THERE WAS AN ERROR"),"RAPPORT JOURNAL","")</f>
        <v/>
      </c>
      <c r="B961" s="147"/>
      <c r="C961" s="170"/>
      <c r="D961" s="35">
        <f>SUMIF(entrant!$E$4:$E$2059,'Inventaire des produits'!B961,entrant!$G$4:$G$2059)</f>
        <v>0</v>
      </c>
      <c r="E961" s="35">
        <f>SUMIF(vente!$E$4:$E$2190,'Inventaire des produits'!B961,vente!$G$4:$G$2190)</f>
        <v>0</v>
      </c>
      <c r="F961" s="36">
        <f t="shared" si="42"/>
        <v>0</v>
      </c>
      <c r="G961" s="176"/>
      <c r="H961" s="182"/>
      <c r="I961" s="37">
        <f t="shared" si="43"/>
        <v>0</v>
      </c>
      <c r="J961" s="38" t="str">
        <f t="shared" si="44"/>
        <v/>
      </c>
      <c r="K961" s="315"/>
      <c r="L961" s="145"/>
    </row>
    <row r="962" spans="1:12" ht="20.100000000000001" customHeight="1" thickBot="1" x14ac:dyDescent="0.4">
      <c r="A962" s="144" t="str">
        <f>IF(B962=IFERROR(VLOOKUP(B962,entrant!$E$4:$J$188,1,FALSE),"THERE WAS AN ERROR"),"RAPPORT JOURNAL","")</f>
        <v/>
      </c>
      <c r="B962" s="147"/>
      <c r="C962" s="170"/>
      <c r="D962" s="35">
        <f>SUMIF(entrant!$E$4:$E$2059,'Inventaire des produits'!B962,entrant!$G$4:$G$2059)</f>
        <v>0</v>
      </c>
      <c r="E962" s="35">
        <f>SUMIF(vente!$E$4:$E$2190,'Inventaire des produits'!B962,vente!$G$4:$G$2190)</f>
        <v>0</v>
      </c>
      <c r="F962" s="36">
        <f t="shared" si="42"/>
        <v>0</v>
      </c>
      <c r="G962" s="176"/>
      <c r="H962" s="182"/>
      <c r="I962" s="37">
        <f t="shared" si="43"/>
        <v>0</v>
      </c>
      <c r="J962" s="38" t="str">
        <f t="shared" si="44"/>
        <v/>
      </c>
      <c r="K962" s="315"/>
      <c r="L962" s="145"/>
    </row>
    <row r="963" spans="1:12" ht="20.100000000000001" customHeight="1" thickBot="1" x14ac:dyDescent="0.4">
      <c r="A963" s="144" t="str">
        <f>IF(B963=IFERROR(VLOOKUP(B963,entrant!$E$4:$J$188,1,FALSE),"THERE WAS AN ERROR"),"RAPPORT JOURNAL","")</f>
        <v/>
      </c>
      <c r="B963" s="147"/>
      <c r="C963" s="170"/>
      <c r="D963" s="35">
        <f>SUMIF(entrant!$E$4:$E$2059,'Inventaire des produits'!B963,entrant!$G$4:$G$2059)</f>
        <v>0</v>
      </c>
      <c r="E963" s="35">
        <f>SUMIF(vente!$E$4:$E$2190,'Inventaire des produits'!B963,vente!$G$4:$G$2190)</f>
        <v>0</v>
      </c>
      <c r="F963" s="36">
        <f t="shared" ref="F963:F1000" si="45">IF(OR(D963="",E963=""),"",D963-E963)</f>
        <v>0</v>
      </c>
      <c r="G963" s="176"/>
      <c r="H963" s="182"/>
      <c r="I963" s="37">
        <f t="shared" si="43"/>
        <v>0</v>
      </c>
      <c r="J963" s="38" t="str">
        <f t="shared" si="44"/>
        <v/>
      </c>
      <c r="K963" s="315"/>
      <c r="L963" s="145"/>
    </row>
    <row r="964" spans="1:12" ht="20.100000000000001" customHeight="1" thickBot="1" x14ac:dyDescent="0.4">
      <c r="A964" s="144" t="str">
        <f>IF(B964=IFERROR(VLOOKUP(B964,entrant!$E$4:$J$188,1,FALSE),"THERE WAS AN ERROR"),"RAPPORT JOURNAL","")</f>
        <v/>
      </c>
      <c r="B964" s="147"/>
      <c r="C964" s="170"/>
      <c r="D964" s="35">
        <f>SUMIF(entrant!$E$4:$E$2059,'Inventaire des produits'!B964,entrant!$G$4:$G$2059)</f>
        <v>0</v>
      </c>
      <c r="E964" s="35">
        <f>SUMIF(vente!$E$4:$E$2190,'Inventaire des produits'!B964,vente!$G$4:$G$2190)</f>
        <v>0</v>
      </c>
      <c r="F964" s="36">
        <f t="shared" si="45"/>
        <v>0</v>
      </c>
      <c r="G964" s="176"/>
      <c r="H964" s="182"/>
      <c r="I964" s="37">
        <f t="shared" ref="I964:I1000" si="46">IF(H964="",G964,G964-G964*H964)</f>
        <v>0</v>
      </c>
      <c r="J964" s="38" t="str">
        <f t="shared" ref="J964:J1000" si="47">IF(OR(F964="",G964=""),"",F964*I964)</f>
        <v/>
      </c>
      <c r="K964" s="315"/>
      <c r="L964" s="145"/>
    </row>
    <row r="965" spans="1:12" ht="20.100000000000001" customHeight="1" thickBot="1" x14ac:dyDescent="0.4">
      <c r="A965" s="144" t="str">
        <f>IF(B965=IFERROR(VLOOKUP(B965,entrant!$E$4:$J$188,1,FALSE),"THERE WAS AN ERROR"),"RAPPORT JOURNAL","")</f>
        <v/>
      </c>
      <c r="B965" s="147"/>
      <c r="C965" s="170"/>
      <c r="D965" s="35">
        <f>SUMIF(entrant!$E$4:$E$2059,'Inventaire des produits'!B965,entrant!$G$4:$G$2059)</f>
        <v>0</v>
      </c>
      <c r="E965" s="35">
        <f>SUMIF(vente!$E$4:$E$2190,'Inventaire des produits'!B965,vente!$G$4:$G$2190)</f>
        <v>0</v>
      </c>
      <c r="F965" s="36">
        <f t="shared" si="45"/>
        <v>0</v>
      </c>
      <c r="G965" s="176"/>
      <c r="H965" s="182"/>
      <c r="I965" s="37">
        <f t="shared" si="46"/>
        <v>0</v>
      </c>
      <c r="J965" s="38" t="str">
        <f t="shared" si="47"/>
        <v/>
      </c>
      <c r="K965" s="315"/>
      <c r="L965" s="145"/>
    </row>
    <row r="966" spans="1:12" ht="20.100000000000001" customHeight="1" thickBot="1" x14ac:dyDescent="0.4">
      <c r="A966" s="144" t="str">
        <f>IF(B966=IFERROR(VLOOKUP(B966,entrant!$E$4:$J$188,1,FALSE),"THERE WAS AN ERROR"),"RAPPORT JOURNAL","")</f>
        <v/>
      </c>
      <c r="B966" s="147"/>
      <c r="C966" s="170"/>
      <c r="D966" s="35">
        <f>SUMIF(entrant!$E$4:$E$2059,'Inventaire des produits'!B966,entrant!$G$4:$G$2059)</f>
        <v>0</v>
      </c>
      <c r="E966" s="35">
        <f>SUMIF(vente!$E$4:$E$2190,'Inventaire des produits'!B966,vente!$G$4:$G$2190)</f>
        <v>0</v>
      </c>
      <c r="F966" s="36">
        <f t="shared" si="45"/>
        <v>0</v>
      </c>
      <c r="G966" s="176"/>
      <c r="H966" s="182"/>
      <c r="I966" s="37">
        <f t="shared" si="46"/>
        <v>0</v>
      </c>
      <c r="J966" s="38" t="str">
        <f t="shared" si="47"/>
        <v/>
      </c>
      <c r="K966" s="315"/>
      <c r="L966" s="145"/>
    </row>
    <row r="967" spans="1:12" ht="20.100000000000001" customHeight="1" thickBot="1" x14ac:dyDescent="0.4">
      <c r="A967" s="144" t="str">
        <f>IF(B967=IFERROR(VLOOKUP(B967,entrant!$E$4:$J$188,1,FALSE),"THERE WAS AN ERROR"),"RAPPORT JOURNAL","")</f>
        <v/>
      </c>
      <c r="B967" s="147"/>
      <c r="C967" s="170"/>
      <c r="D967" s="35">
        <f>SUMIF(entrant!$E$4:$E$2059,'Inventaire des produits'!B967,entrant!$G$4:$G$2059)</f>
        <v>0</v>
      </c>
      <c r="E967" s="35">
        <f>SUMIF(vente!$E$4:$E$2190,'Inventaire des produits'!B967,vente!$G$4:$G$2190)</f>
        <v>0</v>
      </c>
      <c r="F967" s="36">
        <f t="shared" si="45"/>
        <v>0</v>
      </c>
      <c r="G967" s="176"/>
      <c r="H967" s="182"/>
      <c r="I967" s="37">
        <f t="shared" si="46"/>
        <v>0</v>
      </c>
      <c r="J967" s="38" t="str">
        <f t="shared" si="47"/>
        <v/>
      </c>
      <c r="K967" s="315"/>
      <c r="L967" s="145"/>
    </row>
    <row r="968" spans="1:12" ht="20.100000000000001" customHeight="1" thickBot="1" x14ac:dyDescent="0.4">
      <c r="A968" s="144" t="str">
        <f>IF(B968=IFERROR(VLOOKUP(B968,entrant!$E$4:$J$188,1,FALSE),"THERE WAS AN ERROR"),"RAPPORT JOURNAL","")</f>
        <v/>
      </c>
      <c r="B968" s="147"/>
      <c r="C968" s="170"/>
      <c r="D968" s="35">
        <f>SUMIF(entrant!$E$4:$E$2059,'Inventaire des produits'!B968,entrant!$G$4:$G$2059)</f>
        <v>0</v>
      </c>
      <c r="E968" s="35">
        <f>SUMIF(vente!$E$4:$E$2190,'Inventaire des produits'!B968,vente!$G$4:$G$2190)</f>
        <v>0</v>
      </c>
      <c r="F968" s="36">
        <f t="shared" si="45"/>
        <v>0</v>
      </c>
      <c r="G968" s="176"/>
      <c r="H968" s="182"/>
      <c r="I968" s="37">
        <f t="shared" si="46"/>
        <v>0</v>
      </c>
      <c r="J968" s="38" t="str">
        <f t="shared" si="47"/>
        <v/>
      </c>
      <c r="K968" s="315"/>
      <c r="L968" s="145"/>
    </row>
    <row r="969" spans="1:12" ht="20.100000000000001" customHeight="1" thickBot="1" x14ac:dyDescent="0.4">
      <c r="A969" s="144" t="str">
        <f>IF(B969=IFERROR(VLOOKUP(B969,entrant!$E$4:$J$188,1,FALSE),"THERE WAS AN ERROR"),"RAPPORT JOURNAL","")</f>
        <v/>
      </c>
      <c r="B969" s="147"/>
      <c r="C969" s="170"/>
      <c r="D969" s="35">
        <f>SUMIF(entrant!$E$4:$E$2059,'Inventaire des produits'!B969,entrant!$G$4:$G$2059)</f>
        <v>0</v>
      </c>
      <c r="E969" s="35">
        <f>SUMIF(vente!$E$4:$E$2190,'Inventaire des produits'!B969,vente!$G$4:$G$2190)</f>
        <v>0</v>
      </c>
      <c r="F969" s="36">
        <f t="shared" si="45"/>
        <v>0</v>
      </c>
      <c r="G969" s="176"/>
      <c r="H969" s="182"/>
      <c r="I969" s="37">
        <f t="shared" si="46"/>
        <v>0</v>
      </c>
      <c r="J969" s="38" t="str">
        <f t="shared" si="47"/>
        <v/>
      </c>
      <c r="K969" s="315"/>
      <c r="L969" s="145"/>
    </row>
    <row r="970" spans="1:12" ht="20.100000000000001" customHeight="1" thickBot="1" x14ac:dyDescent="0.4">
      <c r="A970" s="144" t="str">
        <f>IF(B970=IFERROR(VLOOKUP(B970,entrant!$E$4:$J$188,1,FALSE),"THERE WAS AN ERROR"),"RAPPORT JOURNAL","")</f>
        <v/>
      </c>
      <c r="B970" s="147"/>
      <c r="C970" s="170"/>
      <c r="D970" s="35">
        <f>SUMIF(entrant!$E$4:$E$2059,'Inventaire des produits'!B970,entrant!$G$4:$G$2059)</f>
        <v>0</v>
      </c>
      <c r="E970" s="35">
        <f>SUMIF(vente!$E$4:$E$2190,'Inventaire des produits'!B970,vente!$G$4:$G$2190)</f>
        <v>0</v>
      </c>
      <c r="F970" s="36">
        <f t="shared" si="45"/>
        <v>0</v>
      </c>
      <c r="G970" s="176"/>
      <c r="H970" s="182"/>
      <c r="I970" s="37">
        <f t="shared" si="46"/>
        <v>0</v>
      </c>
      <c r="J970" s="38" t="str">
        <f t="shared" si="47"/>
        <v/>
      </c>
      <c r="K970" s="315"/>
      <c r="L970" s="145"/>
    </row>
    <row r="971" spans="1:12" ht="20.100000000000001" customHeight="1" thickBot="1" x14ac:dyDescent="0.4">
      <c r="A971" s="144" t="str">
        <f>IF(B971=IFERROR(VLOOKUP(B971,entrant!$E$4:$J$188,1,FALSE),"THERE WAS AN ERROR"),"RAPPORT JOURNAL","")</f>
        <v/>
      </c>
      <c r="B971" s="147"/>
      <c r="C971" s="170"/>
      <c r="D971" s="35">
        <f>SUMIF(entrant!$E$4:$E$2059,'Inventaire des produits'!B971,entrant!$G$4:$G$2059)</f>
        <v>0</v>
      </c>
      <c r="E971" s="35">
        <f>SUMIF(vente!$E$4:$E$2190,'Inventaire des produits'!B971,vente!$G$4:$G$2190)</f>
        <v>0</v>
      </c>
      <c r="F971" s="36">
        <f t="shared" si="45"/>
        <v>0</v>
      </c>
      <c r="G971" s="176"/>
      <c r="H971" s="182"/>
      <c r="I971" s="37">
        <f t="shared" si="46"/>
        <v>0</v>
      </c>
      <c r="J971" s="38" t="str">
        <f t="shared" si="47"/>
        <v/>
      </c>
      <c r="K971" s="315"/>
      <c r="L971" s="145"/>
    </row>
    <row r="972" spans="1:12" ht="20.100000000000001" customHeight="1" thickBot="1" x14ac:dyDescent="0.4">
      <c r="A972" s="144" t="str">
        <f>IF(B972=IFERROR(VLOOKUP(B972,entrant!$E$4:$J$188,1,FALSE),"THERE WAS AN ERROR"),"RAPPORT JOURNAL","")</f>
        <v/>
      </c>
      <c r="B972" s="147"/>
      <c r="C972" s="170"/>
      <c r="D972" s="35">
        <f>SUMIF(entrant!$E$4:$E$2059,'Inventaire des produits'!B972,entrant!$G$4:$G$2059)</f>
        <v>0</v>
      </c>
      <c r="E972" s="35">
        <f>SUMIF(vente!$E$4:$E$2190,'Inventaire des produits'!B972,vente!$G$4:$G$2190)</f>
        <v>0</v>
      </c>
      <c r="F972" s="36">
        <f t="shared" si="45"/>
        <v>0</v>
      </c>
      <c r="G972" s="176"/>
      <c r="H972" s="182"/>
      <c r="I972" s="37">
        <f t="shared" si="46"/>
        <v>0</v>
      </c>
      <c r="J972" s="38" t="str">
        <f t="shared" si="47"/>
        <v/>
      </c>
      <c r="K972" s="315"/>
      <c r="L972" s="145"/>
    </row>
    <row r="973" spans="1:12" ht="20.100000000000001" customHeight="1" thickBot="1" x14ac:dyDescent="0.4">
      <c r="A973" s="144" t="str">
        <f>IF(B973=IFERROR(VLOOKUP(B973,entrant!$E$4:$J$188,1,FALSE),"THERE WAS AN ERROR"),"RAPPORT JOURNAL","")</f>
        <v/>
      </c>
      <c r="B973" s="147"/>
      <c r="C973" s="170"/>
      <c r="D973" s="35">
        <f>SUMIF(entrant!$E$4:$E$2059,'Inventaire des produits'!B973,entrant!$G$4:$G$2059)</f>
        <v>0</v>
      </c>
      <c r="E973" s="35">
        <f>SUMIF(vente!$E$4:$E$2190,'Inventaire des produits'!B973,vente!$G$4:$G$2190)</f>
        <v>0</v>
      </c>
      <c r="F973" s="36">
        <f t="shared" si="45"/>
        <v>0</v>
      </c>
      <c r="G973" s="176"/>
      <c r="H973" s="182"/>
      <c r="I973" s="37">
        <f t="shared" si="46"/>
        <v>0</v>
      </c>
      <c r="J973" s="38" t="str">
        <f t="shared" si="47"/>
        <v/>
      </c>
      <c r="K973" s="315"/>
      <c r="L973" s="145"/>
    </row>
    <row r="974" spans="1:12" ht="20.100000000000001" customHeight="1" thickBot="1" x14ac:dyDescent="0.4">
      <c r="A974" s="144" t="str">
        <f>IF(B974=IFERROR(VLOOKUP(B974,entrant!$E$4:$J$188,1,FALSE),"THERE WAS AN ERROR"),"RAPPORT JOURNAL","")</f>
        <v/>
      </c>
      <c r="B974" s="147"/>
      <c r="C974" s="170"/>
      <c r="D974" s="35">
        <f>SUMIF(entrant!$E$4:$E$2059,'Inventaire des produits'!B974,entrant!$G$4:$G$2059)</f>
        <v>0</v>
      </c>
      <c r="E974" s="35">
        <f>SUMIF(vente!$E$4:$E$2190,'Inventaire des produits'!B974,vente!$G$4:$G$2190)</f>
        <v>0</v>
      </c>
      <c r="F974" s="36">
        <f t="shared" si="45"/>
        <v>0</v>
      </c>
      <c r="G974" s="176"/>
      <c r="H974" s="182"/>
      <c r="I974" s="37">
        <f t="shared" si="46"/>
        <v>0</v>
      </c>
      <c r="J974" s="38" t="str">
        <f t="shared" si="47"/>
        <v/>
      </c>
      <c r="K974" s="315"/>
      <c r="L974" s="145"/>
    </row>
    <row r="975" spans="1:12" ht="20.100000000000001" customHeight="1" thickBot="1" x14ac:dyDescent="0.4">
      <c r="A975" s="144" t="str">
        <f>IF(B975=IFERROR(VLOOKUP(B975,entrant!$E$4:$J$188,1,FALSE),"THERE WAS AN ERROR"),"RAPPORT JOURNAL","")</f>
        <v/>
      </c>
      <c r="B975" s="147"/>
      <c r="C975" s="170"/>
      <c r="D975" s="35">
        <f>SUMIF(entrant!$E$4:$E$2059,'Inventaire des produits'!B975,entrant!$G$4:$G$2059)</f>
        <v>0</v>
      </c>
      <c r="E975" s="35">
        <f>SUMIF(vente!$E$4:$E$2190,'Inventaire des produits'!B975,vente!$G$4:$G$2190)</f>
        <v>0</v>
      </c>
      <c r="F975" s="36">
        <f t="shared" si="45"/>
        <v>0</v>
      </c>
      <c r="G975" s="176"/>
      <c r="H975" s="182"/>
      <c r="I975" s="37">
        <f t="shared" si="46"/>
        <v>0</v>
      </c>
      <c r="J975" s="38" t="str">
        <f t="shared" si="47"/>
        <v/>
      </c>
      <c r="K975" s="315"/>
      <c r="L975" s="145"/>
    </row>
    <row r="976" spans="1:12" ht="20.100000000000001" customHeight="1" thickBot="1" x14ac:dyDescent="0.4">
      <c r="A976" s="144" t="str">
        <f>IF(B976=IFERROR(VLOOKUP(B976,entrant!$E$4:$J$188,1,FALSE),"THERE WAS AN ERROR"),"RAPPORT JOURNAL","")</f>
        <v/>
      </c>
      <c r="B976" s="147"/>
      <c r="C976" s="170"/>
      <c r="D976" s="35">
        <f>SUMIF(entrant!$E$4:$E$2059,'Inventaire des produits'!B976,entrant!$G$4:$G$2059)</f>
        <v>0</v>
      </c>
      <c r="E976" s="35">
        <f>SUMIF(vente!$E$4:$E$2190,'Inventaire des produits'!B976,vente!$G$4:$G$2190)</f>
        <v>0</v>
      </c>
      <c r="F976" s="36">
        <f t="shared" si="45"/>
        <v>0</v>
      </c>
      <c r="G976" s="176"/>
      <c r="H976" s="182"/>
      <c r="I976" s="37">
        <f t="shared" si="46"/>
        <v>0</v>
      </c>
      <c r="J976" s="38" t="str">
        <f t="shared" si="47"/>
        <v/>
      </c>
      <c r="K976" s="315"/>
      <c r="L976" s="145"/>
    </row>
    <row r="977" spans="1:12" ht="20.100000000000001" customHeight="1" thickBot="1" x14ac:dyDescent="0.4">
      <c r="A977" s="144" t="str">
        <f>IF(B977=IFERROR(VLOOKUP(B977,entrant!$E$4:$J$188,1,FALSE),"THERE WAS AN ERROR"),"RAPPORT JOURNAL","")</f>
        <v/>
      </c>
      <c r="B977" s="147"/>
      <c r="C977" s="170"/>
      <c r="D977" s="35">
        <f>SUMIF(entrant!$E$4:$E$2059,'Inventaire des produits'!B977,entrant!$G$4:$G$2059)</f>
        <v>0</v>
      </c>
      <c r="E977" s="35">
        <f>SUMIF(vente!$E$4:$E$2190,'Inventaire des produits'!B977,vente!$G$4:$G$2190)</f>
        <v>0</v>
      </c>
      <c r="F977" s="36">
        <f t="shared" si="45"/>
        <v>0</v>
      </c>
      <c r="G977" s="176"/>
      <c r="H977" s="182"/>
      <c r="I977" s="37">
        <f t="shared" si="46"/>
        <v>0</v>
      </c>
      <c r="J977" s="38" t="str">
        <f t="shared" si="47"/>
        <v/>
      </c>
      <c r="K977" s="315"/>
      <c r="L977" s="145"/>
    </row>
    <row r="978" spans="1:12" ht="20.100000000000001" customHeight="1" thickBot="1" x14ac:dyDescent="0.4">
      <c r="A978" s="144" t="str">
        <f>IF(B978=IFERROR(VLOOKUP(B978,entrant!$E$4:$J$188,1,FALSE),"THERE WAS AN ERROR"),"RAPPORT JOURNAL","")</f>
        <v/>
      </c>
      <c r="B978" s="147"/>
      <c r="C978" s="170"/>
      <c r="D978" s="35">
        <f>SUMIF(entrant!$E$4:$E$2059,'Inventaire des produits'!B978,entrant!$G$4:$G$2059)</f>
        <v>0</v>
      </c>
      <c r="E978" s="35">
        <f>SUMIF(vente!$E$4:$E$2190,'Inventaire des produits'!B978,vente!$G$4:$G$2190)</f>
        <v>0</v>
      </c>
      <c r="F978" s="36">
        <f t="shared" si="45"/>
        <v>0</v>
      </c>
      <c r="G978" s="176"/>
      <c r="H978" s="182"/>
      <c r="I978" s="37">
        <f t="shared" si="46"/>
        <v>0</v>
      </c>
      <c r="J978" s="38" t="str">
        <f t="shared" si="47"/>
        <v/>
      </c>
      <c r="K978" s="315"/>
      <c r="L978" s="145"/>
    </row>
    <row r="979" spans="1:12" ht="20.100000000000001" customHeight="1" thickBot="1" x14ac:dyDescent="0.4">
      <c r="A979" s="144" t="str">
        <f>IF(B979=IFERROR(VLOOKUP(B979,entrant!$E$4:$J$188,1,FALSE),"THERE WAS AN ERROR"),"RAPPORT JOURNAL","")</f>
        <v/>
      </c>
      <c r="B979" s="147"/>
      <c r="C979" s="170"/>
      <c r="D979" s="35">
        <f>SUMIF(entrant!$E$4:$E$2059,'Inventaire des produits'!B979,entrant!$G$4:$G$2059)</f>
        <v>0</v>
      </c>
      <c r="E979" s="35">
        <f>SUMIF(vente!$E$4:$E$2190,'Inventaire des produits'!B979,vente!$G$4:$G$2190)</f>
        <v>0</v>
      </c>
      <c r="F979" s="36">
        <f t="shared" si="45"/>
        <v>0</v>
      </c>
      <c r="G979" s="176"/>
      <c r="H979" s="182"/>
      <c r="I979" s="37">
        <f t="shared" si="46"/>
        <v>0</v>
      </c>
      <c r="J979" s="38" t="str">
        <f t="shared" si="47"/>
        <v/>
      </c>
      <c r="K979" s="315"/>
      <c r="L979" s="145"/>
    </row>
    <row r="980" spans="1:12" ht="20.100000000000001" customHeight="1" thickBot="1" x14ac:dyDescent="0.4">
      <c r="A980" s="144" t="str">
        <f>IF(B980=IFERROR(VLOOKUP(B980,entrant!$E$4:$J$188,1,FALSE),"THERE WAS AN ERROR"),"RAPPORT JOURNAL","")</f>
        <v/>
      </c>
      <c r="B980" s="147"/>
      <c r="C980" s="170"/>
      <c r="D980" s="35">
        <f>SUMIF(entrant!$E$4:$E$2059,'Inventaire des produits'!B980,entrant!$G$4:$G$2059)</f>
        <v>0</v>
      </c>
      <c r="E980" s="35">
        <f>SUMIF(vente!$E$4:$E$2190,'Inventaire des produits'!B980,vente!$G$4:$G$2190)</f>
        <v>0</v>
      </c>
      <c r="F980" s="36">
        <f t="shared" si="45"/>
        <v>0</v>
      </c>
      <c r="G980" s="176"/>
      <c r="H980" s="182"/>
      <c r="I980" s="37">
        <f t="shared" si="46"/>
        <v>0</v>
      </c>
      <c r="J980" s="38" t="str">
        <f t="shared" si="47"/>
        <v/>
      </c>
      <c r="K980" s="315"/>
      <c r="L980" s="145"/>
    </row>
    <row r="981" spans="1:12" ht="20.100000000000001" customHeight="1" thickBot="1" x14ac:dyDescent="0.4">
      <c r="A981" s="144" t="str">
        <f>IF(B981=IFERROR(VLOOKUP(B981,entrant!$E$4:$J$188,1,FALSE),"THERE WAS AN ERROR"),"RAPPORT JOURNAL","")</f>
        <v/>
      </c>
      <c r="B981" s="147"/>
      <c r="C981" s="170"/>
      <c r="D981" s="35">
        <f>SUMIF(entrant!$E$4:$E$2059,'Inventaire des produits'!B981,entrant!$G$4:$G$2059)</f>
        <v>0</v>
      </c>
      <c r="E981" s="35">
        <f>SUMIF(vente!$E$4:$E$2190,'Inventaire des produits'!B981,vente!$G$4:$G$2190)</f>
        <v>0</v>
      </c>
      <c r="F981" s="36">
        <f t="shared" si="45"/>
        <v>0</v>
      </c>
      <c r="G981" s="176"/>
      <c r="H981" s="182"/>
      <c r="I981" s="37">
        <f t="shared" si="46"/>
        <v>0</v>
      </c>
      <c r="J981" s="38" t="str">
        <f t="shared" si="47"/>
        <v/>
      </c>
      <c r="K981" s="315"/>
      <c r="L981" s="145"/>
    </row>
    <row r="982" spans="1:12" ht="20.100000000000001" customHeight="1" thickBot="1" x14ac:dyDescent="0.4">
      <c r="A982" s="144" t="str">
        <f>IF(B982=IFERROR(VLOOKUP(B982,entrant!$E$4:$J$188,1,FALSE),"THERE WAS AN ERROR"),"RAPPORT JOURNAL","")</f>
        <v/>
      </c>
      <c r="B982" s="147"/>
      <c r="C982" s="170"/>
      <c r="D982" s="35">
        <f>SUMIF(entrant!$E$4:$E$2059,'Inventaire des produits'!B982,entrant!$G$4:$G$2059)</f>
        <v>0</v>
      </c>
      <c r="E982" s="35">
        <f>SUMIF(vente!$E$4:$E$2190,'Inventaire des produits'!B982,vente!$G$4:$G$2190)</f>
        <v>0</v>
      </c>
      <c r="F982" s="36">
        <f t="shared" si="45"/>
        <v>0</v>
      </c>
      <c r="G982" s="176"/>
      <c r="H982" s="182"/>
      <c r="I982" s="37">
        <f t="shared" si="46"/>
        <v>0</v>
      </c>
      <c r="J982" s="38" t="str">
        <f t="shared" si="47"/>
        <v/>
      </c>
      <c r="K982" s="315"/>
      <c r="L982" s="145"/>
    </row>
    <row r="983" spans="1:12" ht="20.100000000000001" customHeight="1" thickBot="1" x14ac:dyDescent="0.4">
      <c r="A983" s="144" t="str">
        <f>IF(B983=IFERROR(VLOOKUP(B983,entrant!$E$4:$J$188,1,FALSE),"THERE WAS AN ERROR"),"RAPPORT JOURNAL","")</f>
        <v/>
      </c>
      <c r="B983" s="147"/>
      <c r="C983" s="170"/>
      <c r="D983" s="35">
        <f>SUMIF(entrant!$E$4:$E$2059,'Inventaire des produits'!B983,entrant!$G$4:$G$2059)</f>
        <v>0</v>
      </c>
      <c r="E983" s="35">
        <f>SUMIF(vente!$E$4:$E$2190,'Inventaire des produits'!B983,vente!$G$4:$G$2190)</f>
        <v>0</v>
      </c>
      <c r="F983" s="36">
        <f t="shared" si="45"/>
        <v>0</v>
      </c>
      <c r="G983" s="176"/>
      <c r="H983" s="182"/>
      <c r="I983" s="37">
        <f t="shared" si="46"/>
        <v>0</v>
      </c>
      <c r="J983" s="38" t="str">
        <f t="shared" si="47"/>
        <v/>
      </c>
      <c r="K983" s="315"/>
      <c r="L983" s="145"/>
    </row>
    <row r="984" spans="1:12" ht="20.100000000000001" customHeight="1" thickBot="1" x14ac:dyDescent="0.4">
      <c r="A984" s="144" t="str">
        <f>IF(B984=IFERROR(VLOOKUP(B984,entrant!$E$4:$J$188,1,FALSE),"THERE WAS AN ERROR"),"RAPPORT JOURNAL","")</f>
        <v/>
      </c>
      <c r="B984" s="147"/>
      <c r="C984" s="170"/>
      <c r="D984" s="35">
        <f>SUMIF(entrant!$E$4:$E$2059,'Inventaire des produits'!B984,entrant!$G$4:$G$2059)</f>
        <v>0</v>
      </c>
      <c r="E984" s="35">
        <f>SUMIF(vente!$E$4:$E$2190,'Inventaire des produits'!B984,vente!$G$4:$G$2190)</f>
        <v>0</v>
      </c>
      <c r="F984" s="36">
        <f t="shared" si="45"/>
        <v>0</v>
      </c>
      <c r="G984" s="176"/>
      <c r="H984" s="182"/>
      <c r="I984" s="37">
        <f t="shared" si="46"/>
        <v>0</v>
      </c>
      <c r="J984" s="38" t="str">
        <f t="shared" si="47"/>
        <v/>
      </c>
      <c r="K984" s="315"/>
      <c r="L984" s="145"/>
    </row>
    <row r="985" spans="1:12" ht="20.100000000000001" customHeight="1" thickBot="1" x14ac:dyDescent="0.4">
      <c r="A985" s="144" t="str">
        <f>IF(B985=IFERROR(VLOOKUP(B985,entrant!$E$4:$J$188,1,FALSE),"THERE WAS AN ERROR"),"RAPPORT JOURNAL","")</f>
        <v/>
      </c>
      <c r="B985" s="147"/>
      <c r="C985" s="170"/>
      <c r="D985" s="35">
        <f>SUMIF(entrant!$E$4:$E$2059,'Inventaire des produits'!B985,entrant!$G$4:$G$2059)</f>
        <v>0</v>
      </c>
      <c r="E985" s="35">
        <f>SUMIF(vente!$E$4:$E$2190,'Inventaire des produits'!B985,vente!$G$4:$G$2190)</f>
        <v>0</v>
      </c>
      <c r="F985" s="36">
        <f t="shared" si="45"/>
        <v>0</v>
      </c>
      <c r="G985" s="176"/>
      <c r="H985" s="182"/>
      <c r="I985" s="37">
        <f t="shared" si="46"/>
        <v>0</v>
      </c>
      <c r="J985" s="38" t="str">
        <f t="shared" si="47"/>
        <v/>
      </c>
      <c r="K985" s="315"/>
      <c r="L985" s="145"/>
    </row>
    <row r="986" spans="1:12" ht="20.100000000000001" customHeight="1" thickBot="1" x14ac:dyDescent="0.4">
      <c r="A986" s="144" t="str">
        <f>IF(B986=IFERROR(VLOOKUP(B986,entrant!$E$4:$J$188,1,FALSE),"THERE WAS AN ERROR"),"RAPPORT JOURNAL","")</f>
        <v/>
      </c>
      <c r="B986" s="147"/>
      <c r="C986" s="170"/>
      <c r="D986" s="35">
        <f>SUMIF(entrant!$E$4:$E$2059,'Inventaire des produits'!B986,entrant!$G$4:$G$2059)</f>
        <v>0</v>
      </c>
      <c r="E986" s="35">
        <f>SUMIF(vente!$E$4:$E$2190,'Inventaire des produits'!B986,vente!$G$4:$G$2190)</f>
        <v>0</v>
      </c>
      <c r="F986" s="36">
        <f t="shared" si="45"/>
        <v>0</v>
      </c>
      <c r="G986" s="176"/>
      <c r="H986" s="182"/>
      <c r="I986" s="37">
        <f t="shared" si="46"/>
        <v>0</v>
      </c>
      <c r="J986" s="38" t="str">
        <f t="shared" si="47"/>
        <v/>
      </c>
      <c r="K986" s="315"/>
      <c r="L986" s="145"/>
    </row>
    <row r="987" spans="1:12" ht="20.100000000000001" customHeight="1" thickBot="1" x14ac:dyDescent="0.4">
      <c r="A987" s="144" t="str">
        <f>IF(B987=IFERROR(VLOOKUP(B987,entrant!$E$4:$J$188,1,FALSE),"THERE WAS AN ERROR"),"RAPPORT JOURNAL","")</f>
        <v/>
      </c>
      <c r="B987" s="147"/>
      <c r="C987" s="170"/>
      <c r="D987" s="35">
        <f>SUMIF(entrant!$E$4:$E$2059,'Inventaire des produits'!B987,entrant!$G$4:$G$2059)</f>
        <v>0</v>
      </c>
      <c r="E987" s="35">
        <f>SUMIF(vente!$E$4:$E$2190,'Inventaire des produits'!B987,vente!$G$4:$G$2190)</f>
        <v>0</v>
      </c>
      <c r="F987" s="36">
        <f t="shared" si="45"/>
        <v>0</v>
      </c>
      <c r="G987" s="176"/>
      <c r="H987" s="182"/>
      <c r="I987" s="37">
        <f t="shared" si="46"/>
        <v>0</v>
      </c>
      <c r="J987" s="38" t="str">
        <f t="shared" si="47"/>
        <v/>
      </c>
      <c r="K987" s="315"/>
      <c r="L987" s="145"/>
    </row>
    <row r="988" spans="1:12" ht="20.100000000000001" customHeight="1" thickBot="1" x14ac:dyDescent="0.4">
      <c r="A988" s="144" t="str">
        <f>IF(B988=IFERROR(VLOOKUP(B988,entrant!$E$4:$J$188,1,FALSE),"THERE WAS AN ERROR"),"RAPPORT JOURNAL","")</f>
        <v/>
      </c>
      <c r="B988" s="147"/>
      <c r="C988" s="170"/>
      <c r="D988" s="35">
        <f>SUMIF(entrant!$E$4:$E$2059,'Inventaire des produits'!B988,entrant!$G$4:$G$2059)</f>
        <v>0</v>
      </c>
      <c r="E988" s="35">
        <f>SUMIF(vente!$E$4:$E$2190,'Inventaire des produits'!B988,vente!$G$4:$G$2190)</f>
        <v>0</v>
      </c>
      <c r="F988" s="36">
        <f t="shared" si="45"/>
        <v>0</v>
      </c>
      <c r="G988" s="176"/>
      <c r="H988" s="182"/>
      <c r="I988" s="37">
        <f t="shared" si="46"/>
        <v>0</v>
      </c>
      <c r="J988" s="38" t="str">
        <f t="shared" si="47"/>
        <v/>
      </c>
      <c r="K988" s="315"/>
      <c r="L988" s="145"/>
    </row>
    <row r="989" spans="1:12" ht="20.100000000000001" customHeight="1" thickBot="1" x14ac:dyDescent="0.4">
      <c r="A989" s="144" t="str">
        <f>IF(B989=IFERROR(VLOOKUP(B989,entrant!$E$4:$J$188,1,FALSE),"THERE WAS AN ERROR"),"RAPPORT JOURNAL","")</f>
        <v/>
      </c>
      <c r="B989" s="147"/>
      <c r="C989" s="170"/>
      <c r="D989" s="35">
        <f>SUMIF(entrant!$E$4:$E$2059,'Inventaire des produits'!B989,entrant!$G$4:$G$2059)</f>
        <v>0</v>
      </c>
      <c r="E989" s="35">
        <f>SUMIF(vente!$E$4:$E$2190,'Inventaire des produits'!B989,vente!$G$4:$G$2190)</f>
        <v>0</v>
      </c>
      <c r="F989" s="36">
        <f t="shared" si="45"/>
        <v>0</v>
      </c>
      <c r="G989" s="176"/>
      <c r="H989" s="182"/>
      <c r="I989" s="37">
        <f t="shared" si="46"/>
        <v>0</v>
      </c>
      <c r="J989" s="38" t="str">
        <f t="shared" si="47"/>
        <v/>
      </c>
      <c r="K989" s="315"/>
      <c r="L989" s="145"/>
    </row>
    <row r="990" spans="1:12" ht="20.100000000000001" customHeight="1" thickBot="1" x14ac:dyDescent="0.4">
      <c r="A990" s="144" t="str">
        <f>IF(B990=IFERROR(VLOOKUP(B990,entrant!$E$4:$J$188,1,FALSE),"THERE WAS AN ERROR"),"RAPPORT JOURNAL","")</f>
        <v/>
      </c>
      <c r="B990" s="147"/>
      <c r="C990" s="170"/>
      <c r="D990" s="35">
        <f>SUMIF(entrant!$E$4:$E$2059,'Inventaire des produits'!B990,entrant!$G$4:$G$2059)</f>
        <v>0</v>
      </c>
      <c r="E990" s="35">
        <f>SUMIF(vente!$E$4:$E$2190,'Inventaire des produits'!B990,vente!$G$4:$G$2190)</f>
        <v>0</v>
      </c>
      <c r="F990" s="36">
        <f t="shared" si="45"/>
        <v>0</v>
      </c>
      <c r="G990" s="176"/>
      <c r="H990" s="182"/>
      <c r="I990" s="37">
        <f t="shared" si="46"/>
        <v>0</v>
      </c>
      <c r="J990" s="38" t="str">
        <f t="shared" si="47"/>
        <v/>
      </c>
      <c r="K990" s="315"/>
      <c r="L990" s="145"/>
    </row>
    <row r="991" spans="1:12" ht="20.100000000000001" customHeight="1" thickBot="1" x14ac:dyDescent="0.4">
      <c r="A991" s="144" t="str">
        <f>IF(B991=IFERROR(VLOOKUP(B991,entrant!$E$4:$J$188,1,FALSE),"THERE WAS AN ERROR"),"RAPPORT JOURNAL","")</f>
        <v/>
      </c>
      <c r="B991" s="147"/>
      <c r="C991" s="170"/>
      <c r="D991" s="35">
        <f>SUMIF(entrant!$E$4:$E$2059,'Inventaire des produits'!B991,entrant!$G$4:$G$2059)</f>
        <v>0</v>
      </c>
      <c r="E991" s="35">
        <f>SUMIF(vente!$E$4:$E$2190,'Inventaire des produits'!B991,vente!$G$4:$G$2190)</f>
        <v>0</v>
      </c>
      <c r="F991" s="36">
        <f t="shared" si="45"/>
        <v>0</v>
      </c>
      <c r="G991" s="176"/>
      <c r="H991" s="182"/>
      <c r="I991" s="37">
        <f t="shared" si="46"/>
        <v>0</v>
      </c>
      <c r="J991" s="38" t="str">
        <f t="shared" si="47"/>
        <v/>
      </c>
      <c r="K991" s="315"/>
      <c r="L991" s="145"/>
    </row>
    <row r="992" spans="1:12" ht="20.100000000000001" customHeight="1" thickBot="1" x14ac:dyDescent="0.4">
      <c r="A992" s="144" t="str">
        <f>IF(B992=IFERROR(VLOOKUP(B992,entrant!$E$4:$J$188,1,FALSE),"THERE WAS AN ERROR"),"RAPPORT JOURNAL","")</f>
        <v/>
      </c>
      <c r="B992" s="147"/>
      <c r="C992" s="170"/>
      <c r="D992" s="35">
        <f>SUMIF(entrant!$E$4:$E$2059,'Inventaire des produits'!B992,entrant!$G$4:$G$2059)</f>
        <v>0</v>
      </c>
      <c r="E992" s="35">
        <f>SUMIF(vente!$E$4:$E$2190,'Inventaire des produits'!B992,vente!$G$4:$G$2190)</f>
        <v>0</v>
      </c>
      <c r="F992" s="36">
        <f t="shared" si="45"/>
        <v>0</v>
      </c>
      <c r="G992" s="176"/>
      <c r="H992" s="182"/>
      <c r="I992" s="37">
        <f t="shared" si="46"/>
        <v>0</v>
      </c>
      <c r="J992" s="38" t="str">
        <f t="shared" si="47"/>
        <v/>
      </c>
      <c r="K992" s="315"/>
      <c r="L992" s="145"/>
    </row>
    <row r="993" spans="1:12" ht="20.100000000000001" customHeight="1" thickBot="1" x14ac:dyDescent="0.4">
      <c r="A993" s="144" t="str">
        <f>IF(B993=IFERROR(VLOOKUP(B993,entrant!$E$4:$J$188,1,FALSE),"THERE WAS AN ERROR"),"RAPPORT JOURNAL","")</f>
        <v/>
      </c>
      <c r="B993" s="147"/>
      <c r="C993" s="170"/>
      <c r="D993" s="35">
        <f>SUMIF(entrant!$E$4:$E$2059,'Inventaire des produits'!B993,entrant!$G$4:$G$2059)</f>
        <v>0</v>
      </c>
      <c r="E993" s="35">
        <f>SUMIF(vente!$E$4:$E$2190,'Inventaire des produits'!B993,vente!$G$4:$G$2190)</f>
        <v>0</v>
      </c>
      <c r="F993" s="36">
        <f t="shared" si="45"/>
        <v>0</v>
      </c>
      <c r="G993" s="176"/>
      <c r="H993" s="182"/>
      <c r="I993" s="37">
        <f t="shared" si="46"/>
        <v>0</v>
      </c>
      <c r="J993" s="38" t="str">
        <f t="shared" si="47"/>
        <v/>
      </c>
      <c r="K993" s="315"/>
      <c r="L993" s="145"/>
    </row>
    <row r="994" spans="1:12" ht="20.100000000000001" customHeight="1" thickBot="1" x14ac:dyDescent="0.4">
      <c r="A994" s="144" t="str">
        <f>IF(B994=IFERROR(VLOOKUP(B994,entrant!$E$4:$J$188,1,FALSE),"THERE WAS AN ERROR"),"RAPPORT JOURNAL","")</f>
        <v/>
      </c>
      <c r="B994" s="147"/>
      <c r="C994" s="170"/>
      <c r="D994" s="35">
        <f>SUMIF(entrant!$E$4:$E$2059,'Inventaire des produits'!B994,entrant!$G$4:$G$2059)</f>
        <v>0</v>
      </c>
      <c r="E994" s="35">
        <f>SUMIF(vente!$E$4:$E$2190,'Inventaire des produits'!B994,vente!$G$4:$G$2190)</f>
        <v>0</v>
      </c>
      <c r="F994" s="36">
        <f t="shared" si="45"/>
        <v>0</v>
      </c>
      <c r="G994" s="176"/>
      <c r="H994" s="182"/>
      <c r="I994" s="37">
        <f t="shared" si="46"/>
        <v>0</v>
      </c>
      <c r="J994" s="38" t="str">
        <f t="shared" si="47"/>
        <v/>
      </c>
      <c r="K994" s="315"/>
      <c r="L994" s="145"/>
    </row>
    <row r="995" spans="1:12" ht="20.100000000000001" customHeight="1" thickBot="1" x14ac:dyDescent="0.4">
      <c r="A995" s="144" t="str">
        <f>IF(B995=IFERROR(VLOOKUP(B995,entrant!$E$4:$J$188,1,FALSE),"THERE WAS AN ERROR"),"RAPPORT JOURNAL","")</f>
        <v/>
      </c>
      <c r="B995" s="147"/>
      <c r="C995" s="170"/>
      <c r="D995" s="35">
        <f>SUMIF(entrant!$E$4:$E$2059,'Inventaire des produits'!B995,entrant!$G$4:$G$2059)</f>
        <v>0</v>
      </c>
      <c r="E995" s="35">
        <f>SUMIF(vente!$E$4:$E$2190,'Inventaire des produits'!B995,vente!$G$4:$G$2190)</f>
        <v>0</v>
      </c>
      <c r="F995" s="36">
        <f t="shared" si="45"/>
        <v>0</v>
      </c>
      <c r="G995" s="176"/>
      <c r="H995" s="182"/>
      <c r="I995" s="37">
        <f t="shared" si="46"/>
        <v>0</v>
      </c>
      <c r="J995" s="38" t="str">
        <f t="shared" si="47"/>
        <v/>
      </c>
      <c r="K995" s="315"/>
      <c r="L995" s="145"/>
    </row>
    <row r="996" spans="1:12" ht="20.100000000000001" customHeight="1" thickBot="1" x14ac:dyDescent="0.4">
      <c r="A996" s="144" t="str">
        <f>IF(B996=IFERROR(VLOOKUP(B996,entrant!$E$4:$J$188,1,FALSE),"THERE WAS AN ERROR"),"RAPPORT JOURNAL","")</f>
        <v/>
      </c>
      <c r="B996" s="147"/>
      <c r="C996" s="170"/>
      <c r="D996" s="35">
        <f>SUMIF(entrant!$E$4:$E$2059,'Inventaire des produits'!B996,entrant!$G$4:$G$2059)</f>
        <v>0</v>
      </c>
      <c r="E996" s="35">
        <f>SUMIF(vente!$E$4:$E$2190,'Inventaire des produits'!B996,vente!$G$4:$G$2190)</f>
        <v>0</v>
      </c>
      <c r="F996" s="36">
        <f t="shared" si="45"/>
        <v>0</v>
      </c>
      <c r="G996" s="176"/>
      <c r="H996" s="182"/>
      <c r="I996" s="37">
        <f t="shared" si="46"/>
        <v>0</v>
      </c>
      <c r="J996" s="38" t="str">
        <f t="shared" si="47"/>
        <v/>
      </c>
      <c r="K996" s="315"/>
      <c r="L996" s="145"/>
    </row>
    <row r="997" spans="1:12" ht="20.100000000000001" customHeight="1" thickBot="1" x14ac:dyDescent="0.4">
      <c r="A997" s="144" t="str">
        <f>IF(B997=IFERROR(VLOOKUP(B997,entrant!$E$4:$J$188,1,FALSE),"THERE WAS AN ERROR"),"RAPPORT JOURNAL","")</f>
        <v/>
      </c>
      <c r="B997" s="147"/>
      <c r="C997" s="170"/>
      <c r="D997" s="35">
        <f>SUMIF(entrant!$E$4:$E$2059,'Inventaire des produits'!B997,entrant!$G$4:$G$2059)</f>
        <v>0</v>
      </c>
      <c r="E997" s="35">
        <f>SUMIF(vente!$E$4:$E$2190,'Inventaire des produits'!B997,vente!$G$4:$G$2190)</f>
        <v>0</v>
      </c>
      <c r="F997" s="36">
        <f t="shared" si="45"/>
        <v>0</v>
      </c>
      <c r="G997" s="176"/>
      <c r="H997" s="182"/>
      <c r="I997" s="37">
        <f t="shared" si="46"/>
        <v>0</v>
      </c>
      <c r="J997" s="38" t="str">
        <f t="shared" si="47"/>
        <v/>
      </c>
      <c r="K997" s="315"/>
      <c r="L997" s="145"/>
    </row>
    <row r="998" spans="1:12" ht="20.100000000000001" customHeight="1" thickBot="1" x14ac:dyDescent="0.4">
      <c r="A998" s="144" t="str">
        <f>IF(B998=IFERROR(VLOOKUP(B998,entrant!$E$4:$J$188,1,FALSE),"THERE WAS AN ERROR"),"RAPPORT JOURNAL","")</f>
        <v/>
      </c>
      <c r="B998" s="147"/>
      <c r="C998" s="170"/>
      <c r="D998" s="35">
        <f>SUMIF(entrant!$E$4:$E$2059,'Inventaire des produits'!B998,entrant!$G$4:$G$2059)</f>
        <v>0</v>
      </c>
      <c r="E998" s="35">
        <f>SUMIF(vente!$E$4:$E$2190,'Inventaire des produits'!B998,vente!$G$4:$G$2190)</f>
        <v>0</v>
      </c>
      <c r="F998" s="36">
        <f t="shared" si="45"/>
        <v>0</v>
      </c>
      <c r="G998" s="176"/>
      <c r="H998" s="182"/>
      <c r="I998" s="37">
        <f t="shared" si="46"/>
        <v>0</v>
      </c>
      <c r="J998" s="38" t="str">
        <f t="shared" si="47"/>
        <v/>
      </c>
      <c r="K998" s="315"/>
      <c r="L998" s="145"/>
    </row>
    <row r="999" spans="1:12" ht="20.100000000000001" customHeight="1" thickBot="1" x14ac:dyDescent="0.4">
      <c r="A999" s="144" t="str">
        <f>IF(B999=IFERROR(VLOOKUP(B999,entrant!$E$4:$J$188,1,FALSE),"THERE WAS AN ERROR"),"RAPPORT JOURNAL","")</f>
        <v/>
      </c>
      <c r="B999" s="147"/>
      <c r="C999" s="170"/>
      <c r="D999" s="35">
        <f>SUMIF(entrant!$E$4:$E$2059,'Inventaire des produits'!B999,entrant!$G$4:$G$2059)</f>
        <v>0</v>
      </c>
      <c r="E999" s="35">
        <f>SUMIF(vente!$E$4:$E$2190,'Inventaire des produits'!B999,vente!$G$4:$G$2190)</f>
        <v>0</v>
      </c>
      <c r="F999" s="36">
        <f t="shared" si="45"/>
        <v>0</v>
      </c>
      <c r="G999" s="176"/>
      <c r="H999" s="182"/>
      <c r="I999" s="37">
        <f t="shared" si="46"/>
        <v>0</v>
      </c>
      <c r="J999" s="38" t="str">
        <f t="shared" si="47"/>
        <v/>
      </c>
      <c r="K999" s="315"/>
      <c r="L999" s="145"/>
    </row>
    <row r="1000" spans="1:12" ht="20.100000000000001" customHeight="1" thickBot="1" x14ac:dyDescent="0.4">
      <c r="A1000" s="144" t="str">
        <f>IF(B1000=IFERROR(VLOOKUP(B1000,entrant!$E$4:$J$188,1,FALSE),"THERE WAS AN ERROR"),"RAPPORT JOURNAL","")</f>
        <v/>
      </c>
      <c r="B1000" s="148"/>
      <c r="C1000" s="172"/>
      <c r="D1000" s="35">
        <f>SUMIF(entrant!$E$4:$E$2059,'Inventaire des produits'!B1000,entrant!$G$4:$G$2059)</f>
        <v>0</v>
      </c>
      <c r="E1000" s="35">
        <f>SUMIF(vente!$E$4:$E$2190,'Inventaire des produits'!B1000,vente!$G$4:$G$2190)</f>
        <v>0</v>
      </c>
      <c r="F1000" s="36">
        <f t="shared" si="45"/>
        <v>0</v>
      </c>
      <c r="G1000" s="178"/>
      <c r="H1000" s="183"/>
      <c r="I1000" s="37">
        <f t="shared" si="46"/>
        <v>0</v>
      </c>
      <c r="J1000" s="38" t="str">
        <f t="shared" si="47"/>
        <v/>
      </c>
      <c r="K1000" s="315"/>
      <c r="L1000" s="145"/>
    </row>
    <row r="1001" spans="1:12" ht="20.100000000000001" customHeight="1" thickBot="1" x14ac:dyDescent="0.4">
      <c r="B1001" s="148"/>
      <c r="C1001" s="172"/>
      <c r="D1001" s="160">
        <f>SUMIF(entrant!$E$4:$E$2059,'Inventaire des produits'!B1001,entrant!$G$4:$G$2059)</f>
        <v>0</v>
      </c>
      <c r="E1001" s="160">
        <f>SUMIF(vente!$E$4:$E$2190,'Inventaire des produits'!B1001,vente!$G$4:$G$2190)</f>
        <v>0</v>
      </c>
      <c r="F1001" s="161">
        <f t="shared" ref="F1001" si="48">IF(OR(D1001="",E1001=""),"",D1001-E1001)</f>
        <v>0</v>
      </c>
      <c r="G1001" s="178"/>
      <c r="H1001" s="183"/>
      <c r="I1001" s="162">
        <f t="shared" ref="I1001" si="49">IF(H1001="",G1001,G1001-G1001*H1001)</f>
        <v>0</v>
      </c>
      <c r="J1001" s="163" t="str">
        <f t="shared" ref="J1001" si="50">IF(OR(F1001="",G1001=""),"",F1001*I1001)</f>
        <v/>
      </c>
      <c r="K1001" s="316"/>
      <c r="L1001" s="145"/>
    </row>
  </sheetData>
  <sheetProtection sheet="1" formatCells="0" formatColumns="0" formatRows="0" insertColumns="0" insertRows="0" insertHyperlinks="0" deleteColumns="0" deleteRows="0" sort="0" autoFilter="0" pivotTables="0"/>
  <autoFilter ref="B3:K1001"/>
  <dataConsolidate/>
  <mergeCells count="2">
    <mergeCell ref="B2:K2"/>
    <mergeCell ref="K4:K1001"/>
  </mergeCells>
  <conditionalFormatting sqref="B1:B249 B253:B1048576">
    <cfRule type="duplicateValues" dxfId="107" priority="5"/>
  </conditionalFormatting>
  <conditionalFormatting sqref="D1:D1048576">
    <cfRule type="cellIs" dxfId="106" priority="3" operator="equal">
      <formula>0</formula>
    </cfRule>
  </conditionalFormatting>
  <conditionalFormatting sqref="G4:G1048576">
    <cfRule type="containsBlanks" dxfId="105" priority="1">
      <formula>LEN(TRIM(G4))=0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9" tint="-0.249977111117893"/>
  </sheetPr>
  <dimension ref="B1:L2447"/>
  <sheetViews>
    <sheetView topLeftCell="B189" zoomScale="110" zoomScaleNormal="110" workbookViewId="0">
      <selection activeCell="B189" sqref="B189:B756"/>
    </sheetView>
  </sheetViews>
  <sheetFormatPr defaultColWidth="10.6640625" defaultRowHeight="14.4" x14ac:dyDescent="0.3"/>
  <cols>
    <col min="1" max="1" width="3.44140625" style="39" customWidth="1"/>
    <col min="2" max="2" width="34.33203125" style="203" customWidth="1"/>
    <col min="3" max="3" width="11.5546875" style="202" customWidth="1"/>
    <col min="4" max="4" width="19.33203125" style="203" customWidth="1"/>
    <col min="5" max="5" width="10.109375" style="214" customWidth="1"/>
    <col min="6" max="6" width="50" style="39" customWidth="1"/>
    <col min="7" max="7" width="10.109375" style="214" customWidth="1"/>
    <col min="8" max="8" width="10.33203125" style="40" customWidth="1"/>
    <col min="9" max="9" width="13.6640625" style="40" customWidth="1"/>
    <col min="10" max="10" width="12.88671875" style="33" customWidth="1"/>
    <col min="11" max="11" width="11.6640625" style="127" customWidth="1"/>
    <col min="12" max="12" width="16.88671875" style="39" customWidth="1"/>
    <col min="13" max="16384" width="10.6640625" style="39"/>
  </cols>
  <sheetData>
    <row r="1" spans="2:12" x14ac:dyDescent="0.3">
      <c r="B1" s="123"/>
      <c r="C1" s="124"/>
      <c r="D1" s="125"/>
      <c r="E1" s="126"/>
      <c r="G1" s="40"/>
    </row>
    <row r="2" spans="2:12" ht="21.6" thickBot="1" x14ac:dyDescent="0.35">
      <c r="B2" s="334" t="s">
        <v>10</v>
      </c>
      <c r="C2" s="335"/>
      <c r="D2" s="335"/>
      <c r="E2" s="335"/>
      <c r="F2" s="335"/>
      <c r="G2" s="335"/>
      <c r="H2" s="335"/>
      <c r="I2" s="335"/>
      <c r="J2" s="336"/>
    </row>
    <row r="3" spans="2:12" ht="24.75" customHeight="1" x14ac:dyDescent="0.3">
      <c r="B3" s="43" t="s">
        <v>16</v>
      </c>
      <c r="C3" s="128" t="s">
        <v>14</v>
      </c>
      <c r="D3" s="43" t="s">
        <v>17</v>
      </c>
      <c r="E3" s="43" t="s">
        <v>7</v>
      </c>
      <c r="F3" s="43" t="s">
        <v>8</v>
      </c>
      <c r="G3" s="308" t="s">
        <v>1701</v>
      </c>
      <c r="H3" s="43" t="s">
        <v>11</v>
      </c>
      <c r="I3" s="129" t="s">
        <v>5</v>
      </c>
      <c r="J3" s="130" t="s">
        <v>700</v>
      </c>
      <c r="K3" s="131" t="s">
        <v>815</v>
      </c>
      <c r="L3" s="132"/>
    </row>
    <row r="4" spans="2:12" ht="15" customHeight="1" x14ac:dyDescent="0.3">
      <c r="B4" s="331" t="s">
        <v>310</v>
      </c>
      <c r="C4" s="331"/>
      <c r="D4" s="331"/>
      <c r="E4" s="52" t="s">
        <v>32</v>
      </c>
      <c r="F4" s="29" t="str">
        <f>IFERROR(VLOOKUP(E4,'Inventaire des produits'!$B$4:$K$1001,2,0),"")</f>
        <v>BARQUETTE ALUMINIUM 808</v>
      </c>
      <c r="G4" s="133">
        <v>2953</v>
      </c>
      <c r="H4" s="30">
        <f>IFERROR(VLOOKUP(E4,'Inventaire des produits'!$B$4:$K$1001,8,0),"")</f>
        <v>0.79166666669999997</v>
      </c>
      <c r="I4" s="31">
        <f t="shared" ref="I4:I67" si="0">IF(OR(G4="",H4=""),"",G4*H4)</f>
        <v>2337.7916667650998</v>
      </c>
      <c r="J4" s="307">
        <f>VLOOKUP(entrant!E4,'Inventaire des produits'!$B$4:$K$1001,5,FALSE)</f>
        <v>0</v>
      </c>
      <c r="L4" s="309" t="str">
        <f>IFERROR(IF(J4&gt;G4,"A utiliser","Touch pas"),"")</f>
        <v>Touch pas</v>
      </c>
    </row>
    <row r="5" spans="2:12" ht="15" customHeight="1" x14ac:dyDescent="0.3">
      <c r="B5" s="332"/>
      <c r="C5" s="332"/>
      <c r="D5" s="332"/>
      <c r="E5" s="52" t="s">
        <v>19</v>
      </c>
      <c r="F5" s="29" t="str">
        <f>IFERROR(VLOOKUP(E5,'Inventaire des produits'!$B$4:$K$1001,2,0),"")</f>
        <v>SAC FOND CARRE POIGNE PLAT 26*17*28 70G</v>
      </c>
      <c r="G5" s="133">
        <v>2600</v>
      </c>
      <c r="H5" s="30">
        <f>IFERROR(VLOOKUP(E5,'Inventaire des produits'!$B$4:$K$1001,8,0),"")</f>
        <v>0.81</v>
      </c>
      <c r="I5" s="31">
        <f t="shared" si="0"/>
        <v>2106</v>
      </c>
      <c r="J5" s="307">
        <f>VLOOKUP(entrant!E5,'Inventaire des produits'!$B$4:$K$1001,5,FALSE)</f>
        <v>0</v>
      </c>
    </row>
    <row r="6" spans="2:12" ht="15" customHeight="1" x14ac:dyDescent="0.3">
      <c r="B6" s="332"/>
      <c r="C6" s="332"/>
      <c r="D6" s="332"/>
      <c r="E6" s="52" t="s">
        <v>27</v>
      </c>
      <c r="F6" s="29" t="str">
        <f>IFERROR(VLOOKUP(E6,'Inventaire des produits'!$B$4:$K$1001,2,0),"")</f>
        <v>BARQUETTE VITA PACK 500ML AVEC CVL</v>
      </c>
      <c r="G6" s="133">
        <v>800</v>
      </c>
      <c r="H6" s="30">
        <f>IFERROR(VLOOKUP(E6,'Inventaire des produits'!$B$4:$K$1001,8,0),"")</f>
        <v>1.38</v>
      </c>
      <c r="I6" s="31">
        <f t="shared" si="0"/>
        <v>1104</v>
      </c>
      <c r="J6" s="307">
        <f>VLOOKUP(entrant!E6,'Inventaire des produits'!$B$4:$K$1001,5,FALSE)</f>
        <v>0</v>
      </c>
    </row>
    <row r="7" spans="2:12" ht="15" customHeight="1" x14ac:dyDescent="0.3">
      <c r="B7" s="332"/>
      <c r="C7" s="332"/>
      <c r="D7" s="332"/>
      <c r="E7" s="134" t="s">
        <v>56</v>
      </c>
      <c r="F7" s="29" t="str">
        <f>IFERROR(VLOOKUP(E7,'Inventaire des produits'!$B$4:$K$1001,2,0),"")</f>
        <v>GANT VINYL EXTRA PREMIUM GLOVE LARGE</v>
      </c>
      <c r="G7" s="133">
        <v>34</v>
      </c>
      <c r="H7" s="30">
        <f>IFERROR(VLOOKUP(E7,'Inventaire des produits'!$B$4:$K$1001,8,0),"")</f>
        <v>24.74</v>
      </c>
      <c r="I7" s="31">
        <f t="shared" si="0"/>
        <v>841.16</v>
      </c>
      <c r="J7" s="307">
        <f>VLOOKUP(entrant!E7,'Inventaire des produits'!$B$4:$K$1001,5,FALSE)</f>
        <v>0</v>
      </c>
    </row>
    <row r="8" spans="2:12" ht="15" customHeight="1" x14ac:dyDescent="0.3">
      <c r="B8" s="332"/>
      <c r="C8" s="332"/>
      <c r="D8" s="332"/>
      <c r="E8" s="52" t="s">
        <v>57</v>
      </c>
      <c r="F8" s="29" t="str">
        <f>IFERROR(VLOOKUP(E8,'Inventaire des produits'!$B$4:$K$1001,2,0),"")</f>
        <v>GANT VINYL EXTRA PREMIUM GLOVE MEDIUM</v>
      </c>
      <c r="G8" s="133">
        <v>10</v>
      </c>
      <c r="H8" s="30">
        <f>IFERROR(VLOOKUP(E8,'Inventaire des produits'!$B$4:$K$1001,8,0),"")</f>
        <v>24.74</v>
      </c>
      <c r="I8" s="31">
        <f t="shared" si="0"/>
        <v>247.39999999999998</v>
      </c>
      <c r="J8" s="307">
        <f>VLOOKUP(entrant!E8,'Inventaire des produits'!$B$4:$K$1001,5,FALSE)</f>
        <v>0</v>
      </c>
    </row>
    <row r="9" spans="2:12" ht="15" customHeight="1" x14ac:dyDescent="0.3">
      <c r="B9" s="332"/>
      <c r="C9" s="332"/>
      <c r="D9" s="332"/>
      <c r="E9" s="52" t="s">
        <v>51</v>
      </c>
      <c r="F9" s="29" t="str">
        <f>IFERROR(VLOOKUP(E9,'Inventaire des produits'!$B$4:$K$1001,2,0),"")</f>
        <v>BOL SALADE ET CVL KRAFT 750CC CARTON 400PCS</v>
      </c>
      <c r="G9" s="133">
        <v>1</v>
      </c>
      <c r="H9" s="30">
        <f>IFERROR(VLOOKUP(E9,'Inventaire des produits'!$B$4:$K$1001,8,0),"")</f>
        <v>700</v>
      </c>
      <c r="I9" s="31">
        <f t="shared" si="0"/>
        <v>700</v>
      </c>
      <c r="J9" s="307">
        <f>VLOOKUP(entrant!E9,'Inventaire des produits'!$B$4:$K$1001,5,FALSE)</f>
        <v>0</v>
      </c>
    </row>
    <row r="10" spans="2:12" ht="15" customHeight="1" x14ac:dyDescent="0.3">
      <c r="B10" s="332"/>
      <c r="C10" s="332"/>
      <c r="D10" s="332"/>
      <c r="E10" s="52" t="s">
        <v>53</v>
      </c>
      <c r="F10" s="29" t="str">
        <f>IFERROR(VLOOKUP(E10,'Inventaire des produits'!$B$4:$K$1001,2,0),"")</f>
        <v>GANT VINYL EXTRA PREMIUM GLOVE MEDIUM</v>
      </c>
      <c r="G10" s="133">
        <v>155</v>
      </c>
      <c r="H10" s="30">
        <f>IFERROR(VLOOKUP(E10,'Inventaire des produits'!$B$4:$K$1001,8,0),"")</f>
        <v>24.593333333299999</v>
      </c>
      <c r="I10" s="31">
        <f t="shared" si="0"/>
        <v>3811.9666666614999</v>
      </c>
      <c r="J10" s="307">
        <f>VLOOKUP(entrant!E10,'Inventaire des produits'!$B$4:$K$1001,5,FALSE)</f>
        <v>0</v>
      </c>
    </row>
    <row r="11" spans="2:12" ht="15" customHeight="1" x14ac:dyDescent="0.3">
      <c r="B11" s="332"/>
      <c r="C11" s="332"/>
      <c r="D11" s="332"/>
      <c r="E11" s="134" t="s">
        <v>58</v>
      </c>
      <c r="F11" s="29" t="str">
        <f>IFERROR(VLOOKUP(E11,'Inventaire des produits'!$B$4:$K$1001,2,0),"")</f>
        <v>POT DE SAUCE EN PLAST INJECTION TRANS 30ML</v>
      </c>
      <c r="G11" s="133">
        <v>1000</v>
      </c>
      <c r="H11" s="30">
        <f>IFERROR(VLOOKUP(E11,'Inventaire des produits'!$B$4:$K$1001,8,0),"")</f>
        <v>0.25</v>
      </c>
      <c r="I11" s="31">
        <f t="shared" si="0"/>
        <v>250</v>
      </c>
      <c r="J11" s="307">
        <f>VLOOKUP(entrant!E11,'Inventaire des produits'!$B$4:$K$1001,5,FALSE)</f>
        <v>0</v>
      </c>
    </row>
    <row r="12" spans="2:12" ht="15" customHeight="1" x14ac:dyDescent="0.3">
      <c r="B12" s="332"/>
      <c r="C12" s="332"/>
      <c r="D12" s="332"/>
      <c r="E12" s="134" t="s">
        <v>60</v>
      </c>
      <c r="F12" s="29" t="str">
        <f>IFERROR(VLOOKUP(E12,'Inventaire des produits'!$B$4:$K$1001,2,0),"")</f>
        <v>POT DE SAUCE EN PLAST INJECTION TRANS 50ML</v>
      </c>
      <c r="G12" s="133">
        <v>1000</v>
      </c>
      <c r="H12" s="30">
        <f>IFERROR(VLOOKUP(E12,'Inventaire des produits'!$B$4:$K$1001,8,0),"")</f>
        <v>0.29166666670000002</v>
      </c>
      <c r="I12" s="31">
        <f t="shared" si="0"/>
        <v>291.66666670000001</v>
      </c>
      <c r="J12" s="307">
        <f>VLOOKUP(entrant!E12,'Inventaire des produits'!$B$4:$K$1001,5,FALSE)</f>
        <v>0</v>
      </c>
    </row>
    <row r="13" spans="2:12" ht="15" customHeight="1" x14ac:dyDescent="0.3">
      <c r="B13" s="332"/>
      <c r="C13" s="332"/>
      <c r="D13" s="332"/>
      <c r="E13" s="52" t="s">
        <v>61</v>
      </c>
      <c r="F13" s="29" t="str">
        <f>IFERROR(VLOOKUP(E13,'Inventaire des produits'!$B$4:$K$1001,2,0),"")</f>
        <v>BOX KRAFT 14,5*8,5*6 CARTON 500PCS</v>
      </c>
      <c r="G13" s="133">
        <v>9</v>
      </c>
      <c r="H13" s="30">
        <f>IFERROR(VLOOKUP(E13,'Inventaire des produits'!$B$4:$K$1001,8,0),"")</f>
        <v>500</v>
      </c>
      <c r="I13" s="31">
        <f t="shared" si="0"/>
        <v>4500</v>
      </c>
      <c r="J13" s="307">
        <f>VLOOKUP(entrant!E13,'Inventaire des produits'!$B$4:$K$1001,5,FALSE)</f>
        <v>0</v>
      </c>
    </row>
    <row r="14" spans="2:12" ht="15" customHeight="1" x14ac:dyDescent="0.3">
      <c r="B14" s="332"/>
      <c r="C14" s="332"/>
      <c r="D14" s="332"/>
      <c r="E14" s="52" t="s">
        <v>63</v>
      </c>
      <c r="F14" s="29" t="str">
        <f>IFERROR(VLOOKUP(E14,'Inventaire des produits'!$B$4:$K$1001,2,0),"")</f>
        <v>SERVIETTE</v>
      </c>
      <c r="G14" s="133">
        <v>1320</v>
      </c>
      <c r="H14" s="30">
        <f>IFERROR(VLOOKUP(E14,'Inventaire des produits'!$B$4:$K$1001,8,0),"")</f>
        <v>2.4166666666999999</v>
      </c>
      <c r="I14" s="31">
        <f t="shared" si="0"/>
        <v>3190.000000044</v>
      </c>
      <c r="J14" s="307">
        <f>VLOOKUP(entrant!E14,'Inventaire des produits'!$B$4:$K$1001,5,FALSE)</f>
        <v>0</v>
      </c>
    </row>
    <row r="15" spans="2:12" ht="15" customHeight="1" x14ac:dyDescent="0.3">
      <c r="B15" s="332"/>
      <c r="C15" s="332"/>
      <c r="D15" s="332"/>
      <c r="E15" s="52" t="s">
        <v>64</v>
      </c>
      <c r="F15" s="29" t="str">
        <f>IFERROR(VLOOKUP(E15,'Inventaire des produits'!$B$4:$K$1001,2,0),"")</f>
        <v>POT DE SAUCE 2OZ NOIRE</v>
      </c>
      <c r="G15" s="133">
        <v>8100</v>
      </c>
      <c r="H15" s="30">
        <f>IFERROR(VLOOKUP(E15,'Inventaire des produits'!$B$4:$K$1001,8,0),"")</f>
        <v>0.13339999999999999</v>
      </c>
      <c r="I15" s="31">
        <f t="shared" si="0"/>
        <v>1080.54</v>
      </c>
      <c r="J15" s="307">
        <f>VLOOKUP(entrant!E15,'Inventaire des produits'!$B$4:$K$1001,5,FALSE)</f>
        <v>0</v>
      </c>
    </row>
    <row r="16" spans="2:12" ht="15" customHeight="1" x14ac:dyDescent="0.3">
      <c r="B16" s="332"/>
      <c r="C16" s="332"/>
      <c r="D16" s="332"/>
      <c r="E16" s="52" t="s">
        <v>66</v>
      </c>
      <c r="F16" s="29" t="str">
        <f>IFERROR(VLOOKUP(E16,'Inventaire des produits'!$B$4:$K$1001,2,0),"")</f>
        <v>TRIPOD PIZZA EN PLASTIQUE</v>
      </c>
      <c r="G16" s="133">
        <v>1000</v>
      </c>
      <c r="H16" s="30">
        <f>IFERROR(VLOOKUP(E16,'Inventaire des produits'!$B$4:$K$1001,8,0),"")</f>
        <v>0.32</v>
      </c>
      <c r="I16" s="31">
        <f t="shared" si="0"/>
        <v>320</v>
      </c>
      <c r="J16" s="307">
        <f>VLOOKUP(entrant!E16,'Inventaire des produits'!$B$4:$K$1001,5,FALSE)</f>
        <v>0</v>
      </c>
    </row>
    <row r="17" spans="2:10" ht="15" customHeight="1" x14ac:dyDescent="0.3">
      <c r="B17" s="332"/>
      <c r="C17" s="332"/>
      <c r="D17" s="332"/>
      <c r="E17" s="52" t="s">
        <v>69</v>
      </c>
      <c r="F17" s="29" t="str">
        <f>IFERROR(VLOOKUP(E17,'Inventaire des produits'!$B$4:$K$1001,2,0),"")</f>
        <v>COUTEAU ECOLUXE NOIR</v>
      </c>
      <c r="G17" s="133">
        <v>34</v>
      </c>
      <c r="H17" s="30">
        <f>IFERROR(VLOOKUP(E17,'Inventaire des produits'!$B$4:$K$1001,8,0),"")</f>
        <v>17.5</v>
      </c>
      <c r="I17" s="31">
        <f t="shared" si="0"/>
        <v>595</v>
      </c>
      <c r="J17" s="307">
        <f>VLOOKUP(entrant!E17,'Inventaire des produits'!$B$4:$K$1001,5,FALSE)</f>
        <v>0</v>
      </c>
    </row>
    <row r="18" spans="2:10" ht="15" customHeight="1" x14ac:dyDescent="0.3">
      <c r="B18" s="332"/>
      <c r="C18" s="332"/>
      <c r="D18" s="332"/>
      <c r="E18" s="52" t="s">
        <v>70</v>
      </c>
      <c r="F18" s="29" t="str">
        <f>IFERROR(VLOOKUP(E18,'Inventaire des produits'!$B$4:$K$1001,2,0),"")</f>
        <v>GOBLET 16OZ EN PLAST COCKTAIL+CVL BOMBE</v>
      </c>
      <c r="G18" s="133">
        <v>1</v>
      </c>
      <c r="H18" s="30">
        <f>IFERROR(VLOOKUP(E18,'Inventaire des produits'!$B$4:$K$1001,8,0),"")</f>
        <v>500.03418333339999</v>
      </c>
      <c r="I18" s="31">
        <f t="shared" si="0"/>
        <v>500.03418333339999</v>
      </c>
      <c r="J18" s="307">
        <f>VLOOKUP(entrant!E18,'Inventaire des produits'!$B$4:$K$1001,5,FALSE)</f>
        <v>0</v>
      </c>
    </row>
    <row r="19" spans="2:10" ht="15" customHeight="1" x14ac:dyDescent="0.3">
      <c r="B19" s="332"/>
      <c r="C19" s="332"/>
      <c r="D19" s="332"/>
      <c r="E19" s="52"/>
      <c r="F19" s="29" t="str">
        <f>IFERROR(VLOOKUP(E19,'Inventaire des produits'!$B$4:$K$1001,2,0),"")</f>
        <v/>
      </c>
      <c r="G19" s="133"/>
      <c r="H19" s="30" t="str">
        <f>IFERROR(VLOOKUP(E19,'Inventaire des produits'!$B$4:$K$1001,8,0),"")</f>
        <v/>
      </c>
      <c r="I19" s="31" t="str">
        <f t="shared" si="0"/>
        <v/>
      </c>
      <c r="J19" s="307" t="e">
        <f>VLOOKUP(entrant!E19,'Inventaire des produits'!$B$4:$K$1001,5,FALSE)</f>
        <v>#N/A</v>
      </c>
    </row>
    <row r="20" spans="2:10" ht="15" customHeight="1" x14ac:dyDescent="0.3">
      <c r="B20" s="332"/>
      <c r="C20" s="332"/>
      <c r="D20" s="332"/>
      <c r="E20" s="52" t="s">
        <v>72</v>
      </c>
      <c r="F20" s="29" t="str">
        <f>IFERROR(VLOOKUP(E20,'Inventaire des produits'!$B$4:$K$1001,2,0),"")</f>
        <v>BOL SOUPE MICRON ONDABLE ET CVL 460CC CARTON 450PCS</v>
      </c>
      <c r="G20" s="133">
        <v>5</v>
      </c>
      <c r="H20" s="30">
        <f>IFERROR(VLOOKUP(E20,'Inventaire des produits'!$B$4:$K$1001,8,0),"")</f>
        <v>375</v>
      </c>
      <c r="I20" s="31">
        <f t="shared" si="0"/>
        <v>1875</v>
      </c>
      <c r="J20" s="307">
        <f>VLOOKUP(entrant!E20,'Inventaire des produits'!$B$4:$K$1001,5,FALSE)</f>
        <v>0</v>
      </c>
    </row>
    <row r="21" spans="2:10" ht="15" customHeight="1" x14ac:dyDescent="0.3">
      <c r="B21" s="332"/>
      <c r="C21" s="332"/>
      <c r="D21" s="332"/>
      <c r="E21" s="52" t="s">
        <v>73</v>
      </c>
      <c r="F21" s="29" t="str">
        <f>IFERROR(VLOOKUP(E21,'Inventaire des produits'!$B$4:$K$1001,2,0),"")</f>
        <v>POT DE SAUCE 2OZ AVEC CVL CARTON 1000</v>
      </c>
      <c r="G21" s="133">
        <v>2</v>
      </c>
      <c r="H21" s="30">
        <f>IFERROR(VLOOKUP(E21,'Inventaire des produits'!$B$4:$K$1001,8,0),"")</f>
        <v>200</v>
      </c>
      <c r="I21" s="31">
        <f t="shared" si="0"/>
        <v>400</v>
      </c>
      <c r="J21" s="307">
        <f>VLOOKUP(entrant!E21,'Inventaire des produits'!$B$4:$K$1001,5,FALSE)</f>
        <v>0</v>
      </c>
    </row>
    <row r="22" spans="2:10" ht="15" customHeight="1" x14ac:dyDescent="0.3">
      <c r="B22" s="332"/>
      <c r="C22" s="332"/>
      <c r="D22" s="332"/>
      <c r="E22" s="52" t="s">
        <v>74</v>
      </c>
      <c r="F22" s="29" t="str">
        <f>IFERROR(VLOOKUP(E22,'Inventaire des produits'!$B$4:$K$1001,2,0),"")</f>
        <v>PAPIER SANDWISH INGRAISSABLE GRIS PACK 2,5KG</v>
      </c>
      <c r="G22" s="133">
        <v>5</v>
      </c>
      <c r="H22" s="30">
        <f>IFERROR(VLOOKUP(E22,'Inventaire des produits'!$B$4:$K$1001,8,0),"")</f>
        <v>65</v>
      </c>
      <c r="I22" s="31">
        <f t="shared" si="0"/>
        <v>325</v>
      </c>
      <c r="J22" s="307">
        <f>VLOOKUP(entrant!E22,'Inventaire des produits'!$B$4:$K$1001,5,FALSE)</f>
        <v>0</v>
      </c>
    </row>
    <row r="23" spans="2:10" ht="15" customHeight="1" x14ac:dyDescent="0.3">
      <c r="B23" s="332"/>
      <c r="C23" s="332"/>
      <c r="D23" s="332"/>
      <c r="E23" s="52" t="s">
        <v>81</v>
      </c>
      <c r="F23" s="29" t="str">
        <f>IFERROR(VLOOKUP(E23,'Inventaire des produits'!$B$4:$K$1001,2,0),"")</f>
        <v>SACHET SANDWISH FOND PLAT 10*3*24</v>
      </c>
      <c r="G23" s="133">
        <v>45086</v>
      </c>
      <c r="H23" s="30">
        <f>IFERROR(VLOOKUP(E23,'Inventaire des produits'!$B$4:$K$1001,8,0),"")</f>
        <v>4.2000000000000003E-2</v>
      </c>
      <c r="I23" s="31">
        <f t="shared" si="0"/>
        <v>1893.6120000000001</v>
      </c>
      <c r="J23" s="307">
        <f>VLOOKUP(entrant!E23,'Inventaire des produits'!$B$4:$K$1001,5,FALSE)</f>
        <v>0</v>
      </c>
    </row>
    <row r="24" spans="2:10" ht="15" customHeight="1" x14ac:dyDescent="0.3">
      <c r="B24" s="332"/>
      <c r="C24" s="332"/>
      <c r="D24" s="332"/>
      <c r="E24" s="52" t="s">
        <v>76</v>
      </c>
      <c r="F24" s="29" t="str">
        <f>IFERROR(VLOOKUP(E24,'Inventaire des produits'!$B$4:$K$1001,2,0),"")</f>
        <v>BOL SALADE EN CARTON NEUTRE AVEC CVL 750CC/1PCS</v>
      </c>
      <c r="G24" s="133">
        <v>880</v>
      </c>
      <c r="H24" s="30">
        <f>IFERROR(VLOOKUP(E24,'Inventaire des produits'!$B$4:$K$1001,8,0),"")</f>
        <v>1.85</v>
      </c>
      <c r="I24" s="31">
        <f t="shared" si="0"/>
        <v>1628</v>
      </c>
      <c r="J24" s="307">
        <f>VLOOKUP(entrant!E24,'Inventaire des produits'!$B$4:$K$1001,5,FALSE)</f>
        <v>0</v>
      </c>
    </row>
    <row r="25" spans="2:10" ht="15" customHeight="1" x14ac:dyDescent="0.3">
      <c r="B25" s="332"/>
      <c r="C25" s="332"/>
      <c r="D25" s="332"/>
      <c r="E25" s="134" t="s">
        <v>79</v>
      </c>
      <c r="F25" s="29" t="str">
        <f>IFERROR(VLOOKUP(E25,'Inventaire des produits'!$B$4:$K$1001,2,0),"")</f>
        <v>FILM PVC ETIRABLE 300*30 ECO</v>
      </c>
      <c r="G25" s="133">
        <v>105</v>
      </c>
      <c r="H25" s="30">
        <f>IFERROR(VLOOKUP(E25,'Inventaire des produits'!$B$4:$K$1001,8,0),"")</f>
        <v>12.0275</v>
      </c>
      <c r="I25" s="31">
        <f t="shared" si="0"/>
        <v>1262.8875</v>
      </c>
      <c r="J25" s="307">
        <f>VLOOKUP(entrant!E25,'Inventaire des produits'!$B$4:$K$1001,5,FALSE)</f>
        <v>0</v>
      </c>
    </row>
    <row r="26" spans="2:10" ht="15" customHeight="1" x14ac:dyDescent="0.3">
      <c r="B26" s="332"/>
      <c r="C26" s="332"/>
      <c r="D26" s="332"/>
      <c r="E26" s="52" t="s">
        <v>291</v>
      </c>
      <c r="F26" s="29" t="str">
        <f>IFERROR(VLOOKUP(E26,'Inventaire des produits'!$B$4:$K$1001,2,0),"")</f>
        <v>PALETTE COULEUR EN KG</v>
      </c>
      <c r="G26" s="133">
        <v>101</v>
      </c>
      <c r="H26" s="30">
        <f>IFERROR(VLOOKUP(E26,'Inventaire des produits'!$B$4:$K$1001,8,0),"")</f>
        <v>41.26</v>
      </c>
      <c r="I26" s="31">
        <f t="shared" si="0"/>
        <v>4167.26</v>
      </c>
      <c r="J26" s="307">
        <f>VLOOKUP(entrant!E26,'Inventaire des produits'!$B$4:$K$1001,5,FALSE)</f>
        <v>5</v>
      </c>
    </row>
    <row r="27" spans="2:10" ht="15" customHeight="1" x14ac:dyDescent="0.3">
      <c r="B27" s="332"/>
      <c r="C27" s="332"/>
      <c r="D27" s="332"/>
      <c r="E27" s="134" t="s">
        <v>293</v>
      </c>
      <c r="F27" s="29" t="str">
        <f>IFERROR(VLOOKUP(E27,'Inventaire des produits'!$B$4:$K$1001,2,0),"")</f>
        <v>PAPIER ZIGZAG</v>
      </c>
      <c r="G27" s="133">
        <v>300</v>
      </c>
      <c r="H27" s="30">
        <f>IFERROR(VLOOKUP(E27,'Inventaire des produits'!$B$4:$K$1001,8,0),"")</f>
        <v>9</v>
      </c>
      <c r="I27" s="31">
        <f t="shared" si="0"/>
        <v>2700</v>
      </c>
      <c r="J27" s="307">
        <f>VLOOKUP(entrant!E27,'Inventaire des produits'!$B$4:$K$1001,5,FALSE)</f>
        <v>0</v>
      </c>
    </row>
    <row r="28" spans="2:10" ht="15" customHeight="1" x14ac:dyDescent="0.3">
      <c r="B28" s="332"/>
      <c r="C28" s="332"/>
      <c r="D28" s="332"/>
      <c r="E28" s="134" t="s">
        <v>84</v>
      </c>
      <c r="F28" s="29" t="str">
        <f>IFERROR(VLOOKUP(E28,'Inventaire des produits'!$B$4:$K$1001,2,0),"")</f>
        <v>POT DE SAUCE 1OZ AVEC CVL CARTON 1000</v>
      </c>
      <c r="G28" s="133">
        <v>2</v>
      </c>
      <c r="H28" s="30">
        <f>IFERROR(VLOOKUP(E28,'Inventaire des produits'!$B$4:$K$1001,8,0),"")</f>
        <v>166.6666666667</v>
      </c>
      <c r="I28" s="31">
        <f t="shared" si="0"/>
        <v>333.33333333339999</v>
      </c>
      <c r="J28" s="307">
        <f>VLOOKUP(entrant!E28,'Inventaire des produits'!$B$4:$K$1001,5,FALSE)</f>
        <v>0</v>
      </c>
    </row>
    <row r="29" spans="2:10" ht="15" customHeight="1" x14ac:dyDescent="0.3">
      <c r="B29" s="332"/>
      <c r="C29" s="332"/>
      <c r="D29" s="332"/>
      <c r="E29" s="52" t="s">
        <v>87</v>
      </c>
      <c r="F29" s="29" t="str">
        <f>IFERROR(VLOOKUP(E29,'Inventaire des produits'!$B$4:$K$1001,2,0),"")</f>
        <v>PAPIER HYGIENIQUE</v>
      </c>
      <c r="G29" s="133">
        <v>1</v>
      </c>
      <c r="H29" s="30">
        <f>IFERROR(VLOOKUP(E29,'Inventaire des produits'!$B$4:$K$1001,8,0),"")</f>
        <v>1.6416666666999999</v>
      </c>
      <c r="I29" s="31">
        <f t="shared" si="0"/>
        <v>1.6416666666999999</v>
      </c>
      <c r="J29" s="307">
        <f>VLOOKUP(entrant!E29,'Inventaire des produits'!$B$4:$K$1001,5,FALSE)</f>
        <v>0</v>
      </c>
    </row>
    <row r="30" spans="2:10" ht="15" customHeight="1" x14ac:dyDescent="0.3">
      <c r="B30" s="332"/>
      <c r="C30" s="332"/>
      <c r="D30" s="332"/>
      <c r="E30" s="52" t="s">
        <v>89</v>
      </c>
      <c r="F30" s="29" t="str">
        <f>IFERROR(VLOOKUP(E30,'Inventaire des produits'!$B$4:$K$1001,2,0),"")</f>
        <v>ESSUIE TOUT YES MAXIS CITRON</v>
      </c>
      <c r="G30" s="133">
        <v>1079</v>
      </c>
      <c r="H30" s="30">
        <f>IFERROR(VLOOKUP(E30,'Inventaire des produits'!$B$4:$K$1001,8,0),"")</f>
        <v>3.45</v>
      </c>
      <c r="I30" s="31">
        <f t="shared" si="0"/>
        <v>3722.55</v>
      </c>
      <c r="J30" s="307">
        <f>VLOOKUP(entrant!E30,'Inventaire des produits'!$B$4:$K$1001,5,FALSE)</f>
        <v>0</v>
      </c>
    </row>
    <row r="31" spans="2:10" ht="15" customHeight="1" x14ac:dyDescent="0.3">
      <c r="B31" s="332"/>
      <c r="C31" s="332"/>
      <c r="D31" s="332"/>
      <c r="E31" s="52" t="s">
        <v>91</v>
      </c>
      <c r="F31" s="29" t="str">
        <f>IFERROR(VLOOKUP(E31,'Inventaire des produits'!$B$4:$K$1001,2,0),"")</f>
        <v>GANT NITRILE NOIR LARGE/100PCS</v>
      </c>
      <c r="G31" s="133">
        <v>3</v>
      </c>
      <c r="H31" s="30">
        <f>IFERROR(VLOOKUP(E31,'Inventaire des produits'!$B$4:$K$1001,8,0),"")</f>
        <v>65</v>
      </c>
      <c r="I31" s="31">
        <f t="shared" si="0"/>
        <v>195</v>
      </c>
      <c r="J31" s="307">
        <f>VLOOKUP(entrant!E31,'Inventaire des produits'!$B$4:$K$1001,5,FALSE)</f>
        <v>0</v>
      </c>
    </row>
    <row r="32" spans="2:10" ht="15" customHeight="1" x14ac:dyDescent="0.3">
      <c r="B32" s="332"/>
      <c r="C32" s="332"/>
      <c r="D32" s="332"/>
      <c r="E32" s="52" t="s">
        <v>93</v>
      </c>
      <c r="F32" s="29" t="str">
        <f>IFERROR(VLOOKUP(E32,'Inventaire des produits'!$B$4:$K$1001,2,0),"")</f>
        <v>BARQUETTE POLYSTER 2 COMP CARTON 100PCS</v>
      </c>
      <c r="G32" s="133">
        <v>1</v>
      </c>
      <c r="H32" s="30">
        <f>IFERROR(VLOOKUP(E32,'Inventaire des produits'!$B$4:$K$1001,8,0),"")</f>
        <v>105.3</v>
      </c>
      <c r="I32" s="31">
        <f t="shared" si="0"/>
        <v>105.3</v>
      </c>
      <c r="J32" s="307">
        <f>VLOOKUP(entrant!E32,'Inventaire des produits'!$B$4:$K$1001,5,FALSE)</f>
        <v>0</v>
      </c>
    </row>
    <row r="33" spans="2:10" ht="15" customHeight="1" x14ac:dyDescent="0.3">
      <c r="B33" s="332"/>
      <c r="C33" s="332"/>
      <c r="D33" s="332"/>
      <c r="E33" s="134" t="s">
        <v>95</v>
      </c>
      <c r="F33" s="29" t="str">
        <f>IFERROR(VLOOKUP(E33,'Inventaire des produits'!$B$4:$K$1001,2,0),"")</f>
        <v>POT DE SAUCE 2OZ NOIRE</v>
      </c>
      <c r="G33" s="133">
        <v>19200</v>
      </c>
      <c r="H33" s="30">
        <f>IFERROR(VLOOKUP(E33,'Inventaire des produits'!$B$4:$K$1001,8,0),"")</f>
        <v>0.13600000000000001</v>
      </c>
      <c r="I33" s="31">
        <f t="shared" si="0"/>
        <v>2611.2000000000003</v>
      </c>
      <c r="J33" s="307">
        <f>VLOOKUP(entrant!E33,'Inventaire des produits'!$B$4:$K$1001,5,FALSE)</f>
        <v>0</v>
      </c>
    </row>
    <row r="34" spans="2:10" ht="15" customHeight="1" x14ac:dyDescent="0.3">
      <c r="B34" s="332"/>
      <c r="C34" s="332"/>
      <c r="D34" s="332"/>
      <c r="E34" s="134" t="s">
        <v>94</v>
      </c>
      <c r="F34" s="29" t="str">
        <f>IFERROR(VLOOKUP(E34,'Inventaire des produits'!$B$4:$K$1001,2,0),"")</f>
        <v>BOL SALADE ET CVL KRAFT 750CC CARTON 400PCS</v>
      </c>
      <c r="G34" s="133">
        <v>1</v>
      </c>
      <c r="H34" s="30">
        <f>IFERROR(VLOOKUP(E34,'Inventaire des produits'!$B$4:$K$1001,8,0),"")</f>
        <v>759.16666666670005</v>
      </c>
      <c r="I34" s="31">
        <f t="shared" si="0"/>
        <v>759.16666666670005</v>
      </c>
      <c r="J34" s="307">
        <f>VLOOKUP(entrant!E34,'Inventaire des produits'!$B$4:$K$1001,5,FALSE)</f>
        <v>0</v>
      </c>
    </row>
    <row r="35" spans="2:10" ht="15" customHeight="1" x14ac:dyDescent="0.3">
      <c r="B35" s="332"/>
      <c r="C35" s="332"/>
      <c r="D35" s="332"/>
      <c r="E35" s="52" t="s">
        <v>96</v>
      </c>
      <c r="F35" s="29" t="str">
        <f>IFERROR(VLOOKUP(E35,'Inventaire des produits'!$B$4:$K$1001,2,0),"")</f>
        <v>ROULEAU ALUMINIUM GOLDEN 200M</v>
      </c>
      <c r="G35" s="133">
        <v>1</v>
      </c>
      <c r="H35" s="30">
        <f>IFERROR(VLOOKUP(E35,'Inventaire des produits'!$B$4:$K$1001,8,0),"")</f>
        <v>61.666666666700003</v>
      </c>
      <c r="I35" s="31">
        <f t="shared" si="0"/>
        <v>61.666666666700003</v>
      </c>
      <c r="J35" s="307">
        <f>VLOOKUP(entrant!E35,'Inventaire des produits'!$B$4:$K$1001,5,FALSE)</f>
        <v>0</v>
      </c>
    </row>
    <row r="36" spans="2:10" ht="15" customHeight="1" x14ac:dyDescent="0.3">
      <c r="B36" s="332"/>
      <c r="C36" s="332"/>
      <c r="D36" s="332"/>
      <c r="E36" s="52" t="s">
        <v>98</v>
      </c>
      <c r="F36" s="29" t="str">
        <f>IFERROR(VLOOKUP(E36,'Inventaire des produits'!$B$4:$K$1001,2,0),"")</f>
        <v>SALADIER PLAST CARRE G375CC</v>
      </c>
      <c r="G36" s="133">
        <v>1000</v>
      </c>
      <c r="H36" s="30">
        <f>IFERROR(VLOOKUP(E36,'Inventaire des produits'!$B$4:$K$1001,8,0),"")</f>
        <v>0.3583333333</v>
      </c>
      <c r="I36" s="31">
        <f t="shared" si="0"/>
        <v>358.33333329999999</v>
      </c>
      <c r="J36" s="307">
        <f>VLOOKUP(entrant!E36,'Inventaire des produits'!$B$4:$K$1001,5,FALSE)</f>
        <v>0</v>
      </c>
    </row>
    <row r="37" spans="2:10" ht="15" customHeight="1" x14ac:dyDescent="0.3">
      <c r="B37" s="332"/>
      <c r="C37" s="332"/>
      <c r="D37" s="332"/>
      <c r="E37" s="134" t="s">
        <v>102</v>
      </c>
      <c r="F37" s="29" t="str">
        <f>IFERROR(VLOOKUP(E37,'Inventaire des produits'!$B$4:$K$1001,2,0),"")</f>
        <v>BARQUETTE ALUMINIUM 83820/200MP</v>
      </c>
      <c r="G37" s="133">
        <v>3500</v>
      </c>
      <c r="H37" s="30">
        <f>IFERROR(VLOOKUP(E37,'Inventaire des produits'!$B$4:$K$1001,8,0),"")</f>
        <v>0.84</v>
      </c>
      <c r="I37" s="31">
        <f t="shared" si="0"/>
        <v>2940</v>
      </c>
      <c r="J37" s="307">
        <f>VLOOKUP(entrant!E37,'Inventaire des produits'!$B$4:$K$1001,5,FALSE)</f>
        <v>0</v>
      </c>
    </row>
    <row r="38" spans="2:10" ht="15" customHeight="1" x14ac:dyDescent="0.3">
      <c r="B38" s="332"/>
      <c r="C38" s="332"/>
      <c r="D38" s="332"/>
      <c r="E38" s="52" t="s">
        <v>100</v>
      </c>
      <c r="F38" s="29" t="str">
        <f>IFERROR(VLOOKUP(E38,'Inventaire des produits'!$B$4:$K$1001,2,0),"")</f>
        <v>BOITE PIZZA 26</v>
      </c>
      <c r="G38" s="133">
        <v>200</v>
      </c>
      <c r="H38" s="30">
        <f>IFERROR(VLOOKUP(E38,'Inventaire des produits'!$B$4:$K$1001,8,0),"")</f>
        <v>0.91</v>
      </c>
      <c r="I38" s="31">
        <f t="shared" si="0"/>
        <v>182</v>
      </c>
      <c r="J38" s="307">
        <f>VLOOKUP(entrant!E38,'Inventaire des produits'!$B$4:$K$1001,5,FALSE)</f>
        <v>0</v>
      </c>
    </row>
    <row r="39" spans="2:10" ht="15" customHeight="1" x14ac:dyDescent="0.3">
      <c r="B39" s="332"/>
      <c r="C39" s="332"/>
      <c r="D39" s="332"/>
      <c r="E39" s="52" t="s">
        <v>99</v>
      </c>
      <c r="F39" s="29" t="str">
        <f>IFERROR(VLOOKUP(E39,'Inventaire des produits'!$B$4:$K$1001,2,0),"")</f>
        <v>BARQUETTE ALUMINIUM RECT 1200ML AVEC CVL</v>
      </c>
      <c r="G39" s="133">
        <v>600</v>
      </c>
      <c r="H39" s="30">
        <f>IFERROR(VLOOKUP(E39,'Inventaire des produits'!$B$4:$K$1001,8,0),"")</f>
        <v>0.75007000000000001</v>
      </c>
      <c r="I39" s="31">
        <f t="shared" si="0"/>
        <v>450.04200000000003</v>
      </c>
      <c r="J39" s="307">
        <f>VLOOKUP(entrant!E39,'Inventaire des produits'!$B$4:$K$1001,5,FALSE)</f>
        <v>0</v>
      </c>
    </row>
    <row r="40" spans="2:10" ht="15" customHeight="1" x14ac:dyDescent="0.3">
      <c r="B40" s="332"/>
      <c r="C40" s="332"/>
      <c r="D40" s="332"/>
      <c r="E40" s="134" t="s">
        <v>106</v>
      </c>
      <c r="F40" s="29" t="str">
        <f>IFERROR(VLOOKUP(E40,'Inventaire des produits'!$B$4:$K$1001,2,0),"")</f>
        <v>BARQUETTE ROND 500</v>
      </c>
      <c r="G40" s="133">
        <v>400</v>
      </c>
      <c r="H40" s="30">
        <f>IFERROR(VLOOKUP(E40,'Inventaire des produits'!$B$4:$K$1001,8,0),"")</f>
        <v>0.79</v>
      </c>
      <c r="I40" s="31">
        <f t="shared" si="0"/>
        <v>316</v>
      </c>
      <c r="J40" s="307">
        <f>VLOOKUP(entrant!E40,'Inventaire des produits'!$B$4:$K$1001,5,FALSE)</f>
        <v>0</v>
      </c>
    </row>
    <row r="41" spans="2:10" ht="15" customHeight="1" x14ac:dyDescent="0.3">
      <c r="B41" s="332"/>
      <c r="C41" s="332"/>
      <c r="D41" s="332"/>
      <c r="E41" s="134" t="s">
        <v>107</v>
      </c>
      <c r="F41" s="29" t="str">
        <f>IFERROR(VLOOKUP(E41,'Inventaire des produits'!$B$4:$K$1001,2,0),"")</f>
        <v>GOBLET 16OZ TRSP SMART +CV BB</v>
      </c>
      <c r="G41" s="133">
        <v>500</v>
      </c>
      <c r="H41" s="30">
        <f>IFERROR(VLOOKUP(E41,'Inventaire des produits'!$B$4:$K$1001,8,0),"")</f>
        <v>0.53</v>
      </c>
      <c r="I41" s="31">
        <f t="shared" si="0"/>
        <v>265</v>
      </c>
      <c r="J41" s="307">
        <f>VLOOKUP(entrant!E41,'Inventaire des produits'!$B$4:$K$1001,5,FALSE)</f>
        <v>0</v>
      </c>
    </row>
    <row r="42" spans="2:10" ht="15" customHeight="1" x14ac:dyDescent="0.3">
      <c r="B42" s="332"/>
      <c r="C42" s="332"/>
      <c r="D42" s="332"/>
      <c r="E42" s="52" t="s">
        <v>109</v>
      </c>
      <c r="F42" s="29" t="str">
        <f>IFERROR(VLOOKUP(E42,'Inventaire des produits'!$B$4:$K$1001,2,0),"")</f>
        <v>FILM PVC ETIRABLE EXTRA 500*45 1,5KG</v>
      </c>
      <c r="G42" s="133">
        <v>36</v>
      </c>
      <c r="H42" s="30">
        <f>IFERROR(VLOOKUP(E42,'Inventaire des produits'!$B$4:$K$1001,8,0),"")</f>
        <v>37.407499999999999</v>
      </c>
      <c r="I42" s="31">
        <f t="shared" si="0"/>
        <v>1346.67</v>
      </c>
      <c r="J42" s="307">
        <f>VLOOKUP(entrant!E42,'Inventaire des produits'!$B$4:$K$1001,5,FALSE)</f>
        <v>0</v>
      </c>
    </row>
    <row r="43" spans="2:10" ht="15" customHeight="1" x14ac:dyDescent="0.3">
      <c r="B43" s="332"/>
      <c r="C43" s="332"/>
      <c r="D43" s="332"/>
      <c r="E43" s="52" t="s">
        <v>112</v>
      </c>
      <c r="F43" s="29" t="str">
        <f>IFERROR(VLOOKUP(E43,'Inventaire des produits'!$B$4:$K$1001,2,0),"")</f>
        <v>MOUCHOIR BISSU 550</v>
      </c>
      <c r="G43" s="133">
        <v>275</v>
      </c>
      <c r="H43" s="30">
        <f>IFERROR(VLOOKUP(E43,'Inventaire des produits'!$B$4:$K$1001,8,0),"")</f>
        <v>6.8</v>
      </c>
      <c r="I43" s="31">
        <f t="shared" si="0"/>
        <v>1870</v>
      </c>
      <c r="J43" s="307">
        <f>VLOOKUP(entrant!E43,'Inventaire des produits'!$B$4:$K$1001,5,FALSE)</f>
        <v>0</v>
      </c>
    </row>
    <row r="44" spans="2:10" ht="15" customHeight="1" x14ac:dyDescent="0.3">
      <c r="B44" s="332"/>
      <c r="C44" s="332"/>
      <c r="D44" s="332"/>
      <c r="E44" s="52" t="s">
        <v>111</v>
      </c>
      <c r="F44" s="29" t="str">
        <f>IFERROR(VLOOKUP(E44,'Inventaire des produits'!$B$4:$K$1001,2,0),"")</f>
        <v>SERVIETTE</v>
      </c>
      <c r="G44" s="133">
        <v>44</v>
      </c>
      <c r="H44" s="30">
        <f>IFERROR(VLOOKUP(E44,'Inventaire des produits'!$B$4:$K$1001,8,0),"")</f>
        <v>2.6416666666999999</v>
      </c>
      <c r="I44" s="31">
        <f t="shared" si="0"/>
        <v>116.23333333479999</v>
      </c>
      <c r="J44" s="307">
        <f>VLOOKUP(entrant!E44,'Inventaire des produits'!$B$4:$K$1001,5,FALSE)</f>
        <v>0</v>
      </c>
    </row>
    <row r="45" spans="2:10" ht="15" customHeight="1" x14ac:dyDescent="0.3">
      <c r="B45" s="332"/>
      <c r="C45" s="332"/>
      <c r="D45" s="332"/>
      <c r="E45" s="134" t="s">
        <v>116</v>
      </c>
      <c r="F45" s="29" t="str">
        <f>IFERROR(VLOOKUP(E45,'Inventaire des produits'!$B$4:$K$1001,2,0),"")</f>
        <v>BOITE REPAS KRAFT 2000CC CARTON 150PCS</v>
      </c>
      <c r="G45" s="133">
        <v>1</v>
      </c>
      <c r="H45" s="30">
        <f>IFERROR(VLOOKUP(E45,'Inventaire des produits'!$B$4:$K$1001,8,0),"")</f>
        <v>250</v>
      </c>
      <c r="I45" s="31">
        <f t="shared" si="0"/>
        <v>250</v>
      </c>
      <c r="J45" s="307">
        <f>VLOOKUP(entrant!E45,'Inventaire des produits'!$B$4:$K$1001,5,FALSE)</f>
        <v>0</v>
      </c>
    </row>
    <row r="46" spans="2:10" ht="15" customHeight="1" x14ac:dyDescent="0.3">
      <c r="B46" s="332"/>
      <c r="C46" s="332"/>
      <c r="D46" s="332"/>
      <c r="E46" s="134" t="s">
        <v>115</v>
      </c>
      <c r="F46" s="29" t="str">
        <f>IFERROR(VLOOKUP(E46,'Inventaire des produits'!$B$4:$K$1001,2,0),"")</f>
        <v>BOITE REPAS KRAFT 1000CC CARTON 250PCS</v>
      </c>
      <c r="G46" s="133">
        <v>1</v>
      </c>
      <c r="H46" s="30">
        <f>IFERROR(VLOOKUP(E46,'Inventaire des produits'!$B$4:$K$1001,8,0),"")</f>
        <v>354.1666666667</v>
      </c>
      <c r="I46" s="31">
        <f t="shared" si="0"/>
        <v>354.1666666667</v>
      </c>
      <c r="J46" s="307">
        <f>VLOOKUP(entrant!E46,'Inventaire des produits'!$B$4:$K$1001,5,FALSE)</f>
        <v>0</v>
      </c>
    </row>
    <row r="47" spans="2:10" ht="15" customHeight="1" x14ac:dyDescent="0.3">
      <c r="B47" s="332"/>
      <c r="C47" s="332"/>
      <c r="D47" s="332"/>
      <c r="E47" s="52" t="s">
        <v>119</v>
      </c>
      <c r="F47" s="29" t="str">
        <f>IFERROR(VLOOKUP(E47,'Inventaire des produits'!$B$4:$K$1001,2,0),"")</f>
        <v>BARQUETTE MICRON ONDABLE 2 COMP AVEC CVL 300PCS</v>
      </c>
      <c r="G47" s="133">
        <v>1</v>
      </c>
      <c r="H47" s="30">
        <f>IFERROR(VLOOKUP(E47,'Inventaire des produits'!$B$4:$K$1001,8,0),"")</f>
        <v>625</v>
      </c>
      <c r="I47" s="31">
        <f t="shared" si="0"/>
        <v>625</v>
      </c>
      <c r="J47" s="307">
        <f>VLOOKUP(entrant!E47,'Inventaire des produits'!$B$4:$K$1001,5,FALSE)</f>
        <v>0</v>
      </c>
    </row>
    <row r="48" spans="2:10" ht="15" customHeight="1" x14ac:dyDescent="0.3">
      <c r="B48" s="332"/>
      <c r="C48" s="332"/>
      <c r="D48" s="332"/>
      <c r="E48" s="52" t="s">
        <v>114</v>
      </c>
      <c r="F48" s="29" t="str">
        <f>IFERROR(VLOOKUP(E48,'Inventaire des produits'!$B$4:$K$1001,2,0),"")</f>
        <v>BARQUETTE MICRON ONDABLE 2 COMP AVEC CVL 300PCS</v>
      </c>
      <c r="G48" s="133">
        <v>6</v>
      </c>
      <c r="H48" s="30">
        <f>IFERROR(VLOOKUP(E48,'Inventaire des produits'!$B$4:$K$1001,8,0),"")</f>
        <v>593.75</v>
      </c>
      <c r="I48" s="31">
        <f t="shared" si="0"/>
        <v>3562.5</v>
      </c>
      <c r="J48" s="307">
        <f>VLOOKUP(entrant!E48,'Inventaire des produits'!$B$4:$K$1001,5,FALSE)</f>
        <v>0</v>
      </c>
    </row>
    <row r="49" spans="2:11" ht="15" customHeight="1" x14ac:dyDescent="0.3">
      <c r="B49" s="332"/>
      <c r="C49" s="332"/>
      <c r="D49" s="332"/>
      <c r="E49" s="52" t="s">
        <v>122</v>
      </c>
      <c r="F49" s="29" t="str">
        <f>IFERROR(VLOOKUP(E49,'Inventaire des produits'!$B$4:$K$1001,2,0),"")</f>
        <v>BOITE PIZZA N°24 BON APPETIT FRESH/50</v>
      </c>
      <c r="G49" s="133">
        <v>800</v>
      </c>
      <c r="H49" s="30">
        <f>IFERROR(VLOOKUP(E49,'Inventaire des produits'!$B$4:$K$1001,8,0),"")</f>
        <v>0.66706186670000001</v>
      </c>
      <c r="I49" s="31">
        <f t="shared" si="0"/>
        <v>533.64949335999995</v>
      </c>
      <c r="J49" s="307">
        <f>VLOOKUP(entrant!E49,'Inventaire des produits'!$B$4:$K$1001,5,FALSE)</f>
        <v>0</v>
      </c>
    </row>
    <row r="50" spans="2:11" ht="15" customHeight="1" x14ac:dyDescent="0.3">
      <c r="B50" s="332"/>
      <c r="C50" s="332"/>
      <c r="D50" s="332"/>
      <c r="E50" s="134" t="s">
        <v>295</v>
      </c>
      <c r="F50" s="29" t="str">
        <f>IFERROR(VLOOKUP(E50,'Inventaire des produits'!$B$4:$K$1001,2,0),"")</f>
        <v>BARQUETTE VITA PACK 1000ML+CV</v>
      </c>
      <c r="G50" s="133">
        <v>450</v>
      </c>
      <c r="H50" s="30">
        <f>IFERROR(VLOOKUP(E50,'Inventaire des produits'!$B$4:$K$1001,8,0),"")</f>
        <v>1.41</v>
      </c>
      <c r="I50" s="31">
        <f t="shared" si="0"/>
        <v>634.5</v>
      </c>
      <c r="J50" s="307">
        <f>VLOOKUP(entrant!E50,'Inventaire des produits'!$B$4:$K$1001,5,FALSE)</f>
        <v>0</v>
      </c>
    </row>
    <row r="51" spans="2:11" ht="15" customHeight="1" x14ac:dyDescent="0.3">
      <c r="B51" s="332"/>
      <c r="C51" s="332"/>
      <c r="D51" s="332"/>
      <c r="E51" s="52" t="s">
        <v>120</v>
      </c>
      <c r="F51" s="29" t="str">
        <f>IFERROR(VLOOKUP(E51,'Inventaire des produits'!$B$4:$K$1001,2,0),"")</f>
        <v>BARQUETTE MICRON ONDABLE 2 COMP AVEC CVL 300PCS</v>
      </c>
      <c r="G51" s="133">
        <v>1</v>
      </c>
      <c r="H51" s="30">
        <f>IFERROR(VLOOKUP(E51,'Inventaire des produits'!$B$4:$K$1001,8,0),"")</f>
        <v>562.5</v>
      </c>
      <c r="I51" s="31">
        <f t="shared" si="0"/>
        <v>562.5</v>
      </c>
      <c r="J51" s="307">
        <f>VLOOKUP(entrant!E51,'Inventaire des produits'!$B$4:$K$1001,5,FALSE)</f>
        <v>0</v>
      </c>
    </row>
    <row r="52" spans="2:11" ht="15" customHeight="1" x14ac:dyDescent="0.3">
      <c r="B52" s="332"/>
      <c r="C52" s="332"/>
      <c r="D52" s="332"/>
      <c r="E52" s="134" t="s">
        <v>127</v>
      </c>
      <c r="F52" s="29" t="str">
        <f>IFERROR(VLOOKUP(E52,'Inventaire des produits'!$B$4:$K$1001,2,0),"")</f>
        <v>SERVIETTE DE TABLE SEVAN 1PLI</v>
      </c>
      <c r="G52" s="133">
        <v>5940</v>
      </c>
      <c r="H52" s="30">
        <f>IFERROR(VLOOKUP(E52,'Inventaire des produits'!$B$4:$K$1001,8,0),"")</f>
        <v>2.9169999999999998</v>
      </c>
      <c r="I52" s="31">
        <f t="shared" si="0"/>
        <v>17326.98</v>
      </c>
      <c r="J52" s="307">
        <f>VLOOKUP(entrant!E52,'Inventaire des produits'!$B$4:$K$1001,5,FALSE)</f>
        <v>0</v>
      </c>
      <c r="K52" s="135"/>
    </row>
    <row r="53" spans="2:11" ht="15" customHeight="1" x14ac:dyDescent="0.3">
      <c r="B53" s="332"/>
      <c r="C53" s="332"/>
      <c r="D53" s="332"/>
      <c r="E53" s="134" t="s">
        <v>128</v>
      </c>
      <c r="F53" s="29" t="str">
        <f>IFERROR(VLOOKUP(E53,'Inventaire des produits'!$B$4:$K$1001,2,0),"")</f>
        <v>ESSUIE MAIN PROF</v>
      </c>
      <c r="G53" s="133">
        <v>14</v>
      </c>
      <c r="H53" s="30">
        <f>IFERROR(VLOOKUP(E53,'Inventaire des produits'!$B$4:$K$1001,8,0),"")</f>
        <v>20.832999999999998</v>
      </c>
      <c r="I53" s="31">
        <f t="shared" si="0"/>
        <v>291.66199999999998</v>
      </c>
      <c r="J53" s="307">
        <f>VLOOKUP(entrant!E53,'Inventaire des produits'!$B$4:$K$1001,5,FALSE)</f>
        <v>0</v>
      </c>
    </row>
    <row r="54" spans="2:11" ht="15" customHeight="1" x14ac:dyDescent="0.3">
      <c r="B54" s="332"/>
      <c r="C54" s="332"/>
      <c r="D54" s="332"/>
      <c r="E54" s="134" t="s">
        <v>296</v>
      </c>
      <c r="F54" s="29" t="str">
        <f>IFERROR(VLOOKUP(E54,'Inventaire des produits'!$B$4:$K$1001,2,0),"")</f>
        <v>SALADIER ROND 1000</v>
      </c>
      <c r="G54" s="133">
        <v>1300</v>
      </c>
      <c r="H54" s="30">
        <f>IFERROR(VLOOKUP(E54,'Inventaire des produits'!$B$4:$K$1001,8,0),"")</f>
        <v>0.78</v>
      </c>
      <c r="I54" s="31">
        <f t="shared" si="0"/>
        <v>1014</v>
      </c>
      <c r="J54" s="307">
        <f>VLOOKUP(entrant!E54,'Inventaire des produits'!$B$4:$K$1001,5,FALSE)</f>
        <v>0</v>
      </c>
    </row>
    <row r="55" spans="2:11" ht="15" customHeight="1" x14ac:dyDescent="0.3">
      <c r="B55" s="332"/>
      <c r="C55" s="332"/>
      <c r="D55" s="332"/>
      <c r="E55" s="134" t="s">
        <v>130</v>
      </c>
      <c r="F55" s="29" t="str">
        <f>IFERROR(VLOOKUP(E55,'Inventaire des produits'!$B$4:$K$1001,2,0),"")</f>
        <v>BARQUETTE CARRE TRANS EN PET 12OZ</v>
      </c>
      <c r="G55" s="133">
        <v>500</v>
      </c>
      <c r="H55" s="30">
        <f>IFERROR(VLOOKUP(E55,'Inventaire des produits'!$B$4:$K$1001,8,0),"")</f>
        <v>0.92469999999999997</v>
      </c>
      <c r="I55" s="31">
        <f t="shared" si="0"/>
        <v>462.34999999999997</v>
      </c>
      <c r="J55" s="307">
        <f>VLOOKUP(entrant!E55,'Inventaire des produits'!$B$4:$K$1001,5,FALSE)</f>
        <v>0</v>
      </c>
    </row>
    <row r="56" spans="2:11" ht="15" customHeight="1" x14ac:dyDescent="0.3">
      <c r="B56" s="332"/>
      <c r="C56" s="332"/>
      <c r="D56" s="332"/>
      <c r="E56" s="134" t="s">
        <v>131</v>
      </c>
      <c r="F56" s="29" t="str">
        <f>IFERROR(VLOOKUP(E56,'Inventaire des produits'!$B$4:$K$1001,2,0),"")</f>
        <v>CVL PLAT POUR BARQUETTE CARRE TRANS EN PET</v>
      </c>
      <c r="G56" s="133">
        <v>500</v>
      </c>
      <c r="H56" s="30">
        <f>IFERROR(VLOOKUP(E56,'Inventaire des produits'!$B$4:$K$1001,8,0),"")</f>
        <v>0.64100000000000001</v>
      </c>
      <c r="I56" s="31">
        <f t="shared" si="0"/>
        <v>320.5</v>
      </c>
      <c r="J56" s="307">
        <f>VLOOKUP(entrant!E56,'Inventaire des produits'!$B$4:$K$1001,5,FALSE)</f>
        <v>0</v>
      </c>
    </row>
    <row r="57" spans="2:11" ht="15" customHeight="1" x14ac:dyDescent="0.3">
      <c r="B57" s="332"/>
      <c r="C57" s="332"/>
      <c r="D57" s="332"/>
      <c r="E57" s="52" t="s">
        <v>133</v>
      </c>
      <c r="F57" s="29" t="str">
        <f>IFERROR(VLOOKUP(E57,'Inventaire des produits'!$B$4:$K$1001,2,0),"")</f>
        <v>BOL EN CARTON BLANC AVEC CVL 12OZ</v>
      </c>
      <c r="G57" s="133">
        <v>800</v>
      </c>
      <c r="H57" s="30">
        <f>IFERROR(VLOOKUP(E57,'Inventaire des produits'!$B$4:$K$1001,8,0),"")</f>
        <v>1.7090000000000001</v>
      </c>
      <c r="I57" s="31">
        <f t="shared" si="0"/>
        <v>1367.2</v>
      </c>
      <c r="J57" s="307">
        <f>VLOOKUP(entrant!E57,'Inventaire des produits'!$B$4:$K$1001,5,FALSE)</f>
        <v>0</v>
      </c>
    </row>
    <row r="58" spans="2:11" ht="15" customHeight="1" x14ac:dyDescent="0.3">
      <c r="B58" s="332"/>
      <c r="C58" s="332"/>
      <c r="D58" s="332"/>
      <c r="E58" s="52" t="s">
        <v>134</v>
      </c>
      <c r="F58" s="29" t="str">
        <f>IFERROR(VLOOKUP(E58,'Inventaire des produits'!$B$4:$K$1001,2,0),"")</f>
        <v>PAPIER HYGIENIQUE INDUSTRIEL 280</v>
      </c>
      <c r="G58" s="133">
        <v>38</v>
      </c>
      <c r="H58" s="30">
        <f>IFERROR(VLOOKUP(E58,'Inventaire des produits'!$B$4:$K$1001,8,0),"")</f>
        <v>6.5833300000000001</v>
      </c>
      <c r="I58" s="31">
        <f t="shared" si="0"/>
        <v>250.16654</v>
      </c>
      <c r="J58" s="307">
        <f>VLOOKUP(entrant!E58,'Inventaire des produits'!$B$4:$K$1001,5,FALSE)</f>
        <v>0</v>
      </c>
    </row>
    <row r="59" spans="2:11" ht="15" customHeight="1" x14ac:dyDescent="0.3">
      <c r="B59" s="332"/>
      <c r="C59" s="332"/>
      <c r="D59" s="332"/>
      <c r="E59" s="134" t="s">
        <v>126</v>
      </c>
      <c r="F59" s="29" t="str">
        <f>IFERROR(VLOOKUP(E59,'Inventaire des produits'!$B$4:$K$1001,2,0),"")</f>
        <v>PAPIER SANDWISH INGRAISSABLE GRIS PACK 2,5KG</v>
      </c>
      <c r="G59" s="133">
        <v>4</v>
      </c>
      <c r="H59" s="30">
        <f>IFERROR(VLOOKUP(E59,'Inventaire des produits'!$B$4:$K$1001,8,0),"")</f>
        <v>54.75</v>
      </c>
      <c r="I59" s="31">
        <f t="shared" si="0"/>
        <v>219</v>
      </c>
      <c r="J59" s="307">
        <f>VLOOKUP(entrant!E59,'Inventaire des produits'!$B$4:$K$1001,5,FALSE)</f>
        <v>0</v>
      </c>
    </row>
    <row r="60" spans="2:11" ht="15" customHeight="1" x14ac:dyDescent="0.3">
      <c r="B60" s="332"/>
      <c r="C60" s="332"/>
      <c r="D60" s="332"/>
      <c r="E60" s="134" t="s">
        <v>124</v>
      </c>
      <c r="F60" s="29" t="str">
        <f>IFERROR(VLOOKUP(E60,'Inventaire des produits'!$B$4:$K$1001,2,0),"")</f>
        <v>BOITE BURGER KRAFT 11,5*11,5*7 CARTON 460PCS</v>
      </c>
      <c r="G60" s="133">
        <v>1</v>
      </c>
      <c r="H60" s="30">
        <f>IFERROR(VLOOKUP(E60,'Inventaire des produits'!$B$4:$K$1001,8,0),"")</f>
        <v>383.3333333333</v>
      </c>
      <c r="I60" s="31">
        <f t="shared" si="0"/>
        <v>383.3333333333</v>
      </c>
      <c r="J60" s="307">
        <f>VLOOKUP(entrant!E60,'Inventaire des produits'!$B$4:$K$1001,5,FALSE)</f>
        <v>0</v>
      </c>
    </row>
    <row r="61" spans="2:11" ht="15" customHeight="1" x14ac:dyDescent="0.3">
      <c r="B61" s="332"/>
      <c r="C61" s="332"/>
      <c r="D61" s="332"/>
      <c r="E61" s="52" t="s">
        <v>135</v>
      </c>
      <c r="F61" s="29" t="str">
        <f>IFERROR(VLOOKUP(E61,'Inventaire des produits'!$B$4:$K$1001,2,0),"")</f>
        <v>GOBLET 14OZ EN PLAST TRANS SMART + CV PLAT</v>
      </c>
      <c r="G61" s="133">
        <v>18000</v>
      </c>
      <c r="H61" s="30">
        <f>IFERROR(VLOOKUP(E61,'Inventaire des produits'!$B$4:$K$1001,8,0),"")</f>
        <v>0.46875</v>
      </c>
      <c r="I61" s="31">
        <f t="shared" si="0"/>
        <v>8437.5</v>
      </c>
      <c r="J61" s="307">
        <f>VLOOKUP(entrant!E61,'Inventaire des produits'!$B$4:$K$1001,5,FALSE)</f>
        <v>0</v>
      </c>
    </row>
    <row r="62" spans="2:11" ht="15" customHeight="1" x14ac:dyDescent="0.3">
      <c r="B62" s="332"/>
      <c r="C62" s="332"/>
      <c r="D62" s="332"/>
      <c r="E62" s="134" t="s">
        <v>137</v>
      </c>
      <c r="F62" s="29" t="str">
        <f>IFERROR(VLOOKUP(E62,'Inventaire des produits'!$B$4:$K$1001,2,0),"")</f>
        <v>GOBLET 14OZ TRANSP SMART +CVBB</v>
      </c>
      <c r="G62" s="133">
        <v>5100</v>
      </c>
      <c r="H62" s="30">
        <f>IFERROR(VLOOKUP(E62,'Inventaire des produits'!$B$4:$K$1001,8,0),"")</f>
        <v>0.53</v>
      </c>
      <c r="I62" s="31">
        <f t="shared" si="0"/>
        <v>2703</v>
      </c>
      <c r="J62" s="307">
        <f>VLOOKUP(entrant!E62,'Inventaire des produits'!$B$4:$K$1001,5,FALSE)</f>
        <v>0</v>
      </c>
    </row>
    <row r="63" spans="2:11" ht="15" customHeight="1" x14ac:dyDescent="0.3">
      <c r="B63" s="332"/>
      <c r="C63" s="332"/>
      <c r="D63" s="332"/>
      <c r="E63" s="52" t="s">
        <v>139</v>
      </c>
      <c r="F63" s="29" t="str">
        <f>IFERROR(VLOOKUP(E63,'Inventaire des produits'!$B$4:$K$1001,2,0),"")</f>
        <v>FILM ALIMENTAIRE 600G PET</v>
      </c>
      <c r="G63" s="133">
        <v>100</v>
      </c>
      <c r="H63" s="30">
        <f>IFERROR(VLOOKUP(E63,'Inventaire des produits'!$B$4:$K$1001,8,0),"")</f>
        <v>12</v>
      </c>
      <c r="I63" s="31">
        <f t="shared" si="0"/>
        <v>1200</v>
      </c>
      <c r="J63" s="307">
        <f>VLOOKUP(entrant!E63,'Inventaire des produits'!$B$4:$K$1001,5,FALSE)</f>
        <v>0</v>
      </c>
    </row>
    <row r="64" spans="2:11" ht="15" customHeight="1" x14ac:dyDescent="0.3">
      <c r="B64" s="332"/>
      <c r="C64" s="332"/>
      <c r="D64" s="332"/>
      <c r="E64" s="134" t="s">
        <v>309</v>
      </c>
      <c r="F64" s="29" t="str">
        <f>IFERROR(VLOOKUP(E64,'Inventaire des produits'!$B$4:$K$1001,2,0),"")</f>
        <v>SALADIER ROND 750</v>
      </c>
      <c r="G64" s="133">
        <v>5000</v>
      </c>
      <c r="H64" s="30">
        <f>IFERROR(VLOOKUP(E64,'Inventaire des produits'!$B$4:$K$1001,8,0),"")</f>
        <v>0.6</v>
      </c>
      <c r="I64" s="31">
        <f t="shared" si="0"/>
        <v>3000</v>
      </c>
      <c r="J64" s="307">
        <f>VLOOKUP(entrant!E64,'Inventaire des produits'!$B$4:$K$1001,5,FALSE)</f>
        <v>0</v>
      </c>
    </row>
    <row r="65" spans="2:10" ht="15" customHeight="1" x14ac:dyDescent="0.3">
      <c r="B65" s="332"/>
      <c r="C65" s="332"/>
      <c r="D65" s="332"/>
      <c r="E65" s="52" t="s">
        <v>141</v>
      </c>
      <c r="F65" s="29" t="str">
        <f>IFERROR(VLOOKUP(E65,'Inventaire des produits'!$B$4:$K$1001,2,0),"")</f>
        <v>LUNCH BOX KRAFT 19*11*7,5 CARTON 200</v>
      </c>
      <c r="G65" s="133">
        <v>1</v>
      </c>
      <c r="H65" s="30">
        <f>IFERROR(VLOOKUP(E65,'Inventaire des produits'!$B$4:$K$1001,8,0),"")</f>
        <v>256</v>
      </c>
      <c r="I65" s="31">
        <f t="shared" si="0"/>
        <v>256</v>
      </c>
      <c r="J65" s="307">
        <f>VLOOKUP(entrant!E65,'Inventaire des produits'!$B$4:$K$1001,5,FALSE)</f>
        <v>0</v>
      </c>
    </row>
    <row r="66" spans="2:10" ht="15" customHeight="1" x14ac:dyDescent="0.3">
      <c r="B66" s="332"/>
      <c r="C66" s="332"/>
      <c r="D66" s="332"/>
      <c r="E66" s="134" t="s">
        <v>299</v>
      </c>
      <c r="F66" s="29" t="str">
        <f>IFERROR(VLOOKUP(E66,'Inventaire des produits'!$B$4:$K$1001,2,0),"")</f>
        <v>BOITE CARRE 500</v>
      </c>
      <c r="G66" s="133">
        <v>14400</v>
      </c>
      <c r="H66" s="30">
        <f>IFERROR(VLOOKUP(E66,'Inventaire des produits'!$B$4:$K$1001,8,0),"")</f>
        <v>0.3</v>
      </c>
      <c r="I66" s="31">
        <f t="shared" si="0"/>
        <v>4320</v>
      </c>
      <c r="J66" s="307">
        <f>VLOOKUP(entrant!E66,'Inventaire des produits'!$B$4:$K$1001,5,FALSE)</f>
        <v>0</v>
      </c>
    </row>
    <row r="67" spans="2:10" ht="15" customHeight="1" x14ac:dyDescent="0.3">
      <c r="B67" s="332"/>
      <c r="C67" s="332"/>
      <c r="D67" s="332"/>
      <c r="E67" s="52" t="s">
        <v>146</v>
      </c>
      <c r="F67" s="29" t="str">
        <f>IFERROR(VLOOKUP(E67,'Inventaire des produits'!$B$4:$K$1001,2,0),"")</f>
        <v>BOITE PIZZA 26</v>
      </c>
      <c r="G67" s="133">
        <v>200</v>
      </c>
      <c r="H67" s="30">
        <f>IFERROR(VLOOKUP(E67,'Inventaire des produits'!$B$4:$K$1001,8,0),"")</f>
        <v>0.9</v>
      </c>
      <c r="I67" s="31">
        <f t="shared" si="0"/>
        <v>180</v>
      </c>
      <c r="J67" s="307">
        <f>VLOOKUP(entrant!E67,'Inventaire des produits'!$B$4:$K$1001,5,FALSE)</f>
        <v>0</v>
      </c>
    </row>
    <row r="68" spans="2:10" ht="15" customHeight="1" x14ac:dyDescent="0.3">
      <c r="B68" s="332"/>
      <c r="C68" s="332"/>
      <c r="D68" s="332"/>
      <c r="E68" s="52" t="s">
        <v>303</v>
      </c>
      <c r="F68" s="29" t="str">
        <f>IFERROR(VLOOKUP(E68,'Inventaire des produits'!$B$4:$K$1001,2,0),"")</f>
        <v>BARQUETTE TRAITEUR 750CC MICRON ONDABLE CARTON 250PCS</v>
      </c>
      <c r="G68" s="133">
        <v>500</v>
      </c>
      <c r="H68" s="30">
        <f>IFERROR(VLOOKUP(E68,'Inventaire des produits'!$B$4:$K$1001,8,0),"")</f>
        <v>1.375</v>
      </c>
      <c r="I68" s="31">
        <f t="shared" ref="I68:I131" si="1">IF(OR(G68="",H68=""),"",G68*H68)</f>
        <v>687.5</v>
      </c>
      <c r="J68" s="307">
        <f>VLOOKUP(entrant!E68,'Inventaire des produits'!$B$4:$K$1001,5,FALSE)</f>
        <v>0</v>
      </c>
    </row>
    <row r="69" spans="2:10" ht="15" customHeight="1" x14ac:dyDescent="0.3">
      <c r="B69" s="332"/>
      <c r="C69" s="332"/>
      <c r="D69" s="332"/>
      <c r="E69" s="52" t="s">
        <v>143</v>
      </c>
      <c r="F69" s="29" t="str">
        <f>IFERROR(VLOOKUP(E69,'Inventaire des produits'!$B$4:$K$1001,2,0),"")</f>
        <v>TIGE BROCHETTE BAMBOU 20CM</v>
      </c>
      <c r="G69" s="133">
        <v>20000</v>
      </c>
      <c r="H69" s="30">
        <f>IFERROR(VLOOKUP(E69,'Inventaire des produits'!$B$4:$K$1001,8,0),"")</f>
        <v>3.7499999999999999E-2</v>
      </c>
      <c r="I69" s="31">
        <f t="shared" si="1"/>
        <v>750</v>
      </c>
      <c r="J69" s="307">
        <f>VLOOKUP(entrant!E69,'Inventaire des produits'!$B$4:$K$1001,5,FALSE)</f>
        <v>0</v>
      </c>
    </row>
    <row r="70" spans="2:10" ht="15" customHeight="1" x14ac:dyDescent="0.3">
      <c r="B70" s="332"/>
      <c r="C70" s="332"/>
      <c r="D70" s="332"/>
      <c r="E70" s="52" t="s">
        <v>147</v>
      </c>
      <c r="F70" s="29" t="str">
        <f>IFERROR(VLOOKUP(E70,'Inventaire des produits'!$B$4:$K$1001,2,0),"")</f>
        <v>BOITE PIZZA 24</v>
      </c>
      <c r="G70" s="133">
        <v>1250</v>
      </c>
      <c r="H70" s="30">
        <f>IFERROR(VLOOKUP(E70,'Inventaire des produits'!$B$4:$K$1001,8,0),"")</f>
        <v>0.75</v>
      </c>
      <c r="I70" s="31">
        <f t="shared" si="1"/>
        <v>937.5</v>
      </c>
      <c r="J70" s="307">
        <f>VLOOKUP(entrant!E70,'Inventaire des produits'!$B$4:$K$1001,5,FALSE)</f>
        <v>0</v>
      </c>
    </row>
    <row r="71" spans="2:10" ht="15" customHeight="1" x14ac:dyDescent="0.3">
      <c r="B71" s="332"/>
      <c r="C71" s="332"/>
      <c r="D71" s="332"/>
      <c r="E71" s="52" t="s">
        <v>145</v>
      </c>
      <c r="F71" s="29" t="str">
        <f>IFERROR(VLOOKUP(E71,'Inventaire des produits'!$B$4:$K$1001,2,0),"")</f>
        <v>GOBLET 14OZ TRANSP SMART +CVBB</v>
      </c>
      <c r="G71" s="133">
        <v>6200</v>
      </c>
      <c r="H71" s="30">
        <f>IFERROR(VLOOKUP(E71,'Inventaire des produits'!$B$4:$K$1001,8,0),"")</f>
        <v>0.52</v>
      </c>
      <c r="I71" s="31">
        <f t="shared" si="1"/>
        <v>3224</v>
      </c>
      <c r="J71" s="307">
        <f>VLOOKUP(entrant!E71,'Inventaire des produits'!$B$4:$K$1001,5,FALSE)</f>
        <v>0</v>
      </c>
    </row>
    <row r="72" spans="2:10" ht="15" customHeight="1" x14ac:dyDescent="0.3">
      <c r="B72" s="332"/>
      <c r="C72" s="332"/>
      <c r="D72" s="332"/>
      <c r="E72" s="52">
        <v>83808</v>
      </c>
      <c r="F72" s="29" t="str">
        <f>IFERROR(VLOOKUP(E72,'Inventaire des produits'!$B$4:$K$1001,2,0),"")</f>
        <v>BARQUETTE ALUMINIUM 83808</v>
      </c>
      <c r="G72" s="133">
        <v>4000</v>
      </c>
      <c r="H72" s="30">
        <f>IFERROR(VLOOKUP(E72,'Inventaire des produits'!$B$4:$K$1001,8,0),"")</f>
        <v>0.63</v>
      </c>
      <c r="I72" s="31">
        <f t="shared" si="1"/>
        <v>2520</v>
      </c>
      <c r="J72" s="307">
        <f>VLOOKUP(entrant!E72,'Inventaire des produits'!$B$4:$K$1001,5,FALSE)</f>
        <v>0</v>
      </c>
    </row>
    <row r="73" spans="2:10" ht="15" customHeight="1" x14ac:dyDescent="0.3">
      <c r="B73" s="332"/>
      <c r="C73" s="332"/>
      <c r="D73" s="332"/>
      <c r="E73" s="134" t="s">
        <v>148</v>
      </c>
      <c r="F73" s="29" t="str">
        <f>IFERROR(VLOOKUP(E73,'Inventaire des produits'!$B$4:$K$1001,2,0),"")</f>
        <v>BARQUETTE SUSHI ST1 160*91*20</v>
      </c>
      <c r="G73" s="133">
        <v>4200</v>
      </c>
      <c r="H73" s="30">
        <f>IFERROR(VLOOKUP(E73,'Inventaire des produits'!$B$4:$K$1001,8,0),"")</f>
        <v>0.75833333329999997</v>
      </c>
      <c r="I73" s="31">
        <f t="shared" si="1"/>
        <v>3184.9999998599997</v>
      </c>
      <c r="J73" s="307">
        <f>VLOOKUP(entrant!E73,'Inventaire des produits'!$B$4:$K$1001,5,FALSE)</f>
        <v>0</v>
      </c>
    </row>
    <row r="74" spans="2:10" ht="15" customHeight="1" x14ac:dyDescent="0.3">
      <c r="B74" s="332"/>
      <c r="C74" s="332"/>
      <c r="D74" s="332"/>
      <c r="E74" s="134" t="s">
        <v>149</v>
      </c>
      <c r="F74" s="29" t="str">
        <f>IFERROR(VLOOKUP(E74,'Inventaire des produits'!$B$4:$K$1001,2,0),"")</f>
        <v>BARQUETTE SUSHI ST2 218*90*20+CVRC</v>
      </c>
      <c r="G74" s="133">
        <v>1100</v>
      </c>
      <c r="H74" s="30">
        <f>IFERROR(VLOOKUP(E74,'Inventaire des produits'!$B$4:$K$1001,8,0),"")</f>
        <v>1</v>
      </c>
      <c r="I74" s="31">
        <f t="shared" si="1"/>
        <v>1100</v>
      </c>
      <c r="J74" s="307">
        <f>VLOOKUP(entrant!E74,'Inventaire des produits'!$B$4:$K$1001,5,FALSE)</f>
        <v>0</v>
      </c>
    </row>
    <row r="75" spans="2:10" ht="15" customHeight="1" x14ac:dyDescent="0.3">
      <c r="B75" s="332"/>
      <c r="C75" s="332"/>
      <c r="D75" s="332"/>
      <c r="E75" s="52" t="s">
        <v>153</v>
      </c>
      <c r="F75" s="29" t="str">
        <f>IFERROR(VLOOKUP(E75,'Inventaire des produits'!$B$4:$K$1001,2,0),"")</f>
        <v>BOITE PIZZA 29</v>
      </c>
      <c r="G75" s="133">
        <v>20</v>
      </c>
      <c r="H75" s="30">
        <f>IFERROR(VLOOKUP(E75,'Inventaire des produits'!$B$4:$K$1001,8,0),"")</f>
        <v>48.332999999999998</v>
      </c>
      <c r="I75" s="31">
        <f t="shared" si="1"/>
        <v>966.66</v>
      </c>
      <c r="J75" s="307">
        <f>VLOOKUP(entrant!E75,'Inventaire des produits'!$B$4:$K$1001,5,FALSE)</f>
        <v>0</v>
      </c>
    </row>
    <row r="76" spans="2:10" ht="15" customHeight="1" x14ac:dyDescent="0.3">
      <c r="B76" s="332"/>
      <c r="C76" s="332"/>
      <c r="D76" s="332"/>
      <c r="E76" s="52" t="s">
        <v>161</v>
      </c>
      <c r="F76" s="29" t="str">
        <f>IFERROR(VLOOKUP(E76,'Inventaire des produits'!$B$4:$K$1001,2,0),"")</f>
        <v>COQUILLE MEAL BOX 2 COMP BLANC</v>
      </c>
      <c r="G76" s="133">
        <v>800</v>
      </c>
      <c r="H76" s="30">
        <f>IFERROR(VLOOKUP(E76,'Inventaire des produits'!$B$4:$K$1001,8,0),"")</f>
        <v>1</v>
      </c>
      <c r="I76" s="31">
        <f t="shared" si="1"/>
        <v>800</v>
      </c>
      <c r="J76" s="307">
        <f>VLOOKUP(entrant!E76,'Inventaire des produits'!$B$4:$K$1001,5,FALSE)</f>
        <v>0</v>
      </c>
    </row>
    <row r="77" spans="2:10" ht="15" customHeight="1" x14ac:dyDescent="0.3">
      <c r="B77" s="332"/>
      <c r="C77" s="332"/>
      <c r="D77" s="332"/>
      <c r="E77" s="134" t="s">
        <v>158</v>
      </c>
      <c r="F77" s="29" t="str">
        <f>IFERROR(VLOOKUP(E77,'Inventaire des produits'!$B$4:$K$1001,2,0),"")</f>
        <v>CUILLERE PETIT</v>
      </c>
      <c r="G77" s="133">
        <v>100000</v>
      </c>
      <c r="H77" s="30">
        <f>IFERROR(VLOOKUP(E77,'Inventaire des produits'!$B$4:$K$1001,8,0),"")</f>
        <v>5.8329499999999999E-2</v>
      </c>
      <c r="I77" s="31">
        <f t="shared" si="1"/>
        <v>5832.95</v>
      </c>
      <c r="J77" s="307">
        <f>VLOOKUP(entrant!E77,'Inventaire des produits'!$B$4:$K$1001,5,FALSE)</f>
        <v>0</v>
      </c>
    </row>
    <row r="78" spans="2:10" ht="15" customHeight="1" x14ac:dyDescent="0.3">
      <c r="B78" s="332"/>
      <c r="C78" s="332"/>
      <c r="D78" s="332"/>
      <c r="E78" s="134" t="s">
        <v>160</v>
      </c>
      <c r="F78" s="29" t="str">
        <f>IFERROR(VLOOKUP(E78,'Inventaire des produits'!$B$4:$K$1001,2,0),"")</f>
        <v>BOITE PIZZA 24</v>
      </c>
      <c r="G78" s="133">
        <v>100</v>
      </c>
      <c r="H78" s="30">
        <f>IFERROR(VLOOKUP(E78,'Inventaire des produits'!$B$4:$K$1001,8,0),"")</f>
        <v>31.669499999999999</v>
      </c>
      <c r="I78" s="31">
        <f t="shared" si="1"/>
        <v>3166.95</v>
      </c>
      <c r="J78" s="307">
        <f>VLOOKUP(entrant!E78,'Inventaire des produits'!$B$4:$K$1001,5,FALSE)</f>
        <v>0</v>
      </c>
    </row>
    <row r="79" spans="2:10" ht="15" customHeight="1" x14ac:dyDescent="0.3">
      <c r="B79" s="332"/>
      <c r="C79" s="332"/>
      <c r="D79" s="332"/>
      <c r="E79" s="134" t="s">
        <v>156</v>
      </c>
      <c r="F79" s="29" t="str">
        <f>IFERROR(VLOOKUP(E79,'Inventaire des produits'!$B$4:$K$1001,2,0),"")</f>
        <v>PLATEAU 5 COMP THERMOFORME BLANC</v>
      </c>
      <c r="G79" s="133">
        <v>300</v>
      </c>
      <c r="H79" s="30">
        <f>IFERROR(VLOOKUP(E79,'Inventaire des produits'!$B$4:$K$1001,8,0),"")</f>
        <v>2.0832999999999999</v>
      </c>
      <c r="I79" s="31">
        <f t="shared" si="1"/>
        <v>624.99</v>
      </c>
      <c r="J79" s="307">
        <f>VLOOKUP(entrant!E79,'Inventaire des produits'!$B$4:$K$1001,5,FALSE)</f>
        <v>0</v>
      </c>
    </row>
    <row r="80" spans="2:10" ht="15" customHeight="1" x14ac:dyDescent="0.3">
      <c r="B80" s="332"/>
      <c r="C80" s="332"/>
      <c r="D80" s="332"/>
      <c r="E80" s="134" t="s">
        <v>157</v>
      </c>
      <c r="F80" s="29" t="str">
        <f>IFERROR(VLOOKUP(E80,'Inventaire des produits'!$B$4:$K$1001,2,0),"")</f>
        <v>CVL DE PLATEAU 5 COMP THERMOFOME ECO PET TRANS</v>
      </c>
      <c r="G80" s="133">
        <v>300</v>
      </c>
      <c r="H80" s="30">
        <f>IFERROR(VLOOKUP(E80,'Inventaire des produits'!$B$4:$K$1001,8,0),"")</f>
        <v>2.0832999999999999</v>
      </c>
      <c r="I80" s="31">
        <f t="shared" si="1"/>
        <v>624.99</v>
      </c>
      <c r="J80" s="307">
        <f>VLOOKUP(entrant!E80,'Inventaire des produits'!$B$4:$K$1001,5,FALSE)</f>
        <v>0</v>
      </c>
    </row>
    <row r="81" spans="2:10" ht="15" customHeight="1" x14ac:dyDescent="0.3">
      <c r="B81" s="332"/>
      <c r="C81" s="332"/>
      <c r="D81" s="332"/>
      <c r="E81" s="134" t="s">
        <v>162</v>
      </c>
      <c r="F81" s="29" t="str">
        <f>IFERROR(VLOOKUP(E81,'Inventaire des produits'!$B$4:$K$1001,2,0),"")</f>
        <v>COQUILLE LUNCH BOX LARGE HB10 BLANC</v>
      </c>
      <c r="G81" s="133">
        <v>6000</v>
      </c>
      <c r="H81" s="30">
        <f>IFERROR(VLOOKUP(E81,'Inventaire des produits'!$B$4:$K$1001,8,0),"")</f>
        <v>0.75</v>
      </c>
      <c r="I81" s="31">
        <f t="shared" si="1"/>
        <v>4500</v>
      </c>
      <c r="J81" s="307">
        <f>VLOOKUP(entrant!E81,'Inventaire des produits'!$B$4:$K$1001,5,FALSE)</f>
        <v>0</v>
      </c>
    </row>
    <row r="82" spans="2:10" ht="15" customHeight="1" x14ac:dyDescent="0.3">
      <c r="B82" s="332"/>
      <c r="C82" s="332"/>
      <c r="D82" s="332"/>
      <c r="E82" s="52" t="s">
        <v>168</v>
      </c>
      <c r="F82" s="29" t="str">
        <f>IFERROR(VLOOKUP(E82,'Inventaire des produits'!$B$4:$K$1001,2,0),"")</f>
        <v>ESSUIE MAIN GKEM1KG</v>
      </c>
      <c r="G82" s="133">
        <v>101</v>
      </c>
      <c r="H82" s="30">
        <f>IFERROR(VLOOKUP(E82,'Inventaire des produits'!$B$4:$K$1001,8,0),"")</f>
        <v>20.83</v>
      </c>
      <c r="I82" s="31">
        <f t="shared" si="1"/>
        <v>2103.83</v>
      </c>
      <c r="J82" s="307">
        <f>VLOOKUP(entrant!E82,'Inventaire des produits'!$B$4:$K$1001,5,FALSE)</f>
        <v>0</v>
      </c>
    </row>
    <row r="83" spans="2:10" ht="15" customHeight="1" x14ac:dyDescent="0.3">
      <c r="B83" s="332"/>
      <c r="C83" s="332"/>
      <c r="D83" s="332"/>
      <c r="E83" s="52" t="s">
        <v>169</v>
      </c>
      <c r="F83" s="29" t="str">
        <f>IFERROR(VLOOKUP(E83,'Inventaire des produits'!$B$4:$K$1001,2,0),"")</f>
        <v>COUPE MACEDONIA</v>
      </c>
      <c r="G83" s="133">
        <v>5000</v>
      </c>
      <c r="H83" s="30">
        <f>IFERROR(VLOOKUP(E83,'Inventaire des produits'!$B$4:$K$1001,8,0),"")</f>
        <v>0.82</v>
      </c>
      <c r="I83" s="31">
        <f t="shared" si="1"/>
        <v>4100</v>
      </c>
      <c r="J83" s="307">
        <f>VLOOKUP(entrant!E83,'Inventaire des produits'!$B$4:$K$1001,5,FALSE)</f>
        <v>0</v>
      </c>
    </row>
    <row r="84" spans="2:10" ht="15" customHeight="1" x14ac:dyDescent="0.3">
      <c r="B84" s="332"/>
      <c r="C84" s="332"/>
      <c r="D84" s="332"/>
      <c r="E84" s="52" t="s">
        <v>164</v>
      </c>
      <c r="F84" s="29" t="str">
        <f>IFERROR(VLOOKUP(E84,'Inventaire des produits'!$B$4:$K$1001,2,0),"")</f>
        <v>ROULEAU ALUMINIUM SOFTIS 08</v>
      </c>
      <c r="G84" s="133">
        <v>48</v>
      </c>
      <c r="H84" s="30">
        <f>IFERROR(VLOOKUP(E84,'Inventaire des produits'!$B$4:$K$1001,8,0),"")</f>
        <v>2.0146666670000002</v>
      </c>
      <c r="I84" s="31">
        <f t="shared" si="1"/>
        <v>96.704000016000009</v>
      </c>
      <c r="J84" s="307">
        <f>VLOOKUP(entrant!E84,'Inventaire des produits'!$B$4:$K$1001,5,FALSE)</f>
        <v>0</v>
      </c>
    </row>
    <row r="85" spans="2:10" ht="15" customHeight="1" x14ac:dyDescent="0.3">
      <c r="B85" s="332"/>
      <c r="C85" s="332"/>
      <c r="D85" s="332"/>
      <c r="E85" s="134" t="s">
        <v>171</v>
      </c>
      <c r="F85" s="29" t="str">
        <f>IFERROR(VLOOKUP(E85,'Inventaire des produits'!$B$4:$K$1001,2,0),"")</f>
        <v>GOBLET 4OZ EN CARTON BON APETIT ECO GB</v>
      </c>
      <c r="G85" s="133">
        <v>4000</v>
      </c>
      <c r="H85" s="30">
        <f>IFERROR(VLOOKUP(E85,'Inventaire des produits'!$B$4:$K$1001,8,0),"")</f>
        <v>9.1874999999999998E-2</v>
      </c>
      <c r="I85" s="31">
        <f t="shared" si="1"/>
        <v>367.5</v>
      </c>
      <c r="J85" s="307">
        <f>VLOOKUP(entrant!E85,'Inventaire des produits'!$B$4:$K$1001,5,FALSE)</f>
        <v>0</v>
      </c>
    </row>
    <row r="86" spans="2:10" ht="15" customHeight="1" x14ac:dyDescent="0.3">
      <c r="B86" s="332"/>
      <c r="C86" s="332"/>
      <c r="D86" s="332"/>
      <c r="E86" s="134" t="s">
        <v>172</v>
      </c>
      <c r="F86" s="29" t="str">
        <f>IFERROR(VLOOKUP(E86,'Inventaire des produits'!$B$4:$K$1001,2,0),"")</f>
        <v>CVL GOBLET 4OZ BLANC BON APETIT</v>
      </c>
      <c r="G86" s="133">
        <v>4000</v>
      </c>
      <c r="H86" s="30">
        <f>IFERROR(VLOOKUP(E86,'Inventaire des produits'!$B$4:$K$1001,8,0),"")</f>
        <v>9.1874999999999998E-2</v>
      </c>
      <c r="I86" s="31">
        <f t="shared" si="1"/>
        <v>367.5</v>
      </c>
      <c r="J86" s="307">
        <f>VLOOKUP(entrant!E86,'Inventaire des produits'!$B$4:$K$1001,5,FALSE)</f>
        <v>0</v>
      </c>
    </row>
    <row r="87" spans="2:10" ht="15" customHeight="1" x14ac:dyDescent="0.3">
      <c r="B87" s="332"/>
      <c r="C87" s="332"/>
      <c r="D87" s="332"/>
      <c r="E87" s="52" t="s">
        <v>166</v>
      </c>
      <c r="F87" s="29" t="str">
        <f>IFERROR(VLOOKUP(E87,'Inventaire des produits'!$B$4:$K$1001,2,0),"")</f>
        <v>GANT VINYL LARGE/100PCS</v>
      </c>
      <c r="G87" s="133">
        <v>200</v>
      </c>
      <c r="H87" s="30">
        <f>IFERROR(VLOOKUP(E87,'Inventaire des produits'!$B$4:$K$1001,8,0),"")</f>
        <v>24.17</v>
      </c>
      <c r="I87" s="31">
        <f t="shared" si="1"/>
        <v>4834</v>
      </c>
      <c r="J87" s="307">
        <f>VLOOKUP(entrant!E87,'Inventaire des produits'!$B$4:$K$1001,5,FALSE)</f>
        <v>0</v>
      </c>
    </row>
    <row r="88" spans="2:10" ht="15" customHeight="1" x14ac:dyDescent="0.3">
      <c r="B88" s="332"/>
      <c r="C88" s="332"/>
      <c r="D88" s="332"/>
      <c r="E88" s="52" t="s">
        <v>174</v>
      </c>
      <c r="F88" s="29" t="str">
        <f>IFERROR(VLOOKUP(E88,'Inventaire des produits'!$B$4:$K$1001,2,0),"")</f>
        <v>BOL EN CARTON BLANC AVEC CVL 8OZ</v>
      </c>
      <c r="G88" s="133">
        <v>250</v>
      </c>
      <c r="H88" s="30">
        <f>IFERROR(VLOOKUP(E88,'Inventaire des produits'!$B$4:$K$1001,8,0),"")</f>
        <v>1.9559</v>
      </c>
      <c r="I88" s="31">
        <f t="shared" si="1"/>
        <v>488.97499999999997</v>
      </c>
      <c r="J88" s="307">
        <f>VLOOKUP(entrant!E88,'Inventaire des produits'!$B$4:$K$1001,5,FALSE)</f>
        <v>0</v>
      </c>
    </row>
    <row r="89" spans="2:10" ht="15" customHeight="1" x14ac:dyDescent="0.3">
      <c r="B89" s="332"/>
      <c r="C89" s="332"/>
      <c r="D89" s="332"/>
      <c r="E89" s="52" t="s">
        <v>176</v>
      </c>
      <c r="F89" s="29" t="str">
        <f>IFERROR(VLOOKUP(E89,'Inventaire des produits'!$B$4:$K$1001,2,0),"")</f>
        <v>POT A NOUILLE 26OZ BLANC</v>
      </c>
      <c r="G89" s="133">
        <v>400</v>
      </c>
      <c r="H89" s="30">
        <f>IFERROR(VLOOKUP(E89,'Inventaire des produits'!$B$4:$K$1001,8,0),"")</f>
        <v>0.91666666669999997</v>
      </c>
      <c r="I89" s="31">
        <f t="shared" si="1"/>
        <v>366.66666667999999</v>
      </c>
      <c r="J89" s="307">
        <f>VLOOKUP(entrant!E89,'Inventaire des produits'!$B$4:$K$1001,5,FALSE)</f>
        <v>0</v>
      </c>
    </row>
    <row r="90" spans="2:10" ht="15" customHeight="1" x14ac:dyDescent="0.3">
      <c r="B90" s="332"/>
      <c r="C90" s="332"/>
      <c r="D90" s="332"/>
      <c r="E90" s="134" t="s">
        <v>184</v>
      </c>
      <c r="F90" s="29" t="str">
        <f>IFERROR(VLOOKUP(E90,'Inventaire des produits'!$B$4:$K$1001,2,0),"")</f>
        <v>SERVIETTE DE TABLE 1PLI SEVAN</v>
      </c>
      <c r="G90" s="133">
        <v>1000</v>
      </c>
      <c r="H90" s="30">
        <f>IFERROR(VLOOKUP(E90,'Inventaire des produits'!$B$4:$K$1001,8,0),"")</f>
        <v>2.91</v>
      </c>
      <c r="I90" s="31">
        <f t="shared" si="1"/>
        <v>2910</v>
      </c>
      <c r="J90" s="307">
        <f>VLOOKUP(entrant!E90,'Inventaire des produits'!$B$4:$K$1001,5,FALSE)</f>
        <v>0</v>
      </c>
    </row>
    <row r="91" spans="2:10" ht="15" customHeight="1" x14ac:dyDescent="0.3">
      <c r="B91" s="332"/>
      <c r="C91" s="332"/>
      <c r="D91" s="332"/>
      <c r="E91" s="52" t="s">
        <v>178</v>
      </c>
      <c r="F91" s="29" t="str">
        <f>IFERROR(VLOOKUP(E91,'Inventaire des produits'!$B$4:$K$1001,2,0),"")</f>
        <v>BOL KRAFT 26OZ ET CVL</v>
      </c>
      <c r="G91" s="133">
        <v>3000</v>
      </c>
      <c r="H91" s="30">
        <f>IFERROR(VLOOKUP(E91,'Inventaire des produits'!$B$4:$K$1001,8,0),"")</f>
        <v>1.8333330000000001</v>
      </c>
      <c r="I91" s="31">
        <f t="shared" si="1"/>
        <v>5499.9990000000007</v>
      </c>
      <c r="J91" s="307">
        <f>VLOOKUP(entrant!E91,'Inventaire des produits'!$B$4:$K$1001,5,FALSE)</f>
        <v>0</v>
      </c>
    </row>
    <row r="92" spans="2:10" ht="15" customHeight="1" x14ac:dyDescent="0.3">
      <c r="B92" s="332"/>
      <c r="C92" s="332"/>
      <c r="D92" s="332"/>
      <c r="E92" s="52" t="s">
        <v>181</v>
      </c>
      <c r="F92" s="29" t="str">
        <f>IFERROR(VLOOKUP(E92,'Inventaire des produits'!$B$4:$K$1001,2,0),"")</f>
        <v>FILM ALIMENTAIRE 900GR</v>
      </c>
      <c r="G92" s="133">
        <v>69</v>
      </c>
      <c r="H92" s="30">
        <f>IFERROR(VLOOKUP(E92,'Inventaire des produits'!$B$4:$K$1001,8,0),"")</f>
        <v>22.5</v>
      </c>
      <c r="I92" s="31">
        <f t="shared" si="1"/>
        <v>1552.5</v>
      </c>
      <c r="J92" s="307">
        <f>VLOOKUP(entrant!E92,'Inventaire des produits'!$B$4:$K$1001,5,FALSE)</f>
        <v>0</v>
      </c>
    </row>
    <row r="93" spans="2:10" ht="15" customHeight="1" x14ac:dyDescent="0.3">
      <c r="B93" s="332"/>
      <c r="C93" s="332"/>
      <c r="D93" s="332"/>
      <c r="E93" s="52" t="s">
        <v>304</v>
      </c>
      <c r="F93" s="29" t="str">
        <f>IFERROR(VLOOKUP(E93,'Inventaire des produits'!$B$4:$K$1001,2,0),"")</f>
        <v>BARQUETTE TRAITEUR 750CC MICRON ONDABLE CARTON 250PCS</v>
      </c>
      <c r="G93" s="133">
        <v>250</v>
      </c>
      <c r="H93" s="30">
        <f>IFERROR(VLOOKUP(E93,'Inventaire des produits'!$B$4:$K$1001,8,0),"")</f>
        <v>1.2086250000000001</v>
      </c>
      <c r="I93" s="31">
        <f t="shared" si="1"/>
        <v>302.15625</v>
      </c>
      <c r="J93" s="307">
        <f>VLOOKUP(entrant!E93,'Inventaire des produits'!$B$4:$K$1001,5,FALSE)</f>
        <v>0</v>
      </c>
    </row>
    <row r="94" spans="2:10" ht="15" customHeight="1" x14ac:dyDescent="0.3">
      <c r="B94" s="332"/>
      <c r="C94" s="332"/>
      <c r="D94" s="332"/>
      <c r="E94" s="52" t="s">
        <v>183</v>
      </c>
      <c r="F94" s="29" t="str">
        <f>IFERROR(VLOOKUP(E94,'Inventaire des produits'!$B$4:$K$1001,2,0),"")</f>
        <v>GOBLET EN CARTON 8OZ AVEC CVL</v>
      </c>
      <c r="G94" s="133">
        <v>3000</v>
      </c>
      <c r="H94" s="30">
        <f>IFERROR(VLOOKUP(E94,'Inventaire des produits'!$B$4:$K$1001,8,0),"")</f>
        <v>0.41660000000000003</v>
      </c>
      <c r="I94" s="31">
        <f t="shared" si="1"/>
        <v>1249.8000000000002</v>
      </c>
      <c r="J94" s="307">
        <f>VLOOKUP(entrant!E94,'Inventaire des produits'!$B$4:$K$1001,5,FALSE)</f>
        <v>0</v>
      </c>
    </row>
    <row r="95" spans="2:10" ht="15" customHeight="1" x14ac:dyDescent="0.3">
      <c r="B95" s="332"/>
      <c r="C95" s="332"/>
      <c r="D95" s="332"/>
      <c r="E95" s="52" t="s">
        <v>180</v>
      </c>
      <c r="F95" s="29" t="str">
        <f>IFERROR(VLOOKUP(E95,'Inventaire des produits'!$B$4:$K$1001,2,0),"")</f>
        <v>ESSUIE MAIN PROF</v>
      </c>
      <c r="G95" s="133">
        <v>306</v>
      </c>
      <c r="H95" s="30">
        <f>IFERROR(VLOOKUP(E95,'Inventaire des produits'!$B$4:$K$1001,8,0),"")</f>
        <v>22.5</v>
      </c>
      <c r="I95" s="31">
        <f t="shared" si="1"/>
        <v>6885</v>
      </c>
      <c r="J95" s="307">
        <f>VLOOKUP(entrant!E95,'Inventaire des produits'!$B$4:$K$1001,5,FALSE)</f>
        <v>0</v>
      </c>
    </row>
    <row r="96" spans="2:10" ht="15" customHeight="1" x14ac:dyDescent="0.3">
      <c r="B96" s="332"/>
      <c r="C96" s="332"/>
      <c r="D96" s="332"/>
      <c r="E96" s="52" t="s">
        <v>305</v>
      </c>
      <c r="F96" s="29" t="str">
        <f>IFERROR(VLOOKUP(E96,'Inventaire des produits'!$B$4:$K$1001,2,0),"")</f>
        <v>BOL SALADE ET CVL BLANC 38OZ CARTON 300PCS</v>
      </c>
      <c r="G96" s="133">
        <v>1</v>
      </c>
      <c r="H96" s="30">
        <f>IFERROR(VLOOKUP(E96,'Inventaire des produits'!$B$4:$K$1001,8,0),"")</f>
        <v>725</v>
      </c>
      <c r="I96" s="31">
        <f t="shared" si="1"/>
        <v>725</v>
      </c>
      <c r="J96" s="307">
        <f>VLOOKUP(entrant!E96,'Inventaire des produits'!$B$4:$K$1001,5,FALSE)</f>
        <v>0</v>
      </c>
    </row>
    <row r="97" spans="2:10" ht="15" customHeight="1" x14ac:dyDescent="0.3">
      <c r="B97" s="332"/>
      <c r="C97" s="332"/>
      <c r="D97" s="332"/>
      <c r="E97" s="52" t="s">
        <v>186</v>
      </c>
      <c r="F97" s="29" t="str">
        <f>IFERROR(VLOOKUP(E97,'Inventaire des produits'!$B$4:$K$1001,2,0),"")</f>
        <v>BOL SALADE ET CVL KRAFT 32OZ CARTON 300PCS</v>
      </c>
      <c r="G97" s="133">
        <v>2</v>
      </c>
      <c r="H97" s="30">
        <f>IFERROR(VLOOKUP(E97,'Inventaire des produits'!$B$4:$K$1001,8,0),"")</f>
        <v>675</v>
      </c>
      <c r="I97" s="31">
        <f t="shared" si="1"/>
        <v>1350</v>
      </c>
      <c r="J97" s="307">
        <f>VLOOKUP(entrant!E97,'Inventaire des produits'!$B$4:$K$1001,5,FALSE)</f>
        <v>0</v>
      </c>
    </row>
    <row r="98" spans="2:10" ht="15" customHeight="1" x14ac:dyDescent="0.3">
      <c r="B98" s="332"/>
      <c r="C98" s="332"/>
      <c r="D98" s="332"/>
      <c r="E98" s="52" t="s">
        <v>185</v>
      </c>
      <c r="F98" s="29" t="str">
        <f>IFERROR(VLOOKUP(E98,'Inventaire des produits'!$B$4:$K$1001,2,0),"")</f>
        <v>POT A NOUILLE 26OZ BLANC</v>
      </c>
      <c r="G98" s="133">
        <v>4500</v>
      </c>
      <c r="H98" s="30">
        <f>IFERROR(VLOOKUP(E98,'Inventaire des produits'!$B$4:$K$1001,8,0),"")</f>
        <v>0.91666666669999997</v>
      </c>
      <c r="I98" s="31">
        <f t="shared" si="1"/>
        <v>4125.0000001500002</v>
      </c>
      <c r="J98" s="307">
        <f>VLOOKUP(entrant!E98,'Inventaire des produits'!$B$4:$K$1001,5,FALSE)</f>
        <v>0</v>
      </c>
    </row>
    <row r="99" spans="2:10" ht="15" customHeight="1" x14ac:dyDescent="0.3">
      <c r="B99" s="332"/>
      <c r="C99" s="332"/>
      <c r="D99" s="332"/>
      <c r="E99" s="52" t="s">
        <v>339</v>
      </c>
      <c r="F99" s="29" t="str">
        <f>IFERROR(VLOOKUP(E99,'Inventaire des produits'!$B$4:$K$1001,2,0),"")</f>
        <v>BARQUETTE ALUMINIUM 81890 AVEC CVL</v>
      </c>
      <c r="G99" s="133">
        <v>4000</v>
      </c>
      <c r="H99" s="30">
        <f>IFERROR(VLOOKUP(E99,'Inventaire des produits'!$B$4:$K$1001,8,0),"")</f>
        <v>0.61666666670000003</v>
      </c>
      <c r="I99" s="31">
        <f t="shared" si="1"/>
        <v>2466.6666668000003</v>
      </c>
      <c r="J99" s="307">
        <f>VLOOKUP(entrant!E99,'Inventaire des produits'!$B$4:$K$1001,5,FALSE)</f>
        <v>0</v>
      </c>
    </row>
    <row r="100" spans="2:10" ht="15" customHeight="1" x14ac:dyDescent="0.3">
      <c r="B100" s="332"/>
      <c r="C100" s="332"/>
      <c r="D100" s="332"/>
      <c r="E100" s="52" t="s">
        <v>188</v>
      </c>
      <c r="F100" s="29" t="str">
        <f>IFERROR(VLOOKUP(E100,'Inventaire des produits'!$B$4:$K$1001,2,0),"")</f>
        <v>BOX KRAFT 18*10,5*7CM CARTON 500PCS</v>
      </c>
      <c r="G100" s="133">
        <v>1</v>
      </c>
      <c r="H100" s="30">
        <f>IFERROR(VLOOKUP(E100,'Inventaire des produits'!$B$4:$K$1001,8,0),"")</f>
        <v>541.66666666670005</v>
      </c>
      <c r="I100" s="31">
        <f t="shared" si="1"/>
        <v>541.66666666670005</v>
      </c>
      <c r="J100" s="307">
        <f>VLOOKUP(entrant!E100,'Inventaire des produits'!$B$4:$K$1001,5,FALSE)</f>
        <v>0</v>
      </c>
    </row>
    <row r="101" spans="2:10" ht="15" customHeight="1" x14ac:dyDescent="0.3">
      <c r="B101" s="332"/>
      <c r="C101" s="332"/>
      <c r="D101" s="332"/>
      <c r="E101" s="52" t="s">
        <v>190</v>
      </c>
      <c r="F101" s="29" t="str">
        <f>IFERROR(VLOOKUP(E101,'Inventaire des produits'!$B$4:$K$1001,2,0),"")</f>
        <v>LUNCH BOX KRAFT BONNE APETIT 19*11*7,5 CARTON 200</v>
      </c>
      <c r="G101" s="133">
        <v>21</v>
      </c>
      <c r="H101" s="30">
        <f>IFERROR(VLOOKUP(E101,'Inventaire des produits'!$B$4:$K$1001,8,0),"")</f>
        <v>253.33333333339999</v>
      </c>
      <c r="I101" s="31">
        <f t="shared" si="1"/>
        <v>5320.0000000013997</v>
      </c>
      <c r="J101" s="307">
        <f>VLOOKUP(entrant!E101,'Inventaire des produits'!$B$4:$K$1001,5,FALSE)</f>
        <v>0</v>
      </c>
    </row>
    <row r="102" spans="2:10" ht="15" customHeight="1" x14ac:dyDescent="0.3">
      <c r="B102" s="332"/>
      <c r="C102" s="332"/>
      <c r="D102" s="332"/>
      <c r="E102" s="52" t="s">
        <v>192</v>
      </c>
      <c r="F102" s="29" t="str">
        <f>IFERROR(VLOOKUP(E102,'Inventaire des produits'!$B$4:$K$1001,2,0),"")</f>
        <v>FOURCHETTE BLANC 60PCS</v>
      </c>
      <c r="G102" s="133">
        <v>600</v>
      </c>
      <c r="H102" s="30">
        <f>IFERROR(VLOOKUP(E102,'Inventaire des produits'!$B$4:$K$1001,8,0),"")</f>
        <v>5.8333333329999997</v>
      </c>
      <c r="I102" s="31">
        <f t="shared" si="1"/>
        <v>3499.9999997999998</v>
      </c>
      <c r="J102" s="307">
        <f>VLOOKUP(entrant!E102,'Inventaire des produits'!$B$4:$K$1001,5,FALSE)</f>
        <v>0</v>
      </c>
    </row>
    <row r="103" spans="2:10" ht="15" customHeight="1" x14ac:dyDescent="0.3">
      <c r="B103" s="332"/>
      <c r="C103" s="332"/>
      <c r="D103" s="332"/>
      <c r="E103" s="52" t="s">
        <v>198</v>
      </c>
      <c r="F103" s="29" t="str">
        <f>IFERROR(VLOOKUP(E103,'Inventaire des produits'!$B$4:$K$1001,2,0),"")</f>
        <v>POT DE SAUCE 2OZ NOIRE</v>
      </c>
      <c r="G103" s="133">
        <v>4300</v>
      </c>
      <c r="H103" s="30">
        <f>IFERROR(VLOOKUP(E103,'Inventaire des produits'!$B$4:$K$1001,8,0),"")</f>
        <v>0.15</v>
      </c>
      <c r="I103" s="31">
        <f t="shared" si="1"/>
        <v>645</v>
      </c>
      <c r="J103" s="307">
        <f>VLOOKUP(entrant!E103,'Inventaire des produits'!$B$4:$K$1001,5,FALSE)</f>
        <v>0</v>
      </c>
    </row>
    <row r="104" spans="2:10" ht="15" customHeight="1" x14ac:dyDescent="0.3">
      <c r="B104" s="332"/>
      <c r="C104" s="332"/>
      <c r="D104" s="332"/>
      <c r="E104" s="134" t="s">
        <v>194</v>
      </c>
      <c r="F104" s="29" t="str">
        <f>IFERROR(VLOOKUP(E104,'Inventaire des produits'!$B$4:$K$1001,2,0),"")</f>
        <v>BARQUETTE ALUMINIUM 81760 (3COMP)</v>
      </c>
      <c r="G104" s="133">
        <v>5000</v>
      </c>
      <c r="H104" s="30">
        <f>IFERROR(VLOOKUP(E104,'Inventaire des produits'!$B$4:$K$1001,8,0),"")</f>
        <v>0.91666666669999997</v>
      </c>
      <c r="I104" s="31">
        <f t="shared" si="1"/>
        <v>4583.3333334999998</v>
      </c>
      <c r="J104" s="307">
        <f>VLOOKUP(entrant!E104,'Inventaire des produits'!$B$4:$K$1001,5,FALSE)</f>
        <v>0</v>
      </c>
    </row>
    <row r="105" spans="2:10" ht="15" customHeight="1" x14ac:dyDescent="0.3">
      <c r="B105" s="332"/>
      <c r="C105" s="332"/>
      <c r="D105" s="332"/>
      <c r="E105" s="52" t="s">
        <v>196</v>
      </c>
      <c r="F105" s="29" t="str">
        <f>IFERROR(VLOOKUP(E105,'Inventaire des produits'!$B$4:$K$1001,2,0),"")</f>
        <v>BARQUETTE ALUMINIUM 81620 (2COMP)</v>
      </c>
      <c r="G105" s="133">
        <v>5000</v>
      </c>
      <c r="H105" s="30">
        <f>IFERROR(VLOOKUP(E105,'Inventaire des produits'!$B$4:$K$1001,8,0),"")</f>
        <v>0.91666666669999997</v>
      </c>
      <c r="I105" s="31">
        <f t="shared" si="1"/>
        <v>4583.3333334999998</v>
      </c>
      <c r="J105" s="307">
        <f>VLOOKUP(entrant!E105,'Inventaire des produits'!$B$4:$K$1001,5,FALSE)</f>
        <v>0</v>
      </c>
    </row>
    <row r="106" spans="2:10" ht="15" customHeight="1" x14ac:dyDescent="0.3">
      <c r="B106" s="332"/>
      <c r="C106" s="332"/>
      <c r="D106" s="332"/>
      <c r="E106" s="52" t="s">
        <v>199</v>
      </c>
      <c r="F106" s="29" t="str">
        <f>IFERROR(VLOOKUP(E106,'Inventaire des produits'!$B$4:$K$1001,2,0),"")</f>
        <v>BARQUETTE ALUMINIUM 81760 (3COMP)</v>
      </c>
      <c r="G106" s="133">
        <v>10000</v>
      </c>
      <c r="H106" s="30">
        <f>IFERROR(VLOOKUP(E106,'Inventaire des produits'!$B$4:$K$1001,8,0),"")</f>
        <v>1</v>
      </c>
      <c r="I106" s="31">
        <f t="shared" si="1"/>
        <v>10000</v>
      </c>
      <c r="J106" s="307">
        <f>VLOOKUP(entrant!E106,'Inventaire des produits'!$B$4:$K$1001,5,FALSE)</f>
        <v>0</v>
      </c>
    </row>
    <row r="107" spans="2:10" ht="15" customHeight="1" x14ac:dyDescent="0.3">
      <c r="B107" s="332"/>
      <c r="C107" s="332"/>
      <c r="D107" s="332"/>
      <c r="E107" s="52" t="s">
        <v>203</v>
      </c>
      <c r="F107" s="29" t="str">
        <f>IFERROR(VLOOKUP(E107,'Inventaire des produits'!$B$4:$K$1001,2,0),"")</f>
        <v>BARQUETTE ALUMINIUM 81200</v>
      </c>
      <c r="G107" s="133">
        <v>9000</v>
      </c>
      <c r="H107" s="30">
        <f>IFERROR(VLOOKUP(E107,'Inventaire des produits'!$B$4:$K$1001,8,0),"")</f>
        <v>1</v>
      </c>
      <c r="I107" s="31">
        <f t="shared" si="1"/>
        <v>9000</v>
      </c>
      <c r="J107" s="307">
        <f>VLOOKUP(entrant!E107,'Inventaire des produits'!$B$4:$K$1001,5,FALSE)</f>
        <v>0</v>
      </c>
    </row>
    <row r="108" spans="2:10" ht="15" customHeight="1" x14ac:dyDescent="0.3">
      <c r="B108" s="332"/>
      <c r="C108" s="332"/>
      <c r="D108" s="332"/>
      <c r="E108" s="52" t="s">
        <v>201</v>
      </c>
      <c r="F108" s="29" t="str">
        <f>IFERROR(VLOOKUP(E108,'Inventaire des produits'!$B$4:$K$1001,2,0),"")</f>
        <v>COQUILLE HAMBURGER BOX LARGE HB6</v>
      </c>
      <c r="G108" s="133">
        <v>900</v>
      </c>
      <c r="H108" s="30">
        <f>IFERROR(VLOOKUP(E108,'Inventaire des produits'!$B$4:$K$1001,8,0),"")</f>
        <v>0.66666666669999997</v>
      </c>
      <c r="I108" s="31">
        <f t="shared" si="1"/>
        <v>600.00000003000002</v>
      </c>
      <c r="J108" s="307">
        <f>VLOOKUP(entrant!E108,'Inventaire des produits'!$B$4:$K$1001,5,FALSE)</f>
        <v>0</v>
      </c>
    </row>
    <row r="109" spans="2:10" ht="15" customHeight="1" x14ac:dyDescent="0.3">
      <c r="B109" s="332"/>
      <c r="C109" s="332"/>
      <c r="D109" s="332"/>
      <c r="E109" s="52" t="s">
        <v>204</v>
      </c>
      <c r="F109" s="29" t="str">
        <f>IFERROR(VLOOKUP(E109,'Inventaire des produits'!$B$4:$K$1001,2,0),"")</f>
        <v>LUNCH BOX KRAFT BONNE APETIT 19*11*7,5 CARTON 200</v>
      </c>
      <c r="G109" s="133">
        <v>3</v>
      </c>
      <c r="H109" s="30">
        <f>IFERROR(VLOOKUP(E109,'Inventaire des produits'!$B$4:$K$1001,8,0),"")</f>
        <v>250.6666666667</v>
      </c>
      <c r="I109" s="31">
        <f t="shared" si="1"/>
        <v>752.00000000010004</v>
      </c>
      <c r="J109" s="307">
        <f>VLOOKUP(entrant!E109,'Inventaire des produits'!$B$4:$K$1001,5,FALSE)</f>
        <v>0</v>
      </c>
    </row>
    <row r="110" spans="2:10" ht="15" customHeight="1" x14ac:dyDescent="0.3">
      <c r="B110" s="332"/>
      <c r="C110" s="332"/>
      <c r="D110" s="332"/>
      <c r="E110" s="52" t="s">
        <v>205</v>
      </c>
      <c r="F110" s="29" t="str">
        <f>IFERROR(VLOOKUP(E110,'Inventaire des produits'!$B$4:$K$1001,2,0),"")</f>
        <v>LUNCH BOX KRAFT BONNE APETIT 19*11*7,5 CARTON 200</v>
      </c>
      <c r="G110" s="133">
        <v>4</v>
      </c>
      <c r="H110" s="30">
        <f>IFERROR(VLOOKUP(E110,'Inventaire des produits'!$B$4:$K$1001,8,0),"")</f>
        <v>266.6666666667</v>
      </c>
      <c r="I110" s="31">
        <f t="shared" si="1"/>
        <v>1066.6666666668</v>
      </c>
      <c r="J110" s="307">
        <f>VLOOKUP(entrant!E110,'Inventaire des produits'!$B$4:$K$1001,5,FALSE)</f>
        <v>0</v>
      </c>
    </row>
    <row r="111" spans="2:10" ht="15" customHeight="1" x14ac:dyDescent="0.3">
      <c r="B111" s="332"/>
      <c r="C111" s="332"/>
      <c r="D111" s="332"/>
      <c r="E111" s="134" t="s">
        <v>236</v>
      </c>
      <c r="F111" s="29" t="str">
        <f>IFERROR(VLOOKUP(E111,'Inventaire des produits'!$B$4:$K$1001,2,0),"")</f>
        <v>COQUILLE MEAL BOX 2 COMP BLANC</v>
      </c>
      <c r="G111" s="133">
        <v>300</v>
      </c>
      <c r="H111" s="30">
        <f>IFERROR(VLOOKUP(E111,'Inventaire des produits'!$B$4:$K$1001,8,0),"")</f>
        <v>0.91666666669999997</v>
      </c>
      <c r="I111" s="31">
        <f t="shared" si="1"/>
        <v>275.00000001000001</v>
      </c>
      <c r="J111" s="307">
        <f>VLOOKUP(entrant!E111,'Inventaire des produits'!$B$4:$K$1001,5,FALSE)</f>
        <v>0</v>
      </c>
    </row>
    <row r="112" spans="2:10" ht="15" customHeight="1" x14ac:dyDescent="0.3">
      <c r="B112" s="332"/>
      <c r="C112" s="332"/>
      <c r="D112" s="332"/>
      <c r="E112" s="134" t="s">
        <v>237</v>
      </c>
      <c r="F112" s="29" t="str">
        <f>IFERROR(VLOOKUP(E112,'Inventaire des produits'!$B$4:$K$1001,2,0),"")</f>
        <v>ROULEAU ALUMINIUM GOLDEN 200M</v>
      </c>
      <c r="G112" s="133">
        <v>1</v>
      </c>
      <c r="H112" s="30">
        <f>IFERROR(VLOOKUP(E112,'Inventaire des produits'!$B$4:$K$1001,8,0),"")</f>
        <v>60</v>
      </c>
      <c r="I112" s="31">
        <f t="shared" si="1"/>
        <v>60</v>
      </c>
      <c r="J112" s="307">
        <f>VLOOKUP(entrant!E112,'Inventaire des produits'!$B$4:$K$1001,5,FALSE)</f>
        <v>0</v>
      </c>
    </row>
    <row r="113" spans="2:10" ht="15" customHeight="1" x14ac:dyDescent="0.3">
      <c r="B113" s="332"/>
      <c r="C113" s="332"/>
      <c r="D113" s="332"/>
      <c r="E113" s="52" t="s">
        <v>240</v>
      </c>
      <c r="F113" s="29" t="str">
        <f>IFERROR(VLOOKUP(E113,'Inventaire des produits'!$B$4:$K$1001,2,0),"")</f>
        <v>BARQUETTE ALUMINIUM 83420</v>
      </c>
      <c r="G113" s="133">
        <v>3900</v>
      </c>
      <c r="H113" s="30">
        <f>IFERROR(VLOOKUP(E113,'Inventaire des produits'!$B$4:$K$1001,8,0),"")</f>
        <v>0.32</v>
      </c>
      <c r="I113" s="31">
        <f t="shared" si="1"/>
        <v>1248</v>
      </c>
      <c r="J113" s="307">
        <f>VLOOKUP(entrant!E113,'Inventaire des produits'!$B$4:$K$1001,5,FALSE)</f>
        <v>0</v>
      </c>
    </row>
    <row r="114" spans="2:10" ht="15" customHeight="1" x14ac:dyDescent="0.3">
      <c r="B114" s="332"/>
      <c r="C114" s="332"/>
      <c r="D114" s="332"/>
      <c r="E114" s="52" t="s">
        <v>239</v>
      </c>
      <c r="F114" s="29" t="str">
        <f>IFERROR(VLOOKUP(E114,'Inventaire des produits'!$B$4:$K$1001,2,0),"")</f>
        <v>GANT POLYETHLENE</v>
      </c>
      <c r="G114" s="133">
        <v>200</v>
      </c>
      <c r="H114" s="30">
        <f>IFERROR(VLOOKUP(E114,'Inventaire des produits'!$B$4:$K$1001,8,0),"")</f>
        <v>3.5</v>
      </c>
      <c r="I114" s="31">
        <f t="shared" si="1"/>
        <v>700</v>
      </c>
      <c r="J114" s="307">
        <f>VLOOKUP(entrant!E114,'Inventaire des produits'!$B$4:$K$1001,5,FALSE)</f>
        <v>0</v>
      </c>
    </row>
    <row r="115" spans="2:10" ht="15" customHeight="1" x14ac:dyDescent="0.3">
      <c r="B115" s="332"/>
      <c r="C115" s="332"/>
      <c r="D115" s="332"/>
      <c r="E115" s="134" t="s">
        <v>242</v>
      </c>
      <c r="F115" s="29" t="str">
        <f>IFERROR(VLOOKUP(E115,'Inventaire des produits'!$B$4:$K$1001,2,0),"")</f>
        <v>FILM ALIMENTAIRE 400G</v>
      </c>
      <c r="G115" s="133">
        <v>200</v>
      </c>
      <c r="H115" s="30">
        <f>IFERROR(VLOOKUP(E115,'Inventaire des produits'!$B$4:$K$1001,8,0),"")</f>
        <v>11</v>
      </c>
      <c r="I115" s="31">
        <f t="shared" si="1"/>
        <v>2200</v>
      </c>
      <c r="J115" s="307">
        <f>VLOOKUP(entrant!E115,'Inventaire des produits'!$B$4:$K$1001,5,FALSE)</f>
        <v>0</v>
      </c>
    </row>
    <row r="116" spans="2:10" ht="15" customHeight="1" x14ac:dyDescent="0.3">
      <c r="B116" s="332"/>
      <c r="C116" s="332"/>
      <c r="D116" s="332"/>
      <c r="E116" s="134" t="s">
        <v>243</v>
      </c>
      <c r="F116" s="29" t="str">
        <f>IFERROR(VLOOKUP(E116,'Inventaire des produits'!$B$4:$K$1001,2,0),"")</f>
        <v>BARQUETTE ALUMINIUM 250</v>
      </c>
      <c r="G116" s="133">
        <v>1000</v>
      </c>
      <c r="H116" s="30">
        <f>IFERROR(VLOOKUP(E116,'Inventaire des produits'!$B$4:$K$1001,8,0),"")</f>
        <v>0.26600000000000001</v>
      </c>
      <c r="I116" s="31">
        <f t="shared" si="1"/>
        <v>266</v>
      </c>
      <c r="J116" s="307">
        <f>VLOOKUP(entrant!E116,'Inventaire des produits'!$B$4:$K$1001,5,FALSE)</f>
        <v>0</v>
      </c>
    </row>
    <row r="117" spans="2:10" ht="15" customHeight="1" x14ac:dyDescent="0.3">
      <c r="B117" s="332"/>
      <c r="C117" s="332"/>
      <c r="D117" s="332"/>
      <c r="E117" s="134" t="s">
        <v>244</v>
      </c>
      <c r="F117" s="29" t="str">
        <f>IFERROR(VLOOKUP(E117,'Inventaire des produits'!$B$4:$K$1001,2,0),"")</f>
        <v>PAILLE ARTISTIQUE 100</v>
      </c>
      <c r="G117" s="133">
        <v>3</v>
      </c>
      <c r="H117" s="30">
        <f>IFERROR(VLOOKUP(E117,'Inventaire des produits'!$B$4:$K$1001,8,0),"")</f>
        <v>643.17999999999995</v>
      </c>
      <c r="I117" s="31">
        <f t="shared" si="1"/>
        <v>1929.54</v>
      </c>
      <c r="J117" s="307">
        <f>VLOOKUP(entrant!E117,'Inventaire des produits'!$B$4:$K$1001,5,FALSE)</f>
        <v>0</v>
      </c>
    </row>
    <row r="118" spans="2:10" ht="15" customHeight="1" x14ac:dyDescent="0.3">
      <c r="B118" s="332"/>
      <c r="C118" s="332"/>
      <c r="D118" s="332"/>
      <c r="E118" s="52" t="s">
        <v>245</v>
      </c>
      <c r="F118" s="29" t="str">
        <f>IFERROR(VLOOKUP(E118,'Inventaire des produits'!$B$4:$K$1001,2,0),"")</f>
        <v>BARQUETTE ALUMINIUM 802</v>
      </c>
      <c r="G118" s="133">
        <v>17000</v>
      </c>
      <c r="H118" s="30">
        <f>IFERROR(VLOOKUP(E118,'Inventaire des produits'!$B$4:$K$1001,8,0),"")</f>
        <v>0.53390000000000004</v>
      </c>
      <c r="I118" s="31">
        <f t="shared" si="1"/>
        <v>9076.3000000000011</v>
      </c>
      <c r="J118" s="307">
        <f>VLOOKUP(entrant!E118,'Inventaire des produits'!$B$4:$K$1001,5,FALSE)</f>
        <v>0</v>
      </c>
    </row>
    <row r="119" spans="2:10" ht="15" customHeight="1" x14ac:dyDescent="0.3">
      <c r="B119" s="332"/>
      <c r="C119" s="332"/>
      <c r="D119" s="332"/>
      <c r="E119" s="134" t="s">
        <v>246</v>
      </c>
      <c r="F119" s="29" t="str">
        <f>IFERROR(VLOOKUP(E119,'Inventaire des produits'!$B$4:$K$1001,2,0),"")</f>
        <v>GOBLET 4OZ AVEC CVL</v>
      </c>
      <c r="G119" s="133">
        <v>1500</v>
      </c>
      <c r="H119" s="30">
        <f>IFERROR(VLOOKUP(E119,'Inventaire des produits'!$B$4:$K$1001,8,0),"")</f>
        <v>0.2</v>
      </c>
      <c r="I119" s="31">
        <f t="shared" si="1"/>
        <v>300</v>
      </c>
      <c r="J119" s="307">
        <f>VLOOKUP(entrant!E119,'Inventaire des produits'!$B$4:$K$1001,5,FALSE)</f>
        <v>0</v>
      </c>
    </row>
    <row r="120" spans="2:10" ht="15" customHeight="1" x14ac:dyDescent="0.3">
      <c r="B120" s="332"/>
      <c r="C120" s="332"/>
      <c r="D120" s="332"/>
      <c r="E120" s="52" t="s">
        <v>248</v>
      </c>
      <c r="F120" s="29" t="str">
        <f>IFERROR(VLOOKUP(E120,'Inventaire des produits'!$B$4:$K$1001,2,0),"")</f>
        <v>BARQUETTE SUSHI ST5 216*136*20+CVRCL</v>
      </c>
      <c r="G120" s="133">
        <v>6000</v>
      </c>
      <c r="H120" s="30">
        <f>IFERROR(VLOOKUP(E120,'Inventaire des produits'!$B$4:$K$1001,8,0),"")</f>
        <v>1.3166666667</v>
      </c>
      <c r="I120" s="31">
        <f t="shared" si="1"/>
        <v>7900.0000001999997</v>
      </c>
      <c r="J120" s="307">
        <f>VLOOKUP(entrant!E120,'Inventaire des produits'!$B$4:$K$1001,5,FALSE)</f>
        <v>0</v>
      </c>
    </row>
    <row r="121" spans="2:10" ht="15" customHeight="1" x14ac:dyDescent="0.3">
      <c r="B121" s="332"/>
      <c r="C121" s="332"/>
      <c r="D121" s="332"/>
      <c r="E121" s="134" t="s">
        <v>250</v>
      </c>
      <c r="F121" s="29" t="str">
        <f>IFERROR(VLOOKUP(E121,'Inventaire des produits'!$B$4:$K$1001,2,0),"")</f>
        <v>FOURCHETTE ECOLUXE</v>
      </c>
      <c r="G121" s="133">
        <v>189</v>
      </c>
      <c r="H121" s="30">
        <f>IFERROR(VLOOKUP(E121,'Inventaire des produits'!$B$4:$K$1001,8,0),"")</f>
        <v>15.84</v>
      </c>
      <c r="I121" s="31">
        <f t="shared" si="1"/>
        <v>2993.7599999999998</v>
      </c>
      <c r="J121" s="307">
        <f>VLOOKUP(entrant!E121,'Inventaire des produits'!$B$4:$K$1001,5,FALSE)</f>
        <v>0</v>
      </c>
    </row>
    <row r="122" spans="2:10" ht="15" customHeight="1" x14ac:dyDescent="0.3">
      <c r="B122" s="332"/>
      <c r="C122" s="332"/>
      <c r="D122" s="332"/>
      <c r="E122" s="134" t="s">
        <v>251</v>
      </c>
      <c r="F122" s="29" t="str">
        <f>IFERROR(VLOOKUP(E122,'Inventaire des produits'!$B$4:$K$1001,2,0),"")</f>
        <v>COUTEAU ECOLUXE</v>
      </c>
      <c r="G122" s="133">
        <v>75</v>
      </c>
      <c r="H122" s="30">
        <f>IFERROR(VLOOKUP(E122,'Inventaire des produits'!$B$4:$K$1001,8,0),"")</f>
        <v>15.84</v>
      </c>
      <c r="I122" s="31">
        <f t="shared" si="1"/>
        <v>1188</v>
      </c>
      <c r="J122" s="307">
        <f>VLOOKUP(entrant!E122,'Inventaire des produits'!$B$4:$K$1001,5,FALSE)</f>
        <v>0</v>
      </c>
    </row>
    <row r="123" spans="2:10" ht="15" customHeight="1" x14ac:dyDescent="0.3">
      <c r="B123" s="332"/>
      <c r="C123" s="332"/>
      <c r="D123" s="332"/>
      <c r="E123" s="52" t="s">
        <v>252</v>
      </c>
      <c r="F123" s="29" t="str">
        <f>IFERROR(VLOOKUP(E123,'Inventaire des produits'!$B$4:$K$1001,2,0),"")</f>
        <v>ESSUIE MAIN GKEM1KG</v>
      </c>
      <c r="G123" s="133">
        <v>600</v>
      </c>
      <c r="H123" s="30">
        <f>IFERROR(VLOOKUP(E123,'Inventaire des produits'!$B$4:$K$1001,8,0),"")</f>
        <v>20.83</v>
      </c>
      <c r="I123" s="31">
        <f t="shared" si="1"/>
        <v>12497.999999999998</v>
      </c>
      <c r="J123" s="307">
        <f>VLOOKUP(entrant!E123,'Inventaire des produits'!$B$4:$K$1001,5,FALSE)</f>
        <v>0</v>
      </c>
    </row>
    <row r="124" spans="2:10" ht="15" customHeight="1" x14ac:dyDescent="0.3">
      <c r="B124" s="332"/>
      <c r="C124" s="332"/>
      <c r="D124" s="332"/>
      <c r="E124" s="52" t="s">
        <v>254</v>
      </c>
      <c r="F124" s="29" t="str">
        <f>IFERROR(VLOOKUP(E124,'Inventaire des produits'!$B$4:$K$1001,2,0),"")</f>
        <v>POT DE SAUCE 1OZ 30ML</v>
      </c>
      <c r="G124" s="133">
        <v>32400</v>
      </c>
      <c r="H124" s="30">
        <f>IFERROR(VLOOKUP(E124,'Inventaire des produits'!$B$4:$K$1001,8,0),"")</f>
        <v>0.13500000000000001</v>
      </c>
      <c r="I124" s="31">
        <f t="shared" si="1"/>
        <v>4374</v>
      </c>
      <c r="J124" s="307">
        <f>VLOOKUP(entrant!E124,'Inventaire des produits'!$B$4:$K$1001,5,FALSE)</f>
        <v>0</v>
      </c>
    </row>
    <row r="125" spans="2:10" ht="15" customHeight="1" x14ac:dyDescent="0.3">
      <c r="B125" s="332"/>
      <c r="C125" s="332"/>
      <c r="D125" s="332"/>
      <c r="E125" s="52" t="s">
        <v>258</v>
      </c>
      <c r="F125" s="29" t="str">
        <f>IFERROR(VLOOKUP(E125,'Inventaire des produits'!$B$4:$K$1001,2,0),"")</f>
        <v>BARQUETTE ST5</v>
      </c>
      <c r="G125" s="133">
        <v>3594</v>
      </c>
      <c r="H125" s="30">
        <f>IFERROR(VLOOKUP(E125,'Inventaire des produits'!$B$4:$K$1001,8,0),"")</f>
        <v>1.3333333332999999</v>
      </c>
      <c r="I125" s="31">
        <f t="shared" si="1"/>
        <v>4791.9999998801995</v>
      </c>
      <c r="J125" s="307">
        <f>VLOOKUP(entrant!E125,'Inventaire des produits'!$B$4:$K$1001,5,FALSE)</f>
        <v>0</v>
      </c>
    </row>
    <row r="126" spans="2:10" ht="15" customHeight="1" x14ac:dyDescent="0.3">
      <c r="B126" s="332"/>
      <c r="C126" s="332"/>
      <c r="D126" s="332"/>
      <c r="E126" s="52" t="s">
        <v>256</v>
      </c>
      <c r="F126" s="29" t="str">
        <f>IFERROR(VLOOKUP(E126,'Inventaire des produits'!$B$4:$K$1001,2,0),"")</f>
        <v>FILM ALIMENTAIRE VIOLET</v>
      </c>
      <c r="G126" s="133">
        <v>500</v>
      </c>
      <c r="H126" s="30">
        <f>IFERROR(VLOOKUP(E126,'Inventaire des produits'!$B$4:$K$1001,8,0),"")</f>
        <v>28.333333333300001</v>
      </c>
      <c r="I126" s="31">
        <f t="shared" si="1"/>
        <v>14166.66666665</v>
      </c>
      <c r="J126" s="307">
        <f>VLOOKUP(entrant!E126,'Inventaire des produits'!$B$4:$K$1001,5,FALSE)</f>
        <v>0</v>
      </c>
    </row>
    <row r="127" spans="2:10" ht="15" customHeight="1" x14ac:dyDescent="0.3">
      <c r="B127" s="332"/>
      <c r="C127" s="332"/>
      <c r="D127" s="332"/>
      <c r="E127" s="52" t="s">
        <v>259</v>
      </c>
      <c r="F127" s="29" t="str">
        <f>IFERROR(VLOOKUP(E127,'Inventaire des produits'!$B$4:$K$1001,2,0),"")</f>
        <v>ROULEAU ALUMINIUM GOLDEN 200M</v>
      </c>
      <c r="G127" s="133">
        <v>11</v>
      </c>
      <c r="H127" s="30">
        <f>IFERROR(VLOOKUP(E127,'Inventaire des produits'!$B$4:$K$1001,8,0),"")</f>
        <v>58.333333333299997</v>
      </c>
      <c r="I127" s="31">
        <f t="shared" si="1"/>
        <v>641.66666666629999</v>
      </c>
      <c r="J127" s="307">
        <f>VLOOKUP(entrant!E127,'Inventaire des produits'!$B$4:$K$1001,5,FALSE)</f>
        <v>0</v>
      </c>
    </row>
    <row r="128" spans="2:10" ht="15" customHeight="1" x14ac:dyDescent="0.3">
      <c r="B128" s="332"/>
      <c r="C128" s="332"/>
      <c r="D128" s="332"/>
      <c r="E128" s="52" t="s">
        <v>260</v>
      </c>
      <c r="F128" s="29" t="str">
        <f>IFERROR(VLOOKUP(E128,'Inventaire des produits'!$B$4:$K$1001,2,0),"")</f>
        <v>ROULEAU ALUMINIUM EXTRA PACK 200M</v>
      </c>
      <c r="G128" s="133">
        <v>95</v>
      </c>
      <c r="H128" s="30">
        <f>IFERROR(VLOOKUP(E128,'Inventaire des produits'!$B$4:$K$1001,8,0),"")</f>
        <v>48.631666666699999</v>
      </c>
      <c r="I128" s="31">
        <f t="shared" si="1"/>
        <v>4620.0083333365001</v>
      </c>
      <c r="J128" s="307">
        <f>VLOOKUP(entrant!E128,'Inventaire des produits'!$B$4:$K$1001,5,FALSE)</f>
        <v>0</v>
      </c>
    </row>
    <row r="129" spans="2:10" ht="15" customHeight="1" x14ac:dyDescent="0.3">
      <c r="B129" s="332"/>
      <c r="C129" s="332"/>
      <c r="D129" s="332"/>
      <c r="E129" s="52" t="s">
        <v>265</v>
      </c>
      <c r="F129" s="29" t="str">
        <f>IFERROR(VLOOKUP(E129,'Inventaire des produits'!$B$4:$K$1001,2,0),"")</f>
        <v>BARQUETTE ALUMINIUM 81850</v>
      </c>
      <c r="G129" s="133">
        <v>3600</v>
      </c>
      <c r="H129" s="30">
        <f>IFERROR(VLOOKUP(E129,'Inventaire des produits'!$B$4:$K$1001,8,0),"")</f>
        <v>1.125</v>
      </c>
      <c r="I129" s="31">
        <f t="shared" si="1"/>
        <v>4050</v>
      </c>
      <c r="J129" s="307">
        <f>VLOOKUP(entrant!E129,'Inventaire des produits'!$B$4:$K$1001,5,FALSE)</f>
        <v>0</v>
      </c>
    </row>
    <row r="130" spans="2:10" ht="15" customHeight="1" x14ac:dyDescent="0.3">
      <c r="B130" s="332"/>
      <c r="C130" s="332"/>
      <c r="D130" s="332"/>
      <c r="E130" s="134" t="s">
        <v>262</v>
      </c>
      <c r="F130" s="29" t="str">
        <f>IFERROR(VLOOKUP(E130,'Inventaire des produits'!$B$4:$K$1001,2,0),"")</f>
        <v>GANT VINYL NOIR EXTRA PREMIUM GLOVE LARGE</v>
      </c>
      <c r="G130" s="133">
        <v>50</v>
      </c>
      <c r="H130" s="30">
        <f>IFERROR(VLOOKUP(E130,'Inventaire des produits'!$B$4:$K$1001,8,0),"")</f>
        <v>22.5</v>
      </c>
      <c r="I130" s="31">
        <f t="shared" si="1"/>
        <v>1125</v>
      </c>
      <c r="J130" s="307">
        <f>VLOOKUP(entrant!E130,'Inventaire des produits'!$B$4:$K$1001,5,FALSE)</f>
        <v>0</v>
      </c>
    </row>
    <row r="131" spans="2:10" ht="15" customHeight="1" x14ac:dyDescent="0.3">
      <c r="B131" s="332"/>
      <c r="C131" s="332"/>
      <c r="D131" s="332"/>
      <c r="E131" s="134" t="s">
        <v>264</v>
      </c>
      <c r="F131" s="29" t="str">
        <f>IFERROR(VLOOKUP(E131,'Inventaire des produits'!$B$4:$K$1001,2,0),"")</f>
        <v>SALADIER PLAST ROND 375CC</v>
      </c>
      <c r="G131" s="133">
        <v>500</v>
      </c>
      <c r="H131" s="30">
        <f>IFERROR(VLOOKUP(E131,'Inventaire des produits'!$B$4:$K$1001,8,0),"")</f>
        <v>0.51666666670000005</v>
      </c>
      <c r="I131" s="31">
        <f t="shared" si="1"/>
        <v>258.33333335000003</v>
      </c>
      <c r="J131" s="307">
        <f>VLOOKUP(entrant!E131,'Inventaire des produits'!$B$4:$K$1001,5,FALSE)</f>
        <v>0</v>
      </c>
    </row>
    <row r="132" spans="2:10" ht="15" customHeight="1" x14ac:dyDescent="0.3">
      <c r="B132" s="332"/>
      <c r="C132" s="332"/>
      <c r="D132" s="332"/>
      <c r="E132" s="52" t="s">
        <v>219</v>
      </c>
      <c r="F132" s="29" t="str">
        <f>IFERROR(VLOOKUP(E132,'Inventaire des produits'!$B$4:$K$1001,2,0),"")</f>
        <v>BARQUETTE ALUMINIUM 83890</v>
      </c>
      <c r="G132" s="133">
        <v>400</v>
      </c>
      <c r="H132" s="30">
        <f>IFERROR(VLOOKUP(E132,'Inventaire des produits'!$B$4:$K$1001,8,0),"")</f>
        <v>0.67</v>
      </c>
      <c r="I132" s="31">
        <f t="shared" ref="I132:I195" si="2">IF(OR(G132="",H132=""),"",G132*H132)</f>
        <v>268</v>
      </c>
      <c r="J132" s="307">
        <f>VLOOKUP(entrant!E132,'Inventaire des produits'!$B$4:$K$1001,5,FALSE)</f>
        <v>0</v>
      </c>
    </row>
    <row r="133" spans="2:10" ht="15" customHeight="1" x14ac:dyDescent="0.3">
      <c r="B133" s="332"/>
      <c r="C133" s="332"/>
      <c r="D133" s="332"/>
      <c r="E133" s="52" t="s">
        <v>217</v>
      </c>
      <c r="F133" s="29" t="str">
        <f>IFERROR(VLOOKUP(E133,'Inventaire des produits'!$B$4:$K$1001,2,0),"")</f>
        <v>BARQUETTE ALUMINIUM 802</v>
      </c>
      <c r="G133" s="133">
        <v>15000</v>
      </c>
      <c r="H133" s="30">
        <f>IFERROR(VLOOKUP(E133,'Inventaire des produits'!$B$4:$K$1001,8,0),"")</f>
        <v>0.55417000000000005</v>
      </c>
      <c r="I133" s="31">
        <f t="shared" si="2"/>
        <v>8312.5500000000011</v>
      </c>
      <c r="J133" s="307">
        <f>VLOOKUP(entrant!E133,'Inventaire des produits'!$B$4:$K$1001,5,FALSE)</f>
        <v>0</v>
      </c>
    </row>
    <row r="134" spans="2:10" ht="15" customHeight="1" x14ac:dyDescent="0.3">
      <c r="B134" s="332"/>
      <c r="C134" s="332"/>
      <c r="D134" s="332"/>
      <c r="E134" s="52">
        <v>83820</v>
      </c>
      <c r="F134" s="29" t="str">
        <f>IFERROR(VLOOKUP(E134,'Inventaire des produits'!$B$4:$K$1001,2,0),"")</f>
        <v>BARQUETTE ALUMINIUM 83820/200MP</v>
      </c>
      <c r="G134" s="133">
        <v>600</v>
      </c>
      <c r="H134" s="30">
        <f>IFERROR(VLOOKUP(E134,'Inventaire des produits'!$B$4:$K$1001,8,0),"")</f>
        <v>0.83</v>
      </c>
      <c r="I134" s="31">
        <f t="shared" si="2"/>
        <v>498</v>
      </c>
      <c r="J134" s="307">
        <f>VLOOKUP(entrant!E134,'Inventaire des produits'!$B$4:$K$1001,5,FALSE)</f>
        <v>0</v>
      </c>
    </row>
    <row r="135" spans="2:10" ht="15" customHeight="1" x14ac:dyDescent="0.3">
      <c r="B135" s="332"/>
      <c r="C135" s="332"/>
      <c r="D135" s="332"/>
      <c r="E135" s="52" t="s">
        <v>220</v>
      </c>
      <c r="F135" s="29" t="str">
        <f>IFERROR(VLOOKUP(E135,'Inventaire des produits'!$B$4:$K$1001,2,0),"")</f>
        <v>SALADIER R 750</v>
      </c>
      <c r="G135" s="133">
        <v>400</v>
      </c>
      <c r="H135" s="30">
        <f>IFERROR(VLOOKUP(E135,'Inventaire des produits'!$B$4:$K$1001,8,0),"")</f>
        <v>0.75</v>
      </c>
      <c r="I135" s="31">
        <f t="shared" si="2"/>
        <v>300</v>
      </c>
      <c r="J135" s="307">
        <f>VLOOKUP(entrant!E135,'Inventaire des produits'!$B$4:$K$1001,5,FALSE)</f>
        <v>0</v>
      </c>
    </row>
    <row r="136" spans="2:10" ht="15" customHeight="1" x14ac:dyDescent="0.3">
      <c r="B136" s="332"/>
      <c r="C136" s="332"/>
      <c r="D136" s="332"/>
      <c r="E136" s="52" t="s">
        <v>222</v>
      </c>
      <c r="F136" s="29" t="str">
        <f>IFERROR(VLOOKUP(E136,'Inventaire des produits'!$B$4:$K$1001,2,0),"")</f>
        <v>FILM ALIMENTAIRE ELEGENCE</v>
      </c>
      <c r="G136" s="133">
        <v>775</v>
      </c>
      <c r="H136" s="30">
        <f>IFERROR(VLOOKUP(E136,'Inventaire des produits'!$B$4:$K$1001,8,0),"")</f>
        <v>20</v>
      </c>
      <c r="I136" s="31">
        <f t="shared" si="2"/>
        <v>15500</v>
      </c>
      <c r="J136" s="307">
        <f>VLOOKUP(entrant!E136,'Inventaire des produits'!$B$4:$K$1001,5,FALSE)</f>
        <v>0</v>
      </c>
    </row>
    <row r="137" spans="2:10" ht="15" customHeight="1" x14ac:dyDescent="0.3">
      <c r="B137" s="332"/>
      <c r="C137" s="332"/>
      <c r="D137" s="332"/>
      <c r="E137" s="134" t="s">
        <v>224</v>
      </c>
      <c r="F137" s="29" t="str">
        <f>IFERROR(VLOOKUP(E137,'Inventaire des produits'!$B$4:$K$1001,2,0),"")</f>
        <v>FOURCHETTE LUX</v>
      </c>
      <c r="G137" s="133">
        <v>460</v>
      </c>
      <c r="H137" s="30">
        <f>IFERROR(VLOOKUP(E137,'Inventaire des produits'!$B$4:$K$1001,8,0),"")</f>
        <v>14.382</v>
      </c>
      <c r="I137" s="31">
        <f t="shared" si="2"/>
        <v>6615.72</v>
      </c>
      <c r="J137" s="307">
        <f>VLOOKUP(entrant!E137,'Inventaire des produits'!$B$4:$K$1001,5,FALSE)</f>
        <v>0</v>
      </c>
    </row>
    <row r="138" spans="2:10" ht="15" customHeight="1" x14ac:dyDescent="0.3">
      <c r="B138" s="332"/>
      <c r="C138" s="332"/>
      <c r="D138" s="332"/>
      <c r="E138" s="134" t="s">
        <v>226</v>
      </c>
      <c r="F138" s="29" t="str">
        <f>IFERROR(VLOOKUP(E138,'Inventaire des produits'!$B$4:$K$1001,2,0),"")</f>
        <v>CUILLERE LUX</v>
      </c>
      <c r="G138" s="133">
        <v>200</v>
      </c>
      <c r="H138" s="30">
        <f>IFERROR(VLOOKUP(E138,'Inventaire des produits'!$B$4:$K$1001,8,0),"")</f>
        <v>14.4</v>
      </c>
      <c r="I138" s="31">
        <f t="shared" si="2"/>
        <v>2880</v>
      </c>
      <c r="J138" s="307">
        <f>VLOOKUP(entrant!E138,'Inventaire des produits'!$B$4:$K$1001,5,FALSE)</f>
        <v>0</v>
      </c>
    </row>
    <row r="139" spans="2:10" ht="15" customHeight="1" x14ac:dyDescent="0.3">
      <c r="B139" s="332"/>
      <c r="C139" s="332"/>
      <c r="D139" s="332"/>
      <c r="E139" s="52" t="s">
        <v>229</v>
      </c>
      <c r="F139" s="29" t="str">
        <f>IFERROR(VLOOKUP(E139,'Inventaire des produits'!$B$4:$K$1001,2,0),"")</f>
        <v>BARQUETTE MICRON ONDABLE 3 COMP AVEC CVL 300PCS</v>
      </c>
      <c r="G139" s="133">
        <v>2</v>
      </c>
      <c r="H139" s="30">
        <f>IFERROR(VLOOKUP(E139,'Inventaire des produits'!$B$4:$K$1001,8,0),"")</f>
        <v>500</v>
      </c>
      <c r="I139" s="31">
        <f t="shared" si="2"/>
        <v>1000</v>
      </c>
      <c r="J139" s="307">
        <f>VLOOKUP(entrant!E139,'Inventaire des produits'!$B$4:$K$1001,5,FALSE)</f>
        <v>0</v>
      </c>
    </row>
    <row r="140" spans="2:10" ht="15" customHeight="1" x14ac:dyDescent="0.3">
      <c r="B140" s="332"/>
      <c r="C140" s="332"/>
      <c r="D140" s="332"/>
      <c r="E140" s="52" t="s">
        <v>228</v>
      </c>
      <c r="F140" s="29" t="str">
        <f>IFERROR(VLOOKUP(E140,'Inventaire des produits'!$B$4:$K$1001,2,0),"")</f>
        <v>BARQUETTE ALUMINIUM RECT 1200ML AVEC CVL</v>
      </c>
      <c r="G140" s="133">
        <v>9000</v>
      </c>
      <c r="H140" s="30">
        <f>IFERROR(VLOOKUP(E140,'Inventaire des produits'!$B$4:$K$1001,8,0),"")</f>
        <v>0.72499999999999998</v>
      </c>
      <c r="I140" s="31">
        <f t="shared" si="2"/>
        <v>6525</v>
      </c>
      <c r="J140" s="307">
        <f>VLOOKUP(entrant!E140,'Inventaire des produits'!$B$4:$K$1001,5,FALSE)</f>
        <v>0</v>
      </c>
    </row>
    <row r="141" spans="2:10" ht="15" customHeight="1" x14ac:dyDescent="0.3">
      <c r="B141" s="332"/>
      <c r="C141" s="332"/>
      <c r="D141" s="332"/>
      <c r="E141" s="134" t="s">
        <v>232</v>
      </c>
      <c r="F141" s="29" t="str">
        <f>IFERROR(VLOOKUP(E141,'Inventaire des produits'!$B$4:$K$1001,2,0),"")</f>
        <v>CUILLERE ECOLUXE TRANSPARENT</v>
      </c>
      <c r="G141" s="133">
        <v>30</v>
      </c>
      <c r="H141" s="30">
        <f>IFERROR(VLOOKUP(E141,'Inventaire des produits'!$B$4:$K$1001,8,0),"")</f>
        <v>17.5</v>
      </c>
      <c r="I141" s="31">
        <f t="shared" si="2"/>
        <v>525</v>
      </c>
      <c r="J141" s="307">
        <f>VLOOKUP(entrant!E141,'Inventaire des produits'!$B$4:$K$1001,5,FALSE)</f>
        <v>0</v>
      </c>
    </row>
    <row r="142" spans="2:10" ht="15" customHeight="1" x14ac:dyDescent="0.3">
      <c r="B142" s="332"/>
      <c r="C142" s="332"/>
      <c r="D142" s="332"/>
      <c r="E142" s="52" t="s">
        <v>233</v>
      </c>
      <c r="F142" s="29" t="str">
        <f>IFERROR(VLOOKUP(E142,'Inventaire des produits'!$B$4:$K$1001,2,0),"")</f>
        <v>BARQUETTE VITA PACK 500ML 5PCS</v>
      </c>
      <c r="G142" s="133">
        <v>288</v>
      </c>
      <c r="H142" s="30">
        <f>IFERROR(VLOOKUP(E142,'Inventaire des produits'!$B$4:$K$1001,8,0),"")</f>
        <v>6.6666999999999996</v>
      </c>
      <c r="I142" s="31">
        <f t="shared" si="2"/>
        <v>1920.0095999999999</v>
      </c>
      <c r="J142" s="307">
        <f>VLOOKUP(entrant!E142,'Inventaire des produits'!$B$4:$K$1001,5,FALSE)</f>
        <v>0</v>
      </c>
    </row>
    <row r="143" spans="2:10" ht="15" customHeight="1" x14ac:dyDescent="0.3">
      <c r="B143" s="332"/>
      <c r="C143" s="332"/>
      <c r="D143" s="332"/>
      <c r="E143" s="52" t="s">
        <v>235</v>
      </c>
      <c r="F143" s="29" t="str">
        <f>IFERROR(VLOOKUP(E143,'Inventaire des produits'!$B$4:$K$1001,2,0),"")</f>
        <v>POT DE SAUCE 2OZ NOIRE</v>
      </c>
      <c r="G143" s="133">
        <v>130800</v>
      </c>
      <c r="H143" s="30">
        <f>IFERROR(VLOOKUP(E143,'Inventaire des produits'!$B$4:$K$1001,8,0),"")</f>
        <v>0.15609999999999999</v>
      </c>
      <c r="I143" s="31">
        <f t="shared" si="2"/>
        <v>20417.879999999997</v>
      </c>
      <c r="J143" s="307">
        <f>VLOOKUP(entrant!E143,'Inventaire des produits'!$B$4:$K$1001,5,FALSE)</f>
        <v>0</v>
      </c>
    </row>
    <row r="144" spans="2:10" ht="15" customHeight="1" x14ac:dyDescent="0.3">
      <c r="B144" s="332"/>
      <c r="C144" s="332"/>
      <c r="D144" s="332"/>
      <c r="E144" s="52" t="s">
        <v>230</v>
      </c>
      <c r="F144" s="29" t="str">
        <f>IFERROR(VLOOKUP(E144,'Inventaire des produits'!$B$4:$K$1001,2,0),"")</f>
        <v>BARQUETTE MICRON ONDABLE 3 COMP AVEC CVL 300PCS</v>
      </c>
      <c r="G144" s="133">
        <v>1</v>
      </c>
      <c r="H144" s="30">
        <f>IFERROR(VLOOKUP(E144,'Inventaire des produits'!$B$4:$K$1001,8,0),"")</f>
        <v>500</v>
      </c>
      <c r="I144" s="31">
        <f t="shared" si="2"/>
        <v>500</v>
      </c>
      <c r="J144" s="307">
        <f>VLOOKUP(entrant!E144,'Inventaire des produits'!$B$4:$K$1001,5,FALSE)</f>
        <v>0</v>
      </c>
    </row>
    <row r="145" spans="2:10" ht="15" customHeight="1" x14ac:dyDescent="0.3">
      <c r="B145" s="332"/>
      <c r="C145" s="332"/>
      <c r="D145" s="332"/>
      <c r="E145" s="52" t="s">
        <v>208</v>
      </c>
      <c r="F145" s="29" t="str">
        <f>IFERROR(VLOOKUP(E145,'Inventaire des produits'!$B$4:$K$1001,2,0),"")</f>
        <v>PAPIER SANDWISH INGRAISSABLE GRIS PACK 2,5KG</v>
      </c>
      <c r="G145" s="133">
        <v>4</v>
      </c>
      <c r="H145" s="30">
        <f>IFERROR(VLOOKUP(E145,'Inventaire des produits'!$B$4:$K$1001,8,0),"")</f>
        <v>59.008333333300001</v>
      </c>
      <c r="I145" s="31">
        <f t="shared" si="2"/>
        <v>236.03333333320001</v>
      </c>
      <c r="J145" s="307">
        <f>VLOOKUP(entrant!E145,'Inventaire des produits'!$B$4:$K$1001,5,FALSE)</f>
        <v>0</v>
      </c>
    </row>
    <row r="146" spans="2:10" ht="15" customHeight="1" x14ac:dyDescent="0.3">
      <c r="B146" s="332"/>
      <c r="C146" s="332"/>
      <c r="D146" s="332"/>
      <c r="E146" s="52" t="s">
        <v>206</v>
      </c>
      <c r="F146" s="29" t="str">
        <f>IFERROR(VLOOKUP(E146,'Inventaire des produits'!$B$4:$K$1001,2,0),"")</f>
        <v>ESSUIE MAIN 1KG LISSE</v>
      </c>
      <c r="G146" s="133">
        <v>900</v>
      </c>
      <c r="H146" s="30">
        <f>IFERROR(VLOOKUP(E146,'Inventaire des produits'!$B$4:$K$1001,8,0),"")</f>
        <v>21.25</v>
      </c>
      <c r="I146" s="31">
        <f t="shared" si="2"/>
        <v>19125</v>
      </c>
      <c r="J146" s="307">
        <f>VLOOKUP(entrant!E146,'Inventaire des produits'!$B$4:$K$1001,5,FALSE)</f>
        <v>0</v>
      </c>
    </row>
    <row r="147" spans="2:10" ht="15" customHeight="1" x14ac:dyDescent="0.3">
      <c r="B147" s="332"/>
      <c r="C147" s="332"/>
      <c r="D147" s="332"/>
      <c r="E147" s="52" t="s">
        <v>308</v>
      </c>
      <c r="F147" s="29" t="str">
        <f>IFERROR(VLOOKUP(E147,'Inventaire des produits'!$B$4:$K$1001,2,0),"")</f>
        <v>BOL SALADE ET CVL KRAFT 550CC CARTON 400PCS</v>
      </c>
      <c r="G147" s="133">
        <v>1</v>
      </c>
      <c r="H147" s="30">
        <f>IFERROR(VLOOKUP(E147,'Inventaire des produits'!$B$4:$K$1001,8,0),"")</f>
        <v>616.66666666670005</v>
      </c>
      <c r="I147" s="31">
        <f t="shared" si="2"/>
        <v>616.66666666670005</v>
      </c>
      <c r="J147" s="307">
        <f>VLOOKUP(entrant!E147,'Inventaire des produits'!$B$4:$K$1001,5,FALSE)</f>
        <v>0</v>
      </c>
    </row>
    <row r="148" spans="2:10" ht="15" customHeight="1" x14ac:dyDescent="0.3">
      <c r="B148" s="332"/>
      <c r="C148" s="332"/>
      <c r="D148" s="332"/>
      <c r="E148" s="52" t="s">
        <v>209</v>
      </c>
      <c r="F148" s="29" t="str">
        <f>IFERROR(VLOOKUP(E148,'Inventaire des produits'!$B$4:$K$1001,2,0),"")</f>
        <v xml:space="preserve">GOBLET 12OZ EN PLAST TRANS SMART+CV </v>
      </c>
      <c r="G148" s="133">
        <v>16000</v>
      </c>
      <c r="H148" s="30">
        <f>IFERROR(VLOOKUP(E148,'Inventaire des produits'!$B$4:$K$1001,8,0),"")</f>
        <v>0.416875</v>
      </c>
      <c r="I148" s="31">
        <f t="shared" si="2"/>
        <v>6670</v>
      </c>
      <c r="J148" s="307">
        <f>VLOOKUP(entrant!E148,'Inventaire des produits'!$B$4:$K$1001,5,FALSE)</f>
        <v>0</v>
      </c>
    </row>
    <row r="149" spans="2:10" ht="15" customHeight="1" x14ac:dyDescent="0.3">
      <c r="B149" s="332"/>
      <c r="C149" s="332"/>
      <c r="D149" s="332"/>
      <c r="E149" s="52" t="s">
        <v>210</v>
      </c>
      <c r="F149" s="29" t="str">
        <f>IFERROR(VLOOKUP(E149,'Inventaire des produits'!$B$4:$K$1001,2,0),"")</f>
        <v>POT DE SAUCE 2OZ NOIRE</v>
      </c>
      <c r="G149" s="133">
        <v>66250</v>
      </c>
      <c r="H149" s="30">
        <f>IFERROR(VLOOKUP(E149,'Inventaire des produits'!$B$4:$K$1001,8,0),"")</f>
        <v>0.1512</v>
      </c>
      <c r="I149" s="31">
        <f t="shared" si="2"/>
        <v>10017</v>
      </c>
      <c r="J149" s="307">
        <f>VLOOKUP(entrant!E149,'Inventaire des produits'!$B$4:$K$1001,5,FALSE)</f>
        <v>0</v>
      </c>
    </row>
    <row r="150" spans="2:10" ht="15" customHeight="1" x14ac:dyDescent="0.3">
      <c r="B150" s="332"/>
      <c r="C150" s="332"/>
      <c r="D150" s="332"/>
      <c r="E150" s="52" t="s">
        <v>211</v>
      </c>
      <c r="F150" s="29" t="str">
        <f>IFERROR(VLOOKUP(E150,'Inventaire des produits'!$B$4:$K$1001,2,0),"")</f>
        <v>FILM PVC ETIRABLE EXTRA 500*45 1,5KG</v>
      </c>
      <c r="G150" s="133">
        <v>8</v>
      </c>
      <c r="H150" s="30">
        <f>IFERROR(VLOOKUP(E150,'Inventaire des produits'!$B$4:$K$1001,8,0),"")</f>
        <v>35</v>
      </c>
      <c r="I150" s="31">
        <f t="shared" si="2"/>
        <v>280</v>
      </c>
      <c r="J150" s="307">
        <f>VLOOKUP(entrant!E150,'Inventaire des produits'!$B$4:$K$1001,5,FALSE)</f>
        <v>0</v>
      </c>
    </row>
    <row r="151" spans="2:10" ht="15" customHeight="1" x14ac:dyDescent="0.3">
      <c r="B151" s="332"/>
      <c r="C151" s="332"/>
      <c r="D151" s="332"/>
      <c r="E151" s="52" t="s">
        <v>212</v>
      </c>
      <c r="F151" s="29" t="str">
        <f>IFERROR(VLOOKUP(E151,'Inventaire des produits'!$B$4:$K$1001,2,0),"")</f>
        <v>GANT VINYL LARGE/100PCS</v>
      </c>
      <c r="G151" s="133">
        <v>100</v>
      </c>
      <c r="H151" s="30">
        <f>IFERROR(VLOOKUP(E151,'Inventaire des produits'!$B$4:$K$1001,8,0),"")</f>
        <v>26.6</v>
      </c>
      <c r="I151" s="31">
        <f t="shared" si="2"/>
        <v>2660</v>
      </c>
      <c r="J151" s="307">
        <f>VLOOKUP(entrant!E151,'Inventaire des produits'!$B$4:$K$1001,5,FALSE)</f>
        <v>0</v>
      </c>
    </row>
    <row r="152" spans="2:10" ht="15" customHeight="1" x14ac:dyDescent="0.3">
      <c r="B152" s="332"/>
      <c r="C152" s="332"/>
      <c r="D152" s="332"/>
      <c r="E152" s="52" t="s">
        <v>215</v>
      </c>
      <c r="F152" s="29" t="str">
        <f>IFERROR(VLOOKUP(E152,'Inventaire des produits'!$B$4:$K$1001,2,0),"")</f>
        <v>POT A NOUILLE PATE BLANC 26OZ</v>
      </c>
      <c r="G152" s="133">
        <v>1500</v>
      </c>
      <c r="H152" s="30">
        <f>IFERROR(VLOOKUP(E152,'Inventaire des produits'!$B$4:$K$1001,8,0),"")</f>
        <v>0.91666666669999997</v>
      </c>
      <c r="I152" s="31">
        <f t="shared" si="2"/>
        <v>1375.0000000499999</v>
      </c>
      <c r="J152" s="307">
        <f>VLOOKUP(entrant!E152,'Inventaire des produits'!$B$4:$K$1001,5,FALSE)</f>
        <v>0</v>
      </c>
    </row>
    <row r="153" spans="2:10" ht="15" customHeight="1" x14ac:dyDescent="0.3">
      <c r="B153" s="332"/>
      <c r="C153" s="332"/>
      <c r="D153" s="332"/>
      <c r="E153" s="52" t="s">
        <v>214</v>
      </c>
      <c r="F153" s="29" t="str">
        <f>IFERROR(VLOOKUP(E153,'Inventaire des produits'!$B$4:$K$1001,2,0),"")</f>
        <v>BARQUETTE SUSHI PET 160*91 L-ST1</v>
      </c>
      <c r="G153" s="133">
        <v>1200</v>
      </c>
      <c r="H153" s="30">
        <f>IFERROR(VLOOKUP(E153,'Inventaire des produits'!$B$4:$K$1001,8,0),"")</f>
        <v>0.95833333330000003</v>
      </c>
      <c r="I153" s="31">
        <f t="shared" si="2"/>
        <v>1149.99999996</v>
      </c>
      <c r="J153" s="307">
        <f>VLOOKUP(entrant!E153,'Inventaire des produits'!$B$4:$K$1001,5,FALSE)</f>
        <v>0</v>
      </c>
    </row>
    <row r="154" spans="2:10" ht="15" customHeight="1" x14ac:dyDescent="0.3">
      <c r="B154" s="332"/>
      <c r="C154" s="332"/>
      <c r="D154" s="332"/>
      <c r="E154" s="52" t="s">
        <v>306</v>
      </c>
      <c r="F154" s="29" t="str">
        <f>IFERROR(VLOOKUP(E154,'Inventaire des produits'!$B$4:$K$1001,2,0),"")</f>
        <v>BARQUETTE SUSHI 216*136 ET CVL CARTON 400PCS</v>
      </c>
      <c r="G154" s="133">
        <v>3600</v>
      </c>
      <c r="H154" s="30">
        <f>IFERROR(VLOOKUP(E154,'Inventaire des produits'!$B$4:$K$1001,8,0),"")</f>
        <v>1.5</v>
      </c>
      <c r="I154" s="31">
        <f t="shared" si="2"/>
        <v>5400</v>
      </c>
      <c r="J154" s="307">
        <f>VLOOKUP(entrant!E154,'Inventaire des produits'!$B$4:$K$1001,5,FALSE)</f>
        <v>0</v>
      </c>
    </row>
    <row r="155" spans="2:10" ht="15" customHeight="1" x14ac:dyDescent="0.3">
      <c r="B155" s="332"/>
      <c r="C155" s="332"/>
      <c r="D155" s="332"/>
      <c r="E155" s="52" t="s">
        <v>269</v>
      </c>
      <c r="F155" s="29" t="str">
        <f>IFERROR(VLOOKUP(E155,'Inventaire des produits'!$B$4:$K$1001,2,0),"")</f>
        <v>BARQUETTE TRAITEUR 750CC MICRON ONDABLE CARTON 250PCS</v>
      </c>
      <c r="G155" s="133">
        <v>2</v>
      </c>
      <c r="H155" s="30">
        <f>IFERROR(VLOOKUP(E155,'Inventaire des produits'!$B$4:$K$1001,8,0),"")</f>
        <v>375</v>
      </c>
      <c r="I155" s="31">
        <f t="shared" si="2"/>
        <v>750</v>
      </c>
      <c r="J155" s="307">
        <f>VLOOKUP(entrant!E155,'Inventaire des produits'!$B$4:$K$1001,5,FALSE)</f>
        <v>0</v>
      </c>
    </row>
    <row r="156" spans="2:10" ht="15" customHeight="1" x14ac:dyDescent="0.3">
      <c r="B156" s="332"/>
      <c r="C156" s="332"/>
      <c r="D156" s="332"/>
      <c r="E156" s="52" t="s">
        <v>271</v>
      </c>
      <c r="F156" s="29" t="str">
        <f>IFERROR(VLOOKUP(E156,'Inventaire des produits'!$B$4:$K$1001,2,0),"")</f>
        <v>PAILLE ENVELOPPE NOIR 100/50PCS</v>
      </c>
      <c r="G156" s="133">
        <v>5</v>
      </c>
      <c r="H156" s="30">
        <f>IFERROR(VLOOKUP(E156,'Inventaire des produits'!$B$4:$K$1001,8,0),"")</f>
        <v>220.8333333333</v>
      </c>
      <c r="I156" s="31">
        <f t="shared" si="2"/>
        <v>1104.1666666665001</v>
      </c>
      <c r="J156" s="307">
        <f>VLOOKUP(entrant!E156,'Inventaire des produits'!$B$4:$K$1001,5,FALSE)</f>
        <v>0</v>
      </c>
    </row>
    <row r="157" spans="2:10" ht="15" customHeight="1" x14ac:dyDescent="0.3">
      <c r="B157" s="332"/>
      <c r="C157" s="332"/>
      <c r="D157" s="332"/>
      <c r="E157" s="134" t="s">
        <v>274</v>
      </c>
      <c r="F157" s="29" t="str">
        <f>IFERROR(VLOOKUP(E157,'Inventaire des produits'!$B$4:$K$1001,2,0),"")</f>
        <v>GOBLET 4OZ A CAFE EN CARTON KRAFT</v>
      </c>
      <c r="G157" s="133">
        <v>2000</v>
      </c>
      <c r="H157" s="30">
        <f>IFERROR(VLOOKUP(E157,'Inventaire des produits'!$B$4:$K$1001,8,0),"")</f>
        <v>0.5</v>
      </c>
      <c r="I157" s="31">
        <f t="shared" si="2"/>
        <v>1000</v>
      </c>
      <c r="J157" s="307">
        <f>VLOOKUP(entrant!E157,'Inventaire des produits'!$B$4:$K$1001,5,FALSE)</f>
        <v>0</v>
      </c>
    </row>
    <row r="158" spans="2:10" ht="15" customHeight="1" x14ac:dyDescent="0.3">
      <c r="B158" s="332"/>
      <c r="C158" s="332"/>
      <c r="D158" s="332"/>
      <c r="E158" s="134" t="s">
        <v>275</v>
      </c>
      <c r="F158" s="29" t="str">
        <f>IFERROR(VLOOKUP(E158,'Inventaire des produits'!$B$4:$K$1001,2,0),"")</f>
        <v>GOBLET 8OZ A CAFE EN CARTON KRAFT</v>
      </c>
      <c r="G158" s="133">
        <v>2000</v>
      </c>
      <c r="H158" s="30">
        <f>IFERROR(VLOOKUP(E158,'Inventaire des produits'!$B$4:$K$1001,8,0),"")</f>
        <v>0.6</v>
      </c>
      <c r="I158" s="31">
        <f t="shared" si="2"/>
        <v>1200</v>
      </c>
      <c r="J158" s="307">
        <f>VLOOKUP(entrant!E158,'Inventaire des produits'!$B$4:$K$1001,5,FALSE)</f>
        <v>0</v>
      </c>
    </row>
    <row r="159" spans="2:10" ht="15" customHeight="1" x14ac:dyDescent="0.3">
      <c r="B159" s="332"/>
      <c r="C159" s="332"/>
      <c r="D159" s="332"/>
      <c r="E159" s="52" t="s">
        <v>276</v>
      </c>
      <c r="F159" s="29" t="str">
        <f>IFERROR(VLOOKUP(E159,'Inventaire des produits'!$B$4:$K$1001,2,0),"")</f>
        <v xml:space="preserve">GOBLET 12OZ EN PLAST TRANS SMART+CV </v>
      </c>
      <c r="G159" s="133">
        <v>6</v>
      </c>
      <c r="H159" s="30">
        <f>IFERROR(VLOOKUP(E159,'Inventaire des produits'!$B$4:$K$1001,8,0),"")</f>
        <v>408.33749999999998</v>
      </c>
      <c r="I159" s="31">
        <f t="shared" si="2"/>
        <v>2450.0249999999996</v>
      </c>
      <c r="J159" s="307">
        <f>VLOOKUP(entrant!E159,'Inventaire des produits'!$B$4:$K$1001,5,FALSE)</f>
        <v>0</v>
      </c>
    </row>
    <row r="160" spans="2:10" ht="15" customHeight="1" x14ac:dyDescent="0.3">
      <c r="B160" s="332"/>
      <c r="C160" s="332"/>
      <c r="D160" s="332"/>
      <c r="E160" s="52" t="s">
        <v>270</v>
      </c>
      <c r="F160" s="29" t="str">
        <f>IFERROR(VLOOKUP(E160,'Inventaire des produits'!$B$4:$K$1001,2,0),"")</f>
        <v>BOITE BURGER KRAFT 11,5*11,5*7 CARTON</v>
      </c>
      <c r="G160" s="133">
        <v>400</v>
      </c>
      <c r="H160" s="30">
        <f>IFERROR(VLOOKUP(E160,'Inventaire des produits'!$B$4:$K$1001,8,0),"")</f>
        <v>0.83333333300000001</v>
      </c>
      <c r="I160" s="31">
        <f t="shared" si="2"/>
        <v>333.33333320000003</v>
      </c>
      <c r="J160" s="307">
        <f>VLOOKUP(entrant!E160,'Inventaire des produits'!$B$4:$K$1001,5,FALSE)</f>
        <v>0</v>
      </c>
    </row>
    <row r="161" spans="2:10" ht="15" customHeight="1" x14ac:dyDescent="0.3">
      <c r="B161" s="332"/>
      <c r="C161" s="332"/>
      <c r="D161" s="332"/>
      <c r="E161" s="134" t="s">
        <v>278</v>
      </c>
      <c r="F161" s="29" t="str">
        <f>IFERROR(VLOOKUP(E161,'Inventaire des produits'!$B$4:$K$1001,2,0),"")</f>
        <v>BARQUETTE ALUMINIUM 890</v>
      </c>
      <c r="G161" s="133">
        <v>1</v>
      </c>
      <c r="H161" s="30">
        <f>IFERROR(VLOOKUP(E161,'Inventaire des produits'!$B$4:$K$1001,8,0),"")</f>
        <v>300</v>
      </c>
      <c r="I161" s="31">
        <f t="shared" si="2"/>
        <v>300</v>
      </c>
      <c r="J161" s="307">
        <f>VLOOKUP(entrant!E161,'Inventaire des produits'!$B$4:$K$1001,5,FALSE)</f>
        <v>0</v>
      </c>
    </row>
    <row r="162" spans="2:10" ht="15" customHeight="1" x14ac:dyDescent="0.3">
      <c r="B162" s="332"/>
      <c r="C162" s="332"/>
      <c r="D162" s="332"/>
      <c r="E162" s="134" t="s">
        <v>279</v>
      </c>
      <c r="F162" s="29" t="str">
        <f>IFERROR(VLOOKUP(E162,'Inventaire des produits'!$B$4:$K$1001,2,0),"")</f>
        <v>BARQUETTE ALUMINIUM 420</v>
      </c>
      <c r="G162" s="133">
        <v>4</v>
      </c>
      <c r="H162" s="30">
        <f>IFERROR(VLOOKUP(E162,'Inventaire des produits'!$B$4:$K$1001,8,0),"")</f>
        <v>300</v>
      </c>
      <c r="I162" s="31">
        <f t="shared" si="2"/>
        <v>1200</v>
      </c>
      <c r="J162" s="307">
        <f>VLOOKUP(entrant!E162,'Inventaire des produits'!$B$4:$K$1001,5,FALSE)</f>
        <v>0</v>
      </c>
    </row>
    <row r="163" spans="2:10" ht="15" customHeight="1" x14ac:dyDescent="0.3">
      <c r="B163" s="332"/>
      <c r="C163" s="332"/>
      <c r="D163" s="332"/>
      <c r="E163" s="134" t="s">
        <v>280</v>
      </c>
      <c r="F163" s="29" t="str">
        <f>IFERROR(VLOOKUP(E163,'Inventaire des produits'!$B$4:$K$1001,2,0),"")</f>
        <v>BARQUETTE ALUMINIUM 250</v>
      </c>
      <c r="G163" s="133">
        <v>6000</v>
      </c>
      <c r="H163" s="30">
        <f>IFERROR(VLOOKUP(E163,'Inventaire des produits'!$B$4:$K$1001,8,0),"")</f>
        <v>0.24167</v>
      </c>
      <c r="I163" s="31">
        <f t="shared" si="2"/>
        <v>1450.02</v>
      </c>
      <c r="J163" s="307">
        <f>VLOOKUP(entrant!E163,'Inventaire des produits'!$B$4:$K$1001,5,FALSE)</f>
        <v>0</v>
      </c>
    </row>
    <row r="164" spans="2:10" ht="15" customHeight="1" x14ac:dyDescent="0.3">
      <c r="B164" s="332"/>
      <c r="C164" s="332"/>
      <c r="D164" s="332"/>
      <c r="E164" s="134" t="s">
        <v>282</v>
      </c>
      <c r="F164" s="29" t="str">
        <f>IFERROR(VLOOKUP(E164,'Inventaire des produits'!$B$4:$K$1001,2,0),"")</f>
        <v>BARQUETTE 150CC</v>
      </c>
      <c r="G164" s="133">
        <v>6</v>
      </c>
      <c r="H164" s="30">
        <f>IFERROR(VLOOKUP(E164,'Inventaire des produits'!$B$4:$K$1001,8,0),"")</f>
        <v>208.33</v>
      </c>
      <c r="I164" s="31">
        <f t="shared" si="2"/>
        <v>1249.98</v>
      </c>
      <c r="J164" s="307">
        <f>VLOOKUP(entrant!E164,'Inventaire des produits'!$B$4:$K$1001,5,FALSE)</f>
        <v>0</v>
      </c>
    </row>
    <row r="165" spans="2:10" ht="15" customHeight="1" x14ac:dyDescent="0.3">
      <c r="B165" s="332"/>
      <c r="C165" s="332"/>
      <c r="D165" s="332"/>
      <c r="E165" s="134" t="s">
        <v>283</v>
      </c>
      <c r="F165" s="29" t="str">
        <f>IFERROR(VLOOKUP(E165,'Inventaire des produits'!$B$4:$K$1001,2,0),"")</f>
        <v>FILM ALIMENTAIRE 900G PET</v>
      </c>
      <c r="G165" s="133">
        <v>100</v>
      </c>
      <c r="H165" s="30">
        <f>IFERROR(VLOOKUP(E165,'Inventaire des produits'!$B$4:$K$1001,8,0),"")</f>
        <v>21.84</v>
      </c>
      <c r="I165" s="31">
        <f t="shared" si="2"/>
        <v>2184</v>
      </c>
      <c r="J165" s="307">
        <f>VLOOKUP(entrant!E165,'Inventaire des produits'!$B$4:$K$1001,5,FALSE)</f>
        <v>0</v>
      </c>
    </row>
    <row r="166" spans="2:10" ht="15" customHeight="1" x14ac:dyDescent="0.3">
      <c r="B166" s="332"/>
      <c r="C166" s="332"/>
      <c r="D166" s="332"/>
      <c r="E166" s="52" t="s">
        <v>284</v>
      </c>
      <c r="F166" s="29" t="str">
        <f>IFERROR(VLOOKUP(E166,'Inventaire des produits'!$B$4:$K$1001,2,0),"")</f>
        <v>FILM ALIMENTAIRE 600G PET</v>
      </c>
      <c r="G166" s="133">
        <v>87</v>
      </c>
      <c r="H166" s="30">
        <f>IFERROR(VLOOKUP(E166,'Inventaire des produits'!$B$4:$K$1001,8,0),"")</f>
        <v>16</v>
      </c>
      <c r="I166" s="31">
        <f t="shared" si="2"/>
        <v>1392</v>
      </c>
      <c r="J166" s="307">
        <f>VLOOKUP(entrant!E166,'Inventaire des produits'!$B$4:$K$1001,5,FALSE)</f>
        <v>0</v>
      </c>
    </row>
    <row r="167" spans="2:10" ht="15" customHeight="1" x14ac:dyDescent="0.3">
      <c r="B167" s="332"/>
      <c r="C167" s="332"/>
      <c r="D167" s="332"/>
      <c r="E167" s="52" t="s">
        <v>286</v>
      </c>
      <c r="F167" s="29" t="str">
        <f>IFERROR(VLOOKUP(E167,'Inventaire des produits'!$B$4:$K$1001,2,0),"")</f>
        <v>ROULEAU ALUMINIUM 200</v>
      </c>
      <c r="G167" s="133">
        <v>68</v>
      </c>
      <c r="H167" s="30">
        <f>IFERROR(VLOOKUP(E167,'Inventaire des produits'!$B$4:$K$1001,8,0),"")</f>
        <v>60</v>
      </c>
      <c r="I167" s="31">
        <f t="shared" si="2"/>
        <v>4080</v>
      </c>
      <c r="J167" s="307">
        <f>VLOOKUP(entrant!E167,'Inventaire des produits'!$B$4:$K$1001,5,FALSE)</f>
        <v>0</v>
      </c>
    </row>
    <row r="168" spans="2:10" ht="15" customHeight="1" x14ac:dyDescent="0.3">
      <c r="B168" s="332"/>
      <c r="C168" s="332"/>
      <c r="D168" s="332"/>
      <c r="E168" s="52" t="s">
        <v>290</v>
      </c>
      <c r="F168" s="29" t="str">
        <f>IFERROR(VLOOKUP(E168,'Inventaire des produits'!$B$4:$K$1001,2,0),"")</f>
        <v>GOBLET 14OZ EN PLASTIQUE TRANS SMART AVEC CVL PLAT</v>
      </c>
      <c r="G168" s="133">
        <v>3000</v>
      </c>
      <c r="H168" s="30">
        <f>IFERROR(VLOOKUP(E168,'Inventaire des produits'!$B$4:$K$1001,8,0),"")</f>
        <v>0.43333749999999999</v>
      </c>
      <c r="I168" s="31">
        <f t="shared" si="2"/>
        <v>1300.0125</v>
      </c>
      <c r="J168" s="307">
        <f>VLOOKUP(entrant!E168,'Inventaire des produits'!$B$4:$K$1001,5,FALSE)</f>
        <v>0</v>
      </c>
    </row>
    <row r="169" spans="2:10" ht="15" customHeight="1" x14ac:dyDescent="0.3">
      <c r="B169" s="332"/>
      <c r="C169" s="332"/>
      <c r="D169" s="332"/>
      <c r="E169" s="52" t="s">
        <v>341</v>
      </c>
      <c r="F169" s="29" t="str">
        <f>IFERROR(VLOOKUP(E169,'Inventaire des produits'!$B$4:$K$1001,2,0),"")</f>
        <v>ROULEAU ALUMINIUM GOLDEN 200M</v>
      </c>
      <c r="G169" s="133">
        <v>30</v>
      </c>
      <c r="H169" s="30">
        <f>IFERROR(VLOOKUP(E169,'Inventaire des produits'!$B$4:$K$1001,8,0),"")</f>
        <v>57.5</v>
      </c>
      <c r="I169" s="31">
        <f t="shared" si="2"/>
        <v>1725</v>
      </c>
      <c r="J169" s="307">
        <f>VLOOKUP(entrant!E169,'Inventaire des produits'!$B$4:$K$1001,5,FALSE)</f>
        <v>0</v>
      </c>
    </row>
    <row r="170" spans="2:10" ht="15" customHeight="1" x14ac:dyDescent="0.3">
      <c r="B170" s="332"/>
      <c r="C170" s="332"/>
      <c r="D170" s="332"/>
      <c r="E170" s="136" t="s">
        <v>342</v>
      </c>
      <c r="F170" s="29" t="str">
        <f>IFERROR(VLOOKUP(E170,'Inventaire des produits'!$B$4:$K$1001,2,0),"")</f>
        <v>GANT VINYL NOIR EXTRA PREMIUM GLOVE MEDIUM</v>
      </c>
      <c r="G170" s="133">
        <v>50</v>
      </c>
      <c r="H170" s="30">
        <f>IFERROR(VLOOKUP(E170,'Inventaire des produits'!$B$4:$K$1001,8,0),"")</f>
        <v>22.5</v>
      </c>
      <c r="I170" s="31">
        <f t="shared" si="2"/>
        <v>1125</v>
      </c>
      <c r="J170" s="307">
        <f>VLOOKUP(entrant!E170,'Inventaire des produits'!$B$4:$K$1001,5,FALSE)</f>
        <v>0</v>
      </c>
    </row>
    <row r="171" spans="2:10" ht="15" customHeight="1" x14ac:dyDescent="0.3">
      <c r="B171" s="332"/>
      <c r="C171" s="332"/>
      <c r="D171" s="332"/>
      <c r="E171" s="137" t="s">
        <v>344</v>
      </c>
      <c r="F171" s="29" t="str">
        <f>IFERROR(VLOOKUP(E171,'Inventaire des produits'!$B$4:$K$1001,2,0),"")</f>
        <v>GANT VINYL EXTRA PREMIUM GLOVE LARGE</v>
      </c>
      <c r="G171" s="133">
        <v>100</v>
      </c>
      <c r="H171" s="30">
        <f>IFERROR(VLOOKUP(E171,'Inventaire des produits'!$B$4:$K$1001,8,0),"")</f>
        <v>20.833333333300001</v>
      </c>
      <c r="I171" s="31">
        <f t="shared" si="2"/>
        <v>2083.3333333300002</v>
      </c>
      <c r="J171" s="307">
        <f>VLOOKUP(entrant!E171,'Inventaire des produits'!$B$4:$K$1001,5,FALSE)</f>
        <v>0</v>
      </c>
    </row>
    <row r="172" spans="2:10" ht="15" customHeight="1" x14ac:dyDescent="0.3">
      <c r="B172" s="332"/>
      <c r="C172" s="332"/>
      <c r="D172" s="332"/>
      <c r="E172" s="137" t="s">
        <v>345</v>
      </c>
      <c r="F172" s="29" t="str">
        <f>IFERROR(VLOOKUP(E172,'Inventaire des produits'!$B$4:$K$1001,2,0),"")</f>
        <v>POT DE SAUCE EN PLAST TRANSP 20ML</v>
      </c>
      <c r="G172" s="133">
        <v>20000</v>
      </c>
      <c r="H172" s="30">
        <f>IFERROR(VLOOKUP(E172,'Inventaire des produits'!$B$4:$K$1001,8,0),"")</f>
        <v>8.3333333300000006E-2</v>
      </c>
      <c r="I172" s="31">
        <f t="shared" si="2"/>
        <v>1666.6666660000001</v>
      </c>
      <c r="J172" s="307">
        <f>VLOOKUP(entrant!E172,'Inventaire des produits'!$B$4:$K$1001,5,FALSE)</f>
        <v>0</v>
      </c>
    </row>
    <row r="173" spans="2:10" ht="15.75" customHeight="1" x14ac:dyDescent="0.3">
      <c r="B173" s="332"/>
      <c r="C173" s="332"/>
      <c r="D173" s="332"/>
      <c r="E173" s="137" t="s">
        <v>347</v>
      </c>
      <c r="F173" s="29" t="str">
        <f>IFERROR(VLOOKUP(E173,'Inventaire des produits'!$B$4:$K$1001,2,0),"")</f>
        <v>NOODLES 250G LA PAGODE</v>
      </c>
      <c r="G173" s="133">
        <v>96</v>
      </c>
      <c r="H173" s="30">
        <f>IFERROR(VLOOKUP(E173,'Inventaire des produits'!$B$4:$K$1001,8,0),"")</f>
        <v>12.27</v>
      </c>
      <c r="I173" s="31">
        <f t="shared" si="2"/>
        <v>1177.92</v>
      </c>
      <c r="J173" s="307">
        <f>VLOOKUP(entrant!E173,'Inventaire des produits'!$B$4:$K$1001,5,FALSE)</f>
        <v>0</v>
      </c>
    </row>
    <row r="174" spans="2:10" ht="15.75" customHeight="1" x14ac:dyDescent="0.3">
      <c r="B174" s="332"/>
      <c r="C174" s="332"/>
      <c r="D174" s="332"/>
      <c r="E174" s="137" t="s">
        <v>348</v>
      </c>
      <c r="F174" s="29" t="str">
        <f>IFERROR(VLOOKUP(E174,'Inventaire des produits'!$B$4:$K$1001,2,0),"")</f>
        <v xml:space="preserve">SAC KRAFT 22*17*28 </v>
      </c>
      <c r="G174" s="133">
        <v>653</v>
      </c>
      <c r="H174" s="30">
        <f>IFERROR(VLOOKUP(E174,'Inventaire des produits'!$B$4:$K$1001,8,0),"")</f>
        <v>0.63</v>
      </c>
      <c r="I174" s="31">
        <f t="shared" si="2"/>
        <v>411.39</v>
      </c>
      <c r="J174" s="307">
        <f>VLOOKUP(entrant!E174,'Inventaire des produits'!$B$4:$K$1001,5,FALSE)</f>
        <v>0</v>
      </c>
    </row>
    <row r="175" spans="2:10" ht="18" customHeight="1" x14ac:dyDescent="0.3">
      <c r="B175" s="332"/>
      <c r="C175" s="332"/>
      <c r="D175" s="332"/>
      <c r="E175" s="137" t="s">
        <v>361</v>
      </c>
      <c r="F175" s="29" t="str">
        <f>IFERROR(VLOOKUP(E175,'Inventaire des produits'!$B$4:$K$1001,2,0),"")</f>
        <v>FILM ETIRABLE VIOLET 290mm kg</v>
      </c>
      <c r="G175" s="133">
        <v>353.33</v>
      </c>
      <c r="H175" s="30">
        <f>IFERROR(VLOOKUP(E175,'Inventaire des produits'!$B$4:$K$1001,8,0),"")</f>
        <v>25</v>
      </c>
      <c r="I175" s="31">
        <f t="shared" si="2"/>
        <v>8833.25</v>
      </c>
      <c r="J175" s="307">
        <f>VLOOKUP(entrant!E175,'Inventaire des produits'!$B$4:$K$1001,5,FALSE)</f>
        <v>0</v>
      </c>
    </row>
    <row r="176" spans="2:10" ht="18.600000000000001" customHeight="1" x14ac:dyDescent="0.3">
      <c r="B176" s="332"/>
      <c r="C176" s="332"/>
      <c r="D176" s="332"/>
      <c r="E176" s="137" t="s">
        <v>365</v>
      </c>
      <c r="F176" s="29" t="str">
        <f>IFERROR(VLOOKUP(E176,'Inventaire des produits'!$B$4:$K$1001,2,0),"")</f>
        <v>PAILLE 6MM CODE ENVELOPPE TRANS 100/50 PCS</v>
      </c>
      <c r="G176" s="133">
        <v>250</v>
      </c>
      <c r="H176" s="30">
        <f>IFERROR(VLOOKUP(E176,'Inventaire des produits'!$B$4:$K$1001,8,0),"")</f>
        <v>4.9166666667000003</v>
      </c>
      <c r="I176" s="31">
        <f t="shared" si="2"/>
        <v>1229.166666675</v>
      </c>
      <c r="J176" s="307">
        <f>VLOOKUP(entrant!E176,'Inventaire des produits'!$B$4:$K$1001,5,FALSE)</f>
        <v>0</v>
      </c>
    </row>
    <row r="177" spans="2:11" ht="17.399999999999999" customHeight="1" x14ac:dyDescent="0.3">
      <c r="B177" s="332"/>
      <c r="C177" s="332"/>
      <c r="D177" s="332"/>
      <c r="E177" s="137" t="s">
        <v>366</v>
      </c>
      <c r="F177" s="29" t="str">
        <f>IFERROR(VLOOKUP(E177,'Inventaire des produits'!$B$4:$K$1001,2,0),"")</f>
        <v>PAILLE 6MM CODE ENVELOPPE NOIR 100/50 PCS</v>
      </c>
      <c r="G177" s="133">
        <v>5</v>
      </c>
      <c r="H177" s="30">
        <f>IFERROR(VLOOKUP(E177,'Inventaire des produits'!$B$4:$K$1001,8,0),"")</f>
        <v>245.833333333333</v>
      </c>
      <c r="I177" s="31">
        <f t="shared" si="2"/>
        <v>1229.1666666666649</v>
      </c>
      <c r="J177" s="307">
        <f>VLOOKUP(entrant!E177,'Inventaire des produits'!$B$4:$K$1001,5,FALSE)</f>
        <v>0</v>
      </c>
    </row>
    <row r="178" spans="2:11" ht="17.25" customHeight="1" x14ac:dyDescent="0.3">
      <c r="B178" s="332"/>
      <c r="C178" s="332"/>
      <c r="D178" s="332"/>
      <c r="E178" s="137" t="s">
        <v>596</v>
      </c>
      <c r="F178" s="29" t="str">
        <f>IFERROR(VLOOKUP(E178,'Inventaire des produits'!$B$4:$K$1001,2,0),"")</f>
        <v>FILM ALIMENTAIRE ROTANA 45*500</v>
      </c>
      <c r="G178" s="133">
        <v>1</v>
      </c>
      <c r="H178" s="30">
        <f>IFERROR(VLOOKUP(E178,'Inventaire des produits'!$B$4:$K$1001,8,0),"")</f>
        <v>40</v>
      </c>
      <c r="I178" s="31">
        <f t="shared" si="2"/>
        <v>40</v>
      </c>
      <c r="J178" s="307">
        <f>VLOOKUP(entrant!E178,'Inventaire des produits'!$B$4:$K$1001,5,FALSE)</f>
        <v>0</v>
      </c>
    </row>
    <row r="179" spans="2:11" ht="16.5" customHeight="1" x14ac:dyDescent="0.3">
      <c r="B179" s="332"/>
      <c r="C179" s="332"/>
      <c r="D179" s="332"/>
      <c r="E179" s="137" t="s">
        <v>598</v>
      </c>
      <c r="F179" s="29" t="str">
        <f>IFERROR(VLOOKUP(E179,'Inventaire des produits'!$B$4:$K$1001,2,0),"")</f>
        <v>GOBLET EN CARTON 8OZ AVEC CVL</v>
      </c>
      <c r="G179" s="133">
        <v>2000</v>
      </c>
      <c r="H179" s="30">
        <f>IFERROR(VLOOKUP(E179,'Inventaire des produits'!$B$4:$K$1001,8,0),"")</f>
        <v>0.41699999999999998</v>
      </c>
      <c r="I179" s="31">
        <f t="shared" si="2"/>
        <v>834</v>
      </c>
      <c r="J179" s="307">
        <f>VLOOKUP(entrant!E179,'Inventaire des produits'!$B$4:$K$1001,5,FALSE)</f>
        <v>0</v>
      </c>
    </row>
    <row r="180" spans="2:11" ht="16.5" customHeight="1" x14ac:dyDescent="0.3">
      <c r="B180" s="332"/>
      <c r="C180" s="332"/>
      <c r="D180" s="332"/>
      <c r="E180" s="137" t="s">
        <v>599</v>
      </c>
      <c r="F180" s="29" t="str">
        <f>IFERROR(VLOOKUP(E180,'Inventaire des produits'!$B$4:$K$1001,2,0),"")</f>
        <v>PAPIER HYGIENIQUE JUMBO PROF GAUFREE</v>
      </c>
      <c r="G180" s="133">
        <v>180</v>
      </c>
      <c r="H180" s="30">
        <f>IFERROR(VLOOKUP(E180,'Inventaire des produits'!$B$4:$K$1001,8,0),"")</f>
        <v>7.5</v>
      </c>
      <c r="I180" s="31">
        <f t="shared" si="2"/>
        <v>1350</v>
      </c>
      <c r="J180" s="307">
        <f>VLOOKUP(entrant!E180,'Inventaire des produits'!$B$4:$K$1001,5,FALSE)</f>
        <v>0</v>
      </c>
    </row>
    <row r="181" spans="2:11" ht="15.75" customHeight="1" x14ac:dyDescent="0.3">
      <c r="B181" s="332"/>
      <c r="C181" s="332"/>
      <c r="D181" s="332"/>
      <c r="E181" s="137" t="s">
        <v>601</v>
      </c>
      <c r="F181" s="29" t="str">
        <f>IFERROR(VLOOKUP(E181,'Inventaire des produits'!$B$4:$K$1001,2,0),"")</f>
        <v>FILM ALIMENTAIRE VIOLET 280MM 500GR</v>
      </c>
      <c r="G181" s="133">
        <v>289.70999999999998</v>
      </c>
      <c r="H181" s="30">
        <f>IFERROR(VLOOKUP(E181,'Inventaire des produits'!$B$4:$K$1001,8,0),"")</f>
        <v>29.17</v>
      </c>
      <c r="I181" s="31">
        <f t="shared" si="2"/>
        <v>8450.8407000000007</v>
      </c>
      <c r="J181" s="307">
        <f>VLOOKUP(entrant!E181,'Inventaire des produits'!$B$4:$K$1001,5,FALSE)</f>
        <v>0</v>
      </c>
    </row>
    <row r="182" spans="2:11" ht="18" customHeight="1" x14ac:dyDescent="0.3">
      <c r="B182" s="332"/>
      <c r="C182" s="332"/>
      <c r="D182" s="332"/>
      <c r="E182" s="137" t="s">
        <v>603</v>
      </c>
      <c r="F182" s="29" t="str">
        <f>IFERROR(VLOOKUP(E182,'Inventaire des produits'!$B$4:$K$1001,2,0),"")</f>
        <v>ESSUIE MAIN 1KG LISSE</v>
      </c>
      <c r="G182" s="133">
        <v>240</v>
      </c>
      <c r="H182" s="30">
        <f>IFERROR(VLOOKUP(E182,'Inventaire des produits'!$B$4:$K$1001,8,0),"")</f>
        <v>25</v>
      </c>
      <c r="I182" s="31">
        <f t="shared" si="2"/>
        <v>6000</v>
      </c>
      <c r="J182" s="307">
        <f>VLOOKUP(entrant!E182,'Inventaire des produits'!$B$4:$K$1001,5,FALSE)</f>
        <v>0</v>
      </c>
    </row>
    <row r="183" spans="2:11" ht="17.25" customHeight="1" x14ac:dyDescent="0.3">
      <c r="B183" s="332"/>
      <c r="C183" s="332"/>
      <c r="D183" s="332"/>
      <c r="E183" s="137" t="s">
        <v>604</v>
      </c>
      <c r="F183" s="29" t="str">
        <f>IFERROR(VLOOKUP(E183,'Inventaire des produits'!$B$4:$K$1001,2,0),"")</f>
        <v>FILM PVC STRECH VIOLET</v>
      </c>
      <c r="G183" s="133">
        <v>180</v>
      </c>
      <c r="H183" s="30">
        <f>IFERROR(VLOOKUP(E183,'Inventaire des produits'!$B$4:$K$1001,8,0),"")</f>
        <v>54.17</v>
      </c>
      <c r="I183" s="31">
        <f t="shared" si="2"/>
        <v>9750.6</v>
      </c>
      <c r="J183" s="307">
        <f>VLOOKUP(entrant!E183,'Inventaire des produits'!$B$4:$K$1001,5,FALSE)</f>
        <v>0</v>
      </c>
    </row>
    <row r="184" spans="2:11" ht="15.75" customHeight="1" x14ac:dyDescent="0.3">
      <c r="B184" s="332"/>
      <c r="C184" s="332"/>
      <c r="D184" s="332"/>
      <c r="E184" s="137" t="s">
        <v>606</v>
      </c>
      <c r="F184" s="29" t="str">
        <f>IFERROR(VLOOKUP(E184,'Inventaire des produits'!$B$4:$K$1001,2,0),"")</f>
        <v>POT EN PLASTIQUE PP 250ML</v>
      </c>
      <c r="G184" s="133">
        <v>300</v>
      </c>
      <c r="H184" s="30">
        <f>IFERROR(VLOOKUP(E184,'Inventaire des produits'!$B$4:$K$1001,8,0),"")</f>
        <v>0.46200000000000002</v>
      </c>
      <c r="I184" s="31">
        <f t="shared" si="2"/>
        <v>138.6</v>
      </c>
      <c r="J184" s="307">
        <f>VLOOKUP(entrant!E184,'Inventaire des produits'!$B$4:$K$1001,5,FALSE)</f>
        <v>0</v>
      </c>
    </row>
    <row r="185" spans="2:11" ht="16.5" customHeight="1" x14ac:dyDescent="0.3">
      <c r="B185" s="332"/>
      <c r="C185" s="332"/>
      <c r="D185" s="332"/>
      <c r="E185" s="137" t="s">
        <v>608</v>
      </c>
      <c r="F185" s="29" t="str">
        <f>IFERROR(VLOOKUP(E185,'Inventaire des produits'!$B$4:$K$1001,2,0),"")</f>
        <v>CVL ROND EN PLAST POUR POT 250ML</v>
      </c>
      <c r="G185" s="133">
        <v>500</v>
      </c>
      <c r="H185" s="30">
        <f>IFERROR(VLOOKUP(E185,'Inventaire des produits'!$B$4:$K$1001,8,0),"")</f>
        <v>0.30280000000000001</v>
      </c>
      <c r="I185" s="31">
        <f t="shared" si="2"/>
        <v>151.4</v>
      </c>
      <c r="J185" s="307">
        <f>VLOOKUP(entrant!E185,'Inventaire des produits'!$B$4:$K$1001,5,FALSE)</f>
        <v>0</v>
      </c>
    </row>
    <row r="186" spans="2:11" ht="17.25" customHeight="1" x14ac:dyDescent="0.3">
      <c r="B186" s="332"/>
      <c r="C186" s="332"/>
      <c r="D186" s="332"/>
      <c r="E186" s="137" t="s">
        <v>610</v>
      </c>
      <c r="F186" s="29" t="str">
        <f>IFERROR(VLOOKUP(E186,'Inventaire des produits'!$B$4:$K$1001,2,0),"")</f>
        <v>CVL PLAT BLANC POUR PHDC8</v>
      </c>
      <c r="G186" s="133">
        <v>300</v>
      </c>
      <c r="H186" s="30">
        <f>IFERROR(VLOOKUP(E186,'Inventaire des produits'!$B$4:$K$1001,8,0),"")</f>
        <v>0.26029999999999998</v>
      </c>
      <c r="I186" s="31">
        <f t="shared" si="2"/>
        <v>78.089999999999989</v>
      </c>
      <c r="J186" s="307">
        <f>VLOOKUP(entrant!E186,'Inventaire des produits'!$B$4:$K$1001,5,FALSE)</f>
        <v>0</v>
      </c>
    </row>
    <row r="187" spans="2:11" ht="18" customHeight="1" x14ac:dyDescent="0.3">
      <c r="B187" s="332"/>
      <c r="C187" s="332"/>
      <c r="D187" s="332"/>
      <c r="E187" s="137" t="s">
        <v>615</v>
      </c>
      <c r="F187" s="29" t="str">
        <f>IFERROR(VLOOKUP(E187,'Inventaire des produits'!$B$4:$K$1001,2,0),"")</f>
        <v>SAC PN BLANC UNI 28/40/10</v>
      </c>
      <c r="G187" s="133">
        <v>5500</v>
      </c>
      <c r="H187" s="30">
        <f>IFERROR(VLOOKUP(E187,'Inventaire des produits'!$B$4:$K$1001,8,0),"")</f>
        <v>0.33334000000000003</v>
      </c>
      <c r="I187" s="31">
        <f t="shared" si="2"/>
        <v>1833.3700000000001</v>
      </c>
      <c r="J187" s="307">
        <f>VLOOKUP(entrant!E187,'Inventaire des produits'!$B$4:$K$1001,5,FALSE)</f>
        <v>0</v>
      </c>
    </row>
    <row r="188" spans="2:11" ht="17.25" customHeight="1" x14ac:dyDescent="0.3">
      <c r="B188" s="333"/>
      <c r="C188" s="333"/>
      <c r="D188" s="333"/>
      <c r="E188" s="137" t="s">
        <v>617</v>
      </c>
      <c r="F188" s="29" t="str">
        <f>IFERROR(VLOOKUP(E188,'Inventaire des produits'!$B$4:$K$1001,2,0),"")</f>
        <v>ROULEAU ALUMINIUM GOLDEN 200M</v>
      </c>
      <c r="G188" s="133">
        <v>1</v>
      </c>
      <c r="H188" s="30">
        <f>IFERROR(VLOOKUP(E188,'Inventaire des produits'!$B$4:$K$1001,8,0),"")</f>
        <v>63.333333333299997</v>
      </c>
      <c r="I188" s="31">
        <f t="shared" si="2"/>
        <v>63.333333333299997</v>
      </c>
      <c r="J188" s="307">
        <f>VLOOKUP(entrant!E188,'Inventaire des produits'!$B$4:$K$1001,5,FALSE)</f>
        <v>0</v>
      </c>
    </row>
    <row r="189" spans="2:11" x14ac:dyDescent="0.3">
      <c r="B189" s="306" t="s">
        <v>1703</v>
      </c>
      <c r="C189" s="320">
        <v>45295</v>
      </c>
      <c r="D189" s="317" t="s">
        <v>321</v>
      </c>
      <c r="E189" s="204" t="s">
        <v>239</v>
      </c>
      <c r="F189" s="29" t="str">
        <f>IFERROR(VLOOKUP(E189,'Inventaire des produits'!$B$4:$K$1001,2,0),"")</f>
        <v>GANT POLYETHLENE</v>
      </c>
      <c r="G189" s="212">
        <v>200</v>
      </c>
      <c r="H189" s="30">
        <f>IFERROR(VLOOKUP(E189,'Inventaire des produits'!$B$4:$K$1001,8,0),"")</f>
        <v>3.5</v>
      </c>
      <c r="I189" s="32">
        <f t="shared" si="2"/>
        <v>700</v>
      </c>
      <c r="K189" s="127" t="str">
        <f>IF(J189="","",J189*1.2)</f>
        <v/>
      </c>
    </row>
    <row r="190" spans="2:11" x14ac:dyDescent="0.3">
      <c r="B190" s="306" t="s">
        <v>1703</v>
      </c>
      <c r="C190" s="321"/>
      <c r="D190" s="318"/>
      <c r="E190" s="204" t="s">
        <v>320</v>
      </c>
      <c r="F190" s="29" t="str">
        <f>IFERROR(VLOOKUP(E190,'Inventaire des produits'!$B$4:$K$1001,2,0),"")</f>
        <v>POT DE SAUCE 20CC</v>
      </c>
      <c r="G190" s="212">
        <v>20000</v>
      </c>
      <c r="H190" s="30">
        <f>IFERROR(VLOOKUP(E190,'Inventaire des produits'!$B$4:$K$1001,8,0),"")</f>
        <v>4.5999999999999999E-2</v>
      </c>
      <c r="I190" s="32">
        <f t="shared" si="2"/>
        <v>920</v>
      </c>
      <c r="K190" s="127" t="str">
        <f t="shared" ref="K190:K253" si="3">IF(J190="","",J190*1.2)</f>
        <v/>
      </c>
    </row>
    <row r="191" spans="2:11" x14ac:dyDescent="0.3">
      <c r="B191" s="306" t="s">
        <v>1703</v>
      </c>
      <c r="C191" s="321"/>
      <c r="D191" s="318"/>
      <c r="E191" s="204" t="s">
        <v>317</v>
      </c>
      <c r="F191" s="29" t="str">
        <f>IFERROR(VLOOKUP(E191,'Inventaire des produits'!$B$4:$K$1001,2,0),"")</f>
        <v>BARQUETTE VITA PACK 750ML AVEC CVL</v>
      </c>
      <c r="G191" s="212">
        <v>2500</v>
      </c>
      <c r="H191" s="30">
        <f>IFERROR(VLOOKUP(E191,'Inventaire des produits'!$B$4:$K$1001,8,0),"")</f>
        <v>1.38</v>
      </c>
      <c r="I191" s="32">
        <f t="shared" si="2"/>
        <v>3449.9999999999995</v>
      </c>
      <c r="K191" s="127" t="str">
        <f t="shared" si="3"/>
        <v/>
      </c>
    </row>
    <row r="192" spans="2:11" x14ac:dyDescent="0.3">
      <c r="B192" s="306" t="s">
        <v>1703</v>
      </c>
      <c r="C192" s="322"/>
      <c r="D192" s="319"/>
      <c r="E192" s="204" t="s">
        <v>319</v>
      </c>
      <c r="F192" s="29" t="str">
        <f>IFERROR(VLOOKUP(E192,'Inventaire des produits'!$B$4:$K$1001,2,0),"")</f>
        <v>FOURCHETTE ECOLUXE TRANSPARENTE</v>
      </c>
      <c r="G192" s="212">
        <v>120</v>
      </c>
      <c r="H192" s="30">
        <f>IFERROR(VLOOKUP(E192,'Inventaire des produits'!$B$4:$K$1001,8,0),"")</f>
        <v>17.5</v>
      </c>
      <c r="I192" s="32">
        <f t="shared" si="2"/>
        <v>2100</v>
      </c>
      <c r="K192" s="127" t="str">
        <f t="shared" si="3"/>
        <v/>
      </c>
    </row>
    <row r="193" spans="2:11" x14ac:dyDescent="0.3">
      <c r="B193" s="306" t="s">
        <v>1703</v>
      </c>
      <c r="C193" s="196">
        <v>45294</v>
      </c>
      <c r="D193" s="195" t="s">
        <v>323</v>
      </c>
      <c r="E193" s="204" t="s">
        <v>322</v>
      </c>
      <c r="F193" s="29" t="str">
        <f>IFERROR(VLOOKUP(E193,'Inventaire des produits'!$B$4:$K$1001,2,0),"")</f>
        <v>POT DE SAUCE 1OZ 30ML HP</v>
      </c>
      <c r="G193" s="212">
        <v>100000</v>
      </c>
      <c r="H193" s="30">
        <f>IFERROR(VLOOKUP(E193,'Inventaire des produits'!$B$4:$K$1001,8,0),"")</f>
        <v>0.13500000000000001</v>
      </c>
      <c r="I193" s="32">
        <f t="shared" si="2"/>
        <v>13500</v>
      </c>
      <c r="K193" s="127" t="str">
        <f t="shared" si="3"/>
        <v/>
      </c>
    </row>
    <row r="194" spans="2:11" x14ac:dyDescent="0.3">
      <c r="B194" s="306" t="s">
        <v>1703</v>
      </c>
      <c r="C194" s="196">
        <v>45295</v>
      </c>
      <c r="D194" s="195" t="s">
        <v>324</v>
      </c>
      <c r="E194" s="205" t="s">
        <v>240</v>
      </c>
      <c r="F194" s="29" t="str">
        <f>IFERROR(VLOOKUP(E194,'Inventaire des produits'!$B$4:$K$1001,2,0),"")</f>
        <v>BARQUETTE ALUMINIUM 83420</v>
      </c>
      <c r="G194" s="212">
        <v>3000</v>
      </c>
      <c r="H194" s="30">
        <f>IFERROR(VLOOKUP(E194,'Inventaire des produits'!$B$4:$K$1001,8,0),"")</f>
        <v>0.32</v>
      </c>
      <c r="I194" s="32">
        <f t="shared" si="2"/>
        <v>960</v>
      </c>
      <c r="K194" s="127" t="str">
        <f t="shared" si="3"/>
        <v/>
      </c>
    </row>
    <row r="195" spans="2:11" x14ac:dyDescent="0.3">
      <c r="B195" s="306" t="s">
        <v>1703</v>
      </c>
      <c r="C195" s="196">
        <v>45301</v>
      </c>
      <c r="D195" s="195" t="s">
        <v>329</v>
      </c>
      <c r="E195" s="205" t="s">
        <v>328</v>
      </c>
      <c r="F195" s="29" t="str">
        <f>IFERROR(VLOOKUP(E195,'Inventaire des produits'!$B$4:$K$1001,2,0),"")</f>
        <v>BARQUETTE VITAPACK 750ML AVEC CVL</v>
      </c>
      <c r="G195" s="212">
        <v>750</v>
      </c>
      <c r="H195" s="30">
        <f>IFERROR(VLOOKUP(E195,'Inventaire des produits'!$B$4:$K$1001,8,0),"")</f>
        <v>1.34</v>
      </c>
      <c r="I195" s="32">
        <f t="shared" si="2"/>
        <v>1005.0000000000001</v>
      </c>
      <c r="K195" s="127" t="str">
        <f t="shared" si="3"/>
        <v/>
      </c>
    </row>
    <row r="196" spans="2:11" x14ac:dyDescent="0.3">
      <c r="B196" s="306" t="s">
        <v>1703</v>
      </c>
      <c r="C196" s="320">
        <v>45295</v>
      </c>
      <c r="D196" s="325" t="s">
        <v>338</v>
      </c>
      <c r="E196" s="206" t="s">
        <v>334</v>
      </c>
      <c r="F196" s="29" t="str">
        <f>IFERROR(VLOOKUP(E196,'Inventaire des produits'!$B$4:$K$1001,2,0),"")</f>
        <v>GOBLET 6OZ</v>
      </c>
      <c r="G196" s="212">
        <v>1000</v>
      </c>
      <c r="H196" s="30">
        <f>IFERROR(VLOOKUP(E196,'Inventaire des produits'!$B$4:$K$1001,8,0),"")</f>
        <v>0.34</v>
      </c>
      <c r="I196" s="32">
        <f t="shared" ref="I196:I259" si="4">IF(OR(G196="",H196=""),"",G196*H196)</f>
        <v>340</v>
      </c>
      <c r="K196" s="127" t="str">
        <f t="shared" si="3"/>
        <v/>
      </c>
    </row>
    <row r="197" spans="2:11" x14ac:dyDescent="0.3">
      <c r="B197" s="306" t="s">
        <v>1703</v>
      </c>
      <c r="C197" s="321"/>
      <c r="D197" s="330"/>
      <c r="E197" s="206" t="s">
        <v>335</v>
      </c>
      <c r="F197" s="29" t="str">
        <f>IFERROR(VLOOKUP(E197,'Inventaire des produits'!$B$4:$K$1001,2,0),"")</f>
        <v>PALETTE A GLACE BLANC</v>
      </c>
      <c r="G197" s="212">
        <v>3</v>
      </c>
      <c r="H197" s="30">
        <f>IFERROR(VLOOKUP(E197,'Inventaire des produits'!$B$4:$K$1001,8,0),"")</f>
        <v>20</v>
      </c>
      <c r="I197" s="32">
        <f t="shared" si="4"/>
        <v>60</v>
      </c>
      <c r="K197" s="127" t="str">
        <f t="shared" si="3"/>
        <v/>
      </c>
    </row>
    <row r="198" spans="2:11" x14ac:dyDescent="0.3">
      <c r="B198" s="306" t="s">
        <v>1703</v>
      </c>
      <c r="C198" s="321"/>
      <c r="D198" s="330"/>
      <c r="E198" s="206" t="s">
        <v>336</v>
      </c>
      <c r="F198" s="29" t="str">
        <f>IFERROR(VLOOKUP(E198,'Inventaire des produits'!$B$4:$K$1001,2,0),"")</f>
        <v>ASSIETTE BLANC</v>
      </c>
      <c r="G198" s="212">
        <v>900</v>
      </c>
      <c r="H198" s="30">
        <f>IFERROR(VLOOKUP(E198,'Inventaire des produits'!$B$4:$K$1001,8,0),"")</f>
        <v>0.57999999999999996</v>
      </c>
      <c r="I198" s="32">
        <f t="shared" si="4"/>
        <v>522</v>
      </c>
      <c r="K198" s="127" t="str">
        <f t="shared" si="3"/>
        <v/>
      </c>
    </row>
    <row r="199" spans="2:11" x14ac:dyDescent="0.3">
      <c r="B199" s="306" t="s">
        <v>1703</v>
      </c>
      <c r="C199" s="322"/>
      <c r="D199" s="326"/>
      <c r="E199" s="206" t="s">
        <v>337</v>
      </c>
      <c r="F199" s="29" t="str">
        <f>IFERROR(VLOOKUP(E199,'Inventaire des produits'!$B$4:$K$1001,2,0),"")</f>
        <v>GOBLET 8OZ</v>
      </c>
      <c r="G199" s="212">
        <v>500</v>
      </c>
      <c r="H199" s="30">
        <f>IFERROR(VLOOKUP(E199,'Inventaire des produits'!$B$4:$K$1001,8,0),"")</f>
        <v>0.4</v>
      </c>
      <c r="I199" s="32">
        <f t="shared" si="4"/>
        <v>200</v>
      </c>
      <c r="K199" s="127" t="str">
        <f t="shared" si="3"/>
        <v/>
      </c>
    </row>
    <row r="200" spans="2:11" x14ac:dyDescent="0.3">
      <c r="B200" s="306" t="s">
        <v>1703</v>
      </c>
      <c r="C200" s="196">
        <v>45294</v>
      </c>
      <c r="D200" s="195" t="s">
        <v>362</v>
      </c>
      <c r="E200" s="205" t="s">
        <v>301</v>
      </c>
      <c r="F200" s="29" t="str">
        <f>IFERROR(VLOOKUP(E200,'Inventaire des produits'!$B$4:$K$1001,2,0),"")</f>
        <v>POT DE SAUCE 20CC</v>
      </c>
      <c r="G200" s="212">
        <v>4000</v>
      </c>
      <c r="H200" s="30">
        <f>IFERROR(VLOOKUP(E200,'Inventaire des produits'!$B$4:$K$1001,8,0),"")</f>
        <v>0.05</v>
      </c>
      <c r="I200" s="32">
        <f t="shared" si="4"/>
        <v>200</v>
      </c>
      <c r="K200" s="127" t="str">
        <f t="shared" si="3"/>
        <v/>
      </c>
    </row>
    <row r="201" spans="2:11" x14ac:dyDescent="0.3">
      <c r="B201" s="306" t="s">
        <v>1703</v>
      </c>
      <c r="C201" s="196">
        <v>45310</v>
      </c>
      <c r="D201" s="195" t="s">
        <v>367</v>
      </c>
      <c r="E201" s="205" t="s">
        <v>66</v>
      </c>
      <c r="F201" s="29" t="str">
        <f>IFERROR(VLOOKUP(E201,'Inventaire des produits'!$B$4:$K$1001,2,0),"")</f>
        <v>TRIPOD PIZZA EN PLASTIQUE</v>
      </c>
      <c r="G201" s="212">
        <v>1000</v>
      </c>
      <c r="H201" s="30">
        <f>IFERROR(VLOOKUP(E201,'Inventaire des produits'!$B$4:$K$1001,8,0),"")</f>
        <v>0.32</v>
      </c>
      <c r="I201" s="32">
        <f t="shared" si="4"/>
        <v>320</v>
      </c>
      <c r="K201" s="127" t="str">
        <f t="shared" si="3"/>
        <v/>
      </c>
    </row>
    <row r="202" spans="2:11" x14ac:dyDescent="0.3">
      <c r="B202" s="306" t="s">
        <v>1703</v>
      </c>
      <c r="C202" s="320">
        <v>45310</v>
      </c>
      <c r="D202" s="317" t="s">
        <v>368</v>
      </c>
      <c r="E202" s="205" t="s">
        <v>127</v>
      </c>
      <c r="F202" s="29" t="str">
        <f>IFERROR(VLOOKUP(E202,'Inventaire des produits'!$B$4:$K$1001,2,0),"")</f>
        <v>SERVIETTE DE TABLE SEVAN 1PLI</v>
      </c>
      <c r="G202" s="212">
        <v>2000</v>
      </c>
      <c r="H202" s="30">
        <f>IFERROR(VLOOKUP(E202,'Inventaire des produits'!$B$4:$K$1001,8,0),"")</f>
        <v>2.9169999999999998</v>
      </c>
      <c r="I202" s="32">
        <f t="shared" si="4"/>
        <v>5834</v>
      </c>
      <c r="K202" s="127" t="str">
        <f t="shared" si="3"/>
        <v/>
      </c>
    </row>
    <row r="203" spans="2:11" x14ac:dyDescent="0.3">
      <c r="B203" s="306" t="s">
        <v>1703</v>
      </c>
      <c r="C203" s="322"/>
      <c r="D203" s="319"/>
      <c r="E203" s="205" t="s">
        <v>1151</v>
      </c>
      <c r="F203" s="29" t="str">
        <f>IFERROR(VLOOKUP(E203,'Inventaire des produits'!$B$4:$K$1001,2,0),"")</f>
        <v>ESSUIE MAIN 1KG LISSE</v>
      </c>
      <c r="G203" s="212">
        <v>180</v>
      </c>
      <c r="H203" s="30">
        <f>IFERROR(VLOOKUP(E203,'Inventaire des produits'!$B$4:$K$1001,8,0),"")</f>
        <v>21.25</v>
      </c>
      <c r="I203" s="32">
        <f t="shared" si="4"/>
        <v>3825</v>
      </c>
      <c r="K203" s="127" t="str">
        <f t="shared" si="3"/>
        <v/>
      </c>
    </row>
    <row r="204" spans="2:11" x14ac:dyDescent="0.3">
      <c r="B204" s="306" t="s">
        <v>1703</v>
      </c>
      <c r="C204" s="196">
        <v>45309</v>
      </c>
      <c r="D204" s="195" t="s">
        <v>371</v>
      </c>
      <c r="E204" s="205" t="s">
        <v>369</v>
      </c>
      <c r="F204" s="29" t="str">
        <f>IFERROR(VLOOKUP(E204,'Inventaire des produits'!$B$4:$K$1001,2,0),"")</f>
        <v>ROULEAU DE CAISSE THERMIQUE 70X80 CT 50RLX</v>
      </c>
      <c r="G204" s="212">
        <v>250</v>
      </c>
      <c r="H204" s="30">
        <f>IFERROR(VLOOKUP(E204,'Inventaire des produits'!$B$4:$K$1001,8,0),"")</f>
        <v>8.5</v>
      </c>
      <c r="I204" s="32">
        <f t="shared" si="4"/>
        <v>2125</v>
      </c>
      <c r="K204" s="127" t="str">
        <f t="shared" si="3"/>
        <v/>
      </c>
    </row>
    <row r="205" spans="2:11" x14ac:dyDescent="0.3">
      <c r="B205" s="306" t="s">
        <v>1703</v>
      </c>
      <c r="C205" s="320">
        <v>45307</v>
      </c>
      <c r="D205" s="325" t="s">
        <v>374</v>
      </c>
      <c r="E205" s="206" t="s">
        <v>372</v>
      </c>
      <c r="F205" s="29" t="str">
        <f>IFERROR(VLOOKUP(E205,'Inventaire des produits'!$B$4:$K$1001,2,0),"")</f>
        <v>BARQUETTE VITA PACK 750ML AVEC CVL</v>
      </c>
      <c r="G205" s="212">
        <v>2500</v>
      </c>
      <c r="H205" s="30">
        <f>IFERROR(VLOOKUP(E205,'Inventaire des produits'!$B$4:$K$1001,8,0),"")</f>
        <v>1.34</v>
      </c>
      <c r="I205" s="32">
        <f t="shared" si="4"/>
        <v>3350</v>
      </c>
      <c r="K205" s="127" t="str">
        <f t="shared" si="3"/>
        <v/>
      </c>
    </row>
    <row r="206" spans="2:11" x14ac:dyDescent="0.3">
      <c r="B206" s="306" t="s">
        <v>1703</v>
      </c>
      <c r="C206" s="322"/>
      <c r="D206" s="326"/>
      <c r="E206" s="206" t="s">
        <v>373</v>
      </c>
      <c r="F206" s="29" t="str">
        <f>IFERROR(VLOOKUP(E206,'Inventaire des produits'!$B$4:$K$1001,2,0),"")</f>
        <v>SALADIER ROND 750</v>
      </c>
      <c r="G206" s="212">
        <v>200</v>
      </c>
      <c r="H206" s="30">
        <f>IFERROR(VLOOKUP(E206,'Inventaire des produits'!$B$4:$K$1001,8,0),"")</f>
        <v>0.71</v>
      </c>
      <c r="I206" s="32">
        <f t="shared" si="4"/>
        <v>142</v>
      </c>
      <c r="K206" s="127" t="str">
        <f t="shared" si="3"/>
        <v/>
      </c>
    </row>
    <row r="207" spans="2:11" x14ac:dyDescent="0.3">
      <c r="B207" s="306" t="s">
        <v>1703</v>
      </c>
      <c r="C207" s="196">
        <v>45313</v>
      </c>
      <c r="D207" s="195" t="s">
        <v>378</v>
      </c>
      <c r="E207" s="205" t="s">
        <v>369</v>
      </c>
      <c r="F207" s="29" t="str">
        <f>IFERROR(VLOOKUP(E207,'Inventaire des produits'!$B$4:$K$1001,2,0),"")</f>
        <v>ROULEAU DE CAISSE THERMIQUE 70X80 CT 50RLX</v>
      </c>
      <c r="G207" s="212">
        <v>250</v>
      </c>
      <c r="H207" s="30">
        <f>IFERROR(VLOOKUP(E207,'Inventaire des produits'!$B$4:$K$1001,8,0),"")</f>
        <v>8.5</v>
      </c>
      <c r="I207" s="32">
        <f t="shared" si="4"/>
        <v>2125</v>
      </c>
      <c r="K207" s="127" t="str">
        <f t="shared" si="3"/>
        <v/>
      </c>
    </row>
    <row r="208" spans="2:11" x14ac:dyDescent="0.3">
      <c r="B208" s="306" t="s">
        <v>1703</v>
      </c>
      <c r="C208" s="196">
        <v>45310</v>
      </c>
      <c r="D208" s="195" t="s">
        <v>379</v>
      </c>
      <c r="E208" s="205" t="s">
        <v>322</v>
      </c>
      <c r="F208" s="29" t="str">
        <f>IFERROR(VLOOKUP(E208,'Inventaire des produits'!$B$4:$K$1001,2,0),"")</f>
        <v>POT DE SAUCE 1OZ 30ML HP</v>
      </c>
      <c r="G208" s="212">
        <v>70000</v>
      </c>
      <c r="H208" s="30">
        <f>IFERROR(VLOOKUP(E208,'Inventaire des produits'!$B$4:$K$1001,8,0),"")</f>
        <v>0.13500000000000001</v>
      </c>
      <c r="I208" s="32">
        <f t="shared" si="4"/>
        <v>9450</v>
      </c>
      <c r="K208" s="127" t="str">
        <f t="shared" si="3"/>
        <v/>
      </c>
    </row>
    <row r="209" spans="2:11" x14ac:dyDescent="0.3">
      <c r="B209" s="306" t="s">
        <v>1703</v>
      </c>
      <c r="C209" s="196">
        <v>45316</v>
      </c>
      <c r="D209" s="195" t="s">
        <v>382</v>
      </c>
      <c r="E209" s="205" t="s">
        <v>66</v>
      </c>
      <c r="F209" s="29" t="str">
        <f>IFERROR(VLOOKUP(E209,'Inventaire des produits'!$B$4:$K$1001,2,0),"")</f>
        <v>TRIPOD PIZZA EN PLASTIQUE</v>
      </c>
      <c r="G209" s="212">
        <v>2000</v>
      </c>
      <c r="H209" s="30">
        <f>IFERROR(VLOOKUP(E209,'Inventaire des produits'!$B$4:$K$1001,8,0),"")</f>
        <v>0.32</v>
      </c>
      <c r="I209" s="32">
        <f t="shared" si="4"/>
        <v>640</v>
      </c>
      <c r="K209" s="127" t="str">
        <f t="shared" si="3"/>
        <v/>
      </c>
    </row>
    <row r="210" spans="2:11" x14ac:dyDescent="0.3">
      <c r="B210" s="306" t="s">
        <v>1703</v>
      </c>
      <c r="C210" s="320">
        <v>45316</v>
      </c>
      <c r="D210" s="317" t="s">
        <v>388</v>
      </c>
      <c r="E210" s="205" t="s">
        <v>236</v>
      </c>
      <c r="F210" s="29" t="str">
        <f>IFERROR(VLOOKUP(E210,'Inventaire des produits'!$B$4:$K$1001,2,0),"")</f>
        <v>COQUILLE MEAL BOX 2 COMP BLANC</v>
      </c>
      <c r="G210" s="212">
        <v>5000</v>
      </c>
      <c r="H210" s="30">
        <f>IFERROR(VLOOKUP(E210,'Inventaire des produits'!$B$4:$K$1001,8,0),"")</f>
        <v>0.91666666669999997</v>
      </c>
      <c r="I210" s="32">
        <f t="shared" si="4"/>
        <v>4583.3333334999998</v>
      </c>
      <c r="K210" s="127" t="str">
        <f t="shared" si="3"/>
        <v/>
      </c>
    </row>
    <row r="211" spans="2:11" x14ac:dyDescent="0.3">
      <c r="B211" s="306" t="s">
        <v>1703</v>
      </c>
      <c r="C211" s="321"/>
      <c r="D211" s="318"/>
      <c r="E211" s="205" t="s">
        <v>345</v>
      </c>
      <c r="F211" s="29" t="str">
        <f>IFERROR(VLOOKUP(E211,'Inventaire des produits'!$B$4:$K$1001,2,0),"")</f>
        <v>POT DE SAUCE EN PLAST TRANSP 20ML</v>
      </c>
      <c r="G211" s="212">
        <v>20000</v>
      </c>
      <c r="H211" s="30">
        <f>IFERROR(VLOOKUP(E211,'Inventaire des produits'!$B$4:$K$1001,8,0),"")</f>
        <v>8.3333333300000006E-2</v>
      </c>
      <c r="I211" s="32">
        <f t="shared" si="4"/>
        <v>1666.6666660000001</v>
      </c>
      <c r="K211" s="127" t="str">
        <f t="shared" si="3"/>
        <v/>
      </c>
    </row>
    <row r="212" spans="2:11" x14ac:dyDescent="0.3">
      <c r="B212" s="306" t="s">
        <v>1703</v>
      </c>
      <c r="C212" s="321"/>
      <c r="D212" s="318"/>
      <c r="E212" s="205" t="s">
        <v>259</v>
      </c>
      <c r="F212" s="29" t="str">
        <f>IFERROR(VLOOKUP(E212,'Inventaire des produits'!$B$4:$K$1001,2,0),"")</f>
        <v>ROULEAU ALUMINIUM GOLDEN 200M</v>
      </c>
      <c r="G212" s="212">
        <v>120</v>
      </c>
      <c r="H212" s="30">
        <f>IFERROR(VLOOKUP(E212,'Inventaire des produits'!$B$4:$K$1001,8,0),"")</f>
        <v>58.333333333299997</v>
      </c>
      <c r="I212" s="32">
        <f t="shared" si="4"/>
        <v>6999.999999996</v>
      </c>
      <c r="K212" s="127" t="str">
        <f t="shared" si="3"/>
        <v/>
      </c>
    </row>
    <row r="213" spans="2:11" x14ac:dyDescent="0.3">
      <c r="B213" s="306" t="s">
        <v>1703</v>
      </c>
      <c r="C213" s="322"/>
      <c r="D213" s="319"/>
      <c r="E213" s="205" t="s">
        <v>387</v>
      </c>
      <c r="F213" s="29" t="str">
        <f>IFERROR(VLOOKUP(E213,'Inventaire des produits'!$B$4:$K$1001,2,0),"")</f>
        <v>GANT VINYL EXTRA PREMIUM GLOVE LARGE</v>
      </c>
      <c r="G213" s="212">
        <v>60</v>
      </c>
      <c r="H213" s="30">
        <f>IFERROR(VLOOKUP(E213,'Inventaire des produits'!$B$4:$K$1001,8,0),"")</f>
        <v>20</v>
      </c>
      <c r="I213" s="32">
        <f t="shared" si="4"/>
        <v>1200</v>
      </c>
      <c r="K213" s="127" t="str">
        <f t="shared" si="3"/>
        <v/>
      </c>
    </row>
    <row r="214" spans="2:11" x14ac:dyDescent="0.3">
      <c r="B214" s="306" t="s">
        <v>1703</v>
      </c>
      <c r="C214" s="196">
        <v>45310</v>
      </c>
      <c r="D214" s="195" t="s">
        <v>390</v>
      </c>
      <c r="E214" s="205" t="s">
        <v>389</v>
      </c>
      <c r="F214" s="29" t="str">
        <f>IFERROR(VLOOKUP(E214,'Inventaire des produits'!$B$4:$K$1001,2,0),"")</f>
        <v>ROULEAU ALUMINIUM EXTRA PACK 200M</v>
      </c>
      <c r="G214" s="212">
        <v>66</v>
      </c>
      <c r="H214" s="30">
        <f>IFERROR(VLOOKUP(E214,'Inventaire des produits'!$B$4:$K$1001,8,0),"")</f>
        <v>57.5</v>
      </c>
      <c r="I214" s="32">
        <f t="shared" si="4"/>
        <v>3795</v>
      </c>
      <c r="K214" s="127" t="str">
        <f t="shared" si="3"/>
        <v/>
      </c>
    </row>
    <row r="215" spans="2:11" x14ac:dyDescent="0.3">
      <c r="B215" s="306" t="s">
        <v>1703</v>
      </c>
      <c r="C215" s="196">
        <v>45306</v>
      </c>
      <c r="D215" s="195" t="s">
        <v>391</v>
      </c>
      <c r="E215" s="205" t="s">
        <v>389</v>
      </c>
      <c r="F215" s="29" t="str">
        <f>IFERROR(VLOOKUP(E215,'Inventaire des produits'!$B$4:$K$1001,2,0),"")</f>
        <v>ROULEAU ALUMINIUM EXTRA PACK 200M</v>
      </c>
      <c r="G215" s="212">
        <v>72</v>
      </c>
      <c r="H215" s="30">
        <f>IFERROR(VLOOKUP(E215,'Inventaire des produits'!$B$4:$K$1001,8,0),"")</f>
        <v>57.5</v>
      </c>
      <c r="I215" s="32">
        <f t="shared" si="4"/>
        <v>4140</v>
      </c>
      <c r="K215" s="127" t="str">
        <f t="shared" si="3"/>
        <v/>
      </c>
    </row>
    <row r="216" spans="2:11" x14ac:dyDescent="0.3">
      <c r="B216" s="306" t="s">
        <v>1703</v>
      </c>
      <c r="C216" s="196">
        <v>45314</v>
      </c>
      <c r="D216" s="195" t="s">
        <v>396</v>
      </c>
      <c r="E216" s="205" t="s">
        <v>395</v>
      </c>
      <c r="F216" s="29" t="str">
        <f>IFERROR(VLOOKUP(E216,'Inventaire des produits'!$B$4:$K$1001,2,0),"")</f>
        <v xml:space="preserve">SAC KRAFT 22*17*28 </v>
      </c>
      <c r="G216" s="212">
        <v>6750</v>
      </c>
      <c r="H216" s="30">
        <f>IFERROR(VLOOKUP(E216,'Inventaire des produits'!$B$4:$K$1001,8,0),"")</f>
        <v>0.70833400000000002</v>
      </c>
      <c r="I216" s="32">
        <f t="shared" si="4"/>
        <v>4781.2545</v>
      </c>
      <c r="K216" s="127" t="str">
        <f t="shared" si="3"/>
        <v/>
      </c>
    </row>
    <row r="217" spans="2:11" x14ac:dyDescent="0.3">
      <c r="B217" s="306" t="s">
        <v>1703</v>
      </c>
      <c r="C217" s="320">
        <v>45297</v>
      </c>
      <c r="D217" s="317" t="s">
        <v>401</v>
      </c>
      <c r="E217" s="205" t="s">
        <v>290</v>
      </c>
      <c r="F217" s="29" t="str">
        <f>IFERROR(VLOOKUP(E217,'Inventaire des produits'!$B$4:$K$1001,2,0),"")</f>
        <v>GOBLET 14OZ EN PLASTIQUE TRANS SMART AVEC CVL PLAT</v>
      </c>
      <c r="G217" s="212">
        <v>5000</v>
      </c>
      <c r="H217" s="30">
        <f>IFERROR(VLOOKUP(E217,'Inventaire des produits'!$B$4:$K$1001,8,0),"")</f>
        <v>0.43333749999999999</v>
      </c>
      <c r="I217" s="32">
        <f t="shared" si="4"/>
        <v>2166.6875</v>
      </c>
      <c r="K217" s="127" t="str">
        <f t="shared" si="3"/>
        <v/>
      </c>
    </row>
    <row r="218" spans="2:11" x14ac:dyDescent="0.3">
      <c r="B218" s="306" t="s">
        <v>1703</v>
      </c>
      <c r="C218" s="322"/>
      <c r="D218" s="319"/>
      <c r="E218" s="205" t="s">
        <v>276</v>
      </c>
      <c r="F218" s="29" t="str">
        <f>IFERROR(VLOOKUP(E218,'Inventaire des produits'!$B$4:$K$1001,2,0),"")</f>
        <v xml:space="preserve">GOBLET 12OZ EN PLAST TRANS SMART+CV </v>
      </c>
      <c r="G218" s="212">
        <v>3</v>
      </c>
      <c r="H218" s="30">
        <f>IFERROR(VLOOKUP(E218,'Inventaire des produits'!$B$4:$K$1001,8,0),"")</f>
        <v>408.33749999999998</v>
      </c>
      <c r="I218" s="32">
        <f t="shared" si="4"/>
        <v>1225.0124999999998</v>
      </c>
      <c r="K218" s="127" t="str">
        <f t="shared" si="3"/>
        <v/>
      </c>
    </row>
    <row r="219" spans="2:11" x14ac:dyDescent="0.3">
      <c r="B219" s="306" t="s">
        <v>1703</v>
      </c>
      <c r="C219" s="320">
        <v>45303</v>
      </c>
      <c r="D219" s="325" t="s">
        <v>402</v>
      </c>
      <c r="E219" s="206" t="s">
        <v>403</v>
      </c>
      <c r="F219" s="29" t="str">
        <f>IFERROR(VLOOKUP(E219,'Inventaire des produits'!$B$4:$K$1001,2,0),"")</f>
        <v>GOBLET 4OZ SANS CVL EN CARTON BON APETIT ECO GB</v>
      </c>
      <c r="G219" s="212">
        <v>10000</v>
      </c>
      <c r="H219" s="30">
        <f>IFERROR(VLOOKUP(E219,'Inventaire des produits'!$B$4:$K$1001,8,0),"")</f>
        <v>8.3375000000000005E-2</v>
      </c>
      <c r="I219" s="32">
        <f t="shared" si="4"/>
        <v>833.75</v>
      </c>
      <c r="K219" s="127" t="str">
        <f t="shared" si="3"/>
        <v/>
      </c>
    </row>
    <row r="220" spans="2:11" x14ac:dyDescent="0.3">
      <c r="B220" s="306" t="s">
        <v>1703</v>
      </c>
      <c r="C220" s="322"/>
      <c r="D220" s="326"/>
      <c r="E220" s="206" t="s">
        <v>404</v>
      </c>
      <c r="F220" s="29" t="str">
        <f>IFERROR(VLOOKUP(E220,'Inventaire des produits'!$B$4:$K$1001,2,0),"")</f>
        <v>CVL GOBLET 4OZ BLANC BON APETIT</v>
      </c>
      <c r="G220" s="212">
        <v>10000</v>
      </c>
      <c r="H220" s="30">
        <f>IFERROR(VLOOKUP(E220,'Inventaire des produits'!$B$4:$K$1001,8,0),"")</f>
        <v>8.3375000000000005E-2</v>
      </c>
      <c r="I220" s="32">
        <f t="shared" si="4"/>
        <v>833.75</v>
      </c>
      <c r="K220" s="127" t="str">
        <f t="shared" si="3"/>
        <v/>
      </c>
    </row>
    <row r="221" spans="2:11" x14ac:dyDescent="0.3">
      <c r="B221" s="306" t="s">
        <v>1703</v>
      </c>
      <c r="C221" s="196">
        <v>45324</v>
      </c>
      <c r="D221" s="195" t="s">
        <v>406</v>
      </c>
      <c r="E221" s="205" t="s">
        <v>405</v>
      </c>
      <c r="F221" s="29" t="str">
        <f>IFERROR(VLOOKUP(E221,'Inventaire des produits'!$B$4:$K$1001,2,0),"")</f>
        <v>POT DE SAUCE 1OZ 30ML HP</v>
      </c>
      <c r="G221" s="212">
        <v>80000</v>
      </c>
      <c r="H221" s="30">
        <f>IFERROR(VLOOKUP(E221,'Inventaire des produits'!$B$4:$K$1001,8,0),"")</f>
        <v>0.14019999999999999</v>
      </c>
      <c r="I221" s="32">
        <f t="shared" si="4"/>
        <v>11216</v>
      </c>
      <c r="K221" s="127" t="str">
        <f t="shared" si="3"/>
        <v/>
      </c>
    </row>
    <row r="222" spans="2:11" x14ac:dyDescent="0.3">
      <c r="B222" s="306" t="s">
        <v>1703</v>
      </c>
      <c r="C222" s="320">
        <v>45327</v>
      </c>
      <c r="D222" s="327" t="s">
        <v>413</v>
      </c>
      <c r="E222" s="205" t="s">
        <v>148</v>
      </c>
      <c r="F222" s="29" t="str">
        <f>IFERROR(VLOOKUP(E222,'Inventaire des produits'!$B$4:$K$1001,2,0),"")</f>
        <v>BARQUETTE SUSHI ST1 160*91*20</v>
      </c>
      <c r="G222" s="212">
        <v>4000</v>
      </c>
      <c r="H222" s="30">
        <f>IFERROR(VLOOKUP(E222,'Inventaire des produits'!$B$4:$K$1001,8,0),"")</f>
        <v>0.75833333329999997</v>
      </c>
      <c r="I222" s="32">
        <f t="shared" si="4"/>
        <v>3033.3333331999997</v>
      </c>
      <c r="K222" s="127" t="str">
        <f t="shared" si="3"/>
        <v/>
      </c>
    </row>
    <row r="223" spans="2:11" x14ac:dyDescent="0.3">
      <c r="B223" s="306" t="s">
        <v>1703</v>
      </c>
      <c r="C223" s="321"/>
      <c r="D223" s="328"/>
      <c r="E223" s="205" t="s">
        <v>149</v>
      </c>
      <c r="F223" s="29" t="str">
        <f>IFERROR(VLOOKUP(E223,'Inventaire des produits'!$B$4:$K$1001,2,0),"")</f>
        <v>BARQUETTE SUSHI ST2 218*90*20+CVRC</v>
      </c>
      <c r="G223" s="212">
        <v>4000</v>
      </c>
      <c r="H223" s="30">
        <f>IFERROR(VLOOKUP(E223,'Inventaire des produits'!$B$4:$K$1001,8,0),"")</f>
        <v>1</v>
      </c>
      <c r="I223" s="32">
        <f t="shared" si="4"/>
        <v>4000</v>
      </c>
      <c r="K223" s="127" t="str">
        <f t="shared" si="3"/>
        <v/>
      </c>
    </row>
    <row r="224" spans="2:11" x14ac:dyDescent="0.3">
      <c r="B224" s="306" t="s">
        <v>1703</v>
      </c>
      <c r="C224" s="321"/>
      <c r="D224" s="328"/>
      <c r="E224" s="205" t="s">
        <v>248</v>
      </c>
      <c r="F224" s="29" t="str">
        <f>IFERROR(VLOOKUP(E224,'Inventaire des produits'!$B$4:$K$1001,2,0),"")</f>
        <v>BARQUETTE SUSHI ST5 216*136*20+CVRCL</v>
      </c>
      <c r="G224" s="212">
        <v>4000</v>
      </c>
      <c r="H224" s="30">
        <f>IFERROR(VLOOKUP(E224,'Inventaire des produits'!$B$4:$K$1001,8,0),"")</f>
        <v>1.3166666667</v>
      </c>
      <c r="I224" s="32">
        <f t="shared" si="4"/>
        <v>5266.6666667999998</v>
      </c>
      <c r="K224" s="127" t="str">
        <f t="shared" si="3"/>
        <v/>
      </c>
    </row>
    <row r="225" spans="2:11" x14ac:dyDescent="0.3">
      <c r="B225" s="306" t="s">
        <v>1703</v>
      </c>
      <c r="C225" s="321"/>
      <c r="D225" s="328"/>
      <c r="E225" s="205" t="s">
        <v>408</v>
      </c>
      <c r="F225" s="29" t="str">
        <f>IFERROR(VLOOKUP(E225,'Inventaire des produits'!$B$4:$K$1001,2,0),"")</f>
        <v>PAPIER SANDWISH PACK 2,5KG</v>
      </c>
      <c r="G225" s="212">
        <v>14</v>
      </c>
      <c r="H225" s="30">
        <f>IFERROR(VLOOKUP(E225,'Inventaire des produits'!$B$4:$K$1001,8,0),"")</f>
        <v>41.667000000000002</v>
      </c>
      <c r="I225" s="32">
        <f t="shared" si="4"/>
        <v>583.33799999999997</v>
      </c>
      <c r="K225" s="127" t="str">
        <f t="shared" si="3"/>
        <v/>
      </c>
    </row>
    <row r="226" spans="2:11" x14ac:dyDescent="0.3">
      <c r="B226" s="306" t="s">
        <v>1703</v>
      </c>
      <c r="C226" s="321"/>
      <c r="D226" s="328"/>
      <c r="E226" s="206" t="s">
        <v>410</v>
      </c>
      <c r="F226" s="29" t="str">
        <f>IFERROR(VLOOKUP(E226,'Inventaire des produits'!$B$4:$K$1001,2,0),"")</f>
        <v>FILM ALIMENTAIRE 45*500</v>
      </c>
      <c r="G226" s="212">
        <v>24</v>
      </c>
      <c r="H226" s="30">
        <f>IFERROR(VLOOKUP(E226,'Inventaire des produits'!$B$4:$K$1001,8,0),"")</f>
        <v>33.332999999999998</v>
      </c>
      <c r="I226" s="32">
        <f t="shared" si="4"/>
        <v>799.99199999999996</v>
      </c>
      <c r="K226" s="127" t="str">
        <f t="shared" si="3"/>
        <v/>
      </c>
    </row>
    <row r="227" spans="2:11" x14ac:dyDescent="0.3">
      <c r="B227" s="306" t="s">
        <v>1703</v>
      </c>
      <c r="C227" s="322"/>
      <c r="D227" s="329"/>
      <c r="E227" s="206" t="s">
        <v>412</v>
      </c>
      <c r="F227" s="29" t="str">
        <f>IFERROR(VLOOKUP(E227,'Inventaire des produits'!$B$4:$K$1001,2,0),"")</f>
        <v>SACHET VERGER KG</v>
      </c>
      <c r="G227" s="212">
        <v>5</v>
      </c>
      <c r="H227" s="30">
        <f>IFERROR(VLOOKUP(E227,'Inventaire des produits'!$B$4:$K$1001,8,0),"")</f>
        <v>15</v>
      </c>
      <c r="I227" s="32">
        <f t="shared" si="4"/>
        <v>75</v>
      </c>
      <c r="K227" s="127" t="str">
        <f t="shared" si="3"/>
        <v/>
      </c>
    </row>
    <row r="228" spans="2:11" x14ac:dyDescent="0.3">
      <c r="B228" s="306" t="s">
        <v>1703</v>
      </c>
      <c r="C228" s="320">
        <v>45320</v>
      </c>
      <c r="D228" s="317" t="s">
        <v>415</v>
      </c>
      <c r="E228" s="205" t="s">
        <v>414</v>
      </c>
      <c r="F228" s="29" t="str">
        <f>IFERROR(VLOOKUP(E228,'Inventaire des produits'!$B$4:$K$1001,2,0),"")</f>
        <v>GANT VINYL NOIR EXTRA PREMIUM GLOVE LARGE</v>
      </c>
      <c r="G228" s="212">
        <v>80</v>
      </c>
      <c r="H228" s="30">
        <f>IFERROR(VLOOKUP(E228,'Inventaire des produits'!$B$4:$K$1001,8,0),"")</f>
        <v>20.833333333300001</v>
      </c>
      <c r="I228" s="32">
        <f t="shared" si="4"/>
        <v>1666.6666666640001</v>
      </c>
      <c r="K228" s="127" t="str">
        <f t="shared" si="3"/>
        <v/>
      </c>
    </row>
    <row r="229" spans="2:11" x14ac:dyDescent="0.3">
      <c r="B229" s="306" t="s">
        <v>1703</v>
      </c>
      <c r="C229" s="321"/>
      <c r="D229" s="318"/>
      <c r="E229" s="205" t="s">
        <v>387</v>
      </c>
      <c r="F229" s="29" t="str">
        <f>IFERROR(VLOOKUP(E229,'Inventaire des produits'!$B$4:$K$1001,2,0),"")</f>
        <v>GANT VINYL EXTRA PREMIUM GLOVE LARGE</v>
      </c>
      <c r="G229" s="212">
        <v>70</v>
      </c>
      <c r="H229" s="30">
        <f>IFERROR(VLOOKUP(E229,'Inventaire des produits'!$B$4:$K$1001,8,0),"")</f>
        <v>20</v>
      </c>
      <c r="I229" s="32">
        <f t="shared" si="4"/>
        <v>1400</v>
      </c>
      <c r="K229" s="127" t="str">
        <f t="shared" si="3"/>
        <v/>
      </c>
    </row>
    <row r="230" spans="2:11" x14ac:dyDescent="0.3">
      <c r="B230" s="306" t="s">
        <v>1703</v>
      </c>
      <c r="C230" s="321"/>
      <c r="D230" s="318"/>
      <c r="E230" s="205" t="s">
        <v>341</v>
      </c>
      <c r="F230" s="29" t="str">
        <f>IFERROR(VLOOKUP(E230,'Inventaire des produits'!$B$4:$K$1001,2,0),"")</f>
        <v>ROULEAU ALUMINIUM GOLDEN 200M</v>
      </c>
      <c r="G230" s="212">
        <v>60</v>
      </c>
      <c r="H230" s="30">
        <f>IFERROR(VLOOKUP(E230,'Inventaire des produits'!$B$4:$K$1001,8,0),"")</f>
        <v>57.5</v>
      </c>
      <c r="I230" s="32">
        <f t="shared" si="4"/>
        <v>3450</v>
      </c>
      <c r="K230" s="127" t="str">
        <f t="shared" si="3"/>
        <v/>
      </c>
    </row>
    <row r="231" spans="2:11" x14ac:dyDescent="0.3">
      <c r="B231" s="306" t="s">
        <v>1703</v>
      </c>
      <c r="C231" s="321"/>
      <c r="D231" s="318"/>
      <c r="E231" s="205" t="s">
        <v>236</v>
      </c>
      <c r="F231" s="29" t="str">
        <f>IFERROR(VLOOKUP(E231,'Inventaire des produits'!$B$4:$K$1001,2,0),"")</f>
        <v>COQUILLE MEAL BOX 2 COMP BLANC</v>
      </c>
      <c r="G231" s="212">
        <v>3000</v>
      </c>
      <c r="H231" s="30">
        <f>IFERROR(VLOOKUP(E231,'Inventaire des produits'!$B$4:$K$1001,8,0),"")</f>
        <v>0.91666666669999997</v>
      </c>
      <c r="I231" s="32">
        <f t="shared" si="4"/>
        <v>2750.0000000999999</v>
      </c>
      <c r="K231" s="127" t="str">
        <f t="shared" si="3"/>
        <v/>
      </c>
    </row>
    <row r="232" spans="2:11" x14ac:dyDescent="0.3">
      <c r="B232" s="306" t="s">
        <v>1703</v>
      </c>
      <c r="C232" s="322"/>
      <c r="D232" s="319"/>
      <c r="E232" s="205" t="s">
        <v>345</v>
      </c>
      <c r="F232" s="29" t="str">
        <f>IFERROR(VLOOKUP(E232,'Inventaire des produits'!$B$4:$K$1001,2,0),"")</f>
        <v>POT DE SAUCE EN PLAST TRANSP 20ML</v>
      </c>
      <c r="G232" s="212">
        <v>20000</v>
      </c>
      <c r="H232" s="30">
        <f>IFERROR(VLOOKUP(E232,'Inventaire des produits'!$B$4:$K$1001,8,0),"")</f>
        <v>8.3333333300000006E-2</v>
      </c>
      <c r="I232" s="32">
        <f t="shared" si="4"/>
        <v>1666.6666660000001</v>
      </c>
      <c r="K232" s="127" t="str">
        <f t="shared" si="3"/>
        <v/>
      </c>
    </row>
    <row r="233" spans="2:11" x14ac:dyDescent="0.3">
      <c r="B233" s="306" t="s">
        <v>1703</v>
      </c>
      <c r="C233" s="196">
        <v>45328</v>
      </c>
      <c r="D233" s="195" t="s">
        <v>419</v>
      </c>
      <c r="E233" s="205" t="s">
        <v>418</v>
      </c>
      <c r="F233" s="29" t="str">
        <f>IFERROR(VLOOKUP(E233,'Inventaire des produits'!$B$4:$K$1001,2,0),"")</f>
        <v>ROULEAU DE CAISSE THERMIQUE 70X80</v>
      </c>
      <c r="G233" s="212">
        <v>150</v>
      </c>
      <c r="H233" s="30">
        <f>IFERROR(VLOOKUP(E233,'Inventaire des produits'!$B$4:$K$1001,8,0),"")</f>
        <v>8</v>
      </c>
      <c r="I233" s="32">
        <f t="shared" si="4"/>
        <v>1200</v>
      </c>
      <c r="K233" s="127" t="str">
        <f t="shared" si="3"/>
        <v/>
      </c>
    </row>
    <row r="234" spans="2:11" x14ac:dyDescent="0.3">
      <c r="B234" s="306" t="s">
        <v>1703</v>
      </c>
      <c r="C234" s="320">
        <v>45329</v>
      </c>
      <c r="D234" s="325" t="s">
        <v>426</v>
      </c>
      <c r="E234" s="206" t="s">
        <v>423</v>
      </c>
      <c r="F234" s="29" t="str">
        <f>IFERROR(VLOOKUP(E234,'Inventaire des produits'!$B$4:$K$1001,2,0),"")</f>
        <v>COUPE MACEDONIA</v>
      </c>
      <c r="G234" s="212">
        <v>1000</v>
      </c>
      <c r="H234" s="30">
        <f>IFERROR(VLOOKUP(E234,'Inventaire des produits'!$B$4:$K$1001,8,0),"")</f>
        <v>0.79</v>
      </c>
      <c r="I234" s="32">
        <f t="shared" si="4"/>
        <v>790</v>
      </c>
      <c r="K234" s="127" t="str">
        <f t="shared" si="3"/>
        <v/>
      </c>
    </row>
    <row r="235" spans="2:11" x14ac:dyDescent="0.3">
      <c r="B235" s="306" t="s">
        <v>1703</v>
      </c>
      <c r="C235" s="322"/>
      <c r="D235" s="326"/>
      <c r="E235" s="206" t="s">
        <v>425</v>
      </c>
      <c r="F235" s="29" t="str">
        <f>IFERROR(VLOOKUP(E235,'Inventaire des produits'!$B$4:$K$1001,2,0),"")</f>
        <v>COUTEAU ECOLUXE TRANS</v>
      </c>
      <c r="G235" s="212">
        <v>20</v>
      </c>
      <c r="H235" s="30">
        <f>IFERROR(VLOOKUP(E235,'Inventaire des produits'!$B$4:$K$1001,8,0),"")</f>
        <v>18.329999999999998</v>
      </c>
      <c r="I235" s="32">
        <f t="shared" si="4"/>
        <v>366.59999999999997</v>
      </c>
      <c r="K235" s="127" t="str">
        <f t="shared" si="3"/>
        <v/>
      </c>
    </row>
    <row r="236" spans="2:11" x14ac:dyDescent="0.3">
      <c r="B236" s="306" t="s">
        <v>1703</v>
      </c>
      <c r="C236" s="196">
        <v>45329</v>
      </c>
      <c r="D236" s="195" t="s">
        <v>429</v>
      </c>
      <c r="E236" s="205" t="s">
        <v>290</v>
      </c>
      <c r="F236" s="29" t="str">
        <f>IFERROR(VLOOKUP(E236,'Inventaire des produits'!$B$4:$K$1001,2,0),"")</f>
        <v>GOBLET 14OZ EN PLASTIQUE TRANS SMART AVEC CVL PLAT</v>
      </c>
      <c r="G236" s="212">
        <v>4000</v>
      </c>
      <c r="H236" s="30">
        <f>IFERROR(VLOOKUP(E236,'Inventaire des produits'!$B$4:$K$1001,8,0),"")</f>
        <v>0.43333749999999999</v>
      </c>
      <c r="I236" s="32">
        <f t="shared" si="4"/>
        <v>1733.35</v>
      </c>
      <c r="K236" s="127" t="str">
        <f t="shared" si="3"/>
        <v/>
      </c>
    </row>
    <row r="237" spans="2:11" x14ac:dyDescent="0.3">
      <c r="B237" s="306" t="s">
        <v>1703</v>
      </c>
      <c r="C237" s="196">
        <v>45331</v>
      </c>
      <c r="D237" s="195" t="s">
        <v>434</v>
      </c>
      <c r="E237" s="205" t="s">
        <v>432</v>
      </c>
      <c r="F237" s="29" t="str">
        <f>IFERROR(VLOOKUP(E237,'Inventaire des produits'!$B$4:$K$1001,2,0),"")</f>
        <v>AGITATEUR EN PLAST ECON TRANSP 1000P</v>
      </c>
      <c r="G237" s="212">
        <v>30</v>
      </c>
      <c r="H237" s="30">
        <f>IFERROR(VLOOKUP(E237,'Inventaire des produits'!$B$4:$K$1001,8,0),"")</f>
        <v>20.833333332999999</v>
      </c>
      <c r="I237" s="32">
        <f t="shared" si="4"/>
        <v>624.99999998999999</v>
      </c>
      <c r="K237" s="127" t="str">
        <f t="shared" si="3"/>
        <v/>
      </c>
    </row>
    <row r="238" spans="2:11" x14ac:dyDescent="0.3">
      <c r="B238" s="306" t="s">
        <v>1703</v>
      </c>
      <c r="C238" s="320">
        <v>45320</v>
      </c>
      <c r="D238" s="325" t="s">
        <v>449</v>
      </c>
      <c r="E238" s="206" t="s">
        <v>439</v>
      </c>
      <c r="F238" s="29" t="str">
        <f>IFERROR(VLOOKUP(E238,'Inventaire des produits'!$B$4:$K$1001,2,0),"")</f>
        <v>EGOUTOIR 250 GRS</v>
      </c>
      <c r="G238" s="212">
        <v>6200</v>
      </c>
      <c r="H238" s="30">
        <f>IFERROR(VLOOKUP(E238,'Inventaire des produits'!$B$4:$K$1001,8,0),"")</f>
        <v>0.39</v>
      </c>
      <c r="I238" s="32">
        <f t="shared" si="4"/>
        <v>2418</v>
      </c>
      <c r="K238" s="127" t="str">
        <f t="shared" si="3"/>
        <v/>
      </c>
    </row>
    <row r="239" spans="2:11" x14ac:dyDescent="0.3">
      <c r="B239" s="306" t="s">
        <v>1703</v>
      </c>
      <c r="C239" s="321"/>
      <c r="D239" s="330"/>
      <c r="E239" s="206" t="s">
        <v>440</v>
      </c>
      <c r="F239" s="29" t="str">
        <f>IFERROR(VLOOKUP(E239,'Inventaire des produits'!$B$4:$K$1001,2,0),"")</f>
        <v>COUPE MACEDONIA</v>
      </c>
      <c r="G239" s="212">
        <v>5000</v>
      </c>
      <c r="H239" s="30">
        <f>IFERROR(VLOOKUP(E239,'Inventaire des produits'!$B$4:$K$1001,8,0),"")</f>
        <v>0.47</v>
      </c>
      <c r="I239" s="32">
        <f t="shared" si="4"/>
        <v>2350</v>
      </c>
      <c r="K239" s="127" t="str">
        <f t="shared" si="3"/>
        <v/>
      </c>
    </row>
    <row r="240" spans="2:11" x14ac:dyDescent="0.3">
      <c r="B240" s="306" t="s">
        <v>1703</v>
      </c>
      <c r="C240" s="321"/>
      <c r="D240" s="330"/>
      <c r="E240" s="206" t="s">
        <v>442</v>
      </c>
      <c r="F240" s="29" t="str">
        <f>IFERROR(VLOOKUP(E240,'Inventaire des produits'!$B$4:$K$1001,2,0),"")</f>
        <v>CVL DE COUPE MACEDONIA</v>
      </c>
      <c r="G240" s="212">
        <v>5000</v>
      </c>
      <c r="H240" s="30">
        <f>IFERROR(VLOOKUP(E240,'Inventaire des produits'!$B$4:$K$1001,8,0),"")</f>
        <v>0.22</v>
      </c>
      <c r="I240" s="32">
        <f t="shared" si="4"/>
        <v>1100</v>
      </c>
      <c r="K240" s="127" t="str">
        <f t="shared" si="3"/>
        <v/>
      </c>
    </row>
    <row r="241" spans="2:11" x14ac:dyDescent="0.3">
      <c r="B241" s="306" t="s">
        <v>1703</v>
      </c>
      <c r="C241" s="321"/>
      <c r="D241" s="330"/>
      <c r="E241" s="206" t="s">
        <v>444</v>
      </c>
      <c r="F241" s="29" t="str">
        <f>IFERROR(VLOOKUP(E241,'Inventaire des produits'!$B$4:$K$1001,2,0),"")</f>
        <v>COUPE DESSERT</v>
      </c>
      <c r="G241" s="212">
        <v>9000</v>
      </c>
      <c r="H241" s="30">
        <f>IFERROR(VLOOKUP(E241,'Inventaire des produits'!$B$4:$K$1001,8,0),"")</f>
        <v>0.5</v>
      </c>
      <c r="I241" s="32">
        <f t="shared" si="4"/>
        <v>4500</v>
      </c>
      <c r="K241" s="127" t="str">
        <f t="shared" si="3"/>
        <v/>
      </c>
    </row>
    <row r="242" spans="2:11" x14ac:dyDescent="0.3">
      <c r="B242" s="306" t="s">
        <v>1703</v>
      </c>
      <c r="C242" s="321"/>
      <c r="D242" s="330"/>
      <c r="E242" s="206" t="s">
        <v>446</v>
      </c>
      <c r="F242" s="29" t="str">
        <f>IFERROR(VLOOKUP(E242,'Inventaire des produits'!$B$4:$K$1001,2,0),"")</f>
        <v>CVL DE COUPE DESSERT</v>
      </c>
      <c r="G242" s="212">
        <v>9000</v>
      </c>
      <c r="H242" s="30">
        <f>IFERROR(VLOOKUP(E242,'Inventaire des produits'!$B$4:$K$1001,8,0),"")</f>
        <v>0.27</v>
      </c>
      <c r="I242" s="32">
        <f t="shared" si="4"/>
        <v>2430</v>
      </c>
      <c r="K242" s="127" t="str">
        <f t="shared" si="3"/>
        <v/>
      </c>
    </row>
    <row r="243" spans="2:11" x14ac:dyDescent="0.3">
      <c r="B243" s="306" t="s">
        <v>1703</v>
      </c>
      <c r="C243" s="321"/>
      <c r="D243" s="330"/>
      <c r="E243" s="206" t="s">
        <v>447</v>
      </c>
      <c r="F243" s="29" t="str">
        <f>IFERROR(VLOOKUP(E243,'Inventaire des produits'!$B$4:$K$1001,2,0),"")</f>
        <v>ROULEAU ALUMINIUM 300M</v>
      </c>
      <c r="G243" s="212">
        <v>2</v>
      </c>
      <c r="H243" s="30">
        <f>IFERROR(VLOOKUP(E243,'Inventaire des produits'!$B$4:$K$1001,8,0),"")</f>
        <v>106</v>
      </c>
      <c r="I243" s="32">
        <f t="shared" si="4"/>
        <v>212</v>
      </c>
      <c r="K243" s="127" t="str">
        <f t="shared" si="3"/>
        <v/>
      </c>
    </row>
    <row r="244" spans="2:11" x14ac:dyDescent="0.3">
      <c r="B244" s="306" t="s">
        <v>1703</v>
      </c>
      <c r="C244" s="322"/>
      <c r="D244" s="326"/>
      <c r="E244" s="206" t="s">
        <v>448</v>
      </c>
      <c r="F244" s="29" t="str">
        <f>IFERROR(VLOOKUP(E244,'Inventaire des produits'!$B$4:$K$1001,2,0),"")</f>
        <v>ROULEAU ALUMINIUM 200</v>
      </c>
      <c r="G244" s="212">
        <v>1</v>
      </c>
      <c r="H244" s="30">
        <f>IFERROR(VLOOKUP(E244,'Inventaire des produits'!$B$4:$K$1001,8,0),"")</f>
        <v>54</v>
      </c>
      <c r="I244" s="32">
        <f t="shared" si="4"/>
        <v>54</v>
      </c>
      <c r="K244" s="127" t="str">
        <f t="shared" si="3"/>
        <v/>
      </c>
    </row>
    <row r="245" spans="2:11" x14ac:dyDescent="0.3">
      <c r="B245" s="306" t="s">
        <v>1703</v>
      </c>
      <c r="C245" s="196">
        <v>45338</v>
      </c>
      <c r="D245" s="195" t="s">
        <v>460</v>
      </c>
      <c r="E245" s="205" t="s">
        <v>459</v>
      </c>
      <c r="F245" s="29" t="str">
        <f>IFERROR(VLOOKUP(E245,'Inventaire des produits'!$B$4:$K$1001,2,0),"")</f>
        <v>SAC FOND CARRE POIGNE PLAT 26*17*28 70G</v>
      </c>
      <c r="G245" s="212">
        <v>7500</v>
      </c>
      <c r="H245" s="30">
        <f>IFERROR(VLOOKUP(E245,'Inventaire des produits'!$B$4:$K$1001,8,0),"")</f>
        <v>0.75</v>
      </c>
      <c r="I245" s="32">
        <f t="shared" si="4"/>
        <v>5625</v>
      </c>
      <c r="K245" s="127" t="str">
        <f t="shared" si="3"/>
        <v/>
      </c>
    </row>
    <row r="246" spans="2:11" x14ac:dyDescent="0.3">
      <c r="B246" s="306" t="s">
        <v>1703</v>
      </c>
      <c r="C246" s="196">
        <v>45338</v>
      </c>
      <c r="D246" s="195" t="s">
        <v>463</v>
      </c>
      <c r="E246" s="205" t="s">
        <v>461</v>
      </c>
      <c r="F246" s="29" t="str">
        <f>IFERROR(VLOOKUP(E246,'Inventaire des produits'!$B$4:$K$1001,2,0),"")</f>
        <v>GOBLET 8OZ AVEC CVL</v>
      </c>
      <c r="G246" s="212">
        <v>500</v>
      </c>
      <c r="H246" s="30">
        <f>IFERROR(VLOOKUP(E246,'Inventaire des produits'!$B$4:$K$1001,8,0),"")</f>
        <v>0.5</v>
      </c>
      <c r="I246" s="32">
        <f t="shared" si="4"/>
        <v>250</v>
      </c>
      <c r="K246" s="127" t="str">
        <f t="shared" si="3"/>
        <v/>
      </c>
    </row>
    <row r="247" spans="2:11" x14ac:dyDescent="0.3">
      <c r="B247" s="306" t="s">
        <v>1703</v>
      </c>
      <c r="C247" s="320">
        <v>45337</v>
      </c>
      <c r="D247" s="317" t="s">
        <v>465</v>
      </c>
      <c r="E247" s="205" t="s">
        <v>127</v>
      </c>
      <c r="F247" s="29" t="str">
        <f>IFERROR(VLOOKUP(E247,'Inventaire des produits'!$B$4:$K$1001,2,0),"")</f>
        <v>SERVIETTE DE TABLE SEVAN 1PLI</v>
      </c>
      <c r="G247" s="212">
        <v>2500</v>
      </c>
      <c r="H247" s="30">
        <f>IFERROR(VLOOKUP(E247,'Inventaire des produits'!$B$4:$K$1001,8,0),"")</f>
        <v>2.9169999999999998</v>
      </c>
      <c r="I247" s="32">
        <f t="shared" si="4"/>
        <v>7292.4999999999991</v>
      </c>
      <c r="K247" s="127" t="str">
        <f t="shared" si="3"/>
        <v/>
      </c>
    </row>
    <row r="248" spans="2:11" x14ac:dyDescent="0.3">
      <c r="B248" s="306" t="s">
        <v>1703</v>
      </c>
      <c r="C248" s="322"/>
      <c r="D248" s="319"/>
      <c r="E248" s="205" t="s">
        <v>464</v>
      </c>
      <c r="F248" s="29" t="str">
        <f>IFERROR(VLOOKUP(E248,'Inventaire des produits'!$B$4:$K$1001,2,0),"")</f>
        <v>PAPIER ZIGZAG</v>
      </c>
      <c r="G248" s="212">
        <v>200</v>
      </c>
      <c r="H248" s="30">
        <f>IFERROR(VLOOKUP(E248,'Inventaire des produits'!$B$4:$K$1001,8,0),"")</f>
        <v>7.5</v>
      </c>
      <c r="I248" s="32">
        <f t="shared" si="4"/>
        <v>1500</v>
      </c>
      <c r="K248" s="127" t="str">
        <f t="shared" si="3"/>
        <v/>
      </c>
    </row>
    <row r="249" spans="2:11" x14ac:dyDescent="0.3">
      <c r="B249" s="306" t="s">
        <v>1703</v>
      </c>
      <c r="C249" s="196">
        <v>45338</v>
      </c>
      <c r="D249" s="195" t="s">
        <v>470</v>
      </c>
      <c r="E249" s="205" t="s">
        <v>468</v>
      </c>
      <c r="F249" s="29" t="str">
        <f>IFERROR(VLOOKUP(E249,'Inventaire des produits'!$B$4:$K$1001,2,0),"")</f>
        <v>CLICHE POLYMERE EP° 5MM</v>
      </c>
      <c r="G249" s="212">
        <v>1</v>
      </c>
      <c r="H249" s="30">
        <f>IFERROR(VLOOKUP(E249,'Inventaire des produits'!$B$4:$K$1001,8,0),"")</f>
        <v>250</v>
      </c>
      <c r="I249" s="32">
        <f t="shared" si="4"/>
        <v>250</v>
      </c>
      <c r="K249" s="127" t="str">
        <f t="shared" si="3"/>
        <v/>
      </c>
    </row>
    <row r="250" spans="2:11" x14ac:dyDescent="0.3">
      <c r="B250" s="306" t="s">
        <v>1703</v>
      </c>
      <c r="C250" s="196">
        <v>45336</v>
      </c>
      <c r="D250" s="195" t="s">
        <v>924</v>
      </c>
      <c r="E250" s="205" t="s">
        <v>405</v>
      </c>
      <c r="F250" s="29" t="str">
        <f>IFERROR(VLOOKUP(E250,'Inventaire des produits'!$B$4:$K$1001,2,0),"")</f>
        <v>POT DE SAUCE 1OZ 30ML HP</v>
      </c>
      <c r="G250" s="212">
        <v>70000</v>
      </c>
      <c r="H250" s="30">
        <f>IFERROR(VLOOKUP(E250,'Inventaire des produits'!$B$4:$K$1001,8,0),"")</f>
        <v>0.14019999999999999</v>
      </c>
      <c r="I250" s="32">
        <f t="shared" si="4"/>
        <v>9814</v>
      </c>
      <c r="K250" s="127" t="str">
        <f t="shared" si="3"/>
        <v/>
      </c>
    </row>
    <row r="251" spans="2:11" x14ac:dyDescent="0.3">
      <c r="B251" s="306" t="s">
        <v>1703</v>
      </c>
      <c r="C251" s="196">
        <v>45292</v>
      </c>
      <c r="D251" s="195" t="s">
        <v>480</v>
      </c>
      <c r="E251" s="205" t="s">
        <v>479</v>
      </c>
      <c r="F251" s="29" t="str">
        <f>IFERROR(VLOOKUP(E251,'Inventaire des produits'!$B$4:$K$1001,2,0),"")</f>
        <v xml:space="preserve">SAC KRAFT 22*17*28 </v>
      </c>
      <c r="G251" s="212">
        <v>15000</v>
      </c>
      <c r="H251" s="30">
        <f>IFERROR(VLOOKUP(E251,'Inventaire des produits'!$B$4:$K$1001,8,0),"")</f>
        <v>0.71</v>
      </c>
      <c r="I251" s="32">
        <f t="shared" si="4"/>
        <v>10650</v>
      </c>
      <c r="K251" s="127" t="str">
        <f t="shared" si="3"/>
        <v/>
      </c>
    </row>
    <row r="252" spans="2:11" x14ac:dyDescent="0.3">
      <c r="B252" s="306" t="s">
        <v>1703</v>
      </c>
      <c r="C252" s="196">
        <v>45330</v>
      </c>
      <c r="D252" s="195" t="s">
        <v>484</v>
      </c>
      <c r="E252" s="205" t="s">
        <v>483</v>
      </c>
      <c r="F252" s="29" t="str">
        <f>IFERROR(VLOOKUP(E252,'Inventaire des produits'!$B$4:$K$1001,2,0),"")</f>
        <v>SERVIETTE</v>
      </c>
      <c r="G252" s="212">
        <v>1075</v>
      </c>
      <c r="H252" s="30">
        <f>IFERROR(VLOOKUP(E252,'Inventaire des produits'!$B$4:$K$1001,8,0),"")</f>
        <v>2.3333333333000001</v>
      </c>
      <c r="I252" s="32">
        <f t="shared" si="4"/>
        <v>2508.3333332975003</v>
      </c>
      <c r="K252" s="127" t="str">
        <f t="shared" si="3"/>
        <v/>
      </c>
    </row>
    <row r="253" spans="2:11" x14ac:dyDescent="0.3">
      <c r="B253" s="306" t="s">
        <v>1703</v>
      </c>
      <c r="C253" s="196">
        <v>45296</v>
      </c>
      <c r="D253" s="195" t="s">
        <v>488</v>
      </c>
      <c r="E253" s="205" t="s">
        <v>486</v>
      </c>
      <c r="F253" s="29" t="str">
        <f>IFERROR(VLOOKUP(E253,'Inventaire des produits'!$B$4:$K$1001,2,0),"")</f>
        <v xml:space="preserve">COUPE DESSERT ARISSA ET CVL 230CC </v>
      </c>
      <c r="G253" s="212">
        <v>600</v>
      </c>
      <c r="H253" s="30">
        <f>IFERROR(VLOOKUP(E253,'Inventaire des produits'!$B$4:$K$1001,8,0),"")</f>
        <v>1.25</v>
      </c>
      <c r="I253" s="32">
        <f t="shared" si="4"/>
        <v>750</v>
      </c>
      <c r="K253" s="127" t="str">
        <f t="shared" si="3"/>
        <v/>
      </c>
    </row>
    <row r="254" spans="2:11" x14ac:dyDescent="0.3">
      <c r="B254" s="306" t="s">
        <v>1703</v>
      </c>
      <c r="C254" s="196">
        <v>45345</v>
      </c>
      <c r="D254" s="195" t="s">
        <v>491</v>
      </c>
      <c r="E254" s="205" t="s">
        <v>418</v>
      </c>
      <c r="F254" s="29" t="str">
        <f>IFERROR(VLOOKUP(E254,'Inventaire des produits'!$B$4:$K$1001,2,0),"")</f>
        <v>ROULEAU DE CAISSE THERMIQUE 70X80</v>
      </c>
      <c r="G254" s="212">
        <v>600</v>
      </c>
      <c r="H254" s="30">
        <f>IFERROR(VLOOKUP(E254,'Inventaire des produits'!$B$4:$K$1001,8,0),"")</f>
        <v>8</v>
      </c>
      <c r="I254" s="32">
        <f t="shared" si="4"/>
        <v>4800</v>
      </c>
      <c r="K254" s="127" t="str">
        <f t="shared" ref="K254:K317" si="5">IF(J254="","",J254*1.2)</f>
        <v/>
      </c>
    </row>
    <row r="255" spans="2:11" x14ac:dyDescent="0.3">
      <c r="B255" s="306" t="s">
        <v>1703</v>
      </c>
      <c r="C255" s="320">
        <v>45343</v>
      </c>
      <c r="D255" s="325" t="s">
        <v>496</v>
      </c>
      <c r="E255" s="206" t="s">
        <v>492</v>
      </c>
      <c r="F255" s="29" t="str">
        <f>IFERROR(VLOOKUP(E255,'Inventaire des produits'!$B$4:$K$1001,2,0),"")</f>
        <v>GOBLET 4OZ EN CARTON BON APPETIT ECO GB</v>
      </c>
      <c r="G255" s="212">
        <v>8000</v>
      </c>
      <c r="H255" s="30">
        <f>IFERROR(VLOOKUP(E255,'Inventaire des produits'!$B$4:$K$1001,8,0),"")</f>
        <v>8.3750000000000005E-2</v>
      </c>
      <c r="I255" s="32">
        <f t="shared" si="4"/>
        <v>670</v>
      </c>
      <c r="K255" s="127" t="str">
        <f t="shared" si="5"/>
        <v/>
      </c>
    </row>
    <row r="256" spans="2:11" x14ac:dyDescent="0.3">
      <c r="B256" s="306" t="s">
        <v>1703</v>
      </c>
      <c r="C256" s="322"/>
      <c r="D256" s="326"/>
      <c r="E256" s="206" t="s">
        <v>493</v>
      </c>
      <c r="F256" s="29" t="str">
        <f>IFERROR(VLOOKUP(E256,'Inventaire des produits'!$B$4:$K$1001,2,0),"")</f>
        <v>CVL DE GOBLET 4OZ NOIR BON APPETIT</v>
      </c>
      <c r="G256" s="212">
        <v>8000</v>
      </c>
      <c r="H256" s="30">
        <f>IFERROR(VLOOKUP(E256,'Inventaire des produits'!$B$4:$K$1001,8,0),"")</f>
        <v>7.4999999999999997E-2</v>
      </c>
      <c r="I256" s="32">
        <f t="shared" si="4"/>
        <v>600</v>
      </c>
      <c r="K256" s="127" t="str">
        <f t="shared" si="5"/>
        <v/>
      </c>
    </row>
    <row r="257" spans="2:11" x14ac:dyDescent="0.3">
      <c r="B257" s="306" t="s">
        <v>1703</v>
      </c>
      <c r="C257" s="196">
        <v>45300</v>
      </c>
      <c r="D257" s="195" t="s">
        <v>499</v>
      </c>
      <c r="E257" s="205" t="s">
        <v>498</v>
      </c>
      <c r="F257" s="29" t="str">
        <f>IFERROR(VLOOKUP(E257,'Inventaire des produits'!$B$4:$K$1001,2,0),"")</f>
        <v>FILM ETIRABLE VIOLET 450MM KG</v>
      </c>
      <c r="G257" s="212">
        <v>166.15</v>
      </c>
      <c r="H257" s="30">
        <f>IFERROR(VLOOKUP(E257,'Inventaire des produits'!$B$4:$K$1001,8,0),"")</f>
        <v>27.083333333300001</v>
      </c>
      <c r="I257" s="32">
        <f t="shared" si="4"/>
        <v>4499.8958333277951</v>
      </c>
      <c r="K257" s="127" t="str">
        <f t="shared" si="5"/>
        <v/>
      </c>
    </row>
    <row r="258" spans="2:11" x14ac:dyDescent="0.3">
      <c r="B258" s="306" t="s">
        <v>1703</v>
      </c>
      <c r="C258" s="320">
        <v>45345</v>
      </c>
      <c r="D258" s="325" t="s">
        <v>502</v>
      </c>
      <c r="E258" s="206" t="s">
        <v>500</v>
      </c>
      <c r="F258" s="29" t="str">
        <f>IFERROR(VLOOKUP(E258,'Inventaire des produits'!$B$4:$K$1001,2,0),"")</f>
        <v>BARQUETTE ALUMINIUM 83670</v>
      </c>
      <c r="G258" s="212">
        <v>10000</v>
      </c>
      <c r="H258" s="30">
        <f>IFERROR(VLOOKUP(E258,'Inventaire des produits'!$B$4:$K$1001,8,0),"")</f>
        <v>0.55000000000000004</v>
      </c>
      <c r="I258" s="32">
        <f t="shared" si="4"/>
        <v>5500</v>
      </c>
      <c r="K258" s="127" t="str">
        <f t="shared" si="5"/>
        <v/>
      </c>
    </row>
    <row r="259" spans="2:11" x14ac:dyDescent="0.3">
      <c r="B259" s="306" t="s">
        <v>1703</v>
      </c>
      <c r="C259" s="322"/>
      <c r="D259" s="326"/>
      <c r="E259" s="206" t="s">
        <v>501</v>
      </c>
      <c r="F259" s="29" t="str">
        <f>IFERROR(VLOOKUP(E259,'Inventaire des produits'!$B$4:$K$1001,2,0),"")</f>
        <v>BARQUETTE ALUMINIUM 83420</v>
      </c>
      <c r="G259" s="212">
        <v>10000</v>
      </c>
      <c r="H259" s="30">
        <f>IFERROR(VLOOKUP(E259,'Inventaire des produits'!$B$4:$K$1001,8,0),"")</f>
        <v>0.31666666669999999</v>
      </c>
      <c r="I259" s="32">
        <f t="shared" si="4"/>
        <v>3166.666667</v>
      </c>
      <c r="K259" s="127" t="str">
        <f t="shared" si="5"/>
        <v/>
      </c>
    </row>
    <row r="260" spans="2:11" x14ac:dyDescent="0.3">
      <c r="B260" s="306" t="s">
        <v>1703</v>
      </c>
      <c r="C260" s="196">
        <v>45311</v>
      </c>
      <c r="D260" s="195" t="s">
        <v>505</v>
      </c>
      <c r="E260" s="205" t="s">
        <v>504</v>
      </c>
      <c r="F260" s="29" t="str">
        <f>IFERROR(VLOOKUP(E260,'Inventaire des produits'!$B$4:$K$1001,2,0),"")</f>
        <v xml:space="preserve">BARQUETTE MICRON ONDABLE 1 COMP </v>
      </c>
      <c r="G260" s="212">
        <v>600</v>
      </c>
      <c r="H260" s="30">
        <f>IFERROR(VLOOKUP(E260,'Inventaire des produits'!$B$4:$K$1001,8,0),"")</f>
        <v>1.5833333332999999</v>
      </c>
      <c r="I260" s="32">
        <f t="shared" ref="I260:I323" si="6">IF(OR(G260="",H260=""),"",G260*H260)</f>
        <v>949.99999997999998</v>
      </c>
      <c r="K260" s="127" t="str">
        <f t="shared" si="5"/>
        <v/>
      </c>
    </row>
    <row r="261" spans="2:11" x14ac:dyDescent="0.3">
      <c r="B261" s="306" t="s">
        <v>1703</v>
      </c>
      <c r="C261" s="196">
        <v>45309</v>
      </c>
      <c r="D261" s="195" t="s">
        <v>508</v>
      </c>
      <c r="E261" s="205" t="s">
        <v>506</v>
      </c>
      <c r="F261" s="29" t="str">
        <f>IFERROR(VLOOKUP(E261,'Inventaire des produits'!$B$4:$K$1001,2,0),"")</f>
        <v xml:space="preserve">BARQUETTE MICRON ONDABLE 2 COMP </v>
      </c>
      <c r="G261" s="212">
        <v>300</v>
      </c>
      <c r="H261" s="30">
        <f>IFERROR(VLOOKUP(E261,'Inventaire des produits'!$B$4:$K$1001,8,0),"")</f>
        <v>1.6666666667000001</v>
      </c>
      <c r="I261" s="32">
        <f t="shared" si="6"/>
        <v>500.00000001000001</v>
      </c>
      <c r="K261" s="127" t="str">
        <f t="shared" si="5"/>
        <v/>
      </c>
    </row>
    <row r="262" spans="2:11" x14ac:dyDescent="0.3">
      <c r="B262" s="306" t="s">
        <v>1703</v>
      </c>
      <c r="C262" s="196">
        <v>45307</v>
      </c>
      <c r="D262" s="195" t="s">
        <v>510</v>
      </c>
      <c r="E262" s="205" t="s">
        <v>509</v>
      </c>
      <c r="F262" s="29" t="str">
        <f>IFERROR(VLOOKUP(E262,'Inventaire des produits'!$B$4:$K$1001,2,0),"")</f>
        <v>BARQUETTE SALADE TRAITEUR 500CC</v>
      </c>
      <c r="G262" s="212">
        <v>1000</v>
      </c>
      <c r="H262" s="30">
        <f>IFERROR(VLOOKUP(E262,'Inventaire des produits'!$B$4:$K$1001,8,0),"")</f>
        <v>0.35</v>
      </c>
      <c r="I262" s="32">
        <f t="shared" si="6"/>
        <v>350</v>
      </c>
      <c r="K262" s="127" t="str">
        <f t="shared" si="5"/>
        <v/>
      </c>
    </row>
    <row r="263" spans="2:11" x14ac:dyDescent="0.3">
      <c r="B263" s="306" t="s">
        <v>1703</v>
      </c>
      <c r="C263" s="196">
        <v>45301</v>
      </c>
      <c r="D263" s="195" t="s">
        <v>513</v>
      </c>
      <c r="E263" s="205" t="s">
        <v>511</v>
      </c>
      <c r="F263" s="29" t="str">
        <f>IFERROR(VLOOKUP(E263,'Inventaire des produits'!$B$4:$K$1001,2,0),"")</f>
        <v>CURE DENT ENVELOPE</v>
      </c>
      <c r="G263" s="212">
        <v>250000</v>
      </c>
      <c r="H263" s="30">
        <f>IFERROR(VLOOKUP(E263,'Inventaire des produits'!$B$4:$K$1001,8,0),"")</f>
        <v>1.6666666699999999E-2</v>
      </c>
      <c r="I263" s="32">
        <f t="shared" si="6"/>
        <v>4166.6666749999995</v>
      </c>
      <c r="K263" s="127" t="str">
        <f t="shared" si="5"/>
        <v/>
      </c>
    </row>
    <row r="264" spans="2:11" x14ac:dyDescent="0.3">
      <c r="B264" s="306" t="s">
        <v>1703</v>
      </c>
      <c r="C264" s="196">
        <v>45301</v>
      </c>
      <c r="D264" s="195" t="s">
        <v>515</v>
      </c>
      <c r="E264" s="205" t="s">
        <v>514</v>
      </c>
      <c r="F264" s="29" t="str">
        <f>IFERROR(VLOOKUP(E264,'Inventaire des produits'!$B$4:$K$1001,2,0),"")</f>
        <v xml:space="preserve">BARQUETTE MICRON ONDABLE 2 COMP </v>
      </c>
      <c r="G264" s="212">
        <v>300</v>
      </c>
      <c r="H264" s="30">
        <f>IFERROR(VLOOKUP(E264,'Inventaire des produits'!$B$4:$K$1001,8,0),"")</f>
        <v>1.625</v>
      </c>
      <c r="I264" s="32">
        <f t="shared" si="6"/>
        <v>487.5</v>
      </c>
      <c r="K264" s="127" t="str">
        <f t="shared" si="5"/>
        <v/>
      </c>
    </row>
    <row r="265" spans="2:11" x14ac:dyDescent="0.3">
      <c r="B265" s="306" t="s">
        <v>1703</v>
      </c>
      <c r="C265" s="196">
        <v>45295</v>
      </c>
      <c r="D265" s="195" t="s">
        <v>516</v>
      </c>
      <c r="E265" s="205" t="s">
        <v>514</v>
      </c>
      <c r="F265" s="29" t="str">
        <f>IFERROR(VLOOKUP(E265,'Inventaire des produits'!$B$4:$K$1001,2,0),"")</f>
        <v xml:space="preserve">BARQUETTE MICRON ONDABLE 2 COMP </v>
      </c>
      <c r="G265" s="212">
        <v>300</v>
      </c>
      <c r="H265" s="30">
        <f>IFERROR(VLOOKUP(E265,'Inventaire des produits'!$B$4:$K$1001,8,0),"")</f>
        <v>1.625</v>
      </c>
      <c r="I265" s="32">
        <f t="shared" si="6"/>
        <v>487.5</v>
      </c>
      <c r="K265" s="127" t="str">
        <f t="shared" si="5"/>
        <v/>
      </c>
    </row>
    <row r="266" spans="2:11" x14ac:dyDescent="0.3">
      <c r="B266" s="306" t="s">
        <v>1703</v>
      </c>
      <c r="C266" s="320">
        <v>45293</v>
      </c>
      <c r="D266" s="325" t="s">
        <v>520</v>
      </c>
      <c r="E266" s="206" t="s">
        <v>518</v>
      </c>
      <c r="F266" s="29" t="str">
        <f>IFERROR(VLOOKUP(E266,'Inventaire des produits'!$B$4:$K$1001,2,0),"")</f>
        <v xml:space="preserve">BARQUETTE MICRON ONDABLE 1 COMP </v>
      </c>
      <c r="G266" s="212">
        <v>600</v>
      </c>
      <c r="H266" s="30">
        <f>IFERROR(VLOOKUP(E266,'Inventaire des produits'!$B$4:$K$1001,8,0),"")</f>
        <v>1.625</v>
      </c>
      <c r="I266" s="32">
        <f t="shared" si="6"/>
        <v>975</v>
      </c>
      <c r="K266" s="127" t="str">
        <f t="shared" si="5"/>
        <v/>
      </c>
    </row>
    <row r="267" spans="2:11" x14ac:dyDescent="0.3">
      <c r="B267" s="306" t="s">
        <v>1703</v>
      </c>
      <c r="C267" s="322"/>
      <c r="D267" s="326"/>
      <c r="E267" s="206" t="s">
        <v>519</v>
      </c>
      <c r="F267" s="29" t="str">
        <f>IFERROR(VLOOKUP(E267,'Inventaire des produits'!$B$4:$K$1001,2,0),"")</f>
        <v xml:space="preserve">BARQUETTE MICRON ONDABLE 3 COMP </v>
      </c>
      <c r="G267" s="212">
        <v>300</v>
      </c>
      <c r="H267" s="30">
        <f>IFERROR(VLOOKUP(E267,'Inventaire des produits'!$B$4:$K$1001,8,0),"")</f>
        <v>1.625</v>
      </c>
      <c r="I267" s="32">
        <f t="shared" si="6"/>
        <v>487.5</v>
      </c>
      <c r="K267" s="127" t="str">
        <f t="shared" si="5"/>
        <v/>
      </c>
    </row>
    <row r="268" spans="2:11" x14ac:dyDescent="0.3">
      <c r="B268" s="306" t="s">
        <v>1703</v>
      </c>
      <c r="C268" s="196">
        <v>45337</v>
      </c>
      <c r="D268" s="195" t="s">
        <v>524</v>
      </c>
      <c r="E268" s="205" t="s">
        <v>522</v>
      </c>
      <c r="F268" s="29" t="str">
        <f>IFERROR(VLOOKUP(E268,'Inventaire des produits'!$B$4:$K$1001,2,0),"")</f>
        <v>BARQUETTE ALUMINIUM 815</v>
      </c>
      <c r="G268" s="212">
        <v>6000</v>
      </c>
      <c r="H268" s="30">
        <f>IFERROR(VLOOKUP(E268,'Inventaire des produits'!$B$4:$K$1001,8,0),"")</f>
        <v>0.66666666669999997</v>
      </c>
      <c r="I268" s="32">
        <f t="shared" si="6"/>
        <v>4000.0000001999997</v>
      </c>
      <c r="K268" s="127" t="str">
        <f t="shared" si="5"/>
        <v/>
      </c>
    </row>
    <row r="269" spans="2:11" x14ac:dyDescent="0.3">
      <c r="B269" s="306" t="s">
        <v>1703</v>
      </c>
      <c r="C269" s="196">
        <v>45332</v>
      </c>
      <c r="D269" s="195" t="s">
        <v>525</v>
      </c>
      <c r="E269" s="205" t="s">
        <v>522</v>
      </c>
      <c r="F269" s="29" t="str">
        <f>IFERROR(VLOOKUP(E269,'Inventaire des produits'!$B$4:$K$1001,2,0),"")</f>
        <v>BARQUETTE ALUMINIUM 815</v>
      </c>
      <c r="G269" s="212">
        <v>6000</v>
      </c>
      <c r="H269" s="30">
        <f>IFERROR(VLOOKUP(E269,'Inventaire des produits'!$B$4:$K$1001,8,0),"")</f>
        <v>0.66666666669999997</v>
      </c>
      <c r="I269" s="32">
        <f t="shared" si="6"/>
        <v>4000.0000001999997</v>
      </c>
      <c r="K269" s="127" t="str">
        <f t="shared" si="5"/>
        <v/>
      </c>
    </row>
    <row r="270" spans="2:11" x14ac:dyDescent="0.3">
      <c r="B270" s="306" t="s">
        <v>1703</v>
      </c>
      <c r="C270" s="196">
        <v>45327</v>
      </c>
      <c r="D270" s="195" t="s">
        <v>526</v>
      </c>
      <c r="E270" s="205" t="s">
        <v>522</v>
      </c>
      <c r="F270" s="29" t="str">
        <f>IFERROR(VLOOKUP(E270,'Inventaire des produits'!$B$4:$K$1001,2,0),"")</f>
        <v>BARQUETTE ALUMINIUM 815</v>
      </c>
      <c r="G270" s="212">
        <v>6000</v>
      </c>
      <c r="H270" s="30">
        <f>IFERROR(VLOOKUP(E270,'Inventaire des produits'!$B$4:$K$1001,8,0),"")</f>
        <v>0.66666666669999997</v>
      </c>
      <c r="I270" s="32">
        <f t="shared" si="6"/>
        <v>4000.0000001999997</v>
      </c>
      <c r="K270" s="127" t="str">
        <f t="shared" si="5"/>
        <v/>
      </c>
    </row>
    <row r="271" spans="2:11" x14ac:dyDescent="0.3">
      <c r="B271" s="306" t="s">
        <v>1703</v>
      </c>
      <c r="C271" s="196">
        <v>45323</v>
      </c>
      <c r="D271" s="195" t="s">
        <v>527</v>
      </c>
      <c r="E271" s="205" t="s">
        <v>522</v>
      </c>
      <c r="F271" s="29" t="str">
        <f>IFERROR(VLOOKUP(E271,'Inventaire des produits'!$B$4:$K$1001,2,0),"")</f>
        <v>BARQUETTE ALUMINIUM 815</v>
      </c>
      <c r="G271" s="212">
        <v>6000</v>
      </c>
      <c r="H271" s="30">
        <f>IFERROR(VLOOKUP(E271,'Inventaire des produits'!$B$4:$K$1001,8,0),"")</f>
        <v>0.66666666669999997</v>
      </c>
      <c r="I271" s="32">
        <f t="shared" si="6"/>
        <v>4000.0000001999997</v>
      </c>
      <c r="K271" s="127" t="str">
        <f t="shared" si="5"/>
        <v/>
      </c>
    </row>
    <row r="272" spans="2:11" x14ac:dyDescent="0.3">
      <c r="B272" s="306" t="s">
        <v>1703</v>
      </c>
      <c r="C272" s="196">
        <v>45351</v>
      </c>
      <c r="D272" s="195" t="s">
        <v>532</v>
      </c>
      <c r="E272" s="205" t="s">
        <v>459</v>
      </c>
      <c r="F272" s="29" t="str">
        <f>IFERROR(VLOOKUP(E272,'Inventaire des produits'!$B$4:$K$1001,2,0),"")</f>
        <v>SAC FOND CARRE POIGNE PLAT 26*17*28 70G</v>
      </c>
      <c r="G272" s="212">
        <v>5000</v>
      </c>
      <c r="H272" s="30">
        <f>IFERROR(VLOOKUP(E272,'Inventaire des produits'!$B$4:$K$1001,8,0),"")</f>
        <v>0.75</v>
      </c>
      <c r="I272" s="32">
        <f t="shared" si="6"/>
        <v>3750</v>
      </c>
      <c r="K272" s="127" t="str">
        <f t="shared" si="5"/>
        <v/>
      </c>
    </row>
    <row r="273" spans="2:12" x14ac:dyDescent="0.3">
      <c r="B273" s="306" t="s">
        <v>1703</v>
      </c>
      <c r="C273" s="320">
        <v>45323</v>
      </c>
      <c r="D273" s="317" t="s">
        <v>539</v>
      </c>
      <c r="E273" s="205" t="s">
        <v>536</v>
      </c>
      <c r="F273" s="29" t="str">
        <f>IFERROR(VLOOKUP(E273,'Inventaire des produits'!$B$4:$K$1001,2,0),"")</f>
        <v>PAILLE CODE 6MM 500 NOIR</v>
      </c>
      <c r="G273" s="212">
        <v>60</v>
      </c>
      <c r="H273" s="30">
        <f>IFERROR(VLOOKUP(E273,'Inventaire des produits'!$B$4:$K$1001,8,0),"")</f>
        <v>15</v>
      </c>
      <c r="I273" s="32">
        <f t="shared" si="6"/>
        <v>900</v>
      </c>
      <c r="K273" s="127" t="str">
        <f t="shared" si="5"/>
        <v/>
      </c>
    </row>
    <row r="274" spans="2:12" x14ac:dyDescent="0.3">
      <c r="B274" s="306" t="s">
        <v>1703</v>
      </c>
      <c r="C274" s="322"/>
      <c r="D274" s="319"/>
      <c r="E274" s="205" t="s">
        <v>537</v>
      </c>
      <c r="F274" s="29" t="str">
        <f>IFERROR(VLOOKUP(E274,'Inventaire des produits'!$B$4:$K$1001,2,0),"")</f>
        <v>PAILLE ENVELOPPE 6MM CODE 100 TRANS</v>
      </c>
      <c r="G274" s="212">
        <v>550</v>
      </c>
      <c r="H274" s="30">
        <f>IFERROR(VLOOKUP(E274,'Inventaire des produits'!$B$4:$K$1001,8,0),"")</f>
        <v>4.5</v>
      </c>
      <c r="I274" s="32">
        <f t="shared" si="6"/>
        <v>2475</v>
      </c>
      <c r="K274" s="127" t="str">
        <f t="shared" si="5"/>
        <v/>
      </c>
    </row>
    <row r="275" spans="2:12" x14ac:dyDescent="0.3">
      <c r="B275" s="306" t="s">
        <v>1703</v>
      </c>
      <c r="C275" s="196">
        <v>45350</v>
      </c>
      <c r="D275" s="195" t="s">
        <v>540</v>
      </c>
      <c r="E275" s="205" t="s">
        <v>66</v>
      </c>
      <c r="F275" s="29" t="str">
        <f>IFERROR(VLOOKUP(E275,'Inventaire des produits'!$B$4:$K$1001,2,0),"")</f>
        <v>TRIPOD PIZZA EN PLASTIQUE</v>
      </c>
      <c r="G275" s="212">
        <v>2000</v>
      </c>
      <c r="H275" s="30">
        <f>IFERROR(VLOOKUP(E275,'Inventaire des produits'!$B$4:$K$1001,8,0),"")</f>
        <v>0.32</v>
      </c>
      <c r="I275" s="32">
        <f t="shared" si="6"/>
        <v>640</v>
      </c>
      <c r="K275" s="127" t="str">
        <f t="shared" si="5"/>
        <v/>
      </c>
    </row>
    <row r="276" spans="2:12" x14ac:dyDescent="0.3">
      <c r="B276" s="306" t="s">
        <v>1703</v>
      </c>
      <c r="C276" s="196">
        <v>45348</v>
      </c>
      <c r="D276" s="195" t="s">
        <v>541</v>
      </c>
      <c r="E276" s="205" t="s">
        <v>542</v>
      </c>
      <c r="F276" s="29" t="str">
        <f>IFERROR(VLOOKUP(E276,'Inventaire des produits'!$B$4:$K$1001,2,0),"")</f>
        <v>BARQUETTE ALUMINIUM 250</v>
      </c>
      <c r="G276" s="212">
        <v>20000</v>
      </c>
      <c r="H276" s="30">
        <f>IFERROR(VLOOKUP(E276,'Inventaire des produits'!$B$4:$K$1001,8,0),"")</f>
        <v>0.20338000000000001</v>
      </c>
      <c r="I276" s="32">
        <f t="shared" si="6"/>
        <v>4067.6</v>
      </c>
      <c r="K276" s="127" t="str">
        <f t="shared" si="5"/>
        <v/>
      </c>
    </row>
    <row r="277" spans="2:12" x14ac:dyDescent="0.3">
      <c r="B277" s="306" t="s">
        <v>1703</v>
      </c>
      <c r="C277" s="320">
        <v>45300</v>
      </c>
      <c r="D277" s="317" t="s">
        <v>545</v>
      </c>
      <c r="E277" s="205" t="s">
        <v>414</v>
      </c>
      <c r="F277" s="29" t="str">
        <f>IFERROR(VLOOKUP(E277,'Inventaire des produits'!$B$4:$K$1001,2,0),"")</f>
        <v>GANT VINYL NOIR EXTRA PREMIUM GLOVE LARGE</v>
      </c>
      <c r="G277" s="212">
        <v>100</v>
      </c>
      <c r="H277" s="30">
        <f>IFERROR(VLOOKUP(E277,'Inventaire des produits'!$B$4:$K$1001,8,0),"")</f>
        <v>20.833333333300001</v>
      </c>
      <c r="I277" s="32">
        <f t="shared" si="6"/>
        <v>2083.3333333300002</v>
      </c>
      <c r="K277" s="127" t="str">
        <f t="shared" si="5"/>
        <v/>
      </c>
      <c r="L277" s="39" t="s">
        <v>472</v>
      </c>
    </row>
    <row r="278" spans="2:12" x14ac:dyDescent="0.3">
      <c r="B278" s="306" t="s">
        <v>1703</v>
      </c>
      <c r="C278" s="322"/>
      <c r="D278" s="319"/>
      <c r="E278" s="205" t="s">
        <v>544</v>
      </c>
      <c r="F278" s="29" t="str">
        <f>IFERROR(VLOOKUP(E278,'Inventaire des produits'!$B$4:$K$1001,2,0),"")</f>
        <v>ROULEAU ALUMINIUM SOFTIS 200 ECO</v>
      </c>
      <c r="G278" s="212">
        <v>100</v>
      </c>
      <c r="H278" s="30">
        <f>IFERROR(VLOOKUP(E278,'Inventaire des produits'!$B$4:$K$1001,8,0),"")</f>
        <v>16.666666666699999</v>
      </c>
      <c r="I278" s="32">
        <f t="shared" si="6"/>
        <v>1666.66666667</v>
      </c>
      <c r="K278" s="127" t="str">
        <f t="shared" si="5"/>
        <v/>
      </c>
    </row>
    <row r="279" spans="2:12" x14ac:dyDescent="0.3">
      <c r="B279" s="306" t="s">
        <v>1703</v>
      </c>
      <c r="C279" s="196">
        <v>45320</v>
      </c>
      <c r="D279" s="195" t="s">
        <v>547</v>
      </c>
      <c r="E279" s="205" t="s">
        <v>546</v>
      </c>
      <c r="F279" s="29" t="str">
        <f>IFERROR(VLOOKUP(E279,'Inventaire des produits'!$B$4:$K$1001,2,0),"")</f>
        <v>ROULEAU ALUMINIUM EXTRA PACK 200M</v>
      </c>
      <c r="G279" s="212">
        <v>66</v>
      </c>
      <c r="H279" s="30">
        <f>IFERROR(VLOOKUP(E279,'Inventaire des produits'!$B$4:$K$1001,8,0),"")</f>
        <v>48.333333333299997</v>
      </c>
      <c r="I279" s="32">
        <f t="shared" si="6"/>
        <v>3189.9999999977999</v>
      </c>
      <c r="J279" s="33">
        <v>3190</v>
      </c>
      <c r="K279" s="127">
        <f t="shared" si="5"/>
        <v>3828</v>
      </c>
    </row>
    <row r="280" spans="2:12" x14ac:dyDescent="0.3">
      <c r="B280" s="306" t="s">
        <v>1703</v>
      </c>
      <c r="C280" s="196">
        <v>45349</v>
      </c>
      <c r="D280" s="195" t="s">
        <v>549</v>
      </c>
      <c r="E280" s="205" t="s">
        <v>548</v>
      </c>
      <c r="F280" s="29" t="str">
        <f>IFERROR(VLOOKUP(E280,'Inventaire des produits'!$B$4:$K$1001,2,0),"")</f>
        <v>BARQUETTE ALUMINIUM 802</v>
      </c>
      <c r="G280" s="212">
        <v>40000</v>
      </c>
      <c r="H280" s="30">
        <f>IFERROR(VLOOKUP(E280,'Inventaire des produits'!$B$4:$K$1001,8,0),"")</f>
        <v>0.45833000000000002</v>
      </c>
      <c r="I280" s="32">
        <f t="shared" si="6"/>
        <v>18333.2</v>
      </c>
      <c r="J280" s="33">
        <v>18333.2</v>
      </c>
      <c r="K280" s="127">
        <f t="shared" si="5"/>
        <v>21999.84</v>
      </c>
    </row>
    <row r="281" spans="2:12" x14ac:dyDescent="0.3">
      <c r="B281" s="306" t="s">
        <v>1703</v>
      </c>
      <c r="C281" s="196">
        <v>45349</v>
      </c>
      <c r="D281" s="195" t="s">
        <v>550</v>
      </c>
      <c r="E281" s="205" t="s">
        <v>548</v>
      </c>
      <c r="F281" s="29" t="str">
        <f>IFERROR(VLOOKUP(E281,'Inventaire des produits'!$B$4:$K$1001,2,0),"")</f>
        <v>BARQUETTE ALUMINIUM 802</v>
      </c>
      <c r="G281" s="212">
        <v>30000</v>
      </c>
      <c r="H281" s="30">
        <f>IFERROR(VLOOKUP(E281,'Inventaire des produits'!$B$4:$K$1001,8,0),"")</f>
        <v>0.45833000000000002</v>
      </c>
      <c r="I281" s="32">
        <f t="shared" si="6"/>
        <v>13749.9</v>
      </c>
      <c r="J281" s="33">
        <v>13749.9</v>
      </c>
      <c r="K281" s="127">
        <f t="shared" si="5"/>
        <v>16499.879999999997</v>
      </c>
    </row>
    <row r="282" spans="2:12" x14ac:dyDescent="0.3">
      <c r="B282" s="306" t="s">
        <v>1703</v>
      </c>
      <c r="C282" s="196">
        <v>45349</v>
      </c>
      <c r="D282" s="195" t="s">
        <v>552</v>
      </c>
      <c r="E282" s="205" t="s">
        <v>551</v>
      </c>
      <c r="F282" s="29" t="str">
        <f>IFERROR(VLOOKUP(E282,'Inventaire des produits'!$B$4:$K$1001,2,0),"")</f>
        <v>BARQUETTE ALUMINIUM 808</v>
      </c>
      <c r="G282" s="212">
        <v>30000</v>
      </c>
      <c r="H282" s="30">
        <f>IFERROR(VLOOKUP(E282,'Inventaire des produits'!$B$4:$K$1001,8,0),"")</f>
        <v>0.53333330000000001</v>
      </c>
      <c r="I282" s="32">
        <f t="shared" si="6"/>
        <v>15999.999</v>
      </c>
      <c r="J282" s="33">
        <v>15999.99</v>
      </c>
      <c r="K282" s="127">
        <f t="shared" si="5"/>
        <v>19199.987999999998</v>
      </c>
    </row>
    <row r="283" spans="2:12" x14ac:dyDescent="0.3">
      <c r="B283" s="306" t="s">
        <v>1703</v>
      </c>
      <c r="C283" s="196">
        <v>45349</v>
      </c>
      <c r="D283" s="195" t="s">
        <v>554</v>
      </c>
      <c r="E283" s="205" t="s">
        <v>553</v>
      </c>
      <c r="F283" s="29" t="str">
        <f>IFERROR(VLOOKUP(E283,'Inventaire des produits'!$B$4:$K$1001,2,0),"")</f>
        <v>FOURCHETTE ECOLUXE TRANSPARENTE</v>
      </c>
      <c r="G283" s="212">
        <v>40</v>
      </c>
      <c r="H283" s="30">
        <f>IFERROR(VLOOKUP(E283,'Inventaire des produits'!$B$4:$K$1001,8,0),"")</f>
        <v>17.5</v>
      </c>
      <c r="I283" s="32">
        <f t="shared" si="6"/>
        <v>700</v>
      </c>
      <c r="J283" s="33">
        <v>700</v>
      </c>
      <c r="K283" s="127">
        <f t="shared" si="5"/>
        <v>840</v>
      </c>
    </row>
    <row r="284" spans="2:12" x14ac:dyDescent="0.3">
      <c r="B284" s="306" t="s">
        <v>1703</v>
      </c>
      <c r="C284" s="320">
        <v>45355</v>
      </c>
      <c r="D284" s="327" t="s">
        <v>564</v>
      </c>
      <c r="E284" s="204" t="s">
        <v>557</v>
      </c>
      <c r="F284" s="29" t="str">
        <f>IFERROR(VLOOKUP(E284,'Inventaire des produits'!$B$4:$K$1001,2,0),"")</f>
        <v>BARQUETTE ALUMINIUM 83420</v>
      </c>
      <c r="G284" s="212">
        <v>5000</v>
      </c>
      <c r="H284" s="30">
        <f>IFERROR(VLOOKUP(E284,'Inventaire des produits'!$B$4:$K$1001,8,0),"")</f>
        <v>0.32</v>
      </c>
      <c r="I284" s="32">
        <f t="shared" si="6"/>
        <v>1600</v>
      </c>
      <c r="J284" s="33">
        <v>4675</v>
      </c>
      <c r="K284" s="127">
        <f t="shared" si="5"/>
        <v>5610</v>
      </c>
    </row>
    <row r="285" spans="2:12" x14ac:dyDescent="0.3">
      <c r="B285" s="306" t="s">
        <v>1703</v>
      </c>
      <c r="C285" s="321"/>
      <c r="D285" s="328"/>
      <c r="E285" s="204" t="s">
        <v>561</v>
      </c>
      <c r="F285" s="29" t="str">
        <f>IFERROR(VLOOKUP(E285,'Inventaire des produits'!$B$4:$K$1001,2,0),"")</f>
        <v>BARQUETTE ALUMINIUM 83890</v>
      </c>
      <c r="G285" s="212">
        <v>5000</v>
      </c>
      <c r="H285" s="30">
        <f>IFERROR(VLOOKUP(E285,'Inventaire des produits'!$B$4:$K$1001,8,0),"")</f>
        <v>0.54</v>
      </c>
      <c r="I285" s="32">
        <f t="shared" si="6"/>
        <v>2700</v>
      </c>
      <c r="K285" s="127" t="str">
        <f t="shared" si="5"/>
        <v/>
      </c>
    </row>
    <row r="286" spans="2:12" x14ac:dyDescent="0.3">
      <c r="B286" s="306" t="s">
        <v>1703</v>
      </c>
      <c r="C286" s="322"/>
      <c r="D286" s="329"/>
      <c r="E286" s="205" t="s">
        <v>563</v>
      </c>
      <c r="F286" s="29" t="str">
        <f>IFERROR(VLOOKUP(E286,'Inventaire des produits'!$B$4:$K$1001,2,0),"")</f>
        <v>CUILLERE BLANC</v>
      </c>
      <c r="G286" s="212">
        <v>60</v>
      </c>
      <c r="H286" s="30">
        <f>IFERROR(VLOOKUP(E286,'Inventaire des produits'!$B$4:$K$1001,8,0),"")</f>
        <v>6.25</v>
      </c>
      <c r="I286" s="32">
        <f t="shared" si="6"/>
        <v>375</v>
      </c>
      <c r="K286" s="127" t="str">
        <f t="shared" si="5"/>
        <v/>
      </c>
    </row>
    <row r="287" spans="2:12" x14ac:dyDescent="0.3">
      <c r="B287" s="306" t="s">
        <v>1703</v>
      </c>
      <c r="C287" s="320">
        <v>45356</v>
      </c>
      <c r="D287" s="317" t="s">
        <v>567</v>
      </c>
      <c r="E287" s="205" t="s">
        <v>372</v>
      </c>
      <c r="F287" s="29" t="str">
        <f>IFERROR(VLOOKUP(E287,'Inventaire des produits'!$B$4:$K$1001,2,0),"")</f>
        <v>BARQUETTE VITA PACK 750ML AVEC CVL</v>
      </c>
      <c r="G287" s="212">
        <v>2500</v>
      </c>
      <c r="H287" s="30">
        <f>IFERROR(VLOOKUP(E287,'Inventaire des produits'!$B$4:$K$1001,8,0),"")</f>
        <v>1.34</v>
      </c>
      <c r="I287" s="32">
        <f t="shared" si="6"/>
        <v>3350</v>
      </c>
      <c r="J287" s="33">
        <v>5450</v>
      </c>
      <c r="K287" s="127">
        <f t="shared" si="5"/>
        <v>6540</v>
      </c>
    </row>
    <row r="288" spans="2:12" x14ac:dyDescent="0.3">
      <c r="B288" s="306" t="s">
        <v>1703</v>
      </c>
      <c r="C288" s="322"/>
      <c r="D288" s="319"/>
      <c r="E288" s="205" t="s">
        <v>553</v>
      </c>
      <c r="F288" s="29" t="str">
        <f>IFERROR(VLOOKUP(E288,'Inventaire des produits'!$B$4:$K$1001,2,0),"")</f>
        <v>FOURCHETTE ECOLUXE TRANSPARENTE</v>
      </c>
      <c r="G288" s="212">
        <v>120</v>
      </c>
      <c r="H288" s="30">
        <f>IFERROR(VLOOKUP(E288,'Inventaire des produits'!$B$4:$K$1001,8,0),"")</f>
        <v>17.5</v>
      </c>
      <c r="I288" s="32">
        <f t="shared" si="6"/>
        <v>2100</v>
      </c>
      <c r="K288" s="127" t="str">
        <f t="shared" si="5"/>
        <v/>
      </c>
    </row>
    <row r="289" spans="2:11" x14ac:dyDescent="0.3">
      <c r="B289" s="306" t="s">
        <v>1703</v>
      </c>
      <c r="C289" s="196">
        <v>45329</v>
      </c>
      <c r="D289" s="195" t="s">
        <v>569</v>
      </c>
      <c r="E289" s="205" t="s">
        <v>571</v>
      </c>
      <c r="F289" s="29" t="str">
        <f>IFERROR(VLOOKUP(E289,'Inventaire des produits'!$B$4:$K$1001,2,0),"")</f>
        <v>GOBLET 14OZ COCKTAIL SMART +CVBB</v>
      </c>
      <c r="G289" s="212">
        <v>1000</v>
      </c>
      <c r="H289" s="30">
        <f>IFERROR(VLOOKUP(E289,'Inventaire des produits'!$B$4:$K$1001,8,0),"")</f>
        <v>0.52</v>
      </c>
      <c r="I289" s="32">
        <f t="shared" si="6"/>
        <v>520</v>
      </c>
      <c r="J289" s="33">
        <v>520</v>
      </c>
      <c r="K289" s="127">
        <f t="shared" si="5"/>
        <v>624</v>
      </c>
    </row>
    <row r="290" spans="2:11" x14ac:dyDescent="0.3">
      <c r="B290" s="306" t="s">
        <v>1703</v>
      </c>
      <c r="C290" s="196">
        <v>45357</v>
      </c>
      <c r="D290" s="195" t="s">
        <v>573</v>
      </c>
      <c r="E290" s="205" t="s">
        <v>572</v>
      </c>
      <c r="F290" s="29" t="str">
        <f>IFERROR(VLOOKUP(E290,'Inventaire des produits'!$B$4:$K$1001,2,0),"")</f>
        <v>BARQUETTE ALUMINIUM 83420</v>
      </c>
      <c r="G290" s="212">
        <v>1000</v>
      </c>
      <c r="H290" s="30">
        <f>IFERROR(VLOOKUP(E290,'Inventaire des produits'!$B$4:$K$1001,8,0),"")</f>
        <v>0.38</v>
      </c>
      <c r="I290" s="32">
        <f t="shared" si="6"/>
        <v>380</v>
      </c>
      <c r="J290" s="33">
        <v>380</v>
      </c>
      <c r="K290" s="127">
        <f t="shared" si="5"/>
        <v>456</v>
      </c>
    </row>
    <row r="291" spans="2:11" x14ac:dyDescent="0.3">
      <c r="B291" s="306" t="s">
        <v>1703</v>
      </c>
      <c r="C291" s="196">
        <v>45352</v>
      </c>
      <c r="D291" s="195" t="s">
        <v>576</v>
      </c>
      <c r="E291" s="205" t="s">
        <v>319</v>
      </c>
      <c r="F291" s="29" t="str">
        <f>IFERROR(VLOOKUP(E291,'Inventaire des produits'!$B$4:$K$1001,2,0),"")</f>
        <v>FOURCHETTE ECOLUXE TRANSPARENTE</v>
      </c>
      <c r="G291" s="212">
        <v>40</v>
      </c>
      <c r="H291" s="30">
        <f>IFERROR(VLOOKUP(E291,'Inventaire des produits'!$B$4:$K$1001,8,0),"")</f>
        <v>17.5</v>
      </c>
      <c r="I291" s="32">
        <f t="shared" si="6"/>
        <v>700</v>
      </c>
      <c r="J291" s="33">
        <v>700</v>
      </c>
      <c r="K291" s="127">
        <f t="shared" si="5"/>
        <v>840</v>
      </c>
    </row>
    <row r="292" spans="2:11" x14ac:dyDescent="0.3">
      <c r="B292" s="306" t="s">
        <v>1703</v>
      </c>
      <c r="C292" s="320">
        <v>45337</v>
      </c>
      <c r="D292" s="317" t="s">
        <v>585</v>
      </c>
      <c r="E292" s="205" t="s">
        <v>582</v>
      </c>
      <c r="F292" s="29" t="str">
        <f>IFERROR(VLOOKUP(E292,'Inventaire des produits'!$B$4:$K$1001,2,0),"")</f>
        <v>GANT VINYL EXTRA PREMIUM GLOVE LARGE</v>
      </c>
      <c r="G292" s="212">
        <v>200</v>
      </c>
      <c r="H292" s="30">
        <f>IFERROR(VLOOKUP(E292,'Inventaire des produits'!$B$4:$K$1001,8,0),"")</f>
        <v>19.166666666699999</v>
      </c>
      <c r="I292" s="32">
        <f t="shared" si="6"/>
        <v>3833.3333333400001</v>
      </c>
      <c r="J292" s="33">
        <v>10025</v>
      </c>
      <c r="K292" s="127">
        <f t="shared" si="5"/>
        <v>12030</v>
      </c>
    </row>
    <row r="293" spans="2:11" x14ac:dyDescent="0.3">
      <c r="B293" s="306" t="s">
        <v>1703</v>
      </c>
      <c r="C293" s="321"/>
      <c r="D293" s="318"/>
      <c r="E293" s="205" t="s">
        <v>414</v>
      </c>
      <c r="F293" s="29" t="str">
        <f>IFERROR(VLOOKUP(E293,'Inventaire des produits'!$B$4:$K$1001,2,0),"")</f>
        <v>GANT VINYL NOIR EXTRA PREMIUM GLOVE LARGE</v>
      </c>
      <c r="G293" s="212">
        <v>90</v>
      </c>
      <c r="H293" s="30">
        <f>IFERROR(VLOOKUP(E293,'Inventaire des produits'!$B$4:$K$1001,8,0),"")</f>
        <v>20.833333333300001</v>
      </c>
      <c r="I293" s="32">
        <f t="shared" si="6"/>
        <v>1874.999999997</v>
      </c>
      <c r="K293" s="127" t="str">
        <f t="shared" si="5"/>
        <v/>
      </c>
    </row>
    <row r="294" spans="2:11" x14ac:dyDescent="0.3">
      <c r="B294" s="306" t="s">
        <v>1703</v>
      </c>
      <c r="C294" s="321"/>
      <c r="D294" s="318"/>
      <c r="E294" s="205" t="s">
        <v>583</v>
      </c>
      <c r="F294" s="29" t="str">
        <f>IFERROR(VLOOKUP(E294,'Inventaire des produits'!$B$4:$K$1001,2,0),"")</f>
        <v>GANT VINYL EXTRA PREMIUM GLOVE MEDIUM</v>
      </c>
      <c r="G294" s="212">
        <v>100</v>
      </c>
      <c r="H294" s="30">
        <f>IFERROR(VLOOKUP(E294,'Inventaire des produits'!$B$4:$K$1001,8,0),"")</f>
        <v>19.166666666699999</v>
      </c>
      <c r="I294" s="32">
        <f t="shared" si="6"/>
        <v>1916.66666667</v>
      </c>
      <c r="K294" s="127" t="str">
        <f t="shared" si="5"/>
        <v/>
      </c>
    </row>
    <row r="295" spans="2:11" x14ac:dyDescent="0.3">
      <c r="B295" s="306" t="s">
        <v>1703</v>
      </c>
      <c r="C295" s="322"/>
      <c r="D295" s="319"/>
      <c r="E295" s="205" t="s">
        <v>584</v>
      </c>
      <c r="F295" s="29" t="str">
        <f>IFERROR(VLOOKUP(E295,'Inventaire des produits'!$B$4:$K$1001,2,0),"")</f>
        <v>ROULEAU ALUMINIUM EXTRA PACK 200M</v>
      </c>
      <c r="G295" s="212">
        <v>48</v>
      </c>
      <c r="H295" s="30">
        <f>IFERROR(VLOOKUP(E295,'Inventaire des produits'!$B$4:$K$1001,8,0),"")</f>
        <v>50</v>
      </c>
      <c r="I295" s="32">
        <f t="shared" si="6"/>
        <v>2400</v>
      </c>
      <c r="K295" s="127" t="str">
        <f t="shared" si="5"/>
        <v/>
      </c>
    </row>
    <row r="296" spans="2:11" x14ac:dyDescent="0.3">
      <c r="B296" s="306" t="s">
        <v>1703</v>
      </c>
      <c r="C296" s="196">
        <v>45362</v>
      </c>
      <c r="D296" s="195" t="s">
        <v>586</v>
      </c>
      <c r="E296" s="205" t="s">
        <v>405</v>
      </c>
      <c r="F296" s="29" t="str">
        <f>IFERROR(VLOOKUP(E296,'Inventaire des produits'!$B$4:$K$1001,2,0),"")</f>
        <v>POT DE SAUCE 1OZ 30ML HP</v>
      </c>
      <c r="G296" s="212">
        <v>60000</v>
      </c>
      <c r="H296" s="30">
        <f>IFERROR(VLOOKUP(E296,'Inventaire des produits'!$B$4:$K$1001,8,0),"")</f>
        <v>0.14019999999999999</v>
      </c>
      <c r="I296" s="32">
        <f t="shared" si="6"/>
        <v>8412</v>
      </c>
      <c r="J296" s="33">
        <v>8412</v>
      </c>
      <c r="K296" s="127">
        <f t="shared" si="5"/>
        <v>10094.4</v>
      </c>
    </row>
    <row r="297" spans="2:11" x14ac:dyDescent="0.3">
      <c r="B297" s="306" t="s">
        <v>1703</v>
      </c>
      <c r="C297" s="320">
        <v>45365</v>
      </c>
      <c r="D297" s="317" t="s">
        <v>590</v>
      </c>
      <c r="E297" s="205" t="s">
        <v>127</v>
      </c>
      <c r="F297" s="29" t="str">
        <f>IFERROR(VLOOKUP(E297,'Inventaire des produits'!$B$4:$K$1001,2,0),"")</f>
        <v>SERVIETTE DE TABLE SEVAN 1PLI</v>
      </c>
      <c r="G297" s="212">
        <v>1000</v>
      </c>
      <c r="H297" s="30">
        <f>IFERROR(VLOOKUP(E297,'Inventaire des produits'!$B$4:$K$1001,8,0),"")</f>
        <v>2.9169999999999998</v>
      </c>
      <c r="I297" s="32">
        <f t="shared" si="6"/>
        <v>2917</v>
      </c>
      <c r="J297" s="33">
        <v>7267</v>
      </c>
      <c r="K297" s="127">
        <f t="shared" si="5"/>
        <v>8720.4</v>
      </c>
    </row>
    <row r="298" spans="2:11" x14ac:dyDescent="0.3">
      <c r="B298" s="306" t="s">
        <v>1703</v>
      </c>
      <c r="C298" s="321"/>
      <c r="D298" s="318"/>
      <c r="E298" s="205" t="s">
        <v>1151</v>
      </c>
      <c r="F298" s="29" t="str">
        <f>IFERROR(VLOOKUP(E298,'Inventaire des produits'!$B$4:$K$1001,2,0),"")</f>
        <v>ESSUIE MAIN 1KG LISSE</v>
      </c>
      <c r="G298" s="212">
        <v>120</v>
      </c>
      <c r="H298" s="30">
        <f>IFERROR(VLOOKUP(E298,'Inventaire des produits'!$B$4:$K$1001,8,0),"")</f>
        <v>21.25</v>
      </c>
      <c r="I298" s="32">
        <f t="shared" si="6"/>
        <v>2550</v>
      </c>
      <c r="K298" s="127" t="str">
        <f t="shared" si="5"/>
        <v/>
      </c>
    </row>
    <row r="299" spans="2:11" x14ac:dyDescent="0.3">
      <c r="B299" s="306" t="s">
        <v>1703</v>
      </c>
      <c r="C299" s="322"/>
      <c r="D299" s="319"/>
      <c r="E299" s="205" t="s">
        <v>222</v>
      </c>
      <c r="F299" s="29" t="str">
        <f>IFERROR(VLOOKUP(E299,'Inventaire des produits'!$B$4:$K$1001,2,0),"")</f>
        <v>FILM ALIMENTAIRE ELEGENCE</v>
      </c>
      <c r="G299" s="212">
        <v>90</v>
      </c>
      <c r="H299" s="30">
        <f>IFERROR(VLOOKUP(E299,'Inventaire des produits'!$B$4:$K$1001,8,0),"")</f>
        <v>20</v>
      </c>
      <c r="I299" s="32">
        <f t="shared" si="6"/>
        <v>1800</v>
      </c>
      <c r="K299" s="127" t="str">
        <f t="shared" si="5"/>
        <v/>
      </c>
    </row>
    <row r="300" spans="2:11" x14ac:dyDescent="0.3">
      <c r="B300" s="306" t="s">
        <v>1703</v>
      </c>
      <c r="C300" s="320">
        <v>45373</v>
      </c>
      <c r="D300" s="317" t="s">
        <v>612</v>
      </c>
      <c r="E300" s="205" t="s">
        <v>127</v>
      </c>
      <c r="F300" s="29" t="str">
        <f>IFERROR(VLOOKUP(E300,'Inventaire des produits'!$B$4:$K$1001,2,0),"")</f>
        <v>SERVIETTE DE TABLE SEVAN 1PLI</v>
      </c>
      <c r="G300" s="212">
        <v>1000</v>
      </c>
      <c r="H300" s="30">
        <f>IFERROR(VLOOKUP(E300,'Inventaire des produits'!$B$4:$K$1001,8,0),"")</f>
        <v>2.9169999999999998</v>
      </c>
      <c r="I300" s="32">
        <f t="shared" si="6"/>
        <v>2917</v>
      </c>
      <c r="J300" s="33">
        <v>8267.02</v>
      </c>
      <c r="K300" s="127">
        <f t="shared" si="5"/>
        <v>9920.4240000000009</v>
      </c>
    </row>
    <row r="301" spans="2:11" x14ac:dyDescent="0.3">
      <c r="B301" s="306" t="s">
        <v>1703</v>
      </c>
      <c r="C301" s="321"/>
      <c r="D301" s="318"/>
      <c r="E301" s="205" t="s">
        <v>222</v>
      </c>
      <c r="F301" s="29" t="str">
        <f>IFERROR(VLOOKUP(E301,'Inventaire des produits'!$B$4:$K$1001,2,0),"")</f>
        <v>FILM ALIMENTAIRE ELEGENCE</v>
      </c>
      <c r="G301" s="212">
        <v>180</v>
      </c>
      <c r="H301" s="30">
        <f>IFERROR(VLOOKUP(E301,'Inventaire des produits'!$B$4:$K$1001,8,0),"")</f>
        <v>20</v>
      </c>
      <c r="I301" s="32">
        <f t="shared" si="6"/>
        <v>3600</v>
      </c>
      <c r="K301" s="127" t="str">
        <f t="shared" si="5"/>
        <v/>
      </c>
    </row>
    <row r="302" spans="2:11" x14ac:dyDescent="0.3">
      <c r="B302" s="306" t="s">
        <v>1703</v>
      </c>
      <c r="C302" s="322"/>
      <c r="D302" s="319"/>
      <c r="E302" s="205" t="s">
        <v>614</v>
      </c>
      <c r="F302" s="29" t="str">
        <f>IFERROR(VLOOKUP(E302,'Inventaire des produits'!$B$4:$K$1001,2,0),"")</f>
        <v>FILM ALIMENTAIRE ORIGINAL 45*500</v>
      </c>
      <c r="G302" s="212">
        <v>60</v>
      </c>
      <c r="H302" s="30">
        <f>IFERROR(VLOOKUP(E302,'Inventaire des produits'!$B$4:$K$1001,8,0),"")</f>
        <v>29.167000000000002</v>
      </c>
      <c r="I302" s="32">
        <f t="shared" si="6"/>
        <v>1750.02</v>
      </c>
      <c r="K302" s="127" t="str">
        <f t="shared" si="5"/>
        <v/>
      </c>
    </row>
    <row r="303" spans="2:11" x14ac:dyDescent="0.3">
      <c r="B303" s="306" t="s">
        <v>1703</v>
      </c>
      <c r="C303" s="196">
        <v>45376</v>
      </c>
      <c r="D303" s="195" t="s">
        <v>618</v>
      </c>
      <c r="E303" s="205" t="s">
        <v>27</v>
      </c>
      <c r="F303" s="29" t="str">
        <f>IFERROR(VLOOKUP(E303,'Inventaire des produits'!$B$4:$K$1001,2,0),"")</f>
        <v>BARQUETTE VITA PACK 500ML AVEC CVL</v>
      </c>
      <c r="G303" s="212">
        <v>400</v>
      </c>
      <c r="H303" s="30">
        <f>IFERROR(VLOOKUP(E303,'Inventaire des produits'!$B$4:$K$1001,8,0),"")</f>
        <v>1.38</v>
      </c>
      <c r="I303" s="32">
        <f t="shared" si="6"/>
        <v>552</v>
      </c>
      <c r="J303" s="33">
        <v>552</v>
      </c>
      <c r="K303" s="127">
        <f t="shared" si="5"/>
        <v>662.4</v>
      </c>
    </row>
    <row r="304" spans="2:11" x14ac:dyDescent="0.3">
      <c r="B304" s="306" t="s">
        <v>1703</v>
      </c>
      <c r="C304" s="196">
        <v>45373</v>
      </c>
      <c r="D304" s="195" t="s">
        <v>620</v>
      </c>
      <c r="E304" s="205" t="s">
        <v>619</v>
      </c>
      <c r="F304" s="29" t="str">
        <f>IFERROR(VLOOKUP(E304,'Inventaire des produits'!$B$4:$K$1001,2,0),"")</f>
        <v>POT DE SAUCE 1OZ 30ML HP</v>
      </c>
      <c r="G304" s="212">
        <v>70000</v>
      </c>
      <c r="H304" s="30">
        <f>IFERROR(VLOOKUP(E304,'Inventaire des produits'!$B$4:$K$1001,8,0),"")</f>
        <v>0.13450000000000001</v>
      </c>
      <c r="I304" s="32">
        <f t="shared" si="6"/>
        <v>9415</v>
      </c>
      <c r="J304" s="33">
        <v>9415</v>
      </c>
      <c r="K304" s="127">
        <f t="shared" si="5"/>
        <v>11298</v>
      </c>
    </row>
    <row r="305" spans="2:11" x14ac:dyDescent="0.3">
      <c r="B305" s="306" t="s">
        <v>1703</v>
      </c>
      <c r="C305" s="196">
        <v>45350</v>
      </c>
      <c r="D305" s="195" t="s">
        <v>631</v>
      </c>
      <c r="E305" s="205" t="s">
        <v>630</v>
      </c>
      <c r="F305" s="29" t="str">
        <f>IFERROR(VLOOKUP(E305,'Inventaire des produits'!$B$4:$K$1001,2,0),"")</f>
        <v>BARQUETTE TRAITEUR 500CC</v>
      </c>
      <c r="G305" s="212">
        <v>1000</v>
      </c>
      <c r="H305" s="30">
        <f>IFERROR(VLOOKUP(E305,'Inventaire des produits'!$B$4:$K$1001,8,0),"")</f>
        <v>0.33333333329999998</v>
      </c>
      <c r="I305" s="32">
        <f t="shared" si="6"/>
        <v>333.33333329999999</v>
      </c>
      <c r="J305" s="33">
        <v>333.33333333333297</v>
      </c>
      <c r="K305" s="127">
        <f t="shared" si="5"/>
        <v>399.99999999999955</v>
      </c>
    </row>
    <row r="306" spans="2:11" x14ac:dyDescent="0.3">
      <c r="B306" s="306" t="s">
        <v>1703</v>
      </c>
      <c r="C306" s="320">
        <v>45344</v>
      </c>
      <c r="D306" s="325" t="s">
        <v>638</v>
      </c>
      <c r="E306" s="206" t="s">
        <v>633</v>
      </c>
      <c r="F306" s="29" t="str">
        <f>IFERROR(VLOOKUP(E306,'Inventaire des produits'!$B$4:$K$1001,2,0),"")</f>
        <v>GOBLET KRAFT 4OZ</v>
      </c>
      <c r="G306" s="212">
        <v>1000</v>
      </c>
      <c r="H306" s="30">
        <f>IFERROR(VLOOKUP(E306,'Inventaire des produits'!$B$4:$K$1001,8,0),"")</f>
        <v>0.21375</v>
      </c>
      <c r="I306" s="32">
        <f t="shared" si="6"/>
        <v>213.75</v>
      </c>
      <c r="J306" s="33">
        <v>634.58000000000004</v>
      </c>
      <c r="K306" s="127">
        <f t="shared" si="5"/>
        <v>761.49599999999998</v>
      </c>
    </row>
    <row r="307" spans="2:11" x14ac:dyDescent="0.3">
      <c r="B307" s="306" t="s">
        <v>1703</v>
      </c>
      <c r="C307" s="321"/>
      <c r="D307" s="330"/>
      <c r="E307" s="206" t="s">
        <v>634</v>
      </c>
      <c r="F307" s="29" t="str">
        <f>IFERROR(VLOOKUP(E307,'Inventaire des produits'!$B$4:$K$1001,2,0),"")</f>
        <v>CVL DE GOBLET 4OZ</v>
      </c>
      <c r="G307" s="212">
        <v>1000</v>
      </c>
      <c r="H307" s="30">
        <f>IFERROR(VLOOKUP(E307,'Inventaire des produits'!$B$4:$K$1001,8,0),"")</f>
        <v>0.15</v>
      </c>
      <c r="I307" s="32">
        <f t="shared" si="6"/>
        <v>150</v>
      </c>
      <c r="K307" s="127" t="str">
        <f t="shared" si="5"/>
        <v/>
      </c>
    </row>
    <row r="308" spans="2:11" x14ac:dyDescent="0.3">
      <c r="B308" s="306" t="s">
        <v>1703</v>
      </c>
      <c r="C308" s="322"/>
      <c r="D308" s="326"/>
      <c r="E308" s="206" t="s">
        <v>637</v>
      </c>
      <c r="F308" s="29" t="str">
        <f>IFERROR(VLOOKUP(E308,'Inventaire des produits'!$B$4:$K$1001,2,0),"")</f>
        <v>SET FOURCHETTE ET COUTEAU ET SERVIETTE</v>
      </c>
      <c r="G308" s="212">
        <v>500</v>
      </c>
      <c r="H308" s="30">
        <f>IFERROR(VLOOKUP(E308,'Inventaire des produits'!$B$4:$K$1001,8,0),"")</f>
        <v>0.54166666669999997</v>
      </c>
      <c r="I308" s="32">
        <f t="shared" si="6"/>
        <v>270.83333334999998</v>
      </c>
      <c r="K308" s="127" t="str">
        <f t="shared" si="5"/>
        <v/>
      </c>
    </row>
    <row r="309" spans="2:11" x14ac:dyDescent="0.3">
      <c r="B309" s="306" t="s">
        <v>1703</v>
      </c>
      <c r="C309" s="196">
        <v>45344</v>
      </c>
      <c r="D309" s="195" t="s">
        <v>641</v>
      </c>
      <c r="E309" s="205" t="s">
        <v>640</v>
      </c>
      <c r="F309" s="29" t="str">
        <f>IFERROR(VLOOKUP(E309,'Inventaire des produits'!$B$4:$K$1001,2,0),"")</f>
        <v>BARQUETTE TRAITEUR 500CC MICRON-ONDABLE TRANS</v>
      </c>
      <c r="G309" s="212">
        <v>250</v>
      </c>
      <c r="H309" s="30">
        <f>IFERROR(VLOOKUP(E309,'Inventaire des produits'!$B$4:$K$1001,8,0),"")</f>
        <v>1.125</v>
      </c>
      <c r="I309" s="32">
        <f t="shared" si="6"/>
        <v>281.25</v>
      </c>
      <c r="J309" s="33">
        <v>281.25</v>
      </c>
      <c r="K309" s="127">
        <f t="shared" si="5"/>
        <v>337.5</v>
      </c>
    </row>
    <row r="310" spans="2:11" x14ac:dyDescent="0.3">
      <c r="B310" s="306" t="s">
        <v>1703</v>
      </c>
      <c r="C310" s="320">
        <v>45341</v>
      </c>
      <c r="D310" s="317" t="s">
        <v>646</v>
      </c>
      <c r="E310" s="205" t="s">
        <v>643</v>
      </c>
      <c r="F310" s="29" t="str">
        <f>IFERROR(VLOOKUP(E310,'Inventaire des produits'!$B$4:$K$1001,2,0),"")</f>
        <v>BOL SALADE ET CVL BLANC 38OZ</v>
      </c>
      <c r="G310" s="212">
        <v>600</v>
      </c>
      <c r="H310" s="30">
        <f>IFERROR(VLOOKUP(E310,'Inventaire des produits'!$B$4:$K$1001,8,0),"")</f>
        <v>2.25</v>
      </c>
      <c r="I310" s="32">
        <f t="shared" si="6"/>
        <v>1350</v>
      </c>
      <c r="J310" s="33">
        <v>1558.333333</v>
      </c>
      <c r="K310" s="127">
        <f t="shared" si="5"/>
        <v>1869.9999995999999</v>
      </c>
    </row>
    <row r="311" spans="2:11" x14ac:dyDescent="0.3">
      <c r="B311" s="306" t="s">
        <v>1703</v>
      </c>
      <c r="C311" s="322"/>
      <c r="D311" s="319"/>
      <c r="E311" s="205" t="s">
        <v>645</v>
      </c>
      <c r="F311" s="29" t="str">
        <f>IFERROR(VLOOKUP(E311,'Inventaire des produits'!$B$4:$K$1001,2,0),"")</f>
        <v>POT DE SAUCE 2OZ ET CVL</v>
      </c>
      <c r="G311" s="212">
        <v>1000</v>
      </c>
      <c r="H311" s="30">
        <f>IFERROR(VLOOKUP(E311,'Inventaire des produits'!$B$4:$K$1001,8,0),"")</f>
        <v>0.20833333330000001</v>
      </c>
      <c r="I311" s="32">
        <f t="shared" si="6"/>
        <v>208.33333329999999</v>
      </c>
      <c r="K311" s="127" t="str">
        <f t="shared" si="5"/>
        <v/>
      </c>
    </row>
    <row r="312" spans="2:11" x14ac:dyDescent="0.3">
      <c r="B312" s="306" t="s">
        <v>1703</v>
      </c>
      <c r="C312" s="320">
        <v>45336</v>
      </c>
      <c r="D312" s="317" t="s">
        <v>651</v>
      </c>
      <c r="E312" s="205" t="s">
        <v>648</v>
      </c>
      <c r="F312" s="29" t="str">
        <f>IFERROR(VLOOKUP(E312,'Inventaire des produits'!$B$4:$K$1001,2,0),"")</f>
        <v>BOL SOUPE MICRON ONDABLE ET CVL 460CC</v>
      </c>
      <c r="G312" s="212">
        <v>2250</v>
      </c>
      <c r="H312" s="30">
        <f>IFERROR(VLOOKUP(E312,'Inventaire des produits'!$B$4:$K$1001,8,0),"")</f>
        <v>0.79166666669999997</v>
      </c>
      <c r="I312" s="32">
        <f t="shared" si="6"/>
        <v>1781.2500000749999</v>
      </c>
      <c r="J312" s="33">
        <v>2256.25</v>
      </c>
      <c r="K312" s="127">
        <f t="shared" si="5"/>
        <v>2707.5</v>
      </c>
    </row>
    <row r="313" spans="2:11" x14ac:dyDescent="0.3">
      <c r="B313" s="306" t="s">
        <v>1703</v>
      </c>
      <c r="C313" s="322"/>
      <c r="D313" s="319"/>
      <c r="E313" s="205" t="s">
        <v>650</v>
      </c>
      <c r="F313" s="29" t="str">
        <f>IFERROR(VLOOKUP(E313,'Inventaire des produits'!$B$4:$K$1001,2,0),"")</f>
        <v>BARQUETTE MICRON ONDABLE 2 COMP AVEC CVL</v>
      </c>
      <c r="G313" s="212">
        <v>300</v>
      </c>
      <c r="H313" s="30">
        <f>IFERROR(VLOOKUP(E313,'Inventaire des produits'!$B$4:$K$1001,8,0),"")</f>
        <v>1.5833333332999999</v>
      </c>
      <c r="I313" s="32">
        <f t="shared" si="6"/>
        <v>474.99999998999999</v>
      </c>
      <c r="K313" s="127" t="str">
        <f t="shared" si="5"/>
        <v/>
      </c>
    </row>
    <row r="314" spans="2:11" x14ac:dyDescent="0.3">
      <c r="B314" s="306" t="s">
        <v>1703</v>
      </c>
      <c r="C314" s="196">
        <v>45335</v>
      </c>
      <c r="D314" s="195" t="s">
        <v>653</v>
      </c>
      <c r="E314" s="205" t="s">
        <v>652</v>
      </c>
      <c r="F314" s="29" t="str">
        <f>IFERROR(VLOOKUP(E314,'Inventaire des produits'!$B$4:$K$1001,2,0),"")</f>
        <v>BARQUETTE TRAITEUR 500CC MICRON-ONDABLE TRANS</v>
      </c>
      <c r="G314" s="212">
        <v>250</v>
      </c>
      <c r="H314" s="30">
        <f>IFERROR(VLOOKUP(E314,'Inventaire des produits'!$B$4:$K$1001,8,0),"")</f>
        <v>1.1666666666700001</v>
      </c>
      <c r="I314" s="32">
        <f t="shared" si="6"/>
        <v>291.66666666750001</v>
      </c>
      <c r="J314" s="33">
        <v>291.66666666750001</v>
      </c>
      <c r="K314" s="127">
        <f t="shared" si="5"/>
        <v>350.00000000099999</v>
      </c>
    </row>
    <row r="315" spans="2:11" x14ac:dyDescent="0.3">
      <c r="B315" s="306" t="s">
        <v>1703</v>
      </c>
      <c r="C315" s="320">
        <v>45333</v>
      </c>
      <c r="D315" s="317" t="s">
        <v>658</v>
      </c>
      <c r="E315" s="205" t="s">
        <v>655</v>
      </c>
      <c r="F315" s="29" t="str">
        <f>IFERROR(VLOOKUP(E315,'Inventaire des produits'!$B$4:$K$1001,2,0),"")</f>
        <v>BARQUETTE SUSHI 205*275 ET CVL CARTON</v>
      </c>
      <c r="G315" s="212">
        <v>400</v>
      </c>
      <c r="H315" s="30">
        <f>IFERROR(VLOOKUP(E315,'Inventaire des produits'!$B$4:$K$1001,8,0),"")</f>
        <v>3.0833333333000001</v>
      </c>
      <c r="I315" s="32">
        <f t="shared" si="6"/>
        <v>1233.3333333200001</v>
      </c>
      <c r="K315" s="127" t="str">
        <f t="shared" si="5"/>
        <v/>
      </c>
    </row>
    <row r="316" spans="2:11" x14ac:dyDescent="0.3">
      <c r="B316" s="306" t="s">
        <v>1703</v>
      </c>
      <c r="C316" s="322"/>
      <c r="D316" s="319"/>
      <c r="E316" s="205" t="s">
        <v>656</v>
      </c>
      <c r="F316" s="29" t="str">
        <f>IFERROR(VLOOKUP(E316,'Inventaire des produits'!$B$4:$K$1001,2,0),"")</f>
        <v>BOITE REPAS KRAFT BLANC</v>
      </c>
      <c r="G316" s="212">
        <v>600</v>
      </c>
      <c r="H316" s="30">
        <f>IFERROR(VLOOKUP(E316,'Inventaire des produits'!$B$4:$K$1001,8,0),"")</f>
        <v>0.70833333330000003</v>
      </c>
      <c r="I316" s="32">
        <f t="shared" si="6"/>
        <v>424.99999998000004</v>
      </c>
      <c r="J316" s="33">
        <v>1658.3333299999999</v>
      </c>
      <c r="K316" s="127">
        <f t="shared" si="5"/>
        <v>1989.9999959999998</v>
      </c>
    </row>
    <row r="317" spans="2:11" x14ac:dyDescent="0.3">
      <c r="B317" s="306" t="s">
        <v>1703</v>
      </c>
      <c r="C317" s="196">
        <v>45323</v>
      </c>
      <c r="D317" s="195" t="s">
        <v>660</v>
      </c>
      <c r="E317" s="205" t="s">
        <v>659</v>
      </c>
      <c r="F317" s="29" t="str">
        <f>IFERROR(VLOOKUP(E317,'Inventaire des produits'!$B$4:$K$1001,2,0),"")</f>
        <v>BARQUETTE MICRON ONDABLE 2 COMP AVEC CVL</v>
      </c>
      <c r="G317" s="212">
        <v>300</v>
      </c>
      <c r="H317" s="30">
        <f>IFERROR(VLOOKUP(E317,'Inventaire des produits'!$B$4:$K$1001,8,0),"")</f>
        <v>1.625</v>
      </c>
      <c r="I317" s="32">
        <f t="shared" si="6"/>
        <v>487.5</v>
      </c>
      <c r="J317" s="33">
        <v>487.5</v>
      </c>
      <c r="K317" s="127">
        <f t="shared" si="5"/>
        <v>585</v>
      </c>
    </row>
    <row r="318" spans="2:11" x14ac:dyDescent="0.3">
      <c r="B318" s="306" t="s">
        <v>1703</v>
      </c>
      <c r="C318" s="196">
        <v>45323</v>
      </c>
      <c r="D318" s="195" t="s">
        <v>663</v>
      </c>
      <c r="E318" s="205" t="s">
        <v>662</v>
      </c>
      <c r="F318" s="29" t="str">
        <f>IFERROR(VLOOKUP(E318,'Inventaire des produits'!$B$4:$K$1001,2,0),"")</f>
        <v>BARQUETTE MICRON ONDABLE 1 COMP AVEC CVL</v>
      </c>
      <c r="G318" s="212">
        <v>900</v>
      </c>
      <c r="H318" s="30">
        <f>IFERROR(VLOOKUP(E318,'Inventaire des produits'!$B$4:$K$1001,8,0),"")</f>
        <v>1.6166666667</v>
      </c>
      <c r="I318" s="32">
        <f t="shared" si="6"/>
        <v>1455.0000000300001</v>
      </c>
      <c r="J318" s="33">
        <v>1455</v>
      </c>
      <c r="K318" s="127">
        <f t="shared" ref="K318:K381" si="7">IF(J318="","",J318*1.2)</f>
        <v>1746</v>
      </c>
    </row>
    <row r="319" spans="2:11" x14ac:dyDescent="0.3">
      <c r="B319" s="306" t="s">
        <v>1703</v>
      </c>
      <c r="C319" s="320">
        <v>45320</v>
      </c>
      <c r="D319" s="317" t="s">
        <v>664</v>
      </c>
      <c r="E319" s="205" t="s">
        <v>645</v>
      </c>
      <c r="F319" s="29" t="str">
        <f>IFERROR(VLOOKUP(E319,'Inventaire des produits'!$B$4:$K$1001,2,0),"")</f>
        <v>POT DE SAUCE 2OZ ET CVL</v>
      </c>
      <c r="G319" s="212">
        <v>1000</v>
      </c>
      <c r="H319" s="30">
        <f>IFERROR(VLOOKUP(E319,'Inventaire des produits'!$B$4:$K$1001,8,0),"")</f>
        <v>0.20833333330000001</v>
      </c>
      <c r="I319" s="32">
        <f t="shared" si="6"/>
        <v>208.33333329999999</v>
      </c>
      <c r="J319" s="33">
        <v>883.33333300000004</v>
      </c>
      <c r="K319" s="127">
        <f t="shared" si="7"/>
        <v>1059.9999995999999</v>
      </c>
    </row>
    <row r="320" spans="2:11" x14ac:dyDescent="0.3">
      <c r="B320" s="306" t="s">
        <v>1703</v>
      </c>
      <c r="C320" s="322"/>
      <c r="D320" s="319"/>
      <c r="E320" s="205" t="s">
        <v>643</v>
      </c>
      <c r="F320" s="29" t="str">
        <f>IFERROR(VLOOKUP(E320,'Inventaire des produits'!$B$4:$K$1001,2,0),"")</f>
        <v>BOL SALADE ET CVL BLANC 38OZ</v>
      </c>
      <c r="G320" s="212">
        <v>300</v>
      </c>
      <c r="H320" s="30">
        <f>IFERROR(VLOOKUP(E320,'Inventaire des produits'!$B$4:$K$1001,8,0),"")</f>
        <v>2.25</v>
      </c>
      <c r="I320" s="32">
        <f t="shared" si="6"/>
        <v>675</v>
      </c>
      <c r="K320" s="127" t="str">
        <f t="shared" si="7"/>
        <v/>
      </c>
    </row>
    <row r="321" spans="2:11" x14ac:dyDescent="0.3">
      <c r="B321" s="306" t="s">
        <v>1703</v>
      </c>
      <c r="C321" s="196">
        <v>45320</v>
      </c>
      <c r="D321" s="195" t="s">
        <v>665</v>
      </c>
      <c r="E321" s="205" t="s">
        <v>637</v>
      </c>
      <c r="F321" s="29" t="str">
        <f>IFERROR(VLOOKUP(E321,'Inventaire des produits'!$B$4:$K$1001,2,0),"")</f>
        <v>SET FOURCHETTE ET COUTEAU ET SERVIETTE</v>
      </c>
      <c r="G321" s="212">
        <v>500</v>
      </c>
      <c r="H321" s="30">
        <f>IFERROR(VLOOKUP(E321,'Inventaire des produits'!$B$4:$K$1001,8,0),"")</f>
        <v>0.54166666669999997</v>
      </c>
      <c r="I321" s="32">
        <f t="shared" si="6"/>
        <v>270.83333334999998</v>
      </c>
      <c r="J321" s="33">
        <v>270.83</v>
      </c>
      <c r="K321" s="127">
        <f t="shared" si="7"/>
        <v>324.99599999999998</v>
      </c>
    </row>
    <row r="322" spans="2:11" x14ac:dyDescent="0.3">
      <c r="B322" s="306" t="s">
        <v>1703</v>
      </c>
      <c r="C322" s="196">
        <v>45337</v>
      </c>
      <c r="D322" s="195" t="s">
        <v>667</v>
      </c>
      <c r="E322" s="205" t="s">
        <v>666</v>
      </c>
      <c r="F322" s="29" t="str">
        <f>IFERROR(VLOOKUP(E322,'Inventaire des produits'!$B$4:$K$1001,2,0),"")</f>
        <v>GANT VINYL EXTRA PREMIUM GLOVE MEDIUM</v>
      </c>
      <c r="G322" s="212">
        <v>180</v>
      </c>
      <c r="H322" s="30">
        <f>IFERROR(VLOOKUP(E322,'Inventaire des produits'!$B$4:$K$1001,8,0),"")</f>
        <v>20</v>
      </c>
      <c r="I322" s="32">
        <f t="shared" si="6"/>
        <v>3600</v>
      </c>
      <c r="J322" s="33">
        <v>3600</v>
      </c>
      <c r="K322" s="127">
        <f t="shared" si="7"/>
        <v>4320</v>
      </c>
    </row>
    <row r="323" spans="2:11" x14ac:dyDescent="0.3">
      <c r="B323" s="306" t="s">
        <v>1703</v>
      </c>
      <c r="C323" s="320">
        <v>45343</v>
      </c>
      <c r="D323" s="317" t="s">
        <v>669</v>
      </c>
      <c r="E323" s="205" t="s">
        <v>668</v>
      </c>
      <c r="F323" s="29" t="str">
        <f>IFERROR(VLOOKUP(E323,'Inventaire des produits'!$B$4:$K$1001,2,0),"")</f>
        <v>ROULEAU ALUMINIUM GOLDEN 200M</v>
      </c>
      <c r="G323" s="212">
        <v>36</v>
      </c>
      <c r="H323" s="30">
        <f>IFERROR(VLOOKUP(E323,'Inventaire des produits'!$B$4:$K$1001,8,0),"")</f>
        <v>55.833333333299997</v>
      </c>
      <c r="I323" s="32">
        <f t="shared" si="6"/>
        <v>2009.9999999987999</v>
      </c>
      <c r="J323" s="33">
        <v>3010</v>
      </c>
      <c r="K323" s="127">
        <f t="shared" si="7"/>
        <v>3612</v>
      </c>
    </row>
    <row r="324" spans="2:11" x14ac:dyDescent="0.3">
      <c r="B324" s="306" t="s">
        <v>1703</v>
      </c>
      <c r="C324" s="322"/>
      <c r="D324" s="319"/>
      <c r="E324" s="205" t="s">
        <v>666</v>
      </c>
      <c r="F324" s="29" t="str">
        <f>IFERROR(VLOOKUP(E324,'Inventaire des produits'!$B$4:$K$1001,2,0),"")</f>
        <v>GANT VINYL EXTRA PREMIUM GLOVE MEDIUM</v>
      </c>
      <c r="G324" s="212">
        <v>50</v>
      </c>
      <c r="H324" s="30">
        <f>IFERROR(VLOOKUP(E324,'Inventaire des produits'!$B$4:$K$1001,8,0),"")</f>
        <v>20</v>
      </c>
      <c r="I324" s="32">
        <f t="shared" ref="I324:I387" si="8">IF(OR(G324="",H324=""),"",G324*H324)</f>
        <v>1000</v>
      </c>
      <c r="K324" s="127" t="str">
        <f t="shared" si="7"/>
        <v/>
      </c>
    </row>
    <row r="325" spans="2:11" x14ac:dyDescent="0.3">
      <c r="B325" s="306" t="s">
        <v>1703</v>
      </c>
      <c r="C325" s="320">
        <v>45384</v>
      </c>
      <c r="D325" s="317" t="s">
        <v>674</v>
      </c>
      <c r="E325" s="205" t="s">
        <v>672</v>
      </c>
      <c r="F325" s="29" t="str">
        <f>IFERROR(VLOOKUP(E325,'Inventaire des produits'!$B$4:$K$1001,2,0),"")</f>
        <v>BARQUETTE 150CARRE</v>
      </c>
      <c r="G325" s="212">
        <v>1000</v>
      </c>
      <c r="H325" s="30">
        <f>IFERROR(VLOOKUP(E325,'Inventaire des produits'!$B$4:$K$1001,8,0),"")</f>
        <v>0.21</v>
      </c>
      <c r="I325" s="32">
        <f t="shared" si="8"/>
        <v>210</v>
      </c>
      <c r="J325" s="33">
        <v>710</v>
      </c>
      <c r="K325" s="127">
        <f t="shared" si="7"/>
        <v>852</v>
      </c>
    </row>
    <row r="326" spans="2:11" x14ac:dyDescent="0.3">
      <c r="B326" s="306" t="s">
        <v>1703</v>
      </c>
      <c r="C326" s="322"/>
      <c r="D326" s="319"/>
      <c r="E326" s="205" t="s">
        <v>673</v>
      </c>
      <c r="F326" s="29" t="str">
        <f>IFERROR(VLOOKUP(E326,'Inventaire des produits'!$B$4:$K$1001,2,0),"")</f>
        <v>BARQUETTE ALUMINIUM 250</v>
      </c>
      <c r="G326" s="212">
        <v>2000</v>
      </c>
      <c r="H326" s="30">
        <f>IFERROR(VLOOKUP(E326,'Inventaire des produits'!$B$4:$K$1001,8,0),"")</f>
        <v>0.25</v>
      </c>
      <c r="I326" s="32">
        <f t="shared" si="8"/>
        <v>500</v>
      </c>
      <c r="K326" s="127" t="str">
        <f t="shared" si="7"/>
        <v/>
      </c>
    </row>
    <row r="327" spans="2:11" x14ac:dyDescent="0.3">
      <c r="B327" s="306" t="s">
        <v>1703</v>
      </c>
      <c r="C327" s="196">
        <v>45384</v>
      </c>
      <c r="D327" s="195" t="s">
        <v>675</v>
      </c>
      <c r="E327" s="205" t="s">
        <v>232</v>
      </c>
      <c r="F327" s="29" t="str">
        <f>IFERROR(VLOOKUP(E327,'Inventaire des produits'!$B$4:$K$1001,2,0),"")</f>
        <v>CUILLERE ECOLUXE TRANSPARENT</v>
      </c>
      <c r="G327" s="212">
        <v>20</v>
      </c>
      <c r="H327" s="30">
        <f>IFERROR(VLOOKUP(E327,'Inventaire des produits'!$B$4:$K$1001,8,0),"")</f>
        <v>17.5</v>
      </c>
      <c r="I327" s="32">
        <f t="shared" si="8"/>
        <v>350</v>
      </c>
      <c r="J327" s="33">
        <v>350</v>
      </c>
      <c r="K327" s="127">
        <f t="shared" si="7"/>
        <v>420</v>
      </c>
    </row>
    <row r="328" spans="2:11" x14ac:dyDescent="0.3">
      <c r="B328" s="306" t="s">
        <v>1703</v>
      </c>
      <c r="C328" s="320">
        <v>45385</v>
      </c>
      <c r="D328" s="317" t="s">
        <v>686</v>
      </c>
      <c r="E328" s="205" t="s">
        <v>677</v>
      </c>
      <c r="F328" s="29" t="str">
        <f>IFERROR(VLOOKUP(E328,'Inventaire des produits'!$B$4:$K$1001,2,0),"")</f>
        <v>BARQUETTE TRAITEUR 750CC MICRON ONDABLE</v>
      </c>
      <c r="G328" s="212">
        <v>6250</v>
      </c>
      <c r="H328" s="30">
        <f>IFERROR(VLOOKUP(E328,'Inventaire des produits'!$B$4:$K$1001,8,0),"")</f>
        <v>1.1479166667</v>
      </c>
      <c r="I328" s="32">
        <f t="shared" si="8"/>
        <v>7174.4791668750004</v>
      </c>
      <c r="J328" s="33">
        <v>26146.81</v>
      </c>
      <c r="K328" s="127">
        <f t="shared" si="7"/>
        <v>31376.171999999999</v>
      </c>
    </row>
    <row r="329" spans="2:11" x14ac:dyDescent="0.3">
      <c r="B329" s="306" t="s">
        <v>1703</v>
      </c>
      <c r="C329" s="321"/>
      <c r="D329" s="318"/>
      <c r="E329" s="205" t="s">
        <v>678</v>
      </c>
      <c r="F329" s="29" t="str">
        <f>IFERROR(VLOOKUP(E329,'Inventaire des produits'!$B$4:$K$1001,2,0),"")</f>
        <v>BOL SOUPE/NOUILLE ET CVL 16OZ</v>
      </c>
      <c r="G329" s="212">
        <v>2000</v>
      </c>
      <c r="H329" s="30">
        <f>IFERROR(VLOOKUP(E329,'Inventaire des produits'!$B$4:$K$1001,8,0),"")</f>
        <v>0.79166666669999997</v>
      </c>
      <c r="I329" s="32">
        <f t="shared" si="8"/>
        <v>1583.3333333999999</v>
      </c>
      <c r="K329" s="127" t="str">
        <f t="shared" si="7"/>
        <v/>
      </c>
    </row>
    <row r="330" spans="2:11" x14ac:dyDescent="0.3">
      <c r="B330" s="306" t="s">
        <v>1703</v>
      </c>
      <c r="C330" s="321"/>
      <c r="D330" s="318"/>
      <c r="E330" s="205" t="s">
        <v>680</v>
      </c>
      <c r="F330" s="29" t="str">
        <f>IFERROR(VLOOKUP(E330,'Inventaire des produits'!$B$4:$K$1001,2,0),"")</f>
        <v>BOL SALADE ET CVL BLANC 38OZ CARTON 300PCS</v>
      </c>
      <c r="G330" s="212">
        <v>3000</v>
      </c>
      <c r="H330" s="30">
        <f>IFERROR(VLOOKUP(E330,'Inventaire des produits'!$B$4:$K$1001,8,0),"")</f>
        <v>2.0583333332999998</v>
      </c>
      <c r="I330" s="32">
        <f t="shared" si="8"/>
        <v>6174.9999998999992</v>
      </c>
      <c r="K330" s="127" t="str">
        <f t="shared" si="7"/>
        <v/>
      </c>
    </row>
    <row r="331" spans="2:11" x14ac:dyDescent="0.3">
      <c r="B331" s="306" t="s">
        <v>1703</v>
      </c>
      <c r="C331" s="321"/>
      <c r="D331" s="318"/>
      <c r="E331" s="205" t="s">
        <v>681</v>
      </c>
      <c r="F331" s="29" t="str">
        <f>IFERROR(VLOOKUP(E331,'Inventaire des produits'!$B$4:$K$1001,2,0),"")</f>
        <v>BARQUETTE TRAITEUR 500CC MICRON-ONDABLE TRANS</v>
      </c>
      <c r="G331" s="212">
        <v>2500</v>
      </c>
      <c r="H331" s="30">
        <f>IFERROR(VLOOKUP(E331,'Inventaire des produits'!$B$4:$K$1001,8,0),"")</f>
        <v>1.0833333332999999</v>
      </c>
      <c r="I331" s="32">
        <f t="shared" si="8"/>
        <v>2708.3333332499997</v>
      </c>
      <c r="K331" s="127" t="str">
        <f t="shared" si="7"/>
        <v/>
      </c>
    </row>
    <row r="332" spans="2:11" x14ac:dyDescent="0.3">
      <c r="B332" s="306" t="s">
        <v>1703</v>
      </c>
      <c r="C332" s="321"/>
      <c r="D332" s="318"/>
      <c r="E332" s="205" t="s">
        <v>682</v>
      </c>
      <c r="F332" s="29" t="str">
        <f>IFERROR(VLOOKUP(E332,'Inventaire des produits'!$B$4:$K$1001,2,0),"")</f>
        <v>BARQUETTE SUSHI 160*91 ET CVL</v>
      </c>
      <c r="G332" s="212">
        <v>2000</v>
      </c>
      <c r="H332" s="30">
        <f>IFERROR(VLOOKUP(E332,'Inventaire des produits'!$B$4:$K$1001,8,0),"")</f>
        <v>0.69750000000000001</v>
      </c>
      <c r="I332" s="32">
        <f t="shared" si="8"/>
        <v>1395</v>
      </c>
      <c r="K332" s="127" t="str">
        <f t="shared" si="7"/>
        <v/>
      </c>
    </row>
    <row r="333" spans="2:11" x14ac:dyDescent="0.3">
      <c r="B333" s="306" t="s">
        <v>1703</v>
      </c>
      <c r="C333" s="321"/>
      <c r="D333" s="318"/>
      <c r="E333" s="205" t="s">
        <v>685</v>
      </c>
      <c r="F333" s="29" t="str">
        <f>IFERROR(VLOOKUP(E333,'Inventaire des produits'!$B$4:$K$1001,2,0),"")</f>
        <v>BARQUETTE SUSHI 218*90 ET CVL</v>
      </c>
      <c r="G333" s="212">
        <v>2000</v>
      </c>
      <c r="H333" s="30">
        <f>IFERROR(VLOOKUP(E333,'Inventaire des produits'!$B$4:$K$1001,8,0),"")</f>
        <v>0.93</v>
      </c>
      <c r="I333" s="32">
        <f t="shared" si="8"/>
        <v>1860</v>
      </c>
      <c r="K333" s="127" t="str">
        <f t="shared" si="7"/>
        <v/>
      </c>
    </row>
    <row r="334" spans="2:11" x14ac:dyDescent="0.3">
      <c r="B334" s="306" t="s">
        <v>1703</v>
      </c>
      <c r="C334" s="321"/>
      <c r="D334" s="318"/>
      <c r="E334" s="205" t="s">
        <v>688</v>
      </c>
      <c r="F334" s="29" t="str">
        <f>IFERROR(VLOOKUP(E334,'Inventaire des produits'!$B$4:$K$1001,2,0),"")</f>
        <v xml:space="preserve">BARQUETTE SUSHI 216*136 ET CVL </v>
      </c>
      <c r="G334" s="212">
        <v>2000</v>
      </c>
      <c r="H334" s="30">
        <f>IFERROR(VLOOKUP(E334,'Inventaire des produits'!$B$4:$K$1001,8,0),"")</f>
        <v>1.0687500000000001</v>
      </c>
      <c r="I334" s="32">
        <f t="shared" si="8"/>
        <v>2137.5</v>
      </c>
      <c r="K334" s="127" t="str">
        <f t="shared" si="7"/>
        <v/>
      </c>
    </row>
    <row r="335" spans="2:11" x14ac:dyDescent="0.3">
      <c r="B335" s="306" t="s">
        <v>1703</v>
      </c>
      <c r="C335" s="321"/>
      <c r="D335" s="318"/>
      <c r="E335" s="205" t="s">
        <v>690</v>
      </c>
      <c r="F335" s="29" t="str">
        <f>IFERROR(VLOOKUP(E335,'Inventaire des produits'!$B$4:$K$1001,2,0),"")</f>
        <v>POT DE SAUCE 1OZ ET CVL</v>
      </c>
      <c r="G335" s="212">
        <v>2000</v>
      </c>
      <c r="H335" s="30">
        <f>IFERROR(VLOOKUP(E335,'Inventaire des produits'!$B$4:$K$1001,8,0),"")</f>
        <v>0.15833333329999999</v>
      </c>
      <c r="I335" s="32">
        <f t="shared" si="8"/>
        <v>316.66666659999999</v>
      </c>
      <c r="K335" s="127" t="str">
        <f t="shared" si="7"/>
        <v/>
      </c>
    </row>
    <row r="336" spans="2:11" x14ac:dyDescent="0.3">
      <c r="B336" s="306" t="s">
        <v>1703</v>
      </c>
      <c r="C336" s="321"/>
      <c r="D336" s="318"/>
      <c r="E336" s="205" t="s">
        <v>691</v>
      </c>
      <c r="F336" s="29" t="str">
        <f>IFERROR(VLOOKUP(E336,'Inventaire des produits'!$B$4:$K$1001,2,0),"")</f>
        <v>POT DE SAUCE 2OZ ET CVL</v>
      </c>
      <c r="G336" s="212">
        <v>6000</v>
      </c>
      <c r="H336" s="30">
        <f>IFERROR(VLOOKUP(E336,'Inventaire des produits'!$B$4:$K$1001,8,0),"")</f>
        <v>0.2020833333</v>
      </c>
      <c r="I336" s="32">
        <f t="shared" si="8"/>
        <v>1212.4999998000001</v>
      </c>
      <c r="K336" s="127" t="str">
        <f t="shared" si="7"/>
        <v/>
      </c>
    </row>
    <row r="337" spans="2:11" x14ac:dyDescent="0.3">
      <c r="B337" s="306" t="s">
        <v>1703</v>
      </c>
      <c r="C337" s="322"/>
      <c r="D337" s="319"/>
      <c r="E337" s="205" t="s">
        <v>693</v>
      </c>
      <c r="F337" s="29" t="str">
        <f>IFERROR(VLOOKUP(E337,'Inventaire des produits'!$B$4:$K$1001,2,0),"")</f>
        <v>BOLE SOUPE 16OZ MICRON ONDABLE</v>
      </c>
      <c r="G337" s="212">
        <v>2000</v>
      </c>
      <c r="H337" s="30">
        <f>IFERROR(VLOOKUP(E337,'Inventaire des produits'!$B$4:$K$1001,8,0),"")</f>
        <v>0.79200000000000004</v>
      </c>
      <c r="I337" s="32">
        <f t="shared" si="8"/>
        <v>1584</v>
      </c>
      <c r="K337" s="127" t="str">
        <f t="shared" si="7"/>
        <v/>
      </c>
    </row>
    <row r="338" spans="2:11" x14ac:dyDescent="0.3">
      <c r="B338" s="306" t="s">
        <v>1703</v>
      </c>
      <c r="C338" s="196">
        <v>45386</v>
      </c>
      <c r="D338" s="195" t="s">
        <v>694</v>
      </c>
      <c r="E338" s="205" t="s">
        <v>619</v>
      </c>
      <c r="F338" s="29" t="str">
        <f>IFERROR(VLOOKUP(E338,'Inventaire des produits'!$B$4:$K$1001,2,0),"")</f>
        <v>POT DE SAUCE 1OZ 30ML HP</v>
      </c>
      <c r="G338" s="212">
        <v>50000</v>
      </c>
      <c r="H338" s="30">
        <f>IFERROR(VLOOKUP(E338,'Inventaire des produits'!$B$4:$K$1001,8,0),"")</f>
        <v>0.13450000000000001</v>
      </c>
      <c r="I338" s="32">
        <f t="shared" si="8"/>
        <v>6725</v>
      </c>
      <c r="J338" s="33">
        <v>6725</v>
      </c>
      <c r="K338" s="127">
        <f t="shared" si="7"/>
        <v>8070</v>
      </c>
    </row>
    <row r="339" spans="2:11" x14ac:dyDescent="0.3">
      <c r="B339" s="306" t="s">
        <v>1703</v>
      </c>
      <c r="C339" s="320">
        <v>45388</v>
      </c>
      <c r="D339" s="317" t="s">
        <v>704</v>
      </c>
      <c r="E339" s="205" t="s">
        <v>319</v>
      </c>
      <c r="F339" s="29" t="str">
        <f>IFERROR(VLOOKUP(E339,'Inventaire des produits'!$B$4:$K$1001,2,0),"")</f>
        <v>FOURCHETTE ECOLUXE TRANSPARENTE</v>
      </c>
      <c r="G339" s="212">
        <v>20</v>
      </c>
      <c r="H339" s="30">
        <f>IFERROR(VLOOKUP(E339,'Inventaire des produits'!$B$4:$K$1001,8,0),"")</f>
        <v>17.5</v>
      </c>
      <c r="I339" s="32">
        <f t="shared" si="8"/>
        <v>350</v>
      </c>
      <c r="J339" s="33">
        <v>1050</v>
      </c>
      <c r="K339" s="127">
        <f t="shared" si="7"/>
        <v>1260</v>
      </c>
    </row>
    <row r="340" spans="2:11" x14ac:dyDescent="0.3">
      <c r="B340" s="306" t="s">
        <v>1703</v>
      </c>
      <c r="C340" s="322"/>
      <c r="D340" s="319"/>
      <c r="E340" s="205" t="s">
        <v>702</v>
      </c>
      <c r="F340" s="29" t="str">
        <f>IFERROR(VLOOKUP(E340,'Inventaire des produits'!$B$4:$K$1001,2,0),"")</f>
        <v>FOURCHETTE ECOLUXE NOIRE</v>
      </c>
      <c r="G340" s="212">
        <v>40</v>
      </c>
      <c r="H340" s="30">
        <f>IFERROR(VLOOKUP(E340,'Inventaire des produits'!$B$4:$K$1001,8,0),"")</f>
        <v>17.5</v>
      </c>
      <c r="I340" s="32">
        <f t="shared" si="8"/>
        <v>700</v>
      </c>
      <c r="K340" s="127" t="str">
        <f t="shared" si="7"/>
        <v/>
      </c>
    </row>
    <row r="341" spans="2:11" x14ac:dyDescent="0.3">
      <c r="B341" s="306" t="s">
        <v>1703</v>
      </c>
      <c r="C341" s="196">
        <v>45399</v>
      </c>
      <c r="D341" s="195" t="s">
        <v>719</v>
      </c>
      <c r="E341" s="205" t="s">
        <v>66</v>
      </c>
      <c r="F341" s="29" t="str">
        <f>IFERROR(VLOOKUP(E341,'Inventaire des produits'!$B$4:$K$1001,2,0),"")</f>
        <v>TRIPOD PIZZA EN PLASTIQUE</v>
      </c>
      <c r="G341" s="212">
        <v>1000</v>
      </c>
      <c r="H341" s="30">
        <f>IFERROR(VLOOKUP(E341,'Inventaire des produits'!$B$4:$K$1001,8,0),"")</f>
        <v>0.32</v>
      </c>
      <c r="I341" s="32">
        <f t="shared" si="8"/>
        <v>320</v>
      </c>
      <c r="J341" s="33">
        <v>320</v>
      </c>
      <c r="K341" s="127">
        <f t="shared" si="7"/>
        <v>384</v>
      </c>
    </row>
    <row r="342" spans="2:11" x14ac:dyDescent="0.3">
      <c r="B342" s="306" t="s">
        <v>1703</v>
      </c>
      <c r="C342" s="320">
        <v>45369</v>
      </c>
      <c r="D342" s="317" t="s">
        <v>721</v>
      </c>
      <c r="E342" s="205" t="s">
        <v>722</v>
      </c>
      <c r="F342" s="29" t="str">
        <f>IFERROR(VLOOKUP(E342,'Inventaire des produits'!$B$4:$K$1001,2,0),"")</f>
        <v>GANT POLYETHLENE</v>
      </c>
      <c r="G342" s="212">
        <v>300</v>
      </c>
      <c r="H342" s="30">
        <f>IFERROR(VLOOKUP(E342,'Inventaire des produits'!$B$4:$K$1001,8,0),"")</f>
        <v>2.8</v>
      </c>
      <c r="I342" s="32">
        <f t="shared" si="8"/>
        <v>840</v>
      </c>
      <c r="J342" s="33">
        <v>3802.53</v>
      </c>
      <c r="K342" s="127">
        <f t="shared" si="7"/>
        <v>4563.0360000000001</v>
      </c>
    </row>
    <row r="343" spans="2:11" x14ac:dyDescent="0.3">
      <c r="B343" s="306" t="s">
        <v>1703</v>
      </c>
      <c r="C343" s="321"/>
      <c r="D343" s="318"/>
      <c r="E343" s="205" t="s">
        <v>723</v>
      </c>
      <c r="F343" s="29" t="str">
        <f>IFERROR(VLOOKUP(E343,'Inventaire des produits'!$B$4:$K$1001,2,0),"")</f>
        <v>PALETTE A GLACE BLANC</v>
      </c>
      <c r="G343" s="212">
        <v>30</v>
      </c>
      <c r="H343" s="30">
        <f>IFERROR(VLOOKUP(E343,'Inventaire des produits'!$B$4:$K$1001,8,0),"")</f>
        <v>16</v>
      </c>
      <c r="I343" s="32">
        <f t="shared" si="8"/>
        <v>480</v>
      </c>
      <c r="K343" s="127" t="str">
        <f t="shared" si="7"/>
        <v/>
      </c>
    </row>
    <row r="344" spans="2:11" x14ac:dyDescent="0.3">
      <c r="B344" s="306" t="s">
        <v>1703</v>
      </c>
      <c r="C344" s="321"/>
      <c r="D344" s="318"/>
      <c r="E344" s="205" t="s">
        <v>724</v>
      </c>
      <c r="F344" s="29" t="str">
        <f>IFERROR(VLOOKUP(E344,'Inventaire des produits'!$B$4:$K$1001,2,0),"")</f>
        <v>BARQUETTE ALUMINIUM 83420</v>
      </c>
      <c r="G344" s="212">
        <v>1000</v>
      </c>
      <c r="H344" s="30">
        <f>IFERROR(VLOOKUP(E344,'Inventaire des produits'!$B$4:$K$1001,8,0),"")</f>
        <v>0.31</v>
      </c>
      <c r="I344" s="32">
        <f t="shared" si="8"/>
        <v>310</v>
      </c>
      <c r="K344" s="127" t="str">
        <f t="shared" si="7"/>
        <v/>
      </c>
    </row>
    <row r="345" spans="2:11" x14ac:dyDescent="0.3">
      <c r="B345" s="306" t="s">
        <v>1703</v>
      </c>
      <c r="C345" s="321"/>
      <c r="D345" s="318"/>
      <c r="E345" s="205" t="s">
        <v>232</v>
      </c>
      <c r="F345" s="29" t="str">
        <f>IFERROR(VLOOKUP(E345,'Inventaire des produits'!$B$4:$K$1001,2,0),"")</f>
        <v>CUILLERE ECOLUXE TRANSPARENT</v>
      </c>
      <c r="G345" s="212">
        <v>9</v>
      </c>
      <c r="H345" s="30">
        <f>IFERROR(VLOOKUP(E345,'Inventaire des produits'!$B$4:$K$1001,8,0),"")</f>
        <v>17.5</v>
      </c>
      <c r="I345" s="32">
        <f t="shared" si="8"/>
        <v>157.5</v>
      </c>
      <c r="K345" s="127" t="str">
        <f t="shared" si="7"/>
        <v/>
      </c>
    </row>
    <row r="346" spans="2:11" x14ac:dyDescent="0.3">
      <c r="B346" s="306" t="s">
        <v>1703</v>
      </c>
      <c r="C346" s="321"/>
      <c r="D346" s="318"/>
      <c r="E346" s="205" t="s">
        <v>725</v>
      </c>
      <c r="F346" s="29" t="str">
        <f>IFERROR(VLOOKUP(E346,'Inventaire des produits'!$B$4:$K$1001,2,0),"")</f>
        <v>PALETTE A GLACE BLANC</v>
      </c>
      <c r="G346" s="212">
        <v>24</v>
      </c>
      <c r="H346" s="30">
        <f>IFERROR(VLOOKUP(E346,'Inventaire des produits'!$B$4:$K$1001,8,0),"")</f>
        <v>16.5</v>
      </c>
      <c r="I346" s="32">
        <f t="shared" si="8"/>
        <v>396</v>
      </c>
      <c r="K346" s="127" t="str">
        <f t="shared" si="7"/>
        <v/>
      </c>
    </row>
    <row r="347" spans="2:11" x14ac:dyDescent="0.3">
      <c r="B347" s="306" t="s">
        <v>1703</v>
      </c>
      <c r="C347" s="322"/>
      <c r="D347" s="319"/>
      <c r="E347" s="205" t="s">
        <v>726</v>
      </c>
      <c r="F347" s="29" t="str">
        <f>IFERROR(VLOOKUP(E347,'Inventaire des produits'!$B$4:$K$1001,2,0),"")</f>
        <v>PALETTE A GLACE BLANC</v>
      </c>
      <c r="G347" s="212">
        <v>101</v>
      </c>
      <c r="H347" s="30">
        <f>IFERROR(VLOOKUP(E347,'Inventaire des produits'!$B$4:$K$1001,8,0),"")</f>
        <v>16.03</v>
      </c>
      <c r="I347" s="32">
        <f t="shared" si="8"/>
        <v>1619.0300000000002</v>
      </c>
      <c r="K347" s="127" t="str">
        <f t="shared" si="7"/>
        <v/>
      </c>
    </row>
    <row r="348" spans="2:11" x14ac:dyDescent="0.3">
      <c r="B348" s="306" t="s">
        <v>1703</v>
      </c>
      <c r="C348" s="320">
        <v>45401</v>
      </c>
      <c r="D348" s="317" t="s">
        <v>731</v>
      </c>
      <c r="E348" s="205" t="s">
        <v>69</v>
      </c>
      <c r="F348" s="29" t="str">
        <f>IFERROR(VLOOKUP(E348,'Inventaire des produits'!$B$4:$K$1001,2,0),"")</f>
        <v>COUTEAU ECOLUXE NOIR</v>
      </c>
      <c r="G348" s="212">
        <v>14</v>
      </c>
      <c r="H348" s="30">
        <f>IFERROR(VLOOKUP(E348,'Inventaire des produits'!$B$4:$K$1001,8,0),"")</f>
        <v>17.5</v>
      </c>
      <c r="I348" s="32">
        <f t="shared" si="8"/>
        <v>245</v>
      </c>
      <c r="J348" s="121">
        <v>625.1</v>
      </c>
      <c r="K348" s="127">
        <f t="shared" si="7"/>
        <v>750.12</v>
      </c>
    </row>
    <row r="349" spans="2:11" x14ac:dyDescent="0.3">
      <c r="B349" s="306" t="s">
        <v>1703</v>
      </c>
      <c r="C349" s="321"/>
      <c r="D349" s="318"/>
      <c r="E349" s="205" t="s">
        <v>729</v>
      </c>
      <c r="F349" s="29" t="str">
        <f>IFERROR(VLOOKUP(E349,'Inventaire des produits'!$B$4:$K$1001,2,0),"")</f>
        <v>COUTEAU ECOLUXE TRANS</v>
      </c>
      <c r="G349" s="212">
        <v>1</v>
      </c>
      <c r="H349" s="30">
        <f>IFERROR(VLOOKUP(E349,'Inventaire des produits'!$B$4:$K$1001,8,0),"")</f>
        <v>17.5</v>
      </c>
      <c r="I349" s="32">
        <f t="shared" si="8"/>
        <v>17.5</v>
      </c>
      <c r="J349" s="34"/>
      <c r="K349" s="127" t="str">
        <f t="shared" si="7"/>
        <v/>
      </c>
    </row>
    <row r="350" spans="2:11" x14ac:dyDescent="0.3">
      <c r="B350" s="306" t="s">
        <v>1703</v>
      </c>
      <c r="C350" s="321"/>
      <c r="D350" s="318"/>
      <c r="E350" s="205" t="s">
        <v>730</v>
      </c>
      <c r="F350" s="29" t="str">
        <f>IFERROR(VLOOKUP(E350,'Inventaire des produits'!$B$4:$K$1001,2,0),"")</f>
        <v>PALETTE A GLACE BLANC</v>
      </c>
      <c r="G350" s="212">
        <v>15</v>
      </c>
      <c r="H350" s="30">
        <f>IFERROR(VLOOKUP(E350,'Inventaire des produits'!$B$4:$K$1001,8,0),"")</f>
        <v>18.34</v>
      </c>
      <c r="I350" s="32">
        <f t="shared" si="8"/>
        <v>275.10000000000002</v>
      </c>
      <c r="J350" s="34"/>
      <c r="K350" s="127" t="str">
        <f t="shared" si="7"/>
        <v/>
      </c>
    </row>
    <row r="351" spans="2:11" x14ac:dyDescent="0.3">
      <c r="B351" s="306" t="s">
        <v>1703</v>
      </c>
      <c r="C351" s="322"/>
      <c r="D351" s="319"/>
      <c r="E351" s="205" t="s">
        <v>702</v>
      </c>
      <c r="F351" s="29" t="str">
        <f>IFERROR(VLOOKUP(E351,'Inventaire des produits'!$B$4:$K$1001,2,0),"")</f>
        <v>FOURCHETTE ECOLUXE NOIRE</v>
      </c>
      <c r="G351" s="212">
        <v>5</v>
      </c>
      <c r="H351" s="30">
        <f>IFERROR(VLOOKUP(E351,'Inventaire des produits'!$B$4:$K$1001,8,0),"")</f>
        <v>17.5</v>
      </c>
      <c r="I351" s="32">
        <f t="shared" si="8"/>
        <v>87.5</v>
      </c>
      <c r="J351" s="122"/>
      <c r="K351" s="127" t="str">
        <f t="shared" si="7"/>
        <v/>
      </c>
    </row>
    <row r="352" spans="2:11" x14ac:dyDescent="0.3">
      <c r="B352" s="306" t="s">
        <v>1703</v>
      </c>
      <c r="C352" s="196">
        <v>45404</v>
      </c>
      <c r="D352" s="195" t="s">
        <v>734</v>
      </c>
      <c r="E352" s="205" t="s">
        <v>418</v>
      </c>
      <c r="F352" s="29" t="str">
        <f>IFERROR(VLOOKUP(E352,'Inventaire des produits'!$B$4:$K$1001,2,0),"")</f>
        <v>ROULEAU DE CAISSE THERMIQUE 70X80</v>
      </c>
      <c r="G352" s="212">
        <v>500</v>
      </c>
      <c r="H352" s="30">
        <f>IFERROR(VLOOKUP(E352,'Inventaire des produits'!$B$4:$K$1001,8,0),"")</f>
        <v>8</v>
      </c>
      <c r="I352" s="32">
        <f t="shared" si="8"/>
        <v>4000</v>
      </c>
      <c r="J352" s="33">
        <v>4000</v>
      </c>
      <c r="K352" s="127">
        <f t="shared" si="7"/>
        <v>4800</v>
      </c>
    </row>
    <row r="353" spans="2:11" x14ac:dyDescent="0.3">
      <c r="B353" s="306" t="s">
        <v>1703</v>
      </c>
      <c r="C353" s="196">
        <v>45399</v>
      </c>
      <c r="D353" s="195" t="s">
        <v>735</v>
      </c>
      <c r="E353" s="205" t="s">
        <v>619</v>
      </c>
      <c r="F353" s="29" t="str">
        <f>IFERROR(VLOOKUP(E353,'Inventaire des produits'!$B$4:$K$1001,2,0),"")</f>
        <v>POT DE SAUCE 1OZ 30ML HP</v>
      </c>
      <c r="G353" s="212">
        <v>68000</v>
      </c>
      <c r="H353" s="30">
        <f>IFERROR(VLOOKUP(E353,'Inventaire des produits'!$B$4:$K$1001,8,0),"")</f>
        <v>0.13450000000000001</v>
      </c>
      <c r="I353" s="32">
        <f t="shared" si="8"/>
        <v>9146</v>
      </c>
      <c r="J353" s="33">
        <v>9146</v>
      </c>
      <c r="K353" s="127">
        <f t="shared" si="7"/>
        <v>10975.199999999999</v>
      </c>
    </row>
    <row r="354" spans="2:11" x14ac:dyDescent="0.3">
      <c r="B354" s="306" t="s">
        <v>1703</v>
      </c>
      <c r="C354" s="196">
        <v>45404</v>
      </c>
      <c r="D354" s="195" t="s">
        <v>738</v>
      </c>
      <c r="E354" s="205" t="s">
        <v>737</v>
      </c>
      <c r="F354" s="29" t="str">
        <f>IFERROR(VLOOKUP(E354,'Inventaire des produits'!$B$4:$K$1001,2,0),"")</f>
        <v>BOUTEILLE PLASTIQUE TRANS 330ML AVEC BOUCHON</v>
      </c>
      <c r="G354" s="212">
        <v>816</v>
      </c>
      <c r="H354" s="30">
        <f>IFERROR(VLOOKUP(E354,'Inventaire des produits'!$B$4:$K$1001,8,0),"")</f>
        <v>1.65</v>
      </c>
      <c r="I354" s="32">
        <f t="shared" si="8"/>
        <v>1346.3999999999999</v>
      </c>
      <c r="J354" s="33">
        <v>1356</v>
      </c>
      <c r="K354" s="127">
        <f t="shared" si="7"/>
        <v>1627.2</v>
      </c>
    </row>
    <row r="355" spans="2:11" x14ac:dyDescent="0.3">
      <c r="B355" s="306" t="s">
        <v>1703</v>
      </c>
      <c r="C355" s="196">
        <v>45377</v>
      </c>
      <c r="D355" s="195" t="s">
        <v>740</v>
      </c>
      <c r="E355" s="205" t="s">
        <v>645</v>
      </c>
      <c r="F355" s="29" t="str">
        <f>IFERROR(VLOOKUP(E355,'Inventaire des produits'!$B$4:$K$1001,2,0),"")</f>
        <v>POT DE SAUCE 2OZ ET CVL</v>
      </c>
      <c r="G355" s="212">
        <v>1000</v>
      </c>
      <c r="H355" s="30">
        <f>IFERROR(VLOOKUP(E355,'Inventaire des produits'!$B$4:$K$1001,8,0),"")</f>
        <v>0.20833333330000001</v>
      </c>
      <c r="I355" s="32">
        <f t="shared" si="8"/>
        <v>208.33333329999999</v>
      </c>
      <c r="J355" s="33">
        <v>208.333</v>
      </c>
      <c r="K355" s="127">
        <f t="shared" si="7"/>
        <v>249.99959999999999</v>
      </c>
    </row>
    <row r="356" spans="2:11" x14ac:dyDescent="0.3">
      <c r="B356" s="306" t="s">
        <v>1703</v>
      </c>
      <c r="C356" s="320">
        <v>45370</v>
      </c>
      <c r="D356" s="325" t="s">
        <v>745</v>
      </c>
      <c r="E356" s="206" t="s">
        <v>741</v>
      </c>
      <c r="F356" s="29" t="str">
        <f>IFERROR(VLOOKUP(E356,'Inventaire des produits'!$B$4:$K$1001,2,0),"")</f>
        <v>POT DESSERT 8OZ</v>
      </c>
      <c r="G356" s="212">
        <v>2000</v>
      </c>
      <c r="H356" s="30">
        <f>IFERROR(VLOOKUP(E356,'Inventaire des produits'!$B$4:$K$1001,8,0),"")</f>
        <v>0.33333333329999998</v>
      </c>
      <c r="I356" s="32">
        <f t="shared" si="8"/>
        <v>666.66666659999999</v>
      </c>
      <c r="J356" s="323">
        <v>1000</v>
      </c>
      <c r="K356" s="127">
        <f t="shared" si="7"/>
        <v>1200</v>
      </c>
    </row>
    <row r="357" spans="2:11" x14ac:dyDescent="0.3">
      <c r="B357" s="306" t="s">
        <v>1703</v>
      </c>
      <c r="C357" s="322"/>
      <c r="D357" s="326"/>
      <c r="E357" s="206" t="s">
        <v>744</v>
      </c>
      <c r="F357" s="29" t="str">
        <f>IFERROR(VLOOKUP(E357,'Inventaire des produits'!$B$4:$K$1001,2,0),"")</f>
        <v>CVL DE PLAT GOBLET TRANS</v>
      </c>
      <c r="G357" s="212">
        <v>2000</v>
      </c>
      <c r="H357" s="30">
        <f>IFERROR(VLOOKUP(E357,'Inventaire des produits'!$B$4:$K$1001,8,0),"")</f>
        <v>0.16666666699999999</v>
      </c>
      <c r="I357" s="32">
        <f t="shared" si="8"/>
        <v>333.33333399999998</v>
      </c>
      <c r="J357" s="324"/>
      <c r="K357" s="127" t="str">
        <f t="shared" si="7"/>
        <v/>
      </c>
    </row>
    <row r="358" spans="2:11" x14ac:dyDescent="0.3">
      <c r="B358" s="306" t="s">
        <v>1703</v>
      </c>
      <c r="C358" s="196">
        <v>45369</v>
      </c>
      <c r="D358" s="195" t="s">
        <v>748</v>
      </c>
      <c r="E358" s="205" t="s">
        <v>747</v>
      </c>
      <c r="F358" s="29" t="str">
        <f>IFERROR(VLOOKUP(E358,'Inventaire des produits'!$B$4:$K$1001,2,0),"")</f>
        <v>BOITE SANDWISH KRAFT 19*10*9</v>
      </c>
      <c r="G358" s="212">
        <v>360</v>
      </c>
      <c r="H358" s="30">
        <f>IFERROR(VLOOKUP(E358,'Inventaire des produits'!$B$4:$K$1001,8,0),"")</f>
        <v>1.2533333333000001</v>
      </c>
      <c r="I358" s="32">
        <f t="shared" si="8"/>
        <v>451.199999988</v>
      </c>
      <c r="J358" s="33">
        <v>451.2</v>
      </c>
      <c r="K358" s="127">
        <f t="shared" si="7"/>
        <v>541.43999999999994</v>
      </c>
    </row>
    <row r="359" spans="2:11" x14ac:dyDescent="0.3">
      <c r="B359" s="306" t="s">
        <v>1703</v>
      </c>
      <c r="C359" s="320">
        <v>45365</v>
      </c>
      <c r="D359" s="317" t="s">
        <v>752</v>
      </c>
      <c r="E359" s="205" t="s">
        <v>749</v>
      </c>
      <c r="F359" s="29" t="str">
        <f>IFERROR(VLOOKUP(E359,'Inventaire des produits'!$B$4:$K$1001,2,0),"")</f>
        <v>BOITE SANDWISH KRAFT 19*10*9</v>
      </c>
      <c r="G359" s="212">
        <v>180</v>
      </c>
      <c r="H359" s="30">
        <f>IFERROR(VLOOKUP(E359,'Inventaire des produits'!$B$4:$K$1001,8,0),"")</f>
        <v>1.24</v>
      </c>
      <c r="I359" s="32">
        <f t="shared" si="8"/>
        <v>223.2</v>
      </c>
      <c r="J359" s="323">
        <v>739.86699999999996</v>
      </c>
      <c r="K359" s="127">
        <f t="shared" si="7"/>
        <v>887.84039999999993</v>
      </c>
    </row>
    <row r="360" spans="2:11" x14ac:dyDescent="0.3">
      <c r="B360" s="306" t="s">
        <v>1703</v>
      </c>
      <c r="C360" s="322"/>
      <c r="D360" s="319"/>
      <c r="E360" s="205" t="s">
        <v>751</v>
      </c>
      <c r="F360" s="29" t="str">
        <f>IFERROR(VLOOKUP(E360,'Inventaire des produits'!$B$4:$K$1001,2,0),"")</f>
        <v>BOL SALADE BLANC 500CC</v>
      </c>
      <c r="G360" s="212">
        <v>400</v>
      </c>
      <c r="H360" s="30">
        <f>IFERROR(VLOOKUP(E360,'Inventaire des produits'!$B$4:$K$1001,8,0),"")</f>
        <v>1.2916666666000001</v>
      </c>
      <c r="I360" s="32">
        <f t="shared" si="8"/>
        <v>516.66666664000002</v>
      </c>
      <c r="J360" s="324"/>
      <c r="K360" s="127" t="str">
        <f t="shared" si="7"/>
        <v/>
      </c>
    </row>
    <row r="361" spans="2:11" x14ac:dyDescent="0.3">
      <c r="B361" s="306" t="s">
        <v>1703</v>
      </c>
      <c r="C361" s="196">
        <v>45360</v>
      </c>
      <c r="D361" s="195" t="s">
        <v>753</v>
      </c>
      <c r="E361" s="205" t="s">
        <v>747</v>
      </c>
      <c r="F361" s="29" t="str">
        <f>IFERROR(VLOOKUP(E361,'Inventaire des produits'!$B$4:$K$1001,2,0),"")</f>
        <v>BOITE SANDWISH KRAFT 19*10*9</v>
      </c>
      <c r="G361" s="212">
        <v>360</v>
      </c>
      <c r="H361" s="30">
        <f>IFERROR(VLOOKUP(E361,'Inventaire des produits'!$B$4:$K$1001,8,0),"")</f>
        <v>1.2533333333000001</v>
      </c>
      <c r="I361" s="32">
        <f t="shared" si="8"/>
        <v>451.199999988</v>
      </c>
      <c r="J361" s="33">
        <v>451.2</v>
      </c>
      <c r="K361" s="127">
        <f t="shared" si="7"/>
        <v>541.43999999999994</v>
      </c>
    </row>
    <row r="362" spans="2:11" x14ac:dyDescent="0.3">
      <c r="B362" s="306" t="s">
        <v>1703</v>
      </c>
      <c r="C362" s="196">
        <v>45357</v>
      </c>
      <c r="D362" s="195" t="s">
        <v>755</v>
      </c>
      <c r="E362" s="205" t="s">
        <v>754</v>
      </c>
      <c r="F362" s="29" t="str">
        <f>IFERROR(VLOOKUP(E362,'Inventaire des produits'!$B$4:$K$1001,2,0),"")</f>
        <v>BARQUETTE TRAITEUR 500CC MICRON-ONDABLE TRANS</v>
      </c>
      <c r="G362" s="212">
        <v>250</v>
      </c>
      <c r="H362" s="30">
        <f>IFERROR(VLOOKUP(E362,'Inventaire des produits'!$B$4:$K$1001,8,0),"")</f>
        <v>1.0912500000000001</v>
      </c>
      <c r="I362" s="32">
        <f t="shared" si="8"/>
        <v>272.8125</v>
      </c>
      <c r="J362" s="121">
        <v>272.81299999999999</v>
      </c>
      <c r="K362" s="127">
        <f t="shared" si="7"/>
        <v>327.37559999999996</v>
      </c>
    </row>
    <row r="363" spans="2:11" x14ac:dyDescent="0.3">
      <c r="B363" s="306" t="s">
        <v>1703</v>
      </c>
      <c r="C363" s="320">
        <v>45355</v>
      </c>
      <c r="D363" s="317" t="s">
        <v>756</v>
      </c>
      <c r="E363" s="205" t="s">
        <v>645</v>
      </c>
      <c r="F363" s="29" t="str">
        <f>IFERROR(VLOOKUP(E363,'Inventaire des produits'!$B$4:$K$1001,2,0),"")</f>
        <v>POT DE SAUCE 2OZ ET CVL</v>
      </c>
      <c r="G363" s="212">
        <v>1000</v>
      </c>
      <c r="H363" s="30">
        <f>IFERROR(VLOOKUP(E363,'Inventaire des produits'!$B$4:$K$1001,8,0),"")</f>
        <v>0.20833333330000001</v>
      </c>
      <c r="I363" s="32">
        <f t="shared" si="8"/>
        <v>208.33333329999999</v>
      </c>
      <c r="J363" s="323">
        <v>1052.08</v>
      </c>
      <c r="K363" s="127">
        <f t="shared" si="7"/>
        <v>1262.4959999999999</v>
      </c>
    </row>
    <row r="364" spans="2:11" x14ac:dyDescent="0.3">
      <c r="B364" s="306" t="s">
        <v>1703</v>
      </c>
      <c r="C364" s="322"/>
      <c r="D364" s="319"/>
      <c r="E364" s="205" t="s">
        <v>640</v>
      </c>
      <c r="F364" s="29" t="str">
        <f>IFERROR(VLOOKUP(E364,'Inventaire des produits'!$B$4:$K$1001,2,0),"")</f>
        <v>BARQUETTE TRAITEUR 500CC MICRON-ONDABLE TRANS</v>
      </c>
      <c r="G364" s="212">
        <v>750</v>
      </c>
      <c r="H364" s="30">
        <f>IFERROR(VLOOKUP(E364,'Inventaire des produits'!$B$4:$K$1001,8,0),"")</f>
        <v>1.125</v>
      </c>
      <c r="I364" s="32">
        <f t="shared" si="8"/>
        <v>843.75</v>
      </c>
      <c r="J364" s="324"/>
      <c r="K364" s="127" t="str">
        <f t="shared" si="7"/>
        <v/>
      </c>
    </row>
    <row r="365" spans="2:11" x14ac:dyDescent="0.3">
      <c r="B365" s="306" t="s">
        <v>1703</v>
      </c>
      <c r="C365" s="196">
        <v>45353</v>
      </c>
      <c r="D365" s="195" t="s">
        <v>757</v>
      </c>
      <c r="E365" s="205" t="s">
        <v>747</v>
      </c>
      <c r="F365" s="29" t="str">
        <f>IFERROR(VLOOKUP(E365,'Inventaire des produits'!$B$4:$K$1001,2,0),"")</f>
        <v>BOITE SANDWISH KRAFT 19*10*9</v>
      </c>
      <c r="G365" s="212">
        <v>180</v>
      </c>
      <c r="H365" s="30">
        <f>IFERROR(VLOOKUP(E365,'Inventaire des produits'!$B$4:$K$1001,8,0),"")</f>
        <v>1.2533333333000001</v>
      </c>
      <c r="I365" s="32">
        <f t="shared" si="8"/>
        <v>225.599999994</v>
      </c>
      <c r="J365" s="122">
        <v>225.6</v>
      </c>
      <c r="K365" s="127">
        <f t="shared" si="7"/>
        <v>270.71999999999997</v>
      </c>
    </row>
    <row r="366" spans="2:11" x14ac:dyDescent="0.3">
      <c r="B366" s="306" t="s">
        <v>1703</v>
      </c>
      <c r="C366" s="196">
        <v>45352</v>
      </c>
      <c r="D366" s="195" t="s">
        <v>758</v>
      </c>
      <c r="E366" s="205" t="s">
        <v>640</v>
      </c>
      <c r="F366" s="29" t="str">
        <f>IFERROR(VLOOKUP(E366,'Inventaire des produits'!$B$4:$K$1001,2,0),"")</f>
        <v>BARQUETTE TRAITEUR 500CC MICRON-ONDABLE TRANS</v>
      </c>
      <c r="G366" s="212">
        <v>250</v>
      </c>
      <c r="H366" s="30">
        <f>IFERROR(VLOOKUP(E366,'Inventaire des produits'!$B$4:$K$1001,8,0),"")</f>
        <v>1.125</v>
      </c>
      <c r="I366" s="32">
        <f t="shared" si="8"/>
        <v>281.25</v>
      </c>
      <c r="J366" s="33">
        <v>281.25</v>
      </c>
      <c r="K366" s="127">
        <f t="shared" si="7"/>
        <v>337.5</v>
      </c>
    </row>
    <row r="367" spans="2:11" x14ac:dyDescent="0.3">
      <c r="B367" s="306" t="s">
        <v>1703</v>
      </c>
      <c r="C367" s="320">
        <v>45352</v>
      </c>
      <c r="D367" s="317" t="s">
        <v>759</v>
      </c>
      <c r="E367" s="205" t="s">
        <v>760</v>
      </c>
      <c r="F367" s="29" t="str">
        <f>IFERROR(VLOOKUP(E367,'Inventaire des produits'!$B$4:$K$1001,2,0),"")</f>
        <v>BARQUETTE MICRON ONDABLE 2 COMP AVEC CVL</v>
      </c>
      <c r="G367" s="212">
        <v>300</v>
      </c>
      <c r="H367" s="30">
        <f>IFERROR(VLOOKUP(E367,'Inventaire des produits'!$B$4:$K$1001,8,0),"")</f>
        <v>1.5</v>
      </c>
      <c r="I367" s="32">
        <f t="shared" si="8"/>
        <v>450</v>
      </c>
      <c r="J367" s="323">
        <v>901.2</v>
      </c>
      <c r="K367" s="127">
        <f t="shared" si="7"/>
        <v>1081.44</v>
      </c>
    </row>
    <row r="368" spans="2:11" x14ac:dyDescent="0.3">
      <c r="B368" s="306" t="s">
        <v>1703</v>
      </c>
      <c r="C368" s="322"/>
      <c r="D368" s="319"/>
      <c r="E368" s="205" t="s">
        <v>747</v>
      </c>
      <c r="F368" s="29" t="str">
        <f>IFERROR(VLOOKUP(E368,'Inventaire des produits'!$B$4:$K$1001,2,0),"")</f>
        <v>BOITE SANDWISH KRAFT 19*10*9</v>
      </c>
      <c r="G368" s="212">
        <v>360</v>
      </c>
      <c r="H368" s="30">
        <f>IFERROR(VLOOKUP(E368,'Inventaire des produits'!$B$4:$K$1001,8,0),"")</f>
        <v>1.2533333333000001</v>
      </c>
      <c r="I368" s="32">
        <f t="shared" si="8"/>
        <v>451.199999988</v>
      </c>
      <c r="J368" s="324"/>
      <c r="K368" s="127" t="str">
        <f t="shared" si="7"/>
        <v/>
      </c>
    </row>
    <row r="369" spans="2:11" x14ac:dyDescent="0.3">
      <c r="B369" s="306" t="s">
        <v>1703</v>
      </c>
      <c r="C369" s="320">
        <v>45370</v>
      </c>
      <c r="D369" s="317" t="s">
        <v>762</v>
      </c>
      <c r="E369" s="205" t="s">
        <v>767</v>
      </c>
      <c r="F369" s="29" t="str">
        <f>IFERROR(VLOOKUP(E369,'Inventaire des produits'!$B$4:$K$1001,2,0),"")</f>
        <v>ROULEAU ALUMINIUM GOLDEN 300M</v>
      </c>
      <c r="G369" s="212">
        <v>72</v>
      </c>
      <c r="H369" s="30">
        <f>IFERROR(VLOOKUP(E369,'Inventaire des produits'!$B$4:$K$1001,8,0),"")</f>
        <v>75</v>
      </c>
      <c r="I369" s="32">
        <f t="shared" si="8"/>
        <v>5400</v>
      </c>
      <c r="K369" s="127" t="str">
        <f t="shared" si="7"/>
        <v/>
      </c>
    </row>
    <row r="370" spans="2:11" x14ac:dyDescent="0.3">
      <c r="B370" s="306" t="s">
        <v>1703</v>
      </c>
      <c r="C370" s="322"/>
      <c r="D370" s="319"/>
      <c r="E370" s="205" t="s">
        <v>768</v>
      </c>
      <c r="F370" s="29" t="str">
        <f>IFERROR(VLOOKUP(E370,'Inventaire des produits'!$B$4:$K$1001,2,0),"")</f>
        <v>ROULEAU ALUMINIUM SOFTIS 200 ECO</v>
      </c>
      <c r="G370" s="212">
        <v>32</v>
      </c>
      <c r="H370" s="30">
        <f>IFERROR(VLOOKUP(E370,'Inventaire des produits'!$B$4:$K$1001,8,0),"")</f>
        <v>16.875</v>
      </c>
      <c r="I370" s="32">
        <f t="shared" si="8"/>
        <v>540</v>
      </c>
      <c r="K370" s="127" t="str">
        <f t="shared" si="7"/>
        <v/>
      </c>
    </row>
    <row r="371" spans="2:11" x14ac:dyDescent="0.3">
      <c r="B371" s="306" t="s">
        <v>1703</v>
      </c>
      <c r="C371" s="320">
        <v>45343</v>
      </c>
      <c r="D371" s="327" t="s">
        <v>763</v>
      </c>
      <c r="E371" s="206" t="s">
        <v>769</v>
      </c>
      <c r="F371" s="29" t="str">
        <f>IFERROR(VLOOKUP(E371,'Inventaire des produits'!$B$4:$K$1001,2,0),"")</f>
        <v>GANT NOIR VINYL EXTRA PREMIUM GLOVE LARGE</v>
      </c>
      <c r="G371" s="212">
        <v>60</v>
      </c>
      <c r="H371" s="30">
        <f>IFERROR(VLOOKUP(E371,'Inventaire des produits'!$B$4:$K$1001,8,0),"")</f>
        <v>20.833333333300001</v>
      </c>
      <c r="I371" s="32">
        <f t="shared" si="8"/>
        <v>1249.999999998</v>
      </c>
      <c r="J371" s="33">
        <v>8458.33</v>
      </c>
      <c r="K371" s="127">
        <f t="shared" si="7"/>
        <v>10149.995999999999</v>
      </c>
    </row>
    <row r="372" spans="2:11" x14ac:dyDescent="0.3">
      <c r="B372" s="306" t="s">
        <v>1703</v>
      </c>
      <c r="C372" s="321"/>
      <c r="D372" s="328"/>
      <c r="E372" s="206" t="s">
        <v>770</v>
      </c>
      <c r="F372" s="29" t="str">
        <f>IFERROR(VLOOKUP(E372,'Inventaire des produits'!$B$4:$K$1001,2,0),"")</f>
        <v>POT DE SAUCE EN PLAST INJECTION TRANS 50ML</v>
      </c>
      <c r="G372" s="212">
        <v>1000</v>
      </c>
      <c r="H372" s="30">
        <f>IFERROR(VLOOKUP(E372,'Inventaire des produits'!$B$4:$K$1001,8,0),"")</f>
        <v>0.20833333330000001</v>
      </c>
      <c r="I372" s="32">
        <f t="shared" si="8"/>
        <v>208.33333329999999</v>
      </c>
      <c r="K372" s="127" t="str">
        <f t="shared" si="7"/>
        <v/>
      </c>
    </row>
    <row r="373" spans="2:11" x14ac:dyDescent="0.3">
      <c r="B373" s="306" t="s">
        <v>1703</v>
      </c>
      <c r="C373" s="321"/>
      <c r="D373" s="328"/>
      <c r="E373" s="205" t="s">
        <v>772</v>
      </c>
      <c r="F373" s="29" t="str">
        <f>IFERROR(VLOOKUP(E373,'Inventaire des produits'!$B$4:$K$1001,2,0),"")</f>
        <v>GANT VINYL NOIR EXTRA PREMIUM GLOVE MEDIUM</v>
      </c>
      <c r="G373" s="212">
        <v>210</v>
      </c>
      <c r="H373" s="30">
        <f>IFERROR(VLOOKUP(E373,'Inventaire des produits'!$B$4:$K$1001,8,0),"")</f>
        <v>20.833333333300001</v>
      </c>
      <c r="I373" s="32">
        <f t="shared" si="8"/>
        <v>4374.9999999930005</v>
      </c>
      <c r="K373" s="127" t="str">
        <f t="shared" si="7"/>
        <v/>
      </c>
    </row>
    <row r="374" spans="2:11" x14ac:dyDescent="0.3">
      <c r="B374" s="306" t="s">
        <v>1703</v>
      </c>
      <c r="C374" s="321"/>
      <c r="D374" s="328"/>
      <c r="E374" s="205" t="s">
        <v>773</v>
      </c>
      <c r="F374" s="29" t="str">
        <f>IFERROR(VLOOKUP(E374,'Inventaire des produits'!$B$4:$K$1001,2,0),"")</f>
        <v>ROULEAU ALUMINIUM GOLDEN 200M</v>
      </c>
      <c r="G374" s="212">
        <v>30</v>
      </c>
      <c r="H374" s="30">
        <f>IFERROR(VLOOKUP(E374,'Inventaire des produits'!$B$4:$K$1001,8,0),"")</f>
        <v>58.333333332999999</v>
      </c>
      <c r="I374" s="32">
        <f t="shared" si="8"/>
        <v>1749.9999999899999</v>
      </c>
      <c r="K374" s="127" t="str">
        <f t="shared" si="7"/>
        <v/>
      </c>
    </row>
    <row r="375" spans="2:11" x14ac:dyDescent="0.3">
      <c r="B375" s="306" t="s">
        <v>1703</v>
      </c>
      <c r="C375" s="322"/>
      <c r="D375" s="329"/>
      <c r="E375" s="205" t="s">
        <v>775</v>
      </c>
      <c r="F375" s="29" t="str">
        <f>IFERROR(VLOOKUP(E375,'Inventaire des produits'!$B$4:$K$1001,2,0),"")</f>
        <v xml:space="preserve">GOBLET EN PLAST TRANS 250CC </v>
      </c>
      <c r="G375" s="212">
        <v>7000</v>
      </c>
      <c r="H375" s="30">
        <f>IFERROR(VLOOKUP(E375,'Inventaire des produits'!$B$4:$K$1001,8,0),"")</f>
        <v>0.125</v>
      </c>
      <c r="I375" s="32">
        <f t="shared" si="8"/>
        <v>875</v>
      </c>
      <c r="K375" s="127" t="str">
        <f t="shared" si="7"/>
        <v/>
      </c>
    </row>
    <row r="376" spans="2:11" x14ac:dyDescent="0.3">
      <c r="B376" s="306" t="s">
        <v>1703</v>
      </c>
      <c r="C376" s="320">
        <v>45356</v>
      </c>
      <c r="D376" s="327" t="s">
        <v>764</v>
      </c>
      <c r="E376" s="205" t="s">
        <v>773</v>
      </c>
      <c r="F376" s="29" t="str">
        <f>IFERROR(VLOOKUP(E376,'Inventaire des produits'!$B$4:$K$1001,2,0),"")</f>
        <v>ROULEAU ALUMINIUM GOLDEN 200M</v>
      </c>
      <c r="G376" s="212">
        <v>12</v>
      </c>
      <c r="H376" s="30">
        <f>IFERROR(VLOOKUP(E376,'Inventaire des produits'!$B$4:$K$1001,8,0),"")</f>
        <v>58.333333332999999</v>
      </c>
      <c r="I376" s="32">
        <f t="shared" si="8"/>
        <v>699.99999999600004</v>
      </c>
      <c r="J376" s="33">
        <v>3096.66</v>
      </c>
      <c r="K376" s="127">
        <f t="shared" si="7"/>
        <v>3715.9919999999997</v>
      </c>
    </row>
    <row r="377" spans="2:11" x14ac:dyDescent="0.3">
      <c r="B377" s="306" t="s">
        <v>1703</v>
      </c>
      <c r="C377" s="321"/>
      <c r="D377" s="328"/>
      <c r="E377" s="205" t="s">
        <v>666</v>
      </c>
      <c r="F377" s="29" t="str">
        <f>IFERROR(VLOOKUP(E377,'Inventaire des produits'!$B$4:$K$1001,2,0),"")</f>
        <v>GANT VINYL EXTRA PREMIUM GLOVE MEDIUM</v>
      </c>
      <c r="G377" s="212">
        <v>70</v>
      </c>
      <c r="H377" s="30">
        <f>IFERROR(VLOOKUP(E377,'Inventaire des produits'!$B$4:$K$1001,8,0),"")</f>
        <v>20</v>
      </c>
      <c r="I377" s="32">
        <f t="shared" si="8"/>
        <v>1400</v>
      </c>
      <c r="K377" s="127" t="str">
        <f t="shared" si="7"/>
        <v/>
      </c>
    </row>
    <row r="378" spans="2:11" x14ac:dyDescent="0.3">
      <c r="B378" s="306" t="s">
        <v>1703</v>
      </c>
      <c r="C378" s="321"/>
      <c r="D378" s="328"/>
      <c r="E378" s="205" t="s">
        <v>432</v>
      </c>
      <c r="F378" s="29" t="str">
        <f>IFERROR(VLOOKUP(E378,'Inventaire des produits'!$B$4:$K$1001,2,0),"")</f>
        <v>AGITATEUR EN PLAST ECON TRANSP 1000P</v>
      </c>
      <c r="G378" s="212">
        <v>30</v>
      </c>
      <c r="H378" s="30">
        <f>IFERROR(VLOOKUP(E378,'Inventaire des produits'!$B$4:$K$1001,8,0),"")</f>
        <v>20.833333332999999</v>
      </c>
      <c r="I378" s="32">
        <f t="shared" si="8"/>
        <v>624.99999998999999</v>
      </c>
      <c r="K378" s="127" t="str">
        <f t="shared" si="7"/>
        <v/>
      </c>
    </row>
    <row r="379" spans="2:11" x14ac:dyDescent="0.3">
      <c r="B379" s="306" t="s">
        <v>1703</v>
      </c>
      <c r="C379" s="321"/>
      <c r="D379" s="328"/>
      <c r="E379" s="206" t="s">
        <v>777</v>
      </c>
      <c r="F379" s="29" t="str">
        <f>IFERROR(VLOOKUP(E379,'Inventaire des produits'!$B$4:$K$1001,2,0),"")</f>
        <v>ROULEAU ALUMINIUM SOFTIS 1KG</v>
      </c>
      <c r="G379" s="212">
        <v>1</v>
      </c>
      <c r="H379" s="30">
        <f>IFERROR(VLOOKUP(E379,'Inventaire des produits'!$B$4:$K$1001,8,0),"")</f>
        <v>38.333333333299997</v>
      </c>
      <c r="I379" s="32">
        <f t="shared" si="8"/>
        <v>38.333333333299997</v>
      </c>
      <c r="K379" s="127" t="str">
        <f t="shared" si="7"/>
        <v/>
      </c>
    </row>
    <row r="380" spans="2:11" x14ac:dyDescent="0.3">
      <c r="B380" s="306" t="s">
        <v>1703</v>
      </c>
      <c r="C380" s="322"/>
      <c r="D380" s="329"/>
      <c r="E380" s="206" t="s">
        <v>778</v>
      </c>
      <c r="F380" s="29" t="str">
        <f>IFERROR(VLOOKUP(E380,'Inventaire des produits'!$B$4:$K$1001,2,0),"")</f>
        <v>POT DE SAUCE EN PLAST TRANSP 20ML</v>
      </c>
      <c r="G380" s="212">
        <v>4000</v>
      </c>
      <c r="H380" s="30">
        <f>IFERROR(VLOOKUP(E380,'Inventaire des produits'!$B$4:$K$1001,8,0),"")</f>
        <v>8.3333333300000006E-2</v>
      </c>
      <c r="I380" s="32">
        <f t="shared" si="8"/>
        <v>333.33333320000003</v>
      </c>
      <c r="K380" s="127" t="str">
        <f t="shared" si="7"/>
        <v/>
      </c>
    </row>
    <row r="381" spans="2:11" x14ac:dyDescent="0.3">
      <c r="B381" s="306" t="s">
        <v>1703</v>
      </c>
      <c r="C381" s="196">
        <v>45380</v>
      </c>
      <c r="D381" s="195" t="s">
        <v>765</v>
      </c>
      <c r="E381" s="205" t="s">
        <v>769</v>
      </c>
      <c r="F381" s="29" t="str">
        <f>IFERROR(VLOOKUP(E381,'Inventaire des produits'!$B$4:$K$1001,2,0),"")</f>
        <v>GANT NOIR VINYL EXTRA PREMIUM GLOVE LARGE</v>
      </c>
      <c r="G381" s="212">
        <v>150</v>
      </c>
      <c r="H381" s="30">
        <f>IFERROR(VLOOKUP(E381,'Inventaire des produits'!$B$4:$K$1001,8,0),"")</f>
        <v>20.833333333300001</v>
      </c>
      <c r="I381" s="32">
        <f t="shared" si="8"/>
        <v>3124.9999999950001</v>
      </c>
      <c r="J381" s="33">
        <v>3125</v>
      </c>
      <c r="K381" s="127">
        <f t="shared" si="7"/>
        <v>3750</v>
      </c>
    </row>
    <row r="382" spans="2:11" x14ac:dyDescent="0.3">
      <c r="B382" s="306" t="s">
        <v>1703</v>
      </c>
      <c r="C382" s="320">
        <v>45404</v>
      </c>
      <c r="D382" s="317" t="s">
        <v>784</v>
      </c>
      <c r="E382" s="205" t="s">
        <v>779</v>
      </c>
      <c r="F382" s="29" t="str">
        <f>IFERROR(VLOOKUP(E382,'Inventaire des produits'!$B$4:$K$1001,2,0),"")</f>
        <v>BARQUETTE ALUMINIUM 83420</v>
      </c>
      <c r="G382" s="212">
        <v>4000</v>
      </c>
      <c r="H382" s="30">
        <f>IFERROR(VLOOKUP(E382,'Inventaire des produits'!$B$4:$K$1001,8,0),"")</f>
        <v>0.30833333330000001</v>
      </c>
      <c r="I382" s="32">
        <f t="shared" si="8"/>
        <v>1233.3333332</v>
      </c>
      <c r="J382" s="33">
        <v>20880</v>
      </c>
      <c r="K382" s="127">
        <f t="shared" ref="K382:K445" si="9">IF(J382="","",J382*1.2)</f>
        <v>25056</v>
      </c>
    </row>
    <row r="383" spans="2:11" x14ac:dyDescent="0.3">
      <c r="B383" s="306" t="s">
        <v>1703</v>
      </c>
      <c r="C383" s="321"/>
      <c r="D383" s="318"/>
      <c r="E383" s="205" t="s">
        <v>781</v>
      </c>
      <c r="F383" s="29" t="str">
        <f>IFERROR(VLOOKUP(E383,'Inventaire des produits'!$B$4:$K$1001,2,0),"")</f>
        <v>BARQUETTE ALUMINIUM 31808 ROND</v>
      </c>
      <c r="G383" s="212">
        <v>1000</v>
      </c>
      <c r="H383" s="30">
        <f>IFERROR(VLOOKUP(E383,'Inventaire des produits'!$B$4:$K$1001,8,0),"")</f>
        <v>0.6</v>
      </c>
      <c r="I383" s="32">
        <f t="shared" si="8"/>
        <v>600</v>
      </c>
      <c r="K383" s="127" t="str">
        <f t="shared" si="9"/>
        <v/>
      </c>
    </row>
    <row r="384" spans="2:11" x14ac:dyDescent="0.3">
      <c r="B384" s="306" t="s">
        <v>1703</v>
      </c>
      <c r="C384" s="321"/>
      <c r="D384" s="318"/>
      <c r="E384" s="205" t="s">
        <v>783</v>
      </c>
      <c r="F384" s="29" t="str">
        <f>IFERROR(VLOOKUP(E384,'Inventaire des produits'!$B$4:$K$1001,2,0),"")</f>
        <v>SACHET PLASTIQUE</v>
      </c>
      <c r="G384" s="212">
        <v>40</v>
      </c>
      <c r="H384" s="30">
        <f>IFERROR(VLOOKUP(E384,'Inventaire des produits'!$B$4:$K$1001,8,0),"")</f>
        <v>22</v>
      </c>
      <c r="I384" s="32">
        <f t="shared" si="8"/>
        <v>880</v>
      </c>
      <c r="K384" s="127" t="str">
        <f t="shared" si="9"/>
        <v/>
      </c>
    </row>
    <row r="385" spans="2:11" x14ac:dyDescent="0.3">
      <c r="B385" s="306" t="s">
        <v>1703</v>
      </c>
      <c r="C385" s="321"/>
      <c r="D385" s="318"/>
      <c r="E385" s="205" t="s">
        <v>779</v>
      </c>
      <c r="F385" s="29" t="str">
        <f>IFERROR(VLOOKUP(E385,'Inventaire des produits'!$B$4:$K$1001,2,0),"")</f>
        <v>BARQUETTE ALUMINIUM 83420</v>
      </c>
      <c r="G385" s="212">
        <v>20000</v>
      </c>
      <c r="H385" s="30">
        <f>IFERROR(VLOOKUP(E385,'Inventaire des produits'!$B$4:$K$1001,8,0),"")</f>
        <v>0.30833333330000001</v>
      </c>
      <c r="I385" s="32">
        <f t="shared" si="8"/>
        <v>6166.6666660000001</v>
      </c>
      <c r="K385" s="127" t="str">
        <f t="shared" si="9"/>
        <v/>
      </c>
    </row>
    <row r="386" spans="2:11" x14ac:dyDescent="0.3">
      <c r="B386" s="306" t="s">
        <v>1703</v>
      </c>
      <c r="C386" s="322"/>
      <c r="D386" s="319"/>
      <c r="E386" s="205" t="s">
        <v>781</v>
      </c>
      <c r="F386" s="29" t="str">
        <f>IFERROR(VLOOKUP(E386,'Inventaire des produits'!$B$4:$K$1001,2,0),"")</f>
        <v>BARQUETTE ALUMINIUM 31808 ROND</v>
      </c>
      <c r="G386" s="212">
        <v>20000</v>
      </c>
      <c r="H386" s="30">
        <f>IFERROR(VLOOKUP(E386,'Inventaire des produits'!$B$4:$K$1001,8,0),"")</f>
        <v>0.6</v>
      </c>
      <c r="I386" s="32">
        <f t="shared" si="8"/>
        <v>12000</v>
      </c>
      <c r="K386" s="127" t="str">
        <f t="shared" si="9"/>
        <v/>
      </c>
    </row>
    <row r="387" spans="2:11" x14ac:dyDescent="0.3">
      <c r="B387" s="306" t="s">
        <v>1703</v>
      </c>
      <c r="C387" s="196">
        <v>45405</v>
      </c>
      <c r="D387" s="195" t="s">
        <v>787</v>
      </c>
      <c r="E387" s="205" t="s">
        <v>786</v>
      </c>
      <c r="F387" s="29" t="str">
        <f>IFERROR(VLOOKUP(E387,'Inventaire des produits'!$B$4:$K$1001,2,0),"")</f>
        <v>FOURCHETTE ECOLUXE TRANSPARENTE</v>
      </c>
      <c r="G387" s="212">
        <v>400</v>
      </c>
      <c r="H387" s="30">
        <f>IFERROR(VLOOKUP(E387,'Inventaire des produits'!$B$4:$K$1001,8,0),"")</f>
        <v>15.83333333</v>
      </c>
      <c r="I387" s="32">
        <f t="shared" si="8"/>
        <v>6333.3333320000002</v>
      </c>
      <c r="J387" s="33">
        <v>6333.3329999999996</v>
      </c>
      <c r="K387" s="127">
        <f t="shared" si="9"/>
        <v>7599.9995999999992</v>
      </c>
    </row>
    <row r="388" spans="2:11" x14ac:dyDescent="0.3">
      <c r="B388" s="306" t="s">
        <v>1703</v>
      </c>
      <c r="C388" s="196">
        <v>45408</v>
      </c>
      <c r="D388" s="195" t="s">
        <v>789</v>
      </c>
      <c r="E388" s="205" t="s">
        <v>788</v>
      </c>
      <c r="F388" s="29" t="str">
        <f>IFERROR(VLOOKUP(E388,'Inventaire des produits'!$B$4:$K$1001,2,0),"")</f>
        <v>BARQUETTE ALUMINIUM 83670</v>
      </c>
      <c r="G388" s="212">
        <v>4000</v>
      </c>
      <c r="H388" s="30">
        <f>IFERROR(VLOOKUP(E388,'Inventaire des produits'!$B$4:$K$1001,8,0),"")</f>
        <v>0.54</v>
      </c>
      <c r="I388" s="32">
        <f t="shared" ref="I388:I451" si="10">IF(OR(G388="",H388=""),"",G388*H388)</f>
        <v>2160</v>
      </c>
      <c r="J388" s="33">
        <v>2160</v>
      </c>
      <c r="K388" s="127">
        <f t="shared" si="9"/>
        <v>2592</v>
      </c>
    </row>
    <row r="389" spans="2:11" x14ac:dyDescent="0.3">
      <c r="B389" s="306" t="s">
        <v>1703</v>
      </c>
      <c r="C389" s="320">
        <v>45409</v>
      </c>
      <c r="D389" s="317" t="s">
        <v>791</v>
      </c>
      <c r="E389" s="205" t="s">
        <v>790</v>
      </c>
      <c r="F389" s="29" t="str">
        <f>IFERROR(VLOOKUP(E389,'Inventaire des produits'!$B$4:$K$1001,2,0),"")</f>
        <v>COUTEAU ECOLUXE NOIR</v>
      </c>
      <c r="G389" s="212">
        <v>20</v>
      </c>
      <c r="H389" s="30">
        <f>IFERROR(VLOOKUP(E389,'Inventaire des produits'!$B$4:$K$1001,8,0),"")</f>
        <v>17.5</v>
      </c>
      <c r="I389" s="32">
        <f t="shared" si="10"/>
        <v>350</v>
      </c>
      <c r="J389" s="33">
        <v>700</v>
      </c>
      <c r="K389" s="127">
        <f t="shared" si="9"/>
        <v>840</v>
      </c>
    </row>
    <row r="390" spans="2:11" x14ac:dyDescent="0.3">
      <c r="B390" s="306" t="s">
        <v>1703</v>
      </c>
      <c r="C390" s="322"/>
      <c r="D390" s="319"/>
      <c r="E390" s="205" t="s">
        <v>702</v>
      </c>
      <c r="F390" s="29" t="str">
        <f>IFERROR(VLOOKUP(E390,'Inventaire des produits'!$B$4:$K$1001,2,0),"")</f>
        <v>FOURCHETTE ECOLUXE NOIRE</v>
      </c>
      <c r="G390" s="212">
        <v>20</v>
      </c>
      <c r="H390" s="30">
        <f>IFERROR(VLOOKUP(E390,'Inventaire des produits'!$B$4:$K$1001,8,0),"")</f>
        <v>17.5</v>
      </c>
      <c r="I390" s="32">
        <f t="shared" si="10"/>
        <v>350</v>
      </c>
      <c r="K390" s="127" t="str">
        <f t="shared" si="9"/>
        <v/>
      </c>
    </row>
    <row r="391" spans="2:11" x14ac:dyDescent="0.3">
      <c r="B391" s="306" t="s">
        <v>1703</v>
      </c>
      <c r="C391" s="320">
        <v>45412</v>
      </c>
      <c r="D391" s="317" t="s">
        <v>796</v>
      </c>
      <c r="E391" s="205" t="s">
        <v>781</v>
      </c>
      <c r="F391" s="29" t="str">
        <f>IFERROR(VLOOKUP(E391,'Inventaire des produits'!$B$4:$K$1001,2,0),"")</f>
        <v>BARQUETTE ALUMINIUM 31808 ROND</v>
      </c>
      <c r="G391" s="212">
        <v>20000</v>
      </c>
      <c r="H391" s="30">
        <f>IFERROR(VLOOKUP(E391,'Inventaire des produits'!$B$4:$K$1001,8,0),"")</f>
        <v>0.6</v>
      </c>
      <c r="I391" s="32">
        <f t="shared" si="10"/>
        <v>12000</v>
      </c>
      <c r="J391" s="33">
        <v>19116.669999999998</v>
      </c>
      <c r="K391" s="127">
        <f t="shared" si="9"/>
        <v>22940.003999999997</v>
      </c>
    </row>
    <row r="392" spans="2:11" x14ac:dyDescent="0.3">
      <c r="B392" s="306" t="s">
        <v>1703</v>
      </c>
      <c r="C392" s="321"/>
      <c r="D392" s="318"/>
      <c r="E392" s="205" t="s">
        <v>779</v>
      </c>
      <c r="F392" s="29" t="str">
        <f>IFERROR(VLOOKUP(E392,'Inventaire des produits'!$B$4:$K$1001,2,0),"")</f>
        <v>BARQUETTE ALUMINIUM 83420</v>
      </c>
      <c r="G392" s="212">
        <v>6000</v>
      </c>
      <c r="H392" s="30">
        <f>IFERROR(VLOOKUP(E392,'Inventaire des produits'!$B$4:$K$1001,8,0),"")</f>
        <v>0.30833333330000001</v>
      </c>
      <c r="I392" s="32">
        <f t="shared" si="10"/>
        <v>1849.9999998000001</v>
      </c>
      <c r="K392" s="127" t="str">
        <f t="shared" si="9"/>
        <v/>
      </c>
    </row>
    <row r="393" spans="2:11" x14ac:dyDescent="0.3">
      <c r="B393" s="306" t="s">
        <v>1703</v>
      </c>
      <c r="C393" s="322"/>
      <c r="D393" s="319"/>
      <c r="E393" s="205" t="s">
        <v>795</v>
      </c>
      <c r="F393" s="29" t="str">
        <f>IFERROR(VLOOKUP(E393,'Inventaire des produits'!$B$4:$K$1001,2,0),"")</f>
        <v>BARQUETTE SUSHI ST5 216*136*20+CVRCL</v>
      </c>
      <c r="G393" s="212">
        <v>4000</v>
      </c>
      <c r="H393" s="30">
        <f>IFERROR(VLOOKUP(E393,'Inventaire des produits'!$B$4:$K$1001,8,0),"")</f>
        <v>1.3166666666</v>
      </c>
      <c r="I393" s="32">
        <f t="shared" si="10"/>
        <v>5266.6666663999995</v>
      </c>
      <c r="K393" s="127" t="str">
        <f t="shared" si="9"/>
        <v/>
      </c>
    </row>
    <row r="394" spans="2:11" x14ac:dyDescent="0.3">
      <c r="B394" s="306" t="s">
        <v>1703</v>
      </c>
      <c r="C394" s="196">
        <v>45414</v>
      </c>
      <c r="D394" s="195" t="s">
        <v>799</v>
      </c>
      <c r="E394" s="205" t="s">
        <v>619</v>
      </c>
      <c r="F394" s="29" t="str">
        <f>IFERROR(VLOOKUP(E394,'Inventaire des produits'!$B$4:$K$1001,2,0),"")</f>
        <v>POT DE SAUCE 1OZ 30ML HP</v>
      </c>
      <c r="G394" s="212">
        <v>80000</v>
      </c>
      <c r="H394" s="30">
        <f>IFERROR(VLOOKUP(E394,'Inventaire des produits'!$B$4:$K$1001,8,0),"")</f>
        <v>0.13450000000000001</v>
      </c>
      <c r="I394" s="32">
        <f t="shared" si="10"/>
        <v>10760</v>
      </c>
      <c r="J394" s="33">
        <v>10760</v>
      </c>
      <c r="K394" s="127">
        <f t="shared" si="9"/>
        <v>12912</v>
      </c>
    </row>
    <row r="395" spans="2:11" x14ac:dyDescent="0.3">
      <c r="B395" s="306" t="s">
        <v>1703</v>
      </c>
      <c r="C395" s="196">
        <v>45416</v>
      </c>
      <c r="D395" s="195" t="s">
        <v>803</v>
      </c>
      <c r="E395" s="205" t="s">
        <v>802</v>
      </c>
      <c r="F395" s="29" t="str">
        <f>IFERROR(VLOOKUP(E395,'Inventaire des produits'!$B$4:$K$1001,2,0),"")</f>
        <v>BOITE PIZZA 29</v>
      </c>
      <c r="G395" s="212">
        <v>200</v>
      </c>
      <c r="H395" s="30">
        <f>IFERROR(VLOOKUP(E395,'Inventaire des produits'!$B$4:$K$1001,8,0),"")</f>
        <v>40</v>
      </c>
      <c r="I395" s="32">
        <f t="shared" si="10"/>
        <v>8000</v>
      </c>
      <c r="J395" s="33">
        <v>8000</v>
      </c>
      <c r="K395" s="127">
        <f t="shared" si="9"/>
        <v>9600</v>
      </c>
    </row>
    <row r="396" spans="2:11" x14ac:dyDescent="0.3">
      <c r="B396" s="306" t="s">
        <v>1703</v>
      </c>
      <c r="C396" s="320">
        <v>45416</v>
      </c>
      <c r="D396" s="317" t="s">
        <v>806</v>
      </c>
      <c r="E396" s="207" t="s">
        <v>451</v>
      </c>
      <c r="F396" s="29" t="str">
        <f>IFERROR(VLOOKUP(E396,'Inventaire des produits'!$B$4:$K$1001,2,0),"")</f>
        <v>FILM ALIMENTAIRE 45CM 1.5KG</v>
      </c>
      <c r="G396" s="212">
        <v>340</v>
      </c>
      <c r="H396" s="30">
        <f>IFERROR(VLOOKUP(E396,'Inventaire des produits'!$B$4:$K$1001,8,0),"")</f>
        <v>29.19</v>
      </c>
      <c r="I396" s="32">
        <f t="shared" si="10"/>
        <v>9924.6</v>
      </c>
      <c r="J396" s="33">
        <v>12257.933000000001</v>
      </c>
      <c r="K396" s="127">
        <f t="shared" si="9"/>
        <v>14709.519600000001</v>
      </c>
    </row>
    <row r="397" spans="2:11" x14ac:dyDescent="0.3">
      <c r="B397" s="306" t="s">
        <v>1703</v>
      </c>
      <c r="C397" s="322"/>
      <c r="D397" s="319"/>
      <c r="E397" s="207" t="s">
        <v>805</v>
      </c>
      <c r="F397" s="29" t="str">
        <f>IFERROR(VLOOKUP(E397,'Inventaire des produits'!$B$4:$K$1001,2,0),"")</f>
        <v>BARQUETTE ALUMINIUM 250</v>
      </c>
      <c r="G397" s="212">
        <v>10000</v>
      </c>
      <c r="H397" s="30">
        <f>IFERROR(VLOOKUP(E397,'Inventaire des produits'!$B$4:$K$1001,8,0),"")</f>
        <v>0.23333329999999999</v>
      </c>
      <c r="I397" s="32">
        <f t="shared" si="10"/>
        <v>2333.3330000000001</v>
      </c>
      <c r="K397" s="127" t="str">
        <f t="shared" si="9"/>
        <v/>
      </c>
    </row>
    <row r="398" spans="2:11" x14ac:dyDescent="0.3">
      <c r="B398" s="306" t="s">
        <v>1703</v>
      </c>
      <c r="C398" s="320">
        <v>45406</v>
      </c>
      <c r="D398" s="317" t="s">
        <v>823</v>
      </c>
      <c r="E398" s="207" t="s">
        <v>821</v>
      </c>
      <c r="F398" s="29" t="str">
        <f>IFERROR(VLOOKUP(E398,'Inventaire des produits'!$B$4:$K$1001,2,0),"")</f>
        <v>SAC PN BLANC NI 30*40*10</v>
      </c>
      <c r="G398" s="212">
        <v>5500</v>
      </c>
      <c r="H398" s="30">
        <f>IFERROR(VLOOKUP(E398,'Inventaire des produits'!$B$4:$K$1001,8,0),"")</f>
        <v>0.33333333329999998</v>
      </c>
      <c r="I398" s="32">
        <f t="shared" si="10"/>
        <v>1833.3333331499998</v>
      </c>
      <c r="J398" s="33">
        <v>11250.066999999999</v>
      </c>
      <c r="K398" s="127">
        <f t="shared" si="9"/>
        <v>13500.080399999999</v>
      </c>
    </row>
    <row r="399" spans="2:11" x14ac:dyDescent="0.3">
      <c r="B399" s="306" t="s">
        <v>1703</v>
      </c>
      <c r="C399" s="321"/>
      <c r="D399" s="318"/>
      <c r="E399" s="207" t="s">
        <v>822</v>
      </c>
      <c r="F399" s="29" t="str">
        <f>IFERROR(VLOOKUP(E399,'Inventaire des produits'!$B$4:$K$1001,2,0),"")</f>
        <v>SAC PN BLANC UNI 40*45*10</v>
      </c>
      <c r="G399" s="212">
        <v>10000</v>
      </c>
      <c r="H399" s="30">
        <f>IFERROR(VLOOKUP(E399,'Inventaire des produits'!$B$4:$K$1001,8,0),"")</f>
        <v>0.45834000000000003</v>
      </c>
      <c r="I399" s="32">
        <f t="shared" si="10"/>
        <v>4583.4000000000005</v>
      </c>
      <c r="K399" s="127" t="str">
        <f t="shared" si="9"/>
        <v/>
      </c>
    </row>
    <row r="400" spans="2:11" x14ac:dyDescent="0.3">
      <c r="B400" s="306" t="s">
        <v>1703</v>
      </c>
      <c r="C400" s="322"/>
      <c r="D400" s="319"/>
      <c r="E400" s="205" t="s">
        <v>821</v>
      </c>
      <c r="F400" s="29" t="str">
        <f>IFERROR(VLOOKUP(E400,'Inventaire des produits'!$B$4:$K$1001,2,0),"")</f>
        <v>SAC PN BLANC NI 30*40*10</v>
      </c>
      <c r="G400" s="212">
        <v>14500</v>
      </c>
      <c r="H400" s="30">
        <f>IFERROR(VLOOKUP(E400,'Inventaire des produits'!$B$4:$K$1001,8,0),"")</f>
        <v>0.33333333329999998</v>
      </c>
      <c r="I400" s="32">
        <f t="shared" si="10"/>
        <v>4833.3333328499994</v>
      </c>
      <c r="K400" s="127" t="str">
        <f t="shared" si="9"/>
        <v/>
      </c>
    </row>
    <row r="401" spans="2:11" x14ac:dyDescent="0.3">
      <c r="B401" s="306" t="s">
        <v>1703</v>
      </c>
      <c r="C401" s="320">
        <v>45419</v>
      </c>
      <c r="D401" s="317" t="s">
        <v>830</v>
      </c>
      <c r="E401" s="207" t="s">
        <v>827</v>
      </c>
      <c r="F401" s="29" t="str">
        <f>IFERROR(VLOOKUP(E401,'Inventaire des produits'!$B$4:$K$1001,2,0),"")</f>
        <v>SAC PN BLANC 30*22</v>
      </c>
      <c r="G401" s="215">
        <v>45</v>
      </c>
      <c r="H401" s="30">
        <f>IFERROR(VLOOKUP(E401,'Inventaire des produits'!$B$4:$K$1001,8,0),"")</f>
        <v>22.5</v>
      </c>
      <c r="I401" s="32">
        <f t="shared" si="10"/>
        <v>1012.5</v>
      </c>
      <c r="J401" s="33">
        <v>10866.66</v>
      </c>
      <c r="K401" s="127">
        <f t="shared" si="9"/>
        <v>13039.992</v>
      </c>
    </row>
    <row r="402" spans="2:11" x14ac:dyDescent="0.3">
      <c r="B402" s="306" t="s">
        <v>1703</v>
      </c>
      <c r="C402" s="321"/>
      <c r="D402" s="318"/>
      <c r="E402" s="207" t="s">
        <v>828</v>
      </c>
      <c r="F402" s="29" t="str">
        <f>IFERROR(VLOOKUP(E402,'Inventaire des produits'!$B$4:$K$1001,2,0),"")</f>
        <v>SAC PN BLANC 40*30</v>
      </c>
      <c r="G402" s="215">
        <v>18700</v>
      </c>
      <c r="H402" s="30">
        <f>IFERROR(VLOOKUP(E402,'Inventaire des produits'!$B$4:$K$1001,8,0),"")</f>
        <v>0.33333332999999998</v>
      </c>
      <c r="I402" s="32">
        <f t="shared" si="10"/>
        <v>6233.3332709999995</v>
      </c>
      <c r="K402" s="127" t="str">
        <f t="shared" si="9"/>
        <v/>
      </c>
    </row>
    <row r="403" spans="2:11" x14ac:dyDescent="0.3">
      <c r="B403" s="306" t="s">
        <v>1703</v>
      </c>
      <c r="C403" s="322"/>
      <c r="D403" s="319"/>
      <c r="E403" s="207" t="s">
        <v>829</v>
      </c>
      <c r="F403" s="29" t="str">
        <f>IFERROR(VLOOKUP(E403,'Inventaire des produits'!$B$4:$K$1001,2,0),"")</f>
        <v>SAC PN BLANC 40*45</v>
      </c>
      <c r="G403" s="215">
        <v>7900</v>
      </c>
      <c r="H403" s="30">
        <f>IFERROR(VLOOKUP(E403,'Inventaire des produits'!$B$4:$K$1001,8,0),"")</f>
        <v>0.45833333300000001</v>
      </c>
      <c r="I403" s="32">
        <f t="shared" si="10"/>
        <v>3620.8333307000003</v>
      </c>
      <c r="K403" s="127" t="str">
        <f t="shared" si="9"/>
        <v/>
      </c>
    </row>
    <row r="404" spans="2:11" x14ac:dyDescent="0.3">
      <c r="B404" s="306" t="s">
        <v>1703</v>
      </c>
      <c r="C404" s="320">
        <v>45421</v>
      </c>
      <c r="D404" s="317" t="s">
        <v>842</v>
      </c>
      <c r="E404" s="205" t="s">
        <v>836</v>
      </c>
      <c r="F404" s="29" t="str">
        <f>IFERROR(VLOOKUP(E404,'Inventaire des produits'!$B$4:$K$1001,2,0),"")</f>
        <v xml:space="preserve">SERVIETTE DE TABLE </v>
      </c>
      <c r="G404" s="212">
        <v>1600</v>
      </c>
      <c r="H404" s="30">
        <f>IFERROR(VLOOKUP(E404,'Inventaire des produits'!$B$4:$K$1001,8,0),"")</f>
        <v>2.8330000000000002</v>
      </c>
      <c r="I404" s="32">
        <f t="shared" si="10"/>
        <v>4532.8</v>
      </c>
      <c r="J404" s="33">
        <v>13707.82</v>
      </c>
      <c r="K404" s="127">
        <f t="shared" si="9"/>
        <v>16449.383999999998</v>
      </c>
    </row>
    <row r="405" spans="2:11" x14ac:dyDescent="0.3">
      <c r="B405" s="306" t="s">
        <v>1703</v>
      </c>
      <c r="C405" s="321"/>
      <c r="D405" s="318"/>
      <c r="E405" s="205" t="s">
        <v>837</v>
      </c>
      <c r="F405" s="29" t="str">
        <f>IFERROR(VLOOKUP(E405,'Inventaire des produits'!$B$4:$K$1001,2,0),"")</f>
        <v>ESSUIE MAIN 1KG LISSE</v>
      </c>
      <c r="G405" s="212">
        <v>180</v>
      </c>
      <c r="H405" s="30">
        <f>IFERROR(VLOOKUP(E405,'Inventaire des produits'!$B$4:$K$1001,8,0),"")</f>
        <v>21.25</v>
      </c>
      <c r="I405" s="32">
        <f t="shared" si="10"/>
        <v>3825</v>
      </c>
      <c r="K405" s="127" t="str">
        <f t="shared" si="9"/>
        <v/>
      </c>
    </row>
    <row r="406" spans="2:11" x14ac:dyDescent="0.3">
      <c r="B406" s="306" t="s">
        <v>1703</v>
      </c>
      <c r="C406" s="321"/>
      <c r="D406" s="318"/>
      <c r="E406" s="205" t="s">
        <v>839</v>
      </c>
      <c r="F406" s="29" t="str">
        <f>IFERROR(VLOOKUP(E406,'Inventaire des produits'!$B$4:$K$1001,2,0),"")</f>
        <v>FILM ALIMENTAIRE 900GR GM 30X300</v>
      </c>
      <c r="G406" s="212">
        <v>180</v>
      </c>
      <c r="H406" s="30">
        <f>IFERROR(VLOOKUP(E406,'Inventaire des produits'!$B$4:$K$1001,8,0),"")</f>
        <v>20</v>
      </c>
      <c r="I406" s="32">
        <f t="shared" si="10"/>
        <v>3600</v>
      </c>
      <c r="K406" s="127" t="str">
        <f t="shared" si="9"/>
        <v/>
      </c>
    </row>
    <row r="407" spans="2:11" x14ac:dyDescent="0.3">
      <c r="B407" s="306" t="s">
        <v>1703</v>
      </c>
      <c r="C407" s="322"/>
      <c r="D407" s="319"/>
      <c r="E407" s="205" t="s">
        <v>840</v>
      </c>
      <c r="F407" s="29" t="str">
        <f>IFERROR(VLOOKUP(E407,'Inventaire des produits'!$B$4:$K$1001,2,0),"")</f>
        <v>FILM ALIMENTAIRE 1300GR GM 45X500</v>
      </c>
      <c r="G407" s="212">
        <v>60</v>
      </c>
      <c r="H407" s="30">
        <f>IFERROR(VLOOKUP(E407,'Inventaire des produits'!$B$4:$K$1001,8,0),"")</f>
        <v>29.167000000000002</v>
      </c>
      <c r="I407" s="32">
        <f t="shared" si="10"/>
        <v>1750.02</v>
      </c>
      <c r="K407" s="127" t="str">
        <f t="shared" si="9"/>
        <v/>
      </c>
    </row>
    <row r="408" spans="2:11" x14ac:dyDescent="0.3">
      <c r="B408" s="306" t="s">
        <v>1703</v>
      </c>
      <c r="C408" s="320">
        <v>45420</v>
      </c>
      <c r="D408" s="317" t="s">
        <v>845</v>
      </c>
      <c r="E408" s="205" t="s">
        <v>843</v>
      </c>
      <c r="F408" s="29" t="str">
        <f>IFERROR(VLOOKUP(E408,'Inventaire des produits'!$B$4:$K$1001,2,0),"")</f>
        <v>GOBLET 14OZ EN PLAST TRANS SMART + CV PLAT</v>
      </c>
      <c r="G408" s="212">
        <v>5000</v>
      </c>
      <c r="H408" s="30">
        <f>IFERROR(VLOOKUP(E408,'Inventaire des produits'!$B$4:$K$1001,8,0),"")</f>
        <v>0.43333749999999999</v>
      </c>
      <c r="I408" s="32">
        <f t="shared" si="10"/>
        <v>2166.6875</v>
      </c>
      <c r="J408" s="33">
        <v>2566.69</v>
      </c>
      <c r="K408" s="127">
        <f t="shared" si="9"/>
        <v>3080.0279999999998</v>
      </c>
    </row>
    <row r="409" spans="2:11" x14ac:dyDescent="0.3">
      <c r="B409" s="306" t="s">
        <v>1703</v>
      </c>
      <c r="C409" s="322"/>
      <c r="D409" s="319"/>
      <c r="E409" s="205" t="s">
        <v>844</v>
      </c>
      <c r="F409" s="29" t="str">
        <f>IFERROR(VLOOKUP(E409,'Inventaire des produits'!$B$4:$K$1001,2,0),"")</f>
        <v>BOITE PIZZA N°24 BON APPETIT FRESH/50</v>
      </c>
      <c r="G409" s="212">
        <v>500</v>
      </c>
      <c r="H409" s="30">
        <f>IFERROR(VLOOKUP(E409,'Inventaire des produits'!$B$4:$K$1001,8,0),"")</f>
        <v>0.8</v>
      </c>
      <c r="I409" s="32">
        <f t="shared" si="10"/>
        <v>400</v>
      </c>
      <c r="K409" s="127" t="str">
        <f t="shared" si="9"/>
        <v/>
      </c>
    </row>
    <row r="410" spans="2:11" x14ac:dyDescent="0.3">
      <c r="B410" s="306" t="s">
        <v>1703</v>
      </c>
      <c r="C410" s="320">
        <v>45387</v>
      </c>
      <c r="D410" s="317" t="s">
        <v>851</v>
      </c>
      <c r="E410" s="205" t="s">
        <v>846</v>
      </c>
      <c r="F410" s="29" t="str">
        <f>IFERROR(VLOOKUP(E410,'Inventaire des produits'!$B$4:$K$1001,2,0),"")</f>
        <v>BOL SALADE ET CVL KRAFT 550CC CARTON 400PCS</v>
      </c>
      <c r="G410" s="212">
        <v>2400</v>
      </c>
      <c r="H410" s="30">
        <f>IFERROR(VLOOKUP(E410,'Inventaire des produits'!$B$4:$K$1001,8,0),"")</f>
        <v>1.2266666665999999</v>
      </c>
      <c r="I410" s="32">
        <f t="shared" si="10"/>
        <v>2943.9999998399999</v>
      </c>
      <c r="J410" s="33">
        <v>14573.17</v>
      </c>
      <c r="K410" s="127">
        <f t="shared" si="9"/>
        <v>17487.804</v>
      </c>
    </row>
    <row r="411" spans="2:11" x14ac:dyDescent="0.3">
      <c r="B411" s="306" t="s">
        <v>1703</v>
      </c>
      <c r="C411" s="321"/>
      <c r="D411" s="318"/>
      <c r="E411" s="205" t="s">
        <v>855</v>
      </c>
      <c r="F411" s="29" t="str">
        <f>IFERROR(VLOOKUP(E411,'Inventaire des produits'!$B$4:$K$1001,2,0),"")</f>
        <v>BOL SOUP/NOUILLE KRAFT ET CVL</v>
      </c>
      <c r="G411" s="212">
        <v>4000</v>
      </c>
      <c r="H411" s="30">
        <f>IFERROR(VLOOKUP(E411,'Inventaire des produits'!$B$4:$K$1001,8,0),"")</f>
        <v>0.79166666669999997</v>
      </c>
      <c r="I411" s="32">
        <f t="shared" si="10"/>
        <v>3166.6666667999998</v>
      </c>
      <c r="K411" s="127" t="str">
        <f t="shared" si="9"/>
        <v/>
      </c>
    </row>
    <row r="412" spans="2:11" x14ac:dyDescent="0.3">
      <c r="B412" s="306" t="s">
        <v>1703</v>
      </c>
      <c r="C412" s="321"/>
      <c r="D412" s="318"/>
      <c r="E412" s="205" t="s">
        <v>848</v>
      </c>
      <c r="F412" s="29" t="str">
        <f>IFERROR(VLOOKUP(E412,'Inventaire des produits'!$B$4:$K$1001,2,0),"")</f>
        <v>PIQUE BAMBOU 15CM</v>
      </c>
      <c r="G412" s="212">
        <v>186</v>
      </c>
      <c r="H412" s="30">
        <f>IFERROR(VLOOKUP(E412,'Inventaire des produits'!$B$4:$K$1001,8,0),"")</f>
        <v>2.9166666666999999</v>
      </c>
      <c r="I412" s="32">
        <f t="shared" si="10"/>
        <v>542.50000000620003</v>
      </c>
      <c r="K412" s="127" t="str">
        <f t="shared" si="9"/>
        <v/>
      </c>
    </row>
    <row r="413" spans="2:11" x14ac:dyDescent="0.3">
      <c r="B413" s="306" t="s">
        <v>1703</v>
      </c>
      <c r="C413" s="322"/>
      <c r="D413" s="319"/>
      <c r="E413" s="205" t="s">
        <v>849</v>
      </c>
      <c r="F413" s="29" t="str">
        <f>IFERROR(VLOOKUP(E413,'Inventaire des produits'!$B$4:$K$1001,2,0),"")</f>
        <v xml:space="preserve">BOL SOUP 16OZ MICRON ONDABLE </v>
      </c>
      <c r="G413" s="212">
        <v>10000</v>
      </c>
      <c r="H413" s="30">
        <f>IFERROR(VLOOKUP(E413,'Inventaire des produits'!$B$4:$K$1001,8,0),"")</f>
        <v>0.79200000000000004</v>
      </c>
      <c r="I413" s="32">
        <f t="shared" si="10"/>
        <v>7920</v>
      </c>
      <c r="K413" s="127" t="str">
        <f t="shared" si="9"/>
        <v/>
      </c>
    </row>
    <row r="414" spans="2:11" x14ac:dyDescent="0.3">
      <c r="B414" s="306" t="s">
        <v>1703</v>
      </c>
      <c r="C414" s="196">
        <v>45384</v>
      </c>
      <c r="D414" s="195" t="s">
        <v>852</v>
      </c>
      <c r="E414" s="205" t="s">
        <v>681</v>
      </c>
      <c r="F414" s="29" t="str">
        <f>IFERROR(VLOOKUP(E414,'Inventaire des produits'!$B$4:$K$1001,2,0),"")</f>
        <v>BARQUETTE TRAITEUR 500CC MICRON-ONDABLE TRANS</v>
      </c>
      <c r="G414" s="212">
        <v>250</v>
      </c>
      <c r="H414" s="30">
        <f>IFERROR(VLOOKUP(E414,'Inventaire des produits'!$B$4:$K$1001,8,0),"")</f>
        <v>1.0833333332999999</v>
      </c>
      <c r="I414" s="32">
        <f t="shared" si="10"/>
        <v>270.83333332499996</v>
      </c>
      <c r="J414" s="33">
        <v>270.83</v>
      </c>
      <c r="K414" s="127">
        <f t="shared" si="9"/>
        <v>324.99599999999998</v>
      </c>
    </row>
    <row r="415" spans="2:11" x14ac:dyDescent="0.3">
      <c r="B415" s="306" t="s">
        <v>1703</v>
      </c>
      <c r="C415" s="196">
        <v>45381</v>
      </c>
      <c r="D415" s="195" t="s">
        <v>857</v>
      </c>
      <c r="E415" s="205" t="s">
        <v>856</v>
      </c>
      <c r="F415" s="29" t="str">
        <f>IFERROR(VLOOKUP(E415,'Inventaire des produits'!$B$4:$K$1001,2,0),"")</f>
        <v>BOL SOUP/NOUILLE BLANC ET CVL</v>
      </c>
      <c r="G415" s="212">
        <v>1000</v>
      </c>
      <c r="H415" s="30">
        <f>IFERROR(VLOOKUP(E415,'Inventaire des produits'!$B$4:$K$1001,8,0),"")</f>
        <v>0.79166666669999997</v>
      </c>
      <c r="I415" s="32">
        <f t="shared" si="10"/>
        <v>791.66666669999995</v>
      </c>
      <c r="J415" s="33">
        <v>791.66666666000003</v>
      </c>
      <c r="K415" s="127">
        <f t="shared" si="9"/>
        <v>949.99999999199997</v>
      </c>
    </row>
    <row r="416" spans="2:11" x14ac:dyDescent="0.3">
      <c r="B416" s="306" t="s">
        <v>1703</v>
      </c>
      <c r="C416" s="320">
        <v>45381</v>
      </c>
      <c r="D416" s="317" t="s">
        <v>860</v>
      </c>
      <c r="E416" s="205" t="s">
        <v>859</v>
      </c>
      <c r="F416" s="29" t="str">
        <f>IFERROR(VLOOKUP(E416,'Inventaire des produits'!$B$4:$K$1001,2,0),"")</f>
        <v>POT DE SAUCE 1OZ AVEC CVL</v>
      </c>
      <c r="G416" s="212">
        <v>1000</v>
      </c>
      <c r="H416" s="30">
        <f>IFERROR(VLOOKUP(E416,'Inventaire des produits'!$B$4:$K$1001,8,0),"")</f>
        <v>0.15833333329999999</v>
      </c>
      <c r="I416" s="32">
        <f t="shared" si="10"/>
        <v>158.33333329999999</v>
      </c>
      <c r="J416" s="33">
        <v>633.33333300000004</v>
      </c>
      <c r="K416" s="127">
        <f t="shared" si="9"/>
        <v>759.99999960000002</v>
      </c>
    </row>
    <row r="417" spans="2:11" x14ac:dyDescent="0.3">
      <c r="B417" s="306" t="s">
        <v>1703</v>
      </c>
      <c r="C417" s="322"/>
      <c r="D417" s="319"/>
      <c r="E417" s="205" t="s">
        <v>862</v>
      </c>
      <c r="F417" s="29" t="str">
        <f>IFERROR(VLOOKUP(E417,'Inventaire des produits'!$B$4:$K$1001,2,0),"")</f>
        <v>BARQUETTE MICRON ONDABLE 3 COMP AVEC CVL</v>
      </c>
      <c r="G417" s="212">
        <v>300</v>
      </c>
      <c r="H417" s="30">
        <f>IFERROR(VLOOKUP(E417,'Inventaire des produits'!$B$4:$K$1001,8,0),"")</f>
        <v>1.5833333332999999</v>
      </c>
      <c r="I417" s="32">
        <f t="shared" si="10"/>
        <v>474.99999998999999</v>
      </c>
      <c r="K417" s="127" t="str">
        <f t="shared" si="9"/>
        <v/>
      </c>
    </row>
    <row r="418" spans="2:11" x14ac:dyDescent="0.3">
      <c r="B418" s="306" t="s">
        <v>1703</v>
      </c>
      <c r="C418" s="320">
        <v>45422</v>
      </c>
      <c r="D418" s="317" t="s">
        <v>864</v>
      </c>
      <c r="E418" s="205" t="s">
        <v>680</v>
      </c>
      <c r="F418" s="29" t="str">
        <f>IFERROR(VLOOKUP(E418,'Inventaire des produits'!$B$4:$K$1001,2,0),"")</f>
        <v>BOL SALADE ET CVL BLANC 38OZ CARTON 300PCS</v>
      </c>
      <c r="G418" s="212">
        <v>600</v>
      </c>
      <c r="H418" s="30">
        <f>IFERROR(VLOOKUP(E418,'Inventaire des produits'!$B$4:$K$1001,8,0),"")</f>
        <v>2.0583333332999998</v>
      </c>
      <c r="I418" s="32">
        <f t="shared" si="10"/>
        <v>1234.99999998</v>
      </c>
      <c r="J418" s="33">
        <v>1521.98</v>
      </c>
      <c r="K418" s="127">
        <f t="shared" si="9"/>
        <v>1826.376</v>
      </c>
    </row>
    <row r="419" spans="2:11" x14ac:dyDescent="0.3">
      <c r="B419" s="306" t="s">
        <v>1703</v>
      </c>
      <c r="C419" s="322"/>
      <c r="D419" s="319"/>
      <c r="E419" s="205" t="s">
        <v>677</v>
      </c>
      <c r="F419" s="29" t="str">
        <f>IFERROR(VLOOKUP(E419,'Inventaire des produits'!$B$4:$K$1001,2,0),"")</f>
        <v>BARQUETTE TRAITEUR 750CC MICRON ONDABLE</v>
      </c>
      <c r="G419" s="212">
        <v>250</v>
      </c>
      <c r="H419" s="30">
        <f>IFERROR(VLOOKUP(E419,'Inventaire des produits'!$B$4:$K$1001,8,0),"")</f>
        <v>1.1479166667</v>
      </c>
      <c r="I419" s="32">
        <f t="shared" si="10"/>
        <v>286.97916667499999</v>
      </c>
      <c r="K419" s="127" t="str">
        <f t="shared" si="9"/>
        <v/>
      </c>
    </row>
    <row r="420" spans="2:11" x14ac:dyDescent="0.3">
      <c r="B420" s="306" t="s">
        <v>1703</v>
      </c>
      <c r="C420" s="320">
        <v>45404</v>
      </c>
      <c r="D420" s="317" t="s">
        <v>871</v>
      </c>
      <c r="E420" s="205" t="s">
        <v>869</v>
      </c>
      <c r="F420" s="29" t="str">
        <f>IFERROR(VLOOKUP(E420,'Inventaire des produits'!$B$4:$K$1001,2,0),"")</f>
        <v>PAILLE ENVELOPPEE CODE 100 TRANS</v>
      </c>
      <c r="G420" s="212">
        <v>500</v>
      </c>
      <c r="H420" s="30">
        <f>IFERROR(VLOOKUP(E420,'Inventaire des produits'!$B$4:$K$1001,8,0),"")</f>
        <v>3.9166666659999998</v>
      </c>
      <c r="I420" s="32">
        <f t="shared" si="10"/>
        <v>1958.3333329999998</v>
      </c>
      <c r="J420" s="33">
        <v>2675</v>
      </c>
      <c r="K420" s="127">
        <f t="shared" si="9"/>
        <v>3210</v>
      </c>
    </row>
    <row r="421" spans="2:11" x14ac:dyDescent="0.3">
      <c r="B421" s="306" t="s">
        <v>1703</v>
      </c>
      <c r="C421" s="322"/>
      <c r="D421" s="319"/>
      <c r="E421" s="205" t="s">
        <v>870</v>
      </c>
      <c r="F421" s="29" t="str">
        <f>IFERROR(VLOOKUP(E421,'Inventaire des produits'!$B$4:$K$1001,2,0),"")</f>
        <v>PAILLE ENVELOPPEE CODE 100 NOIR</v>
      </c>
      <c r="G421" s="212">
        <v>200</v>
      </c>
      <c r="H421" s="30">
        <f>IFERROR(VLOOKUP(E421,'Inventaire des produits'!$B$4:$K$1001,8,0),"")</f>
        <v>3.5833333330000001</v>
      </c>
      <c r="I421" s="32">
        <f t="shared" si="10"/>
        <v>716.66666659999999</v>
      </c>
      <c r="K421" s="127" t="str">
        <f t="shared" si="9"/>
        <v/>
      </c>
    </row>
    <row r="422" spans="2:11" x14ac:dyDescent="0.3">
      <c r="B422" s="306" t="s">
        <v>1703</v>
      </c>
      <c r="C422" s="320">
        <v>45412</v>
      </c>
      <c r="D422" s="317" t="s">
        <v>876</v>
      </c>
      <c r="E422" s="205" t="s">
        <v>737</v>
      </c>
      <c r="F422" s="29" t="str">
        <f>IFERROR(VLOOKUP(E422,'Inventaire des produits'!$B$4:$K$1001,2,0),"")</f>
        <v>BOUTEILLE PLASTIQUE TRANS 330ML AVEC BOUCHON</v>
      </c>
      <c r="G422" s="212">
        <v>204</v>
      </c>
      <c r="H422" s="30">
        <f>IFERROR(VLOOKUP(E422,'Inventaire des produits'!$B$4:$K$1001,8,0),"")</f>
        <v>1.65</v>
      </c>
      <c r="I422" s="32">
        <f t="shared" si="10"/>
        <v>336.59999999999997</v>
      </c>
      <c r="J422" s="33">
        <v>656.6</v>
      </c>
      <c r="K422" s="127">
        <f t="shared" si="9"/>
        <v>787.92</v>
      </c>
    </row>
    <row r="423" spans="2:11" x14ac:dyDescent="0.3">
      <c r="B423" s="306" t="s">
        <v>1703</v>
      </c>
      <c r="C423" s="322"/>
      <c r="D423" s="319"/>
      <c r="E423" s="205" t="s">
        <v>875</v>
      </c>
      <c r="F423" s="29" t="str">
        <f>IFERROR(VLOOKUP(E423,'Inventaire des produits'!$B$4:$K$1001,2,0),"")</f>
        <v>TRIPOD PIZZA EN PLASTIQUE</v>
      </c>
      <c r="G423" s="212">
        <v>1000</v>
      </c>
      <c r="H423" s="30">
        <f>IFERROR(VLOOKUP(E423,'Inventaire des produits'!$B$4:$K$1001,8,0),"")</f>
        <v>0.32</v>
      </c>
      <c r="I423" s="32">
        <f t="shared" si="10"/>
        <v>320</v>
      </c>
      <c r="K423" s="127" t="str">
        <f t="shared" si="9"/>
        <v/>
      </c>
    </row>
    <row r="424" spans="2:11" x14ac:dyDescent="0.3">
      <c r="B424" s="306" t="s">
        <v>1703</v>
      </c>
      <c r="C424" s="196">
        <v>45425</v>
      </c>
      <c r="D424" s="195" t="s">
        <v>877</v>
      </c>
      <c r="E424" s="205" t="s">
        <v>418</v>
      </c>
      <c r="F424" s="29" t="str">
        <f>IFERROR(VLOOKUP(E424,'Inventaire des produits'!$B$4:$K$1001,2,0),"")</f>
        <v>ROULEAU DE CAISSE THERMIQUE 70X80</v>
      </c>
      <c r="G424" s="212">
        <v>500</v>
      </c>
      <c r="H424" s="30">
        <f>IFERROR(VLOOKUP(E424,'Inventaire des produits'!$B$4:$K$1001,8,0),"")</f>
        <v>8</v>
      </c>
      <c r="I424" s="32">
        <f t="shared" si="10"/>
        <v>4000</v>
      </c>
      <c r="J424" s="33">
        <v>4000</v>
      </c>
      <c r="K424" s="127">
        <f t="shared" si="9"/>
        <v>4800</v>
      </c>
    </row>
    <row r="425" spans="2:11" x14ac:dyDescent="0.3">
      <c r="B425" s="306" t="s">
        <v>1703</v>
      </c>
      <c r="C425" s="196">
        <v>45429</v>
      </c>
      <c r="D425" s="195" t="s">
        <v>889</v>
      </c>
      <c r="E425" s="205" t="s">
        <v>888</v>
      </c>
      <c r="F425" s="29" t="str">
        <f>IFERROR(VLOOKUP(E425,'Inventaire des produits'!$B$4:$K$1001,2,0),"")</f>
        <v>SAC PN NOIR 35*30 /KG</v>
      </c>
      <c r="G425" s="212">
        <v>28</v>
      </c>
      <c r="H425" s="30">
        <f>IFERROR(VLOOKUP(E425,'Inventaire des produits'!$B$4:$K$1001,8,0),"")</f>
        <v>25</v>
      </c>
      <c r="I425" s="32">
        <f t="shared" si="10"/>
        <v>700</v>
      </c>
      <c r="J425" s="33">
        <v>700</v>
      </c>
      <c r="K425" s="127">
        <f t="shared" si="9"/>
        <v>840</v>
      </c>
    </row>
    <row r="426" spans="2:11" x14ac:dyDescent="0.3">
      <c r="B426" s="306" t="s">
        <v>1703</v>
      </c>
      <c r="C426" s="196">
        <v>45432</v>
      </c>
      <c r="D426" s="195" t="s">
        <v>893</v>
      </c>
      <c r="E426" s="205" t="s">
        <v>875</v>
      </c>
      <c r="F426" s="29" t="str">
        <f>IFERROR(VLOOKUP(E426,'Inventaire des produits'!$B$4:$K$1001,2,0),"")</f>
        <v>TRIPOD PIZZA EN PLASTIQUE</v>
      </c>
      <c r="G426" s="212">
        <v>2000</v>
      </c>
      <c r="H426" s="30">
        <f>IFERROR(VLOOKUP(E426,'Inventaire des produits'!$B$4:$K$1001,8,0),"")</f>
        <v>0.32</v>
      </c>
      <c r="I426" s="32">
        <f t="shared" si="10"/>
        <v>640</v>
      </c>
      <c r="J426" s="33">
        <v>640</v>
      </c>
      <c r="K426" s="127">
        <f t="shared" si="9"/>
        <v>768</v>
      </c>
    </row>
    <row r="427" spans="2:11" x14ac:dyDescent="0.3">
      <c r="B427" s="306" t="s">
        <v>1703</v>
      </c>
      <c r="C427" s="320">
        <v>45398</v>
      </c>
      <c r="D427" s="317" t="s">
        <v>896</v>
      </c>
      <c r="E427" s="205" t="s">
        <v>894</v>
      </c>
      <c r="F427" s="29" t="str">
        <f>IFERROR(VLOOKUP(E427,'Inventaire des produits'!$B$4:$K$1001,2,0),"")</f>
        <v>COQUILLE MEAL BOX 2 COMP BLANC</v>
      </c>
      <c r="G427" s="212">
        <v>5000</v>
      </c>
      <c r="H427" s="30">
        <f>IFERROR(VLOOKUP(E427,'Inventaire des produits'!$B$4:$K$1001,8,0),"")</f>
        <v>0.91666666669999997</v>
      </c>
      <c r="I427" s="32">
        <f t="shared" si="10"/>
        <v>4583.3333334999998</v>
      </c>
      <c r="J427" s="33">
        <v>9233.3330000000005</v>
      </c>
      <c r="K427" s="127">
        <f t="shared" si="9"/>
        <v>11079.999600000001</v>
      </c>
    </row>
    <row r="428" spans="2:11" x14ac:dyDescent="0.3">
      <c r="B428" s="306" t="s">
        <v>1703</v>
      </c>
      <c r="C428" s="321"/>
      <c r="D428" s="318"/>
      <c r="E428" s="205" t="s">
        <v>895</v>
      </c>
      <c r="F428" s="29" t="str">
        <f>IFERROR(VLOOKUP(E428,'Inventaire des produits'!$B$4:$K$1001,2,0),"")</f>
        <v>ROULEAU ALUMINIUM GOLDEN 200M</v>
      </c>
      <c r="G428" s="212">
        <v>60</v>
      </c>
      <c r="H428" s="30">
        <f>IFERROR(VLOOKUP(E428,'Inventaire des produits'!$B$4:$K$1001,8,0),"")</f>
        <v>57.5</v>
      </c>
      <c r="I428" s="32">
        <f t="shared" si="10"/>
        <v>3450</v>
      </c>
      <c r="K428" s="127" t="str">
        <f t="shared" si="9"/>
        <v/>
      </c>
    </row>
    <row r="429" spans="2:11" x14ac:dyDescent="0.3">
      <c r="B429" s="306" t="s">
        <v>1703</v>
      </c>
      <c r="C429" s="322"/>
      <c r="D429" s="319"/>
      <c r="E429" s="205" t="s">
        <v>387</v>
      </c>
      <c r="F429" s="29" t="str">
        <f>IFERROR(VLOOKUP(E429,'Inventaire des produits'!$B$4:$K$1001,2,0),"")</f>
        <v>GANT VINYL EXTRA PREMIUM GLOVE LARGE</v>
      </c>
      <c r="G429" s="212">
        <v>60</v>
      </c>
      <c r="H429" s="30">
        <f>IFERROR(VLOOKUP(E429,'Inventaire des produits'!$B$4:$K$1001,8,0),"")</f>
        <v>20</v>
      </c>
      <c r="I429" s="32">
        <f t="shared" si="10"/>
        <v>1200</v>
      </c>
      <c r="K429" s="127" t="str">
        <f t="shared" si="9"/>
        <v/>
      </c>
    </row>
    <row r="430" spans="2:11" x14ac:dyDescent="0.3">
      <c r="B430" s="306" t="s">
        <v>1703</v>
      </c>
      <c r="C430" s="196">
        <v>45426</v>
      </c>
      <c r="D430" s="195" t="s">
        <v>897</v>
      </c>
      <c r="E430" s="205" t="s">
        <v>619</v>
      </c>
      <c r="F430" s="29" t="str">
        <f>IFERROR(VLOOKUP(E430,'Inventaire des produits'!$B$4:$K$1001,2,0),"")</f>
        <v>POT DE SAUCE 1OZ 30ML HP</v>
      </c>
      <c r="G430" s="212">
        <v>50000</v>
      </c>
      <c r="H430" s="30">
        <f>IFERROR(VLOOKUP(E430,'Inventaire des produits'!$B$4:$K$1001,8,0),"")</f>
        <v>0.13450000000000001</v>
      </c>
      <c r="I430" s="32">
        <f t="shared" si="10"/>
        <v>6725</v>
      </c>
      <c r="J430" s="33">
        <v>6725</v>
      </c>
      <c r="K430" s="127">
        <f t="shared" si="9"/>
        <v>8070</v>
      </c>
    </row>
    <row r="431" spans="2:11" x14ac:dyDescent="0.3">
      <c r="B431" s="306" t="s">
        <v>1703</v>
      </c>
      <c r="C431" s="320">
        <v>45427</v>
      </c>
      <c r="D431" s="317" t="s">
        <v>912</v>
      </c>
      <c r="E431" s="205" t="s">
        <v>905</v>
      </c>
      <c r="F431" s="29" t="str">
        <f>IFERROR(VLOOKUP(E431,'Inventaire des produits'!$B$4:$K$1001,2,0),"")</f>
        <v>GOBLET 14OZ EN PLAST TRANS SMART + CV PLAT</v>
      </c>
      <c r="G431" s="212">
        <v>3000</v>
      </c>
      <c r="H431" s="30">
        <f>IFERROR(VLOOKUP(E431,'Inventaire des produits'!$B$4:$K$1001,8,0),"")</f>
        <v>0.44166875002500006</v>
      </c>
      <c r="I431" s="32">
        <f t="shared" si="10"/>
        <v>1325.0062500750003</v>
      </c>
      <c r="J431" s="33">
        <v>5621.6940000000004</v>
      </c>
      <c r="K431" s="127">
        <f t="shared" si="9"/>
        <v>6746.0328</v>
      </c>
    </row>
    <row r="432" spans="2:11" x14ac:dyDescent="0.3">
      <c r="B432" s="306" t="s">
        <v>1703</v>
      </c>
      <c r="C432" s="321"/>
      <c r="D432" s="318"/>
      <c r="E432" s="205" t="s">
        <v>907</v>
      </c>
      <c r="F432" s="29" t="str">
        <f>IFERROR(VLOOKUP(E432,'Inventaire des produits'!$B$4:$K$1001,2,0),"")</f>
        <v>GOBLET 4OZ EN CARTON BONNE APPETIT SANS CVL</v>
      </c>
      <c r="G432" s="212">
        <v>12000</v>
      </c>
      <c r="H432" s="30">
        <f>IFERROR(VLOOKUP(E432,'Inventaire des produits'!$B$4:$K$1001,8,0),"")</f>
        <v>8.3750000024999993E-2</v>
      </c>
      <c r="I432" s="32">
        <f t="shared" si="10"/>
        <v>1005.0000002999999</v>
      </c>
      <c r="K432" s="127" t="str">
        <f t="shared" si="9"/>
        <v/>
      </c>
    </row>
    <row r="433" spans="2:11" x14ac:dyDescent="0.3">
      <c r="B433" s="306" t="s">
        <v>1703</v>
      </c>
      <c r="C433" s="321"/>
      <c r="D433" s="318"/>
      <c r="E433" s="205" t="s">
        <v>909</v>
      </c>
      <c r="F433" s="29" t="str">
        <f>IFERROR(VLOOKUP(E433,'Inventaire des produits'!$B$4:$K$1001,2,0),"")</f>
        <v>CVL GOBLET 4OZ NOIR BON APPETIT</v>
      </c>
      <c r="G433" s="212">
        <v>12000</v>
      </c>
      <c r="H433" s="30">
        <f>IFERROR(VLOOKUP(E433,'Inventaire des produits'!$B$4:$K$1001,8,0),"")</f>
        <v>7.5000000000000011E-2</v>
      </c>
      <c r="I433" s="32">
        <f t="shared" si="10"/>
        <v>900.00000000000011</v>
      </c>
      <c r="K433" s="127" t="str">
        <f t="shared" si="9"/>
        <v/>
      </c>
    </row>
    <row r="434" spans="2:11" x14ac:dyDescent="0.3">
      <c r="B434" s="306" t="s">
        <v>1703</v>
      </c>
      <c r="C434" s="321"/>
      <c r="D434" s="318"/>
      <c r="E434" s="205" t="s">
        <v>910</v>
      </c>
      <c r="F434" s="29" t="str">
        <f>IFERROR(VLOOKUP(E434,'Inventaire des produits'!$B$4:$K$1001,2,0),"")</f>
        <v>BOITE PIZZA N°24 BON APPETIT FRESH/50</v>
      </c>
      <c r="G434" s="212">
        <v>500</v>
      </c>
      <c r="H434" s="30">
        <f>IFERROR(VLOOKUP(E434,'Inventaire des produits'!$B$4:$K$1001,8,0),"")</f>
        <v>0.88337499997500002</v>
      </c>
      <c r="I434" s="32">
        <f t="shared" si="10"/>
        <v>441.68749998750002</v>
      </c>
      <c r="K434" s="127" t="str">
        <f t="shared" si="9"/>
        <v/>
      </c>
    </row>
    <row r="435" spans="2:11" x14ac:dyDescent="0.3">
      <c r="B435" s="306" t="s">
        <v>1703</v>
      </c>
      <c r="C435" s="322"/>
      <c r="D435" s="319"/>
      <c r="E435" s="205" t="s">
        <v>911</v>
      </c>
      <c r="F435" s="29" t="str">
        <f>IFERROR(VLOOKUP(E435,'Inventaire des produits'!$B$4:$K$1001,2,0),"")</f>
        <v>BARQUETTE ALUMINIUM RECT 1200ML AVEC CVL</v>
      </c>
      <c r="G435" s="212">
        <v>2000</v>
      </c>
      <c r="H435" s="30">
        <f>IFERROR(VLOOKUP(E435,'Inventaire des produits'!$B$4:$K$1001,8,0),"")</f>
        <v>0.97499800000000003</v>
      </c>
      <c r="I435" s="32">
        <f t="shared" si="10"/>
        <v>1949.9960000000001</v>
      </c>
      <c r="K435" s="127" t="str">
        <f t="shared" si="9"/>
        <v/>
      </c>
    </row>
    <row r="436" spans="2:11" x14ac:dyDescent="0.3">
      <c r="B436" s="306" t="s">
        <v>1703</v>
      </c>
      <c r="C436" s="196">
        <v>45300</v>
      </c>
      <c r="D436" s="195" t="s">
        <v>919</v>
      </c>
      <c r="E436" s="205" t="s">
        <v>918</v>
      </c>
      <c r="F436" s="29" t="str">
        <f>IFERROR(VLOOKUP(E436,'Inventaire des produits'!$B$4:$K$1001,2,0),"")</f>
        <v>FILM ETIRABLE VIOLET 290mm kg</v>
      </c>
      <c r="G436" s="212">
        <v>333.33</v>
      </c>
      <c r="H436" s="30">
        <f>IFERROR(VLOOKUP(E436,'Inventaire des produits'!$B$4:$K$1001,8,0),"")</f>
        <v>25</v>
      </c>
      <c r="I436" s="32">
        <f t="shared" si="10"/>
        <v>8333.25</v>
      </c>
      <c r="J436" s="33">
        <v>8333.25</v>
      </c>
      <c r="K436" s="127">
        <f t="shared" si="9"/>
        <v>9999.9</v>
      </c>
    </row>
    <row r="437" spans="2:11" x14ac:dyDescent="0.3">
      <c r="B437" s="306" t="s">
        <v>1703</v>
      </c>
      <c r="C437" s="320">
        <v>45443</v>
      </c>
      <c r="D437" s="317" t="s">
        <v>925</v>
      </c>
      <c r="E437" s="205" t="s">
        <v>922</v>
      </c>
      <c r="F437" s="29" t="str">
        <f>IFERROR(VLOOKUP(E437,'Inventaire des produits'!$B$4:$K$1001,2,0),"")</f>
        <v>POT DE SAUCE 1OZ SANS CVL TRANSPARENT</v>
      </c>
      <c r="G437" s="212">
        <v>75000</v>
      </c>
      <c r="H437" s="30">
        <f>IFERROR(VLOOKUP(E437,'Inventaire des produits'!$B$4:$K$1001,8,0),"")</f>
        <v>0.1014</v>
      </c>
      <c r="I437" s="32">
        <f t="shared" si="10"/>
        <v>7605</v>
      </c>
      <c r="J437" s="33">
        <v>11100</v>
      </c>
      <c r="K437" s="127">
        <f t="shared" si="9"/>
        <v>13320</v>
      </c>
    </row>
    <row r="438" spans="2:11" x14ac:dyDescent="0.3">
      <c r="B438" s="306" t="s">
        <v>1703</v>
      </c>
      <c r="C438" s="322"/>
      <c r="D438" s="319"/>
      <c r="E438" s="205" t="s">
        <v>923</v>
      </c>
      <c r="F438" s="29" t="str">
        <f>IFERROR(VLOOKUP(E438,'Inventaire des produits'!$B$4:$K$1001,2,0),"")</f>
        <v>CVL DE POT DE SAUCE NOIR/TRANS 1OZ</v>
      </c>
      <c r="G438" s="212">
        <v>75000</v>
      </c>
      <c r="H438" s="30">
        <f>IFERROR(VLOOKUP(E438,'Inventaire des produits'!$B$4:$K$1001,8,0),"")</f>
        <v>4.6600000000000003E-2</v>
      </c>
      <c r="I438" s="32">
        <f t="shared" si="10"/>
        <v>3495</v>
      </c>
      <c r="K438" s="127" t="str">
        <f t="shared" si="9"/>
        <v/>
      </c>
    </row>
    <row r="439" spans="2:11" x14ac:dyDescent="0.3">
      <c r="B439" s="306" t="s">
        <v>1703</v>
      </c>
      <c r="C439" s="196">
        <v>45443</v>
      </c>
      <c r="D439" s="195" t="s">
        <v>928</v>
      </c>
      <c r="E439" s="205" t="s">
        <v>927</v>
      </c>
      <c r="F439" s="29" t="str">
        <f>IFERROR(VLOOKUP(E439,'Inventaire des produits'!$B$4:$K$1001,2,0),"")</f>
        <v>GOBLET 14OZ TRANS SMART + CVL BB</v>
      </c>
      <c r="G439" s="212">
        <v>5000</v>
      </c>
      <c r="H439" s="30">
        <f>IFERROR(VLOOKUP(E439,'Inventaire des produits'!$B$4:$K$1001,8,0),"")</f>
        <v>0.5</v>
      </c>
      <c r="I439" s="32">
        <f t="shared" si="10"/>
        <v>2500</v>
      </c>
      <c r="J439" s="33">
        <v>2500</v>
      </c>
      <c r="K439" s="127">
        <f t="shared" si="9"/>
        <v>3000</v>
      </c>
    </row>
    <row r="440" spans="2:11" x14ac:dyDescent="0.3">
      <c r="B440" s="306" t="s">
        <v>1703</v>
      </c>
      <c r="C440" s="196">
        <v>45442</v>
      </c>
      <c r="D440" s="195" t="s">
        <v>930</v>
      </c>
      <c r="E440" s="205" t="s">
        <v>929</v>
      </c>
      <c r="F440" s="29" t="str">
        <f>IFERROR(VLOOKUP(E440,'Inventaire des produits'!$B$4:$K$1001,2,0),"")</f>
        <v xml:space="preserve">SERVIETTE DE TABLE </v>
      </c>
      <c r="G440" s="212">
        <v>2800</v>
      </c>
      <c r="H440" s="30">
        <f>IFERROR(VLOOKUP(E440,'Inventaire des produits'!$B$4:$K$1001,8,0),"")</f>
        <v>2.9169999999999998</v>
      </c>
      <c r="I440" s="32">
        <f t="shared" si="10"/>
        <v>8167.5999999999995</v>
      </c>
      <c r="J440" s="33">
        <v>8167.5999999999995</v>
      </c>
      <c r="K440" s="127">
        <f t="shared" si="9"/>
        <v>9801.119999999999</v>
      </c>
    </row>
    <row r="441" spans="2:11" x14ac:dyDescent="0.3">
      <c r="B441" s="306" t="s">
        <v>1703</v>
      </c>
      <c r="C441" s="196">
        <v>45440</v>
      </c>
      <c r="D441" s="195" t="s">
        <v>951</v>
      </c>
      <c r="E441" s="207" t="s">
        <v>950</v>
      </c>
      <c r="F441" s="29" t="str">
        <f>IFERROR(VLOOKUP(E441,'Inventaire des produits'!$B$4:$K$1001,2,0),"")</f>
        <v>BARQUETTE TRAITEUR 500CC MICRON-ONDABLE TRANS</v>
      </c>
      <c r="G441" s="212">
        <v>750</v>
      </c>
      <c r="H441" s="30">
        <f>IFERROR(VLOOKUP(E441,'Inventaire des produits'!$B$4:$K$1001,8,0),"")</f>
        <v>1.0166666666666666</v>
      </c>
      <c r="I441" s="32">
        <f t="shared" si="10"/>
        <v>762.5</v>
      </c>
      <c r="J441" s="33">
        <v>762.5</v>
      </c>
      <c r="K441" s="127">
        <f t="shared" si="9"/>
        <v>915</v>
      </c>
    </row>
    <row r="442" spans="2:11" x14ac:dyDescent="0.3">
      <c r="B442" s="306" t="s">
        <v>1703</v>
      </c>
      <c r="C442" s="196">
        <v>45428</v>
      </c>
      <c r="D442" s="195" t="s">
        <v>952</v>
      </c>
      <c r="E442" s="207" t="s">
        <v>953</v>
      </c>
      <c r="F442" s="29" t="str">
        <f>IFERROR(VLOOKUP(E442,'Inventaire des produits'!$B$4:$K$1001,2,0),"")</f>
        <v xml:space="preserve">BARQUETTE MICRON ONDABLE 3 COMP </v>
      </c>
      <c r="G442" s="212">
        <v>600</v>
      </c>
      <c r="H442" s="30">
        <f>IFERROR(VLOOKUP(E442,'Inventaire des produits'!$B$4:$K$1001,8,0),"")</f>
        <v>1.5833333333333366</v>
      </c>
      <c r="I442" s="32">
        <f t="shared" si="10"/>
        <v>950.00000000000193</v>
      </c>
      <c r="J442" s="33">
        <v>950</v>
      </c>
      <c r="K442" s="127">
        <f t="shared" si="9"/>
        <v>1140</v>
      </c>
    </row>
    <row r="443" spans="2:11" x14ac:dyDescent="0.3">
      <c r="B443" s="306" t="s">
        <v>1703</v>
      </c>
      <c r="C443" s="320">
        <v>45427</v>
      </c>
      <c r="D443" s="317" t="s">
        <v>959</v>
      </c>
      <c r="E443" s="207" t="s">
        <v>955</v>
      </c>
      <c r="F443" s="29" t="str">
        <f>IFERROR(VLOOKUP(E443,'Inventaire des produits'!$B$4:$K$1001,2,0),"")</f>
        <v>BOX NOUILLE ET PATE 32OZ BLANC</v>
      </c>
      <c r="G443" s="212">
        <v>1500</v>
      </c>
      <c r="H443" s="30">
        <f>IFERROR(VLOOKUP(E443,'Inventaire des produits'!$B$4:$K$1001,8,0),"")</f>
        <v>1.0462499999999999</v>
      </c>
      <c r="I443" s="32">
        <f t="shared" si="10"/>
        <v>1569.3749999999998</v>
      </c>
      <c r="J443" s="33">
        <v>3939.41</v>
      </c>
      <c r="K443" s="127">
        <f t="shared" si="9"/>
        <v>4727.2919999999995</v>
      </c>
    </row>
    <row r="444" spans="2:11" x14ac:dyDescent="0.3">
      <c r="B444" s="306" t="s">
        <v>1703</v>
      </c>
      <c r="C444" s="321"/>
      <c r="D444" s="318"/>
      <c r="E444" s="207" t="s">
        <v>957</v>
      </c>
      <c r="F444" s="29" t="str">
        <f>IFERROR(VLOOKUP(E444,'Inventaire des produits'!$B$4:$K$1001,2,0),"")</f>
        <v>TIGE SUSHI BAMBOU ENVELOPPE</v>
      </c>
      <c r="G444" s="212">
        <v>6000</v>
      </c>
      <c r="H444" s="30">
        <f>IFERROR(VLOOKUP(E444,'Inventaire des produits'!$B$4:$K$1001,8,0),"")</f>
        <v>0.24986666666666699</v>
      </c>
      <c r="I444" s="32">
        <f t="shared" si="10"/>
        <v>1499.2000000000019</v>
      </c>
      <c r="K444" s="127" t="str">
        <f t="shared" si="9"/>
        <v/>
      </c>
    </row>
    <row r="445" spans="2:11" x14ac:dyDescent="0.3">
      <c r="B445" s="306" t="s">
        <v>1703</v>
      </c>
      <c r="C445" s="322"/>
      <c r="D445" s="319"/>
      <c r="E445" s="208" t="s">
        <v>958</v>
      </c>
      <c r="F445" s="29" t="str">
        <f>IFERROR(VLOOKUP(E445,'Inventaire des produits'!$B$4:$K$1001,2,0),"")</f>
        <v xml:space="preserve">BOL SOUP 16OZ MICRON ONDABLE </v>
      </c>
      <c r="G445" s="212">
        <v>1000</v>
      </c>
      <c r="H445" s="30">
        <f>IFERROR(VLOOKUP(E445,'Inventaire des produits'!$B$4:$K$1001,8,0),"")</f>
        <v>0.87083333333333335</v>
      </c>
      <c r="I445" s="32">
        <f t="shared" si="10"/>
        <v>870.83333333333337</v>
      </c>
      <c r="K445" s="127" t="str">
        <f t="shared" si="9"/>
        <v/>
      </c>
    </row>
    <row r="446" spans="2:11" x14ac:dyDescent="0.3">
      <c r="B446" s="306" t="s">
        <v>1703</v>
      </c>
      <c r="C446" s="320">
        <v>45420</v>
      </c>
      <c r="D446" s="317" t="s">
        <v>963</v>
      </c>
      <c r="E446" s="207" t="s">
        <v>960</v>
      </c>
      <c r="F446" s="29" t="str">
        <f>IFERROR(VLOOKUP(E446,'Inventaire des produits'!$B$4:$K$1001,2,0),"")</f>
        <v>BOITE REPAS KRAFT BLANC</v>
      </c>
      <c r="G446" s="212">
        <v>600</v>
      </c>
      <c r="H446" s="30">
        <f>IFERROR(VLOOKUP(E446,'Inventaire des produits'!$B$4:$K$1001,8,0),"")</f>
        <v>0.66666666666666696</v>
      </c>
      <c r="I446" s="32">
        <f t="shared" si="10"/>
        <v>400.00000000000017</v>
      </c>
      <c r="J446" s="33">
        <v>723.33330000000001</v>
      </c>
      <c r="K446" s="127">
        <f t="shared" ref="K446:K509" si="11">IF(J446="","",J446*1.2)</f>
        <v>867.99995999999999</v>
      </c>
    </row>
    <row r="447" spans="2:11" x14ac:dyDescent="0.3">
      <c r="B447" s="306" t="s">
        <v>1703</v>
      </c>
      <c r="C447" s="322"/>
      <c r="D447" s="319"/>
      <c r="E447" s="207" t="s">
        <v>962</v>
      </c>
      <c r="F447" s="29" t="str">
        <f>IFERROR(VLOOKUP(E447,'Inventaire des produits'!$B$4:$K$1001,2,0),"")</f>
        <v>BOITE BURGER KRAFT BONNE APPETIT 11,5*11,5*7 CARTON</v>
      </c>
      <c r="G447" s="212">
        <v>400</v>
      </c>
      <c r="H447" s="30">
        <f>IFERROR(VLOOKUP(E447,'Inventaire des produits'!$B$4:$K$1001,8,0),"")</f>
        <v>0.80833333333333302</v>
      </c>
      <c r="I447" s="32">
        <f t="shared" si="10"/>
        <v>323.3333333333332</v>
      </c>
      <c r="K447" s="127" t="str">
        <f t="shared" si="11"/>
        <v/>
      </c>
    </row>
    <row r="448" spans="2:11" x14ac:dyDescent="0.3">
      <c r="B448" s="306" t="s">
        <v>1703</v>
      </c>
      <c r="C448" s="196">
        <v>45414</v>
      </c>
      <c r="D448" s="195" t="s">
        <v>966</v>
      </c>
      <c r="E448" s="208" t="s">
        <v>965</v>
      </c>
      <c r="F448" s="29" t="str">
        <f>IFERROR(VLOOKUP(E448,'Inventaire des produits'!$B$4:$K$1001,2,0),"")</f>
        <v>BOL SALADE ET CVL KRAFT 32OZ</v>
      </c>
      <c r="G448" s="212">
        <v>300</v>
      </c>
      <c r="H448" s="30">
        <f>IFERROR(VLOOKUP(E448,'Inventaire des produits'!$B$4:$K$1001,8,0),"")</f>
        <v>1.82125</v>
      </c>
      <c r="I448" s="32">
        <f t="shared" si="10"/>
        <v>546.375</v>
      </c>
      <c r="J448" s="33">
        <v>546.375</v>
      </c>
      <c r="K448" s="127">
        <f t="shared" si="11"/>
        <v>655.65</v>
      </c>
    </row>
    <row r="449" spans="2:11" x14ac:dyDescent="0.3">
      <c r="B449" s="306" t="s">
        <v>1703</v>
      </c>
      <c r="C449" s="196">
        <v>45413</v>
      </c>
      <c r="D449" s="195" t="s">
        <v>968</v>
      </c>
      <c r="E449" s="208" t="s">
        <v>967</v>
      </c>
      <c r="F449" s="29" t="str">
        <f>IFERROR(VLOOKUP(E449,'Inventaire des produits'!$B$4:$K$1001,2,0),"")</f>
        <v xml:space="preserve">BARQUETTE MICRON ONDABLE 3 COMP </v>
      </c>
      <c r="G449" s="212">
        <v>300</v>
      </c>
      <c r="H449" s="30">
        <f>IFERROR(VLOOKUP(E449,'Inventaire des produits'!$B$4:$K$1001,8,0),"")</f>
        <v>1.5</v>
      </c>
      <c r="I449" s="32">
        <f t="shared" si="10"/>
        <v>450</v>
      </c>
      <c r="J449" s="33">
        <v>450</v>
      </c>
      <c r="K449" s="127">
        <f t="shared" si="11"/>
        <v>540</v>
      </c>
    </row>
    <row r="450" spans="2:11" x14ac:dyDescent="0.3">
      <c r="B450" s="306" t="s">
        <v>1703</v>
      </c>
      <c r="C450" s="196">
        <v>45412</v>
      </c>
      <c r="D450" s="195" t="s">
        <v>969</v>
      </c>
      <c r="E450" s="207" t="s">
        <v>690</v>
      </c>
      <c r="F450" s="29" t="str">
        <f>IFERROR(VLOOKUP(E450,'Inventaire des produits'!$B$4:$K$1001,2,0),"")</f>
        <v>POT DE SAUCE 1OZ ET CVL</v>
      </c>
      <c r="G450" s="212">
        <v>1000</v>
      </c>
      <c r="H450" s="30">
        <f>IFERROR(VLOOKUP(E450,'Inventaire des produits'!$B$4:$K$1001,8,0),"")</f>
        <v>0.15833333329999999</v>
      </c>
      <c r="I450" s="32">
        <f t="shared" si="10"/>
        <v>158.33333329999999</v>
      </c>
      <c r="J450" s="33">
        <v>158.33333329999999</v>
      </c>
      <c r="K450" s="127">
        <f t="shared" si="11"/>
        <v>189.99999996</v>
      </c>
    </row>
    <row r="451" spans="2:11" x14ac:dyDescent="0.3">
      <c r="B451" s="306" t="s">
        <v>1703</v>
      </c>
      <c r="C451" s="196">
        <v>45454</v>
      </c>
      <c r="D451" s="195" t="s">
        <v>975</v>
      </c>
      <c r="E451" s="208" t="s">
        <v>737</v>
      </c>
      <c r="F451" s="29" t="str">
        <f>IFERROR(VLOOKUP(E451,'Inventaire des produits'!$B$4:$K$1001,2,0),"")</f>
        <v>BOUTEILLE PLASTIQUE TRANS 330ML AVEC BOUCHON</v>
      </c>
      <c r="G451" s="212">
        <v>816</v>
      </c>
      <c r="H451" s="30">
        <f>IFERROR(VLOOKUP(E451,'Inventaire des produits'!$B$4:$K$1001,8,0),"")</f>
        <v>1.65</v>
      </c>
      <c r="I451" s="32">
        <f t="shared" si="10"/>
        <v>1346.3999999999999</v>
      </c>
      <c r="J451" s="33">
        <v>1346.3999999999999</v>
      </c>
      <c r="K451" s="127">
        <f t="shared" si="11"/>
        <v>1615.6799999999998</v>
      </c>
    </row>
    <row r="452" spans="2:11" x14ac:dyDescent="0.3">
      <c r="B452" s="306" t="s">
        <v>1703</v>
      </c>
      <c r="C452" s="320">
        <v>45457</v>
      </c>
      <c r="D452" s="317" t="s">
        <v>981</v>
      </c>
      <c r="E452" s="208" t="s">
        <v>979</v>
      </c>
      <c r="F452" s="29" t="str">
        <f>IFERROR(VLOOKUP(E452,'Inventaire des produits'!$B$4:$K$1001,2,0),"")</f>
        <v>ROULEAU ALUMINIUM 200</v>
      </c>
      <c r="G452" s="212">
        <v>273</v>
      </c>
      <c r="H452" s="30">
        <f>IFERROR(VLOOKUP(E452,'Inventaire des produits'!$B$4:$K$1001,8,0),"")</f>
        <v>48.23</v>
      </c>
      <c r="I452" s="32">
        <f t="shared" ref="I452:I515" si="12">IF(OR(G452="",H452=""),"",G452*H452)</f>
        <v>13166.789999999999</v>
      </c>
      <c r="J452" s="33">
        <v>17541.79</v>
      </c>
      <c r="K452" s="127">
        <f t="shared" si="11"/>
        <v>21050.148000000001</v>
      </c>
    </row>
    <row r="453" spans="2:11" x14ac:dyDescent="0.3">
      <c r="B453" s="306" t="s">
        <v>1703</v>
      </c>
      <c r="C453" s="322"/>
      <c r="D453" s="319"/>
      <c r="E453" s="208" t="s">
        <v>980</v>
      </c>
      <c r="F453" s="29" t="str">
        <f>IFERROR(VLOOKUP(E453,'Inventaire des produits'!$B$4:$K$1001,2,0),"")</f>
        <v>POT DE SAUCE 2OZ NOIRE</v>
      </c>
      <c r="G453" s="212">
        <v>25000</v>
      </c>
      <c r="H453" s="30">
        <f>IFERROR(VLOOKUP(E453,'Inventaire des produits'!$B$4:$K$1001,8,0),"")</f>
        <v>0.17499999999999999</v>
      </c>
      <c r="I453" s="32">
        <f t="shared" si="12"/>
        <v>4375</v>
      </c>
      <c r="K453" s="127" t="str">
        <f t="shared" si="11"/>
        <v/>
      </c>
    </row>
    <row r="454" spans="2:11" x14ac:dyDescent="0.3">
      <c r="B454" s="306" t="s">
        <v>1703</v>
      </c>
      <c r="C454" s="196">
        <v>45448</v>
      </c>
      <c r="D454" s="195" t="s">
        <v>983</v>
      </c>
      <c r="E454" s="208" t="s">
        <v>982</v>
      </c>
      <c r="F454" s="29" t="str">
        <f>IFERROR(VLOOKUP(E454,'Inventaire des produits'!$B$4:$K$1001,2,0),"")</f>
        <v>GANT VINYL NOIR EXTRA PREMIUM GLOVE MEDIUM</v>
      </c>
      <c r="G454" s="212">
        <v>150</v>
      </c>
      <c r="H454" s="30">
        <f>IFERROR(VLOOKUP(E454,'Inventaire des produits'!$B$4:$K$1001,8,0),"")</f>
        <v>22.5</v>
      </c>
      <c r="I454" s="32">
        <f t="shared" si="12"/>
        <v>3375</v>
      </c>
      <c r="J454" s="33">
        <v>3375</v>
      </c>
      <c r="K454" s="127">
        <f t="shared" si="11"/>
        <v>4050</v>
      </c>
    </row>
    <row r="455" spans="2:11" x14ac:dyDescent="0.3">
      <c r="B455" s="306" t="s">
        <v>1703</v>
      </c>
      <c r="C455" s="320">
        <v>45455</v>
      </c>
      <c r="D455" s="317" t="s">
        <v>984</v>
      </c>
      <c r="E455" s="208" t="s">
        <v>922</v>
      </c>
      <c r="F455" s="29" t="str">
        <f>IFERROR(VLOOKUP(E455,'Inventaire des produits'!$B$4:$K$1001,2,0),"")</f>
        <v>POT DE SAUCE 1OZ SANS CVL TRANSPARENT</v>
      </c>
      <c r="G455" s="212">
        <v>14000</v>
      </c>
      <c r="H455" s="30">
        <f>IFERROR(VLOOKUP(E455,'Inventaire des produits'!$B$4:$K$1001,8,0),"")</f>
        <v>0.1014</v>
      </c>
      <c r="I455" s="32">
        <f t="shared" si="12"/>
        <v>1419.6000000000001</v>
      </c>
      <c r="J455" s="33">
        <v>2072</v>
      </c>
      <c r="K455" s="127">
        <f t="shared" si="11"/>
        <v>2486.4</v>
      </c>
    </row>
    <row r="456" spans="2:11" x14ac:dyDescent="0.3">
      <c r="B456" s="306" t="s">
        <v>1703</v>
      </c>
      <c r="C456" s="322"/>
      <c r="D456" s="319"/>
      <c r="E456" s="208" t="s">
        <v>923</v>
      </c>
      <c r="F456" s="29" t="str">
        <f>IFERROR(VLOOKUP(E456,'Inventaire des produits'!$B$4:$K$1001,2,0),"")</f>
        <v>CVL DE POT DE SAUCE NOIR/TRANS 1OZ</v>
      </c>
      <c r="G456" s="212">
        <v>14000</v>
      </c>
      <c r="H456" s="30">
        <f>IFERROR(VLOOKUP(E456,'Inventaire des produits'!$B$4:$K$1001,8,0),"")</f>
        <v>4.6600000000000003E-2</v>
      </c>
      <c r="I456" s="32">
        <f t="shared" si="12"/>
        <v>652.40000000000009</v>
      </c>
      <c r="K456" s="127" t="str">
        <f t="shared" si="11"/>
        <v/>
      </c>
    </row>
    <row r="457" spans="2:11" x14ac:dyDescent="0.3">
      <c r="B457" s="306" t="s">
        <v>1703</v>
      </c>
      <c r="C457" s="196">
        <v>45457</v>
      </c>
      <c r="D457" s="195" t="s">
        <v>986</v>
      </c>
      <c r="E457" s="208" t="s">
        <v>985</v>
      </c>
      <c r="F457" s="29" t="str">
        <f>IFERROR(VLOOKUP(E457,'Inventaire des produits'!$B$4:$K$1001,2,0),"")</f>
        <v>ROULEAU ALUMINIUM SOFTIS 200 ECO</v>
      </c>
      <c r="G457" s="212">
        <v>144</v>
      </c>
      <c r="H457" s="30">
        <f>IFERROR(VLOOKUP(E457,'Inventaire des produits'!$B$4:$K$1001,8,0),"")</f>
        <v>16.910000000000004</v>
      </c>
      <c r="I457" s="32">
        <f t="shared" si="12"/>
        <v>2435.0400000000004</v>
      </c>
      <c r="J457" s="33">
        <v>2435</v>
      </c>
      <c r="K457" s="127">
        <f t="shared" si="11"/>
        <v>2922</v>
      </c>
    </row>
    <row r="458" spans="2:11" x14ac:dyDescent="0.3">
      <c r="B458" s="306" t="s">
        <v>1703</v>
      </c>
      <c r="C458" s="196">
        <v>45419</v>
      </c>
      <c r="D458" s="195" t="s">
        <v>989</v>
      </c>
      <c r="E458" s="208" t="s">
        <v>988</v>
      </c>
      <c r="F458" s="29" t="str">
        <f>IFERROR(VLOOKUP(E458,'Inventaire des produits'!$B$4:$K$1001,2,0),"")</f>
        <v>ROULEAU ALUMINIUM DU CHEF PRO 300</v>
      </c>
      <c r="G458" s="212">
        <v>90</v>
      </c>
      <c r="H458" s="30">
        <f>IFERROR(VLOOKUP(E458,'Inventaire des produits'!$B$4:$K$1001,8,0),"")</f>
        <v>88.52</v>
      </c>
      <c r="I458" s="32">
        <f t="shared" si="12"/>
        <v>7966.7999999999993</v>
      </c>
      <c r="J458" s="33">
        <v>7966.7999999999993</v>
      </c>
      <c r="K458" s="127">
        <f t="shared" si="11"/>
        <v>9560.159999999998</v>
      </c>
    </row>
    <row r="459" spans="2:11" x14ac:dyDescent="0.3">
      <c r="B459" s="306" t="s">
        <v>1703</v>
      </c>
      <c r="C459" s="320">
        <v>45454</v>
      </c>
      <c r="D459" s="317" t="s">
        <v>993</v>
      </c>
      <c r="E459" s="208" t="s">
        <v>990</v>
      </c>
      <c r="F459" s="29" t="str">
        <f>IFERROR(VLOOKUP(E459,'Inventaire des produits'!$B$4:$K$1001,2,0),"")</f>
        <v>BARQUETTE ALUMINIUM 420</v>
      </c>
      <c r="G459" s="212">
        <v>16000</v>
      </c>
      <c r="H459" s="30">
        <f>IFERROR(VLOOKUP(E459,'Inventaire des produits'!$B$4:$K$1001,8,0),"")</f>
        <v>0.3</v>
      </c>
      <c r="I459" s="32">
        <f t="shared" si="12"/>
        <v>4800</v>
      </c>
      <c r="J459" s="33">
        <v>12675.63</v>
      </c>
      <c r="K459" s="127">
        <f t="shared" si="11"/>
        <v>15210.755999999998</v>
      </c>
    </row>
    <row r="460" spans="2:11" x14ac:dyDescent="0.3">
      <c r="B460" s="306" t="s">
        <v>1703</v>
      </c>
      <c r="C460" s="322"/>
      <c r="D460" s="319"/>
      <c r="E460" s="208" t="s">
        <v>992</v>
      </c>
      <c r="F460" s="29" t="str">
        <f>IFERROR(VLOOKUP(E460,'Inventaire des produits'!$B$4:$K$1001,2,0),"")</f>
        <v>ROULEAU ALUMINIUM 200 PROCLEAN BLEU</v>
      </c>
      <c r="G460" s="212">
        <v>162</v>
      </c>
      <c r="H460" s="30">
        <f>IFERROR(VLOOKUP(E460,'Inventaire des produits'!$B$4:$K$1001,8,0),"")</f>
        <v>48.615000000000002</v>
      </c>
      <c r="I460" s="32">
        <f t="shared" si="12"/>
        <v>7875.63</v>
      </c>
      <c r="K460" s="127" t="str">
        <f t="shared" si="11"/>
        <v/>
      </c>
    </row>
    <row r="461" spans="2:11" x14ac:dyDescent="0.3">
      <c r="B461" s="306" t="s">
        <v>1703</v>
      </c>
      <c r="C461" s="196">
        <v>45443</v>
      </c>
      <c r="D461" s="195" t="s">
        <v>995</v>
      </c>
      <c r="E461" s="208" t="s">
        <v>994</v>
      </c>
      <c r="F461" s="29" t="str">
        <f>IFERROR(VLOOKUP(E461,'Inventaire des produits'!$B$4:$K$1001,2,0),"")</f>
        <v>ROULEAU ALUMINIUM EXTRA PACK 200M</v>
      </c>
      <c r="G461" s="212">
        <v>54</v>
      </c>
      <c r="H461" s="30">
        <f>IFERROR(VLOOKUP(E461,'Inventaire des produits'!$B$4:$K$1001,8,0),"")</f>
        <v>47.5</v>
      </c>
      <c r="I461" s="32">
        <f t="shared" si="12"/>
        <v>2565</v>
      </c>
      <c r="J461" s="33">
        <v>2565</v>
      </c>
      <c r="K461" s="127">
        <f t="shared" si="11"/>
        <v>3078</v>
      </c>
    </row>
    <row r="462" spans="2:11" x14ac:dyDescent="0.3">
      <c r="B462" s="306" t="s">
        <v>1703</v>
      </c>
      <c r="C462" s="196">
        <v>45411</v>
      </c>
      <c r="D462" s="195" t="s">
        <v>999</v>
      </c>
      <c r="E462" s="208" t="s">
        <v>690</v>
      </c>
      <c r="F462" s="29" t="str">
        <f>IFERROR(VLOOKUP(E462,'Inventaire des produits'!$B$4:$K$1001,2,0),"")</f>
        <v>POT DE SAUCE 1OZ ET CVL</v>
      </c>
      <c r="G462" s="212">
        <v>1000</v>
      </c>
      <c r="H462" s="30">
        <f>IFERROR(VLOOKUP(E462,'Inventaire des produits'!$B$4:$K$1001,8,0),"")</f>
        <v>0.15833333329999999</v>
      </c>
      <c r="I462" s="32">
        <f t="shared" si="12"/>
        <v>158.33333329999999</v>
      </c>
      <c r="J462" s="33">
        <v>158.33333329999999</v>
      </c>
      <c r="K462" s="127">
        <f t="shared" si="11"/>
        <v>189.99999996</v>
      </c>
    </row>
    <row r="463" spans="2:11" x14ac:dyDescent="0.3">
      <c r="B463" s="306" t="s">
        <v>1703</v>
      </c>
      <c r="C463" s="196">
        <v>45410</v>
      </c>
      <c r="D463" s="195" t="s">
        <v>1000</v>
      </c>
      <c r="E463" s="208" t="s">
        <v>678</v>
      </c>
      <c r="F463" s="29" t="str">
        <f>IFERROR(VLOOKUP(E463,'Inventaire des produits'!$B$4:$K$1001,2,0),"")</f>
        <v>BOL SOUPE/NOUILLE ET CVL 16OZ</v>
      </c>
      <c r="G463" s="212">
        <v>1000</v>
      </c>
      <c r="H463" s="30">
        <f>IFERROR(VLOOKUP(E463,'Inventaire des produits'!$B$4:$K$1001,8,0),"")</f>
        <v>0.79166666669999997</v>
      </c>
      <c r="I463" s="32">
        <f t="shared" si="12"/>
        <v>791.66666669999995</v>
      </c>
      <c r="J463" s="33">
        <v>791.66666669999995</v>
      </c>
      <c r="K463" s="127">
        <f t="shared" si="11"/>
        <v>950.00000003999992</v>
      </c>
    </row>
    <row r="464" spans="2:11" x14ac:dyDescent="0.3">
      <c r="B464" s="306" t="s">
        <v>1703</v>
      </c>
      <c r="C464" s="196">
        <v>45408</v>
      </c>
      <c r="D464" s="195" t="s">
        <v>1002</v>
      </c>
      <c r="E464" s="207" t="s">
        <v>1001</v>
      </c>
      <c r="F464" s="29" t="str">
        <f>IFERROR(VLOOKUP(E464,'Inventaire des produits'!$B$4:$K$1001,2,0),"")</f>
        <v>BARQUETTE SUSHI 216*136 ET CVL CARTON 400PCS</v>
      </c>
      <c r="G464" s="212">
        <v>400</v>
      </c>
      <c r="H464" s="30">
        <f>IFERROR(VLOOKUP(E464,'Inventaire des produits'!$B$4:$K$1001,8,0),"")</f>
        <v>1.0291666666635</v>
      </c>
      <c r="I464" s="32">
        <f t="shared" si="12"/>
        <v>411.66666666539999</v>
      </c>
      <c r="J464" s="33">
        <v>411.66666666539999</v>
      </c>
      <c r="K464" s="127">
        <f t="shared" si="11"/>
        <v>493.99999999847995</v>
      </c>
    </row>
    <row r="465" spans="2:11" x14ac:dyDescent="0.3">
      <c r="B465" s="306" t="s">
        <v>1703</v>
      </c>
      <c r="C465" s="320">
        <v>45402</v>
      </c>
      <c r="D465" s="317" t="s">
        <v>1003</v>
      </c>
      <c r="E465" s="208" t="s">
        <v>677</v>
      </c>
      <c r="F465" s="29" t="str">
        <f>IFERROR(VLOOKUP(E465,'Inventaire des produits'!$B$4:$K$1001,2,0),"")</f>
        <v>BARQUETTE TRAITEUR 750CC MICRON ONDABLE</v>
      </c>
      <c r="G465" s="212">
        <v>2250</v>
      </c>
      <c r="H465" s="30">
        <f>IFERROR(VLOOKUP(E465,'Inventaire des produits'!$B$4:$K$1001,8,0),"")</f>
        <v>1.1479166667</v>
      </c>
      <c r="I465" s="32">
        <f t="shared" si="12"/>
        <v>2582.8125000750001</v>
      </c>
      <c r="J465" s="33">
        <v>2661.9789999999998</v>
      </c>
      <c r="K465" s="127">
        <f t="shared" si="11"/>
        <v>3194.3747999999996</v>
      </c>
    </row>
    <row r="466" spans="2:11" x14ac:dyDescent="0.3">
      <c r="B466" s="306" t="s">
        <v>1703</v>
      </c>
      <c r="C466" s="322"/>
      <c r="D466" s="319"/>
      <c r="E466" s="208" t="s">
        <v>1004</v>
      </c>
      <c r="F466" s="29" t="str">
        <f>IFERROR(VLOOKUP(E466,'Inventaire des produits'!$B$4:$K$1001,2,0),"")</f>
        <v>BARQUETTE SUSHI 160*91 ET CVL</v>
      </c>
      <c r="G466" s="212">
        <v>100</v>
      </c>
      <c r="H466" s="30">
        <f>IFERROR(VLOOKUP(E466,'Inventaire des produits'!$B$4:$K$1001,8,0),"")</f>
        <v>0.79166666669999997</v>
      </c>
      <c r="I466" s="32">
        <f t="shared" si="12"/>
        <v>79.166666669999998</v>
      </c>
      <c r="K466" s="127" t="str">
        <f t="shared" si="11"/>
        <v/>
      </c>
    </row>
    <row r="467" spans="2:11" x14ac:dyDescent="0.3">
      <c r="B467" s="306" t="s">
        <v>1703</v>
      </c>
      <c r="C467" s="196">
        <v>45400</v>
      </c>
      <c r="D467" s="195" t="s">
        <v>1005</v>
      </c>
      <c r="E467" s="209" t="s">
        <v>690</v>
      </c>
      <c r="F467" s="29" t="str">
        <f>IFERROR(VLOOKUP(E467,'Inventaire des produits'!$B$4:$K$1001,2,0),"")</f>
        <v>POT DE SAUCE 1OZ ET CVL</v>
      </c>
      <c r="G467" s="212">
        <v>1000</v>
      </c>
      <c r="H467" s="30">
        <f>IFERROR(VLOOKUP(E467,'Inventaire des produits'!$B$4:$K$1001,8,0),"")</f>
        <v>0.15833333329999999</v>
      </c>
      <c r="I467" s="32">
        <f t="shared" si="12"/>
        <v>158.33333329999999</v>
      </c>
      <c r="J467" s="33">
        <v>158.33333329999999</v>
      </c>
      <c r="K467" s="127">
        <f t="shared" si="11"/>
        <v>189.99999996</v>
      </c>
    </row>
    <row r="468" spans="2:11" x14ac:dyDescent="0.3">
      <c r="B468" s="306" t="s">
        <v>1703</v>
      </c>
      <c r="C468" s="196">
        <v>45399</v>
      </c>
      <c r="D468" s="195" t="s">
        <v>1006</v>
      </c>
      <c r="E468" s="208" t="s">
        <v>678</v>
      </c>
      <c r="F468" s="29" t="str">
        <f>IFERROR(VLOOKUP(E468,'Inventaire des produits'!$B$4:$K$1001,2,0),"")</f>
        <v>BOL SOUPE/NOUILLE ET CVL 16OZ</v>
      </c>
      <c r="G468" s="212">
        <v>1000</v>
      </c>
      <c r="H468" s="30">
        <f>IFERROR(VLOOKUP(E468,'Inventaire des produits'!$B$4:$K$1001,8,0),"")</f>
        <v>0.79166666669999997</v>
      </c>
      <c r="I468" s="32">
        <f t="shared" si="12"/>
        <v>791.66666669999995</v>
      </c>
      <c r="J468" s="33">
        <v>791.66666669999995</v>
      </c>
      <c r="K468" s="127">
        <f t="shared" si="11"/>
        <v>950.00000003999992</v>
      </c>
    </row>
    <row r="469" spans="2:11" x14ac:dyDescent="0.3">
      <c r="B469" s="306" t="s">
        <v>1703</v>
      </c>
      <c r="C469" s="196">
        <v>45458</v>
      </c>
      <c r="D469" s="195" t="s">
        <v>1009</v>
      </c>
      <c r="E469" s="208" t="s">
        <v>1007</v>
      </c>
      <c r="F469" s="29" t="str">
        <f>IFERROR(VLOOKUP(E469,'Inventaire des produits'!$B$4:$K$1001,2,0),"")</f>
        <v>BOITE PIZZA 29*50 SOR</v>
      </c>
      <c r="G469" s="212">
        <v>5</v>
      </c>
      <c r="H469" s="30">
        <f>IFERROR(VLOOKUP(E469,'Inventaire des produits'!$B$4:$K$1001,8,0),"")</f>
        <v>47.5</v>
      </c>
      <c r="I469" s="32">
        <f t="shared" si="12"/>
        <v>237.5</v>
      </c>
      <c r="J469" s="33">
        <v>237.5</v>
      </c>
      <c r="K469" s="127">
        <f t="shared" si="11"/>
        <v>285</v>
      </c>
    </row>
    <row r="470" spans="2:11" x14ac:dyDescent="0.3">
      <c r="B470" s="306" t="s">
        <v>1703</v>
      </c>
      <c r="C470" s="196">
        <v>45445</v>
      </c>
      <c r="D470" s="195" t="s">
        <v>1030</v>
      </c>
      <c r="E470" s="208" t="s">
        <v>869</v>
      </c>
      <c r="F470" s="29" t="str">
        <f>IFERROR(VLOOKUP(E470,'Inventaire des produits'!$B$4:$K$1001,2,0),"")</f>
        <v>PAILLE ENVELOPPEE CODE 100 TRANS</v>
      </c>
      <c r="G470" s="212">
        <v>550</v>
      </c>
      <c r="H470" s="30">
        <f>IFERROR(VLOOKUP(E470,'Inventaire des produits'!$B$4:$K$1001,8,0),"")</f>
        <v>3.9166666659999998</v>
      </c>
      <c r="I470" s="32">
        <f t="shared" si="12"/>
        <v>2154.1666663000001</v>
      </c>
      <c r="J470" s="33">
        <v>2154.1666663000001</v>
      </c>
      <c r="K470" s="127">
        <f t="shared" si="11"/>
        <v>2584.9999995600001</v>
      </c>
    </row>
    <row r="471" spans="2:11" x14ac:dyDescent="0.3">
      <c r="B471" s="306" t="s">
        <v>1703</v>
      </c>
      <c r="C471" s="196">
        <v>45444</v>
      </c>
      <c r="D471" s="195" t="s">
        <v>1031</v>
      </c>
      <c r="E471" s="208" t="s">
        <v>869</v>
      </c>
      <c r="F471" s="29" t="str">
        <f>IFERROR(VLOOKUP(E471,'Inventaire des produits'!$B$4:$K$1001,2,0),"")</f>
        <v>PAILLE ENVELOPPEE CODE 100 TRANS</v>
      </c>
      <c r="G471" s="212">
        <v>550</v>
      </c>
      <c r="H471" s="30">
        <f>IFERROR(VLOOKUP(E471,'Inventaire des produits'!$B$4:$K$1001,8,0),"")</f>
        <v>3.9166666659999998</v>
      </c>
      <c r="I471" s="32">
        <f t="shared" si="12"/>
        <v>2154.1666663000001</v>
      </c>
      <c r="J471" s="33">
        <v>2154.1666663000001</v>
      </c>
      <c r="K471" s="127">
        <f t="shared" si="11"/>
        <v>2584.9999995600001</v>
      </c>
    </row>
    <row r="472" spans="2:11" x14ac:dyDescent="0.3">
      <c r="B472" s="306" t="s">
        <v>1703</v>
      </c>
      <c r="C472" s="320">
        <v>45463</v>
      </c>
      <c r="D472" s="317" t="s">
        <v>1035</v>
      </c>
      <c r="E472" s="208" t="s">
        <v>1033</v>
      </c>
      <c r="F472" s="29" t="str">
        <f>IFERROR(VLOOKUP(E472,'Inventaire des produits'!$B$4:$K$1001,2,0),"")</f>
        <v>FILM ALIMENTAIRE 45CM 1,3KG PET</v>
      </c>
      <c r="G472" s="212">
        <v>117</v>
      </c>
      <c r="H472" s="30">
        <f>IFERROR(VLOOKUP(E472,'Inventaire des produits'!$B$4:$K$1001,8,0),"")</f>
        <v>39.03</v>
      </c>
      <c r="I472" s="32">
        <f t="shared" si="12"/>
        <v>4566.51</v>
      </c>
      <c r="J472" s="33">
        <v>8066.55</v>
      </c>
      <c r="K472" s="127">
        <f t="shared" si="11"/>
        <v>9679.86</v>
      </c>
    </row>
    <row r="473" spans="2:11" x14ac:dyDescent="0.3">
      <c r="B473" s="306" t="s">
        <v>1703</v>
      </c>
      <c r="C473" s="322"/>
      <c r="D473" s="319"/>
      <c r="E473" s="208" t="s">
        <v>1034</v>
      </c>
      <c r="F473" s="29" t="str">
        <f>IFERROR(VLOOKUP(E473,'Inventaire des produits'!$B$4:$K$1001,2,0),"")</f>
        <v>BARQUETTE ALUMINIUM 420</v>
      </c>
      <c r="G473" s="212">
        <v>12000</v>
      </c>
      <c r="H473" s="30">
        <f>IFERROR(VLOOKUP(E473,'Inventaire des produits'!$B$4:$K$1001,8,0),"")</f>
        <v>0.29167000000000004</v>
      </c>
      <c r="I473" s="32">
        <f t="shared" si="12"/>
        <v>3500.0400000000004</v>
      </c>
      <c r="K473" s="127" t="str">
        <f t="shared" si="11"/>
        <v/>
      </c>
    </row>
    <row r="474" spans="2:11" x14ac:dyDescent="0.3">
      <c r="B474" s="306" t="s">
        <v>1703</v>
      </c>
      <c r="C474" s="320">
        <v>45470</v>
      </c>
      <c r="D474" s="317" t="s">
        <v>1036</v>
      </c>
      <c r="E474" s="208" t="s">
        <v>875</v>
      </c>
      <c r="F474" s="29" t="str">
        <f>IFERROR(VLOOKUP(E474,'Inventaire des produits'!$B$4:$K$1001,2,0),"")</f>
        <v>TRIPOD PIZZA EN PLASTIQUE</v>
      </c>
      <c r="G474" s="212">
        <v>2000</v>
      </c>
      <c r="H474" s="30">
        <f>IFERROR(VLOOKUP(E474,'Inventaire des produits'!$B$4:$K$1001,8,0),"")</f>
        <v>0.32</v>
      </c>
      <c r="I474" s="32">
        <f t="shared" si="12"/>
        <v>640</v>
      </c>
      <c r="J474" s="33">
        <v>1210</v>
      </c>
      <c r="K474" s="127">
        <f t="shared" si="11"/>
        <v>1452</v>
      </c>
    </row>
    <row r="475" spans="2:11" x14ac:dyDescent="0.3">
      <c r="B475" s="306" t="s">
        <v>1703</v>
      </c>
      <c r="C475" s="321"/>
      <c r="D475" s="318"/>
      <c r="E475" s="208" t="s">
        <v>944</v>
      </c>
      <c r="F475" s="29" t="str">
        <f>IFERROR(VLOOKUP(E475,'Inventaire des produits'!$B$4:$K$1001,2,0),"")</f>
        <v>BOITE PIZZA N°40</v>
      </c>
      <c r="G475" s="212">
        <v>100</v>
      </c>
      <c r="H475" s="30">
        <f>IFERROR(VLOOKUP(E475,'Inventaire des produits'!$B$4:$K$1001,8,0),"")</f>
        <v>2.9</v>
      </c>
      <c r="I475" s="32">
        <f t="shared" si="12"/>
        <v>290</v>
      </c>
      <c r="K475" s="127" t="str">
        <f t="shared" si="11"/>
        <v/>
      </c>
    </row>
    <row r="476" spans="2:11" x14ac:dyDescent="0.3">
      <c r="B476" s="306" t="s">
        <v>1703</v>
      </c>
      <c r="C476" s="321"/>
      <c r="D476" s="318"/>
      <c r="E476" s="208" t="s">
        <v>946</v>
      </c>
      <c r="F476" s="29" t="str">
        <f>IFERROR(VLOOKUP(E476,'Inventaire des produits'!$B$4:$K$1001,2,0),"")</f>
        <v>BOITE PIZZA N°24</v>
      </c>
      <c r="G476" s="212">
        <v>100</v>
      </c>
      <c r="H476" s="30">
        <f>IFERROR(VLOOKUP(E476,'Inventaire des produits'!$B$4:$K$1001,8,0),"")</f>
        <v>1.2</v>
      </c>
      <c r="I476" s="32">
        <f t="shared" si="12"/>
        <v>120</v>
      </c>
      <c r="K476" s="127" t="str">
        <f t="shared" si="11"/>
        <v/>
      </c>
    </row>
    <row r="477" spans="2:11" x14ac:dyDescent="0.3">
      <c r="B477" s="306" t="s">
        <v>1703</v>
      </c>
      <c r="C477" s="322"/>
      <c r="D477" s="319"/>
      <c r="E477" s="208" t="s">
        <v>948</v>
      </c>
      <c r="F477" s="29" t="str">
        <f>IFERROR(VLOOKUP(E477,'Inventaire des produits'!$B$4:$K$1001,2,0),"")</f>
        <v>BOITE PIZZA N°29</v>
      </c>
      <c r="G477" s="212">
        <v>100</v>
      </c>
      <c r="H477" s="30">
        <f>IFERROR(VLOOKUP(E477,'Inventaire des produits'!$B$4:$K$1001,8,0),"")</f>
        <v>1.6</v>
      </c>
      <c r="I477" s="32">
        <f t="shared" si="12"/>
        <v>160</v>
      </c>
      <c r="K477" s="127" t="str">
        <f t="shared" si="11"/>
        <v/>
      </c>
    </row>
    <row r="478" spans="2:11" x14ac:dyDescent="0.3">
      <c r="B478" s="306" t="s">
        <v>1703</v>
      </c>
      <c r="C478" s="196">
        <v>45469</v>
      </c>
      <c r="D478" s="195" t="s">
        <v>1037</v>
      </c>
      <c r="E478" s="208" t="s">
        <v>737</v>
      </c>
      <c r="F478" s="29" t="str">
        <f>IFERROR(VLOOKUP(E478,'Inventaire des produits'!$B$4:$K$1001,2,0),"")</f>
        <v>BOUTEILLE PLASTIQUE TRANS 330ML AVEC BOUCHON</v>
      </c>
      <c r="G478" s="212">
        <v>204</v>
      </c>
      <c r="H478" s="30">
        <f>IFERROR(VLOOKUP(E478,'Inventaire des produits'!$B$4:$K$1001,8,0),"")</f>
        <v>1.65</v>
      </c>
      <c r="I478" s="32">
        <f t="shared" si="12"/>
        <v>336.59999999999997</v>
      </c>
      <c r="J478" s="33">
        <v>336.6</v>
      </c>
      <c r="K478" s="127">
        <f t="shared" si="11"/>
        <v>403.92</v>
      </c>
    </row>
    <row r="479" spans="2:11" x14ac:dyDescent="0.3">
      <c r="B479" s="306" t="s">
        <v>1703</v>
      </c>
      <c r="C479" s="196">
        <v>45468</v>
      </c>
      <c r="D479" s="195" t="s">
        <v>1039</v>
      </c>
      <c r="E479" s="208" t="s">
        <v>1038</v>
      </c>
      <c r="F479" s="29" t="str">
        <f>IFERROR(VLOOKUP(E479,'Inventaire des produits'!$B$4:$K$1001,2,0),"")</f>
        <v>FOURCHETTE ECOLUXE NOIRE</v>
      </c>
      <c r="G479" s="212">
        <v>137</v>
      </c>
      <c r="H479" s="30">
        <f>IFERROR(VLOOKUP(E479,'Inventaire des produits'!$B$4:$K$1001,8,0),"")</f>
        <v>13.69</v>
      </c>
      <c r="I479" s="32">
        <f t="shared" si="12"/>
        <v>1875.53</v>
      </c>
      <c r="J479" s="33">
        <v>1875.53</v>
      </c>
      <c r="K479" s="127">
        <f t="shared" si="11"/>
        <v>2250.636</v>
      </c>
    </row>
    <row r="480" spans="2:11" x14ac:dyDescent="0.3">
      <c r="B480" s="306" t="s">
        <v>1703</v>
      </c>
      <c r="C480" s="320" t="s">
        <v>1042</v>
      </c>
      <c r="D480" s="317" t="s">
        <v>1041</v>
      </c>
      <c r="E480" s="208" t="s">
        <v>929</v>
      </c>
      <c r="F480" s="29" t="str">
        <f>IFERROR(VLOOKUP(E480,'Inventaire des produits'!$B$4:$K$1001,2,0),"")</f>
        <v xml:space="preserve">SERVIETTE DE TABLE </v>
      </c>
      <c r="G480" s="212">
        <v>2000</v>
      </c>
      <c r="H480" s="30">
        <f>IFERROR(VLOOKUP(E480,'Inventaire des produits'!$B$4:$K$1001,8,0),"")</f>
        <v>2.9169999999999998</v>
      </c>
      <c r="I480" s="32">
        <f t="shared" si="12"/>
        <v>5834</v>
      </c>
      <c r="J480" s="33">
        <v>18644</v>
      </c>
      <c r="K480" s="127">
        <f t="shared" si="11"/>
        <v>22372.799999999999</v>
      </c>
    </row>
    <row r="481" spans="2:11" x14ac:dyDescent="0.3">
      <c r="B481" s="306" t="s">
        <v>1703</v>
      </c>
      <c r="C481" s="321"/>
      <c r="D481" s="318"/>
      <c r="E481" s="208" t="s">
        <v>1040</v>
      </c>
      <c r="F481" s="29" t="str">
        <f>IFERROR(VLOOKUP(E481,'Inventaire des produits'!$B$4:$K$1001,2,0),"")</f>
        <v>FILM ALIMENTAIRE ELEGENCE</v>
      </c>
      <c r="G481" s="212">
        <v>360</v>
      </c>
      <c r="H481" s="30">
        <f>IFERROR(VLOOKUP(E481,'Inventaire des produits'!$B$4:$K$1001,8,0),"")</f>
        <v>20</v>
      </c>
      <c r="I481" s="32">
        <f t="shared" si="12"/>
        <v>7200</v>
      </c>
      <c r="K481" s="127" t="str">
        <f t="shared" si="11"/>
        <v/>
      </c>
    </row>
    <row r="482" spans="2:11" x14ac:dyDescent="0.3">
      <c r="B482" s="306" t="s">
        <v>1703</v>
      </c>
      <c r="C482" s="322"/>
      <c r="D482" s="319"/>
      <c r="E482" s="208" t="s">
        <v>837</v>
      </c>
      <c r="F482" s="29" t="str">
        <f>IFERROR(VLOOKUP(E482,'Inventaire des produits'!$B$4:$K$1001,2,0),"")</f>
        <v>ESSUIE MAIN 1KG LISSE</v>
      </c>
      <c r="G482" s="212">
        <v>264</v>
      </c>
      <c r="H482" s="30">
        <f>IFERROR(VLOOKUP(E482,'Inventaire des produits'!$B$4:$K$1001,8,0),"")</f>
        <v>21.25</v>
      </c>
      <c r="I482" s="32">
        <f t="shared" si="12"/>
        <v>5610</v>
      </c>
      <c r="K482" s="127" t="str">
        <f t="shared" si="11"/>
        <v/>
      </c>
    </row>
    <row r="483" spans="2:11" x14ac:dyDescent="0.3">
      <c r="B483" s="306" t="s">
        <v>1703</v>
      </c>
      <c r="C483" s="196">
        <v>45477</v>
      </c>
      <c r="D483" s="195" t="s">
        <v>1055</v>
      </c>
      <c r="E483" s="208" t="s">
        <v>1056</v>
      </c>
      <c r="F483" s="29" t="str">
        <f>IFERROR(VLOOKUP(E483,'Inventaire des produits'!$B$4:$K$1001,2,0),"")</f>
        <v>SAC PN BLANC NI 30*40*10</v>
      </c>
      <c r="G483" s="212">
        <v>11000</v>
      </c>
      <c r="H483" s="30">
        <f>IFERROR(VLOOKUP(E483,'Inventaire des produits'!$B$4:$K$1001,8,0),"")</f>
        <v>0.33334000000000003</v>
      </c>
      <c r="I483" s="32">
        <f t="shared" si="12"/>
        <v>3666.7400000000002</v>
      </c>
      <c r="J483" s="33">
        <v>3666.7400000000002</v>
      </c>
      <c r="K483" s="127">
        <f t="shared" si="11"/>
        <v>4400.0879999999997</v>
      </c>
    </row>
    <row r="484" spans="2:11" x14ac:dyDescent="0.3">
      <c r="B484" s="306" t="s">
        <v>1703</v>
      </c>
      <c r="C484" s="196">
        <v>45475</v>
      </c>
      <c r="D484" s="195" t="s">
        <v>1059</v>
      </c>
      <c r="E484" s="208" t="s">
        <v>1058</v>
      </c>
      <c r="F484" s="29" t="str">
        <f>IFERROR(VLOOKUP(E484,'Inventaire des produits'!$B$4:$K$1001,2,0),"")</f>
        <v>CARTON CKB 282 G LAIZE 72</v>
      </c>
      <c r="G484" s="212">
        <v>261</v>
      </c>
      <c r="H484" s="30">
        <f>IFERROR(VLOOKUP(E484,'Inventaire des produits'!$B$4:$K$1001,8,0),"")</f>
        <v>12.7714</v>
      </c>
      <c r="I484" s="32">
        <f t="shared" si="12"/>
        <v>3333.3353999999999</v>
      </c>
      <c r="J484" s="33">
        <v>3333.3353999999999</v>
      </c>
      <c r="K484" s="127">
        <f t="shared" si="11"/>
        <v>4000.0024799999997</v>
      </c>
    </row>
    <row r="485" spans="2:11" x14ac:dyDescent="0.3">
      <c r="B485" s="306" t="s">
        <v>1703</v>
      </c>
      <c r="C485" s="196">
        <v>45474</v>
      </c>
      <c r="D485" s="195" t="s">
        <v>1060</v>
      </c>
      <c r="E485" s="208" t="s">
        <v>1058</v>
      </c>
      <c r="F485" s="29" t="str">
        <f>IFERROR(VLOOKUP(E485,'Inventaire des produits'!$B$4:$K$1001,2,0),"")</f>
        <v>CARTON CKB 282 G LAIZE 72</v>
      </c>
      <c r="G485" s="212">
        <v>310</v>
      </c>
      <c r="H485" s="30">
        <f>IFERROR(VLOOKUP(E485,'Inventaire des produits'!$B$4:$K$1001,8,0),"")</f>
        <v>12.7714</v>
      </c>
      <c r="I485" s="32">
        <f t="shared" si="12"/>
        <v>3959.134</v>
      </c>
      <c r="J485" s="33">
        <v>3959.134</v>
      </c>
      <c r="K485" s="127">
        <f t="shared" si="11"/>
        <v>4750.9607999999998</v>
      </c>
    </row>
    <row r="486" spans="2:11" x14ac:dyDescent="0.3">
      <c r="B486" s="306" t="s">
        <v>1703</v>
      </c>
      <c r="C486" s="196">
        <v>45482</v>
      </c>
      <c r="D486" s="195" t="s">
        <v>1067</v>
      </c>
      <c r="E486" s="208" t="s">
        <v>1066</v>
      </c>
      <c r="F486" s="29" t="str">
        <f>IFERROR(VLOOKUP(E486,'Inventaire des produits'!$B$4:$K$1001,2,0),"")</f>
        <v>BOITE PIZZA 29</v>
      </c>
      <c r="G486" s="212">
        <v>10</v>
      </c>
      <c r="H486" s="30">
        <f>IFERROR(VLOOKUP(E486,'Inventaire des produits'!$B$4:$K$1001,8,0),"")</f>
        <v>60.416666666666671</v>
      </c>
      <c r="I486" s="32">
        <f t="shared" si="12"/>
        <v>604.16666666666674</v>
      </c>
      <c r="J486" s="33">
        <v>604.16666666666674</v>
      </c>
      <c r="K486" s="127">
        <f t="shared" si="11"/>
        <v>725.00000000000011</v>
      </c>
    </row>
    <row r="487" spans="2:11" x14ac:dyDescent="0.3">
      <c r="B487" s="306" t="s">
        <v>1703</v>
      </c>
      <c r="C487" s="196">
        <v>45453</v>
      </c>
      <c r="D487" s="195" t="s">
        <v>1069</v>
      </c>
      <c r="E487" s="208" t="s">
        <v>1105</v>
      </c>
      <c r="F487" s="29" t="str">
        <f>IFERROR(VLOOKUP(E487,'Inventaire des produits'!$B$4:$K$1001,2,0),"")</f>
        <v>BARQUETTE TRAITEUR 750CC MICRON ONDABLE TRANS</v>
      </c>
      <c r="G487" s="212">
        <f>5*300</f>
        <v>1500</v>
      </c>
      <c r="H487" s="30">
        <f>IFERROR(VLOOKUP(E487,'Inventaire des produits'!$B$4:$K$1001,8,0),"")</f>
        <v>1.0508333333333333</v>
      </c>
      <c r="I487" s="32">
        <f t="shared" si="12"/>
        <v>1576.25</v>
      </c>
      <c r="J487" s="33">
        <v>1576.25</v>
      </c>
      <c r="K487" s="127">
        <f t="shared" si="11"/>
        <v>1891.5</v>
      </c>
    </row>
    <row r="488" spans="2:11" x14ac:dyDescent="0.3">
      <c r="B488" s="306" t="s">
        <v>1703</v>
      </c>
      <c r="C488" s="196">
        <v>45453</v>
      </c>
      <c r="D488" s="195" t="s">
        <v>1070</v>
      </c>
      <c r="E488" s="208" t="s">
        <v>760</v>
      </c>
      <c r="F488" s="29" t="str">
        <f>IFERROR(VLOOKUP(E488,'Inventaire des produits'!$B$4:$K$1001,2,0),"")</f>
        <v>BARQUETTE MICRON ONDABLE 2 COMP AVEC CVL</v>
      </c>
      <c r="G488" s="212">
        <v>300</v>
      </c>
      <c r="H488" s="30">
        <f>IFERROR(VLOOKUP(E488,'Inventaire des produits'!$B$4:$K$1001,8,0),"")</f>
        <v>1.5</v>
      </c>
      <c r="I488" s="32">
        <f t="shared" si="12"/>
        <v>450</v>
      </c>
      <c r="J488" s="33">
        <v>450</v>
      </c>
      <c r="K488" s="127">
        <f t="shared" si="11"/>
        <v>540</v>
      </c>
    </row>
    <row r="489" spans="2:11" x14ac:dyDescent="0.3">
      <c r="B489" s="306" t="s">
        <v>1703</v>
      </c>
      <c r="C489" s="196">
        <v>45452</v>
      </c>
      <c r="D489" s="195" t="s">
        <v>1071</v>
      </c>
      <c r="E489" s="208" t="s">
        <v>967</v>
      </c>
      <c r="F489" s="29" t="str">
        <f>IFERROR(VLOOKUP(E489,'Inventaire des produits'!$B$4:$K$1001,2,0),"")</f>
        <v xml:space="preserve">BARQUETTE MICRON ONDABLE 3 COMP </v>
      </c>
      <c r="G489" s="212">
        <v>300</v>
      </c>
      <c r="H489" s="30">
        <f>IFERROR(VLOOKUP(E489,'Inventaire des produits'!$B$4:$K$1001,8,0),"")</f>
        <v>1.5</v>
      </c>
      <c r="I489" s="32">
        <f t="shared" si="12"/>
        <v>450</v>
      </c>
      <c r="J489" s="33">
        <v>450</v>
      </c>
      <c r="K489" s="127">
        <f t="shared" si="11"/>
        <v>540</v>
      </c>
    </row>
    <row r="490" spans="2:11" x14ac:dyDescent="0.3">
      <c r="B490" s="306" t="s">
        <v>1703</v>
      </c>
      <c r="C490" s="196">
        <v>45444</v>
      </c>
      <c r="D490" s="195" t="s">
        <v>1072</v>
      </c>
      <c r="E490" s="208" t="s">
        <v>950</v>
      </c>
      <c r="F490" s="29" t="str">
        <f>IFERROR(VLOOKUP(E490,'Inventaire des produits'!$B$4:$K$1001,2,0),"")</f>
        <v>BARQUETTE TRAITEUR 500CC MICRON-ONDABLE TRANS</v>
      </c>
      <c r="G490" s="212">
        <f>13*250</f>
        <v>3250</v>
      </c>
      <c r="H490" s="30">
        <f>IFERROR(VLOOKUP(E490,'Inventaire des produits'!$B$4:$K$1001,8,0),"")</f>
        <v>1.0166666666666666</v>
      </c>
      <c r="I490" s="32">
        <f t="shared" si="12"/>
        <v>3304.1666666666665</v>
      </c>
      <c r="J490" s="33">
        <v>3304.1666666666665</v>
      </c>
      <c r="K490" s="127">
        <f t="shared" si="11"/>
        <v>3964.9999999999995</v>
      </c>
    </row>
    <row r="491" spans="2:11" x14ac:dyDescent="0.3">
      <c r="B491" s="306" t="s">
        <v>1703</v>
      </c>
      <c r="C491" s="196">
        <v>45443</v>
      </c>
      <c r="D491" s="195" t="s">
        <v>1074</v>
      </c>
      <c r="E491" s="208" t="s">
        <v>1073</v>
      </c>
      <c r="F491" s="29" t="str">
        <f>IFERROR(VLOOKUP(E491,'Inventaire des produits'!$B$4:$K$1001,2,0),"")</f>
        <v>BARQUETTE TRAITEUR 750CC MICRON ONDABLE</v>
      </c>
      <c r="G491" s="212">
        <v>500</v>
      </c>
      <c r="H491" s="30">
        <f>IFERROR(VLOOKUP(E491,'Inventaire des produits'!$B$4:$K$1001,8,0),"")</f>
        <v>1.1479166666666667</v>
      </c>
      <c r="I491" s="32">
        <f t="shared" si="12"/>
        <v>573.95833333333337</v>
      </c>
      <c r="J491" s="33">
        <v>573.95833333333337</v>
      </c>
      <c r="K491" s="127">
        <f t="shared" si="11"/>
        <v>688.75</v>
      </c>
    </row>
    <row r="492" spans="2:11" x14ac:dyDescent="0.3">
      <c r="B492" s="306" t="s">
        <v>1703</v>
      </c>
      <c r="C492" s="196">
        <v>45440</v>
      </c>
      <c r="D492" s="195" t="s">
        <v>1076</v>
      </c>
      <c r="E492" s="208" t="s">
        <v>1075</v>
      </c>
      <c r="F492" s="29" t="str">
        <f>IFERROR(VLOOKUP(E492,'Inventaire des produits'!$B$4:$K$1001,2,0),"")</f>
        <v>BARQUETTE TRAITEUR 750CC MICRON ONDABLE</v>
      </c>
      <c r="G492" s="212">
        <v>6000</v>
      </c>
      <c r="H492" s="30">
        <f>IFERROR(VLOOKUP(E492,'Inventaire des produits'!$B$4:$K$1001,8,0),"")</f>
        <v>1.0508333333333333</v>
      </c>
      <c r="I492" s="32">
        <f t="shared" si="12"/>
        <v>6305</v>
      </c>
      <c r="J492" s="33">
        <v>6305</v>
      </c>
      <c r="K492" s="127">
        <f t="shared" si="11"/>
        <v>7566</v>
      </c>
    </row>
    <row r="493" spans="2:11" x14ac:dyDescent="0.3">
      <c r="B493" s="306" t="s">
        <v>1703</v>
      </c>
      <c r="C493" s="196">
        <v>45470</v>
      </c>
      <c r="D493" s="195" t="s">
        <v>1078</v>
      </c>
      <c r="E493" s="207" t="s">
        <v>1038</v>
      </c>
      <c r="F493" s="29" t="str">
        <f>IFERROR(VLOOKUP(E493,'Inventaire des produits'!$B$4:$K$1001,2,0),"")</f>
        <v>FOURCHETTE ECOLUXE NOIRE</v>
      </c>
      <c r="G493" s="212">
        <v>137</v>
      </c>
      <c r="H493" s="30">
        <f>IFERROR(VLOOKUP(E493,'Inventaire des produits'!$B$4:$K$1001,8,0),"")</f>
        <v>13.69</v>
      </c>
      <c r="I493" s="32">
        <f t="shared" si="12"/>
        <v>1875.53</v>
      </c>
      <c r="J493" s="33">
        <v>1875.53</v>
      </c>
      <c r="K493" s="127">
        <f t="shared" si="11"/>
        <v>2250.636</v>
      </c>
    </row>
    <row r="494" spans="2:11" x14ac:dyDescent="0.3">
      <c r="B494" s="306" t="s">
        <v>1703</v>
      </c>
      <c r="C494" s="196">
        <v>45443</v>
      </c>
      <c r="D494" s="195" t="s">
        <v>1080</v>
      </c>
      <c r="E494" s="208" t="s">
        <v>1079</v>
      </c>
      <c r="F494" s="29" t="str">
        <f>IFERROR(VLOOKUP(E494,'Inventaire des produits'!$B$4:$K$1001,2,0),"")</f>
        <v>FOURCHETTE ECOLUXE TRANSPARENTE</v>
      </c>
      <c r="G494" s="212">
        <v>900</v>
      </c>
      <c r="H494" s="30">
        <f>IFERROR(VLOOKUP(E494,'Inventaire des produits'!$B$4:$K$1001,8,0),"")</f>
        <v>14.166665999999999</v>
      </c>
      <c r="I494" s="32">
        <f t="shared" si="12"/>
        <v>12749.999399999999</v>
      </c>
      <c r="J494" s="33">
        <v>12753</v>
      </c>
      <c r="K494" s="127">
        <f t="shared" si="11"/>
        <v>15303.599999999999</v>
      </c>
    </row>
    <row r="495" spans="2:11" x14ac:dyDescent="0.3">
      <c r="B495" s="306" t="s">
        <v>1703</v>
      </c>
      <c r="C495" s="196">
        <v>45483</v>
      </c>
      <c r="D495" s="195" t="s">
        <v>1090</v>
      </c>
      <c r="E495" s="208" t="s">
        <v>1089</v>
      </c>
      <c r="F495" s="29" t="str">
        <f>IFERROR(VLOOKUP(E495,'Inventaire des produits'!$B$4:$K$1001,2,0),"")</f>
        <v>BARQUETTE ALUMINIUM 83890</v>
      </c>
      <c r="G495" s="212">
        <v>17000</v>
      </c>
      <c r="H495" s="30">
        <f>IFERROR(VLOOKUP(E495,'Inventaire des produits'!$B$4:$K$1001,8,0),"")</f>
        <v>0.52491176470000001</v>
      </c>
      <c r="I495" s="32">
        <f t="shared" si="12"/>
        <v>8923.4999998999992</v>
      </c>
      <c r="J495" s="33">
        <v>8923.4999998999992</v>
      </c>
      <c r="K495" s="127">
        <f t="shared" si="11"/>
        <v>10708.199999879998</v>
      </c>
    </row>
    <row r="496" spans="2:11" x14ac:dyDescent="0.3">
      <c r="B496" s="306" t="s">
        <v>1703</v>
      </c>
      <c r="C496" s="196">
        <v>45484</v>
      </c>
      <c r="D496" s="195" t="s">
        <v>1093</v>
      </c>
      <c r="E496" s="208" t="s">
        <v>1092</v>
      </c>
      <c r="F496" s="29" t="str">
        <f>IFERROR(VLOOKUP(E496,'Inventaire des produits'!$B$4:$K$1001,2,0),"")</f>
        <v>BARQUETTE ALUMINIUM 83820/2 COMP</v>
      </c>
      <c r="G496" s="212">
        <v>8500</v>
      </c>
      <c r="H496" s="30">
        <f>IFERROR(VLOOKUP(E496,'Inventaire des produits'!$B$4:$K$1001,8,0),"")</f>
        <v>0.75</v>
      </c>
      <c r="I496" s="32">
        <f t="shared" si="12"/>
        <v>6375</v>
      </c>
      <c r="J496" s="33">
        <v>6375</v>
      </c>
      <c r="K496" s="127">
        <f t="shared" si="11"/>
        <v>7650</v>
      </c>
    </row>
    <row r="497" spans="2:11" x14ac:dyDescent="0.3">
      <c r="B497" s="306" t="s">
        <v>1703</v>
      </c>
      <c r="C497" s="196">
        <v>45485</v>
      </c>
      <c r="D497" s="195" t="s">
        <v>1095</v>
      </c>
      <c r="E497" s="208" t="s">
        <v>1092</v>
      </c>
      <c r="F497" s="29" t="str">
        <f>IFERROR(VLOOKUP(E497,'Inventaire des produits'!$B$4:$K$1001,2,0),"")</f>
        <v>BARQUETTE ALUMINIUM 83820/2 COMP</v>
      </c>
      <c r="G497" s="212">
        <v>20000</v>
      </c>
      <c r="H497" s="30">
        <f>IFERROR(VLOOKUP(E497,'Inventaire des produits'!$B$4:$K$1001,8,0),"")</f>
        <v>0.75</v>
      </c>
      <c r="I497" s="32">
        <f t="shared" si="12"/>
        <v>15000</v>
      </c>
      <c r="J497" s="33">
        <v>15000</v>
      </c>
      <c r="K497" s="127">
        <f t="shared" si="11"/>
        <v>18000</v>
      </c>
    </row>
    <row r="498" spans="2:11" x14ac:dyDescent="0.3">
      <c r="B498" s="306" t="s">
        <v>1703</v>
      </c>
      <c r="C498" s="320">
        <v>45455</v>
      </c>
      <c r="D498" s="317" t="s">
        <v>1096</v>
      </c>
      <c r="E498" s="207" t="s">
        <v>895</v>
      </c>
      <c r="F498" s="29" t="str">
        <f>IFERROR(VLOOKUP(E498,'Inventaire des produits'!$B$4:$K$1001,2,0),"")</f>
        <v>ROULEAU ALUMINIUM GOLDEN 200M</v>
      </c>
      <c r="G498" s="212">
        <v>120</v>
      </c>
      <c r="H498" s="30">
        <f>IFERROR(VLOOKUP(E498,'Inventaire des produits'!$B$4:$K$1001,8,0),"")</f>
        <v>57.5</v>
      </c>
      <c r="I498" s="32">
        <f t="shared" si="12"/>
        <v>6900</v>
      </c>
      <c r="J498" s="33">
        <v>8100</v>
      </c>
      <c r="K498" s="127">
        <f t="shared" si="11"/>
        <v>9720</v>
      </c>
    </row>
    <row r="499" spans="2:11" x14ac:dyDescent="0.3">
      <c r="B499" s="306" t="s">
        <v>1703</v>
      </c>
      <c r="C499" s="322"/>
      <c r="D499" s="319"/>
      <c r="E499" s="207" t="s">
        <v>666</v>
      </c>
      <c r="F499" s="29" t="str">
        <f>IFERROR(VLOOKUP(E499,'Inventaire des produits'!$B$4:$K$1001,2,0),"")</f>
        <v>GANT VINYL EXTRA PREMIUM GLOVE MEDIUM</v>
      </c>
      <c r="G499" s="212">
        <v>60</v>
      </c>
      <c r="H499" s="30">
        <f>IFERROR(VLOOKUP(E499,'Inventaire des produits'!$B$4:$K$1001,8,0),"")</f>
        <v>20</v>
      </c>
      <c r="I499" s="32">
        <f t="shared" si="12"/>
        <v>1200</v>
      </c>
      <c r="K499" s="127" t="str">
        <f t="shared" si="11"/>
        <v/>
      </c>
    </row>
    <row r="500" spans="2:11" x14ac:dyDescent="0.3">
      <c r="B500" s="306" t="s">
        <v>1703</v>
      </c>
      <c r="C500" s="196">
        <v>45455</v>
      </c>
      <c r="D500" s="195" t="s">
        <v>1098</v>
      </c>
      <c r="E500" s="208" t="s">
        <v>1097</v>
      </c>
      <c r="F500" s="29" t="str">
        <f>IFERROR(VLOOKUP(E500,'Inventaire des produits'!$B$4:$K$1001,2,0),"")</f>
        <v>POT DE SAUCE EN PLAST TRANSP 20ML</v>
      </c>
      <c r="G500" s="212">
        <v>42000</v>
      </c>
      <c r="H500" s="30">
        <f>IFERROR(VLOOKUP(E500,'Inventaire des produits'!$B$4:$K$1001,8,0),"")</f>
        <v>8.9166666666666672E-2</v>
      </c>
      <c r="I500" s="32">
        <f t="shared" si="12"/>
        <v>3745</v>
      </c>
      <c r="J500" s="33">
        <v>3745</v>
      </c>
      <c r="K500" s="127">
        <f t="shared" si="11"/>
        <v>4494</v>
      </c>
    </row>
    <row r="501" spans="2:11" x14ac:dyDescent="0.3">
      <c r="B501" s="306" t="s">
        <v>1703</v>
      </c>
      <c r="C501" s="196">
        <v>45471</v>
      </c>
      <c r="D501" s="195" t="s">
        <v>1101</v>
      </c>
      <c r="E501" s="207" t="s">
        <v>1100</v>
      </c>
      <c r="F501" s="29" t="str">
        <f>IFERROR(VLOOKUP(E501,'Inventaire des produits'!$B$4:$K$1001,2,0),"")</f>
        <v>ROULEAU ALUMINIUM 30M</v>
      </c>
      <c r="G501" s="212">
        <v>140</v>
      </c>
      <c r="H501" s="30">
        <f>IFERROR(VLOOKUP(E501,'Inventaire des produits'!$B$4:$K$1001,8,0),"")</f>
        <v>11.309500000000002</v>
      </c>
      <c r="I501" s="32">
        <f t="shared" si="12"/>
        <v>1583.3300000000002</v>
      </c>
      <c r="J501" s="33">
        <v>1583.3300000000002</v>
      </c>
      <c r="K501" s="127">
        <f t="shared" si="11"/>
        <v>1899.9960000000001</v>
      </c>
    </row>
    <row r="502" spans="2:11" x14ac:dyDescent="0.3">
      <c r="B502" s="306" t="s">
        <v>1703</v>
      </c>
      <c r="C502" s="196">
        <v>45498</v>
      </c>
      <c r="D502" s="195" t="s">
        <v>1116</v>
      </c>
      <c r="E502" s="207" t="s">
        <v>1117</v>
      </c>
      <c r="F502" s="29" t="str">
        <f>IFERROR(VLOOKUP(E502,'Inventaire des produits'!$B$4:$K$1001,2,0),"")</f>
        <v>POT DE SAUCE 2OZ NOIRE</v>
      </c>
      <c r="G502" s="212">
        <v>33000</v>
      </c>
      <c r="H502" s="30">
        <f>IFERROR(VLOOKUP(E502,'Inventaire des produits'!$B$4:$K$1001,8,0),"")</f>
        <v>0.16489999999999999</v>
      </c>
      <c r="I502" s="32">
        <f t="shared" si="12"/>
        <v>5441.7</v>
      </c>
      <c r="J502" s="33">
        <v>5441.7</v>
      </c>
      <c r="K502" s="127">
        <f t="shared" si="11"/>
        <v>6530.04</v>
      </c>
    </row>
    <row r="503" spans="2:11" x14ac:dyDescent="0.3">
      <c r="B503" s="306" t="s">
        <v>1703</v>
      </c>
      <c r="C503" s="196">
        <v>45499</v>
      </c>
      <c r="D503" s="195" t="s">
        <v>1118</v>
      </c>
      <c r="E503" s="208" t="s">
        <v>1120</v>
      </c>
      <c r="F503" s="29" t="str">
        <f>IFERROR(VLOOKUP(E503,'Inventaire des produits'!$B$4:$K$1001,2,0),"")</f>
        <v>SAC FOND CARRE POIGNE PLAT 32*16*33</v>
      </c>
      <c r="G503" s="212">
        <v>3500</v>
      </c>
      <c r="H503" s="30">
        <f>IFERROR(VLOOKUP(E503,'Inventaire des produits'!$B$4:$K$1001,8,0),"")</f>
        <v>1.0417000000000001</v>
      </c>
      <c r="I503" s="32">
        <f t="shared" si="12"/>
        <v>3645.9500000000003</v>
      </c>
      <c r="J503" s="33">
        <v>3645.9500000000003</v>
      </c>
      <c r="K503" s="127">
        <f t="shared" si="11"/>
        <v>4375.1400000000003</v>
      </c>
    </row>
    <row r="504" spans="2:11" x14ac:dyDescent="0.3">
      <c r="B504" s="306" t="s">
        <v>1703</v>
      </c>
      <c r="C504" s="320">
        <v>45500</v>
      </c>
      <c r="D504" s="317" t="s">
        <v>1126</v>
      </c>
      <c r="E504" s="207" t="s">
        <v>1123</v>
      </c>
      <c r="F504" s="29" t="str">
        <f>IFERROR(VLOOKUP(E504,'Inventaire des produits'!$B$4:$K$1001,2,0),"")</f>
        <v>FILM ALIMENTAIRE ARAX 30*300</v>
      </c>
      <c r="G504" s="212">
        <v>180</v>
      </c>
      <c r="H504" s="30">
        <f>IFERROR(VLOOKUP(E504,'Inventaire des produits'!$B$4:$K$1001,8,0),"")</f>
        <v>20</v>
      </c>
      <c r="I504" s="32">
        <f t="shared" si="12"/>
        <v>3600</v>
      </c>
      <c r="J504" s="33">
        <v>4640.0159999999996</v>
      </c>
      <c r="K504" s="127">
        <f t="shared" si="11"/>
        <v>5568.0191999999997</v>
      </c>
    </row>
    <row r="505" spans="2:11" x14ac:dyDescent="0.3">
      <c r="B505" s="306" t="s">
        <v>1703</v>
      </c>
      <c r="C505" s="322"/>
      <c r="D505" s="319"/>
      <c r="E505" s="207" t="s">
        <v>1125</v>
      </c>
      <c r="F505" s="29" t="str">
        <f>IFERROR(VLOOKUP(E505,'Inventaire des produits'!$B$4:$K$1001,2,0),"")</f>
        <v>FILM ALIMENTAIRE 30*300</v>
      </c>
      <c r="G505" s="212">
        <v>48</v>
      </c>
      <c r="H505" s="30">
        <f>IFERROR(VLOOKUP(E505,'Inventaire des produits'!$B$4:$K$1001,8,0),"")</f>
        <v>21.667000000000002</v>
      </c>
      <c r="I505" s="32">
        <f t="shared" si="12"/>
        <v>1040.0160000000001</v>
      </c>
      <c r="K505" s="127" t="str">
        <f t="shared" si="11"/>
        <v/>
      </c>
    </row>
    <row r="506" spans="2:11" x14ac:dyDescent="0.3">
      <c r="B506" s="306" t="s">
        <v>1703</v>
      </c>
      <c r="C506" s="320">
        <v>45497</v>
      </c>
      <c r="D506" s="317" t="s">
        <v>1134</v>
      </c>
      <c r="E506" s="208" t="s">
        <v>929</v>
      </c>
      <c r="F506" s="29" t="str">
        <f>IFERROR(VLOOKUP(E506,'Inventaire des produits'!$B$4:$K$1001,2,0),"")</f>
        <v xml:space="preserve">SERVIETTE DE TABLE </v>
      </c>
      <c r="G506" s="212">
        <v>1600</v>
      </c>
      <c r="H506" s="30">
        <f>IFERROR(VLOOKUP(E506,'Inventaire des produits'!$B$4:$K$1001,8,0),"")</f>
        <v>2.9169999999999998</v>
      </c>
      <c r="I506" s="32">
        <f t="shared" si="12"/>
        <v>4667.2</v>
      </c>
      <c r="J506" s="33">
        <v>13404.84</v>
      </c>
      <c r="K506" s="127">
        <f t="shared" si="11"/>
        <v>16085.807999999999</v>
      </c>
    </row>
    <row r="507" spans="2:11" x14ac:dyDescent="0.3">
      <c r="B507" s="306" t="s">
        <v>1703</v>
      </c>
      <c r="C507" s="321"/>
      <c r="D507" s="318"/>
      <c r="E507" s="208" t="s">
        <v>1128</v>
      </c>
      <c r="F507" s="29" t="str">
        <f>IFERROR(VLOOKUP(E507,'Inventaire des produits'!$B$4:$K$1001,2,0),"")</f>
        <v xml:space="preserve">ESSUIE MAIN 1KG </v>
      </c>
      <c r="G507" s="212">
        <v>180</v>
      </c>
      <c r="H507" s="30">
        <f>IFERROR(VLOOKUP(E507,'Inventaire des produits'!$B$4:$K$1001,8,0),"")</f>
        <v>21.667000000000002</v>
      </c>
      <c r="I507" s="32">
        <f t="shared" si="12"/>
        <v>3900.0600000000004</v>
      </c>
      <c r="K507" s="127" t="str">
        <f t="shared" si="11"/>
        <v/>
      </c>
    </row>
    <row r="508" spans="2:11" x14ac:dyDescent="0.3">
      <c r="B508" s="306" t="s">
        <v>1703</v>
      </c>
      <c r="C508" s="321"/>
      <c r="D508" s="318"/>
      <c r="E508" s="209" t="s">
        <v>1129</v>
      </c>
      <c r="F508" s="29" t="str">
        <f>IFERROR(VLOOKUP(E508,'Inventaire des produits'!$B$4:$K$1001,2,0),"")</f>
        <v>FILM ALIMENTAIRE ORIGINAL 45*500</v>
      </c>
      <c r="G508" s="212">
        <v>60</v>
      </c>
      <c r="H508" s="30">
        <f>IFERROR(VLOOKUP(E508,'Inventaire des produits'!$B$4:$K$1001,8,0),"")</f>
        <v>27.5</v>
      </c>
      <c r="I508" s="32">
        <f t="shared" si="12"/>
        <v>1650</v>
      </c>
      <c r="K508" s="127" t="str">
        <f t="shared" si="11"/>
        <v/>
      </c>
    </row>
    <row r="509" spans="2:11" x14ac:dyDescent="0.3">
      <c r="B509" s="306" t="s">
        <v>1703</v>
      </c>
      <c r="C509" s="321"/>
      <c r="D509" s="318"/>
      <c r="E509" s="209" t="s">
        <v>1131</v>
      </c>
      <c r="F509" s="29" t="str">
        <f>IFERROR(VLOOKUP(E509,'Inventaire des produits'!$B$4:$K$1001,2,0),"")</f>
        <v>MOUCHOIR ROTANA 600</v>
      </c>
      <c r="G509" s="212">
        <v>225</v>
      </c>
      <c r="H509" s="30">
        <f>IFERROR(VLOOKUP(E509,'Inventaire des produits'!$B$4:$K$1001,8,0),"")</f>
        <v>6.6669999999999998</v>
      </c>
      <c r="I509" s="32">
        <f t="shared" si="12"/>
        <v>1500.075</v>
      </c>
      <c r="K509" s="127" t="str">
        <f t="shared" si="11"/>
        <v/>
      </c>
    </row>
    <row r="510" spans="2:11" x14ac:dyDescent="0.3">
      <c r="B510" s="306" t="s">
        <v>1703</v>
      </c>
      <c r="C510" s="322"/>
      <c r="D510" s="319"/>
      <c r="E510" s="209" t="s">
        <v>1133</v>
      </c>
      <c r="F510" s="29" t="str">
        <f>IFERROR(VLOOKUP(E510,'Inventaire des produits'!$B$4:$K$1001,2,0),"")</f>
        <v>MOUCHOIR SWEET 600</v>
      </c>
      <c r="G510" s="212">
        <v>270</v>
      </c>
      <c r="H510" s="30">
        <f>IFERROR(VLOOKUP(E510,'Inventaire des produits'!$B$4:$K$1001,8,0),"")</f>
        <v>6.25</v>
      </c>
      <c r="I510" s="32">
        <f t="shared" si="12"/>
        <v>1687.5</v>
      </c>
      <c r="K510" s="127" t="str">
        <f t="shared" ref="K510:K571" si="13">IF(J510="","",J510*1.2)</f>
        <v/>
      </c>
    </row>
    <row r="511" spans="2:11" x14ac:dyDescent="0.3">
      <c r="B511" s="306" t="s">
        <v>1703</v>
      </c>
      <c r="C511" s="320">
        <v>45446</v>
      </c>
      <c r="D511" s="317" t="s">
        <v>1116</v>
      </c>
      <c r="E511" s="209" t="s">
        <v>342</v>
      </c>
      <c r="F511" s="29" t="str">
        <f>IFERROR(VLOOKUP(E511,'Inventaire des produits'!$B$4:$K$1001,2,0),"")</f>
        <v>GANT VINYL NOIR EXTRA PREMIUM GLOVE MEDIUM</v>
      </c>
      <c r="G511" s="212">
        <v>60</v>
      </c>
      <c r="H511" s="30">
        <f>IFERROR(VLOOKUP(E511,'Inventaire des produits'!$B$4:$K$1001,8,0),"")</f>
        <v>22.5</v>
      </c>
      <c r="I511" s="32">
        <f t="shared" si="12"/>
        <v>1350</v>
      </c>
      <c r="J511" s="33">
        <v>16033.33</v>
      </c>
      <c r="K511" s="127">
        <f t="shared" si="13"/>
        <v>19239.995999999999</v>
      </c>
    </row>
    <row r="512" spans="2:11" x14ac:dyDescent="0.3">
      <c r="B512" s="306" t="s">
        <v>1703</v>
      </c>
      <c r="C512" s="321"/>
      <c r="D512" s="318"/>
      <c r="E512" s="209" t="s">
        <v>666</v>
      </c>
      <c r="F512" s="29" t="str">
        <f>IFERROR(VLOOKUP(E512,'Inventaire des produits'!$B$4:$K$1001,2,0),"")</f>
        <v>GANT VINYL EXTRA PREMIUM GLOVE MEDIUM</v>
      </c>
      <c r="G512" s="212">
        <v>160</v>
      </c>
      <c r="H512" s="30">
        <f>IFERROR(VLOOKUP(E512,'Inventaire des produits'!$B$4:$K$1001,8,0),"")</f>
        <v>20</v>
      </c>
      <c r="I512" s="32">
        <f t="shared" si="12"/>
        <v>3200</v>
      </c>
      <c r="K512" s="127" t="str">
        <f t="shared" si="13"/>
        <v/>
      </c>
    </row>
    <row r="513" spans="2:11" x14ac:dyDescent="0.3">
      <c r="B513" s="306" t="s">
        <v>1703</v>
      </c>
      <c r="C513" s="321"/>
      <c r="D513" s="318"/>
      <c r="E513" s="208" t="s">
        <v>895</v>
      </c>
      <c r="F513" s="29" t="str">
        <f>IFERROR(VLOOKUP(E513,'Inventaire des produits'!$B$4:$K$1001,2,0),"")</f>
        <v>ROULEAU ALUMINIUM GOLDEN 200M</v>
      </c>
      <c r="G513" s="212">
        <v>120</v>
      </c>
      <c r="H513" s="30">
        <f>IFERROR(VLOOKUP(E513,'Inventaire des produits'!$B$4:$K$1001,8,0),"")</f>
        <v>57.5</v>
      </c>
      <c r="I513" s="32">
        <f t="shared" si="12"/>
        <v>6900</v>
      </c>
      <c r="K513" s="127" t="str">
        <f t="shared" si="13"/>
        <v/>
      </c>
    </row>
    <row r="514" spans="2:11" x14ac:dyDescent="0.3">
      <c r="B514" s="306" t="s">
        <v>1703</v>
      </c>
      <c r="C514" s="322"/>
      <c r="D514" s="319"/>
      <c r="E514" s="208" t="s">
        <v>894</v>
      </c>
      <c r="F514" s="29" t="str">
        <f>IFERROR(VLOOKUP(E514,'Inventaire des produits'!$B$4:$K$1001,2,0),"")</f>
        <v>COQUILLE MEAL BOX 2 COMP BLANC</v>
      </c>
      <c r="G514" s="212">
        <v>5000</v>
      </c>
      <c r="H514" s="30">
        <f>IFERROR(VLOOKUP(E514,'Inventaire des produits'!$B$4:$K$1001,8,0),"")</f>
        <v>0.91666666669999997</v>
      </c>
      <c r="I514" s="32">
        <f t="shared" si="12"/>
        <v>4583.3333334999998</v>
      </c>
      <c r="K514" s="127" t="str">
        <f t="shared" si="13"/>
        <v/>
      </c>
    </row>
    <row r="515" spans="2:11" x14ac:dyDescent="0.3">
      <c r="B515" s="306" t="s">
        <v>1703</v>
      </c>
      <c r="C515" s="196">
        <v>45504</v>
      </c>
      <c r="D515" s="195" t="s">
        <v>1138</v>
      </c>
      <c r="E515" s="208" t="s">
        <v>737</v>
      </c>
      <c r="F515" s="29" t="str">
        <f>IFERROR(VLOOKUP(E515,'Inventaire des produits'!$B$4:$K$1001,2,0),"")</f>
        <v>BOUTEILLE PLASTIQUE TRANS 330ML AVEC BOUCHON</v>
      </c>
      <c r="G515" s="212">
        <v>204</v>
      </c>
      <c r="H515" s="30">
        <f>IFERROR(VLOOKUP(E515,'Inventaire des produits'!$B$4:$K$1001,8,0),"")</f>
        <v>1.65</v>
      </c>
      <c r="I515" s="32">
        <f t="shared" si="12"/>
        <v>336.59999999999997</v>
      </c>
      <c r="J515" s="33">
        <v>336.59999999999997</v>
      </c>
      <c r="K515" s="127">
        <f t="shared" si="13"/>
        <v>403.91999999999996</v>
      </c>
    </row>
    <row r="516" spans="2:11" x14ac:dyDescent="0.3">
      <c r="B516" s="306" t="s">
        <v>1703</v>
      </c>
      <c r="C516" s="196">
        <v>45503</v>
      </c>
      <c r="D516" s="195" t="s">
        <v>1140</v>
      </c>
      <c r="E516" s="208" t="s">
        <v>1139</v>
      </c>
      <c r="F516" s="29" t="str">
        <f>IFERROR(VLOOKUP(E516,'Inventaire des produits'!$B$4:$K$1001,2,0),"")</f>
        <v>BARQUETTE ALUMINIUM 250</v>
      </c>
      <c r="G516" s="212">
        <v>20000</v>
      </c>
      <c r="H516" s="30">
        <f>IFERROR(VLOOKUP(E516,'Inventaire des produits'!$B$4:$K$1001,8,0),"")</f>
        <v>0.29167000000000004</v>
      </c>
      <c r="I516" s="32">
        <f t="shared" ref="I516:I577" si="14">IF(OR(G516="",H516=""),"",G516*H516)</f>
        <v>5833.4000000000005</v>
      </c>
      <c r="J516" s="33">
        <v>5833.4000000000005</v>
      </c>
      <c r="K516" s="127">
        <f t="shared" si="13"/>
        <v>7000.0800000000008</v>
      </c>
    </row>
    <row r="517" spans="2:11" x14ac:dyDescent="0.3">
      <c r="B517" s="306" t="s">
        <v>1703</v>
      </c>
      <c r="C517" s="196">
        <v>45503</v>
      </c>
      <c r="D517" s="195" t="s">
        <v>1143</v>
      </c>
      <c r="E517" s="208" t="s">
        <v>1142</v>
      </c>
      <c r="F517" s="29" t="str">
        <f>IFERROR(VLOOKUP(E517,'Inventaire des produits'!$B$4:$K$1001,2,0),"")</f>
        <v xml:space="preserve">BARQUETTE POLYSTER 3 COMP </v>
      </c>
      <c r="G517" s="212">
        <v>4100</v>
      </c>
      <c r="H517" s="30">
        <f>IFERROR(VLOOKUP(E517,'Inventaire des produits'!$B$4:$K$1001,8,0),"")</f>
        <v>2.0327000000000002</v>
      </c>
      <c r="I517" s="32">
        <f t="shared" si="14"/>
        <v>8334.0700000000015</v>
      </c>
      <c r="J517" s="33">
        <v>8334.0700000000015</v>
      </c>
      <c r="K517" s="127">
        <f t="shared" si="13"/>
        <v>10000.884000000002</v>
      </c>
    </row>
    <row r="518" spans="2:11" x14ac:dyDescent="0.3">
      <c r="B518" s="306" t="s">
        <v>1703</v>
      </c>
      <c r="C518" s="196">
        <v>45506</v>
      </c>
      <c r="D518" s="195" t="s">
        <v>1145</v>
      </c>
      <c r="E518" s="208" t="s">
        <v>1144</v>
      </c>
      <c r="F518" s="29" t="str">
        <f>IFERROR(VLOOKUP(E518,'Inventaire des produits'!$B$4:$K$1001,2,0),"")</f>
        <v>BARQUETTE ALUMINIUM 81760 (3COMP)</v>
      </c>
      <c r="G518" s="212">
        <v>5000</v>
      </c>
      <c r="H518" s="30">
        <f>IFERROR(VLOOKUP(E518,'Inventaire des produits'!$B$4:$K$1001,8,0),"")</f>
        <v>0.72</v>
      </c>
      <c r="I518" s="32">
        <f t="shared" si="14"/>
        <v>3600</v>
      </c>
      <c r="J518" s="33">
        <v>3600</v>
      </c>
      <c r="K518" s="127">
        <f t="shared" si="13"/>
        <v>4320</v>
      </c>
    </row>
    <row r="519" spans="2:11" x14ac:dyDescent="0.3">
      <c r="B519" s="306" t="s">
        <v>1703</v>
      </c>
      <c r="C519" s="196">
        <v>45506</v>
      </c>
      <c r="D519" s="195" t="s">
        <v>1147</v>
      </c>
      <c r="E519" s="208" t="s">
        <v>1146</v>
      </c>
      <c r="F519" s="29" t="str">
        <f>IFERROR(VLOOKUP(E519,'Inventaire des produits'!$B$4:$K$1001,2,0),"")</f>
        <v>BARQUETTE ALUMINIUM 83890</v>
      </c>
      <c r="G519" s="212">
        <v>9000</v>
      </c>
      <c r="H519" s="30">
        <f>IFERROR(VLOOKUP(E519,'Inventaire des produits'!$B$4:$K$1001,8,0),"")</f>
        <v>0.53</v>
      </c>
      <c r="I519" s="32">
        <f t="shared" si="14"/>
        <v>4770</v>
      </c>
      <c r="J519" s="33">
        <v>4770</v>
      </c>
      <c r="K519" s="127">
        <f t="shared" si="13"/>
        <v>5724</v>
      </c>
    </row>
    <row r="520" spans="2:11" x14ac:dyDescent="0.3">
      <c r="B520" s="306" t="s">
        <v>1703</v>
      </c>
      <c r="C520" s="196">
        <v>45484</v>
      </c>
      <c r="D520" s="195" t="s">
        <v>1150</v>
      </c>
      <c r="E520" s="208" t="s">
        <v>1149</v>
      </c>
      <c r="F520" s="29" t="str">
        <f>IFERROR(VLOOKUP(E520,'Inventaire des produits'!$B$4:$K$1001,2,0),"")</f>
        <v>ROULEAU DE CAISSE THERMIQUE 80X80</v>
      </c>
      <c r="G520" s="212">
        <v>1000</v>
      </c>
      <c r="H520" s="30">
        <f>IFERROR(VLOOKUP(E520,'Inventaire des produits'!$B$4:$K$1001,8,0),"")</f>
        <v>7.5</v>
      </c>
      <c r="I520" s="32">
        <f t="shared" si="14"/>
        <v>7500</v>
      </c>
      <c r="J520" s="33">
        <v>7500</v>
      </c>
      <c r="K520" s="127">
        <f t="shared" si="13"/>
        <v>9000</v>
      </c>
    </row>
    <row r="521" spans="2:11" x14ac:dyDescent="0.3">
      <c r="B521" s="306" t="s">
        <v>1703</v>
      </c>
      <c r="C521" s="196">
        <v>45513</v>
      </c>
      <c r="D521" s="195" t="s">
        <v>1163</v>
      </c>
      <c r="E521" s="208" t="s">
        <v>1162</v>
      </c>
      <c r="F521" s="29" t="str">
        <f>IFERROR(VLOOKUP(E521,'Inventaire des produits'!$B$4:$K$1001,2,0),"")</f>
        <v>BOITE PIZZA N°40</v>
      </c>
      <c r="G521" s="212">
        <v>300</v>
      </c>
      <c r="H521" s="30">
        <f>IFERROR(VLOOKUP(E521,'Inventaire des produits'!$B$4:$K$1001,8,0),"")</f>
        <v>2.78</v>
      </c>
      <c r="I521" s="32">
        <f t="shared" si="14"/>
        <v>833.99999999999989</v>
      </c>
      <c r="J521" s="33">
        <v>833.99999999999989</v>
      </c>
      <c r="K521" s="127">
        <f t="shared" si="13"/>
        <v>1000.7999999999998</v>
      </c>
    </row>
    <row r="522" spans="2:11" x14ac:dyDescent="0.3">
      <c r="B522" s="306" t="s">
        <v>1703</v>
      </c>
      <c r="C522" s="196">
        <v>45517</v>
      </c>
      <c r="D522" s="195" t="s">
        <v>1175</v>
      </c>
      <c r="E522" s="208" t="s">
        <v>1162</v>
      </c>
      <c r="F522" s="29" t="str">
        <f>IFERROR(VLOOKUP(E522,'Inventaire des produits'!$B$4:$K$1001,2,0),"")</f>
        <v>BOITE PIZZA N°40</v>
      </c>
      <c r="G522" s="212">
        <v>300</v>
      </c>
      <c r="H522" s="30">
        <f>IFERROR(VLOOKUP(E522,'Inventaire des produits'!$B$4:$K$1001,8,0),"")</f>
        <v>2.78</v>
      </c>
      <c r="I522" s="32">
        <f t="shared" si="14"/>
        <v>833.99999999999989</v>
      </c>
      <c r="K522" s="127" t="str">
        <f t="shared" si="13"/>
        <v/>
      </c>
    </row>
    <row r="523" spans="2:11" x14ac:dyDescent="0.3">
      <c r="B523" s="306" t="s">
        <v>1703</v>
      </c>
      <c r="C523" s="320">
        <v>45474</v>
      </c>
      <c r="D523" s="317" t="s">
        <v>1180</v>
      </c>
      <c r="E523" s="207" t="s">
        <v>1183</v>
      </c>
      <c r="F523" s="29" t="str">
        <f>IFERROR(VLOOKUP(E523,'Inventaire des produits'!$B$4:$K$1001,2,0),"")</f>
        <v>ROULEAU ALUMINIUM EXTRA PACK 200M</v>
      </c>
      <c r="G523" s="212">
        <v>240</v>
      </c>
      <c r="H523" s="30">
        <f>IFERROR(VLOOKUP(E523,'Inventaire des produits'!$B$4:$K$1001,8,0),"")</f>
        <v>44.166666666666671</v>
      </c>
      <c r="I523" s="32">
        <f t="shared" si="14"/>
        <v>10600.000000000002</v>
      </c>
      <c r="J523" s="33">
        <f>SUM(I523:I525)</f>
        <v>21858.333330666668</v>
      </c>
      <c r="K523" s="127">
        <f t="shared" si="13"/>
        <v>26229.999996800001</v>
      </c>
    </row>
    <row r="524" spans="2:11" x14ac:dyDescent="0.3">
      <c r="B524" s="306" t="s">
        <v>1703</v>
      </c>
      <c r="C524" s="321"/>
      <c r="D524" s="318"/>
      <c r="E524" s="207" t="s">
        <v>778</v>
      </c>
      <c r="F524" s="29" t="str">
        <f>IFERROR(VLOOKUP(E524,'Inventaire des produits'!$B$4:$K$1001,2,0),"")</f>
        <v>POT DE SAUCE EN PLAST TRANSP 20ML</v>
      </c>
      <c r="G524" s="212">
        <v>80000</v>
      </c>
      <c r="H524" s="30">
        <f>IFERROR(VLOOKUP(E524,'Inventaire des produits'!$B$4:$K$1001,8,0),"")</f>
        <v>8.3333333300000006E-2</v>
      </c>
      <c r="I524" s="32">
        <f t="shared" si="14"/>
        <v>6666.6666640000003</v>
      </c>
      <c r="K524" s="127" t="str">
        <f t="shared" si="13"/>
        <v/>
      </c>
    </row>
    <row r="525" spans="2:11" x14ac:dyDescent="0.3">
      <c r="B525" s="306" t="s">
        <v>1703</v>
      </c>
      <c r="C525" s="322"/>
      <c r="D525" s="319"/>
      <c r="E525" s="208" t="s">
        <v>1184</v>
      </c>
      <c r="F525" s="29" t="str">
        <f>IFERROR(VLOOKUP(E525,'Inventaire des produits'!$B$4:$K$1001,2,0),"")</f>
        <v>COQUILLE MEAL BOX 2 COMP BLANC</v>
      </c>
      <c r="G525" s="212">
        <v>5800</v>
      </c>
      <c r="H525" s="30">
        <f>IFERROR(VLOOKUP(E525,'Inventaire des produits'!$B$4:$K$1001,8,0),"")</f>
        <v>0.79166666666666663</v>
      </c>
      <c r="I525" s="32">
        <f t="shared" si="14"/>
        <v>4591.6666666666661</v>
      </c>
      <c r="K525" s="127" t="str">
        <f t="shared" si="13"/>
        <v/>
      </c>
    </row>
    <row r="526" spans="2:11" x14ac:dyDescent="0.3">
      <c r="B526" s="306" t="s">
        <v>1703</v>
      </c>
      <c r="C526" s="320">
        <v>45475</v>
      </c>
      <c r="D526" s="317" t="s">
        <v>1181</v>
      </c>
      <c r="E526" s="208" t="s">
        <v>1185</v>
      </c>
      <c r="F526" s="29" t="str">
        <f>IFERROR(VLOOKUP(E526,'Inventaire des produits'!$B$4:$K$1001,2,0),"")</f>
        <v>GANT VINYL NOIR EXTRA PREMIUM GLOVE MEDIUM</v>
      </c>
      <c r="G526" s="212">
        <v>10</v>
      </c>
      <c r="H526" s="30">
        <f>IFERROR(VLOOKUP(E526,'Inventaire des produits'!$B$4:$K$1001,8,0),"")</f>
        <v>20</v>
      </c>
      <c r="I526" s="32">
        <f t="shared" si="14"/>
        <v>200</v>
      </c>
      <c r="J526" s="33">
        <v>4440</v>
      </c>
      <c r="K526" s="127">
        <f t="shared" si="13"/>
        <v>5328</v>
      </c>
    </row>
    <row r="527" spans="2:11" x14ac:dyDescent="0.3">
      <c r="B527" s="306" t="s">
        <v>1703</v>
      </c>
      <c r="C527" s="322"/>
      <c r="D527" s="319"/>
      <c r="E527" s="208" t="s">
        <v>1183</v>
      </c>
      <c r="F527" s="29" t="str">
        <f>IFERROR(VLOOKUP(E527,'Inventaire des produits'!$B$4:$K$1001,2,0),"")</f>
        <v>ROULEAU ALUMINIUM EXTRA PACK 200M</v>
      </c>
      <c r="G527" s="212">
        <v>96</v>
      </c>
      <c r="H527" s="30">
        <f>IFERROR(VLOOKUP(E527,'Inventaire des produits'!$B$4:$K$1001,8,0),"")</f>
        <v>44.166666666666671</v>
      </c>
      <c r="I527" s="32">
        <f t="shared" si="14"/>
        <v>4240</v>
      </c>
      <c r="K527" s="127" t="str">
        <f t="shared" si="13"/>
        <v/>
      </c>
    </row>
    <row r="528" spans="2:11" x14ac:dyDescent="0.3">
      <c r="B528" s="306" t="s">
        <v>1703</v>
      </c>
      <c r="C528" s="196">
        <v>45483</v>
      </c>
      <c r="D528" s="195" t="s">
        <v>1182</v>
      </c>
      <c r="E528" s="208" t="s">
        <v>1186</v>
      </c>
      <c r="F528" s="29" t="str">
        <f>IFERROR(VLOOKUP(E528,'Inventaire des produits'!$B$4:$K$1001,2,0),"")</f>
        <v>ROULEAU ALUMINIUM GOLDEN 200M</v>
      </c>
      <c r="G528" s="212">
        <v>120</v>
      </c>
      <c r="H528" s="30">
        <f>IFERROR(VLOOKUP(E528,'Inventaire des produits'!$B$4:$K$1001,8,0),"")</f>
        <v>55</v>
      </c>
      <c r="I528" s="32">
        <f t="shared" si="14"/>
        <v>6600</v>
      </c>
      <c r="J528" s="33">
        <v>6600</v>
      </c>
      <c r="K528" s="127">
        <f t="shared" si="13"/>
        <v>7920</v>
      </c>
    </row>
    <row r="529" spans="2:11" x14ac:dyDescent="0.3">
      <c r="B529" s="306" t="s">
        <v>1703</v>
      </c>
      <c r="C529" s="196">
        <v>45519</v>
      </c>
      <c r="D529" s="195" t="s">
        <v>1189</v>
      </c>
      <c r="E529" s="208" t="s">
        <v>1146</v>
      </c>
      <c r="F529" s="29" t="str">
        <f>IFERROR(VLOOKUP(E529,'Inventaire des produits'!$B$4:$K$1001,2,0),"")</f>
        <v>BARQUETTE ALUMINIUM 83890</v>
      </c>
      <c r="G529" s="212">
        <v>10000</v>
      </c>
      <c r="H529" s="30">
        <f>IFERROR(VLOOKUP(E529,'Inventaire des produits'!$B$4:$K$1001,8,0),"")</f>
        <v>0.53</v>
      </c>
      <c r="I529" s="32">
        <f t="shared" si="14"/>
        <v>5300</v>
      </c>
      <c r="J529" s="33">
        <v>5300</v>
      </c>
      <c r="K529" s="127">
        <f t="shared" si="13"/>
        <v>6360</v>
      </c>
    </row>
    <row r="530" spans="2:11" x14ac:dyDescent="0.3">
      <c r="B530" s="306" t="s">
        <v>1703</v>
      </c>
      <c r="C530" s="196">
        <v>45519</v>
      </c>
      <c r="D530" s="195" t="s">
        <v>1191</v>
      </c>
      <c r="E530" s="208" t="s">
        <v>1190</v>
      </c>
      <c r="F530" s="29" t="str">
        <f>IFERROR(VLOOKUP(E530,'Inventaire des produits'!$B$4:$K$1001,2,0),"")</f>
        <v>GOBLET 12OZ EN PLAST TRANS SMART AVEC CVL PLAT</v>
      </c>
      <c r="G530" s="212">
        <v>20000</v>
      </c>
      <c r="H530" s="30">
        <f>IFERROR(VLOOKUP(E530,'Inventaire des produits'!$B$4:$K$1001,8,0),"")</f>
        <v>0.38333525000000002</v>
      </c>
      <c r="I530" s="32">
        <f t="shared" si="14"/>
        <v>7666.7049999999999</v>
      </c>
      <c r="J530" s="33">
        <v>7666.7049999999999</v>
      </c>
      <c r="K530" s="127">
        <f t="shared" si="13"/>
        <v>9200.0460000000003</v>
      </c>
    </row>
    <row r="531" spans="2:11" x14ac:dyDescent="0.3">
      <c r="B531" s="306" t="s">
        <v>1703</v>
      </c>
      <c r="C531" s="196">
        <v>45520</v>
      </c>
      <c r="D531" s="195" t="s">
        <v>1195</v>
      </c>
      <c r="E531" s="208" t="s">
        <v>1194</v>
      </c>
      <c r="F531" s="29" t="str">
        <f>IFERROR(VLOOKUP(E531,'Inventaire des produits'!$B$4:$K$1001,2,0),"")</f>
        <v>POT DE SAUCE 2OZ EN PLASTIQUE</v>
      </c>
      <c r="G531" s="212">
        <v>1000</v>
      </c>
      <c r="H531" s="30">
        <f>IFERROR(VLOOKUP(E531,'Inventaire des produits'!$B$4:$K$1001,8,0),"")</f>
        <v>0.28999999999999998</v>
      </c>
      <c r="I531" s="32">
        <f t="shared" si="14"/>
        <v>290</v>
      </c>
      <c r="J531" s="33">
        <v>290</v>
      </c>
      <c r="K531" s="127">
        <f t="shared" si="13"/>
        <v>348</v>
      </c>
    </row>
    <row r="532" spans="2:11" x14ac:dyDescent="0.3">
      <c r="B532" s="306" t="s">
        <v>1703</v>
      </c>
      <c r="C532" s="320">
        <v>45519</v>
      </c>
      <c r="D532" s="317" t="s">
        <v>1201</v>
      </c>
      <c r="E532" s="208" t="s">
        <v>1197</v>
      </c>
      <c r="F532" s="29" t="str">
        <f>IFERROR(VLOOKUP(E532,'Inventaire des produits'!$B$4:$K$1001,2,0),"")</f>
        <v>TAPIS SUSHI MAKISU</v>
      </c>
      <c r="G532" s="212">
        <v>2</v>
      </c>
      <c r="H532" s="30">
        <f>IFERROR(VLOOKUP(E532,'Inventaire des produits'!$B$4:$K$1001,8,0),"")</f>
        <v>25</v>
      </c>
      <c r="I532" s="32">
        <f t="shared" si="14"/>
        <v>50</v>
      </c>
      <c r="J532" s="33">
        <v>1447.0409999999999</v>
      </c>
      <c r="K532" s="127">
        <v>1623</v>
      </c>
    </row>
    <row r="533" spans="2:11" x14ac:dyDescent="0.3">
      <c r="B533" s="306" t="s">
        <v>1703</v>
      </c>
      <c r="C533" s="321"/>
      <c r="D533" s="318"/>
      <c r="E533" s="208" t="s">
        <v>1198</v>
      </c>
      <c r="F533" s="29" t="str">
        <f>IFERROR(VLOOKUP(E533,'Inventaire des produits'!$B$4:$K$1001,2,0),"")</f>
        <v>NOODLES 250G LA PAGODE</v>
      </c>
      <c r="G533" s="212">
        <v>96</v>
      </c>
      <c r="H533" s="30">
        <f>IFERROR(VLOOKUP(E533,'Inventaire des produits'!$B$4:$K$1001,8,0),"")</f>
        <v>11.818</v>
      </c>
      <c r="I533" s="32">
        <f t="shared" si="14"/>
        <v>1134.528</v>
      </c>
      <c r="K533" s="127" t="str">
        <f t="shared" si="13"/>
        <v/>
      </c>
    </row>
    <row r="534" spans="2:11" x14ac:dyDescent="0.3">
      <c r="B534" s="306" t="s">
        <v>1703</v>
      </c>
      <c r="C534" s="321"/>
      <c r="D534" s="318"/>
      <c r="E534" s="208" t="s">
        <v>1199</v>
      </c>
      <c r="F534" s="29" t="str">
        <f>IFERROR(VLOOKUP(E534,'Inventaire des produits'!$B$4:$K$1001,2,0),"")</f>
        <v>TAPIS SUSHI MAKISU</v>
      </c>
      <c r="G534" s="212">
        <v>4</v>
      </c>
      <c r="H534" s="30">
        <f>IFERROR(VLOOKUP(E534,'Inventaire des produits'!$B$4:$K$1001,8,0),"")</f>
        <v>29.167000000000002</v>
      </c>
      <c r="I534" s="32">
        <f t="shared" si="14"/>
        <v>116.66800000000001</v>
      </c>
      <c r="K534" s="127" t="str">
        <f t="shared" si="13"/>
        <v/>
      </c>
    </row>
    <row r="535" spans="2:11" x14ac:dyDescent="0.3">
      <c r="B535" s="306" t="s">
        <v>1703</v>
      </c>
      <c r="C535" s="322"/>
      <c r="D535" s="319"/>
      <c r="E535" s="208" t="s">
        <v>1200</v>
      </c>
      <c r="F535" s="29" t="str">
        <f>IFERROR(VLOOKUP(E535,'Inventaire des produits'!$B$4:$K$1001,2,0),"")</f>
        <v>TAPIS SUSHI MAKISU</v>
      </c>
      <c r="G535" s="212">
        <v>5</v>
      </c>
      <c r="H535" s="30">
        <f>IFERROR(VLOOKUP(E535,'Inventaire des produits'!$B$4:$K$1001,8,0),"")</f>
        <v>29.169</v>
      </c>
      <c r="I535" s="32">
        <f t="shared" si="14"/>
        <v>145.845</v>
      </c>
      <c r="K535" s="127" t="str">
        <f t="shared" si="13"/>
        <v/>
      </c>
    </row>
    <row r="536" spans="2:11" x14ac:dyDescent="0.3">
      <c r="B536" s="306" t="s">
        <v>1703</v>
      </c>
      <c r="C536" s="196">
        <v>45491</v>
      </c>
      <c r="D536" s="195" t="s">
        <v>1203</v>
      </c>
      <c r="E536" s="208" t="s">
        <v>1202</v>
      </c>
      <c r="F536" s="29" t="str">
        <f>IFERROR(VLOOKUP(E536,'Inventaire des produits'!$B$4:$K$1001,2,0),"")</f>
        <v>POT DE SAUCE 1OZ AVEC CVL</v>
      </c>
      <c r="G536" s="212">
        <v>20000</v>
      </c>
      <c r="H536" s="30">
        <f>IFERROR(VLOOKUP(E536,'Inventaire des produits'!$B$4:$K$1001,8,0),"")</f>
        <v>0.14166666666666669</v>
      </c>
      <c r="I536" s="32">
        <f t="shared" si="14"/>
        <v>2833.3333333333339</v>
      </c>
      <c r="J536" s="33">
        <v>2833.3333333333339</v>
      </c>
      <c r="K536" s="127">
        <f t="shared" si="13"/>
        <v>3400.0000000000005</v>
      </c>
    </row>
    <row r="537" spans="2:11" x14ac:dyDescent="0.3">
      <c r="B537" s="306" t="s">
        <v>1703</v>
      </c>
      <c r="C537" s="196">
        <v>45487</v>
      </c>
      <c r="D537" s="195" t="s">
        <v>1204</v>
      </c>
      <c r="E537" s="208" t="s">
        <v>862</v>
      </c>
      <c r="F537" s="29" t="str">
        <f>IFERROR(VLOOKUP(E537,'Inventaire des produits'!$B$4:$K$1001,2,0),"")</f>
        <v>BARQUETTE MICRON ONDABLE 3 COMP AVEC CVL</v>
      </c>
      <c r="G537" s="212">
        <v>300</v>
      </c>
      <c r="H537" s="30">
        <f>IFERROR(VLOOKUP(E537,'Inventaire des produits'!$B$4:$K$1001,8,0),"")</f>
        <v>1.5833333332999999</v>
      </c>
      <c r="I537" s="32">
        <f t="shared" si="14"/>
        <v>474.99999998999999</v>
      </c>
      <c r="J537" s="33">
        <v>474.99999998999999</v>
      </c>
      <c r="K537" s="127">
        <f t="shared" si="13"/>
        <v>569.99999998800001</v>
      </c>
    </row>
    <row r="538" spans="2:11" x14ac:dyDescent="0.3">
      <c r="B538" s="306" t="s">
        <v>1703</v>
      </c>
      <c r="C538" s="196">
        <v>45484</v>
      </c>
      <c r="D538" s="195" t="s">
        <v>1206</v>
      </c>
      <c r="E538" s="208" t="s">
        <v>1205</v>
      </c>
      <c r="F538" s="29" t="str">
        <f>IFERROR(VLOOKUP(E538,'Inventaire des produits'!$B$4:$K$1001,2,0),"")</f>
        <v xml:space="preserve">COUPE DESSERT ARISSA ET CVL 230CC </v>
      </c>
      <c r="G538" s="212">
        <v>1200</v>
      </c>
      <c r="H538" s="30">
        <f>IFERROR(VLOOKUP(E538,'Inventaire des produits'!$B$4:$K$1001,8,0),"")</f>
        <v>1</v>
      </c>
      <c r="I538" s="32">
        <f t="shared" si="14"/>
        <v>1200</v>
      </c>
      <c r="J538" s="33">
        <v>1200</v>
      </c>
      <c r="K538" s="127">
        <f t="shared" si="13"/>
        <v>1440</v>
      </c>
    </row>
    <row r="539" spans="2:11" x14ac:dyDescent="0.3">
      <c r="B539" s="306" t="s">
        <v>1703</v>
      </c>
      <c r="C539" s="196">
        <v>45482</v>
      </c>
      <c r="D539" s="195" t="s">
        <v>1208</v>
      </c>
      <c r="E539" s="208" t="s">
        <v>1207</v>
      </c>
      <c r="F539" s="29" t="str">
        <f>IFERROR(VLOOKUP(E539,'Inventaire des produits'!$B$4:$K$1001,2,0),"")</f>
        <v>BOX NOUILLE ET PATE 32OZ BLANC</v>
      </c>
      <c r="G539" s="212">
        <v>1500</v>
      </c>
      <c r="H539" s="30">
        <f>IFERROR(VLOOKUP(E539,'Inventaire des produits'!$B$4:$K$1001,8,0),"")</f>
        <v>1.0291666666666668</v>
      </c>
      <c r="I539" s="32">
        <f t="shared" si="14"/>
        <v>1543.7500000000002</v>
      </c>
      <c r="J539" s="33">
        <v>1543.7500000000002</v>
      </c>
      <c r="K539" s="127">
        <f t="shared" si="13"/>
        <v>1852.5000000000002</v>
      </c>
    </row>
    <row r="540" spans="2:11" x14ac:dyDescent="0.3">
      <c r="B540" s="306" t="s">
        <v>1703</v>
      </c>
      <c r="C540" s="196">
        <v>45477</v>
      </c>
      <c r="D540" s="195" t="s">
        <v>1209</v>
      </c>
      <c r="E540" s="208" t="s">
        <v>514</v>
      </c>
      <c r="F540" s="29" t="str">
        <f>IFERROR(VLOOKUP(E540,'Inventaire des produits'!$B$4:$K$1001,2,0),"")</f>
        <v xml:space="preserve">BARQUETTE MICRON ONDABLE 2 COMP </v>
      </c>
      <c r="G540" s="212">
        <v>300</v>
      </c>
      <c r="H540" s="30">
        <f>IFERROR(VLOOKUP(E540,'Inventaire des produits'!$B$4:$K$1001,8,0),"")</f>
        <v>1.625</v>
      </c>
      <c r="I540" s="32">
        <f t="shared" si="14"/>
        <v>487.5</v>
      </c>
      <c r="J540" s="33">
        <v>487.5</v>
      </c>
      <c r="K540" s="127">
        <f t="shared" si="13"/>
        <v>585</v>
      </c>
    </row>
    <row r="541" spans="2:11" x14ac:dyDescent="0.3">
      <c r="B541" s="306" t="s">
        <v>1703</v>
      </c>
      <c r="C541" s="196">
        <v>45474</v>
      </c>
      <c r="D541" s="195" t="s">
        <v>1211</v>
      </c>
      <c r="E541" s="207" t="s">
        <v>1210</v>
      </c>
      <c r="F541" s="29" t="str">
        <f>IFERROR(VLOOKUP(E541,'Inventaire des produits'!$B$4:$K$1001,2,0),"")</f>
        <v>BOL SALADE ET CVL KRAFT 750CC CARTON 400PCS</v>
      </c>
      <c r="G541" s="212">
        <v>500</v>
      </c>
      <c r="H541" s="30">
        <f>IFERROR(VLOOKUP(E541,'Inventaire des produits'!$B$4:$K$1001,8,0),"")</f>
        <v>1.3333333333333335</v>
      </c>
      <c r="I541" s="32">
        <f t="shared" si="14"/>
        <v>666.66666666666674</v>
      </c>
      <c r="J541" s="33">
        <v>666.66666666666674</v>
      </c>
      <c r="K541" s="127">
        <f t="shared" si="13"/>
        <v>800.00000000000011</v>
      </c>
    </row>
    <row r="542" spans="2:11" x14ac:dyDescent="0.3">
      <c r="B542" s="306" t="s">
        <v>1703</v>
      </c>
      <c r="C542" s="196">
        <v>45473</v>
      </c>
      <c r="D542" s="195" t="s">
        <v>1213</v>
      </c>
      <c r="E542" s="207" t="s">
        <v>1212</v>
      </c>
      <c r="F542" s="29" t="str">
        <f>IFERROR(VLOOKUP(E542,'Inventaire des produits'!$B$4:$K$1001,2,0),"")</f>
        <v>BARQUETTE TRAITEUR 750CC MICRON ONDABLE TRANS</v>
      </c>
      <c r="G542" s="212">
        <v>300</v>
      </c>
      <c r="H542" s="30">
        <f>IFERROR(VLOOKUP(E542,'Inventaire des produits'!$B$4:$K$1001,8,0),"")</f>
        <v>1.05</v>
      </c>
      <c r="I542" s="32">
        <f t="shared" si="14"/>
        <v>315</v>
      </c>
      <c r="J542" s="33">
        <v>315</v>
      </c>
      <c r="K542" s="127">
        <f t="shared" si="13"/>
        <v>378</v>
      </c>
    </row>
    <row r="543" spans="2:11" x14ac:dyDescent="0.3">
      <c r="B543" s="306" t="s">
        <v>1703</v>
      </c>
      <c r="C543" s="196">
        <v>45472</v>
      </c>
      <c r="D543" s="195" t="s">
        <v>1214</v>
      </c>
      <c r="E543" s="208" t="s">
        <v>1212</v>
      </c>
      <c r="F543" s="29" t="str">
        <f>IFERROR(VLOOKUP(E543,'Inventaire des produits'!$B$4:$K$1001,2,0),"")</f>
        <v>BARQUETTE TRAITEUR 750CC MICRON ONDABLE TRANS</v>
      </c>
      <c r="G543" s="212">
        <v>600</v>
      </c>
      <c r="H543" s="30">
        <f>IFERROR(VLOOKUP(E543,'Inventaire des produits'!$B$4:$K$1001,8,0),"")</f>
        <v>1.05</v>
      </c>
      <c r="I543" s="32">
        <f t="shared" si="14"/>
        <v>630</v>
      </c>
      <c r="J543" s="33">
        <v>630</v>
      </c>
      <c r="K543" s="127">
        <f t="shared" si="13"/>
        <v>756</v>
      </c>
    </row>
    <row r="544" spans="2:11" x14ac:dyDescent="0.3">
      <c r="B544" s="306" t="s">
        <v>1703</v>
      </c>
      <c r="C544" s="196">
        <v>45469</v>
      </c>
      <c r="D544" s="195" t="s">
        <v>1216</v>
      </c>
      <c r="E544" s="208" t="s">
        <v>1215</v>
      </c>
      <c r="F544" s="29" t="str">
        <f>IFERROR(VLOOKUP(E544,'Inventaire des produits'!$B$4:$K$1001,2,0),"")</f>
        <v>BOLE SOUPE 16OZ MICRON ONDABLE</v>
      </c>
      <c r="G544" s="212">
        <f>10*450</f>
        <v>4500</v>
      </c>
      <c r="H544" s="30">
        <f>IFERROR(VLOOKUP(E544,'Inventaire des produits'!$B$4:$K$1001,8,0),"")</f>
        <v>0.79166666666666663</v>
      </c>
      <c r="I544" s="32">
        <f t="shared" si="14"/>
        <v>3562.5</v>
      </c>
      <c r="J544" s="33">
        <v>3562.5</v>
      </c>
      <c r="K544" s="127">
        <f t="shared" si="13"/>
        <v>4275</v>
      </c>
    </row>
    <row r="545" spans="2:11" x14ac:dyDescent="0.3">
      <c r="B545" s="306" t="s">
        <v>1703</v>
      </c>
      <c r="C545" s="196">
        <v>45456</v>
      </c>
      <c r="D545" s="195" t="s">
        <v>1218</v>
      </c>
      <c r="E545" s="208" t="s">
        <v>1217</v>
      </c>
      <c r="F545" s="29" t="str">
        <f>IFERROR(VLOOKUP(E545,'Inventaire des produits'!$B$4:$K$1001,2,0),"")</f>
        <v>BARQUETTE TRAITEUR 750CC MICRON ONDABLE TRANS</v>
      </c>
      <c r="G545" s="212">
        <f>15*300</f>
        <v>4500</v>
      </c>
      <c r="H545" s="30">
        <f>IFERROR(VLOOKUP(E545,'Inventaire des produits'!$B$4:$K$1001,8,0),"")</f>
        <v>1.0694444444444446</v>
      </c>
      <c r="I545" s="32">
        <f t="shared" si="14"/>
        <v>4812.5000000000009</v>
      </c>
      <c r="J545" s="33">
        <v>4812.5000000000009</v>
      </c>
      <c r="K545" s="127">
        <f t="shared" si="13"/>
        <v>5775.0000000000009</v>
      </c>
    </row>
    <row r="546" spans="2:11" x14ac:dyDescent="0.3">
      <c r="B546" s="306" t="s">
        <v>1703</v>
      </c>
      <c r="C546" s="196">
        <v>45455</v>
      </c>
      <c r="D546" s="195" t="s">
        <v>1219</v>
      </c>
      <c r="E546" s="208" t="s">
        <v>751</v>
      </c>
      <c r="F546" s="29" t="str">
        <f>IFERROR(VLOOKUP(E546,'Inventaire des produits'!$B$4:$K$1001,2,0),"")</f>
        <v>BOL SALADE BLANC 500CC</v>
      </c>
      <c r="G546" s="212">
        <v>400</v>
      </c>
      <c r="H546" s="30">
        <f>IFERROR(VLOOKUP(E546,'Inventaire des produits'!$B$4:$K$1001,8,0),"")</f>
        <v>1.2916666666000001</v>
      </c>
      <c r="I546" s="32">
        <f t="shared" si="14"/>
        <v>516.66666664000002</v>
      </c>
      <c r="J546" s="33">
        <v>516.66666664000002</v>
      </c>
      <c r="K546" s="127">
        <f t="shared" si="13"/>
        <v>619.999999968</v>
      </c>
    </row>
    <row r="547" spans="2:11" x14ac:dyDescent="0.3">
      <c r="B547" s="306" t="s">
        <v>1703</v>
      </c>
      <c r="C547" s="196">
        <v>45521</v>
      </c>
      <c r="D547" s="195" t="s">
        <v>1220</v>
      </c>
      <c r="E547" s="208" t="s">
        <v>1162</v>
      </c>
      <c r="F547" s="29" t="str">
        <f>IFERROR(VLOOKUP(E547,'Inventaire des produits'!$B$4:$K$1001,2,0),"")</f>
        <v>BOITE PIZZA N°40</v>
      </c>
      <c r="G547" s="212">
        <v>500</v>
      </c>
      <c r="H547" s="30">
        <f>IFERROR(VLOOKUP(E547,'Inventaire des produits'!$B$4:$K$1001,8,0),"")</f>
        <v>2.78</v>
      </c>
      <c r="I547" s="32">
        <f t="shared" si="14"/>
        <v>1390</v>
      </c>
      <c r="J547" s="33">
        <v>1390</v>
      </c>
      <c r="K547" s="127">
        <f t="shared" si="13"/>
        <v>1668</v>
      </c>
    </row>
    <row r="548" spans="2:11" x14ac:dyDescent="0.3">
      <c r="B548" s="306" t="s">
        <v>1703</v>
      </c>
      <c r="C548" s="196">
        <v>45505</v>
      </c>
      <c r="D548" s="195" t="s">
        <v>1223</v>
      </c>
      <c r="E548" s="208" t="s">
        <v>1222</v>
      </c>
      <c r="F548" s="29" t="str">
        <f>IFERROR(VLOOKUP(E548,'Inventaire des produits'!$B$4:$K$1001,2,0),"")</f>
        <v>POT DE SAUCE 1OZ PROCLEAN</v>
      </c>
      <c r="G548" s="212">
        <v>1000000</v>
      </c>
      <c r="H548" s="30">
        <f>IFERROR(VLOOKUP(E548,'Inventaire des produits'!$B$4:$K$1001,8,0),"")</f>
        <v>0.1167</v>
      </c>
      <c r="I548" s="32">
        <f t="shared" si="14"/>
        <v>116700</v>
      </c>
      <c r="J548" s="33">
        <v>116700</v>
      </c>
      <c r="K548" s="127">
        <f t="shared" si="13"/>
        <v>140040</v>
      </c>
    </row>
    <row r="549" spans="2:11" x14ac:dyDescent="0.3">
      <c r="B549" s="306" t="s">
        <v>1703</v>
      </c>
      <c r="C549" s="320">
        <v>45521</v>
      </c>
      <c r="D549" s="317" t="s">
        <v>1224</v>
      </c>
      <c r="E549" s="208" t="s">
        <v>929</v>
      </c>
      <c r="F549" s="29" t="str">
        <f>IFERROR(VLOOKUP(E549,'Inventaire des produits'!$B$4:$K$1001,2,0),"")</f>
        <v xml:space="preserve">SERVIETTE DE TABLE </v>
      </c>
      <c r="G549" s="212">
        <v>2000</v>
      </c>
      <c r="H549" s="30">
        <f>IFERROR(VLOOKUP(E549,'Inventaire des produits'!$B$4:$K$1001,8,0),"")</f>
        <v>2.9169999999999998</v>
      </c>
      <c r="I549" s="32">
        <f t="shared" si="14"/>
        <v>5834</v>
      </c>
      <c r="J549" s="33">
        <v>13234.04</v>
      </c>
      <c r="K549" s="127">
        <f t="shared" si="13"/>
        <v>15880.848</v>
      </c>
    </row>
    <row r="550" spans="2:11" x14ac:dyDescent="0.3">
      <c r="B550" s="306" t="s">
        <v>1703</v>
      </c>
      <c r="C550" s="321"/>
      <c r="D550" s="318"/>
      <c r="E550" s="208" t="s">
        <v>1129</v>
      </c>
      <c r="F550" s="29" t="str">
        <f>IFERROR(VLOOKUP(E550,'Inventaire des produits'!$B$4:$K$1001,2,0),"")</f>
        <v>FILM ALIMENTAIRE ORIGINAL 45*500</v>
      </c>
      <c r="G550" s="212">
        <v>120</v>
      </c>
      <c r="H550" s="30">
        <f>IFERROR(VLOOKUP(E550,'Inventaire des produits'!$B$4:$K$1001,8,0),"")</f>
        <v>27.5</v>
      </c>
      <c r="I550" s="32">
        <f t="shared" si="14"/>
        <v>3300</v>
      </c>
      <c r="K550" s="127" t="str">
        <f t="shared" si="13"/>
        <v/>
      </c>
    </row>
    <row r="551" spans="2:11" x14ac:dyDescent="0.3">
      <c r="B551" s="306" t="s">
        <v>1703</v>
      </c>
      <c r="C551" s="321"/>
      <c r="D551" s="318"/>
      <c r="E551" s="208" t="s">
        <v>1125</v>
      </c>
      <c r="F551" s="29" t="str">
        <f>IFERROR(VLOOKUP(E551,'Inventaire des produits'!$B$4:$K$1001,2,0),"")</f>
        <v>FILM ALIMENTAIRE 30*300</v>
      </c>
      <c r="G551" s="212">
        <v>120</v>
      </c>
      <c r="H551" s="30">
        <f>IFERROR(VLOOKUP(E551,'Inventaire des produits'!$B$4:$K$1001,8,0),"")</f>
        <v>21.667000000000002</v>
      </c>
      <c r="I551" s="32">
        <f t="shared" si="14"/>
        <v>2600.04</v>
      </c>
      <c r="K551" s="127" t="str">
        <f t="shared" si="13"/>
        <v/>
      </c>
    </row>
    <row r="552" spans="2:11" x14ac:dyDescent="0.3">
      <c r="B552" s="306" t="s">
        <v>1703</v>
      </c>
      <c r="C552" s="322"/>
      <c r="D552" s="319"/>
      <c r="E552" s="208" t="s">
        <v>464</v>
      </c>
      <c r="F552" s="29" t="str">
        <f>IFERROR(VLOOKUP(E552,'Inventaire des produits'!$B$4:$K$1001,2,0),"")</f>
        <v>PAPIER ZIGZAG</v>
      </c>
      <c r="G552" s="212">
        <v>200</v>
      </c>
      <c r="H552" s="30">
        <f>IFERROR(VLOOKUP(E552,'Inventaire des produits'!$B$4:$K$1001,8,0),"")</f>
        <v>7.5</v>
      </c>
      <c r="I552" s="32">
        <f t="shared" si="14"/>
        <v>1500</v>
      </c>
      <c r="K552" s="127" t="str">
        <f t="shared" si="13"/>
        <v/>
      </c>
    </row>
    <row r="553" spans="2:11" x14ac:dyDescent="0.3">
      <c r="B553" s="306" t="s">
        <v>1703</v>
      </c>
      <c r="C553" s="320">
        <v>45525</v>
      </c>
      <c r="D553" s="317" t="s">
        <v>1246</v>
      </c>
      <c r="E553" s="208" t="s">
        <v>1229</v>
      </c>
      <c r="F553" s="29" t="str">
        <f>IFERROR(VLOOKUP(E553,'Inventaire des produits'!$B$4:$K$1001,2,0),"")</f>
        <v>S BIG UP STICK 10ML</v>
      </c>
      <c r="G553" s="212">
        <v>12</v>
      </c>
      <c r="H553" s="30">
        <f>IFERROR(VLOOKUP(E553,'Inventaire des produits'!$B$4:$K$1001,8,0),"")</f>
        <v>100</v>
      </c>
      <c r="I553" s="32">
        <f t="shared" si="14"/>
        <v>1200</v>
      </c>
      <c r="J553" s="33">
        <f>SUM(I553:I561)</f>
        <v>5080.0019986000007</v>
      </c>
      <c r="K553" s="127">
        <f t="shared" si="13"/>
        <v>6096.0023983200008</v>
      </c>
    </row>
    <row r="554" spans="2:11" x14ac:dyDescent="0.3">
      <c r="B554" s="306" t="s">
        <v>1703</v>
      </c>
      <c r="C554" s="321"/>
      <c r="D554" s="318"/>
      <c r="E554" s="208" t="s">
        <v>1231</v>
      </c>
      <c r="F554" s="29" t="str">
        <f>IFERROR(VLOOKUP(E554,'Inventaire des produits'!$B$4:$K$1001,2,0),"")</f>
        <v>THON TAM 2KG</v>
      </c>
      <c r="G554" s="212">
        <v>12</v>
      </c>
      <c r="H554" s="30">
        <f>IFERROR(VLOOKUP(E554,'Inventaire des produits'!$B$4:$K$1001,8,0),"")</f>
        <v>103.33333330000001</v>
      </c>
      <c r="I554" s="32">
        <f t="shared" si="14"/>
        <v>1239.9999996000001</v>
      </c>
      <c r="K554" s="127" t="str">
        <f t="shared" si="13"/>
        <v/>
      </c>
    </row>
    <row r="555" spans="2:11" x14ac:dyDescent="0.3">
      <c r="B555" s="306" t="s">
        <v>1703</v>
      </c>
      <c r="C555" s="321"/>
      <c r="D555" s="318"/>
      <c r="E555" s="208" t="s">
        <v>1233</v>
      </c>
      <c r="F555" s="29" t="str">
        <f>IFERROR(VLOOKUP(E555,'Inventaire des produits'!$B$4:$K$1001,2,0),"")</f>
        <v>OLIVE NOIR SIOF 3KG</v>
      </c>
      <c r="G555" s="212">
        <v>6</v>
      </c>
      <c r="H555" s="30">
        <f>IFERROR(VLOOKUP(E555,'Inventaire des produits'!$B$4:$K$1001,8,0),"")</f>
        <v>54.167000000000002</v>
      </c>
      <c r="I555" s="32">
        <f t="shared" si="14"/>
        <v>325.00200000000001</v>
      </c>
      <c r="K555" s="127" t="str">
        <f t="shared" si="13"/>
        <v/>
      </c>
    </row>
    <row r="556" spans="2:11" x14ac:dyDescent="0.3">
      <c r="B556" s="306" t="s">
        <v>1703</v>
      </c>
      <c r="C556" s="321"/>
      <c r="D556" s="318"/>
      <c r="E556" s="208" t="s">
        <v>1234</v>
      </c>
      <c r="F556" s="29" t="str">
        <f>IFERROR(VLOOKUP(E556,'Inventaire des produits'!$B$4:$K$1001,2,0),"")</f>
        <v>SAUCE PIZZA BANGOR 1KG</v>
      </c>
      <c r="G556" s="212">
        <v>18</v>
      </c>
      <c r="H556" s="30">
        <f>IFERROR(VLOOKUP(E556,'Inventaire des produits'!$B$4:$K$1001,8,0),"")</f>
        <v>20</v>
      </c>
      <c r="I556" s="32">
        <f t="shared" si="14"/>
        <v>360</v>
      </c>
      <c r="K556" s="127" t="str">
        <f t="shared" si="13"/>
        <v/>
      </c>
    </row>
    <row r="557" spans="2:11" x14ac:dyDescent="0.3">
      <c r="B557" s="306" t="s">
        <v>1703</v>
      </c>
      <c r="C557" s="321"/>
      <c r="D557" s="318"/>
      <c r="E557" s="208" t="s">
        <v>1237</v>
      </c>
      <c r="F557" s="29" t="str">
        <f>IFERROR(VLOOKUP(E557,'Inventaire des produits'!$B$4:$K$1001,2,0),"")</f>
        <v>KETCHUP STAR 2KG</v>
      </c>
      <c r="G557" s="212">
        <v>12</v>
      </c>
      <c r="H557" s="30">
        <f>IFERROR(VLOOKUP(E557,'Inventaire des produits'!$B$4:$K$1001,8,0),"")</f>
        <v>18.3333333</v>
      </c>
      <c r="I557" s="32">
        <f t="shared" si="14"/>
        <v>219.9999996</v>
      </c>
      <c r="K557" s="127" t="str">
        <f t="shared" si="13"/>
        <v/>
      </c>
    </row>
    <row r="558" spans="2:11" x14ac:dyDescent="0.3">
      <c r="B558" s="306" t="s">
        <v>1703</v>
      </c>
      <c r="C558" s="321"/>
      <c r="D558" s="318"/>
      <c r="E558" s="208" t="s">
        <v>1238</v>
      </c>
      <c r="F558" s="29" t="str">
        <f>IFERROR(VLOOKUP(E558,'Inventaire des produits'!$B$4:$K$1001,2,0),"")</f>
        <v>MOUTARDE STAR OK 2KG</v>
      </c>
      <c r="G558" s="212">
        <v>12</v>
      </c>
      <c r="H558" s="30">
        <f>IFERROR(VLOOKUP(E558,'Inventaire des produits'!$B$4:$K$1001,8,0),"")</f>
        <v>33.3333333</v>
      </c>
      <c r="I558" s="32">
        <f t="shared" si="14"/>
        <v>399.99999960000002</v>
      </c>
      <c r="K558" s="127" t="str">
        <f t="shared" si="13"/>
        <v/>
      </c>
    </row>
    <row r="559" spans="2:11" x14ac:dyDescent="0.3">
      <c r="B559" s="306" t="s">
        <v>1703</v>
      </c>
      <c r="C559" s="321"/>
      <c r="D559" s="318"/>
      <c r="E559" s="208" t="s">
        <v>1240</v>
      </c>
      <c r="F559" s="29" t="str">
        <f>IFERROR(VLOOKUP(E559,'Inventaire des produits'!$B$4:$K$1001,2,0),"")</f>
        <v>SAUCE PIZZA BANGOR 5KG</v>
      </c>
      <c r="G559" s="212">
        <v>10</v>
      </c>
      <c r="H559" s="30">
        <f>IFERROR(VLOOKUP(E559,'Inventaire des produits'!$B$4:$K$1001,8,0),"")</f>
        <v>62.5</v>
      </c>
      <c r="I559" s="32">
        <f t="shared" si="14"/>
        <v>625</v>
      </c>
      <c r="K559" s="127" t="str">
        <f t="shared" si="13"/>
        <v/>
      </c>
    </row>
    <row r="560" spans="2:11" x14ac:dyDescent="0.3">
      <c r="B560" s="306" t="s">
        <v>1703</v>
      </c>
      <c r="C560" s="321"/>
      <c r="D560" s="318"/>
      <c r="E560" s="208" t="s">
        <v>1242</v>
      </c>
      <c r="F560" s="29" t="str">
        <f>IFERROR(VLOOKUP(E560,'Inventaire des produits'!$B$4:$K$1001,2,0),"")</f>
        <v>KETCHUP STAR SACHET 10G CARTON DE 220</v>
      </c>
      <c r="G560" s="212">
        <v>6</v>
      </c>
      <c r="H560" s="30">
        <f>IFERROR(VLOOKUP(E560,'Inventaire des produits'!$B$4:$K$1001,8,0),"")</f>
        <v>60</v>
      </c>
      <c r="I560" s="32">
        <f t="shared" si="14"/>
        <v>360</v>
      </c>
      <c r="K560" s="127" t="str">
        <f t="shared" si="13"/>
        <v/>
      </c>
    </row>
    <row r="561" spans="2:11" x14ac:dyDescent="0.3">
      <c r="B561" s="306" t="s">
        <v>1703</v>
      </c>
      <c r="C561" s="322"/>
      <c r="D561" s="319"/>
      <c r="E561" s="208" t="s">
        <v>1245</v>
      </c>
      <c r="F561" s="29" t="str">
        <f>IFERROR(VLOOKUP(E561,'Inventaire des produits'!$B$4:$K$1001,2,0),"")</f>
        <v>MOUTARDE STAR SACHET 7G CARTON DE 220</v>
      </c>
      <c r="G561" s="212">
        <v>6</v>
      </c>
      <c r="H561" s="30">
        <f>IFERROR(VLOOKUP(E561,'Inventaire des produits'!$B$4:$K$1001,8,0),"")</f>
        <v>58.3333333</v>
      </c>
      <c r="I561" s="32">
        <f t="shared" si="14"/>
        <v>349.99999980000001</v>
      </c>
      <c r="K561" s="127" t="str">
        <f t="shared" si="13"/>
        <v/>
      </c>
    </row>
    <row r="562" spans="2:11" x14ac:dyDescent="0.3">
      <c r="B562" s="306" t="s">
        <v>1703</v>
      </c>
      <c r="C562" s="320">
        <v>45520</v>
      </c>
      <c r="D562" s="317" t="s">
        <v>1258</v>
      </c>
      <c r="E562" s="208" t="s">
        <v>461</v>
      </c>
      <c r="F562" s="29" t="str">
        <f>IFERROR(VLOOKUP(E562,'Inventaire des produits'!$B$4:$K$1001,2,0),"")</f>
        <v>GOBLET 8OZ AVEC CVL</v>
      </c>
      <c r="G562" s="212">
        <v>2000</v>
      </c>
      <c r="H562" s="30">
        <f>IFERROR(VLOOKUP(E562,'Inventaire des produits'!$B$4:$K$1001,8,0),"")</f>
        <v>0.5</v>
      </c>
      <c r="I562" s="32">
        <f t="shared" si="14"/>
        <v>1000</v>
      </c>
      <c r="J562" s="33">
        <v>2745</v>
      </c>
      <c r="K562" s="127">
        <f t="shared" si="13"/>
        <v>3294</v>
      </c>
    </row>
    <row r="563" spans="2:11" x14ac:dyDescent="0.3">
      <c r="B563" s="306" t="s">
        <v>1703</v>
      </c>
      <c r="C563" s="321"/>
      <c r="D563" s="318"/>
      <c r="E563" s="208" t="s">
        <v>1254</v>
      </c>
      <c r="F563" s="29" t="str">
        <f>IFERROR(VLOOKUP(E563,'Inventaire des produits'!$B$4:$K$1001,2,0),"")</f>
        <v>GOBLET 7OZ</v>
      </c>
      <c r="G563" s="212">
        <v>2500</v>
      </c>
      <c r="H563" s="30">
        <f>IFERROR(VLOOKUP(E563,'Inventaire des produits'!$B$4:$K$1001,8,0),"")</f>
        <v>0.33</v>
      </c>
      <c r="I563" s="32">
        <f t="shared" si="14"/>
        <v>825</v>
      </c>
      <c r="K563" s="127" t="str">
        <f t="shared" si="13"/>
        <v/>
      </c>
    </row>
    <row r="564" spans="2:11" x14ac:dyDescent="0.3">
      <c r="B564" s="306" t="s">
        <v>1703</v>
      </c>
      <c r="C564" s="321"/>
      <c r="D564" s="318"/>
      <c r="E564" s="208" t="s">
        <v>1256</v>
      </c>
      <c r="F564" s="29" t="str">
        <f>IFERROR(VLOOKUP(E564,'Inventaire des produits'!$B$4:$K$1001,2,0),"")</f>
        <v>BARQUETTE ALUMINIUM 831200</v>
      </c>
      <c r="G564" s="212">
        <v>400</v>
      </c>
      <c r="H564" s="30">
        <f>IFERROR(VLOOKUP(E564,'Inventaire des produits'!$B$4:$K$1001,8,0),"")</f>
        <v>1</v>
      </c>
      <c r="I564" s="32">
        <f t="shared" si="14"/>
        <v>400</v>
      </c>
      <c r="K564" s="127" t="str">
        <f t="shared" si="13"/>
        <v/>
      </c>
    </row>
    <row r="565" spans="2:11" x14ac:dyDescent="0.3">
      <c r="B565" s="306" t="s">
        <v>1703</v>
      </c>
      <c r="C565" s="322"/>
      <c r="D565" s="319"/>
      <c r="E565" s="208" t="s">
        <v>1257</v>
      </c>
      <c r="F565" s="29" t="str">
        <f>IFERROR(VLOOKUP(E565,'Inventaire des produits'!$B$4:$K$1001,2,0),"")</f>
        <v>GOBLET 16OZ TRSP SMART +CV BB</v>
      </c>
      <c r="G565" s="212">
        <v>1000</v>
      </c>
      <c r="H565" s="30">
        <f>IFERROR(VLOOKUP(E565,'Inventaire des produits'!$B$4:$K$1001,8,0),"")</f>
        <v>0.52</v>
      </c>
      <c r="I565" s="32">
        <f t="shared" si="14"/>
        <v>520</v>
      </c>
      <c r="K565" s="127" t="str">
        <f t="shared" si="13"/>
        <v/>
      </c>
    </row>
    <row r="566" spans="2:11" x14ac:dyDescent="0.3">
      <c r="B566" s="306" t="s">
        <v>1703</v>
      </c>
      <c r="C566" s="320">
        <v>45521</v>
      </c>
      <c r="D566" s="317" t="s">
        <v>1266</v>
      </c>
      <c r="E566" s="208" t="s">
        <v>1259</v>
      </c>
      <c r="F566" s="29" t="str">
        <f>IFERROR(VLOOKUP(E566,'Inventaire des produits'!$B$4:$K$1001,2,0),"")</f>
        <v>BARQUETTE ALUMINIUM 250</v>
      </c>
      <c r="G566" s="212">
        <v>7000</v>
      </c>
      <c r="H566" s="30">
        <f>IFERROR(VLOOKUP(E566,'Inventaire des produits'!$B$4:$K$1001,8,0),"")</f>
        <v>0.27</v>
      </c>
      <c r="I566" s="32">
        <f t="shared" si="14"/>
        <v>1890.0000000000002</v>
      </c>
      <c r="J566" s="33">
        <v>6316</v>
      </c>
      <c r="K566" s="127">
        <f t="shared" si="13"/>
        <v>7579.2</v>
      </c>
    </row>
    <row r="567" spans="2:11" x14ac:dyDescent="0.3">
      <c r="B567" s="306" t="s">
        <v>1703</v>
      </c>
      <c r="C567" s="321"/>
      <c r="D567" s="318"/>
      <c r="E567" s="208" t="s">
        <v>1260</v>
      </c>
      <c r="F567" s="29" t="str">
        <f>IFERROR(VLOOKUP(E567,'Inventaire des produits'!$B$4:$K$1001,2,0),"")</f>
        <v>GOBLET 16OZ COCKTAIL SMART + CVBB</v>
      </c>
      <c r="G567" s="212">
        <v>4000</v>
      </c>
      <c r="H567" s="30">
        <f>IFERROR(VLOOKUP(E567,'Inventaire des produits'!$B$4:$K$1001,8,0),"")</f>
        <v>0.49</v>
      </c>
      <c r="I567" s="32">
        <f t="shared" si="14"/>
        <v>1960</v>
      </c>
      <c r="K567" s="127" t="str">
        <f t="shared" si="13"/>
        <v/>
      </c>
    </row>
    <row r="568" spans="2:11" x14ac:dyDescent="0.3">
      <c r="B568" s="306" t="s">
        <v>1703</v>
      </c>
      <c r="C568" s="321"/>
      <c r="D568" s="318"/>
      <c r="E568" s="208" t="s">
        <v>1263</v>
      </c>
      <c r="F568" s="29" t="str">
        <f>IFERROR(VLOOKUP(E568,'Inventaire des produits'!$B$4:$K$1001,2,0),"")</f>
        <v>GOBLET 16OZ TRSP SMART + CVBB</v>
      </c>
      <c r="G568" s="212">
        <v>4000</v>
      </c>
      <c r="H568" s="30">
        <f>IFERROR(VLOOKUP(E568,'Inventaire des produits'!$B$4:$K$1001,8,0),"")</f>
        <v>0.49</v>
      </c>
      <c r="I568" s="32">
        <f t="shared" si="14"/>
        <v>1960</v>
      </c>
      <c r="K568" s="127" t="str">
        <f t="shared" si="13"/>
        <v/>
      </c>
    </row>
    <row r="569" spans="2:11" x14ac:dyDescent="0.3">
      <c r="B569" s="306" t="s">
        <v>1703</v>
      </c>
      <c r="C569" s="322"/>
      <c r="D569" s="319"/>
      <c r="E569" s="210" t="s">
        <v>1265</v>
      </c>
      <c r="F569" s="29" t="str">
        <f>IFERROR(VLOOKUP(E569,'Inventaire des produits'!$B$4:$K$1001,2,0),"")</f>
        <v>ROULEAU ALUMINIUM 200 ECO</v>
      </c>
      <c r="G569" s="212">
        <v>23</v>
      </c>
      <c r="H569" s="30">
        <f>IFERROR(VLOOKUP(E569,'Inventaire des produits'!$B$4:$K$1001,8,0),"")</f>
        <v>22</v>
      </c>
      <c r="I569" s="32">
        <f t="shared" si="14"/>
        <v>506</v>
      </c>
      <c r="K569" s="127" t="str">
        <f t="shared" si="13"/>
        <v/>
      </c>
    </row>
    <row r="570" spans="2:11" x14ac:dyDescent="0.3">
      <c r="B570" s="306" t="s">
        <v>1703</v>
      </c>
      <c r="C570" s="320">
        <v>45528</v>
      </c>
      <c r="D570" s="317" t="s">
        <v>1271</v>
      </c>
      <c r="E570" s="208" t="s">
        <v>1268</v>
      </c>
      <c r="F570" s="29" t="str">
        <f>IFERROR(VLOOKUP(E570,'Inventaire des produits'!$B$4:$K$1001,2,0),"")</f>
        <v>BARQUETTE ALUMINIUM 83760 (3COMP)</v>
      </c>
      <c r="G570" s="212">
        <v>5000</v>
      </c>
      <c r="H570" s="30">
        <f>IFERROR(VLOOKUP(E570,'Inventaire des produits'!$B$4:$K$1001,8,0),"")</f>
        <v>0.73</v>
      </c>
      <c r="I570" s="32">
        <f t="shared" si="14"/>
        <v>3650</v>
      </c>
      <c r="J570" s="33">
        <v>8930</v>
      </c>
      <c r="K570" s="127">
        <f t="shared" si="13"/>
        <v>10716</v>
      </c>
    </row>
    <row r="571" spans="2:11" x14ac:dyDescent="0.3">
      <c r="B571" s="306" t="s">
        <v>1703</v>
      </c>
      <c r="C571" s="321"/>
      <c r="D571" s="318"/>
      <c r="E571" s="208" t="s">
        <v>1269</v>
      </c>
      <c r="F571" s="29" t="str">
        <f>IFERROR(VLOOKUP(E571,'Inventaire des produits'!$B$4:$K$1001,2,0),"")</f>
        <v>BARQUETTE ALUMINIUM 83890</v>
      </c>
      <c r="G571" s="212">
        <v>9000</v>
      </c>
      <c r="H571" s="30">
        <f>IFERROR(VLOOKUP(E571,'Inventaire des produits'!$B$4:$K$1001,8,0),"")</f>
        <v>0.52</v>
      </c>
      <c r="I571" s="32">
        <f t="shared" si="14"/>
        <v>4680</v>
      </c>
      <c r="K571" s="127" t="str">
        <f t="shared" si="13"/>
        <v/>
      </c>
    </row>
    <row r="572" spans="2:11" x14ac:dyDescent="0.3">
      <c r="B572" s="306" t="s">
        <v>1703</v>
      </c>
      <c r="C572" s="322"/>
      <c r="D572" s="319"/>
      <c r="E572" s="208" t="s">
        <v>1270</v>
      </c>
      <c r="F572" s="29" t="str">
        <f>IFERROR(VLOOKUP(E572,'Inventaire des produits'!$B$4:$K$1001,2,0),"")</f>
        <v>BARQUETTE ALUMINIUM 83808</v>
      </c>
      <c r="G572" s="212">
        <v>1000</v>
      </c>
      <c r="H572" s="30">
        <f>IFERROR(VLOOKUP(E572,'Inventaire des produits'!$B$4:$K$1001,8,0),"")</f>
        <v>0.6</v>
      </c>
      <c r="I572" s="32">
        <f t="shared" si="14"/>
        <v>600</v>
      </c>
      <c r="K572" s="127" t="str">
        <f t="shared" ref="K572:K635" si="15">IF(J572="","",J572*1.2)</f>
        <v/>
      </c>
    </row>
    <row r="573" spans="2:11" x14ac:dyDescent="0.3">
      <c r="B573" s="306" t="s">
        <v>1703</v>
      </c>
      <c r="C573" s="320">
        <v>45523</v>
      </c>
      <c r="D573" s="317" t="s">
        <v>1279</v>
      </c>
      <c r="E573" s="208" t="s">
        <v>1222</v>
      </c>
      <c r="F573" s="29" t="str">
        <f>IFERROR(VLOOKUP(E573,'Inventaire des produits'!$B$4:$K$1001,2,0),"")</f>
        <v>POT DE SAUCE 1OZ PROCLEAN</v>
      </c>
      <c r="G573" s="212">
        <v>200000</v>
      </c>
      <c r="H573" s="30">
        <f>IFERROR(VLOOKUP(E573,'Inventaire des produits'!$B$4:$K$1001,8,0),"")</f>
        <v>0.1167</v>
      </c>
      <c r="I573" s="32">
        <f t="shared" si="14"/>
        <v>23340</v>
      </c>
      <c r="J573" s="33">
        <v>23866.671999999999</v>
      </c>
      <c r="K573" s="127">
        <f t="shared" si="15"/>
        <v>28640.006399999998</v>
      </c>
    </row>
    <row r="574" spans="2:11" x14ac:dyDescent="0.3">
      <c r="B574" s="306" t="s">
        <v>1703</v>
      </c>
      <c r="C574" s="322"/>
      <c r="D574" s="319"/>
      <c r="E574" s="208" t="s">
        <v>1278</v>
      </c>
      <c r="F574" s="29" t="str">
        <f>IFERROR(VLOOKUP(E574,'Inventaire des produits'!$B$4:$K$1001,2,0),"")</f>
        <v>CUILLERE JETABLE ECO BLANCHE 100U</v>
      </c>
      <c r="G574" s="212">
        <v>80</v>
      </c>
      <c r="H574" s="30">
        <f>IFERROR(VLOOKUP(E574,'Inventaire des produits'!$B$4:$K$1001,8,0),"")</f>
        <v>6.5834000000000001</v>
      </c>
      <c r="I574" s="32">
        <f t="shared" si="14"/>
        <v>526.67200000000003</v>
      </c>
      <c r="K574" s="127" t="str">
        <f t="shared" si="15"/>
        <v/>
      </c>
    </row>
    <row r="575" spans="2:11" x14ac:dyDescent="0.3">
      <c r="B575" s="306" t="s">
        <v>1703</v>
      </c>
      <c r="C575" s="320">
        <v>45524</v>
      </c>
      <c r="D575" s="317" t="s">
        <v>1284</v>
      </c>
      <c r="E575" s="208" t="s">
        <v>1282</v>
      </c>
      <c r="F575" s="29" t="str">
        <f>IFERROR(VLOOKUP(E575,'Inventaire des produits'!$B$4:$K$1001,2,0),"")</f>
        <v>GANT VINYL TRANSPARENT</v>
      </c>
      <c r="G575" s="212">
        <v>500</v>
      </c>
      <c r="H575" s="30">
        <f>IFERROR(VLOOKUP(E575,'Inventaire des produits'!$B$4:$K$1001,8,0),"")</f>
        <v>20</v>
      </c>
      <c r="I575" s="32">
        <f t="shared" si="14"/>
        <v>10000</v>
      </c>
      <c r="J575" s="33">
        <v>33333.4</v>
      </c>
      <c r="K575" s="127">
        <f t="shared" si="15"/>
        <v>40000.080000000002</v>
      </c>
    </row>
    <row r="576" spans="2:11" x14ac:dyDescent="0.3">
      <c r="B576" s="306" t="s">
        <v>1703</v>
      </c>
      <c r="C576" s="322"/>
      <c r="D576" s="319"/>
      <c r="E576" s="208" t="s">
        <v>1283</v>
      </c>
      <c r="F576" s="29" t="str">
        <f>IFERROR(VLOOKUP(E576,'Inventaire des produits'!$B$4:$K$1001,2,0),"")</f>
        <v>GANT VINYL NOIR</v>
      </c>
      <c r="G576" s="212">
        <v>1000</v>
      </c>
      <c r="H576" s="30">
        <f>IFERROR(VLOOKUP(E576,'Inventaire des produits'!$B$4:$K$1001,8,0),"")</f>
        <v>23.333400000000001</v>
      </c>
      <c r="I576" s="32">
        <f t="shared" si="14"/>
        <v>23333.4</v>
      </c>
      <c r="K576" s="127" t="str">
        <f t="shared" si="15"/>
        <v/>
      </c>
    </row>
    <row r="577" spans="2:11" x14ac:dyDescent="0.3">
      <c r="B577" s="306" t="s">
        <v>1703</v>
      </c>
      <c r="C577" s="320">
        <v>45533</v>
      </c>
      <c r="D577" s="317" t="s">
        <v>1290</v>
      </c>
      <c r="E577" s="208" t="s">
        <v>1162</v>
      </c>
      <c r="F577" s="29" t="str">
        <f>IFERROR(VLOOKUP(E577,'Inventaire des produits'!$B$4:$K$1001,2,0),"")</f>
        <v>BOITE PIZZA N°40</v>
      </c>
      <c r="G577" s="212">
        <v>500</v>
      </c>
      <c r="H577" s="30">
        <f>IFERROR(VLOOKUP(E577,'Inventaire des produits'!$B$4:$K$1001,8,0),"")</f>
        <v>2.78</v>
      </c>
      <c r="I577" s="32">
        <f t="shared" si="14"/>
        <v>1390</v>
      </c>
      <c r="J577" s="33">
        <v>2358</v>
      </c>
      <c r="K577" s="127">
        <f t="shared" si="15"/>
        <v>2829.6</v>
      </c>
    </row>
    <row r="578" spans="2:11" x14ac:dyDescent="0.3">
      <c r="B578" s="306" t="s">
        <v>1703</v>
      </c>
      <c r="C578" s="322"/>
      <c r="D578" s="319"/>
      <c r="E578" s="208" t="s">
        <v>1289</v>
      </c>
      <c r="F578" s="29" t="str">
        <f>IFERROR(VLOOKUP(E578,'Inventaire des produits'!$B$4:$K$1001,2,0),"")</f>
        <v>FOURCHETTE LUXE TRANSPARENTE/100</v>
      </c>
      <c r="G578" s="212">
        <v>44</v>
      </c>
      <c r="H578" s="30">
        <f>IFERROR(VLOOKUP(E578,'Inventaire des produits'!$B$4:$K$1001,8,0),"")</f>
        <v>22</v>
      </c>
      <c r="I578" s="32">
        <f t="shared" ref="I578:I641" si="16">IF(OR(G578="",H578=""),"",G578*H578)</f>
        <v>968</v>
      </c>
      <c r="K578" s="127" t="str">
        <f t="shared" si="15"/>
        <v/>
      </c>
    </row>
    <row r="579" spans="2:11" x14ac:dyDescent="0.3">
      <c r="B579" s="306" t="s">
        <v>1703</v>
      </c>
      <c r="C579" s="320">
        <v>45532</v>
      </c>
      <c r="D579" s="317" t="s">
        <v>1296</v>
      </c>
      <c r="E579" s="208" t="s">
        <v>1293</v>
      </c>
      <c r="F579" s="29" t="str">
        <f>IFERROR(VLOOKUP(E579,'Inventaire des produits'!$B$4:$K$1001,2,0),"")</f>
        <v>GOBLET 14OZ EN PLAST TRANS SMART + CV PLAT</v>
      </c>
      <c r="G579" s="212">
        <f>10*1000</f>
        <v>10000</v>
      </c>
      <c r="H579" s="30">
        <f>IFERROR(VLOOKUP(E579,'Inventaire des produits'!$B$4:$K$1001,8,0),"")</f>
        <v>0.40005775778333341</v>
      </c>
      <c r="I579" s="32">
        <f t="shared" si="16"/>
        <v>4000.5775778333341</v>
      </c>
      <c r="J579" s="33">
        <v>8100.58</v>
      </c>
      <c r="K579" s="127">
        <f>IF(J579="","",J579*1.2)</f>
        <v>9720.6959999999999</v>
      </c>
    </row>
    <row r="580" spans="2:11" x14ac:dyDescent="0.3">
      <c r="B580" s="306" t="s">
        <v>1703</v>
      </c>
      <c r="C580" s="321"/>
      <c r="D580" s="318"/>
      <c r="E580" s="208" t="s">
        <v>1294</v>
      </c>
      <c r="F580" s="29" t="str">
        <f>IFERROR(VLOOKUP(E580,'Inventaire des produits'!$B$4:$K$1001,2,0),"")</f>
        <v>BARQUETTE ALUMINIUM RECT 1200ML AVEC CVL</v>
      </c>
      <c r="G580" s="212">
        <v>4000</v>
      </c>
      <c r="H580" s="30">
        <f>IFERROR(VLOOKUP(E580,'Inventaire des produits'!$B$4:$K$1001,8,0),"")</f>
        <v>1.0250000000249999</v>
      </c>
      <c r="I580" s="32">
        <f t="shared" si="16"/>
        <v>4100.0000000999999</v>
      </c>
      <c r="K580" s="127" t="str">
        <f t="shared" si="15"/>
        <v/>
      </c>
    </row>
    <row r="581" spans="2:11" x14ac:dyDescent="0.3">
      <c r="B581" s="306" t="s">
        <v>1703</v>
      </c>
      <c r="C581" s="322"/>
      <c r="D581" s="319"/>
      <c r="E581" s="208" t="s">
        <v>1295</v>
      </c>
      <c r="F581" s="29" t="str">
        <f>IFERROR(VLOOKUP(E581,'Inventaire des produits'!$B$4:$K$1001,2,0),"")</f>
        <v>BARQUETTE ALUMINIUM RECT 1200ML AVEC CVL</v>
      </c>
      <c r="G581" s="212">
        <v>800</v>
      </c>
      <c r="H581" s="30">
        <f>IFERROR(VLOOKUP(E581,'Inventaire des produits'!$B$4:$K$1001,8,0),"")</f>
        <v>0</v>
      </c>
      <c r="I581" s="32">
        <f t="shared" si="16"/>
        <v>0</v>
      </c>
      <c r="K581" s="127" t="str">
        <f t="shared" si="15"/>
        <v/>
      </c>
    </row>
    <row r="582" spans="2:11" x14ac:dyDescent="0.3">
      <c r="B582" s="306" t="s">
        <v>1703</v>
      </c>
      <c r="C582" s="320">
        <v>45519</v>
      </c>
      <c r="D582" s="317" t="s">
        <v>1301</v>
      </c>
      <c r="E582" s="208" t="s">
        <v>1300</v>
      </c>
      <c r="F582" s="29" t="str">
        <f>IFERROR(VLOOKUP(E582,'Inventaire des produits'!$B$4:$K$1001,2,0),"")</f>
        <v>CVL DE GOBLET 8OZ NOIR BON APPETIT</v>
      </c>
      <c r="G582" s="212">
        <v>6000</v>
      </c>
      <c r="H582" s="30">
        <f>IFERROR(VLOOKUP(E582,'Inventaire des produits'!$B$4:$K$1001,8,0),"")</f>
        <v>0.125</v>
      </c>
      <c r="I582" s="32">
        <f t="shared" si="16"/>
        <v>750</v>
      </c>
      <c r="J582" s="33">
        <v>1852.5</v>
      </c>
      <c r="K582" s="127">
        <f t="shared" si="15"/>
        <v>2223</v>
      </c>
    </row>
    <row r="583" spans="2:11" x14ac:dyDescent="0.3">
      <c r="B583" s="306" t="s">
        <v>1703</v>
      </c>
      <c r="C583" s="322"/>
      <c r="D583" s="319"/>
      <c r="E583" s="208" t="s">
        <v>1299</v>
      </c>
      <c r="F583" s="29" t="str">
        <f>IFERROR(VLOOKUP(E583,'Inventaire des produits'!$B$4:$K$1001,2,0),"")</f>
        <v>GOBLET 8OZ NOIR BON APPETIT</v>
      </c>
      <c r="G583" s="212">
        <v>6000</v>
      </c>
      <c r="H583" s="30">
        <f>IFERROR(VLOOKUP(E583,'Inventaire des produits'!$B$4:$K$1001,8,0),"")</f>
        <v>0.18375</v>
      </c>
      <c r="I583" s="32">
        <f t="shared" si="16"/>
        <v>1102.5</v>
      </c>
      <c r="K583" s="127" t="str">
        <f t="shared" si="15"/>
        <v/>
      </c>
    </row>
    <row r="584" spans="2:11" x14ac:dyDescent="0.3">
      <c r="B584" s="306" t="s">
        <v>1703</v>
      </c>
      <c r="C584" s="320">
        <v>45533</v>
      </c>
      <c r="D584" s="317" t="s">
        <v>1315</v>
      </c>
      <c r="E584" s="208" t="s">
        <v>501</v>
      </c>
      <c r="F584" s="29" t="str">
        <f>IFERROR(VLOOKUP(E584,'Inventaire des produits'!$B$4:$K$1001,2,0),"")</f>
        <v>BARQUETTE ALUMINIUM 83420</v>
      </c>
      <c r="G584" s="212">
        <v>20000</v>
      </c>
      <c r="H584" s="30">
        <f>IFERROR(VLOOKUP(E584,'Inventaire des produits'!$B$4:$K$1001,8,0),"")</f>
        <v>0.31666666669999999</v>
      </c>
      <c r="I584" s="32">
        <f t="shared" si="16"/>
        <v>6333.3333339999999</v>
      </c>
      <c r="J584" s="33">
        <v>29317.5</v>
      </c>
      <c r="K584" s="127">
        <f t="shared" si="15"/>
        <v>35181</v>
      </c>
    </row>
    <row r="585" spans="2:11" x14ac:dyDescent="0.3">
      <c r="B585" s="306" t="s">
        <v>1703</v>
      </c>
      <c r="C585" s="321"/>
      <c r="D585" s="318"/>
      <c r="E585" s="208" t="s">
        <v>1303</v>
      </c>
      <c r="F585" s="29" t="str">
        <f>IFERROR(VLOOKUP(E585,'Inventaire des produits'!$B$4:$K$1001,2,0),"")</f>
        <v>BARQUETTE ALUMINIUM 83670</v>
      </c>
      <c r="G585" s="212">
        <v>10000</v>
      </c>
      <c r="H585" s="30">
        <f>IFERROR(VLOOKUP(E585,'Inventaire des produits'!$B$4:$K$1001,8,0),"")</f>
        <v>0.51666666666666672</v>
      </c>
      <c r="I585" s="32">
        <f t="shared" si="16"/>
        <v>5166.666666666667</v>
      </c>
      <c r="K585" s="127" t="str">
        <f t="shared" si="15"/>
        <v/>
      </c>
    </row>
    <row r="586" spans="2:11" x14ac:dyDescent="0.3">
      <c r="B586" s="306" t="s">
        <v>1703</v>
      </c>
      <c r="C586" s="321"/>
      <c r="D586" s="318"/>
      <c r="E586" s="208" t="s">
        <v>408</v>
      </c>
      <c r="F586" s="29" t="str">
        <f>IFERROR(VLOOKUP(E586,'Inventaire des produits'!$B$4:$K$1001,2,0),"")</f>
        <v>PAPIER SANDWISH PACK 2,5KG</v>
      </c>
      <c r="G586" s="212">
        <v>30</v>
      </c>
      <c r="H586" s="30">
        <f>IFERROR(VLOOKUP(E586,'Inventaire des produits'!$B$4:$K$1001,8,0),"")</f>
        <v>41.667000000000002</v>
      </c>
      <c r="I586" s="32">
        <f t="shared" si="16"/>
        <v>1250.01</v>
      </c>
      <c r="K586" s="127" t="str">
        <f t="shared" si="15"/>
        <v/>
      </c>
    </row>
    <row r="587" spans="2:11" x14ac:dyDescent="0.3">
      <c r="B587" s="306" t="s">
        <v>1703</v>
      </c>
      <c r="C587" s="321"/>
      <c r="D587" s="318"/>
      <c r="E587" s="208" t="s">
        <v>1305</v>
      </c>
      <c r="F587" s="29" t="str">
        <f>IFERROR(VLOOKUP(E587,'Inventaire des produits'!$B$4:$K$1001,2,0),"")</f>
        <v>BOL BLANC 38OZ AVEC CVL</v>
      </c>
      <c r="G587" s="212">
        <v>300</v>
      </c>
      <c r="H587" s="30">
        <f>IFERROR(VLOOKUP(E587,'Inventaire des produits'!$B$4:$K$1001,8,0),"")</f>
        <v>1.5833333333333299</v>
      </c>
      <c r="I587" s="32">
        <f t="shared" si="16"/>
        <v>474.99999999999898</v>
      </c>
      <c r="K587" s="127" t="str">
        <f t="shared" si="15"/>
        <v/>
      </c>
    </row>
    <row r="588" spans="2:11" x14ac:dyDescent="0.3">
      <c r="B588" s="306" t="s">
        <v>1703</v>
      </c>
      <c r="C588" s="321"/>
      <c r="D588" s="318"/>
      <c r="E588" s="211" t="s">
        <v>1307</v>
      </c>
      <c r="F588" s="29" t="str">
        <f>IFERROR(VLOOKUP(E588,'Inventaire des produits'!$B$4:$K$1001,2,0),"")</f>
        <v>BOL BLANC 750CC AVEC CVL</v>
      </c>
      <c r="G588" s="212">
        <v>2500</v>
      </c>
      <c r="H588" s="30">
        <f>IFERROR(VLOOKUP(E588,'Inventaire des produits'!$B$4:$K$1001,8,0),"")</f>
        <v>0.95833333333333326</v>
      </c>
      <c r="I588" s="32">
        <f t="shared" si="16"/>
        <v>2395.833333333333</v>
      </c>
      <c r="K588" s="127" t="str">
        <f t="shared" si="15"/>
        <v/>
      </c>
    </row>
    <row r="589" spans="2:11" x14ac:dyDescent="0.3">
      <c r="B589" s="306" t="s">
        <v>1703</v>
      </c>
      <c r="C589" s="321"/>
      <c r="D589" s="318"/>
      <c r="E589" s="208" t="s">
        <v>1309</v>
      </c>
      <c r="F589" s="29" t="str">
        <f>IFERROR(VLOOKUP(E589,'Inventaire des produits'!$B$4:$K$1001,2,0),"")</f>
        <v>BOL BLANC 16OZ AVEC CVL</v>
      </c>
      <c r="G589" s="212">
        <v>5000</v>
      </c>
      <c r="H589" s="30">
        <f>IFERROR(VLOOKUP(E589,'Inventaire des produits'!$B$4:$K$1001,8,0),"")</f>
        <v>0.625</v>
      </c>
      <c r="I589" s="32">
        <f t="shared" si="16"/>
        <v>3125</v>
      </c>
      <c r="K589" s="127" t="str">
        <f t="shared" si="15"/>
        <v/>
      </c>
    </row>
    <row r="590" spans="2:11" x14ac:dyDescent="0.3">
      <c r="B590" s="306" t="s">
        <v>1703</v>
      </c>
      <c r="C590" s="321"/>
      <c r="D590" s="318"/>
      <c r="E590" s="207" t="s">
        <v>1311</v>
      </c>
      <c r="F590" s="29" t="str">
        <f>IFERROR(VLOOKUP(E590,'Inventaire des produits'!$B$4:$K$1001,2,0),"")</f>
        <v>POT CARTONIER BLANC 26OZ AVEC CVL</v>
      </c>
      <c r="G590" s="212">
        <v>3000</v>
      </c>
      <c r="H590" s="30">
        <f>IFERROR(VLOOKUP(E590,'Inventaire des produits'!$B$4:$K$1001,8,0),"")</f>
        <v>2</v>
      </c>
      <c r="I590" s="32">
        <f t="shared" si="16"/>
        <v>6000</v>
      </c>
      <c r="K590" s="127" t="str">
        <f t="shared" si="15"/>
        <v/>
      </c>
    </row>
    <row r="591" spans="2:11" x14ac:dyDescent="0.3">
      <c r="B591" s="306" t="s">
        <v>1703</v>
      </c>
      <c r="C591" s="321"/>
      <c r="D591" s="318"/>
      <c r="E591" s="207" t="s">
        <v>1313</v>
      </c>
      <c r="F591" s="29" t="str">
        <f>IFERROR(VLOOKUP(E591,'Inventaire des produits'!$B$4:$K$1001,2,0),"")</f>
        <v>SCOTCH RUBAN ADHESIF 50*100</v>
      </c>
      <c r="G591" s="212">
        <v>144</v>
      </c>
      <c r="H591" s="30">
        <f>IFERROR(VLOOKUP(E591,'Inventaire des produits'!$B$4:$K$1001,8,0),"")</f>
        <v>5.416666666666667</v>
      </c>
      <c r="I591" s="32">
        <f t="shared" si="16"/>
        <v>780</v>
      </c>
      <c r="K591" s="127" t="str">
        <f t="shared" si="15"/>
        <v/>
      </c>
    </row>
    <row r="592" spans="2:11" x14ac:dyDescent="0.3">
      <c r="B592" s="306" t="s">
        <v>1703</v>
      </c>
      <c r="C592" s="322"/>
      <c r="D592" s="319"/>
      <c r="E592" s="208" t="s">
        <v>1314</v>
      </c>
      <c r="F592" s="29" t="str">
        <f>IFERROR(VLOOKUP(E592,'Inventaire des produits'!$B$4:$K$1001,2,0),"")</f>
        <v>BARQUETTE ALUMINIUM 83670</v>
      </c>
      <c r="G592" s="212">
        <v>7000</v>
      </c>
      <c r="H592" s="30">
        <f>IFERROR(VLOOKUP(E592,'Inventaire des produits'!$B$4:$K$1001,8,0),"")</f>
        <v>0.54166666666666674</v>
      </c>
      <c r="I592" s="32">
        <f t="shared" si="16"/>
        <v>3791.666666666667</v>
      </c>
      <c r="K592" s="127" t="str">
        <f t="shared" si="15"/>
        <v/>
      </c>
    </row>
    <row r="593" spans="2:11" x14ac:dyDescent="0.3">
      <c r="B593" s="306" t="s">
        <v>1703</v>
      </c>
      <c r="C593" s="196">
        <v>45520</v>
      </c>
      <c r="D593" s="195" t="s">
        <v>1317</v>
      </c>
      <c r="E593" s="208" t="s">
        <v>1319</v>
      </c>
      <c r="F593" s="29" t="str">
        <f>IFERROR(VLOOKUP(E593,'Inventaire des produits'!$B$4:$K$1001,2,0),"")</f>
        <v>NT SAC PN BLANCE UNI 30*40*10</v>
      </c>
      <c r="G593" s="212">
        <v>15000</v>
      </c>
      <c r="H593" s="30">
        <f>IFERROR(VLOOKUP(E593,'Inventaire des produits'!$B$4:$K$1001,8,0),"")</f>
        <v>0.33333249999999998</v>
      </c>
      <c r="I593" s="32">
        <f t="shared" si="16"/>
        <v>4999.9874999999993</v>
      </c>
      <c r="K593" s="127" t="str">
        <f t="shared" si="15"/>
        <v/>
      </c>
    </row>
    <row r="594" spans="2:11" x14ac:dyDescent="0.3">
      <c r="B594" s="306" t="s">
        <v>1703</v>
      </c>
      <c r="C594" s="196">
        <v>45534</v>
      </c>
      <c r="D594" s="195" t="s">
        <v>1320</v>
      </c>
      <c r="E594" s="207" t="s">
        <v>1316</v>
      </c>
      <c r="F594" s="29" t="str">
        <f>IFERROR(VLOOKUP(E594,'Inventaire des produits'!$B$4:$K$1001,2,0),"")</f>
        <v>SAC PN BLANCE 40*45</v>
      </c>
      <c r="G594" s="212">
        <v>2000</v>
      </c>
      <c r="H594" s="30">
        <f>IFERROR(VLOOKUP(E594,'Inventaire des produits'!$B$4:$K$1001,8,0),"")</f>
        <v>0.41665999999999997</v>
      </c>
      <c r="I594" s="32">
        <f t="shared" si="16"/>
        <v>833.31999999999994</v>
      </c>
      <c r="K594" s="127" t="str">
        <f t="shared" si="15"/>
        <v/>
      </c>
    </row>
    <row r="595" spans="2:11" x14ac:dyDescent="0.3">
      <c r="B595" s="306" t="s">
        <v>1703</v>
      </c>
      <c r="C595" s="196">
        <v>45537</v>
      </c>
      <c r="D595" s="195" t="s">
        <v>1326</v>
      </c>
      <c r="E595" s="208" t="s">
        <v>1149</v>
      </c>
      <c r="F595" s="29" t="str">
        <f>IFERROR(VLOOKUP(E595,'Inventaire des produits'!$B$4:$K$1001,2,0),"")</f>
        <v>ROULEAU DE CAISSE THERMIQUE 80X80</v>
      </c>
      <c r="G595" s="212">
        <v>1000</v>
      </c>
      <c r="H595" s="30">
        <f>IFERROR(VLOOKUP(E595,'Inventaire des produits'!$B$4:$K$1001,8,0),"")</f>
        <v>7.5</v>
      </c>
      <c r="I595" s="32">
        <f t="shared" si="16"/>
        <v>7500</v>
      </c>
      <c r="J595" s="33">
        <v>7500</v>
      </c>
      <c r="K595" s="127">
        <f t="shared" si="15"/>
        <v>9000</v>
      </c>
    </row>
    <row r="596" spans="2:11" x14ac:dyDescent="0.3">
      <c r="B596" s="306" t="s">
        <v>1703</v>
      </c>
      <c r="C596" s="196">
        <v>45537</v>
      </c>
      <c r="D596" s="195" t="s">
        <v>1328</v>
      </c>
      <c r="E596" s="208" t="s">
        <v>1327</v>
      </c>
      <c r="F596" s="29" t="str">
        <f>IFERROR(VLOOKUP(E596,'Inventaire des produits'!$B$4:$K$1001,2,0),"")</f>
        <v>FOURCHETTE LUXE TRANSPARENTE/100</v>
      </c>
      <c r="G596" s="212">
        <v>40</v>
      </c>
      <c r="H596" s="30">
        <f>IFERROR(VLOOKUP(E596,'Inventaire des produits'!$B$4:$K$1001,8,0),"")</f>
        <v>20.84</v>
      </c>
      <c r="I596" s="32">
        <f t="shared" si="16"/>
        <v>833.6</v>
      </c>
      <c r="J596" s="33">
        <v>833.6</v>
      </c>
      <c r="K596" s="127">
        <f t="shared" si="15"/>
        <v>1000.3199999999999</v>
      </c>
    </row>
    <row r="597" spans="2:11" x14ac:dyDescent="0.3">
      <c r="B597" s="306" t="s">
        <v>1703</v>
      </c>
      <c r="C597" s="320">
        <v>45502</v>
      </c>
      <c r="D597" s="317" t="s">
        <v>1332</v>
      </c>
      <c r="E597" s="211" t="s">
        <v>1334</v>
      </c>
      <c r="F597" s="29" t="str">
        <f>IFERROR(VLOOKUP(E597,'Inventaire des produits'!$B$4:$K$1001,2,0),"")</f>
        <v>BOITE PIZZA 24</v>
      </c>
      <c r="G597" s="212">
        <v>10</v>
      </c>
      <c r="H597" s="30">
        <f>IFERROR(VLOOKUP(E597,'Inventaire des produits'!$B$4:$K$1001,8,0),"")</f>
        <v>40</v>
      </c>
      <c r="I597" s="32">
        <f t="shared" si="16"/>
        <v>400</v>
      </c>
      <c r="J597" s="33">
        <v>6200</v>
      </c>
      <c r="K597" s="127">
        <f t="shared" si="15"/>
        <v>7440</v>
      </c>
    </row>
    <row r="598" spans="2:11" x14ac:dyDescent="0.3">
      <c r="B598" s="306" t="s">
        <v>1703</v>
      </c>
      <c r="C598" s="321"/>
      <c r="D598" s="318"/>
      <c r="E598" s="208" t="s">
        <v>1335</v>
      </c>
      <c r="F598" s="29" t="str">
        <f>IFERROR(VLOOKUP(E598,'Inventaire des produits'!$B$4:$K$1001,2,0),"")</f>
        <v>BOITE PIZZA 26</v>
      </c>
      <c r="G598" s="212">
        <v>20</v>
      </c>
      <c r="H598" s="30">
        <f>IFERROR(VLOOKUP(E598,'Inventaire des produits'!$B$4:$K$1001,8,0),"")</f>
        <v>50</v>
      </c>
      <c r="I598" s="32">
        <f t="shared" si="16"/>
        <v>1000</v>
      </c>
      <c r="K598" s="127" t="str">
        <f t="shared" si="15"/>
        <v/>
      </c>
    </row>
    <row r="599" spans="2:11" x14ac:dyDescent="0.3">
      <c r="B599" s="306" t="s">
        <v>1703</v>
      </c>
      <c r="C599" s="322"/>
      <c r="D599" s="319"/>
      <c r="E599" s="208" t="s">
        <v>1337</v>
      </c>
      <c r="F599" s="29" t="str">
        <f>IFERROR(VLOOKUP(E599,'Inventaire des produits'!$B$4:$K$1001,2,0),"")</f>
        <v>BARQUETTE ALUMINIUM 685</v>
      </c>
      <c r="G599" s="212">
        <v>10000</v>
      </c>
      <c r="H599" s="30">
        <f>IFERROR(VLOOKUP(E599,'Inventaire des produits'!$B$4:$K$1001,8,0),"")</f>
        <v>0.48</v>
      </c>
      <c r="I599" s="32">
        <f t="shared" si="16"/>
        <v>4800</v>
      </c>
      <c r="K599" s="127" t="str">
        <f t="shared" si="15"/>
        <v/>
      </c>
    </row>
    <row r="600" spans="2:11" x14ac:dyDescent="0.3">
      <c r="B600" s="306" t="s">
        <v>1703</v>
      </c>
      <c r="C600" s="320">
        <v>45492</v>
      </c>
      <c r="D600" s="317" t="s">
        <v>1333</v>
      </c>
      <c r="E600" s="208" t="s">
        <v>1338</v>
      </c>
      <c r="F600" s="29" t="str">
        <f>IFERROR(VLOOKUP(E600,'Inventaire des produits'!$B$4:$K$1001,2,0),"")</f>
        <v>BOITE PIZZA 26</v>
      </c>
      <c r="G600" s="212">
        <v>71</v>
      </c>
      <c r="H600" s="30">
        <f>IFERROR(VLOOKUP(E600,'Inventaire des produits'!$B$4:$K$1001,8,0),"")</f>
        <v>49.94</v>
      </c>
      <c r="I600" s="32">
        <f t="shared" si="16"/>
        <v>3545.74</v>
      </c>
      <c r="J600" s="33">
        <v>7083.74</v>
      </c>
      <c r="K600" s="127">
        <f t="shared" si="15"/>
        <v>8500.4879999999994</v>
      </c>
    </row>
    <row r="601" spans="2:11" x14ac:dyDescent="0.3">
      <c r="B601" s="306" t="s">
        <v>1703</v>
      </c>
      <c r="C601" s="322"/>
      <c r="D601" s="319"/>
      <c r="E601" s="208" t="s">
        <v>1339</v>
      </c>
      <c r="F601" s="29" t="str">
        <f>IFERROR(VLOOKUP(E601,'Inventaire des produits'!$B$4:$K$1001,2,0),"")</f>
        <v>BOITE PIZZA 29</v>
      </c>
      <c r="G601" s="212">
        <v>61</v>
      </c>
      <c r="H601" s="30">
        <f>IFERROR(VLOOKUP(E601,'Inventaire des produits'!$B$4:$K$1001,8,0),"")</f>
        <v>58</v>
      </c>
      <c r="I601" s="32">
        <f t="shared" si="16"/>
        <v>3538</v>
      </c>
      <c r="K601" s="127" t="str">
        <f t="shared" si="15"/>
        <v/>
      </c>
    </row>
    <row r="602" spans="2:11" x14ac:dyDescent="0.3">
      <c r="B602" s="306" t="s">
        <v>1703</v>
      </c>
      <c r="C602" s="196">
        <v>45540</v>
      </c>
      <c r="D602" s="195" t="s">
        <v>1342</v>
      </c>
      <c r="E602" s="208" t="s">
        <v>1162</v>
      </c>
      <c r="F602" s="29" t="str">
        <f>IFERROR(VLOOKUP(E602,'Inventaire des produits'!$B$4:$K$1001,2,0),"")</f>
        <v>BOITE PIZZA N°40</v>
      </c>
      <c r="G602" s="212">
        <v>450</v>
      </c>
      <c r="H602" s="30">
        <f>IFERROR(VLOOKUP(E602,'Inventaire des produits'!$B$4:$K$1001,8,0),"")</f>
        <v>2.78</v>
      </c>
      <c r="I602" s="32">
        <f t="shared" si="16"/>
        <v>1251</v>
      </c>
      <c r="J602" s="33">
        <v>1251</v>
      </c>
      <c r="K602" s="127">
        <f t="shared" si="15"/>
        <v>1501.2</v>
      </c>
    </row>
    <row r="603" spans="2:11" x14ac:dyDescent="0.3">
      <c r="B603" s="306" t="s">
        <v>1703</v>
      </c>
      <c r="C603" s="320">
        <v>45545</v>
      </c>
      <c r="D603" s="317" t="s">
        <v>1350</v>
      </c>
      <c r="E603" s="208" t="s">
        <v>1327</v>
      </c>
      <c r="F603" s="29" t="str">
        <f>IFERROR(VLOOKUP(E603,'Inventaire des produits'!$B$4:$K$1001,2,0),"")</f>
        <v>FOURCHETTE LUXE TRANSPARENTE/100</v>
      </c>
      <c r="G603" s="212">
        <v>42</v>
      </c>
      <c r="H603" s="30">
        <f>IFERROR(VLOOKUP(E603,'Inventaire des produits'!$B$4:$K$1001,8,0),"")</f>
        <v>20.84</v>
      </c>
      <c r="I603" s="32">
        <f t="shared" si="16"/>
        <v>875.28</v>
      </c>
      <c r="J603" s="33">
        <v>1165.28</v>
      </c>
      <c r="K603" s="127">
        <f t="shared" si="15"/>
        <v>1398.336</v>
      </c>
    </row>
    <row r="604" spans="2:11" x14ac:dyDescent="0.3">
      <c r="B604" s="306" t="s">
        <v>1703</v>
      </c>
      <c r="C604" s="322"/>
      <c r="D604" s="319"/>
      <c r="E604" s="208" t="s">
        <v>1194</v>
      </c>
      <c r="F604" s="29" t="str">
        <f>IFERROR(VLOOKUP(E604,'Inventaire des produits'!$B$4:$K$1001,2,0),"")</f>
        <v>POT DE SAUCE 2OZ EN PLASTIQUE</v>
      </c>
      <c r="G604" s="212">
        <v>1000</v>
      </c>
      <c r="H604" s="30">
        <f>IFERROR(VLOOKUP(E604,'Inventaire des produits'!$B$4:$K$1001,8,0),"")</f>
        <v>0.28999999999999998</v>
      </c>
      <c r="I604" s="32">
        <f t="shared" si="16"/>
        <v>290</v>
      </c>
      <c r="K604" s="127" t="str">
        <f t="shared" si="15"/>
        <v/>
      </c>
    </row>
    <row r="605" spans="2:11" x14ac:dyDescent="0.3">
      <c r="B605" s="306" t="s">
        <v>1703</v>
      </c>
      <c r="C605" s="196">
        <v>45548</v>
      </c>
      <c r="D605" s="195" t="s">
        <v>1367</v>
      </c>
      <c r="E605" s="208" t="s">
        <v>1327</v>
      </c>
      <c r="F605" s="29" t="str">
        <f>IFERROR(VLOOKUP(E605,'Inventaire des produits'!$B$4:$K$1001,2,0),"")</f>
        <v>FOURCHETTE LUXE TRANSPARENTE/100</v>
      </c>
      <c r="G605" s="212">
        <v>3</v>
      </c>
      <c r="H605" s="30">
        <f>IFERROR(VLOOKUP(E605,'Inventaire des produits'!$B$4:$K$1001,8,0),"")</f>
        <v>20.84</v>
      </c>
      <c r="I605" s="32">
        <f t="shared" si="16"/>
        <v>62.519999999999996</v>
      </c>
      <c r="K605" s="127" t="str">
        <f t="shared" si="15"/>
        <v/>
      </c>
    </row>
    <row r="606" spans="2:11" x14ac:dyDescent="0.3">
      <c r="B606" s="306" t="s">
        <v>1703</v>
      </c>
      <c r="C606" s="196">
        <v>45536</v>
      </c>
      <c r="D606" s="195" t="s">
        <v>1368</v>
      </c>
      <c r="E606" s="208" t="s">
        <v>869</v>
      </c>
      <c r="F606" s="29" t="str">
        <f>IFERROR(VLOOKUP(E606,'Inventaire des produits'!$B$4:$K$1001,2,0),"")</f>
        <v>PAILLE ENVELOPPEE CODE 100 TRANS</v>
      </c>
      <c r="G606" s="212">
        <f>50*15</f>
        <v>750</v>
      </c>
      <c r="H606" s="30">
        <f>IFERROR(VLOOKUP(E606,'Inventaire des produits'!$B$4:$K$1001,8,0),"")</f>
        <v>3.9166666659999998</v>
      </c>
      <c r="I606" s="32">
        <f t="shared" si="16"/>
        <v>2937.4999994999998</v>
      </c>
      <c r="J606" s="33">
        <v>2937.4999994999998</v>
      </c>
      <c r="K606" s="127">
        <f t="shared" si="15"/>
        <v>3524.9999993999995</v>
      </c>
    </row>
    <row r="607" spans="2:11" x14ac:dyDescent="0.3">
      <c r="B607" s="306" t="s">
        <v>1703</v>
      </c>
      <c r="C607" s="320">
        <v>45538</v>
      </c>
      <c r="D607" s="317" t="s">
        <v>1371</v>
      </c>
      <c r="E607" s="207" t="s">
        <v>869</v>
      </c>
      <c r="F607" s="29" t="str">
        <f>IFERROR(VLOOKUP(E607,'Inventaire des produits'!$B$4:$K$1001,2,0),"")</f>
        <v>PAILLE ENVELOPPEE CODE 100 TRANS</v>
      </c>
      <c r="G607" s="212">
        <f>7*50</f>
        <v>350</v>
      </c>
      <c r="H607" s="30">
        <f>IFERROR(VLOOKUP(E607,'Inventaire des produits'!$B$4:$K$1001,8,0),"")</f>
        <v>3.9166666659999998</v>
      </c>
      <c r="I607" s="32">
        <f t="shared" si="16"/>
        <v>1370.8333330999999</v>
      </c>
      <c r="J607" s="33">
        <v>1370.8333330999999</v>
      </c>
      <c r="K607" s="127">
        <f t="shared" si="15"/>
        <v>1644.9999997199998</v>
      </c>
    </row>
    <row r="608" spans="2:11" x14ac:dyDescent="0.3">
      <c r="B608" s="306" t="s">
        <v>1703</v>
      </c>
      <c r="C608" s="322"/>
      <c r="D608" s="319"/>
      <c r="E608" s="207" t="s">
        <v>1369</v>
      </c>
      <c r="F608" s="29" t="str">
        <f>IFERROR(VLOOKUP(E608,'Inventaire des produits'!$B$4:$K$1001,2,0),"")</f>
        <v>PAILLE ENVELOPPE 100 TRANS</v>
      </c>
      <c r="G608" s="212">
        <v>100</v>
      </c>
      <c r="H608" s="30">
        <f>IFERROR(VLOOKUP(E608,'Inventaire des produits'!$B$4:$K$1001,8,0),"")</f>
        <v>0</v>
      </c>
      <c r="I608" s="32">
        <f t="shared" si="16"/>
        <v>0</v>
      </c>
      <c r="K608" s="127" t="str">
        <f t="shared" si="15"/>
        <v/>
      </c>
    </row>
    <row r="609" spans="2:11" x14ac:dyDescent="0.3">
      <c r="B609" s="306" t="s">
        <v>1703</v>
      </c>
      <c r="C609" s="320">
        <v>45549</v>
      </c>
      <c r="D609" s="317" t="s">
        <v>1372</v>
      </c>
      <c r="E609" s="208" t="s">
        <v>875</v>
      </c>
      <c r="F609" s="29" t="str">
        <f>IFERROR(VLOOKUP(E609,'Inventaire des produits'!$B$4:$K$1001,2,0),"")</f>
        <v>TRIPOD PIZZA EN PLASTIQUE</v>
      </c>
      <c r="G609" s="212">
        <v>2000</v>
      </c>
      <c r="H609" s="30">
        <f>IFERROR(VLOOKUP(E609,'Inventaire des produits'!$B$4:$K$1001,8,0),"")</f>
        <v>0.32</v>
      </c>
      <c r="I609" s="32">
        <f t="shared" si="16"/>
        <v>640</v>
      </c>
      <c r="J609" s="33">
        <v>2030</v>
      </c>
      <c r="K609" s="127">
        <f t="shared" si="15"/>
        <v>2436</v>
      </c>
    </row>
    <row r="610" spans="2:11" x14ac:dyDescent="0.3">
      <c r="B610" s="306" t="s">
        <v>1703</v>
      </c>
      <c r="C610" s="322"/>
      <c r="D610" s="319"/>
      <c r="E610" s="208" t="s">
        <v>1162</v>
      </c>
      <c r="F610" s="29" t="str">
        <f>IFERROR(VLOOKUP(E610,'Inventaire des produits'!$B$4:$K$1001,2,0),"")</f>
        <v>BOITE PIZZA N°40</v>
      </c>
      <c r="G610" s="212">
        <v>500</v>
      </c>
      <c r="H610" s="30">
        <f>IFERROR(VLOOKUP(E610,'Inventaire des produits'!$B$4:$K$1001,8,0),"")</f>
        <v>2.78</v>
      </c>
      <c r="I610" s="32">
        <f t="shared" si="16"/>
        <v>1390</v>
      </c>
      <c r="K610" s="127" t="str">
        <f t="shared" si="15"/>
        <v/>
      </c>
    </row>
    <row r="611" spans="2:11" x14ac:dyDescent="0.3">
      <c r="B611" s="306" t="s">
        <v>1703</v>
      </c>
      <c r="C611" s="320">
        <v>45549</v>
      </c>
      <c r="D611" s="317" t="s">
        <v>1373</v>
      </c>
      <c r="E611" s="207" t="s">
        <v>1378</v>
      </c>
      <c r="F611" s="29" t="str">
        <f>IFERROR(VLOOKUP(E611,'Inventaire des produits'!$B$4:$K$1001,2,0),"")</f>
        <v>SERVIETTE SEVAN</v>
      </c>
      <c r="G611" s="212">
        <v>2000</v>
      </c>
      <c r="H611" s="30">
        <f>IFERROR(VLOOKUP(E611,'Inventaire des produits'!$B$4:$K$1001,8,0),"")</f>
        <v>2.9166666666666599</v>
      </c>
      <c r="I611" s="32">
        <f t="shared" si="16"/>
        <v>5833.3333333333194</v>
      </c>
      <c r="J611" s="33">
        <v>15768.373</v>
      </c>
      <c r="K611" s="127">
        <f t="shared" si="15"/>
        <v>18922.047599999998</v>
      </c>
    </row>
    <row r="612" spans="2:11" x14ac:dyDescent="0.3">
      <c r="B612" s="306" t="s">
        <v>1703</v>
      </c>
      <c r="C612" s="321"/>
      <c r="D612" s="318"/>
      <c r="E612" s="207" t="s">
        <v>1374</v>
      </c>
      <c r="F612" s="29" t="str">
        <f>IFERROR(VLOOKUP(E612,'Inventaire des produits'!$B$4:$K$1001,2,0),"")</f>
        <v>FILM ALIMENTAIRE ARAX G.M 900GR 30*300</v>
      </c>
      <c r="G612" s="212">
        <v>270</v>
      </c>
      <c r="H612" s="30">
        <f>IFERROR(VLOOKUP(E612,'Inventaire des produits'!$B$4:$K$1001,8,0),"")</f>
        <v>19.166666666600001</v>
      </c>
      <c r="I612" s="32">
        <f t="shared" si="16"/>
        <v>5174.9999999820002</v>
      </c>
      <c r="K612" s="127" t="str">
        <f t="shared" si="15"/>
        <v/>
      </c>
    </row>
    <row r="613" spans="2:11" x14ac:dyDescent="0.3">
      <c r="B613" s="306" t="s">
        <v>1703</v>
      </c>
      <c r="C613" s="321"/>
      <c r="D613" s="318"/>
      <c r="E613" s="208" t="s">
        <v>1128</v>
      </c>
      <c r="F613" s="29" t="str">
        <f>IFERROR(VLOOKUP(E613,'Inventaire des produits'!$B$4:$K$1001,2,0),"")</f>
        <v xml:space="preserve">ESSUIE MAIN 1KG </v>
      </c>
      <c r="G613" s="212">
        <v>120</v>
      </c>
      <c r="H613" s="30">
        <f>IFERROR(VLOOKUP(E613,'Inventaire des produits'!$B$4:$K$1001,8,0),"")</f>
        <v>21.667000000000002</v>
      </c>
      <c r="I613" s="32">
        <f t="shared" si="16"/>
        <v>2600.04</v>
      </c>
      <c r="K613" s="127" t="str">
        <f t="shared" si="15"/>
        <v/>
      </c>
    </row>
    <row r="614" spans="2:11" x14ac:dyDescent="0.3">
      <c r="B614" s="306" t="s">
        <v>1703</v>
      </c>
      <c r="C614" s="322"/>
      <c r="D614" s="319"/>
      <c r="E614" s="208" t="s">
        <v>1376</v>
      </c>
      <c r="F614" s="29" t="str">
        <f>IFERROR(VLOOKUP(E614,'Inventaire des produits'!$B$4:$K$1001,2,0),"")</f>
        <v>MOUCHOIR SWEET 600</v>
      </c>
      <c r="G614" s="212">
        <v>360</v>
      </c>
      <c r="H614" s="30">
        <f>IFERROR(VLOOKUP(E614,'Inventaire des produits'!$B$4:$K$1001,8,0),"")</f>
        <v>6</v>
      </c>
      <c r="I614" s="32">
        <f t="shared" si="16"/>
        <v>2160</v>
      </c>
      <c r="K614" s="127" t="str">
        <f t="shared" si="15"/>
        <v/>
      </c>
    </row>
    <row r="615" spans="2:11" x14ac:dyDescent="0.3">
      <c r="B615" s="306" t="s">
        <v>1703</v>
      </c>
      <c r="C615" s="196">
        <v>45553</v>
      </c>
      <c r="D615" s="195" t="s">
        <v>1384</v>
      </c>
      <c r="E615" s="208" t="s">
        <v>1327</v>
      </c>
      <c r="F615" s="29" t="str">
        <f>IFERROR(VLOOKUP(E615,'Inventaire des produits'!$B$4:$K$1001,2,0),"")</f>
        <v>FOURCHETTE LUXE TRANSPARENTE/100</v>
      </c>
      <c r="G615" s="212">
        <v>60</v>
      </c>
      <c r="H615" s="30">
        <f>IFERROR(VLOOKUP(E615,'Inventaire des produits'!$B$4:$K$1001,8,0),"")</f>
        <v>20.84</v>
      </c>
      <c r="I615" s="32">
        <f t="shared" si="16"/>
        <v>1250.4000000000001</v>
      </c>
      <c r="J615" s="33">
        <v>1250.4000000000001</v>
      </c>
      <c r="K615" s="127">
        <f t="shared" si="15"/>
        <v>1500.48</v>
      </c>
    </row>
    <row r="616" spans="2:11" x14ac:dyDescent="0.3">
      <c r="B616" s="306" t="s">
        <v>1703</v>
      </c>
      <c r="C616" s="196">
        <v>45554</v>
      </c>
      <c r="D616" s="195" t="s">
        <v>1385</v>
      </c>
      <c r="E616" s="208" t="s">
        <v>1327</v>
      </c>
      <c r="F616" s="29" t="str">
        <f>IFERROR(VLOOKUP(E616,'Inventaire des produits'!$B$4:$K$1001,2,0),"")</f>
        <v>FOURCHETTE LUXE TRANSPARENTE/100</v>
      </c>
      <c r="G616" s="212">
        <v>30</v>
      </c>
      <c r="H616" s="30">
        <f>IFERROR(VLOOKUP(E616,'Inventaire des produits'!$B$4:$K$1001,8,0),"")</f>
        <v>20.84</v>
      </c>
      <c r="I616" s="32">
        <f t="shared" si="16"/>
        <v>625.20000000000005</v>
      </c>
      <c r="J616" s="33">
        <v>625.20000000000005</v>
      </c>
      <c r="K616" s="127">
        <f t="shared" si="15"/>
        <v>750.24</v>
      </c>
    </row>
    <row r="617" spans="2:11" x14ac:dyDescent="0.3">
      <c r="B617" s="306" t="s">
        <v>1703</v>
      </c>
      <c r="C617" s="320">
        <v>45553</v>
      </c>
      <c r="D617" s="317" t="s">
        <v>1388</v>
      </c>
      <c r="E617" s="208" t="s">
        <v>1386</v>
      </c>
      <c r="F617" s="29" t="str">
        <f>IFERROR(VLOOKUP(E617,'Inventaire des produits'!$B$4:$K$1001,2,0),"")</f>
        <v>SET COUVERT 4PCS</v>
      </c>
      <c r="G617" s="212">
        <v>5000</v>
      </c>
      <c r="H617" s="30">
        <f>IFERROR(VLOOKUP(E617,'Inventaire des produits'!$B$4:$K$1001,8,0),"")</f>
        <v>0.65</v>
      </c>
      <c r="I617" s="32">
        <f t="shared" si="16"/>
        <v>3250</v>
      </c>
      <c r="J617" s="33">
        <v>10466.67</v>
      </c>
      <c r="K617" s="127">
        <f t="shared" si="15"/>
        <v>12560.003999999999</v>
      </c>
    </row>
    <row r="618" spans="2:11" x14ac:dyDescent="0.3">
      <c r="B618" s="306" t="s">
        <v>1703</v>
      </c>
      <c r="C618" s="321"/>
      <c r="D618" s="318"/>
      <c r="E618" s="207" t="s">
        <v>1311</v>
      </c>
      <c r="F618" s="29" t="str">
        <f>IFERROR(VLOOKUP(E618,'Inventaire des produits'!$B$4:$K$1001,2,0),"")</f>
        <v>POT CARTONIER BLANC 26OZ AVEC CVL</v>
      </c>
      <c r="G618" s="212">
        <v>2500</v>
      </c>
      <c r="H618" s="30">
        <f>IFERROR(VLOOKUP(E618,'Inventaire des produits'!$B$4:$K$1001,8,0),"")</f>
        <v>2</v>
      </c>
      <c r="I618" s="32">
        <f t="shared" si="16"/>
        <v>5000</v>
      </c>
      <c r="K618" s="127" t="str">
        <f t="shared" si="15"/>
        <v/>
      </c>
    </row>
    <row r="619" spans="2:11" x14ac:dyDescent="0.3">
      <c r="B619" s="306" t="s">
        <v>1703</v>
      </c>
      <c r="C619" s="322"/>
      <c r="D619" s="319"/>
      <c r="E619" s="207" t="s">
        <v>501</v>
      </c>
      <c r="F619" s="29" t="str">
        <f>IFERROR(VLOOKUP(E619,'Inventaire des produits'!$B$4:$K$1001,2,0),"")</f>
        <v>BARQUETTE ALUMINIUM 83420</v>
      </c>
      <c r="G619" s="212">
        <v>7000</v>
      </c>
      <c r="H619" s="30">
        <f>IFERROR(VLOOKUP(E619,'Inventaire des produits'!$B$4:$K$1001,8,0),"")</f>
        <v>0.31666666669999999</v>
      </c>
      <c r="I619" s="32">
        <f t="shared" si="16"/>
        <v>2216.6666669000001</v>
      </c>
      <c r="K619" s="127" t="str">
        <f t="shared" si="15"/>
        <v/>
      </c>
    </row>
    <row r="620" spans="2:11" x14ac:dyDescent="0.3">
      <c r="B620" s="306" t="s">
        <v>1703</v>
      </c>
      <c r="C620" s="196">
        <v>45498</v>
      </c>
      <c r="D620" s="195" t="s">
        <v>1391</v>
      </c>
      <c r="E620" s="207" t="s">
        <v>1390</v>
      </c>
      <c r="F620" s="29" t="str">
        <f>IFERROR(VLOOKUP(E620,'Inventaire des produits'!$B$4:$K$1001,2,0),"")</f>
        <v>ROULEAU ALUMINIUM EXTRA PACK 200M</v>
      </c>
      <c r="G620" s="212">
        <v>156</v>
      </c>
      <c r="H620" s="30">
        <f>IFERROR(VLOOKUP(E620,'Inventaire des produits'!$B$4:$K$1001,8,0),"")</f>
        <v>43.804166666666667</v>
      </c>
      <c r="I620" s="32">
        <f t="shared" si="16"/>
        <v>6833.45</v>
      </c>
      <c r="J620" s="33">
        <v>6833.45</v>
      </c>
      <c r="K620" s="127">
        <f t="shared" si="15"/>
        <v>8200.14</v>
      </c>
    </row>
    <row r="621" spans="2:11" x14ac:dyDescent="0.3">
      <c r="B621" s="306" t="s">
        <v>1703</v>
      </c>
      <c r="C621" s="196">
        <v>45532</v>
      </c>
      <c r="D621" s="195" t="s">
        <v>989</v>
      </c>
      <c r="E621" s="207" t="s">
        <v>1394</v>
      </c>
      <c r="F621" s="29" t="str">
        <f>IFERROR(VLOOKUP(E621,'Inventaire des produits'!$B$4:$K$1001,2,0),"")</f>
        <v>SAC KRAFT ECRU 26*17*28 IMP</v>
      </c>
      <c r="G621" s="212">
        <v>10000</v>
      </c>
      <c r="H621" s="30">
        <f>IFERROR(VLOOKUP(E621,'Inventaire des produits'!$B$4:$K$1001,8,0),"")</f>
        <v>0.75</v>
      </c>
      <c r="I621" s="32">
        <f t="shared" si="16"/>
        <v>7500</v>
      </c>
      <c r="K621" s="127" t="str">
        <f t="shared" si="15"/>
        <v/>
      </c>
    </row>
    <row r="622" spans="2:11" x14ac:dyDescent="0.3">
      <c r="B622" s="306" t="s">
        <v>1703</v>
      </c>
      <c r="C622" s="196">
        <v>45554</v>
      </c>
      <c r="D622" s="195" t="s">
        <v>1399</v>
      </c>
      <c r="E622" s="208" t="s">
        <v>1398</v>
      </c>
      <c r="F622" s="29" t="str">
        <f>IFERROR(VLOOKUP(E622,'Inventaire des produits'!$B$4:$K$1001,2,0),"")</f>
        <v>BARQUETTE TRAITEUR 500CC MICRON-ONDABLE TRANS</v>
      </c>
      <c r="G622" s="212">
        <v>300</v>
      </c>
      <c r="H622" s="30">
        <f>IFERROR(VLOOKUP(E622,'Inventaire des produits'!$B$4:$K$1001,8,0),"")</f>
        <v>1.06666666666667</v>
      </c>
      <c r="I622" s="32">
        <f t="shared" si="16"/>
        <v>320.00000000000102</v>
      </c>
      <c r="J622" s="33">
        <v>320.00000000000102</v>
      </c>
      <c r="K622" s="127">
        <f t="shared" si="15"/>
        <v>384.00000000000119</v>
      </c>
    </row>
    <row r="623" spans="2:11" x14ac:dyDescent="0.3">
      <c r="B623" s="306" t="s">
        <v>1703</v>
      </c>
      <c r="C623" s="320">
        <v>45549</v>
      </c>
      <c r="D623" s="317" t="s">
        <v>1403</v>
      </c>
      <c r="E623" s="208" t="s">
        <v>1400</v>
      </c>
      <c r="F623" s="29" t="str">
        <f>IFERROR(VLOOKUP(E623,'Inventaire des produits'!$B$4:$K$1001,2,0),"")</f>
        <v>BARQUETTE TRAITEUR 500CC MICRON-ONDABLE TRANS</v>
      </c>
      <c r="G623" s="212">
        <v>600</v>
      </c>
      <c r="H623" s="30">
        <f>IFERROR(VLOOKUP(E623,'Inventaire des produits'!$B$4:$K$1001,8,0),"")</f>
        <v>1</v>
      </c>
      <c r="I623" s="32">
        <f t="shared" si="16"/>
        <v>600</v>
      </c>
      <c r="J623" s="33">
        <v>1350</v>
      </c>
      <c r="K623" s="127">
        <f t="shared" si="15"/>
        <v>1620</v>
      </c>
    </row>
    <row r="624" spans="2:11" x14ac:dyDescent="0.3">
      <c r="B624" s="306" t="s">
        <v>1703</v>
      </c>
      <c r="C624" s="322"/>
      <c r="D624" s="319"/>
      <c r="E624" s="207" t="s">
        <v>1402</v>
      </c>
      <c r="F624" s="29" t="str">
        <f>IFERROR(VLOOKUP(E624,'Inventaire des produits'!$B$4:$K$1001,2,0),"")</f>
        <v>BARQUETTE TRAITEUR 1000CC MICRON-ONDABLE TRANS</v>
      </c>
      <c r="G624" s="212">
        <v>600</v>
      </c>
      <c r="H624" s="30">
        <f>IFERROR(VLOOKUP(E624,'Inventaire des produits'!$B$4:$K$1001,8,0),"")</f>
        <v>1.25</v>
      </c>
      <c r="I624" s="32">
        <f t="shared" si="16"/>
        <v>750</v>
      </c>
      <c r="K624" s="127" t="str">
        <f t="shared" si="15"/>
        <v/>
      </c>
    </row>
    <row r="625" spans="2:11" x14ac:dyDescent="0.3">
      <c r="B625" s="306" t="s">
        <v>1703</v>
      </c>
      <c r="C625" s="196">
        <v>45549</v>
      </c>
      <c r="D625" s="195" t="s">
        <v>1405</v>
      </c>
      <c r="E625" s="207" t="s">
        <v>1404</v>
      </c>
      <c r="F625" s="29" t="str">
        <f>IFERROR(VLOOKUP(E625,'Inventaire des produits'!$B$4:$K$1001,2,0),"")</f>
        <v>BOL SALADE ET CVL BLANC 38OZ</v>
      </c>
      <c r="G625" s="212">
        <v>600</v>
      </c>
      <c r="H625" s="30">
        <f>IFERROR(VLOOKUP(E625,'Inventaire des produits'!$B$4:$K$1001,8,0),"")</f>
        <v>1.8333333333333333</v>
      </c>
      <c r="I625" s="32">
        <f t="shared" si="16"/>
        <v>1100</v>
      </c>
      <c r="J625" s="33">
        <v>1100</v>
      </c>
      <c r="K625" s="127">
        <f t="shared" si="15"/>
        <v>1320</v>
      </c>
    </row>
    <row r="626" spans="2:11" x14ac:dyDescent="0.3">
      <c r="B626" s="306" t="s">
        <v>1703</v>
      </c>
      <c r="C626" s="196">
        <v>45556</v>
      </c>
      <c r="D626" s="195" t="s">
        <v>1407</v>
      </c>
      <c r="E626" s="207" t="s">
        <v>1406</v>
      </c>
      <c r="F626" s="29" t="str">
        <f>IFERROR(VLOOKUP(E626,'Inventaire des produits'!$B$4:$K$1001,2,0),"")</f>
        <v>BARQUETTE TRAITEUR 750CC MICRON ONDABLE TRANS</v>
      </c>
      <c r="G626" s="212">
        <f>300*5</f>
        <v>1500</v>
      </c>
      <c r="H626" s="30">
        <f>IFERROR(VLOOKUP(E626,'Inventaire des produits'!$B$4:$K$1001,8,0),"")</f>
        <v>1.0833333333333299</v>
      </c>
      <c r="I626" s="32">
        <f t="shared" si="16"/>
        <v>1624.999999999995</v>
      </c>
      <c r="J626" s="33">
        <v>1624.999999999995</v>
      </c>
      <c r="K626" s="127">
        <f t="shared" si="15"/>
        <v>1949.9999999999939</v>
      </c>
    </row>
    <row r="627" spans="2:11" x14ac:dyDescent="0.3">
      <c r="B627" s="306" t="s">
        <v>1703</v>
      </c>
      <c r="C627" s="196">
        <v>45541</v>
      </c>
      <c r="D627" s="195" t="s">
        <v>1410</v>
      </c>
      <c r="E627" s="208" t="s">
        <v>1409</v>
      </c>
      <c r="F627" s="29" t="str">
        <f>IFERROR(VLOOKUP(E627,'Inventaire des produits'!$B$4:$K$1001,2,0),"")</f>
        <v>BOL SALADE NOIR ET CVL 750CC</v>
      </c>
      <c r="G627" s="212">
        <v>300</v>
      </c>
      <c r="H627" s="30">
        <f>IFERROR(VLOOKUP(E627,'Inventaire des produits'!$B$4:$K$1001,8,0),"")</f>
        <v>1.25</v>
      </c>
      <c r="I627" s="32">
        <f t="shared" si="16"/>
        <v>375</v>
      </c>
      <c r="J627" s="33">
        <v>375</v>
      </c>
      <c r="K627" s="127">
        <f t="shared" si="15"/>
        <v>450</v>
      </c>
    </row>
    <row r="628" spans="2:11" x14ac:dyDescent="0.3">
      <c r="B628" s="306" t="s">
        <v>1703</v>
      </c>
      <c r="C628" s="196">
        <v>45539</v>
      </c>
      <c r="D628" s="195" t="s">
        <v>1411</v>
      </c>
      <c r="E628" s="207" t="s">
        <v>1215</v>
      </c>
      <c r="F628" s="29" t="str">
        <f>IFERROR(VLOOKUP(E628,'Inventaire des produits'!$B$4:$K$1001,2,0),"")</f>
        <v>BOLE SOUPE 16OZ MICRON ONDABLE</v>
      </c>
      <c r="G628" s="212">
        <f>10*450</f>
        <v>4500</v>
      </c>
      <c r="H628" s="30">
        <f>IFERROR(VLOOKUP(E628,'Inventaire des produits'!$B$4:$K$1001,8,0),"")</f>
        <v>0.79166666666666663</v>
      </c>
      <c r="I628" s="32">
        <f t="shared" si="16"/>
        <v>3562.5</v>
      </c>
      <c r="J628" s="33">
        <v>3562.5</v>
      </c>
      <c r="K628" s="127">
        <f t="shared" si="15"/>
        <v>4275</v>
      </c>
    </row>
    <row r="629" spans="2:11" x14ac:dyDescent="0.3">
      <c r="B629" s="306" t="s">
        <v>1703</v>
      </c>
      <c r="C629" s="320">
        <v>45537</v>
      </c>
      <c r="D629" s="317" t="s">
        <v>1413</v>
      </c>
      <c r="E629" s="208" t="s">
        <v>1412</v>
      </c>
      <c r="F629" s="29" t="str">
        <f>IFERROR(VLOOKUP(E629,'Inventaire des produits'!$B$4:$K$1001,2,0),"")</f>
        <v>BOL SALADE ET CVL BLANC 38OZ</v>
      </c>
      <c r="G629" s="212">
        <v>300</v>
      </c>
      <c r="H629" s="30">
        <f>IFERROR(VLOOKUP(E629,'Inventaire des produits'!$B$4:$K$1001,8,0),"")</f>
        <v>1.75</v>
      </c>
      <c r="I629" s="32">
        <f t="shared" si="16"/>
        <v>525</v>
      </c>
      <c r="J629" s="33">
        <v>1500</v>
      </c>
      <c r="K629" s="127">
        <f t="shared" si="15"/>
        <v>1800</v>
      </c>
    </row>
    <row r="630" spans="2:11" x14ac:dyDescent="0.3">
      <c r="B630" s="306" t="s">
        <v>1703</v>
      </c>
      <c r="C630" s="322"/>
      <c r="D630" s="319"/>
      <c r="E630" s="207" t="s">
        <v>1406</v>
      </c>
      <c r="F630" s="29" t="str">
        <f>IFERROR(VLOOKUP(E630,'Inventaire des produits'!$B$4:$K$1001,2,0),"")</f>
        <v>BARQUETTE TRAITEUR 750CC MICRON ONDABLE TRANS</v>
      </c>
      <c r="G630" s="212">
        <v>900</v>
      </c>
      <c r="H630" s="30">
        <f>IFERROR(VLOOKUP(E630,'Inventaire des produits'!$B$4:$K$1001,8,0),"")</f>
        <v>1.0833333333333299</v>
      </c>
      <c r="I630" s="32">
        <f t="shared" si="16"/>
        <v>974.99999999999693</v>
      </c>
      <c r="K630" s="127" t="str">
        <f t="shared" si="15"/>
        <v/>
      </c>
    </row>
    <row r="631" spans="2:11" x14ac:dyDescent="0.3">
      <c r="B631" s="306" t="s">
        <v>1703</v>
      </c>
      <c r="C631" s="196">
        <v>45527</v>
      </c>
      <c r="D631" s="195" t="s">
        <v>1414</v>
      </c>
      <c r="E631" s="207" t="s">
        <v>1404</v>
      </c>
      <c r="F631" s="29" t="str">
        <f>IFERROR(VLOOKUP(E631,'Inventaire des produits'!$B$4:$K$1001,2,0),"")</f>
        <v>BOL SALADE ET CVL BLANC 38OZ</v>
      </c>
      <c r="G631" s="212">
        <v>300</v>
      </c>
      <c r="H631" s="30">
        <f>IFERROR(VLOOKUP(E631,'Inventaire des produits'!$B$4:$K$1001,8,0),"")</f>
        <v>1.8333333333333333</v>
      </c>
      <c r="I631" s="32">
        <f t="shared" si="16"/>
        <v>550</v>
      </c>
      <c r="J631" s="33">
        <v>550</v>
      </c>
      <c r="K631" s="127">
        <f t="shared" si="15"/>
        <v>660</v>
      </c>
    </row>
    <row r="632" spans="2:11" x14ac:dyDescent="0.3">
      <c r="B632" s="306" t="s">
        <v>1703</v>
      </c>
      <c r="C632" s="196">
        <v>45526</v>
      </c>
      <c r="D632" s="195" t="s">
        <v>1415</v>
      </c>
      <c r="E632" s="208" t="s">
        <v>1215</v>
      </c>
      <c r="F632" s="29" t="str">
        <f>IFERROR(VLOOKUP(E632,'Inventaire des produits'!$B$4:$K$1001,2,0),"")</f>
        <v>BOLE SOUPE 16OZ MICRON ONDABLE</v>
      </c>
      <c r="G632" s="212">
        <v>450</v>
      </c>
      <c r="H632" s="30">
        <f>IFERROR(VLOOKUP(E632,'Inventaire des produits'!$B$4:$K$1001,8,0),"")</f>
        <v>0.79166666666666663</v>
      </c>
      <c r="I632" s="32">
        <f t="shared" si="16"/>
        <v>356.25</v>
      </c>
      <c r="J632" s="33">
        <v>356.25</v>
      </c>
      <c r="K632" s="127">
        <f t="shared" si="15"/>
        <v>427.5</v>
      </c>
    </row>
    <row r="633" spans="2:11" x14ac:dyDescent="0.3">
      <c r="B633" s="306" t="s">
        <v>1703</v>
      </c>
      <c r="C633" s="196">
        <v>45525</v>
      </c>
      <c r="D633" s="195" t="s">
        <v>1418</v>
      </c>
      <c r="E633" s="208" t="s">
        <v>1416</v>
      </c>
      <c r="F633" s="29" t="str">
        <f>IFERROR(VLOOKUP(E633,'Inventaire des produits'!$B$4:$K$1001,2,0),"")</f>
        <v>POTE GOBLET 2 COMP EN CARTON</v>
      </c>
      <c r="G633" s="212">
        <v>960</v>
      </c>
      <c r="H633" s="30">
        <f>IFERROR(VLOOKUP(E633,'Inventaire des produits'!$B$4:$K$1001,8,0),"")</f>
        <v>0.75</v>
      </c>
      <c r="I633" s="32">
        <f t="shared" si="16"/>
        <v>720</v>
      </c>
      <c r="K633" s="127" t="str">
        <f t="shared" si="15"/>
        <v/>
      </c>
    </row>
    <row r="634" spans="2:11" x14ac:dyDescent="0.3">
      <c r="B634" s="306" t="s">
        <v>1703</v>
      </c>
      <c r="C634" s="196">
        <v>45555</v>
      </c>
      <c r="D634" s="195" t="s">
        <v>1419</v>
      </c>
      <c r="E634" s="208" t="s">
        <v>1149</v>
      </c>
      <c r="F634" s="29" t="str">
        <f>IFERROR(VLOOKUP(E634,'Inventaire des produits'!$B$4:$K$1001,2,0),"")</f>
        <v>ROULEAU DE CAISSE THERMIQUE 80X80</v>
      </c>
      <c r="G634" s="212">
        <v>1000</v>
      </c>
      <c r="H634" s="30">
        <f>IFERROR(VLOOKUP(E634,'Inventaire des produits'!$B$4:$K$1001,8,0),"")</f>
        <v>7.5</v>
      </c>
      <c r="I634" s="32">
        <f t="shared" si="16"/>
        <v>7500</v>
      </c>
      <c r="J634" s="33">
        <v>7500</v>
      </c>
      <c r="K634" s="127">
        <f t="shared" si="15"/>
        <v>9000</v>
      </c>
    </row>
    <row r="635" spans="2:11" x14ac:dyDescent="0.3">
      <c r="B635" s="306" t="s">
        <v>1703</v>
      </c>
      <c r="C635" s="320">
        <v>45519</v>
      </c>
      <c r="D635" s="317" t="s">
        <v>1421</v>
      </c>
      <c r="E635" s="208" t="s">
        <v>1420</v>
      </c>
      <c r="F635" s="29" t="str">
        <f>IFERROR(VLOOKUP(E635,'Inventaire des produits'!$B$4:$K$1001,2,0),"")</f>
        <v>BARQUETTE TRAITEUR 750CC MICRON ONDABLE</v>
      </c>
      <c r="G635" s="212">
        <f>20*300</f>
        <v>6000</v>
      </c>
      <c r="H635" s="30">
        <f>IFERROR(VLOOKUP(E635,'Inventaire des produits'!$B$4:$K$1001,8,0),"")</f>
        <v>1.1388888888888891</v>
      </c>
      <c r="I635" s="32">
        <f t="shared" si="16"/>
        <v>6833.3333333333339</v>
      </c>
      <c r="J635" s="33">
        <v>7189.58</v>
      </c>
      <c r="K635" s="127">
        <f t="shared" si="15"/>
        <v>8627.4959999999992</v>
      </c>
    </row>
    <row r="636" spans="2:11" x14ac:dyDescent="0.3">
      <c r="B636" s="306" t="s">
        <v>1703</v>
      </c>
      <c r="C636" s="322"/>
      <c r="D636" s="319"/>
      <c r="E636" s="208" t="s">
        <v>1215</v>
      </c>
      <c r="F636" s="29" t="str">
        <f>IFERROR(VLOOKUP(E636,'Inventaire des produits'!$B$4:$K$1001,2,0),"")</f>
        <v>BOLE SOUPE 16OZ MICRON ONDABLE</v>
      </c>
      <c r="G636" s="212">
        <v>450</v>
      </c>
      <c r="H636" s="30">
        <f>IFERROR(VLOOKUP(E636,'Inventaire des produits'!$B$4:$K$1001,8,0),"")</f>
        <v>0.79166666666666663</v>
      </c>
      <c r="I636" s="32">
        <f t="shared" si="16"/>
        <v>356.25</v>
      </c>
      <c r="K636" s="127" t="str">
        <f t="shared" ref="K636:K699" si="17">IF(J636="","",J636*1.2)</f>
        <v/>
      </c>
    </row>
    <row r="637" spans="2:11" x14ac:dyDescent="0.3">
      <c r="B637" s="306" t="s">
        <v>1703</v>
      </c>
      <c r="C637" s="196">
        <v>45517</v>
      </c>
      <c r="D637" s="195" t="s">
        <v>1424</v>
      </c>
      <c r="E637" s="208" t="s">
        <v>1423</v>
      </c>
      <c r="F637" s="29" t="str">
        <f>IFERROR(VLOOKUP(E637,'Inventaire des produits'!$B$4:$K$1001,2,0),"")</f>
        <v xml:space="preserve">BOL SALADE ET CVL BLANC 38OZ </v>
      </c>
      <c r="G637" s="212">
        <v>300</v>
      </c>
      <c r="H637" s="30">
        <f>IFERROR(VLOOKUP(E637,'Inventaire des produits'!$B$4:$K$1001,8,0),"")</f>
        <v>2.0833333333333335</v>
      </c>
      <c r="I637" s="32">
        <f t="shared" si="16"/>
        <v>625</v>
      </c>
      <c r="J637" s="33">
        <v>625</v>
      </c>
      <c r="K637" s="127">
        <f t="shared" si="17"/>
        <v>750</v>
      </c>
    </row>
    <row r="638" spans="2:11" x14ac:dyDescent="0.3">
      <c r="B638" s="306" t="s">
        <v>1703</v>
      </c>
      <c r="C638" s="196">
        <v>45556</v>
      </c>
      <c r="D638" s="195" t="s">
        <v>1426</v>
      </c>
      <c r="E638" s="208" t="s">
        <v>1425</v>
      </c>
      <c r="F638" s="29" t="str">
        <f>IFERROR(VLOOKUP(E638,'Inventaire des produits'!$B$4:$K$1001,2,0),"")</f>
        <v xml:space="preserve">BARQUETTE MICRON ONDABLE 3 COMP </v>
      </c>
      <c r="G638" s="212">
        <v>300</v>
      </c>
      <c r="H638" s="30">
        <f>IFERROR(VLOOKUP(E638,'Inventaire des produits'!$B$4:$K$1001,8,0),"")</f>
        <v>1.6666666666666667</v>
      </c>
      <c r="I638" s="32">
        <f t="shared" si="16"/>
        <v>500</v>
      </c>
      <c r="J638" s="33">
        <v>500</v>
      </c>
      <c r="K638" s="127">
        <f t="shared" si="17"/>
        <v>600</v>
      </c>
    </row>
    <row r="639" spans="2:11" x14ac:dyDescent="0.3">
      <c r="B639" s="306" t="s">
        <v>1703</v>
      </c>
      <c r="C639" s="320">
        <v>45503</v>
      </c>
      <c r="D639" s="317" t="s">
        <v>1431</v>
      </c>
      <c r="E639" s="207" t="s">
        <v>1428</v>
      </c>
      <c r="F639" s="29" t="str">
        <f>IFERROR(VLOOKUP(E639,'Inventaire des produits'!$B$4:$K$1001,2,0),"")</f>
        <v>BOITE BURGER KRAFT BONNE APPETIT 11,5*11,5*7</v>
      </c>
      <c r="G639" s="212">
        <v>400</v>
      </c>
      <c r="H639" s="30">
        <f>IFERROR(VLOOKUP(E639,'Inventaire des produits'!$B$4:$K$1001,8,0),"")</f>
        <v>0.79166666666666674</v>
      </c>
      <c r="I639" s="32">
        <f t="shared" si="16"/>
        <v>316.66666666666669</v>
      </c>
      <c r="J639" s="33">
        <v>691.67</v>
      </c>
      <c r="K639" s="127">
        <f t="shared" si="17"/>
        <v>830.00399999999991</v>
      </c>
    </row>
    <row r="640" spans="2:11" x14ac:dyDescent="0.3">
      <c r="B640" s="306" t="s">
        <v>1703</v>
      </c>
      <c r="C640" s="322"/>
      <c r="D640" s="319"/>
      <c r="E640" s="207" t="s">
        <v>1430</v>
      </c>
      <c r="F640" s="29" t="str">
        <f>IFERROR(VLOOKUP(E640,'Inventaire des produits'!$B$4:$K$1001,2,0),"")</f>
        <v>BOX KRAFT 14,5*8,5*6</v>
      </c>
      <c r="G640" s="212">
        <v>500</v>
      </c>
      <c r="H640" s="30">
        <f>IFERROR(VLOOKUP(E640,'Inventaire des produits'!$B$4:$K$1001,8,0),"")</f>
        <v>0.75</v>
      </c>
      <c r="I640" s="32">
        <f t="shared" si="16"/>
        <v>375</v>
      </c>
      <c r="K640" s="127" t="str">
        <f t="shared" si="17"/>
        <v/>
      </c>
    </row>
    <row r="641" spans="2:11" x14ac:dyDescent="0.3">
      <c r="B641" s="306" t="s">
        <v>1703</v>
      </c>
      <c r="C641" s="196">
        <v>45501</v>
      </c>
      <c r="D641" s="195" t="s">
        <v>1432</v>
      </c>
      <c r="E641" s="208" t="s">
        <v>1409</v>
      </c>
      <c r="F641" s="29" t="str">
        <f>IFERROR(VLOOKUP(E641,'Inventaire des produits'!$B$4:$K$1001,2,0),"")</f>
        <v>BOL SALADE NOIR ET CVL 750CC</v>
      </c>
      <c r="G641" s="212">
        <v>500</v>
      </c>
      <c r="H641" s="30">
        <f>IFERROR(VLOOKUP(E641,'Inventaire des produits'!$B$4:$K$1001,8,0),"")</f>
        <v>1.25</v>
      </c>
      <c r="I641" s="32">
        <f t="shared" si="16"/>
        <v>625</v>
      </c>
      <c r="J641" s="33">
        <v>625</v>
      </c>
      <c r="K641" s="127">
        <f t="shared" si="17"/>
        <v>750</v>
      </c>
    </row>
    <row r="642" spans="2:11" x14ac:dyDescent="0.3">
      <c r="B642" s="306" t="s">
        <v>1703</v>
      </c>
      <c r="C642" s="196">
        <v>45495</v>
      </c>
      <c r="D642" s="195" t="s">
        <v>1435</v>
      </c>
      <c r="E642" s="208" t="s">
        <v>1434</v>
      </c>
      <c r="F642" s="29" t="str">
        <f>IFERROR(VLOOKUP(E642,'Inventaire des produits'!$B$4:$K$1001,2,0),"")</f>
        <v>BOL SALADE ET CVL KRAFT 550CC</v>
      </c>
      <c r="G642" s="212">
        <v>500</v>
      </c>
      <c r="H642" s="30">
        <f>IFERROR(VLOOKUP(E642,'Inventaire des produits'!$B$4:$K$1001,8,0),"")</f>
        <v>1.1666666666666667</v>
      </c>
      <c r="I642" s="32">
        <f t="shared" ref="I642:I705" si="18">IF(OR(G642="",H642=""),"",G642*H642)</f>
        <v>583.33333333333337</v>
      </c>
      <c r="J642" s="33">
        <v>583.33333333333337</v>
      </c>
      <c r="K642" s="127">
        <f t="shared" si="17"/>
        <v>700</v>
      </c>
    </row>
    <row r="643" spans="2:11" x14ac:dyDescent="0.3">
      <c r="B643" s="306" t="s">
        <v>1703</v>
      </c>
      <c r="C643" s="196">
        <v>45559</v>
      </c>
      <c r="D643" s="195" t="s">
        <v>1442</v>
      </c>
      <c r="E643" s="208" t="s">
        <v>1162</v>
      </c>
      <c r="F643" s="29" t="str">
        <f>IFERROR(VLOOKUP(E643,'Inventaire des produits'!$B$4:$K$1001,2,0),"")</f>
        <v>BOITE PIZZA N°40</v>
      </c>
      <c r="G643" s="212">
        <v>750</v>
      </c>
      <c r="H643" s="30">
        <f>IFERROR(VLOOKUP(E643,'Inventaire des produits'!$B$4:$K$1001,8,0),"")</f>
        <v>2.78</v>
      </c>
      <c r="I643" s="32">
        <f t="shared" si="18"/>
        <v>2085</v>
      </c>
      <c r="J643" s="33">
        <v>2085</v>
      </c>
      <c r="K643" s="127">
        <f t="shared" si="17"/>
        <v>2502</v>
      </c>
    </row>
    <row r="644" spans="2:11" x14ac:dyDescent="0.3">
      <c r="B644" s="306" t="s">
        <v>1703</v>
      </c>
      <c r="C644" s="320">
        <v>45559</v>
      </c>
      <c r="D644" s="317" t="s">
        <v>1443</v>
      </c>
      <c r="E644" s="208" t="s">
        <v>1327</v>
      </c>
      <c r="F644" s="29" t="str">
        <f>IFERROR(VLOOKUP(E644,'Inventaire des produits'!$B$4:$K$1001,2,0),"")</f>
        <v>FOURCHETTE LUXE TRANSPARENTE/100</v>
      </c>
      <c r="G644" s="212">
        <v>43</v>
      </c>
      <c r="H644" s="30">
        <f>IFERROR(VLOOKUP(E644,'Inventaire des produits'!$B$4:$K$1001,8,0),"")</f>
        <v>20.84</v>
      </c>
      <c r="I644" s="32">
        <f t="shared" si="18"/>
        <v>896.12</v>
      </c>
      <c r="J644" s="33">
        <v>1186.1199999999999</v>
      </c>
      <c r="K644" s="127">
        <f t="shared" si="17"/>
        <v>1423.3439999999998</v>
      </c>
    </row>
    <row r="645" spans="2:11" x14ac:dyDescent="0.3">
      <c r="B645" s="306" t="s">
        <v>1703</v>
      </c>
      <c r="C645" s="322"/>
      <c r="D645" s="319"/>
      <c r="E645" s="208" t="s">
        <v>1194</v>
      </c>
      <c r="F645" s="29" t="str">
        <f>IFERROR(VLOOKUP(E645,'Inventaire des produits'!$B$4:$K$1001,2,0),"")</f>
        <v>POT DE SAUCE 2OZ EN PLASTIQUE</v>
      </c>
      <c r="G645" s="212">
        <v>1000</v>
      </c>
      <c r="H645" s="30">
        <f>IFERROR(VLOOKUP(E645,'Inventaire des produits'!$B$4:$K$1001,8,0),"")</f>
        <v>0.28999999999999998</v>
      </c>
      <c r="I645" s="32">
        <f t="shared" si="18"/>
        <v>290</v>
      </c>
      <c r="K645" s="127" t="str">
        <f t="shared" si="17"/>
        <v/>
      </c>
    </row>
    <row r="646" spans="2:11" x14ac:dyDescent="0.3">
      <c r="B646" s="306" t="s">
        <v>1703</v>
      </c>
      <c r="C646" s="320">
        <v>45519</v>
      </c>
      <c r="D646" s="317" t="s">
        <v>1455</v>
      </c>
      <c r="E646" s="207" t="s">
        <v>1444</v>
      </c>
      <c r="F646" s="29" t="str">
        <f>IFERROR(VLOOKUP(E646,'Inventaire des produits'!$B$4:$K$1001,2,0),"")</f>
        <v>COUPE 6OZ</v>
      </c>
      <c r="G646" s="212">
        <v>6400</v>
      </c>
      <c r="H646" s="30">
        <f>IFERROR(VLOOKUP(E646,'Inventaire des produits'!$B$4:$K$1001,8,0),"")</f>
        <v>0.25</v>
      </c>
      <c r="I646" s="32">
        <f t="shared" si="18"/>
        <v>1600</v>
      </c>
      <c r="J646" s="33">
        <v>14727</v>
      </c>
      <c r="K646" s="127">
        <f t="shared" si="17"/>
        <v>17672.399999999998</v>
      </c>
    </row>
    <row r="647" spans="2:11" x14ac:dyDescent="0.3">
      <c r="B647" s="306" t="s">
        <v>1703</v>
      </c>
      <c r="C647" s="321"/>
      <c r="D647" s="318"/>
      <c r="E647" s="207" t="s">
        <v>1446</v>
      </c>
      <c r="F647" s="29" t="str">
        <f>IFERROR(VLOOKUP(E647,'Inventaire des produits'!$B$4:$K$1001,2,0),"")</f>
        <v>CVL DE COUPE 6OZ</v>
      </c>
      <c r="G647" s="212">
        <v>6400</v>
      </c>
      <c r="H647" s="30">
        <f>IFERROR(VLOOKUP(E647,'Inventaire des produits'!$B$4:$K$1001,8,0),"")</f>
        <v>0.28000000000000003</v>
      </c>
      <c r="I647" s="32">
        <f t="shared" si="18"/>
        <v>1792.0000000000002</v>
      </c>
      <c r="K647" s="127" t="str">
        <f t="shared" si="17"/>
        <v/>
      </c>
    </row>
    <row r="648" spans="2:11" x14ac:dyDescent="0.3">
      <c r="B648" s="306" t="s">
        <v>1703</v>
      </c>
      <c r="C648" s="321"/>
      <c r="D648" s="318"/>
      <c r="E648" s="208" t="s">
        <v>1449</v>
      </c>
      <c r="F648" s="29" t="str">
        <f>IFERROR(VLOOKUP(E648,'Inventaire des produits'!$B$4:$K$1001,2,0),"")</f>
        <v>BOL 500 MICRON ONDABLE</v>
      </c>
      <c r="G648" s="212">
        <v>1500</v>
      </c>
      <c r="H648" s="30">
        <f>IFERROR(VLOOKUP(E648,'Inventaire des produits'!$B$4:$K$1001,8,0),"")</f>
        <v>0.67</v>
      </c>
      <c r="I648" s="32">
        <f t="shared" si="18"/>
        <v>1005.0000000000001</v>
      </c>
      <c r="K648" s="127" t="str">
        <f t="shared" si="17"/>
        <v/>
      </c>
    </row>
    <row r="649" spans="2:11" x14ac:dyDescent="0.3">
      <c r="B649" s="306" t="s">
        <v>1703</v>
      </c>
      <c r="C649" s="321"/>
      <c r="D649" s="318"/>
      <c r="E649" s="208" t="s">
        <v>1450</v>
      </c>
      <c r="F649" s="29" t="str">
        <f>IFERROR(VLOOKUP(E649,'Inventaire des produits'!$B$4:$K$1001,2,0),"")</f>
        <v>COUPE MACEDONIA AVEC CVL</v>
      </c>
      <c r="G649" s="212">
        <v>10000</v>
      </c>
      <c r="H649" s="30">
        <f>IFERROR(VLOOKUP(E649,'Inventaire des produits'!$B$4:$K$1001,8,0),"")</f>
        <v>0.67</v>
      </c>
      <c r="I649" s="32">
        <f t="shared" si="18"/>
        <v>6700</v>
      </c>
      <c r="K649" s="127" t="str">
        <f t="shared" si="17"/>
        <v/>
      </c>
    </row>
    <row r="650" spans="2:11" x14ac:dyDescent="0.3">
      <c r="B650" s="306" t="s">
        <v>1703</v>
      </c>
      <c r="C650" s="321"/>
      <c r="D650" s="318"/>
      <c r="E650" s="207" t="s">
        <v>1452</v>
      </c>
      <c r="F650" s="29" t="str">
        <f>IFERROR(VLOOKUP(E650,'Inventaire des produits'!$B$4:$K$1001,2,0),"")</f>
        <v>GANT POLYETHLENE</v>
      </c>
      <c r="G650" s="212">
        <v>1000</v>
      </c>
      <c r="H650" s="30">
        <f>IFERROR(VLOOKUP(E650,'Inventaire des produits'!$B$4:$K$1001,8,0),"")</f>
        <v>2.5099999999999998</v>
      </c>
      <c r="I650" s="32">
        <f t="shared" si="18"/>
        <v>2510</v>
      </c>
      <c r="K650" s="127" t="str">
        <f t="shared" si="17"/>
        <v/>
      </c>
    </row>
    <row r="651" spans="2:11" x14ac:dyDescent="0.3">
      <c r="B651" s="306" t="s">
        <v>1703</v>
      </c>
      <c r="C651" s="322"/>
      <c r="D651" s="319"/>
      <c r="E651" s="208" t="s">
        <v>1454</v>
      </c>
      <c r="F651" s="29" t="str">
        <f>IFERROR(VLOOKUP(E651,'Inventaire des produits'!$B$4:$K$1001,2,0),"")</f>
        <v>PAILLE 6MM</v>
      </c>
      <c r="G651" s="212">
        <v>80</v>
      </c>
      <c r="H651" s="30">
        <f>IFERROR(VLOOKUP(E651,'Inventaire des produits'!$B$4:$K$1001,8,0),"")</f>
        <v>14</v>
      </c>
      <c r="I651" s="32">
        <f t="shared" si="18"/>
        <v>1120</v>
      </c>
      <c r="K651" s="127" t="str">
        <f t="shared" si="17"/>
        <v/>
      </c>
    </row>
    <row r="652" spans="2:11" x14ac:dyDescent="0.3">
      <c r="B652" s="306" t="s">
        <v>1703</v>
      </c>
      <c r="C652" s="196">
        <v>45562</v>
      </c>
      <c r="D652" s="195" t="s">
        <v>1458</v>
      </c>
      <c r="E652" s="208" t="s">
        <v>1327</v>
      </c>
      <c r="F652" s="29" t="str">
        <f>IFERROR(VLOOKUP(E652,'Inventaire des produits'!$B$4:$K$1001,2,0),"")</f>
        <v>FOURCHETTE LUXE TRANSPARENTE/100</v>
      </c>
      <c r="G652" s="212">
        <v>9</v>
      </c>
      <c r="H652" s="30">
        <f>IFERROR(VLOOKUP(E652,'Inventaire des produits'!$B$4:$K$1001,8,0),"")</f>
        <v>20.84</v>
      </c>
      <c r="I652" s="32">
        <f t="shared" si="18"/>
        <v>187.56</v>
      </c>
      <c r="J652" s="33">
        <v>187.56</v>
      </c>
      <c r="K652" s="127">
        <f t="shared" si="17"/>
        <v>225.072</v>
      </c>
    </row>
    <row r="653" spans="2:11" x14ac:dyDescent="0.3">
      <c r="B653" s="306" t="s">
        <v>1703</v>
      </c>
      <c r="C653" s="320">
        <v>45563</v>
      </c>
      <c r="D653" s="317" t="s">
        <v>1459</v>
      </c>
      <c r="E653" s="208" t="s">
        <v>1463</v>
      </c>
      <c r="F653" s="29" t="str">
        <f>IFERROR(VLOOKUP(E653,'Inventaire des produits'!$B$4:$K$1001,2,0),"")</f>
        <v>FOURCHETTE LUXE TRANSPARENTE</v>
      </c>
      <c r="G653" s="212">
        <v>1000</v>
      </c>
      <c r="H653" s="30">
        <f>IFERROR(VLOOKUP(E653,'Inventaire des produits'!$B$4:$K$1001,8,0),"")</f>
        <v>15</v>
      </c>
      <c r="I653" s="32">
        <f t="shared" si="18"/>
        <v>15000</v>
      </c>
      <c r="J653" s="33">
        <v>24000</v>
      </c>
      <c r="K653" s="127">
        <f t="shared" si="17"/>
        <v>28800</v>
      </c>
    </row>
    <row r="654" spans="2:11" x14ac:dyDescent="0.3">
      <c r="B654" s="306" t="s">
        <v>1703</v>
      </c>
      <c r="C654" s="321"/>
      <c r="D654" s="318"/>
      <c r="E654" s="208" t="s">
        <v>1464</v>
      </c>
      <c r="F654" s="29" t="str">
        <f>IFERROR(VLOOKUP(E654,'Inventaire des produits'!$B$4:$K$1001,2,0),"")</f>
        <v>CUILLERE LUXE TRANSPARENTE</v>
      </c>
      <c r="G654" s="212">
        <v>400</v>
      </c>
      <c r="H654" s="30">
        <f>IFERROR(VLOOKUP(E654,'Inventaire des produits'!$B$4:$K$1001,8,0),"")</f>
        <v>15</v>
      </c>
      <c r="I654" s="32">
        <f t="shared" si="18"/>
        <v>6000</v>
      </c>
      <c r="K654" s="127" t="str">
        <f t="shared" si="17"/>
        <v/>
      </c>
    </row>
    <row r="655" spans="2:11" x14ac:dyDescent="0.3">
      <c r="B655" s="306" t="s">
        <v>1703</v>
      </c>
      <c r="C655" s="322"/>
      <c r="D655" s="319"/>
      <c r="E655" s="208" t="s">
        <v>1465</v>
      </c>
      <c r="F655" s="29" t="str">
        <f>IFERROR(VLOOKUP(E655,'Inventaire des produits'!$B$4:$K$1001,2,0),"")</f>
        <v>COUTEAU LUXE TRANSPARENTE</v>
      </c>
      <c r="G655" s="212">
        <v>200</v>
      </c>
      <c r="H655" s="30">
        <f>IFERROR(VLOOKUP(E655,'Inventaire des produits'!$B$4:$K$1001,8,0),"")</f>
        <v>15</v>
      </c>
      <c r="I655" s="32">
        <f t="shared" si="18"/>
        <v>3000</v>
      </c>
      <c r="K655" s="127" t="str">
        <f t="shared" si="17"/>
        <v/>
      </c>
    </row>
    <row r="656" spans="2:11" x14ac:dyDescent="0.3">
      <c r="B656" s="306" t="s">
        <v>1703</v>
      </c>
      <c r="C656" s="196">
        <v>45566</v>
      </c>
      <c r="D656" s="195" t="s">
        <v>1470</v>
      </c>
      <c r="E656" s="208" t="s">
        <v>1316</v>
      </c>
      <c r="F656" s="29" t="str">
        <f>IFERROR(VLOOKUP(E656,'Inventaire des produits'!$B$4:$K$1001,2,0),"")</f>
        <v>SAC PN BLANCE 40*45</v>
      </c>
      <c r="G656" s="212">
        <v>14300</v>
      </c>
      <c r="H656" s="30">
        <f>IFERROR(VLOOKUP(E656,'Inventaire des produits'!$B$4:$K$1001,8,0),"")</f>
        <v>0.41665999999999997</v>
      </c>
      <c r="I656" s="32">
        <f t="shared" si="18"/>
        <v>5958.2379999999994</v>
      </c>
      <c r="J656" s="33">
        <v>5958.2379999999994</v>
      </c>
      <c r="K656" s="127">
        <f t="shared" si="17"/>
        <v>7149.8855999999987</v>
      </c>
    </row>
    <row r="657" spans="2:11" x14ac:dyDescent="0.3">
      <c r="B657" s="306" t="s">
        <v>1703</v>
      </c>
      <c r="C657" s="196">
        <v>45572</v>
      </c>
      <c r="D657" s="195" t="s">
        <v>1477</v>
      </c>
      <c r="E657" s="208" t="s">
        <v>1162</v>
      </c>
      <c r="F657" s="29" t="str">
        <f>IFERROR(VLOOKUP(E657,'Inventaire des produits'!$B$4:$K$1001,2,0),"")</f>
        <v>BOITE PIZZA N°40</v>
      </c>
      <c r="G657" s="212">
        <v>750</v>
      </c>
      <c r="H657" s="30">
        <f>IFERROR(VLOOKUP(E657,'Inventaire des produits'!$B$4:$K$1001,8,0),"")</f>
        <v>2.78</v>
      </c>
      <c r="I657" s="32">
        <f t="shared" si="18"/>
        <v>2085</v>
      </c>
      <c r="J657" s="33">
        <v>2085</v>
      </c>
      <c r="K657" s="127">
        <f t="shared" si="17"/>
        <v>2502</v>
      </c>
    </row>
    <row r="658" spans="2:11" x14ac:dyDescent="0.3">
      <c r="B658" s="306" t="s">
        <v>1703</v>
      </c>
      <c r="C658" s="320">
        <v>45573</v>
      </c>
      <c r="D658" s="317" t="s">
        <v>1481</v>
      </c>
      <c r="E658" s="208" t="s">
        <v>1294</v>
      </c>
      <c r="F658" s="29" t="str">
        <f>IFERROR(VLOOKUP(E658,'Inventaire des produits'!$B$4:$K$1001,2,0),"")</f>
        <v>BARQUETTE ALUMINIUM RECT 1200ML AVEC CVL</v>
      </c>
      <c r="G658" s="212">
        <v>2000</v>
      </c>
      <c r="H658" s="30">
        <f>IFERROR(VLOOKUP(E658,'Inventaire des produits'!$B$4:$K$1001,8,0),"")</f>
        <v>1.0250000000249999</v>
      </c>
      <c r="I658" s="32">
        <f t="shared" si="18"/>
        <v>2050.0000000499999</v>
      </c>
      <c r="J658" s="33">
        <v>2050</v>
      </c>
      <c r="K658" s="127">
        <f t="shared" si="17"/>
        <v>2460</v>
      </c>
    </row>
    <row r="659" spans="2:11" x14ac:dyDescent="0.3">
      <c r="B659" s="306" t="s">
        <v>1703</v>
      </c>
      <c r="C659" s="322"/>
      <c r="D659" s="319"/>
      <c r="E659" s="208" t="s">
        <v>1295</v>
      </c>
      <c r="F659" s="29" t="str">
        <f>IFERROR(VLOOKUP(E659,'Inventaire des produits'!$B$4:$K$1001,2,0),"")</f>
        <v>BARQUETTE ALUMINIUM RECT 1200ML AVEC CVL</v>
      </c>
      <c r="G659" s="212">
        <v>400</v>
      </c>
      <c r="H659" s="30">
        <f>IFERROR(VLOOKUP(E659,'Inventaire des produits'!$B$4:$K$1001,8,0),"")</f>
        <v>0</v>
      </c>
      <c r="I659" s="32">
        <f t="shared" si="18"/>
        <v>0</v>
      </c>
      <c r="K659" s="127" t="str">
        <f t="shared" si="17"/>
        <v/>
      </c>
    </row>
    <row r="660" spans="2:11" x14ac:dyDescent="0.3">
      <c r="B660" s="306" t="s">
        <v>1703</v>
      </c>
      <c r="C660" s="320">
        <v>45510</v>
      </c>
      <c r="D660" s="317" t="s">
        <v>1483</v>
      </c>
      <c r="E660" s="208" t="s">
        <v>666</v>
      </c>
      <c r="F660" s="29" t="str">
        <f>IFERROR(VLOOKUP(E660,'Inventaire des produits'!$B$4:$K$1001,2,0),"")</f>
        <v>GANT VINYL EXTRA PREMIUM GLOVE MEDIUM</v>
      </c>
      <c r="G660" s="212">
        <v>150</v>
      </c>
      <c r="H660" s="30">
        <f>IFERROR(VLOOKUP(E660,'Inventaire des produits'!$B$4:$K$1001,8,0),"")</f>
        <v>20</v>
      </c>
      <c r="I660" s="32">
        <f t="shared" si="18"/>
        <v>3000</v>
      </c>
      <c r="J660" s="33">
        <v>10000</v>
      </c>
      <c r="K660" s="127">
        <f t="shared" si="17"/>
        <v>12000</v>
      </c>
    </row>
    <row r="661" spans="2:11" x14ac:dyDescent="0.3">
      <c r="B661" s="306" t="s">
        <v>1703</v>
      </c>
      <c r="C661" s="322"/>
      <c r="D661" s="319"/>
      <c r="E661" s="208" t="s">
        <v>1482</v>
      </c>
      <c r="F661" s="29" t="str">
        <f>IFERROR(VLOOKUP(E661,'Inventaire des produits'!$B$4:$K$1001,2,0),"")</f>
        <v>COQUILLE MEAL BOX 2 COMP BLANC</v>
      </c>
      <c r="G661" s="212">
        <v>8000</v>
      </c>
      <c r="H661" s="30">
        <f>IFERROR(VLOOKUP(E661,'Inventaire des produits'!$B$4:$K$1001,8,0),"")</f>
        <v>0.87500000000000011</v>
      </c>
      <c r="I661" s="32">
        <f t="shared" si="18"/>
        <v>7000.0000000000009</v>
      </c>
      <c r="K661" s="127" t="str">
        <f t="shared" si="17"/>
        <v/>
      </c>
    </row>
    <row r="662" spans="2:11" x14ac:dyDescent="0.3">
      <c r="B662" s="306" t="s">
        <v>1703</v>
      </c>
      <c r="C662" s="196">
        <v>45565</v>
      </c>
      <c r="D662" s="195" t="s">
        <v>1496</v>
      </c>
      <c r="E662" s="208" t="s">
        <v>1495</v>
      </c>
      <c r="F662" s="29" t="str">
        <f>IFERROR(VLOOKUP(E662,'Inventaire des produits'!$B$4:$K$1001,2,0),"")</f>
        <v>CLICHE POLYMERE EP° 5MM</v>
      </c>
      <c r="G662" s="212">
        <v>1</v>
      </c>
      <c r="H662" s="30">
        <f>IFERROR(VLOOKUP(E662,'Inventaire des produits'!$B$4:$K$1001,8,0),"")</f>
        <v>260</v>
      </c>
      <c r="I662" s="32">
        <f t="shared" si="18"/>
        <v>260</v>
      </c>
      <c r="J662" s="33">
        <v>260</v>
      </c>
      <c r="K662" s="127">
        <f t="shared" si="17"/>
        <v>312</v>
      </c>
    </row>
    <row r="663" spans="2:11" x14ac:dyDescent="0.3">
      <c r="B663" s="306" t="s">
        <v>1703</v>
      </c>
      <c r="C663" s="320">
        <v>45575</v>
      </c>
      <c r="D663" s="317" t="s">
        <v>1497</v>
      </c>
      <c r="E663" s="207" t="s">
        <v>1412</v>
      </c>
      <c r="F663" s="29" t="str">
        <f>IFERROR(VLOOKUP(E663,'Inventaire des produits'!$B$4:$K$1001,2,0),"")</f>
        <v>BOL SALADE ET CVL BLANC 38OZ</v>
      </c>
      <c r="G663" s="212">
        <v>300</v>
      </c>
      <c r="H663" s="30">
        <f>IFERROR(VLOOKUP(E663,'Inventaire des produits'!$B$4:$K$1001,8,0),"")</f>
        <v>1.75</v>
      </c>
      <c r="I663" s="32">
        <f t="shared" si="18"/>
        <v>525</v>
      </c>
      <c r="J663" s="295">
        <v>14141.666666666668</v>
      </c>
      <c r="K663" s="127">
        <f t="shared" si="17"/>
        <v>16970</v>
      </c>
    </row>
    <row r="664" spans="2:11" x14ac:dyDescent="0.3">
      <c r="B664" s="306" t="s">
        <v>1703</v>
      </c>
      <c r="C664" s="321"/>
      <c r="D664" s="318"/>
      <c r="E664" s="208" t="s">
        <v>1303</v>
      </c>
      <c r="F664" s="29" t="str">
        <f>IFERROR(VLOOKUP(E664,'Inventaire des produits'!$B$4:$K$1001,2,0),"")</f>
        <v>BARQUETTE ALUMINIUM 83670</v>
      </c>
      <c r="G664" s="212">
        <v>7000</v>
      </c>
      <c r="H664" s="30">
        <f>IFERROR(VLOOKUP(E664,'Inventaire des produits'!$B$4:$K$1001,8,0),"")</f>
        <v>0.51666666666666672</v>
      </c>
      <c r="I664" s="32">
        <f t="shared" si="18"/>
        <v>3616.666666666667</v>
      </c>
      <c r="J664" s="294"/>
      <c r="K664" s="127" t="str">
        <f t="shared" si="17"/>
        <v/>
      </c>
    </row>
    <row r="665" spans="2:11" x14ac:dyDescent="0.3">
      <c r="B665" s="306" t="s">
        <v>1703</v>
      </c>
      <c r="C665" s="322"/>
      <c r="D665" s="319"/>
      <c r="E665" s="208" t="s">
        <v>1311</v>
      </c>
      <c r="F665" s="29" t="str">
        <f>IFERROR(VLOOKUP(E665,'Inventaire des produits'!$B$4:$K$1001,2,0),"")</f>
        <v>POT CARTONIER BLANC 26OZ AVEC CVL</v>
      </c>
      <c r="G665" s="212">
        <v>5000</v>
      </c>
      <c r="H665" s="30">
        <f>IFERROR(VLOOKUP(E665,'Inventaire des produits'!$B$4:$K$1001,8,0),"")</f>
        <v>2</v>
      </c>
      <c r="I665" s="32">
        <f t="shared" si="18"/>
        <v>10000</v>
      </c>
      <c r="J665" s="294"/>
      <c r="K665" s="127" t="str">
        <f t="shared" si="17"/>
        <v/>
      </c>
    </row>
    <row r="666" spans="2:11" x14ac:dyDescent="0.3">
      <c r="B666" s="306" t="s">
        <v>1703</v>
      </c>
      <c r="C666" s="320">
        <v>45577</v>
      </c>
      <c r="D666" s="317" t="s">
        <v>1500</v>
      </c>
      <c r="E666" s="208" t="s">
        <v>1316</v>
      </c>
      <c r="F666" s="29" t="str">
        <f>IFERROR(VLOOKUP(E666,'Inventaire des produits'!$B$4:$K$1001,2,0),"")</f>
        <v>SAC PN BLANCE 40*45</v>
      </c>
      <c r="G666" s="212">
        <v>2000</v>
      </c>
      <c r="H666" s="30">
        <f>IFERROR(VLOOKUP(E666,'Inventaire des produits'!$B$4:$K$1001,8,0),"")</f>
        <v>0.41665999999999997</v>
      </c>
      <c r="I666" s="32">
        <f t="shared" si="18"/>
        <v>833.31999999999994</v>
      </c>
      <c r="J666" s="295">
        <v>526215</v>
      </c>
      <c r="K666" s="127">
        <f t="shared" si="17"/>
        <v>631458</v>
      </c>
    </row>
    <row r="667" spans="2:11" x14ac:dyDescent="0.3">
      <c r="B667" s="306" t="s">
        <v>1703</v>
      </c>
      <c r="C667" s="321"/>
      <c r="D667" s="318"/>
      <c r="E667" s="208" t="s">
        <v>1056</v>
      </c>
      <c r="F667" s="29" t="str">
        <f>IFERROR(VLOOKUP(E667,'Inventaire des produits'!$B$4:$K$1001,2,0),"")</f>
        <v>SAC PN BLANC NI 30*40*10</v>
      </c>
      <c r="G667" s="212">
        <v>9000</v>
      </c>
      <c r="H667" s="30">
        <f>IFERROR(VLOOKUP(E667,'Inventaire des produits'!$B$4:$K$1001,8,0),"")</f>
        <v>0.33334000000000003</v>
      </c>
      <c r="I667" s="32">
        <f t="shared" si="18"/>
        <v>3000.0600000000004</v>
      </c>
      <c r="K667" s="127" t="str">
        <f t="shared" si="17"/>
        <v/>
      </c>
    </row>
    <row r="668" spans="2:11" x14ac:dyDescent="0.3">
      <c r="B668" s="306" t="s">
        <v>1703</v>
      </c>
      <c r="C668" s="322"/>
      <c r="D668" s="319"/>
      <c r="E668" s="208" t="s">
        <v>1498</v>
      </c>
      <c r="F668" s="29" t="str">
        <f>IFERROR(VLOOKUP(E668,'Inventaire des produits'!$B$4:$K$1001,2,0),"")</f>
        <v>SAC BR 48*26</v>
      </c>
      <c r="G668" s="212">
        <v>63.5</v>
      </c>
      <c r="H668" s="30">
        <f>IFERROR(VLOOKUP(E668,'Inventaire des produits'!$B$4:$K$1001,8,0),"")</f>
        <v>22.5</v>
      </c>
      <c r="I668" s="32">
        <f t="shared" si="18"/>
        <v>1428.75</v>
      </c>
      <c r="K668" s="127" t="str">
        <f t="shared" si="17"/>
        <v/>
      </c>
    </row>
    <row r="669" spans="2:11" x14ac:dyDescent="0.3">
      <c r="B669" s="306" t="s">
        <v>1703</v>
      </c>
      <c r="C669" s="196">
        <v>45581</v>
      </c>
      <c r="D669" s="195" t="s">
        <v>1503</v>
      </c>
      <c r="E669" s="208" t="s">
        <v>1183</v>
      </c>
      <c r="F669" s="29" t="str">
        <f>IFERROR(VLOOKUP(E669,'Inventaire des produits'!$B$4:$K$1001,2,0),"")</f>
        <v>ROULEAU ALUMINIUM EXTRA PACK 200M</v>
      </c>
      <c r="G669" s="212">
        <v>180</v>
      </c>
      <c r="H669" s="30">
        <f>IFERROR(VLOOKUP(E669,'Inventaire des produits'!$B$4:$K$1001,8,0),"")</f>
        <v>44.166666666666671</v>
      </c>
      <c r="I669" s="32">
        <f t="shared" si="18"/>
        <v>7950.0000000000009</v>
      </c>
      <c r="J669" s="33">
        <v>7950.0000000000009</v>
      </c>
      <c r="K669" s="127">
        <f t="shared" si="17"/>
        <v>9540</v>
      </c>
    </row>
    <row r="670" spans="2:11" x14ac:dyDescent="0.3">
      <c r="B670" s="306" t="s">
        <v>1703</v>
      </c>
      <c r="C670" s="196">
        <v>45478</v>
      </c>
      <c r="D670" s="195" t="s">
        <v>1504</v>
      </c>
      <c r="E670" s="207" t="s">
        <v>1184</v>
      </c>
      <c r="F670" s="29" t="str">
        <f>IFERROR(VLOOKUP(E670,'Inventaire des produits'!$B$4:$K$1001,2,0),"")</f>
        <v>COQUILLE MEAL BOX 2 COMP BLANC</v>
      </c>
      <c r="G670" s="212">
        <v>6000</v>
      </c>
      <c r="H670" s="30">
        <f>IFERROR(VLOOKUP(E670,'Inventaire des produits'!$B$4:$K$1001,8,0),"")</f>
        <v>0.79166666666666663</v>
      </c>
      <c r="I670" s="32">
        <f t="shared" si="18"/>
        <v>4750</v>
      </c>
      <c r="J670" s="33">
        <v>4750</v>
      </c>
      <c r="K670" s="127">
        <f t="shared" si="17"/>
        <v>5700</v>
      </c>
    </row>
    <row r="671" spans="2:11" x14ac:dyDescent="0.3">
      <c r="B671" s="306" t="s">
        <v>1703</v>
      </c>
      <c r="C671" s="320">
        <v>45491</v>
      </c>
      <c r="D671" s="317" t="s">
        <v>1505</v>
      </c>
      <c r="E671" s="208" t="s">
        <v>1507</v>
      </c>
      <c r="F671" s="29" t="str">
        <f>IFERROR(VLOOKUP(E671,'Inventaire des produits'!$B$4:$K$1001,2,0),"")</f>
        <v>FOURCHETTE EN PLAST TRANS ECO 100</v>
      </c>
      <c r="G671" s="212">
        <v>60</v>
      </c>
      <c r="H671" s="30">
        <f>IFERROR(VLOOKUP(E671,'Inventaire des produits'!$B$4:$K$1001,8,0),"")</f>
        <v>6.6666666666000003</v>
      </c>
      <c r="I671" s="32">
        <f t="shared" si="18"/>
        <v>399.99999999600004</v>
      </c>
      <c r="J671" s="33">
        <f>SUM(I671:I675)</f>
        <v>3812.6666666232004</v>
      </c>
      <c r="K671" s="127">
        <f t="shared" si="17"/>
        <v>4575.1999999478403</v>
      </c>
    </row>
    <row r="672" spans="2:11" x14ac:dyDescent="0.3">
      <c r="B672" s="306" t="s">
        <v>1703</v>
      </c>
      <c r="C672" s="321"/>
      <c r="D672" s="318"/>
      <c r="E672" s="208" t="s">
        <v>1509</v>
      </c>
      <c r="F672" s="29" t="str">
        <f>IFERROR(VLOOKUP(E672,'Inventaire des produits'!$B$4:$K$1001,2,0),"")</f>
        <v>CUILLERE EN PLAST TRANS ECO 100</v>
      </c>
      <c r="G672" s="212">
        <v>60</v>
      </c>
      <c r="H672" s="30">
        <f>IFERROR(VLOOKUP(E672,'Inventaire des produits'!$B$4:$K$1001,8,0),"")</f>
        <v>6.6666666660000002</v>
      </c>
      <c r="I672" s="32">
        <f t="shared" si="18"/>
        <v>399.99999996000003</v>
      </c>
      <c r="K672" s="127" t="str">
        <f t="shared" si="17"/>
        <v/>
      </c>
    </row>
    <row r="673" spans="2:11" x14ac:dyDescent="0.3">
      <c r="B673" s="306" t="s">
        <v>1703</v>
      </c>
      <c r="C673" s="321"/>
      <c r="D673" s="318"/>
      <c r="E673" s="208" t="s">
        <v>1183</v>
      </c>
      <c r="F673" s="29" t="str">
        <f>IFERROR(VLOOKUP(E673,'Inventaire des produits'!$B$4:$K$1001,2,0),"")</f>
        <v>ROULEAU ALUMINIUM EXTRA PACK 200M</v>
      </c>
      <c r="G673" s="212">
        <v>60</v>
      </c>
      <c r="H673" s="30">
        <f>IFERROR(VLOOKUP(E673,'Inventaire des produits'!$B$4:$K$1001,8,0),"")</f>
        <v>44.166666666666671</v>
      </c>
      <c r="I673" s="32">
        <f t="shared" si="18"/>
        <v>2650.0000000000005</v>
      </c>
      <c r="K673" s="127" t="str">
        <f t="shared" si="17"/>
        <v/>
      </c>
    </row>
    <row r="674" spans="2:11" x14ac:dyDescent="0.3">
      <c r="B674" s="306" t="s">
        <v>1703</v>
      </c>
      <c r="C674" s="321"/>
      <c r="D674" s="318"/>
      <c r="E674" s="208" t="s">
        <v>1510</v>
      </c>
      <c r="F674" s="29" t="str">
        <f>IFERROR(VLOOKUP(E674,'Inventaire des produits'!$B$4:$K$1001,2,0),"")</f>
        <v>ROULEAU ALUMINIUM SOFTIS 08</v>
      </c>
      <c r="G674" s="212">
        <v>48</v>
      </c>
      <c r="H674" s="30">
        <f>IFERROR(VLOOKUP(E674,'Inventaire des produits'!$B$4:$K$1001,8,0),"")</f>
        <v>2</v>
      </c>
      <c r="I674" s="32">
        <f t="shared" si="18"/>
        <v>96</v>
      </c>
      <c r="K674" s="127" t="str">
        <f t="shared" si="17"/>
        <v/>
      </c>
    </row>
    <row r="675" spans="2:11" x14ac:dyDescent="0.3">
      <c r="B675" s="306" t="s">
        <v>1703</v>
      </c>
      <c r="C675" s="322"/>
      <c r="D675" s="319"/>
      <c r="E675" s="208" t="s">
        <v>544</v>
      </c>
      <c r="F675" s="29" t="str">
        <f>IFERROR(VLOOKUP(E675,'Inventaire des produits'!$B$4:$K$1001,2,0),"")</f>
        <v>ROULEAU ALUMINIUM SOFTIS 200 ECO</v>
      </c>
      <c r="G675" s="212">
        <v>16</v>
      </c>
      <c r="H675" s="30">
        <f>IFERROR(VLOOKUP(E675,'Inventaire des produits'!$B$4:$K$1001,8,0),"")</f>
        <v>16.666666666699999</v>
      </c>
      <c r="I675" s="32">
        <f t="shared" si="18"/>
        <v>266.66666666719999</v>
      </c>
      <c r="K675" s="127" t="str">
        <f t="shared" si="17"/>
        <v/>
      </c>
    </row>
    <row r="676" spans="2:11" x14ac:dyDescent="0.3">
      <c r="B676" s="306" t="s">
        <v>1703</v>
      </c>
      <c r="C676" s="196">
        <v>45476</v>
      </c>
      <c r="D676" s="195" t="s">
        <v>1511</v>
      </c>
      <c r="E676" s="208" t="s">
        <v>1186</v>
      </c>
      <c r="F676" s="29" t="str">
        <f>IFERROR(VLOOKUP(E676,'Inventaire des produits'!$B$4:$K$1001,2,0),"")</f>
        <v>ROULEAU ALUMINIUM GOLDEN 200M</v>
      </c>
      <c r="G676" s="212">
        <v>120</v>
      </c>
      <c r="H676" s="30">
        <f>IFERROR(VLOOKUP(E676,'Inventaire des produits'!$B$4:$K$1001,8,0),"")</f>
        <v>55</v>
      </c>
      <c r="I676" s="32">
        <f t="shared" si="18"/>
        <v>6600</v>
      </c>
      <c r="J676" s="33">
        <v>6600</v>
      </c>
      <c r="K676" s="127">
        <f t="shared" si="17"/>
        <v>7920</v>
      </c>
    </row>
    <row r="677" spans="2:11" x14ac:dyDescent="0.3">
      <c r="B677" s="306" t="s">
        <v>1703</v>
      </c>
      <c r="C677" s="196">
        <v>45579</v>
      </c>
      <c r="D677" s="195" t="s">
        <v>1513</v>
      </c>
      <c r="E677" s="207" t="s">
        <v>1512</v>
      </c>
      <c r="F677" s="29" t="str">
        <f>IFERROR(VLOOKUP(E677,'Inventaire des produits'!$B$4:$K$1001,2,0),"")</f>
        <v>GOBLET 14OZ EN PLAST TRANS SMART + CV PLAT</v>
      </c>
      <c r="G677" s="212">
        <v>4000</v>
      </c>
      <c r="H677" s="30">
        <f>IFERROR(VLOOKUP(E677,'Inventaire des produits'!$B$4:$K$1001,8,0),"")</f>
        <v>0.40005717999999979</v>
      </c>
      <c r="I677" s="32">
        <f t="shared" si="18"/>
        <v>1600.2287199999992</v>
      </c>
      <c r="J677" s="33">
        <v>1600.2287199999992</v>
      </c>
      <c r="K677" s="127">
        <f t="shared" si="17"/>
        <v>1920.2744639999989</v>
      </c>
    </row>
    <row r="678" spans="2:11" x14ac:dyDescent="0.3">
      <c r="B678" s="306" t="s">
        <v>1703</v>
      </c>
      <c r="C678" s="196">
        <v>45581</v>
      </c>
      <c r="D678" s="195" t="s">
        <v>1517</v>
      </c>
      <c r="E678" s="208" t="s">
        <v>1162</v>
      </c>
      <c r="F678" s="29" t="str">
        <f>IFERROR(VLOOKUP(E678,'Inventaire des produits'!$B$4:$K$1001,2,0),"")</f>
        <v>BOITE PIZZA N°40</v>
      </c>
      <c r="G678" s="212">
        <v>500</v>
      </c>
      <c r="H678" s="30">
        <f>IFERROR(VLOOKUP(E678,'Inventaire des produits'!$B$4:$K$1001,8,0),"")</f>
        <v>2.78</v>
      </c>
      <c r="I678" s="32">
        <f t="shared" si="18"/>
        <v>1390</v>
      </c>
      <c r="K678" s="127" t="str">
        <f t="shared" si="17"/>
        <v/>
      </c>
    </row>
    <row r="679" spans="2:11" x14ac:dyDescent="0.3">
      <c r="B679" s="306" t="s">
        <v>1703</v>
      </c>
      <c r="C679" s="320">
        <v>45572</v>
      </c>
      <c r="D679" s="317" t="s">
        <v>1524</v>
      </c>
      <c r="E679" s="208" t="s">
        <v>1231</v>
      </c>
      <c r="F679" s="29" t="str">
        <f>IFERROR(VLOOKUP(E679,'Inventaire des produits'!$B$4:$K$1001,2,0),"")</f>
        <v>THON TAM 2KG</v>
      </c>
      <c r="G679" s="212">
        <v>54</v>
      </c>
      <c r="H679" s="30">
        <f>IFERROR(VLOOKUP(E679,'Inventaire des produits'!$B$4:$K$1001,8,0),"")</f>
        <v>103.33333330000001</v>
      </c>
      <c r="I679" s="32">
        <f t="shared" si="18"/>
        <v>5579.9999981999999</v>
      </c>
      <c r="J679" s="33">
        <v>9801</v>
      </c>
      <c r="K679" s="127">
        <f t="shared" si="17"/>
        <v>11761.199999999999</v>
      </c>
    </row>
    <row r="680" spans="2:11" x14ac:dyDescent="0.3">
      <c r="B680" s="306" t="s">
        <v>1703</v>
      </c>
      <c r="C680" s="321"/>
      <c r="D680" s="318"/>
      <c r="E680" s="208" t="s">
        <v>1518</v>
      </c>
      <c r="F680" s="29" t="str">
        <f>IFERROR(VLOOKUP(E680,'Inventaire des produits'!$B$4:$K$1001,2,0),"")</f>
        <v>SAUCE SALSINO ALGERIENNE 4,7KG</v>
      </c>
      <c r="G680" s="212">
        <v>5</v>
      </c>
      <c r="H680" s="30">
        <f>IFERROR(VLOOKUP(E680,'Inventaire des produits'!$B$4:$K$1001,8,0),"")</f>
        <v>108.33499999999999</v>
      </c>
      <c r="I680" s="32">
        <f t="shared" si="18"/>
        <v>541.67499999999995</v>
      </c>
      <c r="K680" s="127" t="str">
        <f t="shared" si="17"/>
        <v/>
      </c>
    </row>
    <row r="681" spans="2:11" x14ac:dyDescent="0.3">
      <c r="B681" s="306" t="s">
        <v>1703</v>
      </c>
      <c r="C681" s="321"/>
      <c r="D681" s="318"/>
      <c r="E681" s="208" t="s">
        <v>1520</v>
      </c>
      <c r="F681" s="29" t="str">
        <f>IFERROR(VLOOKUP(E681,'Inventaire des produits'!$B$4:$K$1001,2,0),"")</f>
        <v>KETCHUP STAR SACHET 10G*220</v>
      </c>
      <c r="G681" s="212">
        <v>20</v>
      </c>
      <c r="H681" s="30">
        <f>IFERROR(VLOOKUP(E681,'Inventaire des produits'!$B$4:$K$1001,8,0),"")</f>
        <v>59.167000000000002</v>
      </c>
      <c r="I681" s="32">
        <f t="shared" si="18"/>
        <v>1183.3400000000001</v>
      </c>
      <c r="K681" s="127" t="str">
        <f t="shared" si="17"/>
        <v/>
      </c>
    </row>
    <row r="682" spans="2:11" x14ac:dyDescent="0.3">
      <c r="B682" s="306" t="s">
        <v>1703</v>
      </c>
      <c r="C682" s="322"/>
      <c r="D682" s="319"/>
      <c r="E682" s="208" t="s">
        <v>1523</v>
      </c>
      <c r="F682" s="29" t="str">
        <f>IFERROR(VLOOKUP(E682,'Inventaire des produits'!$B$4:$K$1001,2,0),"")</f>
        <v>MOUTARDE STAR SACHET 7G*220</v>
      </c>
      <c r="G682" s="212">
        <v>15</v>
      </c>
      <c r="H682" s="30">
        <f>IFERROR(VLOOKUP(E682,'Inventaire des produits'!$B$4:$K$1001,8,0),"")</f>
        <v>57.5</v>
      </c>
      <c r="I682" s="32">
        <f t="shared" si="18"/>
        <v>862.5</v>
      </c>
      <c r="K682" s="127" t="str">
        <f t="shared" si="17"/>
        <v/>
      </c>
    </row>
    <row r="683" spans="2:11" x14ac:dyDescent="0.3">
      <c r="B683" s="306" t="s">
        <v>1703</v>
      </c>
      <c r="C683" s="320">
        <v>45565</v>
      </c>
      <c r="D683" s="317" t="s">
        <v>1575</v>
      </c>
      <c r="E683" s="208" t="s">
        <v>1526</v>
      </c>
      <c r="F683" s="29" t="str">
        <f>IFERROR(VLOOKUP(E683,'Inventaire des produits'!$B$4:$K$1001,2,0),"")</f>
        <v>BOITE PIZZA 20</v>
      </c>
      <c r="G683" s="212">
        <v>75</v>
      </c>
      <c r="H683" s="30">
        <f>IFERROR(VLOOKUP(E683,'Inventaire des produits'!$B$4:$K$1001,8,0),"")</f>
        <v>31.67</v>
      </c>
      <c r="I683" s="32">
        <f t="shared" si="18"/>
        <v>2375.25</v>
      </c>
      <c r="J683" s="33">
        <v>6002.25</v>
      </c>
      <c r="K683" s="127">
        <f t="shared" si="17"/>
        <v>7202.7</v>
      </c>
    </row>
    <row r="684" spans="2:11" x14ac:dyDescent="0.3">
      <c r="B684" s="306" t="s">
        <v>1703</v>
      </c>
      <c r="C684" s="322"/>
      <c r="D684" s="319"/>
      <c r="E684" s="208" t="s">
        <v>1527</v>
      </c>
      <c r="F684" s="29" t="str">
        <f>IFERROR(VLOOKUP(E684,'Inventaire des produits'!$B$4:$K$1001,2,0),"")</f>
        <v>BOITE PIZZA 29</v>
      </c>
      <c r="G684" s="212">
        <v>62</v>
      </c>
      <c r="H684" s="30">
        <f>IFERROR(VLOOKUP(E684,'Inventaire des produits'!$B$4:$K$1001,8,0),"")</f>
        <v>58.5</v>
      </c>
      <c r="I684" s="32">
        <f t="shared" si="18"/>
        <v>3627</v>
      </c>
      <c r="K684" s="127" t="str">
        <f t="shared" si="17"/>
        <v/>
      </c>
    </row>
    <row r="685" spans="2:11" x14ac:dyDescent="0.3">
      <c r="B685" s="306" t="s">
        <v>1703</v>
      </c>
      <c r="C685" s="196">
        <v>45564</v>
      </c>
      <c r="D685" s="195" t="s">
        <v>1529</v>
      </c>
      <c r="E685" s="208" t="s">
        <v>1528</v>
      </c>
      <c r="F685" s="29" t="str">
        <f>IFERROR(VLOOKUP(E685,'Inventaire des produits'!$B$4:$K$1001,2,0),"")</f>
        <v>BARQUETTE ALUMINIUM 420</v>
      </c>
      <c r="G685" s="212">
        <v>15000</v>
      </c>
      <c r="H685" s="30">
        <f>IFERROR(VLOOKUP(E685,'Inventaire des produits'!$B$4:$K$1001,8,0),"")</f>
        <v>0.27777999999999997</v>
      </c>
      <c r="I685" s="32">
        <f t="shared" si="18"/>
        <v>4166.7</v>
      </c>
      <c r="J685" s="33">
        <v>4166.7</v>
      </c>
      <c r="K685" s="127">
        <f t="shared" si="17"/>
        <v>5000.04</v>
      </c>
    </row>
    <row r="686" spans="2:11" x14ac:dyDescent="0.3">
      <c r="B686" s="306" t="s">
        <v>1703</v>
      </c>
      <c r="C686" s="320">
        <v>45583</v>
      </c>
      <c r="D686" s="317" t="s">
        <v>1534</v>
      </c>
      <c r="E686" s="207" t="s">
        <v>1531</v>
      </c>
      <c r="F686" s="29" t="str">
        <f>IFERROR(VLOOKUP(E686,'Inventaire des produits'!$B$4:$K$1001,2,0),"")</f>
        <v>BARQUETTE ALUMINIUM 83890</v>
      </c>
      <c r="G686" s="212">
        <v>650</v>
      </c>
      <c r="H686" s="30">
        <f>IFERROR(VLOOKUP(E686,'Inventaire des produits'!$B$4:$K$1001,8,0),"")</f>
        <v>1</v>
      </c>
      <c r="I686" s="32">
        <f t="shared" si="18"/>
        <v>650</v>
      </c>
      <c r="J686" s="33">
        <v>846.25</v>
      </c>
      <c r="K686" s="127">
        <f t="shared" si="17"/>
        <v>1015.5</v>
      </c>
    </row>
    <row r="687" spans="2:11" x14ac:dyDescent="0.3">
      <c r="B687" s="306" t="s">
        <v>1703</v>
      </c>
      <c r="C687" s="321"/>
      <c r="D687" s="318"/>
      <c r="E687" s="207" t="s">
        <v>1520</v>
      </c>
      <c r="F687" s="29" t="str">
        <f>IFERROR(VLOOKUP(E687,'Inventaire des produits'!$B$4:$K$1001,2,0),"")</f>
        <v>KETCHUP STAR SACHET 10G*220</v>
      </c>
      <c r="G687" s="212">
        <v>1</v>
      </c>
      <c r="H687" s="30">
        <f>IFERROR(VLOOKUP(E687,'Inventaire des produits'!$B$4:$K$1001,8,0),"")</f>
        <v>59.167000000000002</v>
      </c>
      <c r="I687" s="32">
        <f t="shared" si="18"/>
        <v>59.167000000000002</v>
      </c>
      <c r="K687" s="127" t="str">
        <f t="shared" si="17"/>
        <v/>
      </c>
    </row>
    <row r="688" spans="2:11" x14ac:dyDescent="0.3">
      <c r="B688" s="306" t="s">
        <v>1703</v>
      </c>
      <c r="C688" s="321"/>
      <c r="D688" s="318"/>
      <c r="E688" s="208" t="s">
        <v>1532</v>
      </c>
      <c r="F688" s="29" t="str">
        <f>IFERROR(VLOOKUP(E688,'Inventaire des produits'!$B$4:$K$1001,2,0),"")</f>
        <v>KETCHUP STAR 2KG</v>
      </c>
      <c r="G688" s="212">
        <v>4</v>
      </c>
      <c r="H688" s="30">
        <f>IFERROR(VLOOKUP(E688,'Inventaire des produits'!$B$4:$K$1001,8,0),"")</f>
        <v>18.437000000000001</v>
      </c>
      <c r="I688" s="32">
        <f t="shared" si="18"/>
        <v>73.748000000000005</v>
      </c>
      <c r="K688" s="127" t="str">
        <f t="shared" si="17"/>
        <v/>
      </c>
    </row>
    <row r="689" spans="2:11" x14ac:dyDescent="0.3">
      <c r="B689" s="306" t="s">
        <v>1703</v>
      </c>
      <c r="C689" s="321"/>
      <c r="D689" s="318"/>
      <c r="E689" s="208" t="s">
        <v>1533</v>
      </c>
      <c r="F689" s="29" t="str">
        <f>IFERROR(VLOOKUP(E689,'Inventaire des produits'!$B$4:$K$1001,2,0),"")</f>
        <v>SAUCE PIZZA BANGOR 1KG</v>
      </c>
      <c r="G689" s="212">
        <v>2</v>
      </c>
      <c r="H689" s="30">
        <f>IFERROR(VLOOKUP(E689,'Inventaire des produits'!$B$4:$K$1001,8,0),"")</f>
        <v>21.667000000000002</v>
      </c>
      <c r="I689" s="32">
        <f t="shared" si="18"/>
        <v>43.334000000000003</v>
      </c>
      <c r="K689" s="127" t="str">
        <f t="shared" si="17"/>
        <v/>
      </c>
    </row>
    <row r="690" spans="2:11" x14ac:dyDescent="0.3">
      <c r="B690" s="306" t="s">
        <v>1703</v>
      </c>
      <c r="C690" s="322"/>
      <c r="D690" s="319"/>
      <c r="E690" s="207" t="s">
        <v>1234</v>
      </c>
      <c r="F690" s="29" t="str">
        <f>IFERROR(VLOOKUP(E690,'Inventaire des produits'!$B$4:$K$1001,2,0),"")</f>
        <v>SAUCE PIZZA BANGOR 1KG</v>
      </c>
      <c r="G690" s="212">
        <v>1</v>
      </c>
      <c r="H690" s="30">
        <f>IFERROR(VLOOKUP(E690,'Inventaire des produits'!$B$4:$K$1001,8,0),"")</f>
        <v>20</v>
      </c>
      <c r="I690" s="32">
        <f t="shared" si="18"/>
        <v>20</v>
      </c>
      <c r="K690" s="127" t="str">
        <f t="shared" si="17"/>
        <v/>
      </c>
    </row>
    <row r="691" spans="2:11" x14ac:dyDescent="0.3">
      <c r="B691" s="306" t="s">
        <v>1703</v>
      </c>
      <c r="C691" s="320">
        <v>45586</v>
      </c>
      <c r="D691" s="317" t="s">
        <v>1541</v>
      </c>
      <c r="E691" s="207" t="s">
        <v>1540</v>
      </c>
      <c r="F691" s="29" t="str">
        <f>IFERROR(VLOOKUP(E691,'Inventaire des produits'!$B$4:$K$1001,2,0),"")</f>
        <v>SERVIETTE SWEET 1PLIS</v>
      </c>
      <c r="G691" s="212">
        <v>2000</v>
      </c>
      <c r="H691" s="30">
        <f>IFERROR(VLOOKUP(E691,'Inventaire des produits'!$B$4:$K$1001,8,0),"")</f>
        <v>2.9166666600000002</v>
      </c>
      <c r="I691" s="32">
        <f t="shared" si="18"/>
        <v>5833.3333200000006</v>
      </c>
      <c r="J691" s="33">
        <v>19120</v>
      </c>
      <c r="K691" s="127">
        <f t="shared" si="17"/>
        <v>22944</v>
      </c>
    </row>
    <row r="692" spans="2:11" x14ac:dyDescent="0.3">
      <c r="B692" s="306" t="s">
        <v>1703</v>
      </c>
      <c r="C692" s="321"/>
      <c r="D692" s="318"/>
      <c r="E692" s="207" t="s">
        <v>1129</v>
      </c>
      <c r="F692" s="29" t="str">
        <f>IFERROR(VLOOKUP(E692,'Inventaire des produits'!$B$4:$K$1001,2,0),"")</f>
        <v>FILM ALIMENTAIRE ORIGINAL 45*500</v>
      </c>
      <c r="G692" s="212">
        <v>120</v>
      </c>
      <c r="H692" s="30">
        <f>IFERROR(VLOOKUP(E692,'Inventaire des produits'!$B$4:$K$1001,8,0),"")</f>
        <v>27.5</v>
      </c>
      <c r="I692" s="32">
        <f t="shared" si="18"/>
        <v>3300</v>
      </c>
      <c r="K692" s="127" t="str">
        <f t="shared" si="17"/>
        <v/>
      </c>
    </row>
    <row r="693" spans="2:11" x14ac:dyDescent="0.3">
      <c r="B693" s="306" t="s">
        <v>1703</v>
      </c>
      <c r="C693" s="321"/>
      <c r="D693" s="318"/>
      <c r="E693" s="207" t="s">
        <v>1374</v>
      </c>
      <c r="F693" s="29" t="str">
        <f>IFERROR(VLOOKUP(E693,'Inventaire des produits'!$B$4:$K$1001,2,0),"")</f>
        <v>FILM ALIMENTAIRE ARAX G.M 900GR 30*300</v>
      </c>
      <c r="G693" s="212">
        <v>135</v>
      </c>
      <c r="H693" s="30">
        <f>IFERROR(VLOOKUP(E693,'Inventaire des produits'!$B$4:$K$1001,8,0),"")</f>
        <v>19.166666666600001</v>
      </c>
      <c r="I693" s="32">
        <f t="shared" si="18"/>
        <v>2587.4999999910001</v>
      </c>
      <c r="K693" s="127" t="str">
        <f t="shared" si="17"/>
        <v/>
      </c>
    </row>
    <row r="694" spans="2:11" x14ac:dyDescent="0.3">
      <c r="B694" s="306" t="s">
        <v>1703</v>
      </c>
      <c r="C694" s="321"/>
      <c r="D694" s="318"/>
      <c r="E694" s="207" t="s">
        <v>464</v>
      </c>
      <c r="F694" s="29" t="str">
        <f>IFERROR(VLOOKUP(E694,'Inventaire des produits'!$B$4:$K$1001,2,0),"")</f>
        <v>PAPIER ZIGZAG</v>
      </c>
      <c r="G694" s="212">
        <v>200</v>
      </c>
      <c r="H694" s="30">
        <f>IFERROR(VLOOKUP(E694,'Inventaire des produits'!$B$4:$K$1001,8,0),"")</f>
        <v>7.5</v>
      </c>
      <c r="I694" s="32">
        <f t="shared" si="18"/>
        <v>1500</v>
      </c>
      <c r="K694" s="127" t="str">
        <f t="shared" si="17"/>
        <v/>
      </c>
    </row>
    <row r="695" spans="2:11" x14ac:dyDescent="0.3">
      <c r="B695" s="306" t="s">
        <v>1703</v>
      </c>
      <c r="C695" s="321"/>
      <c r="D695" s="318"/>
      <c r="E695" s="209" t="s">
        <v>1131</v>
      </c>
      <c r="F695" s="29" t="str">
        <f>IFERROR(VLOOKUP(E695,'Inventaire des produits'!$B$4:$K$1001,2,0),"")</f>
        <v>MOUCHOIR ROTANA 600</v>
      </c>
      <c r="G695" s="212">
        <v>300</v>
      </c>
      <c r="H695" s="30">
        <f>IFERROR(VLOOKUP(E695,'Inventaire des produits'!$B$4:$K$1001,8,0),"")</f>
        <v>6.6669999999999998</v>
      </c>
      <c r="I695" s="32">
        <f t="shared" si="18"/>
        <v>2000.1</v>
      </c>
      <c r="K695" s="127" t="str">
        <f t="shared" si="17"/>
        <v/>
      </c>
    </row>
    <row r="696" spans="2:11" x14ac:dyDescent="0.3">
      <c r="B696" s="306" t="s">
        <v>1703</v>
      </c>
      <c r="C696" s="322"/>
      <c r="D696" s="319"/>
      <c r="E696" s="208" t="s">
        <v>1128</v>
      </c>
      <c r="F696" s="29" t="str">
        <f>IFERROR(VLOOKUP(E696,'Inventaire des produits'!$B$4:$K$1001,2,0),"")</f>
        <v xml:space="preserve">ESSUIE MAIN 1KG </v>
      </c>
      <c r="G696" s="212">
        <v>180</v>
      </c>
      <c r="H696" s="30">
        <f>IFERROR(VLOOKUP(E696,'Inventaire des produits'!$B$4:$K$1001,8,0),"")</f>
        <v>21.667000000000002</v>
      </c>
      <c r="I696" s="32">
        <f t="shared" si="18"/>
        <v>3900.0600000000004</v>
      </c>
      <c r="K696" s="127" t="str">
        <f t="shared" si="17"/>
        <v/>
      </c>
    </row>
    <row r="697" spans="2:11" x14ac:dyDescent="0.3">
      <c r="B697" s="306" t="s">
        <v>1703</v>
      </c>
      <c r="C697" s="320">
        <v>45589</v>
      </c>
      <c r="D697" s="317" t="s">
        <v>1544</v>
      </c>
      <c r="E697" s="208" t="s">
        <v>1294</v>
      </c>
      <c r="F697" s="29" t="str">
        <f>IFERROR(VLOOKUP(E697,'Inventaire des produits'!$B$4:$K$1001,2,0),"")</f>
        <v>BARQUETTE ALUMINIUM RECT 1200ML AVEC CVL</v>
      </c>
      <c r="G697" s="212">
        <v>6000</v>
      </c>
      <c r="H697" s="30">
        <f>IFERROR(VLOOKUP(E697,'Inventaire des produits'!$B$4:$K$1001,8,0),"")</f>
        <v>1.0250000000249999</v>
      </c>
      <c r="I697" s="32">
        <f t="shared" si="18"/>
        <v>6150.0000001499993</v>
      </c>
      <c r="J697" s="33">
        <v>6150.0000001499993</v>
      </c>
      <c r="K697" s="127">
        <f t="shared" si="17"/>
        <v>7380.000000179999</v>
      </c>
    </row>
    <row r="698" spans="2:11" x14ac:dyDescent="0.3">
      <c r="B698" s="306" t="s">
        <v>1703</v>
      </c>
      <c r="C698" s="322"/>
      <c r="D698" s="319"/>
      <c r="E698" s="208" t="s">
        <v>1295</v>
      </c>
      <c r="F698" s="29" t="str">
        <f>IFERROR(VLOOKUP(E698,'Inventaire des produits'!$B$4:$K$1001,2,0),"")</f>
        <v>BARQUETTE ALUMINIUM RECT 1200ML AVEC CVL</v>
      </c>
      <c r="G698" s="212">
        <v>1200</v>
      </c>
      <c r="H698" s="30">
        <f>IFERROR(VLOOKUP(E698,'Inventaire des produits'!$B$4:$K$1001,8,0),"")</f>
        <v>0</v>
      </c>
      <c r="I698" s="32">
        <f t="shared" si="18"/>
        <v>0</v>
      </c>
      <c r="K698" s="127" t="str">
        <f t="shared" si="17"/>
        <v/>
      </c>
    </row>
    <row r="699" spans="2:11" x14ac:dyDescent="0.3">
      <c r="B699" s="306" t="s">
        <v>1703</v>
      </c>
      <c r="C699" s="196">
        <v>45563</v>
      </c>
      <c r="D699" s="195" t="s">
        <v>1546</v>
      </c>
      <c r="E699" s="207" t="s">
        <v>681</v>
      </c>
      <c r="F699" s="29" t="str">
        <f>IFERROR(VLOOKUP(E699,'Inventaire des produits'!$B$4:$K$1001,2,0),"")</f>
        <v>BARQUETTE TRAITEUR 500CC MICRON-ONDABLE TRANS</v>
      </c>
      <c r="G699" s="212">
        <v>300</v>
      </c>
      <c r="H699" s="30">
        <f>IFERROR(VLOOKUP(E699,'Inventaire des produits'!$B$4:$K$1001,8,0),"")</f>
        <v>1.0833333332999999</v>
      </c>
      <c r="I699" s="32">
        <f t="shared" si="18"/>
        <v>324.99999998999999</v>
      </c>
      <c r="J699" s="33">
        <v>324.99999998999999</v>
      </c>
      <c r="K699" s="127">
        <f t="shared" si="17"/>
        <v>389.99999998799996</v>
      </c>
    </row>
    <row r="700" spans="2:11" x14ac:dyDescent="0.3">
      <c r="B700" s="306" t="s">
        <v>1703</v>
      </c>
      <c r="C700" s="320">
        <v>45566</v>
      </c>
      <c r="D700" s="317" t="s">
        <v>1550</v>
      </c>
      <c r="E700" s="207" t="s">
        <v>1548</v>
      </c>
      <c r="F700" s="29" t="str">
        <f>IFERROR(VLOOKUP(E700,'Inventaire des produits'!$B$4:$K$1001,2,0),"")</f>
        <v xml:space="preserve">BOUTEILLE DE 330CC CARTON </v>
      </c>
      <c r="G700" s="212">
        <v>408</v>
      </c>
      <c r="H700" s="30">
        <f>IFERROR(VLOOKUP(E700,'Inventaire des produits'!$B$4:$K$1001,8,0),"")</f>
        <v>1.6666666666666667</v>
      </c>
      <c r="I700" s="32">
        <f t="shared" si="18"/>
        <v>680</v>
      </c>
      <c r="J700" s="33">
        <v>1105</v>
      </c>
      <c r="K700" s="127">
        <f t="shared" ref="K700:K763" si="19">IF(J700="","",J700*1.2)</f>
        <v>1326</v>
      </c>
    </row>
    <row r="701" spans="2:11" x14ac:dyDescent="0.3">
      <c r="B701" s="306" t="s">
        <v>1703</v>
      </c>
      <c r="C701" s="322"/>
      <c r="D701" s="319"/>
      <c r="E701" s="207" t="s">
        <v>1549</v>
      </c>
      <c r="F701" s="29" t="str">
        <f>IFERROR(VLOOKUP(E701,'Inventaire des produits'!$B$4:$K$1001,2,0),"")</f>
        <v>BARQUETTE MICRON ONDABLE 2 COMP AVEC CVL</v>
      </c>
      <c r="G701" s="212">
        <v>300</v>
      </c>
      <c r="H701" s="30">
        <f>IFERROR(VLOOKUP(E701,'Inventaire des produits'!$B$4:$K$1001,8,0),"")</f>
        <v>1.4166666666666667</v>
      </c>
      <c r="I701" s="32">
        <f t="shared" si="18"/>
        <v>425</v>
      </c>
      <c r="K701" s="127" t="str">
        <f t="shared" si="19"/>
        <v/>
      </c>
    </row>
    <row r="702" spans="2:11" x14ac:dyDescent="0.3">
      <c r="B702" s="306" t="s">
        <v>1703</v>
      </c>
      <c r="C702" s="196">
        <v>45567</v>
      </c>
      <c r="D702" s="195" t="s">
        <v>1552</v>
      </c>
      <c r="E702" s="207" t="s">
        <v>1551</v>
      </c>
      <c r="F702" s="29" t="str">
        <f>IFERROR(VLOOKUP(E702,'Inventaire des produits'!$B$4:$K$1001,2,0),"")</f>
        <v>SAC KRAFT ECRU 26*17*28 IMP</v>
      </c>
      <c r="G702" s="212">
        <v>10000</v>
      </c>
      <c r="H702" s="30">
        <f>IFERROR(VLOOKUP(E702,'Inventaire des produits'!$B$4:$K$1001,8,0),"")</f>
        <v>0.83333333333000004</v>
      </c>
      <c r="I702" s="32">
        <f t="shared" si="18"/>
        <v>8333.333333300001</v>
      </c>
      <c r="J702" s="33">
        <v>8333.333333300001</v>
      </c>
      <c r="K702" s="127">
        <f t="shared" si="19"/>
        <v>9999.9999999600004</v>
      </c>
    </row>
    <row r="703" spans="2:11" x14ac:dyDescent="0.3">
      <c r="B703" s="306" t="s">
        <v>1703</v>
      </c>
      <c r="C703" s="196">
        <v>45591</v>
      </c>
      <c r="D703" s="195" t="s">
        <v>1554</v>
      </c>
      <c r="E703" s="207" t="s">
        <v>1553</v>
      </c>
      <c r="F703" s="29" t="str">
        <f>IFERROR(VLOOKUP(E703,'Inventaire des produits'!$B$4:$K$1001,2,0),"")</f>
        <v>BARQUETTE ALUMINIUM 83890</v>
      </c>
      <c r="G703" s="212">
        <v>2000</v>
      </c>
      <c r="H703" s="30">
        <f>IFERROR(VLOOKUP(E703,'Inventaire des produits'!$B$4:$K$1001,8,0),"")</f>
        <v>0.55000000000000004</v>
      </c>
      <c r="I703" s="32">
        <f t="shared" si="18"/>
        <v>1100</v>
      </c>
      <c r="J703" s="33">
        <v>1100</v>
      </c>
      <c r="K703" s="127">
        <f t="shared" si="19"/>
        <v>1320</v>
      </c>
    </row>
    <row r="704" spans="2:11" x14ac:dyDescent="0.3">
      <c r="B704" s="306" t="s">
        <v>1703</v>
      </c>
      <c r="C704" s="320">
        <v>45593</v>
      </c>
      <c r="D704" s="317" t="s">
        <v>1566</v>
      </c>
      <c r="E704" s="208" t="s">
        <v>1564</v>
      </c>
      <c r="F704" s="29" t="str">
        <f>IFERROR(VLOOKUP(E704,'Inventaire des produits'!$B$4:$K$1001,2,0),"")</f>
        <v>BARQUETTE ALUMINIUM 83890</v>
      </c>
      <c r="G704" s="212">
        <v>750</v>
      </c>
      <c r="H704" s="30">
        <f>IFERROR(VLOOKUP(E704,'Inventaire des produits'!$B$4:$K$1001,8,0),"")</f>
        <v>0.83299999999999996</v>
      </c>
      <c r="I704" s="32">
        <f t="shared" si="18"/>
        <v>624.75</v>
      </c>
      <c r="J704" s="33">
        <v>733.33</v>
      </c>
      <c r="K704" s="127">
        <f t="shared" si="19"/>
        <v>879.99599999999998</v>
      </c>
    </row>
    <row r="705" spans="2:11" x14ac:dyDescent="0.3">
      <c r="B705" s="306" t="s">
        <v>1703</v>
      </c>
      <c r="C705" s="322"/>
      <c r="D705" s="319"/>
      <c r="E705" s="208" t="s">
        <v>1565</v>
      </c>
      <c r="F705" s="29" t="str">
        <f>IFERROR(VLOOKUP(E705,'Inventaire des produits'!$B$4:$K$1001,2,0),"")</f>
        <v>SAUCE SALSINO ALGERIENNE 4,7KG</v>
      </c>
      <c r="G705" s="212">
        <v>1</v>
      </c>
      <c r="H705" s="30">
        <f>IFERROR(VLOOKUP(E705,'Inventaire des produits'!$B$4:$K$1001,8,0),"")</f>
        <v>108.58</v>
      </c>
      <c r="I705" s="32">
        <f t="shared" si="18"/>
        <v>108.58</v>
      </c>
      <c r="K705" s="127" t="str">
        <f t="shared" si="19"/>
        <v/>
      </c>
    </row>
    <row r="706" spans="2:11" x14ac:dyDescent="0.3">
      <c r="B706" s="306" t="s">
        <v>1703</v>
      </c>
      <c r="C706" s="320">
        <v>45582</v>
      </c>
      <c r="D706" s="317" t="s">
        <v>1568</v>
      </c>
      <c r="E706" s="208" t="s">
        <v>1231</v>
      </c>
      <c r="F706" s="29" t="str">
        <f>IFERROR(VLOOKUP(E706,'Inventaire des produits'!$B$4:$K$1001,2,0),"")</f>
        <v>THON TAM 2KG</v>
      </c>
      <c r="G706" s="212">
        <v>2</v>
      </c>
      <c r="H706" s="30">
        <f>IFERROR(VLOOKUP(E706,'Inventaire des produits'!$B$4:$K$1001,8,0),"")</f>
        <v>103.33333330000001</v>
      </c>
      <c r="I706" s="32">
        <f t="shared" ref="I706:I769" si="20">IF(OR(G706="",H706=""),"",G706*H706)</f>
        <v>206.66666660000001</v>
      </c>
      <c r="J706" s="33">
        <v>769.17</v>
      </c>
      <c r="K706" s="127">
        <f t="shared" si="19"/>
        <v>923.00399999999991</v>
      </c>
    </row>
    <row r="707" spans="2:11" x14ac:dyDescent="0.3">
      <c r="B707" s="306" t="s">
        <v>1703</v>
      </c>
      <c r="C707" s="321"/>
      <c r="D707" s="318"/>
      <c r="E707" s="208" t="s">
        <v>1518</v>
      </c>
      <c r="F707" s="29" t="str">
        <f>IFERROR(VLOOKUP(E707,'Inventaire des produits'!$B$4:$K$1001,2,0),"")</f>
        <v>SAUCE SALSINO ALGERIENNE 4,7KG</v>
      </c>
      <c r="G707" s="212">
        <v>5</v>
      </c>
      <c r="H707" s="30">
        <f>IFERROR(VLOOKUP(E707,'Inventaire des produits'!$B$4:$K$1001,8,0),"")</f>
        <v>108.33499999999999</v>
      </c>
      <c r="I707" s="32">
        <f t="shared" si="20"/>
        <v>541.67499999999995</v>
      </c>
      <c r="K707" s="127" t="str">
        <f t="shared" si="19"/>
        <v/>
      </c>
    </row>
    <row r="708" spans="2:11" x14ac:dyDescent="0.3">
      <c r="B708" s="306" t="s">
        <v>1703</v>
      </c>
      <c r="C708" s="322"/>
      <c r="D708" s="319"/>
      <c r="E708" s="208" t="s">
        <v>1567</v>
      </c>
      <c r="F708" s="29" t="str">
        <f>IFERROR(VLOOKUP(E708,'Inventaire des produits'!$B$4:$K$1001,2,0),"")</f>
        <v>SAUCE PIZZA BANGOR 1KG</v>
      </c>
      <c r="G708" s="212">
        <v>1</v>
      </c>
      <c r="H708" s="30">
        <f>IFERROR(VLOOKUP(E708,'Inventaire des produits'!$B$4:$K$1001,8,0),"")</f>
        <v>20.833300000000001</v>
      </c>
      <c r="I708" s="32">
        <f t="shared" si="20"/>
        <v>20.833300000000001</v>
      </c>
      <c r="K708" s="127" t="str">
        <f t="shared" si="19"/>
        <v/>
      </c>
    </row>
    <row r="709" spans="2:11" x14ac:dyDescent="0.3">
      <c r="B709" s="306" t="s">
        <v>1703</v>
      </c>
      <c r="C709" s="196">
        <v>45593</v>
      </c>
      <c r="D709" s="195" t="s">
        <v>1569</v>
      </c>
      <c r="E709" s="208" t="s">
        <v>875</v>
      </c>
      <c r="F709" s="29" t="str">
        <f>IFERROR(VLOOKUP(E709,'Inventaire des produits'!$B$4:$K$1001,2,0),"")</f>
        <v>TRIPOD PIZZA EN PLASTIQUE</v>
      </c>
      <c r="G709" s="212">
        <v>2000</v>
      </c>
      <c r="H709" s="30">
        <f>IFERROR(VLOOKUP(E709,'Inventaire des produits'!$B$4:$K$1001,8,0),"")</f>
        <v>0.32</v>
      </c>
      <c r="I709" s="32">
        <f t="shared" si="20"/>
        <v>640</v>
      </c>
      <c r="J709" s="33">
        <v>640</v>
      </c>
      <c r="K709" s="127">
        <f t="shared" si="19"/>
        <v>768</v>
      </c>
    </row>
    <row r="710" spans="2:11" x14ac:dyDescent="0.3">
      <c r="B710" s="306" t="s">
        <v>1703</v>
      </c>
      <c r="C710" s="320">
        <v>45595</v>
      </c>
      <c r="D710" s="317" t="s">
        <v>1570</v>
      </c>
      <c r="E710" s="208" t="s">
        <v>1571</v>
      </c>
      <c r="F710" s="29" t="str">
        <f>IFERROR(VLOOKUP(E710,'Inventaire des produits'!$B$4:$K$1001,2,0),"")</f>
        <v>BOITE PIZZA 24</v>
      </c>
      <c r="G710" s="212">
        <v>50</v>
      </c>
      <c r="H710" s="30">
        <f>IFERROR(VLOOKUP(E710,'Inventaire des produits'!$B$4:$K$1001,8,0),"")</f>
        <v>45.83</v>
      </c>
      <c r="I710" s="32">
        <f t="shared" si="20"/>
        <v>2291.5</v>
      </c>
      <c r="J710" s="33">
        <v>5916.5</v>
      </c>
      <c r="K710" s="127">
        <f t="shared" si="19"/>
        <v>7099.8</v>
      </c>
    </row>
    <row r="711" spans="2:11" x14ac:dyDescent="0.3">
      <c r="B711" s="306" t="s">
        <v>1703</v>
      </c>
      <c r="C711" s="321"/>
      <c r="D711" s="318"/>
      <c r="E711" s="208" t="s">
        <v>1572</v>
      </c>
      <c r="F711" s="29" t="str">
        <f>IFERROR(VLOOKUP(E711,'Inventaire des produits'!$B$4:$K$1001,2,0),"")</f>
        <v>BOITE PIZZA 26</v>
      </c>
      <c r="G711" s="212">
        <v>50</v>
      </c>
      <c r="H711" s="30">
        <f>IFERROR(VLOOKUP(E711,'Inventaire des produits'!$B$4:$K$1001,8,0),"")</f>
        <v>48.5</v>
      </c>
      <c r="I711" s="32">
        <f t="shared" si="20"/>
        <v>2425</v>
      </c>
      <c r="K711" s="127" t="str">
        <f t="shared" si="19"/>
        <v/>
      </c>
    </row>
    <row r="712" spans="2:11" x14ac:dyDescent="0.3">
      <c r="B712" s="306" t="s">
        <v>1703</v>
      </c>
      <c r="C712" s="322"/>
      <c r="D712" s="319"/>
      <c r="E712" s="208" t="s">
        <v>1574</v>
      </c>
      <c r="F712" s="29" t="str">
        <f>IFERROR(VLOOKUP(E712,'Inventaire des produits'!$B$4:$K$1001,2,0),"")</f>
        <v>FILM ALIMENTAIRE 35CM 4KG</v>
      </c>
      <c r="G712" s="212">
        <v>10</v>
      </c>
      <c r="H712" s="30">
        <f>IFERROR(VLOOKUP(E712,'Inventaire des produits'!$B$4:$K$1001,8,0),"")</f>
        <v>120</v>
      </c>
      <c r="I712" s="32">
        <f t="shared" si="20"/>
        <v>1200</v>
      </c>
      <c r="K712" s="127" t="str">
        <f t="shared" si="19"/>
        <v/>
      </c>
    </row>
    <row r="713" spans="2:11" x14ac:dyDescent="0.3">
      <c r="B713" s="306" t="s">
        <v>1703</v>
      </c>
      <c r="C713" s="196">
        <v>45596</v>
      </c>
      <c r="D713" s="195" t="s">
        <v>1577</v>
      </c>
      <c r="E713" s="208" t="s">
        <v>1056</v>
      </c>
      <c r="F713" s="29" t="str">
        <f>IFERROR(VLOOKUP(E713,'Inventaire des produits'!$B$4:$K$1001,2,0),"")</f>
        <v>SAC PN BLANC NI 30*40*10</v>
      </c>
      <c r="G713" s="212">
        <v>14500</v>
      </c>
      <c r="H713" s="30">
        <f>IFERROR(VLOOKUP(E713,'Inventaire des produits'!$B$4:$K$1001,8,0),"")</f>
        <v>0.33334000000000003</v>
      </c>
      <c r="I713" s="32">
        <f t="shared" si="20"/>
        <v>4833.43</v>
      </c>
      <c r="J713" s="33">
        <v>4833.43</v>
      </c>
      <c r="K713" s="127">
        <f t="shared" si="19"/>
        <v>5800.116</v>
      </c>
    </row>
    <row r="714" spans="2:11" x14ac:dyDescent="0.3">
      <c r="B714" s="306" t="s">
        <v>1703</v>
      </c>
      <c r="C714" s="196">
        <v>45607</v>
      </c>
      <c r="D714" s="195" t="s">
        <v>1594</v>
      </c>
      <c r="E714" s="208" t="s">
        <v>1162</v>
      </c>
      <c r="F714" s="29" t="str">
        <f>IFERROR(VLOOKUP(E714,'Inventaire des produits'!$B$4:$K$1001,2,0),"")</f>
        <v>BOITE PIZZA N°40</v>
      </c>
      <c r="G714" s="212">
        <v>1200</v>
      </c>
      <c r="H714" s="30">
        <f>IFERROR(VLOOKUP(E714,'Inventaire des produits'!$B$4:$K$1001,8,0),"")</f>
        <v>2.78</v>
      </c>
      <c r="I714" s="32">
        <f t="shared" si="20"/>
        <v>3335.9999999999995</v>
      </c>
      <c r="J714" s="33">
        <v>3335.9999999999995</v>
      </c>
      <c r="K714" s="127">
        <f t="shared" si="19"/>
        <v>4003.1999999999994</v>
      </c>
    </row>
    <row r="715" spans="2:11" x14ac:dyDescent="0.3">
      <c r="B715" s="306" t="s">
        <v>1703</v>
      </c>
      <c r="C715" s="196">
        <v>45609</v>
      </c>
      <c r="D715" s="195" t="s">
        <v>1610</v>
      </c>
      <c r="E715" s="208" t="s">
        <v>1609</v>
      </c>
      <c r="F715" s="29" t="str">
        <f>IFERROR(VLOOKUP(E715,'Inventaire des produits'!$B$4:$K$1001,2,0),"")</f>
        <v>LUNCH BOX KRAFT A FENETRE</v>
      </c>
      <c r="G715" s="212">
        <v>400</v>
      </c>
      <c r="H715" s="30">
        <f>IFERROR(VLOOKUP(E715,'Inventaire des produits'!$B$4:$K$1001,8,0),"")</f>
        <v>2.4166828000000002</v>
      </c>
      <c r="I715" s="32">
        <f t="shared" si="20"/>
        <v>966.67312000000015</v>
      </c>
      <c r="J715" s="33">
        <v>966.67312000000004</v>
      </c>
      <c r="K715" s="127">
        <f t="shared" si="19"/>
        <v>1160.007744</v>
      </c>
    </row>
    <row r="716" spans="2:11" x14ac:dyDescent="0.3">
      <c r="B716" s="306" t="s">
        <v>1703</v>
      </c>
      <c r="C716" s="196">
        <v>45575</v>
      </c>
      <c r="D716" s="195" t="s">
        <v>1612</v>
      </c>
      <c r="E716" s="208" t="s">
        <v>1551</v>
      </c>
      <c r="F716" s="29" t="str">
        <f>IFERROR(VLOOKUP(E716,'Inventaire des produits'!$B$4:$K$1001,2,0),"")</f>
        <v>SAC KRAFT ECRU 26*17*28 IMP</v>
      </c>
      <c r="G716" s="212">
        <v>6000</v>
      </c>
      <c r="H716" s="30">
        <f>IFERROR(VLOOKUP(E716,'Inventaire des produits'!$B$4:$K$1001,8,0),"")</f>
        <v>0.83333333333000004</v>
      </c>
      <c r="I716" s="32">
        <f t="shared" si="20"/>
        <v>4999.9999999800002</v>
      </c>
      <c r="J716" s="33">
        <v>4999.9999999800002</v>
      </c>
      <c r="K716" s="127">
        <f t="shared" si="19"/>
        <v>5999.9999999760003</v>
      </c>
    </row>
    <row r="717" spans="2:11" x14ac:dyDescent="0.3">
      <c r="B717" s="306" t="s">
        <v>1703</v>
      </c>
      <c r="C717" s="196">
        <v>45611</v>
      </c>
      <c r="D717" s="195" t="s">
        <v>1620</v>
      </c>
      <c r="E717" s="208" t="s">
        <v>1619</v>
      </c>
      <c r="F717" s="29" t="str">
        <f>IFERROR(VLOOKUP(E717,'Inventaire des produits'!$B$4:$K$1001,2,0),"")</f>
        <v>BOITE PIZZA N°29</v>
      </c>
      <c r="G717" s="212">
        <v>2000</v>
      </c>
      <c r="H717" s="30">
        <f>IFERROR(VLOOKUP(E717,'Inventaire des produits'!$B$4:$K$1001,8,0),"")</f>
        <v>1.3</v>
      </c>
      <c r="I717" s="32">
        <f t="shared" si="20"/>
        <v>2600</v>
      </c>
      <c r="J717" s="33">
        <v>2600</v>
      </c>
      <c r="K717" s="127">
        <f t="shared" si="19"/>
        <v>3120</v>
      </c>
    </row>
    <row r="718" spans="2:11" x14ac:dyDescent="0.3">
      <c r="B718" s="306" t="s">
        <v>1703</v>
      </c>
      <c r="C718" s="196">
        <v>45618</v>
      </c>
      <c r="D718" s="195" t="s">
        <v>1629</v>
      </c>
      <c r="E718" s="208" t="s">
        <v>1628</v>
      </c>
      <c r="F718" s="29" t="str">
        <f>IFERROR(VLOOKUP(E718,'Inventaire des produits'!$B$4:$K$1001,2,0),"")</f>
        <v>BARQUETTE ALUMINIUM 831200</v>
      </c>
      <c r="G718" s="212">
        <v>20000</v>
      </c>
      <c r="H718" s="30">
        <f>IFERROR(VLOOKUP(E718,'Inventaire des produits'!$B$4:$K$1001,8,0),"")</f>
        <v>0.94</v>
      </c>
      <c r="I718" s="32">
        <f t="shared" si="20"/>
        <v>18800</v>
      </c>
      <c r="J718" s="33">
        <v>18800</v>
      </c>
      <c r="K718" s="127">
        <f t="shared" si="19"/>
        <v>22560</v>
      </c>
    </row>
    <row r="719" spans="2:11" x14ac:dyDescent="0.3">
      <c r="B719" s="306" t="s">
        <v>1703</v>
      </c>
      <c r="C719" s="196">
        <v>45617</v>
      </c>
      <c r="D719" s="195" t="s">
        <v>1632</v>
      </c>
      <c r="E719" s="208" t="s">
        <v>1631</v>
      </c>
      <c r="F719" s="29" t="str">
        <f>IFERROR(VLOOKUP(E719,'Inventaire des produits'!$B$4:$K$1001,2,0),"")</f>
        <v>BARQUETTE ALUMINIUM 83670</v>
      </c>
      <c r="G719" s="212">
        <v>5000</v>
      </c>
      <c r="H719" s="30">
        <f>IFERROR(VLOOKUP(E719,'Inventaire des produits'!$B$4:$K$1001,8,0),"")</f>
        <v>0.53</v>
      </c>
      <c r="I719" s="32">
        <f t="shared" si="20"/>
        <v>2650</v>
      </c>
      <c r="J719" s="33">
        <v>2650</v>
      </c>
      <c r="K719" s="127">
        <f t="shared" si="19"/>
        <v>3180</v>
      </c>
    </row>
    <row r="720" spans="2:11" x14ac:dyDescent="0.3">
      <c r="B720" s="306" t="s">
        <v>1703</v>
      </c>
      <c r="C720" s="196">
        <v>45618</v>
      </c>
      <c r="D720" s="195" t="s">
        <v>1633</v>
      </c>
      <c r="E720" s="208" t="s">
        <v>1634</v>
      </c>
      <c r="F720" s="29" t="str">
        <f>IFERROR(VLOOKUP(E720,'Inventaire des produits'!$B$4:$K$1001,2,0),"")</f>
        <v>COUPE MACEDONIA</v>
      </c>
      <c r="G720" s="212">
        <v>2000</v>
      </c>
      <c r="H720" s="30">
        <f>IFERROR(VLOOKUP(E720,'Inventaire des produits'!$B$4:$K$1001,8,0),"")</f>
        <v>0.8</v>
      </c>
      <c r="I720" s="32">
        <f t="shared" si="20"/>
        <v>1600</v>
      </c>
      <c r="J720" s="33">
        <v>1600</v>
      </c>
      <c r="K720" s="127">
        <f t="shared" si="19"/>
        <v>1920</v>
      </c>
    </row>
    <row r="721" spans="2:11" x14ac:dyDescent="0.3">
      <c r="B721" s="306" t="s">
        <v>1703</v>
      </c>
      <c r="C721" s="320">
        <v>45558</v>
      </c>
      <c r="D721" s="317" t="s">
        <v>1635</v>
      </c>
      <c r="E721" s="208" t="s">
        <v>1183</v>
      </c>
      <c r="F721" s="29" t="str">
        <f>IFERROR(VLOOKUP(E721,'Inventaire des produits'!$B$4:$K$1001,2,0),"")</f>
        <v>ROULEAU ALUMINIUM EXTRA PACK 200M</v>
      </c>
      <c r="G721" s="212">
        <v>60</v>
      </c>
      <c r="H721" s="30">
        <f>IFERROR(VLOOKUP(E721,'Inventaire des produits'!$B$4:$K$1001,8,0),"")</f>
        <v>44.166666666666671</v>
      </c>
      <c r="I721" s="32">
        <f t="shared" si="20"/>
        <v>2650.0000000000005</v>
      </c>
      <c r="J721" s="33">
        <v>4629.17</v>
      </c>
      <c r="K721" s="127">
        <f t="shared" si="19"/>
        <v>5555.0039999999999</v>
      </c>
    </row>
    <row r="722" spans="2:11" x14ac:dyDescent="0.3">
      <c r="B722" s="306" t="s">
        <v>1703</v>
      </c>
      <c r="C722" s="322"/>
      <c r="D722" s="319"/>
      <c r="E722" s="208" t="s">
        <v>1184</v>
      </c>
      <c r="F722" s="29" t="str">
        <f>IFERROR(VLOOKUP(E722,'Inventaire des produits'!$B$4:$K$1001,2,0),"")</f>
        <v>COQUILLE MEAL BOX 2 COMP BLANC</v>
      </c>
      <c r="G722" s="212">
        <v>2500</v>
      </c>
      <c r="H722" s="30">
        <f>IFERROR(VLOOKUP(E722,'Inventaire des produits'!$B$4:$K$1001,8,0),"")</f>
        <v>0.79166666666666663</v>
      </c>
      <c r="I722" s="32">
        <f t="shared" si="20"/>
        <v>1979.1666666666665</v>
      </c>
      <c r="K722" s="127" t="str">
        <f t="shared" si="19"/>
        <v/>
      </c>
    </row>
    <row r="723" spans="2:11" x14ac:dyDescent="0.3">
      <c r="B723" s="306" t="s">
        <v>1703</v>
      </c>
      <c r="C723" s="196">
        <v>45517</v>
      </c>
      <c r="D723" s="195" t="s">
        <v>1636</v>
      </c>
      <c r="E723" s="208" t="s">
        <v>1183</v>
      </c>
      <c r="F723" s="29" t="str">
        <f>IFERROR(VLOOKUP(E723,'Inventaire des produits'!$B$4:$K$1001,2,0),"")</f>
        <v>ROULEAU ALUMINIUM EXTRA PACK 200M</v>
      </c>
      <c r="G723" s="212">
        <v>210</v>
      </c>
      <c r="H723" s="30">
        <f>IFERROR(VLOOKUP(E723,'Inventaire des produits'!$B$4:$K$1001,8,0),"")</f>
        <v>44.166666666666671</v>
      </c>
      <c r="I723" s="32">
        <f t="shared" si="20"/>
        <v>9275.0000000000018</v>
      </c>
      <c r="J723" s="33">
        <v>9275.0000000000018</v>
      </c>
      <c r="K723" s="127">
        <f t="shared" si="19"/>
        <v>11130.000000000002</v>
      </c>
    </row>
    <row r="724" spans="2:11" x14ac:dyDescent="0.3">
      <c r="B724" s="306" t="s">
        <v>1703</v>
      </c>
      <c r="C724" s="320">
        <v>45504</v>
      </c>
      <c r="D724" s="317" t="s">
        <v>1640</v>
      </c>
      <c r="E724" s="208" t="s">
        <v>1637</v>
      </c>
      <c r="F724" s="29" t="str">
        <f>IFERROR(VLOOKUP(E724,'Inventaire des produits'!$B$4:$K$1001,2,0),"")</f>
        <v>BARQUETTE ALUMINIUM 81890 AVEC CVL</v>
      </c>
      <c r="G724" s="212">
        <v>4000</v>
      </c>
      <c r="H724" s="30">
        <f>IFERROR(VLOOKUP(E724,'Inventaire des produits'!$B$4:$K$1001,8,0),"")</f>
        <v>0.57499999999999996</v>
      </c>
      <c r="I724" s="32">
        <f t="shared" si="20"/>
        <v>2300</v>
      </c>
      <c r="J724" s="33">
        <v>5700</v>
      </c>
      <c r="K724" s="127">
        <f t="shared" si="19"/>
        <v>6840</v>
      </c>
    </row>
    <row r="725" spans="2:11" x14ac:dyDescent="0.3">
      <c r="B725" s="306" t="s">
        <v>1703</v>
      </c>
      <c r="C725" s="321"/>
      <c r="D725" s="318"/>
      <c r="E725" s="208" t="s">
        <v>767</v>
      </c>
      <c r="F725" s="29" t="str">
        <f>IFERROR(VLOOKUP(E725,'Inventaire des produits'!$B$4:$K$1001,2,0),"")</f>
        <v>ROULEAU ALUMINIUM GOLDEN 300M</v>
      </c>
      <c r="G725" s="212">
        <v>6</v>
      </c>
      <c r="H725" s="30">
        <f>IFERROR(VLOOKUP(E725,'Inventaire des produits'!$B$4:$K$1001,8,0),"")</f>
        <v>75</v>
      </c>
      <c r="I725" s="32">
        <f t="shared" si="20"/>
        <v>450</v>
      </c>
      <c r="K725" s="127" t="str">
        <f t="shared" si="19"/>
        <v/>
      </c>
    </row>
    <row r="726" spans="2:11" x14ac:dyDescent="0.3">
      <c r="B726" s="306" t="s">
        <v>1703</v>
      </c>
      <c r="C726" s="321"/>
      <c r="D726" s="318"/>
      <c r="E726" s="208" t="s">
        <v>1639</v>
      </c>
      <c r="F726" s="29" t="str">
        <f>IFERROR(VLOOKUP(E726,'Inventaire des produits'!$B$4:$K$1001,2,0),"")</f>
        <v>BARQUETTE ALUMINIUM 81420</v>
      </c>
      <c r="G726" s="212">
        <v>1000</v>
      </c>
      <c r="H726" s="30">
        <f>IFERROR(VLOOKUP(E726,'Inventaire des produits'!$B$4:$K$1001,8,0),"")</f>
        <v>0.28333333333333338</v>
      </c>
      <c r="I726" s="32">
        <f t="shared" si="20"/>
        <v>283.33333333333337</v>
      </c>
      <c r="K726" s="127" t="str">
        <f t="shared" si="19"/>
        <v/>
      </c>
    </row>
    <row r="727" spans="2:11" x14ac:dyDescent="0.3">
      <c r="B727" s="306" t="s">
        <v>1703</v>
      </c>
      <c r="C727" s="322"/>
      <c r="D727" s="319"/>
      <c r="E727" s="208" t="s">
        <v>544</v>
      </c>
      <c r="F727" s="29" t="str">
        <f>IFERROR(VLOOKUP(E727,'Inventaire des produits'!$B$4:$K$1001,2,0),"")</f>
        <v>ROULEAU ALUMINIUM SOFTIS 200 ECO</v>
      </c>
      <c r="G727" s="212">
        <v>160</v>
      </c>
      <c r="H727" s="30">
        <f>IFERROR(VLOOKUP(E727,'Inventaire des produits'!$B$4:$K$1001,8,0),"")</f>
        <v>16.666666666699999</v>
      </c>
      <c r="I727" s="32">
        <f t="shared" si="20"/>
        <v>2666.6666666719998</v>
      </c>
      <c r="K727" s="127" t="str">
        <f t="shared" si="19"/>
        <v/>
      </c>
    </row>
    <row r="728" spans="2:11" x14ac:dyDescent="0.3">
      <c r="B728" s="306" t="s">
        <v>1703</v>
      </c>
      <c r="C728" s="196">
        <v>45569</v>
      </c>
      <c r="D728" s="195" t="s">
        <v>1641</v>
      </c>
      <c r="E728" s="208" t="s">
        <v>1184</v>
      </c>
      <c r="F728" s="29" t="str">
        <f>IFERROR(VLOOKUP(E728,'Inventaire des produits'!$B$4:$K$1001,2,0),"")</f>
        <v>COQUILLE MEAL BOX 2 COMP BLANC</v>
      </c>
      <c r="G728" s="212">
        <v>5300</v>
      </c>
      <c r="H728" s="30">
        <f>IFERROR(VLOOKUP(E728,'Inventaire des produits'!$B$4:$K$1001,8,0),"")</f>
        <v>0.79166666666666663</v>
      </c>
      <c r="I728" s="32">
        <f t="shared" si="20"/>
        <v>4195.833333333333</v>
      </c>
      <c r="J728" s="33">
        <v>4195.833333333333</v>
      </c>
      <c r="K728" s="127">
        <f t="shared" si="19"/>
        <v>5034.9999999999991</v>
      </c>
    </row>
    <row r="729" spans="2:11" x14ac:dyDescent="0.3">
      <c r="B729" s="306" t="s">
        <v>1703</v>
      </c>
      <c r="C729" s="196">
        <v>45592</v>
      </c>
      <c r="D729" s="195" t="s">
        <v>1643</v>
      </c>
      <c r="E729" s="208" t="s">
        <v>1642</v>
      </c>
      <c r="F729" s="29" t="str">
        <f>IFERROR(VLOOKUP(E729,'Inventaire des produits'!$B$4:$K$1001,2,0),"")</f>
        <v>BARQUETTE TRAITEUR 500CC MICRON-ONDABLE TRANS</v>
      </c>
      <c r="G729" s="212">
        <v>300</v>
      </c>
      <c r="H729" s="30">
        <f>IFERROR(VLOOKUP(E729,'Inventaire des produits'!$B$4:$K$1001,8,0),"")</f>
        <v>1.0291666666666666</v>
      </c>
      <c r="I729" s="32">
        <f t="shared" si="20"/>
        <v>308.74999999999994</v>
      </c>
      <c r="J729" s="33">
        <v>308.75</v>
      </c>
      <c r="K729" s="127">
        <f t="shared" si="19"/>
        <v>370.5</v>
      </c>
    </row>
    <row r="730" spans="2:11" x14ac:dyDescent="0.3">
      <c r="B730" s="306" t="s">
        <v>1703</v>
      </c>
      <c r="C730" s="320">
        <v>45591</v>
      </c>
      <c r="D730" s="317" t="s">
        <v>1645</v>
      </c>
      <c r="E730" s="208" t="s">
        <v>1644</v>
      </c>
      <c r="F730" s="29" t="str">
        <f>IFERROR(VLOOKUP(E730,'Inventaire des produits'!$B$4:$K$1001,2,0),"")</f>
        <v>BARQUETTE TRAITEUR 750CC MICRON ONDABLE</v>
      </c>
      <c r="G730" s="212">
        <v>300</v>
      </c>
      <c r="H730" s="30">
        <f>IFERROR(VLOOKUP(E730,'Inventaire des produits'!$B$4:$K$1001,8,0),"")</f>
        <v>1.1083333333333334</v>
      </c>
      <c r="I730" s="32">
        <f t="shared" si="20"/>
        <v>332.5</v>
      </c>
      <c r="J730" s="33">
        <f>SUM(I730:I731)</f>
        <v>641.25</v>
      </c>
      <c r="K730" s="127">
        <f t="shared" si="19"/>
        <v>769.5</v>
      </c>
    </row>
    <row r="731" spans="2:11" x14ac:dyDescent="0.3">
      <c r="B731" s="306" t="s">
        <v>1703</v>
      </c>
      <c r="C731" s="322"/>
      <c r="D731" s="319"/>
      <c r="E731" s="208" t="s">
        <v>1642</v>
      </c>
      <c r="F731" s="29" t="str">
        <f>IFERROR(VLOOKUP(E731,'Inventaire des produits'!$B$4:$K$1001,2,0),"")</f>
        <v>BARQUETTE TRAITEUR 500CC MICRON-ONDABLE TRANS</v>
      </c>
      <c r="G731" s="212">
        <v>300</v>
      </c>
      <c r="H731" s="30">
        <f>IFERROR(VLOOKUP(E731,'Inventaire des produits'!$B$4:$K$1001,8,0),"")</f>
        <v>1.0291666666666666</v>
      </c>
      <c r="I731" s="32">
        <f t="shared" si="20"/>
        <v>308.74999999999994</v>
      </c>
      <c r="K731" s="127" t="str">
        <f t="shared" si="19"/>
        <v/>
      </c>
    </row>
    <row r="732" spans="2:11" x14ac:dyDescent="0.3">
      <c r="B732" s="306" t="s">
        <v>1703</v>
      </c>
      <c r="C732" s="196">
        <v>45583</v>
      </c>
      <c r="D732" s="195" t="s">
        <v>1647</v>
      </c>
      <c r="E732" s="208" t="s">
        <v>1646</v>
      </c>
      <c r="F732" s="29" t="str">
        <f>IFERROR(VLOOKUP(E732,'Inventaire des produits'!$B$4:$K$1001,2,0),"")</f>
        <v>BARQUETTE TRAITEUR 750CC MICRON ONDABLE</v>
      </c>
      <c r="G732" s="212">
        <v>300</v>
      </c>
      <c r="H732" s="30">
        <f>IFERROR(VLOOKUP(E732,'Inventaire des produits'!$B$4:$K$1001,8,0),"")</f>
        <v>1.0833333333333333</v>
      </c>
      <c r="I732" s="32">
        <f t="shared" si="20"/>
        <v>325</v>
      </c>
      <c r="J732" s="33">
        <v>325</v>
      </c>
      <c r="K732" s="127">
        <f t="shared" si="19"/>
        <v>390</v>
      </c>
    </row>
    <row r="733" spans="2:11" x14ac:dyDescent="0.3">
      <c r="B733" s="306" t="s">
        <v>1703</v>
      </c>
      <c r="C733" s="196">
        <v>45582</v>
      </c>
      <c r="D733" s="195" t="s">
        <v>1649</v>
      </c>
      <c r="E733" s="208" t="s">
        <v>1648</v>
      </c>
      <c r="F733" s="29" t="str">
        <f>IFERROR(VLOOKUP(E733,'Inventaire des produits'!$B$4:$K$1001,2,0),"")</f>
        <v>POT DE SAUCE 2OZ AVEC CVL CARTON 1000</v>
      </c>
      <c r="G733" s="212">
        <v>1000</v>
      </c>
      <c r="H733" s="30">
        <f>IFERROR(VLOOKUP(E733,'Inventaire des produits'!$B$4:$K$1001,8,0),"")</f>
        <v>0.2</v>
      </c>
      <c r="I733" s="32">
        <f t="shared" si="20"/>
        <v>200</v>
      </c>
      <c r="J733" s="33">
        <v>200</v>
      </c>
      <c r="K733" s="127">
        <f t="shared" si="19"/>
        <v>240</v>
      </c>
    </row>
    <row r="734" spans="2:11" x14ac:dyDescent="0.3">
      <c r="B734" s="306" t="s">
        <v>1703</v>
      </c>
      <c r="C734" s="196">
        <v>45580</v>
      </c>
      <c r="D734" s="195" t="s">
        <v>1650</v>
      </c>
      <c r="E734" s="208" t="s">
        <v>1548</v>
      </c>
      <c r="F734" s="29" t="str">
        <f>IFERROR(VLOOKUP(E734,'Inventaire des produits'!$B$4:$K$1001,2,0),"")</f>
        <v xml:space="preserve">BOUTEILLE DE 330CC CARTON </v>
      </c>
      <c r="G734" s="212">
        <v>204</v>
      </c>
      <c r="H734" s="30">
        <f>IFERROR(VLOOKUP(E734,'Inventaire des produits'!$B$4:$K$1001,8,0),"")</f>
        <v>1.6666666666666667</v>
      </c>
      <c r="I734" s="32">
        <f t="shared" si="20"/>
        <v>340</v>
      </c>
      <c r="J734" s="33">
        <v>340</v>
      </c>
      <c r="K734" s="127">
        <f t="shared" si="19"/>
        <v>408</v>
      </c>
    </row>
    <row r="735" spans="2:11" x14ac:dyDescent="0.3">
      <c r="B735" s="306" t="s">
        <v>1703</v>
      </c>
      <c r="C735" s="196">
        <v>45579</v>
      </c>
      <c r="D735" s="195" t="s">
        <v>1653</v>
      </c>
      <c r="E735" s="208" t="s">
        <v>1651</v>
      </c>
      <c r="F735" s="29" t="str">
        <f>IFERROR(VLOOKUP(E735,'Inventaire des produits'!$B$4:$K$1001,2,0),"")</f>
        <v>BARQUETTE TRAITEUR 750 MICRON</v>
      </c>
      <c r="G735" s="212">
        <v>250</v>
      </c>
      <c r="H735" s="30">
        <f>IFERROR(VLOOKUP(E735,'Inventaire des produits'!$B$4:$K$1001,8,0),"")</f>
        <v>1.1000000000000001</v>
      </c>
      <c r="I735" s="32">
        <f t="shared" si="20"/>
        <v>275</v>
      </c>
      <c r="J735" s="33">
        <v>275</v>
      </c>
      <c r="K735" s="127">
        <f t="shared" si="19"/>
        <v>330</v>
      </c>
    </row>
    <row r="736" spans="2:11" x14ac:dyDescent="0.3">
      <c r="B736" s="306" t="s">
        <v>1703</v>
      </c>
      <c r="C736" s="196">
        <v>45579</v>
      </c>
      <c r="D736" s="195" t="s">
        <v>1655</v>
      </c>
      <c r="E736" s="208" t="s">
        <v>1654</v>
      </c>
      <c r="F736" s="29" t="str">
        <f>IFERROR(VLOOKUP(E736,'Inventaire des produits'!$B$4:$K$1001,2,0),"")</f>
        <v>BARQUETTE TRAITEUR 500CC MICRON-ONDABLE TRANS</v>
      </c>
      <c r="G736" s="212">
        <v>600</v>
      </c>
      <c r="H736" s="30">
        <f>IFERROR(VLOOKUP(E736,'Inventaire des produits'!$B$4:$K$1001,8,0),"")</f>
        <v>1</v>
      </c>
      <c r="I736" s="32">
        <f t="shared" si="20"/>
        <v>600</v>
      </c>
      <c r="J736" s="33">
        <v>600</v>
      </c>
      <c r="K736" s="127">
        <f t="shared" si="19"/>
        <v>720</v>
      </c>
    </row>
    <row r="737" spans="2:11" x14ac:dyDescent="0.3">
      <c r="B737" s="306" t="s">
        <v>1703</v>
      </c>
      <c r="C737" s="196">
        <v>45573</v>
      </c>
      <c r="D737" s="195" t="s">
        <v>1658</v>
      </c>
      <c r="E737" s="208" t="s">
        <v>1656</v>
      </c>
      <c r="F737" s="29" t="str">
        <f>IFERROR(VLOOKUP(E737,'Inventaire des produits'!$B$4:$K$1001,2,0),"")</f>
        <v>BOITE PIZZA 31*31 PACK 100 VIERGE</v>
      </c>
      <c r="G737" s="212">
        <v>1</v>
      </c>
      <c r="H737" s="30">
        <f>IFERROR(VLOOKUP(E737,'Inventaire des produits'!$B$4:$K$1001,8,0),"")</f>
        <v>133.33333333333334</v>
      </c>
      <c r="I737" s="32">
        <f t="shared" si="20"/>
        <v>133.33333333333334</v>
      </c>
      <c r="J737" s="33">
        <v>133.33333333333334</v>
      </c>
      <c r="K737" s="127">
        <f t="shared" si="19"/>
        <v>160</v>
      </c>
    </row>
    <row r="738" spans="2:11" x14ac:dyDescent="0.3">
      <c r="B738" s="306" t="s">
        <v>1703</v>
      </c>
      <c r="C738" s="196">
        <v>45568</v>
      </c>
      <c r="D738" s="195" t="s">
        <v>1660</v>
      </c>
      <c r="E738" s="208" t="s">
        <v>1659</v>
      </c>
      <c r="F738" s="29" t="str">
        <f>IFERROR(VLOOKUP(E738,'Inventaire des produits'!$B$4:$K$1001,2,0),"")</f>
        <v xml:space="preserve">BARQUETTE MICRON ONDABLE 3 COMP </v>
      </c>
      <c r="G738" s="212">
        <v>300</v>
      </c>
      <c r="H738" s="30">
        <f>IFERROR(VLOOKUP(E738,'Inventaire des produits'!$B$4:$K$1001,8,0),"")</f>
        <v>1.4166666666666667</v>
      </c>
      <c r="I738" s="32">
        <f t="shared" si="20"/>
        <v>425</v>
      </c>
      <c r="J738" s="33">
        <v>425</v>
      </c>
      <c r="K738" s="127">
        <f t="shared" si="19"/>
        <v>510</v>
      </c>
    </row>
    <row r="739" spans="2:11" x14ac:dyDescent="0.3">
      <c r="B739" s="306" t="s">
        <v>1703</v>
      </c>
      <c r="C739" s="320">
        <v>45568</v>
      </c>
      <c r="D739" s="317" t="s">
        <v>1662</v>
      </c>
      <c r="E739" s="208" t="s">
        <v>681</v>
      </c>
      <c r="F739" s="29" t="str">
        <f>IFERROR(VLOOKUP(E739,'Inventaire des produits'!$B$4:$K$1001,2,0),"")</f>
        <v>BARQUETTE TRAITEUR 500CC MICRON-ONDABLE TRANS</v>
      </c>
      <c r="G739" s="212">
        <v>300</v>
      </c>
      <c r="H739" s="30">
        <f>IFERROR(VLOOKUP(E739,'Inventaire des produits'!$B$4:$K$1001,8,0),"")</f>
        <v>1.0833333332999999</v>
      </c>
      <c r="I739" s="32">
        <f t="shared" si="20"/>
        <v>324.99999998999999</v>
      </c>
      <c r="J739" s="33">
        <f>SUM(I739:I740)</f>
        <v>662.49999998999999</v>
      </c>
      <c r="K739" s="127">
        <f t="shared" si="19"/>
        <v>794.99999998800001</v>
      </c>
    </row>
    <row r="740" spans="2:11" x14ac:dyDescent="0.3">
      <c r="B740" s="306" t="s">
        <v>1703</v>
      </c>
      <c r="C740" s="322"/>
      <c r="D740" s="319"/>
      <c r="E740" s="208" t="s">
        <v>1661</v>
      </c>
      <c r="F740" s="29" t="str">
        <f>IFERROR(VLOOKUP(E740,'Inventaire des produits'!$B$4:$K$1001,2,0),"")</f>
        <v xml:space="preserve">BOUTEILLE DE 330CC CARTON </v>
      </c>
      <c r="G740" s="212">
        <v>204</v>
      </c>
      <c r="H740" s="30">
        <f>IFERROR(VLOOKUP(E740,'Inventaire des produits'!$B$4:$K$1001,8,0),"")</f>
        <v>1.6544117647058822</v>
      </c>
      <c r="I740" s="32">
        <f t="shared" si="20"/>
        <v>337.5</v>
      </c>
      <c r="K740" s="127" t="str">
        <f t="shared" si="19"/>
        <v/>
      </c>
    </row>
    <row r="741" spans="2:11" x14ac:dyDescent="0.3">
      <c r="B741" s="306" t="s">
        <v>1703</v>
      </c>
      <c r="C741" s="196">
        <v>45566</v>
      </c>
      <c r="D741" s="195" t="s">
        <v>1665</v>
      </c>
      <c r="E741" s="208" t="s">
        <v>1664</v>
      </c>
      <c r="F741" s="29" t="str">
        <f>IFERROR(VLOOKUP(E741,'Inventaire des produits'!$B$4:$K$1001,2,0),"")</f>
        <v xml:space="preserve">BARQUETTE TRAITEUR 500CC </v>
      </c>
      <c r="G741" s="212">
        <v>1000</v>
      </c>
      <c r="H741" s="30">
        <f>IFERROR(VLOOKUP(E741,'Inventaire des produits'!$B$4:$K$1001,8,0),"")</f>
        <v>0.33333333333333337</v>
      </c>
      <c r="I741" s="32">
        <f t="shared" si="20"/>
        <v>333.33333333333337</v>
      </c>
      <c r="J741" s="33">
        <v>333.33333333333337</v>
      </c>
      <c r="K741" s="127">
        <f t="shared" si="19"/>
        <v>400.00000000000006</v>
      </c>
    </row>
    <row r="742" spans="2:11" x14ac:dyDescent="0.3">
      <c r="B742" s="306" t="s">
        <v>1703</v>
      </c>
      <c r="C742" s="196">
        <v>45623</v>
      </c>
      <c r="D742" s="195" t="s">
        <v>1671</v>
      </c>
      <c r="E742" s="208" t="s">
        <v>1670</v>
      </c>
      <c r="F742" s="29" t="str">
        <f>IFERROR(VLOOKUP(E742,'Inventaire des produits'!$B$4:$K$1001,2,0),"")</f>
        <v xml:space="preserve">BOUTEILLE PLAST TANS DE 330CC CARTON </v>
      </c>
      <c r="G742" s="212">
        <v>204</v>
      </c>
      <c r="H742" s="30">
        <f>IFERROR(VLOOKUP(E742,'Inventaire des produits'!$B$4:$K$1001,8,0),"")</f>
        <v>1.65</v>
      </c>
      <c r="I742" s="32">
        <f t="shared" si="20"/>
        <v>336.59999999999997</v>
      </c>
      <c r="J742" s="33">
        <v>336.59999999999997</v>
      </c>
      <c r="K742" s="127">
        <f t="shared" si="19"/>
        <v>403.91999999999996</v>
      </c>
    </row>
    <row r="743" spans="2:11" x14ac:dyDescent="0.3">
      <c r="B743" s="306" t="s">
        <v>1703</v>
      </c>
      <c r="C743" s="320">
        <v>45628</v>
      </c>
      <c r="D743" s="317" t="s">
        <v>1689</v>
      </c>
      <c r="E743" s="208" t="s">
        <v>1681</v>
      </c>
      <c r="F743" s="29" t="str">
        <f>IFERROR(VLOOKUP(E743,'Inventaire des produits'!$B$4:$K$1001,2,0),"")</f>
        <v>SAC KRAFT 28*17*29 POIGNEE</v>
      </c>
      <c r="G743" s="212">
        <v>1000</v>
      </c>
      <c r="H743" s="30">
        <f>IFERROR(VLOOKUP(E743,'Inventaire des produits'!$B$4:$K$1001,8,0),"")</f>
        <v>0.66666666666666674</v>
      </c>
      <c r="I743" s="32">
        <f t="shared" si="20"/>
        <v>666.66666666666674</v>
      </c>
      <c r="J743" s="33">
        <f>SUM(I743:I749)</f>
        <v>17708.333333666666</v>
      </c>
      <c r="K743" s="127">
        <f t="shared" si="19"/>
        <v>21250.000000399999</v>
      </c>
    </row>
    <row r="744" spans="2:11" x14ac:dyDescent="0.3">
      <c r="B744" s="306" t="s">
        <v>1703</v>
      </c>
      <c r="C744" s="321"/>
      <c r="D744" s="318"/>
      <c r="E744" s="208" t="s">
        <v>1683</v>
      </c>
      <c r="F744" s="29" t="str">
        <f>IFERROR(VLOOKUP(E744,'Inventaire des produits'!$B$4:$K$1001,2,0),"")</f>
        <v xml:space="preserve">PAPIER SANDWISH BLANC </v>
      </c>
      <c r="G744" s="212">
        <v>100</v>
      </c>
      <c r="H744" s="30">
        <f>IFERROR(VLOOKUP(E744,'Inventaire des produits'!$B$4:$K$1001,8,0),"")</f>
        <v>18.000000000000004</v>
      </c>
      <c r="I744" s="32">
        <f t="shared" si="20"/>
        <v>1800.0000000000005</v>
      </c>
      <c r="K744" s="127" t="str">
        <f t="shared" si="19"/>
        <v/>
      </c>
    </row>
    <row r="745" spans="2:11" x14ac:dyDescent="0.3">
      <c r="B745" s="306" t="s">
        <v>1703</v>
      </c>
      <c r="C745" s="321"/>
      <c r="D745" s="318"/>
      <c r="E745" s="208" t="s">
        <v>1685</v>
      </c>
      <c r="F745" s="29" t="str">
        <f>IFERROR(VLOOKUP(E745,'Inventaire des produits'!$B$4:$K$1001,2,0),"")</f>
        <v>BOITE KRAFT A FENETRE 32OZ</v>
      </c>
      <c r="G745" s="212">
        <v>800</v>
      </c>
      <c r="H745" s="30">
        <f>IFERROR(VLOOKUP(E745,'Inventaire des produits'!$B$4:$K$1001,8,0),"")</f>
        <v>2.166666666666667</v>
      </c>
      <c r="I745" s="32">
        <f t="shared" si="20"/>
        <v>1733.3333333333335</v>
      </c>
      <c r="K745" s="127" t="str">
        <f t="shared" si="19"/>
        <v/>
      </c>
    </row>
    <row r="746" spans="2:11" x14ac:dyDescent="0.3">
      <c r="B746" s="306" t="s">
        <v>1703</v>
      </c>
      <c r="C746" s="321"/>
      <c r="D746" s="318"/>
      <c r="E746" s="208" t="s">
        <v>1686</v>
      </c>
      <c r="F746" s="29" t="str">
        <f>IFERROR(VLOOKUP(E746,'Inventaire des produits'!$B$4:$K$1001,2,0),"")</f>
        <v>BOL BLANC 38OZ AVEC CVL</v>
      </c>
      <c r="G746" s="212">
        <v>100</v>
      </c>
      <c r="H746" s="30">
        <f>IFERROR(VLOOKUP(E746,'Inventaire des produits'!$B$4:$K$1001,8,0),"")</f>
        <v>1.7500000000000002</v>
      </c>
      <c r="I746" s="32">
        <f t="shared" si="20"/>
        <v>175.00000000000003</v>
      </c>
      <c r="K746" s="127" t="str">
        <f t="shared" si="19"/>
        <v/>
      </c>
    </row>
    <row r="747" spans="2:11" x14ac:dyDescent="0.3">
      <c r="B747" s="306" t="s">
        <v>1703</v>
      </c>
      <c r="C747" s="321"/>
      <c r="D747" s="318"/>
      <c r="E747" s="208" t="s">
        <v>1687</v>
      </c>
      <c r="F747" s="29" t="str">
        <f>IFERROR(VLOOKUP(E747,'Inventaire des produits'!$B$4:$K$1001,2,0),"")</f>
        <v>BARQUETTE ALUMINIUM 83890</v>
      </c>
      <c r="G747" s="212">
        <v>15000</v>
      </c>
      <c r="H747" s="30">
        <f>IFERROR(VLOOKUP(E747,'Inventaire des produits'!$B$4:$K$1001,8,0),"")</f>
        <v>0.48333333333333334</v>
      </c>
      <c r="I747" s="32">
        <f t="shared" si="20"/>
        <v>7250</v>
      </c>
      <c r="K747" s="127" t="str">
        <f t="shared" si="19"/>
        <v/>
      </c>
    </row>
    <row r="748" spans="2:11" x14ac:dyDescent="0.3">
      <c r="B748" s="306" t="s">
        <v>1703</v>
      </c>
      <c r="C748" s="321"/>
      <c r="D748" s="318"/>
      <c r="E748" s="208" t="s">
        <v>501</v>
      </c>
      <c r="F748" s="29" t="str">
        <f>IFERROR(VLOOKUP(E748,'Inventaire des produits'!$B$4:$K$1001,2,0),"")</f>
        <v>BARQUETTE ALUMINIUM 83420</v>
      </c>
      <c r="G748" s="212">
        <v>10000</v>
      </c>
      <c r="H748" s="30">
        <f>IFERROR(VLOOKUP(E748,'Inventaire des produits'!$B$4:$K$1001,8,0),"")</f>
        <v>0.31666666669999999</v>
      </c>
      <c r="I748" s="32">
        <f t="shared" si="20"/>
        <v>3166.666667</v>
      </c>
      <c r="K748" s="127" t="str">
        <f t="shared" si="19"/>
        <v/>
      </c>
    </row>
    <row r="749" spans="2:11" x14ac:dyDescent="0.3">
      <c r="B749" s="306" t="s">
        <v>1703</v>
      </c>
      <c r="C749" s="322"/>
      <c r="D749" s="319"/>
      <c r="E749" s="208" t="s">
        <v>1688</v>
      </c>
      <c r="F749" s="29" t="str">
        <f>IFERROR(VLOOKUP(E749,'Inventaire des produits'!$B$4:$K$1001,2,0),"")</f>
        <v>BARQUETTE ALUMINIUM 83808</v>
      </c>
      <c r="G749" s="212">
        <v>5000</v>
      </c>
      <c r="H749" s="30">
        <f>IFERROR(VLOOKUP(E749,'Inventaire des produits'!$B$4:$K$1001,8,0),"")</f>
        <v>0.58333333333333337</v>
      </c>
      <c r="I749" s="32">
        <f t="shared" si="20"/>
        <v>2916.666666666667</v>
      </c>
      <c r="K749" s="127" t="str">
        <f t="shared" si="19"/>
        <v/>
      </c>
    </row>
    <row r="750" spans="2:11" x14ac:dyDescent="0.3">
      <c r="B750" s="306" t="s">
        <v>1703</v>
      </c>
      <c r="C750" s="320">
        <v>45628</v>
      </c>
      <c r="D750" s="317" t="s">
        <v>1694</v>
      </c>
      <c r="E750" s="208" t="s">
        <v>1690</v>
      </c>
      <c r="F750" s="29" t="str">
        <f>IFERROR(VLOOKUP(E750,'Inventaire des produits'!$B$4:$K$1001,2,0),"")</f>
        <v>SERVIETTE SEVAN</v>
      </c>
      <c r="G750" s="212">
        <v>1600</v>
      </c>
      <c r="H750" s="30">
        <f>IFERROR(VLOOKUP(E750,'Inventaire des produits'!$B$4:$K$1001,8,0),"")</f>
        <v>2.75</v>
      </c>
      <c r="I750" s="32">
        <f t="shared" si="20"/>
        <v>4400</v>
      </c>
      <c r="J750" s="33">
        <f>SUM(I750:I753)</f>
        <v>21650.003000000001</v>
      </c>
      <c r="K750" s="127">
        <f t="shared" si="19"/>
        <v>25980.0036</v>
      </c>
    </row>
    <row r="751" spans="2:11" x14ac:dyDescent="0.3">
      <c r="B751" s="306" t="s">
        <v>1703</v>
      </c>
      <c r="C751" s="321"/>
      <c r="D751" s="318"/>
      <c r="E751" s="208" t="s">
        <v>1691</v>
      </c>
      <c r="F751" s="29" t="str">
        <f>IFERROR(VLOOKUP(E751,'Inventaire des produits'!$B$4:$K$1001,2,0),"")</f>
        <v>FILM ALIMENTAIRE ORIGINAL 45*500</v>
      </c>
      <c r="G751" s="212">
        <v>180</v>
      </c>
      <c r="H751" s="30">
        <f>IFERROR(VLOOKUP(E751,'Inventaire des produits'!$B$4:$K$1001,8,0),"")</f>
        <v>26.677</v>
      </c>
      <c r="I751" s="32">
        <f t="shared" si="20"/>
        <v>4801.8599999999997</v>
      </c>
      <c r="K751" s="127" t="str">
        <f t="shared" si="19"/>
        <v/>
      </c>
    </row>
    <row r="752" spans="2:11" x14ac:dyDescent="0.3">
      <c r="B752" s="306" t="s">
        <v>1703</v>
      </c>
      <c r="C752" s="321"/>
      <c r="D752" s="318"/>
      <c r="E752" s="208" t="s">
        <v>1692</v>
      </c>
      <c r="F752" s="29" t="str">
        <f>IFERROR(VLOOKUP(E752,'Inventaire des produits'!$B$4:$K$1001,2,0),"")</f>
        <v>FILM ALIMENTAIRE ARAX 30*300</v>
      </c>
      <c r="G752" s="212">
        <v>270</v>
      </c>
      <c r="H752" s="30">
        <f>IFERROR(VLOOKUP(E752,'Inventaire des produits'!$B$4:$K$1001,8,0),"")</f>
        <v>18.3309</v>
      </c>
      <c r="I752" s="32">
        <f t="shared" si="20"/>
        <v>4949.3429999999998</v>
      </c>
      <c r="K752" s="127" t="str">
        <f t="shared" si="19"/>
        <v/>
      </c>
    </row>
    <row r="753" spans="2:11" x14ac:dyDescent="0.3">
      <c r="B753" s="306" t="s">
        <v>1703</v>
      </c>
      <c r="C753" s="322"/>
      <c r="D753" s="319"/>
      <c r="E753" s="208" t="s">
        <v>1693</v>
      </c>
      <c r="F753" s="29" t="str">
        <f>IFERROR(VLOOKUP(E753,'Inventaire des produits'!$B$4:$K$1001,2,0),"")</f>
        <v>ESSUIE MAIN 1KG LISSE</v>
      </c>
      <c r="G753" s="212">
        <v>360</v>
      </c>
      <c r="H753" s="30">
        <f>IFERROR(VLOOKUP(E753,'Inventaire des produits'!$B$4:$K$1001,8,0),"")</f>
        <v>20.83</v>
      </c>
      <c r="I753" s="32">
        <f t="shared" si="20"/>
        <v>7498.7999999999993</v>
      </c>
      <c r="K753" s="127" t="str">
        <f t="shared" si="19"/>
        <v/>
      </c>
    </row>
    <row r="754" spans="2:11" x14ac:dyDescent="0.3">
      <c r="B754" s="306" t="s">
        <v>1703</v>
      </c>
      <c r="C754" s="196">
        <v>45569</v>
      </c>
      <c r="D754" s="195" t="s">
        <v>1696</v>
      </c>
      <c r="E754" s="208" t="s">
        <v>1695</v>
      </c>
      <c r="F754" s="29" t="str">
        <f>IFERROR(VLOOKUP(E754,'Inventaire des produits'!$B$4:$K$1001,2,0),"")</f>
        <v>BARQUETTE TRAITEUR 750CC MICRON ONDABLE TRANS</v>
      </c>
      <c r="G754" s="212">
        <f>20*300</f>
        <v>6000</v>
      </c>
      <c r="H754" s="30">
        <f>IFERROR(VLOOKUP(E754,'Inventaire des produits'!$B$4:$K$1001,8,0),"")</f>
        <v>1.11111111111</v>
      </c>
      <c r="I754" s="32">
        <f t="shared" si="20"/>
        <v>6666.6666666600004</v>
      </c>
      <c r="J754" s="33">
        <f>SUM(I754)</f>
        <v>6666.6666666600004</v>
      </c>
      <c r="K754" s="127">
        <f t="shared" si="19"/>
        <v>7999.9999999920001</v>
      </c>
    </row>
    <row r="755" spans="2:11" x14ac:dyDescent="0.3">
      <c r="B755" s="306" t="s">
        <v>1703</v>
      </c>
      <c r="C755" s="196">
        <v>45626</v>
      </c>
      <c r="D755" s="195" t="s">
        <v>1697</v>
      </c>
      <c r="E755" s="208" t="s">
        <v>327</v>
      </c>
      <c r="F755" s="29" t="str">
        <f>IFERROR(VLOOKUP(E755,'Inventaire des produits'!$B$4:$K$1001,2,0),"")</f>
        <v>FILM ALIMENTAIRE 900G PET</v>
      </c>
      <c r="G755" s="212">
        <v>188</v>
      </c>
      <c r="H755" s="30">
        <f>IFERROR(VLOOKUP(E755,'Inventaire des produits'!$B$4:$K$1001,8,0),"")</f>
        <v>22</v>
      </c>
      <c r="I755" s="32">
        <f t="shared" si="20"/>
        <v>4136</v>
      </c>
      <c r="J755" s="33">
        <v>4136</v>
      </c>
      <c r="K755" s="127">
        <f t="shared" si="19"/>
        <v>4963.2</v>
      </c>
    </row>
    <row r="756" spans="2:11" x14ac:dyDescent="0.3">
      <c r="B756" s="306" t="s">
        <v>1703</v>
      </c>
      <c r="C756" s="196">
        <v>45597</v>
      </c>
      <c r="D756" s="195" t="s">
        <v>1699</v>
      </c>
      <c r="E756" s="208" t="s">
        <v>1698</v>
      </c>
      <c r="F756" s="29" t="str">
        <f>IFERROR(VLOOKUP(E756,'Inventaire des produits'!$B$4:$K$1001,2,0),"")</f>
        <v>BOITE PIZZA 24</v>
      </c>
      <c r="G756" s="212">
        <v>125</v>
      </c>
      <c r="H756" s="30">
        <f>IFERROR(VLOOKUP(E756,'Inventaire des produits'!$B$4:$K$1001,8,0),"")</f>
        <v>33</v>
      </c>
      <c r="I756" s="32">
        <f t="shared" si="20"/>
        <v>4125</v>
      </c>
      <c r="J756" s="33">
        <v>4125</v>
      </c>
      <c r="K756" s="127">
        <f t="shared" si="19"/>
        <v>4950</v>
      </c>
    </row>
    <row r="757" spans="2:11" x14ac:dyDescent="0.3">
      <c r="B757" s="195"/>
      <c r="C757" s="196"/>
      <c r="D757" s="195"/>
      <c r="E757" s="208"/>
      <c r="F757" s="29" t="str">
        <f>IFERROR(VLOOKUP(E757,'Inventaire des produits'!$B$4:$K$1001,2,0),"")</f>
        <v/>
      </c>
      <c r="G757" s="212"/>
      <c r="H757" s="30" t="str">
        <f>IFERROR(VLOOKUP(E757,'Inventaire des produits'!$B$4:$K$1001,8,0),"")</f>
        <v/>
      </c>
      <c r="I757" s="32" t="str">
        <f t="shared" si="20"/>
        <v/>
      </c>
      <c r="K757" s="127" t="str">
        <f t="shared" si="19"/>
        <v/>
      </c>
    </row>
    <row r="758" spans="2:11" x14ac:dyDescent="0.3">
      <c r="B758" s="195"/>
      <c r="C758" s="196"/>
      <c r="D758" s="195"/>
      <c r="E758" s="208"/>
      <c r="F758" s="29" t="str">
        <f>IFERROR(VLOOKUP(E758,'Inventaire des produits'!$B$4:$K$1001,2,0),"")</f>
        <v/>
      </c>
      <c r="G758" s="212"/>
      <c r="H758" s="30" t="str">
        <f>IFERROR(VLOOKUP(E758,'Inventaire des produits'!$B$4:$K$1001,8,0),"")</f>
        <v/>
      </c>
      <c r="I758" s="32" t="str">
        <f t="shared" si="20"/>
        <v/>
      </c>
      <c r="K758" s="127" t="str">
        <f t="shared" si="19"/>
        <v/>
      </c>
    </row>
    <row r="759" spans="2:11" x14ac:dyDescent="0.3">
      <c r="B759" s="195"/>
      <c r="C759" s="196"/>
      <c r="D759" s="195"/>
      <c r="E759" s="208"/>
      <c r="F759" s="29" t="str">
        <f>IFERROR(VLOOKUP(E759,'Inventaire des produits'!$B$4:$K$1001,2,0),"")</f>
        <v/>
      </c>
      <c r="G759" s="212"/>
      <c r="H759" s="30" t="str">
        <f>IFERROR(VLOOKUP(E759,'Inventaire des produits'!$B$4:$K$1001,8,0),"")</f>
        <v/>
      </c>
      <c r="I759" s="32" t="str">
        <f t="shared" si="20"/>
        <v/>
      </c>
      <c r="K759" s="127" t="str">
        <f t="shared" si="19"/>
        <v/>
      </c>
    </row>
    <row r="760" spans="2:11" x14ac:dyDescent="0.3">
      <c r="B760" s="195"/>
      <c r="C760" s="196"/>
      <c r="D760" s="195"/>
      <c r="E760" s="208"/>
      <c r="F760" s="29" t="str">
        <f>IFERROR(VLOOKUP(E760,'Inventaire des produits'!$B$4:$K$1001,2,0),"")</f>
        <v/>
      </c>
      <c r="G760" s="212"/>
      <c r="H760" s="30" t="str">
        <f>IFERROR(VLOOKUP(E760,'Inventaire des produits'!$B$4:$K$1001,8,0),"")</f>
        <v/>
      </c>
      <c r="I760" s="32" t="str">
        <f t="shared" si="20"/>
        <v/>
      </c>
      <c r="K760" s="127" t="str">
        <f t="shared" si="19"/>
        <v/>
      </c>
    </row>
    <row r="761" spans="2:11" x14ac:dyDescent="0.3">
      <c r="B761" s="195"/>
      <c r="C761" s="196"/>
      <c r="D761" s="195"/>
      <c r="E761" s="208"/>
      <c r="F761" s="29" t="str">
        <f>IFERROR(VLOOKUP(E761,'Inventaire des produits'!$B$4:$K$1001,2,0),"")</f>
        <v/>
      </c>
      <c r="G761" s="212"/>
      <c r="H761" s="30" t="str">
        <f>IFERROR(VLOOKUP(E761,'Inventaire des produits'!$B$4:$K$1001,8,0),"")</f>
        <v/>
      </c>
      <c r="I761" s="32" t="str">
        <f t="shared" si="20"/>
        <v/>
      </c>
      <c r="K761" s="127" t="str">
        <f t="shared" si="19"/>
        <v/>
      </c>
    </row>
    <row r="762" spans="2:11" x14ac:dyDescent="0.3">
      <c r="B762" s="195"/>
      <c r="C762" s="196"/>
      <c r="D762" s="195"/>
      <c r="E762" s="208"/>
      <c r="F762" s="29" t="str">
        <f>IFERROR(VLOOKUP(E762,'Inventaire des produits'!$B$4:$K$1001,2,0),"")</f>
        <v/>
      </c>
      <c r="G762" s="212"/>
      <c r="H762" s="30" t="str">
        <f>IFERROR(VLOOKUP(E762,'Inventaire des produits'!$B$4:$K$1001,8,0),"")</f>
        <v/>
      </c>
      <c r="I762" s="32" t="str">
        <f t="shared" si="20"/>
        <v/>
      </c>
      <c r="K762" s="127" t="str">
        <f t="shared" si="19"/>
        <v/>
      </c>
    </row>
    <row r="763" spans="2:11" x14ac:dyDescent="0.3">
      <c r="B763" s="195"/>
      <c r="C763" s="196"/>
      <c r="D763" s="195"/>
      <c r="E763" s="208"/>
      <c r="F763" s="29" t="str">
        <f>IFERROR(VLOOKUP(E763,'Inventaire des produits'!$B$4:$K$1001,2,0),"")</f>
        <v/>
      </c>
      <c r="G763" s="212"/>
      <c r="H763" s="30" t="str">
        <f>IFERROR(VLOOKUP(E763,'Inventaire des produits'!$B$4:$K$1001,8,0),"")</f>
        <v/>
      </c>
      <c r="I763" s="32" t="str">
        <f t="shared" si="20"/>
        <v/>
      </c>
      <c r="K763" s="127" t="str">
        <f t="shared" si="19"/>
        <v/>
      </c>
    </row>
    <row r="764" spans="2:11" x14ac:dyDescent="0.3">
      <c r="B764" s="195"/>
      <c r="C764" s="196"/>
      <c r="D764" s="195"/>
      <c r="E764" s="208"/>
      <c r="F764" s="29" t="str">
        <f>IFERROR(VLOOKUP(E764,'Inventaire des produits'!$B$4:$K$1001,2,0),"")</f>
        <v/>
      </c>
      <c r="G764" s="212"/>
      <c r="H764" s="30" t="str">
        <f>IFERROR(VLOOKUP(E764,'Inventaire des produits'!$B$4:$K$1001,8,0),"")</f>
        <v/>
      </c>
      <c r="I764" s="32" t="str">
        <f t="shared" si="20"/>
        <v/>
      </c>
      <c r="K764" s="127" t="str">
        <f t="shared" ref="K764:K827" si="21">IF(J764="","",J764*1.2)</f>
        <v/>
      </c>
    </row>
    <row r="765" spans="2:11" x14ac:dyDescent="0.3">
      <c r="B765" s="195"/>
      <c r="C765" s="196"/>
      <c r="D765" s="195"/>
      <c r="E765" s="208"/>
      <c r="F765" s="29" t="str">
        <f>IFERROR(VLOOKUP(E765,'Inventaire des produits'!$B$4:$K$1001,2,0),"")</f>
        <v/>
      </c>
      <c r="G765" s="212"/>
      <c r="H765" s="30" t="str">
        <f>IFERROR(VLOOKUP(E765,'Inventaire des produits'!$B$4:$K$1001,8,0),"")</f>
        <v/>
      </c>
      <c r="I765" s="32" t="str">
        <f t="shared" si="20"/>
        <v/>
      </c>
      <c r="K765" s="127" t="str">
        <f t="shared" si="21"/>
        <v/>
      </c>
    </row>
    <row r="766" spans="2:11" x14ac:dyDescent="0.3">
      <c r="B766" s="197"/>
      <c r="C766" s="198"/>
      <c r="D766" s="197"/>
      <c r="E766" s="212"/>
      <c r="F766" s="29" t="str">
        <f>IFERROR(VLOOKUP(E766,'Inventaire des produits'!$B$4:$K$1001,2,0),"")</f>
        <v/>
      </c>
      <c r="G766" s="212"/>
      <c r="H766" s="30" t="str">
        <f>IFERROR(VLOOKUP(E766,'Inventaire des produits'!$B$4:$K$1001,8,0),"")</f>
        <v/>
      </c>
      <c r="I766" s="32" t="str">
        <f t="shared" si="20"/>
        <v/>
      </c>
      <c r="K766" s="127" t="str">
        <f t="shared" si="21"/>
        <v/>
      </c>
    </row>
    <row r="767" spans="2:11" x14ac:dyDescent="0.3">
      <c r="B767" s="197"/>
      <c r="C767" s="198"/>
      <c r="D767" s="197"/>
      <c r="E767" s="212"/>
      <c r="F767" s="29" t="str">
        <f>IFERROR(VLOOKUP(E767,'Inventaire des produits'!$B$4:$K$1001,2,0),"")</f>
        <v/>
      </c>
      <c r="G767" s="212"/>
      <c r="H767" s="30" t="str">
        <f>IFERROR(VLOOKUP(E767,'Inventaire des produits'!$B$4:$K$1001,8,0),"")</f>
        <v/>
      </c>
      <c r="I767" s="32" t="str">
        <f t="shared" si="20"/>
        <v/>
      </c>
      <c r="K767" s="127" t="str">
        <f t="shared" si="21"/>
        <v/>
      </c>
    </row>
    <row r="768" spans="2:11" x14ac:dyDescent="0.3">
      <c r="B768" s="197"/>
      <c r="C768" s="198"/>
      <c r="D768" s="197"/>
      <c r="E768" s="212"/>
      <c r="F768" s="29" t="str">
        <f>IFERROR(VLOOKUP(E768,'Inventaire des produits'!$B$4:$K$1001,2,0),"")</f>
        <v/>
      </c>
      <c r="G768" s="212"/>
      <c r="H768" s="30" t="str">
        <f>IFERROR(VLOOKUP(E768,'Inventaire des produits'!$B$4:$K$1001,8,0),"")</f>
        <v/>
      </c>
      <c r="I768" s="32" t="str">
        <f t="shared" si="20"/>
        <v/>
      </c>
      <c r="K768" s="127" t="str">
        <f t="shared" si="21"/>
        <v/>
      </c>
    </row>
    <row r="769" spans="2:11" x14ac:dyDescent="0.3">
      <c r="B769" s="197"/>
      <c r="C769" s="198"/>
      <c r="D769" s="197"/>
      <c r="E769" s="212"/>
      <c r="F769" s="29" t="str">
        <f>IFERROR(VLOOKUP(E769,'Inventaire des produits'!$B$4:$K$1001,2,0),"")</f>
        <v/>
      </c>
      <c r="G769" s="212"/>
      <c r="H769" s="30" t="str">
        <f>IFERROR(VLOOKUP(E769,'Inventaire des produits'!$B$4:$K$1001,8,0),"")</f>
        <v/>
      </c>
      <c r="I769" s="32" t="str">
        <f t="shared" si="20"/>
        <v/>
      </c>
      <c r="K769" s="127" t="str">
        <f t="shared" si="21"/>
        <v/>
      </c>
    </row>
    <row r="770" spans="2:11" x14ac:dyDescent="0.3">
      <c r="B770" s="197"/>
      <c r="C770" s="198"/>
      <c r="D770" s="197"/>
      <c r="E770" s="212"/>
      <c r="F770" s="29" t="str">
        <f>IFERROR(VLOOKUP(E770,'Inventaire des produits'!$B$4:$K$1001,2,0),"")</f>
        <v/>
      </c>
      <c r="G770" s="212"/>
      <c r="H770" s="30" t="str">
        <f>IFERROR(VLOOKUP(E770,'Inventaire des produits'!$B$4:$K$1001,8,0),"")</f>
        <v/>
      </c>
      <c r="I770" s="32" t="str">
        <f t="shared" ref="I770:I833" si="22">IF(OR(G770="",H770=""),"",G770*H770)</f>
        <v/>
      </c>
      <c r="K770" s="127" t="str">
        <f t="shared" si="21"/>
        <v/>
      </c>
    </row>
    <row r="771" spans="2:11" x14ac:dyDescent="0.3">
      <c r="B771" s="197"/>
      <c r="C771" s="198"/>
      <c r="D771" s="197"/>
      <c r="E771" s="212"/>
      <c r="F771" s="29" t="str">
        <f>IFERROR(VLOOKUP(E771,'Inventaire des produits'!$B$4:$K$1001,2,0),"")</f>
        <v/>
      </c>
      <c r="G771" s="212"/>
      <c r="H771" s="30" t="str">
        <f>IFERROR(VLOOKUP(E771,'Inventaire des produits'!$B$4:$K$1001,8,0),"")</f>
        <v/>
      </c>
      <c r="I771" s="32" t="str">
        <f t="shared" si="22"/>
        <v/>
      </c>
      <c r="K771" s="127" t="str">
        <f t="shared" si="21"/>
        <v/>
      </c>
    </row>
    <row r="772" spans="2:11" x14ac:dyDescent="0.3">
      <c r="B772" s="197"/>
      <c r="C772" s="198"/>
      <c r="D772" s="197"/>
      <c r="E772" s="212"/>
      <c r="F772" s="29" t="str">
        <f>IFERROR(VLOOKUP(E772,'Inventaire des produits'!$B$4:$K$1001,2,0),"")</f>
        <v/>
      </c>
      <c r="G772" s="212"/>
      <c r="H772" s="30" t="str">
        <f>IFERROR(VLOOKUP(E772,'Inventaire des produits'!$B$4:$K$1001,8,0),"")</f>
        <v/>
      </c>
      <c r="I772" s="32" t="str">
        <f t="shared" si="22"/>
        <v/>
      </c>
      <c r="K772" s="127" t="str">
        <f t="shared" si="21"/>
        <v/>
      </c>
    </row>
    <row r="773" spans="2:11" x14ac:dyDescent="0.3">
      <c r="B773" s="197"/>
      <c r="C773" s="198"/>
      <c r="D773" s="197"/>
      <c r="E773" s="212"/>
      <c r="F773" s="29" t="str">
        <f>IFERROR(VLOOKUP(E773,'Inventaire des produits'!$B$4:$K$1001,2,0),"")</f>
        <v/>
      </c>
      <c r="G773" s="212"/>
      <c r="H773" s="30" t="str">
        <f>IFERROR(VLOOKUP(E773,'Inventaire des produits'!$B$4:$K$1001,8,0),"")</f>
        <v/>
      </c>
      <c r="I773" s="32" t="str">
        <f t="shared" si="22"/>
        <v/>
      </c>
      <c r="K773" s="127" t="str">
        <f t="shared" si="21"/>
        <v/>
      </c>
    </row>
    <row r="774" spans="2:11" x14ac:dyDescent="0.3">
      <c r="B774" s="197"/>
      <c r="C774" s="198"/>
      <c r="D774" s="197"/>
      <c r="E774" s="212"/>
      <c r="F774" s="29" t="str">
        <f>IFERROR(VLOOKUP(E774,'Inventaire des produits'!$B$4:$K$1001,2,0),"")</f>
        <v/>
      </c>
      <c r="G774" s="212"/>
      <c r="H774" s="30" t="str">
        <f>IFERROR(VLOOKUP(E774,'Inventaire des produits'!$B$4:$K$1001,8,0),"")</f>
        <v/>
      </c>
      <c r="I774" s="32" t="str">
        <f t="shared" si="22"/>
        <v/>
      </c>
      <c r="K774" s="127" t="str">
        <f t="shared" si="21"/>
        <v/>
      </c>
    </row>
    <row r="775" spans="2:11" x14ac:dyDescent="0.3">
      <c r="B775" s="197"/>
      <c r="C775" s="198"/>
      <c r="D775" s="197"/>
      <c r="E775" s="212"/>
      <c r="F775" s="29" t="str">
        <f>IFERROR(VLOOKUP(E775,'Inventaire des produits'!$B$4:$K$1001,2,0),"")</f>
        <v/>
      </c>
      <c r="G775" s="212"/>
      <c r="H775" s="30" t="str">
        <f>IFERROR(VLOOKUP(E775,'Inventaire des produits'!$B$4:$K$1001,8,0),"")</f>
        <v/>
      </c>
      <c r="I775" s="32" t="str">
        <f t="shared" si="22"/>
        <v/>
      </c>
      <c r="K775" s="127" t="str">
        <f t="shared" si="21"/>
        <v/>
      </c>
    </row>
    <row r="776" spans="2:11" x14ac:dyDescent="0.3">
      <c r="B776" s="197"/>
      <c r="C776" s="198"/>
      <c r="D776" s="197"/>
      <c r="E776" s="212"/>
      <c r="F776" s="29" t="str">
        <f>IFERROR(VLOOKUP(E776,'Inventaire des produits'!$B$4:$K$1001,2,0),"")</f>
        <v/>
      </c>
      <c r="G776" s="212"/>
      <c r="H776" s="30" t="str">
        <f>IFERROR(VLOOKUP(E776,'Inventaire des produits'!$B$4:$K$1001,8,0),"")</f>
        <v/>
      </c>
      <c r="I776" s="32" t="str">
        <f t="shared" si="22"/>
        <v/>
      </c>
      <c r="K776" s="127" t="str">
        <f t="shared" si="21"/>
        <v/>
      </c>
    </row>
    <row r="777" spans="2:11" x14ac:dyDescent="0.3">
      <c r="B777" s="197"/>
      <c r="C777" s="198"/>
      <c r="D777" s="197"/>
      <c r="E777" s="212"/>
      <c r="F777" s="29" t="str">
        <f>IFERROR(VLOOKUP(E777,'Inventaire des produits'!$B$4:$K$1001,2,0),"")</f>
        <v/>
      </c>
      <c r="G777" s="212"/>
      <c r="H777" s="30" t="str">
        <f>IFERROR(VLOOKUP(E777,'Inventaire des produits'!$B$4:$K$1001,8,0),"")</f>
        <v/>
      </c>
      <c r="I777" s="32" t="str">
        <f t="shared" si="22"/>
        <v/>
      </c>
      <c r="K777" s="127" t="str">
        <f t="shared" si="21"/>
        <v/>
      </c>
    </row>
    <row r="778" spans="2:11" x14ac:dyDescent="0.3">
      <c r="B778" s="197"/>
      <c r="C778" s="198"/>
      <c r="D778" s="197"/>
      <c r="E778" s="212"/>
      <c r="F778" s="29" t="str">
        <f>IFERROR(VLOOKUP(E778,'Inventaire des produits'!$B$4:$K$1001,2,0),"")</f>
        <v/>
      </c>
      <c r="G778" s="212"/>
      <c r="H778" s="30" t="str">
        <f>IFERROR(VLOOKUP(E778,'Inventaire des produits'!$B$4:$K$1001,8,0),"")</f>
        <v/>
      </c>
      <c r="I778" s="32" t="str">
        <f t="shared" si="22"/>
        <v/>
      </c>
      <c r="K778" s="127" t="str">
        <f t="shared" si="21"/>
        <v/>
      </c>
    </row>
    <row r="779" spans="2:11" x14ac:dyDescent="0.3">
      <c r="B779" s="197"/>
      <c r="C779" s="198"/>
      <c r="D779" s="197"/>
      <c r="E779" s="212"/>
      <c r="F779" s="29" t="str">
        <f>IFERROR(VLOOKUP(E779,'Inventaire des produits'!$B$4:$K$1001,2,0),"")</f>
        <v/>
      </c>
      <c r="G779" s="212"/>
      <c r="H779" s="30" t="str">
        <f>IFERROR(VLOOKUP(E779,'Inventaire des produits'!$B$4:$K$1001,8,0),"")</f>
        <v/>
      </c>
      <c r="I779" s="32" t="str">
        <f t="shared" si="22"/>
        <v/>
      </c>
      <c r="K779" s="127" t="str">
        <f t="shared" si="21"/>
        <v/>
      </c>
    </row>
    <row r="780" spans="2:11" x14ac:dyDescent="0.3">
      <c r="B780" s="197"/>
      <c r="C780" s="198"/>
      <c r="D780" s="197"/>
      <c r="E780" s="212"/>
      <c r="F780" s="29" t="str">
        <f>IFERROR(VLOOKUP(E780,'Inventaire des produits'!$B$4:$K$1001,2,0),"")</f>
        <v/>
      </c>
      <c r="G780" s="212"/>
      <c r="H780" s="30" t="str">
        <f>IFERROR(VLOOKUP(E780,'Inventaire des produits'!$B$4:$K$1001,8,0),"")</f>
        <v/>
      </c>
      <c r="I780" s="32" t="str">
        <f t="shared" si="22"/>
        <v/>
      </c>
      <c r="K780" s="127" t="str">
        <f t="shared" si="21"/>
        <v/>
      </c>
    </row>
    <row r="781" spans="2:11" x14ac:dyDescent="0.3">
      <c r="B781" s="197"/>
      <c r="C781" s="198"/>
      <c r="D781" s="197"/>
      <c r="E781" s="212"/>
      <c r="F781" s="29" t="str">
        <f>IFERROR(VLOOKUP(E781,'Inventaire des produits'!$B$4:$K$1001,2,0),"")</f>
        <v/>
      </c>
      <c r="G781" s="212"/>
      <c r="H781" s="30" t="str">
        <f>IFERROR(VLOOKUP(E781,'Inventaire des produits'!$B$4:$K$1001,8,0),"")</f>
        <v/>
      </c>
      <c r="I781" s="32" t="str">
        <f t="shared" si="22"/>
        <v/>
      </c>
      <c r="K781" s="127" t="str">
        <f t="shared" si="21"/>
        <v/>
      </c>
    </row>
    <row r="782" spans="2:11" x14ac:dyDescent="0.3">
      <c r="B782" s="197"/>
      <c r="C782" s="198"/>
      <c r="D782" s="197"/>
      <c r="E782" s="212"/>
      <c r="F782" s="29" t="str">
        <f>IFERROR(VLOOKUP(E782,'Inventaire des produits'!$B$4:$K$1001,2,0),"")</f>
        <v/>
      </c>
      <c r="G782" s="212"/>
      <c r="H782" s="30" t="str">
        <f>IFERROR(VLOOKUP(E782,'Inventaire des produits'!$B$4:$K$1001,8,0),"")</f>
        <v/>
      </c>
      <c r="I782" s="32" t="str">
        <f t="shared" si="22"/>
        <v/>
      </c>
      <c r="K782" s="127" t="str">
        <f t="shared" si="21"/>
        <v/>
      </c>
    </row>
    <row r="783" spans="2:11" x14ac:dyDescent="0.3">
      <c r="B783" s="197"/>
      <c r="C783" s="198"/>
      <c r="D783" s="197"/>
      <c r="E783" s="212"/>
      <c r="F783" s="29" t="str">
        <f>IFERROR(VLOOKUP(E783,'Inventaire des produits'!$B$4:$K$1001,2,0),"")</f>
        <v/>
      </c>
      <c r="G783" s="212"/>
      <c r="H783" s="30" t="str">
        <f>IFERROR(VLOOKUP(E783,'Inventaire des produits'!$B$4:$K$1001,8,0),"")</f>
        <v/>
      </c>
      <c r="I783" s="32" t="str">
        <f t="shared" si="22"/>
        <v/>
      </c>
      <c r="K783" s="127" t="str">
        <f t="shared" si="21"/>
        <v/>
      </c>
    </row>
    <row r="784" spans="2:11" x14ac:dyDescent="0.3">
      <c r="B784" s="197"/>
      <c r="C784" s="198"/>
      <c r="D784" s="197"/>
      <c r="E784" s="212"/>
      <c r="F784" s="29" t="str">
        <f>IFERROR(VLOOKUP(E784,'Inventaire des produits'!$B$4:$K$1001,2,0),"")</f>
        <v/>
      </c>
      <c r="G784" s="212"/>
      <c r="H784" s="30" t="str">
        <f>IFERROR(VLOOKUP(E784,'Inventaire des produits'!$B$4:$K$1001,8,0),"")</f>
        <v/>
      </c>
      <c r="I784" s="32" t="str">
        <f t="shared" si="22"/>
        <v/>
      </c>
      <c r="K784" s="127" t="str">
        <f t="shared" si="21"/>
        <v/>
      </c>
    </row>
    <row r="785" spans="2:11" x14ac:dyDescent="0.3">
      <c r="B785" s="197"/>
      <c r="C785" s="198"/>
      <c r="D785" s="197"/>
      <c r="E785" s="212"/>
      <c r="F785" s="29" t="str">
        <f>IFERROR(VLOOKUP(E785,'Inventaire des produits'!$B$4:$K$1001,2,0),"")</f>
        <v/>
      </c>
      <c r="G785" s="212"/>
      <c r="H785" s="30" t="str">
        <f>IFERROR(VLOOKUP(E785,'Inventaire des produits'!$B$4:$K$1001,8,0),"")</f>
        <v/>
      </c>
      <c r="I785" s="32" t="str">
        <f t="shared" si="22"/>
        <v/>
      </c>
      <c r="K785" s="127" t="str">
        <f t="shared" si="21"/>
        <v/>
      </c>
    </row>
    <row r="786" spans="2:11" x14ac:dyDescent="0.3">
      <c r="B786" s="197"/>
      <c r="C786" s="198"/>
      <c r="D786" s="197"/>
      <c r="E786" s="212"/>
      <c r="F786" s="29" t="str">
        <f>IFERROR(VLOOKUP(E786,'Inventaire des produits'!$B$4:$K$1001,2,0),"")</f>
        <v/>
      </c>
      <c r="G786" s="212"/>
      <c r="H786" s="30" t="str">
        <f>IFERROR(VLOOKUP(E786,'Inventaire des produits'!$B$4:$K$1001,8,0),"")</f>
        <v/>
      </c>
      <c r="I786" s="32" t="str">
        <f t="shared" si="22"/>
        <v/>
      </c>
      <c r="K786" s="127" t="str">
        <f t="shared" si="21"/>
        <v/>
      </c>
    </row>
    <row r="787" spans="2:11" x14ac:dyDescent="0.3">
      <c r="B787" s="197"/>
      <c r="C787" s="198"/>
      <c r="D787" s="197"/>
      <c r="E787" s="212"/>
      <c r="F787" s="29" t="str">
        <f>IFERROR(VLOOKUP(E787,'Inventaire des produits'!$B$4:$K$1001,2,0),"")</f>
        <v/>
      </c>
      <c r="G787" s="212"/>
      <c r="H787" s="30" t="str">
        <f>IFERROR(VLOOKUP(E787,'Inventaire des produits'!$B$4:$K$1001,8,0),"")</f>
        <v/>
      </c>
      <c r="I787" s="32" t="str">
        <f t="shared" si="22"/>
        <v/>
      </c>
      <c r="K787" s="127" t="str">
        <f t="shared" si="21"/>
        <v/>
      </c>
    </row>
    <row r="788" spans="2:11" x14ac:dyDescent="0.3">
      <c r="B788" s="197"/>
      <c r="C788" s="198"/>
      <c r="D788" s="197"/>
      <c r="E788" s="212"/>
      <c r="F788" s="29" t="str">
        <f>IFERROR(VLOOKUP(E788,'Inventaire des produits'!$B$4:$K$1001,2,0),"")</f>
        <v/>
      </c>
      <c r="G788" s="212"/>
      <c r="H788" s="30" t="str">
        <f>IFERROR(VLOOKUP(E788,'Inventaire des produits'!$B$4:$K$1001,8,0),"")</f>
        <v/>
      </c>
      <c r="I788" s="32" t="str">
        <f t="shared" si="22"/>
        <v/>
      </c>
      <c r="K788" s="127" t="str">
        <f t="shared" si="21"/>
        <v/>
      </c>
    </row>
    <row r="789" spans="2:11" x14ac:dyDescent="0.3">
      <c r="B789" s="197"/>
      <c r="C789" s="198"/>
      <c r="D789" s="197"/>
      <c r="E789" s="212"/>
      <c r="F789" s="29" t="str">
        <f>IFERROR(VLOOKUP(E789,'Inventaire des produits'!$B$4:$K$1001,2,0),"")</f>
        <v/>
      </c>
      <c r="G789" s="212"/>
      <c r="H789" s="30" t="str">
        <f>IFERROR(VLOOKUP(E789,'Inventaire des produits'!$B$4:$K$1001,8,0),"")</f>
        <v/>
      </c>
      <c r="I789" s="32" t="str">
        <f t="shared" si="22"/>
        <v/>
      </c>
      <c r="K789" s="127" t="str">
        <f t="shared" si="21"/>
        <v/>
      </c>
    </row>
    <row r="790" spans="2:11" x14ac:dyDescent="0.3">
      <c r="B790" s="197"/>
      <c r="C790" s="198"/>
      <c r="D790" s="197"/>
      <c r="E790" s="212"/>
      <c r="F790" s="29" t="str">
        <f>IFERROR(VLOOKUP(E790,'Inventaire des produits'!$B$4:$K$1001,2,0),"")</f>
        <v/>
      </c>
      <c r="G790" s="212"/>
      <c r="H790" s="30" t="str">
        <f>IFERROR(VLOOKUP(E790,'Inventaire des produits'!$B$4:$K$1001,8,0),"")</f>
        <v/>
      </c>
      <c r="I790" s="32" t="str">
        <f t="shared" si="22"/>
        <v/>
      </c>
      <c r="K790" s="127" t="str">
        <f t="shared" si="21"/>
        <v/>
      </c>
    </row>
    <row r="791" spans="2:11" x14ac:dyDescent="0.3">
      <c r="B791" s="197"/>
      <c r="C791" s="198"/>
      <c r="D791" s="197"/>
      <c r="E791" s="212"/>
      <c r="F791" s="29" t="str">
        <f>IFERROR(VLOOKUP(E791,'Inventaire des produits'!$B$4:$K$1001,2,0),"")</f>
        <v/>
      </c>
      <c r="G791" s="212"/>
      <c r="H791" s="30" t="str">
        <f>IFERROR(VLOOKUP(E791,'Inventaire des produits'!$B$4:$K$1001,8,0),"")</f>
        <v/>
      </c>
      <c r="I791" s="32" t="str">
        <f t="shared" si="22"/>
        <v/>
      </c>
      <c r="K791" s="127" t="str">
        <f t="shared" si="21"/>
        <v/>
      </c>
    </row>
    <row r="792" spans="2:11" x14ac:dyDescent="0.3">
      <c r="B792" s="197"/>
      <c r="C792" s="198"/>
      <c r="D792" s="197"/>
      <c r="E792" s="212"/>
      <c r="F792" s="29" t="str">
        <f>IFERROR(VLOOKUP(E792,'Inventaire des produits'!$B$4:$K$1001,2,0),"")</f>
        <v/>
      </c>
      <c r="G792" s="212"/>
      <c r="H792" s="30" t="str">
        <f>IFERROR(VLOOKUP(E792,'Inventaire des produits'!$B$4:$K$1001,8,0),"")</f>
        <v/>
      </c>
      <c r="I792" s="32" t="str">
        <f t="shared" si="22"/>
        <v/>
      </c>
      <c r="K792" s="127" t="str">
        <f t="shared" si="21"/>
        <v/>
      </c>
    </row>
    <row r="793" spans="2:11" x14ac:dyDescent="0.3">
      <c r="B793" s="197"/>
      <c r="C793" s="198"/>
      <c r="D793" s="197"/>
      <c r="E793" s="212"/>
      <c r="F793" s="29" t="str">
        <f>IFERROR(VLOOKUP(E793,'Inventaire des produits'!$B$4:$K$1001,2,0),"")</f>
        <v/>
      </c>
      <c r="G793" s="212"/>
      <c r="H793" s="30" t="str">
        <f>IFERROR(VLOOKUP(E793,'Inventaire des produits'!$B$4:$K$1001,8,0),"")</f>
        <v/>
      </c>
      <c r="I793" s="32" t="str">
        <f t="shared" si="22"/>
        <v/>
      </c>
      <c r="K793" s="127" t="str">
        <f t="shared" si="21"/>
        <v/>
      </c>
    </row>
    <row r="794" spans="2:11" x14ac:dyDescent="0.3">
      <c r="B794" s="197"/>
      <c r="C794" s="198"/>
      <c r="D794" s="197"/>
      <c r="E794" s="212"/>
      <c r="F794" s="29" t="str">
        <f>IFERROR(VLOOKUP(E794,'Inventaire des produits'!$B$4:$K$1001,2,0),"")</f>
        <v/>
      </c>
      <c r="G794" s="212"/>
      <c r="H794" s="30" t="str">
        <f>IFERROR(VLOOKUP(E794,'Inventaire des produits'!$B$4:$K$1001,8,0),"")</f>
        <v/>
      </c>
      <c r="I794" s="32" t="str">
        <f t="shared" si="22"/>
        <v/>
      </c>
      <c r="K794" s="127" t="str">
        <f t="shared" si="21"/>
        <v/>
      </c>
    </row>
    <row r="795" spans="2:11" x14ac:dyDescent="0.3">
      <c r="B795" s="197"/>
      <c r="C795" s="198"/>
      <c r="D795" s="197"/>
      <c r="E795" s="212"/>
      <c r="F795" s="29" t="str">
        <f>IFERROR(VLOOKUP(E795,'Inventaire des produits'!$B$4:$K$1001,2,0),"")</f>
        <v/>
      </c>
      <c r="G795" s="212"/>
      <c r="H795" s="30" t="str">
        <f>IFERROR(VLOOKUP(E795,'Inventaire des produits'!$B$4:$K$1001,8,0),"")</f>
        <v/>
      </c>
      <c r="I795" s="32" t="str">
        <f t="shared" si="22"/>
        <v/>
      </c>
      <c r="K795" s="127" t="str">
        <f t="shared" si="21"/>
        <v/>
      </c>
    </row>
    <row r="796" spans="2:11" x14ac:dyDescent="0.3">
      <c r="B796" s="197"/>
      <c r="C796" s="198"/>
      <c r="D796" s="197"/>
      <c r="E796" s="212"/>
      <c r="F796" s="29" t="str">
        <f>IFERROR(VLOOKUP(E796,'Inventaire des produits'!$B$4:$K$1001,2,0),"")</f>
        <v/>
      </c>
      <c r="G796" s="212"/>
      <c r="H796" s="30" t="str">
        <f>IFERROR(VLOOKUP(E796,'Inventaire des produits'!$B$4:$K$1001,8,0),"")</f>
        <v/>
      </c>
      <c r="I796" s="32" t="str">
        <f t="shared" si="22"/>
        <v/>
      </c>
      <c r="K796" s="127" t="str">
        <f t="shared" si="21"/>
        <v/>
      </c>
    </row>
    <row r="797" spans="2:11" x14ac:dyDescent="0.3">
      <c r="B797" s="197"/>
      <c r="C797" s="198"/>
      <c r="D797" s="197"/>
      <c r="E797" s="212"/>
      <c r="F797" s="29" t="str">
        <f>IFERROR(VLOOKUP(E797,'Inventaire des produits'!$B$4:$K$1001,2,0),"")</f>
        <v/>
      </c>
      <c r="G797" s="212"/>
      <c r="H797" s="30" t="str">
        <f>IFERROR(VLOOKUP(E797,'Inventaire des produits'!$B$4:$K$1001,8,0),"")</f>
        <v/>
      </c>
      <c r="I797" s="32" t="str">
        <f t="shared" si="22"/>
        <v/>
      </c>
      <c r="K797" s="127" t="str">
        <f t="shared" si="21"/>
        <v/>
      </c>
    </row>
    <row r="798" spans="2:11" x14ac:dyDescent="0.3">
      <c r="B798" s="197"/>
      <c r="C798" s="198"/>
      <c r="D798" s="197"/>
      <c r="E798" s="212"/>
      <c r="F798" s="29" t="str">
        <f>IFERROR(VLOOKUP(E798,'Inventaire des produits'!$B$4:$K$1001,2,0),"")</f>
        <v/>
      </c>
      <c r="G798" s="212"/>
      <c r="H798" s="30" t="str">
        <f>IFERROR(VLOOKUP(E798,'Inventaire des produits'!$B$4:$K$1001,8,0),"")</f>
        <v/>
      </c>
      <c r="I798" s="32" t="str">
        <f t="shared" si="22"/>
        <v/>
      </c>
      <c r="K798" s="127" t="str">
        <f t="shared" si="21"/>
        <v/>
      </c>
    </row>
    <row r="799" spans="2:11" x14ac:dyDescent="0.3">
      <c r="B799" s="197"/>
      <c r="C799" s="198"/>
      <c r="D799" s="197"/>
      <c r="E799" s="212"/>
      <c r="F799" s="29" t="str">
        <f>IFERROR(VLOOKUP(E799,'Inventaire des produits'!$B$4:$K$1001,2,0),"")</f>
        <v/>
      </c>
      <c r="G799" s="212"/>
      <c r="H799" s="30" t="str">
        <f>IFERROR(VLOOKUP(E799,'Inventaire des produits'!$B$4:$K$1001,8,0),"")</f>
        <v/>
      </c>
      <c r="I799" s="32" t="str">
        <f t="shared" si="22"/>
        <v/>
      </c>
      <c r="K799" s="127" t="str">
        <f t="shared" si="21"/>
        <v/>
      </c>
    </row>
    <row r="800" spans="2:11" x14ac:dyDescent="0.3">
      <c r="B800" s="197"/>
      <c r="C800" s="198"/>
      <c r="D800" s="197"/>
      <c r="E800" s="212"/>
      <c r="F800" s="29" t="str">
        <f>IFERROR(VLOOKUP(E800,'Inventaire des produits'!$B$4:$K$1001,2,0),"")</f>
        <v/>
      </c>
      <c r="G800" s="212"/>
      <c r="H800" s="30" t="str">
        <f>IFERROR(VLOOKUP(E800,'Inventaire des produits'!$B$4:$K$1001,8,0),"")</f>
        <v/>
      </c>
      <c r="I800" s="32" t="str">
        <f t="shared" si="22"/>
        <v/>
      </c>
      <c r="K800" s="127" t="str">
        <f t="shared" si="21"/>
        <v/>
      </c>
    </row>
    <row r="801" spans="2:11" x14ac:dyDescent="0.3">
      <c r="B801" s="197"/>
      <c r="C801" s="198"/>
      <c r="D801" s="197"/>
      <c r="E801" s="212"/>
      <c r="F801" s="29" t="str">
        <f>IFERROR(VLOOKUP(E801,'Inventaire des produits'!$B$4:$K$1001,2,0),"")</f>
        <v/>
      </c>
      <c r="G801" s="212"/>
      <c r="H801" s="30" t="str">
        <f>IFERROR(VLOOKUP(E801,'Inventaire des produits'!$B$4:$K$1001,8,0),"")</f>
        <v/>
      </c>
      <c r="I801" s="32" t="str">
        <f t="shared" si="22"/>
        <v/>
      </c>
      <c r="K801" s="127" t="str">
        <f t="shared" si="21"/>
        <v/>
      </c>
    </row>
    <row r="802" spans="2:11" x14ac:dyDescent="0.3">
      <c r="B802" s="197"/>
      <c r="C802" s="198"/>
      <c r="D802" s="197"/>
      <c r="E802" s="212"/>
      <c r="F802" s="29" t="str">
        <f>IFERROR(VLOOKUP(E802,'Inventaire des produits'!$B$4:$K$1001,2,0),"")</f>
        <v/>
      </c>
      <c r="G802" s="212"/>
      <c r="H802" s="30" t="str">
        <f>IFERROR(VLOOKUP(E802,'Inventaire des produits'!$B$4:$K$1001,8,0),"")</f>
        <v/>
      </c>
      <c r="I802" s="32" t="str">
        <f t="shared" si="22"/>
        <v/>
      </c>
      <c r="K802" s="127" t="str">
        <f t="shared" si="21"/>
        <v/>
      </c>
    </row>
    <row r="803" spans="2:11" x14ac:dyDescent="0.3">
      <c r="B803" s="197"/>
      <c r="C803" s="198"/>
      <c r="D803" s="197"/>
      <c r="E803" s="212"/>
      <c r="F803" s="29" t="str">
        <f>IFERROR(VLOOKUP(E803,'Inventaire des produits'!$B$4:$K$1001,2,0),"")</f>
        <v/>
      </c>
      <c r="G803" s="212"/>
      <c r="H803" s="30" t="str">
        <f>IFERROR(VLOOKUP(E803,'Inventaire des produits'!$B$4:$K$1001,8,0),"")</f>
        <v/>
      </c>
      <c r="I803" s="32" t="str">
        <f t="shared" si="22"/>
        <v/>
      </c>
      <c r="K803" s="127" t="str">
        <f t="shared" si="21"/>
        <v/>
      </c>
    </row>
    <row r="804" spans="2:11" x14ac:dyDescent="0.3">
      <c r="B804" s="197"/>
      <c r="C804" s="198"/>
      <c r="D804" s="197"/>
      <c r="E804" s="212"/>
      <c r="F804" s="29" t="str">
        <f>IFERROR(VLOOKUP(E804,'Inventaire des produits'!$B$4:$K$1001,2,0),"")</f>
        <v/>
      </c>
      <c r="G804" s="212"/>
      <c r="H804" s="30" t="str">
        <f>IFERROR(VLOOKUP(E804,'Inventaire des produits'!$B$4:$K$1001,8,0),"")</f>
        <v/>
      </c>
      <c r="I804" s="32" t="str">
        <f t="shared" si="22"/>
        <v/>
      </c>
      <c r="K804" s="127" t="str">
        <f t="shared" si="21"/>
        <v/>
      </c>
    </row>
    <row r="805" spans="2:11" x14ac:dyDescent="0.3">
      <c r="B805" s="197"/>
      <c r="C805" s="198"/>
      <c r="D805" s="197"/>
      <c r="E805" s="212"/>
      <c r="F805" s="29" t="str">
        <f>IFERROR(VLOOKUP(E805,'Inventaire des produits'!$B$4:$K$1001,2,0),"")</f>
        <v/>
      </c>
      <c r="G805" s="212"/>
      <c r="H805" s="30" t="str">
        <f>IFERROR(VLOOKUP(E805,'Inventaire des produits'!$B$4:$K$1001,8,0),"")</f>
        <v/>
      </c>
      <c r="I805" s="32" t="str">
        <f t="shared" si="22"/>
        <v/>
      </c>
      <c r="K805" s="127" t="str">
        <f t="shared" si="21"/>
        <v/>
      </c>
    </row>
    <row r="806" spans="2:11" x14ac:dyDescent="0.3">
      <c r="B806" s="197"/>
      <c r="C806" s="198"/>
      <c r="D806" s="197"/>
      <c r="E806" s="212"/>
      <c r="F806" s="29" t="str">
        <f>IFERROR(VLOOKUP(E806,'Inventaire des produits'!$B$4:$K$1001,2,0),"")</f>
        <v/>
      </c>
      <c r="G806" s="212"/>
      <c r="H806" s="30" t="str">
        <f>IFERROR(VLOOKUP(E806,'Inventaire des produits'!$B$4:$K$1001,8,0),"")</f>
        <v/>
      </c>
      <c r="I806" s="32" t="str">
        <f t="shared" si="22"/>
        <v/>
      </c>
      <c r="K806" s="127" t="str">
        <f t="shared" si="21"/>
        <v/>
      </c>
    </row>
    <row r="807" spans="2:11" x14ac:dyDescent="0.3">
      <c r="B807" s="197"/>
      <c r="C807" s="198"/>
      <c r="D807" s="197"/>
      <c r="E807" s="212"/>
      <c r="F807" s="29" t="str">
        <f>IFERROR(VLOOKUP(E807,'Inventaire des produits'!$B$4:$K$1001,2,0),"")</f>
        <v/>
      </c>
      <c r="G807" s="212"/>
      <c r="H807" s="30" t="str">
        <f>IFERROR(VLOOKUP(E807,'Inventaire des produits'!$B$4:$K$1001,8,0),"")</f>
        <v/>
      </c>
      <c r="I807" s="32" t="str">
        <f t="shared" si="22"/>
        <v/>
      </c>
      <c r="K807" s="127" t="str">
        <f t="shared" si="21"/>
        <v/>
      </c>
    </row>
    <row r="808" spans="2:11" x14ac:dyDescent="0.3">
      <c r="B808" s="197"/>
      <c r="C808" s="198"/>
      <c r="D808" s="197"/>
      <c r="E808" s="212"/>
      <c r="F808" s="29" t="str">
        <f>IFERROR(VLOOKUP(E808,'Inventaire des produits'!$B$4:$K$1001,2,0),"")</f>
        <v/>
      </c>
      <c r="G808" s="212"/>
      <c r="H808" s="30" t="str">
        <f>IFERROR(VLOOKUP(E808,'Inventaire des produits'!$B$4:$K$1001,8,0),"")</f>
        <v/>
      </c>
      <c r="I808" s="32" t="str">
        <f t="shared" si="22"/>
        <v/>
      </c>
      <c r="K808" s="127" t="str">
        <f t="shared" si="21"/>
        <v/>
      </c>
    </row>
    <row r="809" spans="2:11" x14ac:dyDescent="0.3">
      <c r="B809" s="197"/>
      <c r="C809" s="198"/>
      <c r="D809" s="197"/>
      <c r="E809" s="212"/>
      <c r="F809" s="29" t="str">
        <f>IFERROR(VLOOKUP(E809,'Inventaire des produits'!$B$4:$K$1001,2,0),"")</f>
        <v/>
      </c>
      <c r="G809" s="212"/>
      <c r="H809" s="30" t="str">
        <f>IFERROR(VLOOKUP(E809,'Inventaire des produits'!$B$4:$K$1001,8,0),"")</f>
        <v/>
      </c>
      <c r="I809" s="32" t="str">
        <f t="shared" si="22"/>
        <v/>
      </c>
      <c r="K809" s="127" t="str">
        <f t="shared" si="21"/>
        <v/>
      </c>
    </row>
    <row r="810" spans="2:11" x14ac:dyDescent="0.3">
      <c r="B810" s="197"/>
      <c r="C810" s="198"/>
      <c r="D810" s="197"/>
      <c r="E810" s="212"/>
      <c r="F810" s="29" t="str">
        <f>IFERROR(VLOOKUP(E810,'Inventaire des produits'!$B$4:$K$1001,2,0),"")</f>
        <v/>
      </c>
      <c r="G810" s="212"/>
      <c r="H810" s="30" t="str">
        <f>IFERROR(VLOOKUP(E810,'Inventaire des produits'!$B$4:$K$1001,8,0),"")</f>
        <v/>
      </c>
      <c r="I810" s="32" t="str">
        <f t="shared" si="22"/>
        <v/>
      </c>
      <c r="K810" s="127" t="str">
        <f t="shared" si="21"/>
        <v/>
      </c>
    </row>
    <row r="811" spans="2:11" x14ac:dyDescent="0.3">
      <c r="B811" s="197"/>
      <c r="C811" s="198"/>
      <c r="D811" s="197"/>
      <c r="E811" s="212"/>
      <c r="F811" s="29" t="str">
        <f>IFERROR(VLOOKUP(E811,'Inventaire des produits'!$B$4:$K$1001,2,0),"")</f>
        <v/>
      </c>
      <c r="G811" s="212"/>
      <c r="H811" s="30" t="str">
        <f>IFERROR(VLOOKUP(E811,'Inventaire des produits'!$B$4:$K$1001,8,0),"")</f>
        <v/>
      </c>
      <c r="I811" s="32" t="str">
        <f t="shared" si="22"/>
        <v/>
      </c>
      <c r="K811" s="127" t="str">
        <f t="shared" si="21"/>
        <v/>
      </c>
    </row>
    <row r="812" spans="2:11" x14ac:dyDescent="0.3">
      <c r="B812" s="197"/>
      <c r="C812" s="198"/>
      <c r="D812" s="197"/>
      <c r="E812" s="212"/>
      <c r="F812" s="29" t="str">
        <f>IFERROR(VLOOKUP(E812,'Inventaire des produits'!$B$4:$K$1001,2,0),"")</f>
        <v/>
      </c>
      <c r="G812" s="212"/>
      <c r="H812" s="30" t="str">
        <f>IFERROR(VLOOKUP(E812,'Inventaire des produits'!$B$4:$K$1001,8,0),"")</f>
        <v/>
      </c>
      <c r="I812" s="32" t="str">
        <f t="shared" si="22"/>
        <v/>
      </c>
      <c r="K812" s="127" t="str">
        <f t="shared" si="21"/>
        <v/>
      </c>
    </row>
    <row r="813" spans="2:11" x14ac:dyDescent="0.3">
      <c r="B813" s="197"/>
      <c r="C813" s="198"/>
      <c r="D813" s="197"/>
      <c r="E813" s="212"/>
      <c r="F813" s="29" t="str">
        <f>IFERROR(VLOOKUP(E813,'Inventaire des produits'!$B$4:$K$1001,2,0),"")</f>
        <v/>
      </c>
      <c r="G813" s="212"/>
      <c r="H813" s="30" t="str">
        <f>IFERROR(VLOOKUP(E813,'Inventaire des produits'!$B$4:$K$1001,8,0),"")</f>
        <v/>
      </c>
      <c r="I813" s="32" t="str">
        <f t="shared" si="22"/>
        <v/>
      </c>
      <c r="K813" s="127" t="str">
        <f t="shared" si="21"/>
        <v/>
      </c>
    </row>
    <row r="814" spans="2:11" x14ac:dyDescent="0.3">
      <c r="B814" s="197"/>
      <c r="C814" s="198"/>
      <c r="D814" s="197"/>
      <c r="E814" s="212"/>
      <c r="F814" s="29" t="str">
        <f>IFERROR(VLOOKUP(E814,'Inventaire des produits'!$B$4:$K$1001,2,0),"")</f>
        <v/>
      </c>
      <c r="G814" s="212"/>
      <c r="H814" s="30" t="str">
        <f>IFERROR(VLOOKUP(E814,'Inventaire des produits'!$B$4:$K$1001,8,0),"")</f>
        <v/>
      </c>
      <c r="I814" s="32" t="str">
        <f t="shared" si="22"/>
        <v/>
      </c>
      <c r="K814" s="127" t="str">
        <f t="shared" si="21"/>
        <v/>
      </c>
    </row>
    <row r="815" spans="2:11" x14ac:dyDescent="0.3">
      <c r="B815" s="197"/>
      <c r="C815" s="198"/>
      <c r="D815" s="197"/>
      <c r="E815" s="212"/>
      <c r="F815" s="29" t="str">
        <f>IFERROR(VLOOKUP(E815,'Inventaire des produits'!$B$4:$K$1001,2,0),"")</f>
        <v/>
      </c>
      <c r="G815" s="212"/>
      <c r="H815" s="30" t="str">
        <f>IFERROR(VLOOKUP(E815,'Inventaire des produits'!$B$4:$K$1001,8,0),"")</f>
        <v/>
      </c>
      <c r="I815" s="32" t="str">
        <f t="shared" si="22"/>
        <v/>
      </c>
      <c r="K815" s="127" t="str">
        <f t="shared" si="21"/>
        <v/>
      </c>
    </row>
    <row r="816" spans="2:11" x14ac:dyDescent="0.3">
      <c r="B816" s="197"/>
      <c r="C816" s="198"/>
      <c r="D816" s="197"/>
      <c r="E816" s="212"/>
      <c r="F816" s="29" t="str">
        <f>IFERROR(VLOOKUP(E816,'Inventaire des produits'!$B$4:$K$1001,2,0),"")</f>
        <v/>
      </c>
      <c r="G816" s="212"/>
      <c r="H816" s="30" t="str">
        <f>IFERROR(VLOOKUP(E816,'Inventaire des produits'!$B$4:$K$1001,8,0),"")</f>
        <v/>
      </c>
      <c r="I816" s="32" t="str">
        <f t="shared" si="22"/>
        <v/>
      </c>
      <c r="K816" s="127" t="str">
        <f t="shared" si="21"/>
        <v/>
      </c>
    </row>
    <row r="817" spans="2:11" x14ac:dyDescent="0.3">
      <c r="B817" s="197"/>
      <c r="C817" s="198"/>
      <c r="D817" s="197"/>
      <c r="E817" s="212"/>
      <c r="F817" s="29" t="str">
        <f>IFERROR(VLOOKUP(E817,'Inventaire des produits'!$B$4:$K$1001,2,0),"")</f>
        <v/>
      </c>
      <c r="G817" s="212"/>
      <c r="H817" s="30" t="str">
        <f>IFERROR(VLOOKUP(E817,'Inventaire des produits'!$B$4:$K$1001,8,0),"")</f>
        <v/>
      </c>
      <c r="I817" s="32" t="str">
        <f t="shared" si="22"/>
        <v/>
      </c>
      <c r="K817" s="127" t="str">
        <f t="shared" si="21"/>
        <v/>
      </c>
    </row>
    <row r="818" spans="2:11" x14ac:dyDescent="0.3">
      <c r="B818" s="197"/>
      <c r="C818" s="198"/>
      <c r="D818" s="197"/>
      <c r="E818" s="212"/>
      <c r="F818" s="29" t="str">
        <f>IFERROR(VLOOKUP(E818,'Inventaire des produits'!$B$4:$K$1001,2,0),"")</f>
        <v/>
      </c>
      <c r="G818" s="212"/>
      <c r="H818" s="30" t="str">
        <f>IFERROR(VLOOKUP(E818,'Inventaire des produits'!$B$4:$K$1001,8,0),"")</f>
        <v/>
      </c>
      <c r="I818" s="32" t="str">
        <f t="shared" si="22"/>
        <v/>
      </c>
      <c r="K818" s="127" t="str">
        <f t="shared" si="21"/>
        <v/>
      </c>
    </row>
    <row r="819" spans="2:11" x14ac:dyDescent="0.3">
      <c r="B819" s="197"/>
      <c r="C819" s="198"/>
      <c r="D819" s="197"/>
      <c r="E819" s="212"/>
      <c r="F819" s="29" t="str">
        <f>IFERROR(VLOOKUP(E819,'Inventaire des produits'!$B$4:$K$1001,2,0),"")</f>
        <v/>
      </c>
      <c r="G819" s="212"/>
      <c r="H819" s="30" t="str">
        <f>IFERROR(VLOOKUP(E819,'Inventaire des produits'!$B$4:$K$1001,8,0),"")</f>
        <v/>
      </c>
      <c r="I819" s="32" t="str">
        <f t="shared" si="22"/>
        <v/>
      </c>
      <c r="K819" s="127" t="str">
        <f t="shared" si="21"/>
        <v/>
      </c>
    </row>
    <row r="820" spans="2:11" x14ac:dyDescent="0.3">
      <c r="B820" s="197"/>
      <c r="C820" s="198"/>
      <c r="D820" s="197"/>
      <c r="E820" s="212"/>
      <c r="F820" s="29" t="str">
        <f>IFERROR(VLOOKUP(E820,'Inventaire des produits'!$B$4:$K$1001,2,0),"")</f>
        <v/>
      </c>
      <c r="G820" s="212"/>
      <c r="H820" s="30" t="str">
        <f>IFERROR(VLOOKUP(E820,'Inventaire des produits'!$B$4:$K$1001,8,0),"")</f>
        <v/>
      </c>
      <c r="I820" s="32" t="str">
        <f t="shared" si="22"/>
        <v/>
      </c>
      <c r="K820" s="127" t="str">
        <f t="shared" si="21"/>
        <v/>
      </c>
    </row>
    <row r="821" spans="2:11" x14ac:dyDescent="0.3">
      <c r="B821" s="197"/>
      <c r="C821" s="198"/>
      <c r="D821" s="197"/>
      <c r="E821" s="212"/>
      <c r="F821" s="29" t="str">
        <f>IFERROR(VLOOKUP(E821,'Inventaire des produits'!$B$4:$K$1001,2,0),"")</f>
        <v/>
      </c>
      <c r="G821" s="212"/>
      <c r="H821" s="30" t="str">
        <f>IFERROR(VLOOKUP(E821,'Inventaire des produits'!$B$4:$K$1001,8,0),"")</f>
        <v/>
      </c>
      <c r="I821" s="32" t="str">
        <f t="shared" si="22"/>
        <v/>
      </c>
      <c r="K821" s="127" t="str">
        <f t="shared" si="21"/>
        <v/>
      </c>
    </row>
    <row r="822" spans="2:11" x14ac:dyDescent="0.3">
      <c r="B822" s="197"/>
      <c r="C822" s="198"/>
      <c r="D822" s="197"/>
      <c r="E822" s="212"/>
      <c r="F822" s="29" t="str">
        <f>IFERROR(VLOOKUP(E822,'Inventaire des produits'!$B$4:$K$1001,2,0),"")</f>
        <v/>
      </c>
      <c r="G822" s="212"/>
      <c r="H822" s="30" t="str">
        <f>IFERROR(VLOOKUP(E822,'Inventaire des produits'!$B$4:$K$1001,8,0),"")</f>
        <v/>
      </c>
      <c r="I822" s="32" t="str">
        <f t="shared" si="22"/>
        <v/>
      </c>
      <c r="K822" s="127" t="str">
        <f t="shared" si="21"/>
        <v/>
      </c>
    </row>
    <row r="823" spans="2:11" x14ac:dyDescent="0.3">
      <c r="B823" s="197"/>
      <c r="C823" s="198"/>
      <c r="D823" s="197"/>
      <c r="E823" s="212"/>
      <c r="F823" s="29" t="str">
        <f>IFERROR(VLOOKUP(E823,'Inventaire des produits'!$B$4:$K$1001,2,0),"")</f>
        <v/>
      </c>
      <c r="G823" s="212"/>
      <c r="H823" s="30" t="str">
        <f>IFERROR(VLOOKUP(E823,'Inventaire des produits'!$B$4:$K$1001,8,0),"")</f>
        <v/>
      </c>
      <c r="I823" s="32" t="str">
        <f t="shared" si="22"/>
        <v/>
      </c>
      <c r="K823" s="127" t="str">
        <f t="shared" si="21"/>
        <v/>
      </c>
    </row>
    <row r="824" spans="2:11" x14ac:dyDescent="0.3">
      <c r="B824" s="197"/>
      <c r="C824" s="198"/>
      <c r="D824" s="197"/>
      <c r="E824" s="212"/>
      <c r="F824" s="29" t="str">
        <f>IFERROR(VLOOKUP(E824,'Inventaire des produits'!$B$4:$K$1001,2,0),"")</f>
        <v/>
      </c>
      <c r="G824" s="212"/>
      <c r="H824" s="30" t="str">
        <f>IFERROR(VLOOKUP(E824,'Inventaire des produits'!$B$4:$K$1001,8,0),"")</f>
        <v/>
      </c>
      <c r="I824" s="32" t="str">
        <f t="shared" si="22"/>
        <v/>
      </c>
      <c r="K824" s="127" t="str">
        <f t="shared" si="21"/>
        <v/>
      </c>
    </row>
    <row r="825" spans="2:11" x14ac:dyDescent="0.3">
      <c r="B825" s="197"/>
      <c r="C825" s="198"/>
      <c r="D825" s="197"/>
      <c r="E825" s="212"/>
      <c r="F825" s="29" t="str">
        <f>IFERROR(VLOOKUP(E825,'Inventaire des produits'!$B$4:$K$1001,2,0),"")</f>
        <v/>
      </c>
      <c r="G825" s="212"/>
      <c r="H825" s="30" t="str">
        <f>IFERROR(VLOOKUP(E825,'Inventaire des produits'!$B$4:$K$1001,8,0),"")</f>
        <v/>
      </c>
      <c r="I825" s="32" t="str">
        <f t="shared" si="22"/>
        <v/>
      </c>
      <c r="K825" s="127" t="str">
        <f t="shared" si="21"/>
        <v/>
      </c>
    </row>
    <row r="826" spans="2:11" x14ac:dyDescent="0.3">
      <c r="B826" s="197"/>
      <c r="C826" s="198"/>
      <c r="D826" s="197"/>
      <c r="E826" s="212"/>
      <c r="F826" s="29" t="str">
        <f>IFERROR(VLOOKUP(E826,'Inventaire des produits'!$B$4:$K$1001,2,0),"")</f>
        <v/>
      </c>
      <c r="G826" s="212"/>
      <c r="H826" s="30" t="str">
        <f>IFERROR(VLOOKUP(E826,'Inventaire des produits'!$B$4:$K$1001,8,0),"")</f>
        <v/>
      </c>
      <c r="I826" s="32" t="str">
        <f t="shared" si="22"/>
        <v/>
      </c>
      <c r="K826" s="127" t="str">
        <f t="shared" si="21"/>
        <v/>
      </c>
    </row>
    <row r="827" spans="2:11" x14ac:dyDescent="0.3">
      <c r="B827" s="197"/>
      <c r="C827" s="198"/>
      <c r="D827" s="197"/>
      <c r="E827" s="212"/>
      <c r="F827" s="29" t="str">
        <f>IFERROR(VLOOKUP(E827,'Inventaire des produits'!$B$4:$K$1001,2,0),"")</f>
        <v/>
      </c>
      <c r="G827" s="212"/>
      <c r="H827" s="30" t="str">
        <f>IFERROR(VLOOKUP(E827,'Inventaire des produits'!$B$4:$K$1001,8,0),"")</f>
        <v/>
      </c>
      <c r="I827" s="32" t="str">
        <f t="shared" si="22"/>
        <v/>
      </c>
      <c r="K827" s="127" t="str">
        <f t="shared" si="21"/>
        <v/>
      </c>
    </row>
    <row r="828" spans="2:11" x14ac:dyDescent="0.3">
      <c r="B828" s="197"/>
      <c r="C828" s="198"/>
      <c r="D828" s="197"/>
      <c r="E828" s="212"/>
      <c r="F828" s="29" t="str">
        <f>IFERROR(VLOOKUP(E828,'Inventaire des produits'!$B$4:$K$1001,2,0),"")</f>
        <v/>
      </c>
      <c r="G828" s="212"/>
      <c r="H828" s="30" t="str">
        <f>IFERROR(VLOOKUP(E828,'Inventaire des produits'!$B$4:$K$1001,8,0),"")</f>
        <v/>
      </c>
      <c r="I828" s="32" t="str">
        <f t="shared" si="22"/>
        <v/>
      </c>
      <c r="K828" s="127" t="str">
        <f t="shared" ref="K828:K891" si="23">IF(J828="","",J828*1.2)</f>
        <v/>
      </c>
    </row>
    <row r="829" spans="2:11" x14ac:dyDescent="0.3">
      <c r="B829" s="197"/>
      <c r="C829" s="198"/>
      <c r="D829" s="197"/>
      <c r="E829" s="212"/>
      <c r="F829" s="29" t="str">
        <f>IFERROR(VLOOKUP(E829,'Inventaire des produits'!$B$4:$K$1001,2,0),"")</f>
        <v/>
      </c>
      <c r="G829" s="212"/>
      <c r="H829" s="30" t="str">
        <f>IFERROR(VLOOKUP(E829,'Inventaire des produits'!$B$4:$K$1001,8,0),"")</f>
        <v/>
      </c>
      <c r="I829" s="32" t="str">
        <f t="shared" si="22"/>
        <v/>
      </c>
      <c r="K829" s="127" t="str">
        <f t="shared" si="23"/>
        <v/>
      </c>
    </row>
    <row r="830" spans="2:11" x14ac:dyDescent="0.3">
      <c r="B830" s="197"/>
      <c r="C830" s="198"/>
      <c r="D830" s="197"/>
      <c r="E830" s="212"/>
      <c r="F830" s="29" t="str">
        <f>IFERROR(VLOOKUP(E830,'Inventaire des produits'!$B$4:$K$1001,2,0),"")</f>
        <v/>
      </c>
      <c r="G830" s="212"/>
      <c r="H830" s="30" t="str">
        <f>IFERROR(VLOOKUP(E830,'Inventaire des produits'!$B$4:$K$1001,8,0),"")</f>
        <v/>
      </c>
      <c r="I830" s="32" t="str">
        <f t="shared" si="22"/>
        <v/>
      </c>
      <c r="K830" s="127" t="str">
        <f t="shared" si="23"/>
        <v/>
      </c>
    </row>
    <row r="831" spans="2:11" x14ac:dyDescent="0.3">
      <c r="B831" s="197"/>
      <c r="C831" s="198"/>
      <c r="D831" s="197"/>
      <c r="E831" s="212"/>
      <c r="F831" s="29" t="str">
        <f>IFERROR(VLOOKUP(E831,'Inventaire des produits'!$B$4:$K$1001,2,0),"")</f>
        <v/>
      </c>
      <c r="G831" s="212"/>
      <c r="H831" s="30" t="str">
        <f>IFERROR(VLOOKUP(E831,'Inventaire des produits'!$B$4:$K$1001,8,0),"")</f>
        <v/>
      </c>
      <c r="I831" s="32" t="str">
        <f t="shared" si="22"/>
        <v/>
      </c>
      <c r="K831" s="127" t="str">
        <f t="shared" si="23"/>
        <v/>
      </c>
    </row>
    <row r="832" spans="2:11" x14ac:dyDescent="0.3">
      <c r="B832" s="197"/>
      <c r="C832" s="198"/>
      <c r="D832" s="197"/>
      <c r="E832" s="212"/>
      <c r="F832" s="29" t="str">
        <f>IFERROR(VLOOKUP(E832,'Inventaire des produits'!$B$4:$K$1001,2,0),"")</f>
        <v/>
      </c>
      <c r="G832" s="212"/>
      <c r="H832" s="30" t="str">
        <f>IFERROR(VLOOKUP(E832,'Inventaire des produits'!$B$4:$K$1001,8,0),"")</f>
        <v/>
      </c>
      <c r="I832" s="32" t="str">
        <f t="shared" si="22"/>
        <v/>
      </c>
      <c r="K832" s="127" t="str">
        <f t="shared" si="23"/>
        <v/>
      </c>
    </row>
    <row r="833" spans="2:11" x14ac:dyDescent="0.3">
      <c r="B833" s="197"/>
      <c r="C833" s="198"/>
      <c r="D833" s="197"/>
      <c r="E833" s="212"/>
      <c r="F833" s="29" t="str">
        <f>IFERROR(VLOOKUP(E833,'Inventaire des produits'!$B$4:$K$1001,2,0),"")</f>
        <v/>
      </c>
      <c r="G833" s="212"/>
      <c r="H833" s="30" t="str">
        <f>IFERROR(VLOOKUP(E833,'Inventaire des produits'!$B$4:$K$1001,8,0),"")</f>
        <v/>
      </c>
      <c r="I833" s="32" t="str">
        <f t="shared" si="22"/>
        <v/>
      </c>
      <c r="K833" s="127" t="str">
        <f t="shared" si="23"/>
        <v/>
      </c>
    </row>
    <row r="834" spans="2:11" x14ac:dyDescent="0.3">
      <c r="B834" s="197"/>
      <c r="C834" s="198"/>
      <c r="D834" s="197"/>
      <c r="E834" s="212"/>
      <c r="F834" s="29" t="str">
        <f>IFERROR(VLOOKUP(E834,'Inventaire des produits'!$B$4:$K$1001,2,0),"")</f>
        <v/>
      </c>
      <c r="G834" s="212"/>
      <c r="H834" s="30" t="str">
        <f>IFERROR(VLOOKUP(E834,'Inventaire des produits'!$B$4:$K$1001,8,0),"")</f>
        <v/>
      </c>
      <c r="I834" s="32" t="str">
        <f t="shared" ref="I834:I897" si="24">IF(OR(G834="",H834=""),"",G834*H834)</f>
        <v/>
      </c>
      <c r="K834" s="127" t="str">
        <f t="shared" si="23"/>
        <v/>
      </c>
    </row>
    <row r="835" spans="2:11" x14ac:dyDescent="0.3">
      <c r="B835" s="197"/>
      <c r="C835" s="198"/>
      <c r="D835" s="197"/>
      <c r="E835" s="212"/>
      <c r="F835" s="29" t="str">
        <f>IFERROR(VLOOKUP(E835,'Inventaire des produits'!$B$4:$K$1001,2,0),"")</f>
        <v/>
      </c>
      <c r="G835" s="212"/>
      <c r="H835" s="30" t="str">
        <f>IFERROR(VLOOKUP(E835,'Inventaire des produits'!$B$4:$K$1001,8,0),"")</f>
        <v/>
      </c>
      <c r="I835" s="32" t="str">
        <f t="shared" si="24"/>
        <v/>
      </c>
      <c r="K835" s="127" t="str">
        <f t="shared" si="23"/>
        <v/>
      </c>
    </row>
    <row r="836" spans="2:11" x14ac:dyDescent="0.3">
      <c r="B836" s="197"/>
      <c r="C836" s="198"/>
      <c r="D836" s="197"/>
      <c r="E836" s="212"/>
      <c r="F836" s="29" t="str">
        <f>IFERROR(VLOOKUP(E836,'Inventaire des produits'!$B$4:$K$1001,2,0),"")</f>
        <v/>
      </c>
      <c r="G836" s="212"/>
      <c r="H836" s="30" t="str">
        <f>IFERROR(VLOOKUP(E836,'Inventaire des produits'!$B$4:$K$1001,8,0),"")</f>
        <v/>
      </c>
      <c r="I836" s="32" t="str">
        <f t="shared" si="24"/>
        <v/>
      </c>
      <c r="K836" s="127" t="str">
        <f t="shared" si="23"/>
        <v/>
      </c>
    </row>
    <row r="837" spans="2:11" x14ac:dyDescent="0.3">
      <c r="B837" s="197"/>
      <c r="C837" s="198"/>
      <c r="D837" s="197"/>
      <c r="E837" s="212"/>
      <c r="F837" s="29" t="str">
        <f>IFERROR(VLOOKUP(E837,'Inventaire des produits'!$B$4:$K$1001,2,0),"")</f>
        <v/>
      </c>
      <c r="G837" s="212"/>
      <c r="H837" s="30" t="str">
        <f>IFERROR(VLOOKUP(E837,'Inventaire des produits'!$B$4:$K$1001,8,0),"")</f>
        <v/>
      </c>
      <c r="I837" s="32" t="str">
        <f t="shared" si="24"/>
        <v/>
      </c>
      <c r="K837" s="127" t="str">
        <f t="shared" si="23"/>
        <v/>
      </c>
    </row>
    <row r="838" spans="2:11" x14ac:dyDescent="0.3">
      <c r="B838" s="197"/>
      <c r="C838" s="198"/>
      <c r="D838" s="197"/>
      <c r="E838" s="212"/>
      <c r="F838" s="29" t="str">
        <f>IFERROR(VLOOKUP(E838,'Inventaire des produits'!$B$4:$K$1001,2,0),"")</f>
        <v/>
      </c>
      <c r="G838" s="212"/>
      <c r="H838" s="30" t="str">
        <f>IFERROR(VLOOKUP(E838,'Inventaire des produits'!$B$4:$K$1001,8,0),"")</f>
        <v/>
      </c>
      <c r="I838" s="32" t="str">
        <f t="shared" si="24"/>
        <v/>
      </c>
      <c r="K838" s="127" t="str">
        <f t="shared" si="23"/>
        <v/>
      </c>
    </row>
    <row r="839" spans="2:11" x14ac:dyDescent="0.3">
      <c r="B839" s="197"/>
      <c r="C839" s="198"/>
      <c r="D839" s="197"/>
      <c r="E839" s="212"/>
      <c r="F839" s="29" t="str">
        <f>IFERROR(VLOOKUP(E839,'Inventaire des produits'!$B$4:$K$1001,2,0),"")</f>
        <v/>
      </c>
      <c r="G839" s="212"/>
      <c r="H839" s="30" t="str">
        <f>IFERROR(VLOOKUP(E839,'Inventaire des produits'!$B$4:$K$1001,8,0),"")</f>
        <v/>
      </c>
      <c r="I839" s="32" t="str">
        <f t="shared" si="24"/>
        <v/>
      </c>
      <c r="K839" s="127" t="str">
        <f t="shared" si="23"/>
        <v/>
      </c>
    </row>
    <row r="840" spans="2:11" x14ac:dyDescent="0.3">
      <c r="B840" s="197"/>
      <c r="C840" s="198"/>
      <c r="D840" s="197"/>
      <c r="E840" s="212"/>
      <c r="F840" s="29" t="str">
        <f>IFERROR(VLOOKUP(E840,'Inventaire des produits'!$B$4:$K$1001,2,0),"")</f>
        <v/>
      </c>
      <c r="G840" s="212"/>
      <c r="H840" s="30" t="str">
        <f>IFERROR(VLOOKUP(E840,'Inventaire des produits'!$B$4:$K$1001,8,0),"")</f>
        <v/>
      </c>
      <c r="I840" s="32" t="str">
        <f t="shared" si="24"/>
        <v/>
      </c>
      <c r="K840" s="127" t="str">
        <f t="shared" si="23"/>
        <v/>
      </c>
    </row>
    <row r="841" spans="2:11" x14ac:dyDescent="0.3">
      <c r="B841" s="197"/>
      <c r="C841" s="198"/>
      <c r="D841" s="197"/>
      <c r="E841" s="212"/>
      <c r="F841" s="29" t="str">
        <f>IFERROR(VLOOKUP(E841,'Inventaire des produits'!$B$4:$K$1001,2,0),"")</f>
        <v/>
      </c>
      <c r="G841" s="212"/>
      <c r="H841" s="30" t="str">
        <f>IFERROR(VLOOKUP(E841,'Inventaire des produits'!$B$4:$K$1001,8,0),"")</f>
        <v/>
      </c>
      <c r="I841" s="32" t="str">
        <f t="shared" si="24"/>
        <v/>
      </c>
      <c r="K841" s="127" t="str">
        <f t="shared" si="23"/>
        <v/>
      </c>
    </row>
    <row r="842" spans="2:11" x14ac:dyDescent="0.3">
      <c r="B842" s="197"/>
      <c r="C842" s="198"/>
      <c r="D842" s="197"/>
      <c r="E842" s="212"/>
      <c r="F842" s="29" t="str">
        <f>IFERROR(VLOOKUP(E842,'Inventaire des produits'!$B$4:$K$1001,2,0),"")</f>
        <v/>
      </c>
      <c r="G842" s="212"/>
      <c r="H842" s="30" t="str">
        <f>IFERROR(VLOOKUP(E842,'Inventaire des produits'!$B$4:$K$1001,8,0),"")</f>
        <v/>
      </c>
      <c r="I842" s="32" t="str">
        <f t="shared" si="24"/>
        <v/>
      </c>
      <c r="K842" s="127" t="str">
        <f t="shared" si="23"/>
        <v/>
      </c>
    </row>
    <row r="843" spans="2:11" x14ac:dyDescent="0.3">
      <c r="B843" s="197"/>
      <c r="C843" s="198"/>
      <c r="D843" s="197"/>
      <c r="E843" s="212"/>
      <c r="F843" s="29" t="str">
        <f>IFERROR(VLOOKUP(E843,'Inventaire des produits'!$B$4:$K$1001,2,0),"")</f>
        <v/>
      </c>
      <c r="G843" s="212"/>
      <c r="H843" s="30" t="str">
        <f>IFERROR(VLOOKUP(E843,'Inventaire des produits'!$B$4:$K$1001,8,0),"")</f>
        <v/>
      </c>
      <c r="I843" s="32" t="str">
        <f t="shared" si="24"/>
        <v/>
      </c>
      <c r="K843" s="127" t="str">
        <f t="shared" si="23"/>
        <v/>
      </c>
    </row>
    <row r="844" spans="2:11" x14ac:dyDescent="0.3">
      <c r="B844" s="197"/>
      <c r="C844" s="198"/>
      <c r="D844" s="197"/>
      <c r="E844" s="212"/>
      <c r="F844" s="29" t="str">
        <f>IFERROR(VLOOKUP(E844,'Inventaire des produits'!$B$4:$K$1001,2,0),"")</f>
        <v/>
      </c>
      <c r="G844" s="212"/>
      <c r="H844" s="30" t="str">
        <f>IFERROR(VLOOKUP(E844,'Inventaire des produits'!$B$4:$K$1001,8,0),"")</f>
        <v/>
      </c>
      <c r="I844" s="32" t="str">
        <f t="shared" si="24"/>
        <v/>
      </c>
      <c r="K844" s="127" t="str">
        <f t="shared" si="23"/>
        <v/>
      </c>
    </row>
    <row r="845" spans="2:11" x14ac:dyDescent="0.3">
      <c r="B845" s="197"/>
      <c r="C845" s="198"/>
      <c r="D845" s="197"/>
      <c r="E845" s="212"/>
      <c r="F845" s="29" t="str">
        <f>IFERROR(VLOOKUP(E845,'Inventaire des produits'!$B$4:$K$1001,2,0),"")</f>
        <v/>
      </c>
      <c r="G845" s="212"/>
      <c r="H845" s="30" t="str">
        <f>IFERROR(VLOOKUP(E845,'Inventaire des produits'!$B$4:$K$1001,8,0),"")</f>
        <v/>
      </c>
      <c r="I845" s="32" t="str">
        <f t="shared" si="24"/>
        <v/>
      </c>
      <c r="K845" s="127" t="str">
        <f t="shared" si="23"/>
        <v/>
      </c>
    </row>
    <row r="846" spans="2:11" x14ac:dyDescent="0.3">
      <c r="B846" s="197"/>
      <c r="C846" s="198"/>
      <c r="D846" s="197"/>
      <c r="E846" s="212"/>
      <c r="F846" s="29" t="str">
        <f>IFERROR(VLOOKUP(E846,'Inventaire des produits'!$B$4:$K$1001,2,0),"")</f>
        <v/>
      </c>
      <c r="G846" s="212"/>
      <c r="H846" s="30" t="str">
        <f>IFERROR(VLOOKUP(E846,'Inventaire des produits'!$B$4:$K$1001,8,0),"")</f>
        <v/>
      </c>
      <c r="I846" s="32" t="str">
        <f t="shared" si="24"/>
        <v/>
      </c>
      <c r="K846" s="127" t="str">
        <f t="shared" si="23"/>
        <v/>
      </c>
    </row>
    <row r="847" spans="2:11" x14ac:dyDescent="0.3">
      <c r="B847" s="197"/>
      <c r="C847" s="198"/>
      <c r="D847" s="197"/>
      <c r="E847" s="212"/>
      <c r="F847" s="29" t="str">
        <f>IFERROR(VLOOKUP(E847,'Inventaire des produits'!$B$4:$K$1001,2,0),"")</f>
        <v/>
      </c>
      <c r="G847" s="212"/>
      <c r="H847" s="30" t="str">
        <f>IFERROR(VLOOKUP(E847,'Inventaire des produits'!$B$4:$K$1001,8,0),"")</f>
        <v/>
      </c>
      <c r="I847" s="32" t="str">
        <f t="shared" si="24"/>
        <v/>
      </c>
      <c r="K847" s="127" t="str">
        <f t="shared" si="23"/>
        <v/>
      </c>
    </row>
    <row r="848" spans="2:11" x14ac:dyDescent="0.3">
      <c r="B848" s="197"/>
      <c r="C848" s="198"/>
      <c r="D848" s="197"/>
      <c r="E848" s="212"/>
      <c r="F848" s="29" t="str">
        <f>IFERROR(VLOOKUP(E848,'Inventaire des produits'!$B$4:$K$1001,2,0),"")</f>
        <v/>
      </c>
      <c r="G848" s="212"/>
      <c r="H848" s="30" t="str">
        <f>IFERROR(VLOOKUP(E848,'Inventaire des produits'!$B$4:$K$1001,8,0),"")</f>
        <v/>
      </c>
      <c r="I848" s="32" t="str">
        <f t="shared" si="24"/>
        <v/>
      </c>
      <c r="K848" s="127" t="str">
        <f t="shared" si="23"/>
        <v/>
      </c>
    </row>
    <row r="849" spans="2:11" x14ac:dyDescent="0.3">
      <c r="B849" s="197"/>
      <c r="C849" s="198"/>
      <c r="D849" s="197"/>
      <c r="E849" s="212"/>
      <c r="F849" s="29" t="str">
        <f>IFERROR(VLOOKUP(E849,'Inventaire des produits'!$B$4:$K$1001,2,0),"")</f>
        <v/>
      </c>
      <c r="G849" s="212"/>
      <c r="H849" s="30" t="str">
        <f>IFERROR(VLOOKUP(E849,'Inventaire des produits'!$B$4:$K$1001,8,0),"")</f>
        <v/>
      </c>
      <c r="I849" s="32" t="str">
        <f t="shared" si="24"/>
        <v/>
      </c>
      <c r="K849" s="127" t="str">
        <f t="shared" si="23"/>
        <v/>
      </c>
    </row>
    <row r="850" spans="2:11" x14ac:dyDescent="0.3">
      <c r="B850" s="197"/>
      <c r="C850" s="198"/>
      <c r="D850" s="197"/>
      <c r="E850" s="212"/>
      <c r="F850" s="29" t="str">
        <f>IFERROR(VLOOKUP(E850,'Inventaire des produits'!$B$4:$K$1001,2,0),"")</f>
        <v/>
      </c>
      <c r="G850" s="212"/>
      <c r="H850" s="30" t="str">
        <f>IFERROR(VLOOKUP(E850,'Inventaire des produits'!$B$4:$K$1001,8,0),"")</f>
        <v/>
      </c>
      <c r="I850" s="32" t="str">
        <f t="shared" si="24"/>
        <v/>
      </c>
      <c r="K850" s="127" t="str">
        <f t="shared" si="23"/>
        <v/>
      </c>
    </row>
    <row r="851" spans="2:11" x14ac:dyDescent="0.3">
      <c r="B851" s="197"/>
      <c r="C851" s="198"/>
      <c r="D851" s="197"/>
      <c r="E851" s="212"/>
      <c r="F851" s="29" t="str">
        <f>IFERROR(VLOOKUP(E851,'Inventaire des produits'!$B$4:$K$1001,2,0),"")</f>
        <v/>
      </c>
      <c r="G851" s="212"/>
      <c r="H851" s="30" t="str">
        <f>IFERROR(VLOOKUP(E851,'Inventaire des produits'!$B$4:$K$1001,8,0),"")</f>
        <v/>
      </c>
      <c r="I851" s="32" t="str">
        <f t="shared" si="24"/>
        <v/>
      </c>
      <c r="K851" s="127" t="str">
        <f t="shared" si="23"/>
        <v/>
      </c>
    </row>
    <row r="852" spans="2:11" x14ac:dyDescent="0.3">
      <c r="B852" s="197"/>
      <c r="C852" s="198"/>
      <c r="D852" s="197"/>
      <c r="E852" s="212"/>
      <c r="F852" s="29" t="str">
        <f>IFERROR(VLOOKUP(E852,'Inventaire des produits'!$B$4:$K$1001,2,0),"")</f>
        <v/>
      </c>
      <c r="G852" s="212"/>
      <c r="H852" s="30" t="str">
        <f>IFERROR(VLOOKUP(E852,'Inventaire des produits'!$B$4:$K$1001,8,0),"")</f>
        <v/>
      </c>
      <c r="I852" s="32" t="str">
        <f t="shared" si="24"/>
        <v/>
      </c>
      <c r="K852" s="127" t="str">
        <f t="shared" si="23"/>
        <v/>
      </c>
    </row>
    <row r="853" spans="2:11" x14ac:dyDescent="0.3">
      <c r="B853" s="197"/>
      <c r="C853" s="198"/>
      <c r="D853" s="197"/>
      <c r="E853" s="212"/>
      <c r="F853" s="29" t="str">
        <f>IFERROR(VLOOKUP(E853,'Inventaire des produits'!$B$4:$K$1001,2,0),"")</f>
        <v/>
      </c>
      <c r="G853" s="212"/>
      <c r="H853" s="30" t="str">
        <f>IFERROR(VLOOKUP(E853,'Inventaire des produits'!$B$4:$K$1001,8,0),"")</f>
        <v/>
      </c>
      <c r="I853" s="32" t="str">
        <f t="shared" si="24"/>
        <v/>
      </c>
      <c r="K853" s="127" t="str">
        <f t="shared" si="23"/>
        <v/>
      </c>
    </row>
    <row r="854" spans="2:11" x14ac:dyDescent="0.3">
      <c r="B854" s="197"/>
      <c r="C854" s="198"/>
      <c r="D854" s="197"/>
      <c r="E854" s="212"/>
      <c r="F854" s="29" t="str">
        <f>IFERROR(VLOOKUP(E854,'Inventaire des produits'!$B$4:$K$1001,2,0),"")</f>
        <v/>
      </c>
      <c r="G854" s="212"/>
      <c r="H854" s="30" t="str">
        <f>IFERROR(VLOOKUP(E854,'Inventaire des produits'!$B$4:$K$1001,8,0),"")</f>
        <v/>
      </c>
      <c r="I854" s="32" t="str">
        <f t="shared" si="24"/>
        <v/>
      </c>
      <c r="K854" s="127" t="str">
        <f t="shared" si="23"/>
        <v/>
      </c>
    </row>
    <row r="855" spans="2:11" x14ac:dyDescent="0.3">
      <c r="B855" s="197"/>
      <c r="C855" s="198"/>
      <c r="D855" s="197"/>
      <c r="E855" s="212"/>
      <c r="F855" s="29" t="str">
        <f>IFERROR(VLOOKUP(E855,'Inventaire des produits'!$B$4:$K$1001,2,0),"")</f>
        <v/>
      </c>
      <c r="G855" s="212"/>
      <c r="H855" s="30" t="str">
        <f>IFERROR(VLOOKUP(E855,'Inventaire des produits'!$B$4:$K$1001,8,0),"")</f>
        <v/>
      </c>
      <c r="I855" s="32" t="str">
        <f t="shared" si="24"/>
        <v/>
      </c>
      <c r="K855" s="127" t="str">
        <f t="shared" si="23"/>
        <v/>
      </c>
    </row>
    <row r="856" spans="2:11" x14ac:dyDescent="0.3">
      <c r="B856" s="197"/>
      <c r="C856" s="198"/>
      <c r="D856" s="197"/>
      <c r="E856" s="212"/>
      <c r="F856" s="29" t="str">
        <f>IFERROR(VLOOKUP(E856,'Inventaire des produits'!$B$4:$K$1001,2,0),"")</f>
        <v/>
      </c>
      <c r="G856" s="212"/>
      <c r="H856" s="30" t="str">
        <f>IFERROR(VLOOKUP(E856,'Inventaire des produits'!$B$4:$K$1001,8,0),"")</f>
        <v/>
      </c>
      <c r="I856" s="32" t="str">
        <f t="shared" si="24"/>
        <v/>
      </c>
      <c r="K856" s="127" t="str">
        <f t="shared" si="23"/>
        <v/>
      </c>
    </row>
    <row r="857" spans="2:11" x14ac:dyDescent="0.3">
      <c r="B857" s="197"/>
      <c r="C857" s="198"/>
      <c r="D857" s="197"/>
      <c r="E857" s="212"/>
      <c r="F857" s="29" t="str">
        <f>IFERROR(VLOOKUP(E857,'Inventaire des produits'!$B$4:$K$1001,2,0),"")</f>
        <v/>
      </c>
      <c r="G857" s="212"/>
      <c r="H857" s="30" t="str">
        <f>IFERROR(VLOOKUP(E857,'Inventaire des produits'!$B$4:$K$1001,8,0),"")</f>
        <v/>
      </c>
      <c r="I857" s="32" t="str">
        <f t="shared" si="24"/>
        <v/>
      </c>
      <c r="K857" s="127" t="str">
        <f t="shared" si="23"/>
        <v/>
      </c>
    </row>
    <row r="858" spans="2:11" x14ac:dyDescent="0.3">
      <c r="B858" s="197"/>
      <c r="C858" s="198"/>
      <c r="D858" s="197"/>
      <c r="E858" s="212"/>
      <c r="F858" s="29" t="str">
        <f>IFERROR(VLOOKUP(E858,'Inventaire des produits'!$B$4:$K$1001,2,0),"")</f>
        <v/>
      </c>
      <c r="G858" s="212"/>
      <c r="H858" s="30" t="str">
        <f>IFERROR(VLOOKUP(E858,'Inventaire des produits'!$B$4:$K$1001,8,0),"")</f>
        <v/>
      </c>
      <c r="I858" s="32" t="str">
        <f t="shared" si="24"/>
        <v/>
      </c>
      <c r="K858" s="127" t="str">
        <f t="shared" si="23"/>
        <v/>
      </c>
    </row>
    <row r="859" spans="2:11" x14ac:dyDescent="0.3">
      <c r="B859" s="197"/>
      <c r="C859" s="198"/>
      <c r="D859" s="197"/>
      <c r="E859" s="212"/>
      <c r="F859" s="29" t="str">
        <f>IFERROR(VLOOKUP(E859,'Inventaire des produits'!$B$4:$K$1001,2,0),"")</f>
        <v/>
      </c>
      <c r="G859" s="212"/>
      <c r="H859" s="30" t="str">
        <f>IFERROR(VLOOKUP(E859,'Inventaire des produits'!$B$4:$K$1001,8,0),"")</f>
        <v/>
      </c>
      <c r="I859" s="32" t="str">
        <f t="shared" si="24"/>
        <v/>
      </c>
      <c r="K859" s="127" t="str">
        <f t="shared" si="23"/>
        <v/>
      </c>
    </row>
    <row r="860" spans="2:11" x14ac:dyDescent="0.3">
      <c r="B860" s="197"/>
      <c r="C860" s="198"/>
      <c r="D860" s="197"/>
      <c r="E860" s="212"/>
      <c r="F860" s="29" t="str">
        <f>IFERROR(VLOOKUP(E860,'Inventaire des produits'!$B$4:$K$1001,2,0),"")</f>
        <v/>
      </c>
      <c r="G860" s="212"/>
      <c r="H860" s="30" t="str">
        <f>IFERROR(VLOOKUP(E860,'Inventaire des produits'!$B$4:$K$1001,8,0),"")</f>
        <v/>
      </c>
      <c r="I860" s="32" t="str">
        <f t="shared" si="24"/>
        <v/>
      </c>
      <c r="K860" s="127" t="str">
        <f t="shared" si="23"/>
        <v/>
      </c>
    </row>
    <row r="861" spans="2:11" x14ac:dyDescent="0.3">
      <c r="B861" s="197"/>
      <c r="C861" s="198"/>
      <c r="D861" s="197"/>
      <c r="E861" s="212"/>
      <c r="F861" s="29" t="str">
        <f>IFERROR(VLOOKUP(E861,'Inventaire des produits'!$B$4:$K$1001,2,0),"")</f>
        <v/>
      </c>
      <c r="G861" s="212"/>
      <c r="H861" s="30" t="str">
        <f>IFERROR(VLOOKUP(E861,'Inventaire des produits'!$B$4:$K$1001,8,0),"")</f>
        <v/>
      </c>
      <c r="I861" s="32" t="str">
        <f t="shared" si="24"/>
        <v/>
      </c>
      <c r="K861" s="127" t="str">
        <f t="shared" si="23"/>
        <v/>
      </c>
    </row>
    <row r="862" spans="2:11" x14ac:dyDescent="0.3">
      <c r="B862" s="197"/>
      <c r="C862" s="198"/>
      <c r="D862" s="197"/>
      <c r="E862" s="212"/>
      <c r="F862" s="29" t="str">
        <f>IFERROR(VLOOKUP(E862,'Inventaire des produits'!$B$4:$K$1001,2,0),"")</f>
        <v/>
      </c>
      <c r="G862" s="212"/>
      <c r="H862" s="30" t="str">
        <f>IFERROR(VLOOKUP(E862,'Inventaire des produits'!$B$4:$K$1001,8,0),"")</f>
        <v/>
      </c>
      <c r="I862" s="32" t="str">
        <f t="shared" si="24"/>
        <v/>
      </c>
      <c r="K862" s="127" t="str">
        <f t="shared" si="23"/>
        <v/>
      </c>
    </row>
    <row r="863" spans="2:11" x14ac:dyDescent="0.3">
      <c r="B863" s="197"/>
      <c r="C863" s="198"/>
      <c r="D863" s="197"/>
      <c r="E863" s="212"/>
      <c r="F863" s="29" t="str">
        <f>IFERROR(VLOOKUP(E863,'Inventaire des produits'!$B$4:$K$1001,2,0),"")</f>
        <v/>
      </c>
      <c r="G863" s="212"/>
      <c r="H863" s="30" t="str">
        <f>IFERROR(VLOOKUP(E863,'Inventaire des produits'!$B$4:$K$1001,8,0),"")</f>
        <v/>
      </c>
      <c r="I863" s="32" t="str">
        <f t="shared" si="24"/>
        <v/>
      </c>
      <c r="K863" s="127" t="str">
        <f t="shared" si="23"/>
        <v/>
      </c>
    </row>
    <row r="864" spans="2:11" x14ac:dyDescent="0.3">
      <c r="B864" s="197"/>
      <c r="C864" s="198"/>
      <c r="D864" s="197"/>
      <c r="E864" s="212"/>
      <c r="F864" s="29" t="str">
        <f>IFERROR(VLOOKUP(E864,'Inventaire des produits'!$B$4:$K$1001,2,0),"")</f>
        <v/>
      </c>
      <c r="G864" s="212"/>
      <c r="H864" s="30" t="str">
        <f>IFERROR(VLOOKUP(E864,'Inventaire des produits'!$B$4:$K$1001,8,0),"")</f>
        <v/>
      </c>
      <c r="I864" s="32" t="str">
        <f t="shared" si="24"/>
        <v/>
      </c>
      <c r="K864" s="127" t="str">
        <f t="shared" si="23"/>
        <v/>
      </c>
    </row>
    <row r="865" spans="2:11" x14ac:dyDescent="0.3">
      <c r="B865" s="197"/>
      <c r="C865" s="198"/>
      <c r="D865" s="197"/>
      <c r="E865" s="212"/>
      <c r="F865" s="29" t="str">
        <f>IFERROR(VLOOKUP(E865,'Inventaire des produits'!$B$4:$K$1001,2,0),"")</f>
        <v/>
      </c>
      <c r="G865" s="212"/>
      <c r="H865" s="30" t="str">
        <f>IFERROR(VLOOKUP(E865,'Inventaire des produits'!$B$4:$K$1001,8,0),"")</f>
        <v/>
      </c>
      <c r="I865" s="32" t="str">
        <f t="shared" si="24"/>
        <v/>
      </c>
      <c r="K865" s="127" t="str">
        <f t="shared" si="23"/>
        <v/>
      </c>
    </row>
    <row r="866" spans="2:11" x14ac:dyDescent="0.3">
      <c r="B866" s="197"/>
      <c r="C866" s="198"/>
      <c r="D866" s="197"/>
      <c r="E866" s="212"/>
      <c r="F866" s="29" t="str">
        <f>IFERROR(VLOOKUP(E866,'Inventaire des produits'!$B$4:$K$1001,2,0),"")</f>
        <v/>
      </c>
      <c r="G866" s="212"/>
      <c r="H866" s="30" t="str">
        <f>IFERROR(VLOOKUP(E866,'Inventaire des produits'!$B$4:$K$1001,8,0),"")</f>
        <v/>
      </c>
      <c r="I866" s="32" t="str">
        <f t="shared" si="24"/>
        <v/>
      </c>
      <c r="K866" s="127" t="str">
        <f t="shared" si="23"/>
        <v/>
      </c>
    </row>
    <row r="867" spans="2:11" x14ac:dyDescent="0.3">
      <c r="B867" s="197"/>
      <c r="C867" s="198"/>
      <c r="D867" s="197"/>
      <c r="E867" s="212"/>
      <c r="F867" s="29" t="str">
        <f>IFERROR(VLOOKUP(E867,'Inventaire des produits'!$B$4:$K$1001,2,0),"")</f>
        <v/>
      </c>
      <c r="G867" s="212"/>
      <c r="H867" s="30" t="str">
        <f>IFERROR(VLOOKUP(E867,'Inventaire des produits'!$B$4:$K$1001,8,0),"")</f>
        <v/>
      </c>
      <c r="I867" s="32" t="str">
        <f t="shared" si="24"/>
        <v/>
      </c>
      <c r="K867" s="127" t="str">
        <f t="shared" si="23"/>
        <v/>
      </c>
    </row>
    <row r="868" spans="2:11" x14ac:dyDescent="0.3">
      <c r="B868" s="197"/>
      <c r="C868" s="198"/>
      <c r="D868" s="197"/>
      <c r="E868" s="212"/>
      <c r="F868" s="29" t="str">
        <f>IFERROR(VLOOKUP(E868,'Inventaire des produits'!$B$4:$K$1001,2,0),"")</f>
        <v/>
      </c>
      <c r="G868" s="212"/>
      <c r="H868" s="30" t="str">
        <f>IFERROR(VLOOKUP(E868,'Inventaire des produits'!$B$4:$K$1001,8,0),"")</f>
        <v/>
      </c>
      <c r="I868" s="32" t="str">
        <f t="shared" si="24"/>
        <v/>
      </c>
      <c r="K868" s="127" t="str">
        <f t="shared" si="23"/>
        <v/>
      </c>
    </row>
    <row r="869" spans="2:11" x14ac:dyDescent="0.3">
      <c r="B869" s="197"/>
      <c r="C869" s="198"/>
      <c r="D869" s="197"/>
      <c r="E869" s="212"/>
      <c r="F869" s="29" t="str">
        <f>IFERROR(VLOOKUP(E869,'Inventaire des produits'!$B$4:$K$1001,2,0),"")</f>
        <v/>
      </c>
      <c r="G869" s="212"/>
      <c r="H869" s="30" t="str">
        <f>IFERROR(VLOOKUP(E869,'Inventaire des produits'!$B$4:$K$1001,8,0),"")</f>
        <v/>
      </c>
      <c r="I869" s="32" t="str">
        <f t="shared" si="24"/>
        <v/>
      </c>
      <c r="K869" s="127" t="str">
        <f t="shared" si="23"/>
        <v/>
      </c>
    </row>
    <row r="870" spans="2:11" x14ac:dyDescent="0.3">
      <c r="B870" s="197"/>
      <c r="C870" s="198"/>
      <c r="D870" s="197"/>
      <c r="E870" s="212"/>
      <c r="F870" s="29" t="str">
        <f>IFERROR(VLOOKUP(E870,'Inventaire des produits'!$B$4:$K$1001,2,0),"")</f>
        <v/>
      </c>
      <c r="G870" s="212"/>
      <c r="H870" s="30" t="str">
        <f>IFERROR(VLOOKUP(E870,'Inventaire des produits'!$B$4:$K$1001,8,0),"")</f>
        <v/>
      </c>
      <c r="I870" s="32" t="str">
        <f t="shared" si="24"/>
        <v/>
      </c>
      <c r="K870" s="127" t="str">
        <f t="shared" si="23"/>
        <v/>
      </c>
    </row>
    <row r="871" spans="2:11" x14ac:dyDescent="0.3">
      <c r="B871" s="197"/>
      <c r="C871" s="198"/>
      <c r="D871" s="197"/>
      <c r="E871" s="212"/>
      <c r="F871" s="29" t="str">
        <f>IFERROR(VLOOKUP(E871,'Inventaire des produits'!$B$4:$K$1001,2,0),"")</f>
        <v/>
      </c>
      <c r="G871" s="212"/>
      <c r="H871" s="30" t="str">
        <f>IFERROR(VLOOKUP(E871,'Inventaire des produits'!$B$4:$K$1001,8,0),"")</f>
        <v/>
      </c>
      <c r="I871" s="32" t="str">
        <f t="shared" si="24"/>
        <v/>
      </c>
      <c r="K871" s="127" t="str">
        <f t="shared" si="23"/>
        <v/>
      </c>
    </row>
    <row r="872" spans="2:11" x14ac:dyDescent="0.3">
      <c r="B872" s="197"/>
      <c r="C872" s="198"/>
      <c r="D872" s="197"/>
      <c r="E872" s="212"/>
      <c r="F872" s="29" t="str">
        <f>IFERROR(VLOOKUP(E872,'Inventaire des produits'!$B$4:$K$1001,2,0),"")</f>
        <v/>
      </c>
      <c r="G872" s="212"/>
      <c r="H872" s="30" t="str">
        <f>IFERROR(VLOOKUP(E872,'Inventaire des produits'!$B$4:$K$1001,8,0),"")</f>
        <v/>
      </c>
      <c r="I872" s="32" t="str">
        <f t="shared" si="24"/>
        <v/>
      </c>
      <c r="K872" s="127" t="str">
        <f t="shared" si="23"/>
        <v/>
      </c>
    </row>
    <row r="873" spans="2:11" x14ac:dyDescent="0.3">
      <c r="B873" s="197"/>
      <c r="C873" s="198"/>
      <c r="D873" s="197"/>
      <c r="E873" s="212"/>
      <c r="F873" s="29" t="str">
        <f>IFERROR(VLOOKUP(E873,'Inventaire des produits'!$B$4:$K$1001,2,0),"")</f>
        <v/>
      </c>
      <c r="G873" s="212"/>
      <c r="H873" s="30" t="str">
        <f>IFERROR(VLOOKUP(E873,'Inventaire des produits'!$B$4:$K$1001,8,0),"")</f>
        <v/>
      </c>
      <c r="I873" s="32" t="str">
        <f t="shared" si="24"/>
        <v/>
      </c>
      <c r="K873" s="127" t="str">
        <f t="shared" si="23"/>
        <v/>
      </c>
    </row>
    <row r="874" spans="2:11" x14ac:dyDescent="0.3">
      <c r="B874" s="197"/>
      <c r="C874" s="198"/>
      <c r="D874" s="197"/>
      <c r="E874" s="212"/>
      <c r="F874" s="29" t="str">
        <f>IFERROR(VLOOKUP(E874,'Inventaire des produits'!$B$4:$K$1001,2,0),"")</f>
        <v/>
      </c>
      <c r="G874" s="212"/>
      <c r="H874" s="30" t="str">
        <f>IFERROR(VLOOKUP(E874,'Inventaire des produits'!$B$4:$K$1001,8,0),"")</f>
        <v/>
      </c>
      <c r="I874" s="32" t="str">
        <f t="shared" si="24"/>
        <v/>
      </c>
      <c r="K874" s="127" t="str">
        <f t="shared" si="23"/>
        <v/>
      </c>
    </row>
    <row r="875" spans="2:11" x14ac:dyDescent="0.3">
      <c r="B875" s="197"/>
      <c r="C875" s="198"/>
      <c r="D875" s="197"/>
      <c r="E875" s="212"/>
      <c r="F875" s="29" t="str">
        <f>IFERROR(VLOOKUP(E875,'Inventaire des produits'!$B$4:$K$1001,2,0),"")</f>
        <v/>
      </c>
      <c r="G875" s="212"/>
      <c r="H875" s="30" t="str">
        <f>IFERROR(VLOOKUP(E875,'Inventaire des produits'!$B$4:$K$1001,8,0),"")</f>
        <v/>
      </c>
      <c r="I875" s="32" t="str">
        <f t="shared" si="24"/>
        <v/>
      </c>
      <c r="K875" s="127" t="str">
        <f t="shared" si="23"/>
        <v/>
      </c>
    </row>
    <row r="876" spans="2:11" x14ac:dyDescent="0.3">
      <c r="B876" s="197"/>
      <c r="C876" s="198"/>
      <c r="D876" s="197"/>
      <c r="E876" s="212"/>
      <c r="F876" s="29" t="str">
        <f>IFERROR(VLOOKUP(E876,'Inventaire des produits'!$B$4:$K$1001,2,0),"")</f>
        <v/>
      </c>
      <c r="G876" s="212"/>
      <c r="H876" s="30" t="str">
        <f>IFERROR(VLOOKUP(E876,'Inventaire des produits'!$B$4:$K$1001,8,0),"")</f>
        <v/>
      </c>
      <c r="I876" s="32" t="str">
        <f t="shared" si="24"/>
        <v/>
      </c>
      <c r="K876" s="127" t="str">
        <f t="shared" si="23"/>
        <v/>
      </c>
    </row>
    <row r="877" spans="2:11" x14ac:dyDescent="0.3">
      <c r="B877" s="197"/>
      <c r="C877" s="198"/>
      <c r="D877" s="197"/>
      <c r="E877" s="212"/>
      <c r="F877" s="29" t="str">
        <f>IFERROR(VLOOKUP(E877,'Inventaire des produits'!$B$4:$K$1001,2,0),"")</f>
        <v/>
      </c>
      <c r="G877" s="212"/>
      <c r="H877" s="30" t="str">
        <f>IFERROR(VLOOKUP(E877,'Inventaire des produits'!$B$4:$K$1001,8,0),"")</f>
        <v/>
      </c>
      <c r="I877" s="32" t="str">
        <f t="shared" si="24"/>
        <v/>
      </c>
      <c r="K877" s="127" t="str">
        <f t="shared" si="23"/>
        <v/>
      </c>
    </row>
    <row r="878" spans="2:11" x14ac:dyDescent="0.3">
      <c r="B878" s="197"/>
      <c r="C878" s="198"/>
      <c r="D878" s="197"/>
      <c r="E878" s="212"/>
      <c r="F878" s="29" t="str">
        <f>IFERROR(VLOOKUP(E878,'Inventaire des produits'!$B$4:$K$1001,2,0),"")</f>
        <v/>
      </c>
      <c r="G878" s="212"/>
      <c r="H878" s="30" t="str">
        <f>IFERROR(VLOOKUP(E878,'Inventaire des produits'!$B$4:$K$1001,8,0),"")</f>
        <v/>
      </c>
      <c r="I878" s="32" t="str">
        <f t="shared" si="24"/>
        <v/>
      </c>
      <c r="K878" s="127" t="str">
        <f t="shared" si="23"/>
        <v/>
      </c>
    </row>
    <row r="879" spans="2:11" x14ac:dyDescent="0.3">
      <c r="B879" s="197"/>
      <c r="C879" s="198"/>
      <c r="D879" s="197"/>
      <c r="E879" s="212"/>
      <c r="F879" s="29" t="str">
        <f>IFERROR(VLOOKUP(E879,'Inventaire des produits'!$B$4:$K$1001,2,0),"")</f>
        <v/>
      </c>
      <c r="G879" s="212"/>
      <c r="H879" s="30" t="str">
        <f>IFERROR(VLOOKUP(E879,'Inventaire des produits'!$B$4:$K$1001,8,0),"")</f>
        <v/>
      </c>
      <c r="I879" s="32" t="str">
        <f t="shared" si="24"/>
        <v/>
      </c>
      <c r="K879" s="127" t="str">
        <f t="shared" si="23"/>
        <v/>
      </c>
    </row>
    <row r="880" spans="2:11" x14ac:dyDescent="0.3">
      <c r="B880" s="197"/>
      <c r="C880" s="198"/>
      <c r="D880" s="197"/>
      <c r="E880" s="212"/>
      <c r="F880" s="29" t="str">
        <f>IFERROR(VLOOKUP(E880,'Inventaire des produits'!$B$4:$K$1001,2,0),"")</f>
        <v/>
      </c>
      <c r="G880" s="212"/>
      <c r="H880" s="30" t="str">
        <f>IFERROR(VLOOKUP(E880,'Inventaire des produits'!$B$4:$K$1001,8,0),"")</f>
        <v/>
      </c>
      <c r="I880" s="32" t="str">
        <f t="shared" si="24"/>
        <v/>
      </c>
      <c r="K880" s="127" t="str">
        <f t="shared" si="23"/>
        <v/>
      </c>
    </row>
    <row r="881" spans="2:11" x14ac:dyDescent="0.3">
      <c r="B881" s="197"/>
      <c r="C881" s="198"/>
      <c r="D881" s="197"/>
      <c r="E881" s="212"/>
      <c r="F881" s="29" t="str">
        <f>IFERROR(VLOOKUP(E881,'Inventaire des produits'!$B$4:$K$1001,2,0),"")</f>
        <v/>
      </c>
      <c r="G881" s="212"/>
      <c r="H881" s="30" t="str">
        <f>IFERROR(VLOOKUP(E881,'Inventaire des produits'!$B$4:$K$1001,8,0),"")</f>
        <v/>
      </c>
      <c r="I881" s="32" t="str">
        <f t="shared" si="24"/>
        <v/>
      </c>
      <c r="K881" s="127" t="str">
        <f t="shared" si="23"/>
        <v/>
      </c>
    </row>
    <row r="882" spans="2:11" x14ac:dyDescent="0.3">
      <c r="B882" s="197"/>
      <c r="C882" s="198"/>
      <c r="D882" s="197"/>
      <c r="E882" s="212"/>
      <c r="F882" s="29" t="str">
        <f>IFERROR(VLOOKUP(E882,'Inventaire des produits'!$B$4:$K$1001,2,0),"")</f>
        <v/>
      </c>
      <c r="G882" s="212"/>
      <c r="H882" s="30" t="str">
        <f>IFERROR(VLOOKUP(E882,'Inventaire des produits'!$B$4:$K$1001,8,0),"")</f>
        <v/>
      </c>
      <c r="I882" s="32" t="str">
        <f t="shared" si="24"/>
        <v/>
      </c>
      <c r="K882" s="127" t="str">
        <f t="shared" si="23"/>
        <v/>
      </c>
    </row>
    <row r="883" spans="2:11" x14ac:dyDescent="0.3">
      <c r="B883" s="197"/>
      <c r="C883" s="198"/>
      <c r="D883" s="197"/>
      <c r="E883" s="212"/>
      <c r="F883" s="29" t="str">
        <f>IFERROR(VLOOKUP(E883,'Inventaire des produits'!$B$4:$K$1001,2,0),"")</f>
        <v/>
      </c>
      <c r="G883" s="212"/>
      <c r="H883" s="30" t="str">
        <f>IFERROR(VLOOKUP(E883,'Inventaire des produits'!$B$4:$K$1001,8,0),"")</f>
        <v/>
      </c>
      <c r="I883" s="32" t="str">
        <f t="shared" si="24"/>
        <v/>
      </c>
      <c r="K883" s="127" t="str">
        <f t="shared" si="23"/>
        <v/>
      </c>
    </row>
    <row r="884" spans="2:11" x14ac:dyDescent="0.3">
      <c r="B884" s="197"/>
      <c r="C884" s="198"/>
      <c r="D884" s="197"/>
      <c r="E884" s="212"/>
      <c r="F884" s="29" t="str">
        <f>IFERROR(VLOOKUP(E884,'Inventaire des produits'!$B$4:$K$1001,2,0),"")</f>
        <v/>
      </c>
      <c r="G884" s="212"/>
      <c r="H884" s="30" t="str">
        <f>IFERROR(VLOOKUP(E884,'Inventaire des produits'!$B$4:$K$1001,8,0),"")</f>
        <v/>
      </c>
      <c r="I884" s="32" t="str">
        <f t="shared" si="24"/>
        <v/>
      </c>
      <c r="K884" s="127" t="str">
        <f t="shared" si="23"/>
        <v/>
      </c>
    </row>
    <row r="885" spans="2:11" x14ac:dyDescent="0.3">
      <c r="B885" s="197"/>
      <c r="C885" s="198"/>
      <c r="D885" s="197"/>
      <c r="E885" s="212"/>
      <c r="F885" s="29" t="str">
        <f>IFERROR(VLOOKUP(E885,'Inventaire des produits'!$B$4:$K$1001,2,0),"")</f>
        <v/>
      </c>
      <c r="G885" s="212"/>
      <c r="H885" s="30" t="str">
        <f>IFERROR(VLOOKUP(E885,'Inventaire des produits'!$B$4:$K$1001,8,0),"")</f>
        <v/>
      </c>
      <c r="I885" s="32" t="str">
        <f t="shared" si="24"/>
        <v/>
      </c>
      <c r="K885" s="127" t="str">
        <f t="shared" si="23"/>
        <v/>
      </c>
    </row>
    <row r="886" spans="2:11" x14ac:dyDescent="0.3">
      <c r="B886" s="197"/>
      <c r="C886" s="198"/>
      <c r="D886" s="197"/>
      <c r="E886" s="212"/>
      <c r="F886" s="29" t="str">
        <f>IFERROR(VLOOKUP(E886,'Inventaire des produits'!$B$4:$K$1001,2,0),"")</f>
        <v/>
      </c>
      <c r="G886" s="212"/>
      <c r="H886" s="30" t="str">
        <f>IFERROR(VLOOKUP(E886,'Inventaire des produits'!$B$4:$K$1001,8,0),"")</f>
        <v/>
      </c>
      <c r="I886" s="32" t="str">
        <f t="shared" si="24"/>
        <v/>
      </c>
      <c r="K886" s="127" t="str">
        <f t="shared" si="23"/>
        <v/>
      </c>
    </row>
    <row r="887" spans="2:11" x14ac:dyDescent="0.3">
      <c r="B887" s="197"/>
      <c r="C887" s="198"/>
      <c r="D887" s="197"/>
      <c r="E887" s="212"/>
      <c r="F887" s="29" t="str">
        <f>IFERROR(VLOOKUP(E887,'Inventaire des produits'!$B$4:$K$1001,2,0),"")</f>
        <v/>
      </c>
      <c r="G887" s="212"/>
      <c r="H887" s="30" t="str">
        <f>IFERROR(VLOOKUP(E887,'Inventaire des produits'!$B$4:$K$1001,8,0),"")</f>
        <v/>
      </c>
      <c r="I887" s="32" t="str">
        <f t="shared" si="24"/>
        <v/>
      </c>
      <c r="K887" s="127" t="str">
        <f t="shared" si="23"/>
        <v/>
      </c>
    </row>
    <row r="888" spans="2:11" x14ac:dyDescent="0.3">
      <c r="B888" s="197"/>
      <c r="C888" s="198"/>
      <c r="D888" s="197"/>
      <c r="E888" s="212"/>
      <c r="F888" s="29" t="str">
        <f>IFERROR(VLOOKUP(E888,'Inventaire des produits'!$B$4:$K$1001,2,0),"")</f>
        <v/>
      </c>
      <c r="G888" s="212"/>
      <c r="H888" s="30" t="str">
        <f>IFERROR(VLOOKUP(E888,'Inventaire des produits'!$B$4:$K$1001,8,0),"")</f>
        <v/>
      </c>
      <c r="I888" s="32" t="str">
        <f t="shared" si="24"/>
        <v/>
      </c>
      <c r="K888" s="127" t="str">
        <f t="shared" si="23"/>
        <v/>
      </c>
    </row>
    <row r="889" spans="2:11" x14ac:dyDescent="0.3">
      <c r="B889" s="197"/>
      <c r="C889" s="198"/>
      <c r="D889" s="197"/>
      <c r="E889" s="212"/>
      <c r="F889" s="29" t="str">
        <f>IFERROR(VLOOKUP(E889,'Inventaire des produits'!$B$4:$K$1001,2,0),"")</f>
        <v/>
      </c>
      <c r="G889" s="212"/>
      <c r="H889" s="30" t="str">
        <f>IFERROR(VLOOKUP(E889,'Inventaire des produits'!$B$4:$K$1001,8,0),"")</f>
        <v/>
      </c>
      <c r="I889" s="32" t="str">
        <f t="shared" si="24"/>
        <v/>
      </c>
      <c r="K889" s="127" t="str">
        <f t="shared" si="23"/>
        <v/>
      </c>
    </row>
    <row r="890" spans="2:11" x14ac:dyDescent="0.3">
      <c r="B890" s="197"/>
      <c r="C890" s="198"/>
      <c r="D890" s="197"/>
      <c r="E890" s="212"/>
      <c r="F890" s="29" t="str">
        <f>IFERROR(VLOOKUP(E890,'Inventaire des produits'!$B$4:$K$1001,2,0),"")</f>
        <v/>
      </c>
      <c r="G890" s="212"/>
      <c r="H890" s="30" t="str">
        <f>IFERROR(VLOOKUP(E890,'Inventaire des produits'!$B$4:$K$1001,8,0),"")</f>
        <v/>
      </c>
      <c r="I890" s="32" t="str">
        <f t="shared" si="24"/>
        <v/>
      </c>
      <c r="K890" s="127" t="str">
        <f t="shared" si="23"/>
        <v/>
      </c>
    </row>
    <row r="891" spans="2:11" x14ac:dyDescent="0.3">
      <c r="B891" s="197"/>
      <c r="C891" s="198"/>
      <c r="D891" s="197"/>
      <c r="E891" s="212"/>
      <c r="F891" s="29" t="str">
        <f>IFERROR(VLOOKUP(E891,'Inventaire des produits'!$B$4:$K$1001,2,0),"")</f>
        <v/>
      </c>
      <c r="G891" s="212"/>
      <c r="H891" s="30" t="str">
        <f>IFERROR(VLOOKUP(E891,'Inventaire des produits'!$B$4:$K$1001,8,0),"")</f>
        <v/>
      </c>
      <c r="I891" s="32" t="str">
        <f t="shared" si="24"/>
        <v/>
      </c>
      <c r="K891" s="127" t="str">
        <f t="shared" si="23"/>
        <v/>
      </c>
    </row>
    <row r="892" spans="2:11" x14ac:dyDescent="0.3">
      <c r="B892" s="197"/>
      <c r="C892" s="198"/>
      <c r="D892" s="197"/>
      <c r="E892" s="212"/>
      <c r="F892" s="29" t="str">
        <f>IFERROR(VLOOKUP(E892,'Inventaire des produits'!$B$4:$K$1001,2,0),"")</f>
        <v/>
      </c>
      <c r="G892" s="212"/>
      <c r="H892" s="30" t="str">
        <f>IFERROR(VLOOKUP(E892,'Inventaire des produits'!$B$4:$K$1001,8,0),"")</f>
        <v/>
      </c>
      <c r="I892" s="32" t="str">
        <f t="shared" si="24"/>
        <v/>
      </c>
      <c r="K892" s="127" t="str">
        <f t="shared" ref="K892:K955" si="25">IF(J892="","",J892*1.2)</f>
        <v/>
      </c>
    </row>
    <row r="893" spans="2:11" x14ac:dyDescent="0.3">
      <c r="B893" s="197"/>
      <c r="C893" s="198"/>
      <c r="D893" s="197"/>
      <c r="E893" s="212"/>
      <c r="F893" s="29" t="str">
        <f>IFERROR(VLOOKUP(E893,'Inventaire des produits'!$B$4:$K$1001,2,0),"")</f>
        <v/>
      </c>
      <c r="G893" s="212"/>
      <c r="H893" s="30" t="str">
        <f>IFERROR(VLOOKUP(E893,'Inventaire des produits'!$B$4:$K$1001,8,0),"")</f>
        <v/>
      </c>
      <c r="I893" s="32" t="str">
        <f t="shared" si="24"/>
        <v/>
      </c>
      <c r="K893" s="127" t="str">
        <f t="shared" si="25"/>
        <v/>
      </c>
    </row>
    <row r="894" spans="2:11" x14ac:dyDescent="0.3">
      <c r="B894" s="197"/>
      <c r="C894" s="198"/>
      <c r="D894" s="197"/>
      <c r="E894" s="212"/>
      <c r="F894" s="29" t="str">
        <f>IFERROR(VLOOKUP(E894,'Inventaire des produits'!$B$4:$K$1001,2,0),"")</f>
        <v/>
      </c>
      <c r="G894" s="212"/>
      <c r="H894" s="30" t="str">
        <f>IFERROR(VLOOKUP(E894,'Inventaire des produits'!$B$4:$K$1001,8,0),"")</f>
        <v/>
      </c>
      <c r="I894" s="32" t="str">
        <f t="shared" si="24"/>
        <v/>
      </c>
      <c r="K894" s="127" t="str">
        <f t="shared" si="25"/>
        <v/>
      </c>
    </row>
    <row r="895" spans="2:11" x14ac:dyDescent="0.3">
      <c r="B895" s="197"/>
      <c r="C895" s="198"/>
      <c r="D895" s="197"/>
      <c r="E895" s="212"/>
      <c r="F895" s="29" t="str">
        <f>IFERROR(VLOOKUP(E895,'Inventaire des produits'!$B$4:$K$1001,2,0),"")</f>
        <v/>
      </c>
      <c r="G895" s="212"/>
      <c r="H895" s="30" t="str">
        <f>IFERROR(VLOOKUP(E895,'Inventaire des produits'!$B$4:$K$1001,8,0),"")</f>
        <v/>
      </c>
      <c r="I895" s="32" t="str">
        <f t="shared" si="24"/>
        <v/>
      </c>
      <c r="K895" s="127" t="str">
        <f t="shared" si="25"/>
        <v/>
      </c>
    </row>
    <row r="896" spans="2:11" x14ac:dyDescent="0.3">
      <c r="B896" s="197"/>
      <c r="C896" s="198"/>
      <c r="D896" s="197"/>
      <c r="E896" s="212"/>
      <c r="F896" s="29" t="str">
        <f>IFERROR(VLOOKUP(E896,'Inventaire des produits'!$B$4:$K$1001,2,0),"")</f>
        <v/>
      </c>
      <c r="G896" s="212"/>
      <c r="H896" s="30" t="str">
        <f>IFERROR(VLOOKUP(E896,'Inventaire des produits'!$B$4:$K$1001,8,0),"")</f>
        <v/>
      </c>
      <c r="I896" s="32" t="str">
        <f t="shared" si="24"/>
        <v/>
      </c>
      <c r="K896" s="127" t="str">
        <f t="shared" si="25"/>
        <v/>
      </c>
    </row>
    <row r="897" spans="2:11" x14ac:dyDescent="0.3">
      <c r="B897" s="197"/>
      <c r="C897" s="198"/>
      <c r="D897" s="197"/>
      <c r="E897" s="212"/>
      <c r="F897" s="29" t="str">
        <f>IFERROR(VLOOKUP(E897,'Inventaire des produits'!$B$4:$K$1001,2,0),"")</f>
        <v/>
      </c>
      <c r="G897" s="212"/>
      <c r="H897" s="30" t="str">
        <f>IFERROR(VLOOKUP(E897,'Inventaire des produits'!$B$4:$K$1001,8,0),"")</f>
        <v/>
      </c>
      <c r="I897" s="32" t="str">
        <f t="shared" si="24"/>
        <v/>
      </c>
      <c r="K897" s="127" t="str">
        <f t="shared" si="25"/>
        <v/>
      </c>
    </row>
    <row r="898" spans="2:11" x14ac:dyDescent="0.3">
      <c r="B898" s="197"/>
      <c r="C898" s="198"/>
      <c r="D898" s="197"/>
      <c r="E898" s="212"/>
      <c r="F898" s="29" t="str">
        <f>IFERROR(VLOOKUP(E898,'Inventaire des produits'!$B$4:$K$1001,2,0),"")</f>
        <v/>
      </c>
      <c r="G898" s="212"/>
      <c r="H898" s="30" t="str">
        <f>IFERROR(VLOOKUP(E898,'Inventaire des produits'!$B$4:$K$1001,8,0),"")</f>
        <v/>
      </c>
      <c r="I898" s="32" t="str">
        <f t="shared" ref="I898:I961" si="26">IF(OR(G898="",H898=""),"",G898*H898)</f>
        <v/>
      </c>
      <c r="K898" s="127" t="str">
        <f t="shared" si="25"/>
        <v/>
      </c>
    </row>
    <row r="899" spans="2:11" x14ac:dyDescent="0.3">
      <c r="B899" s="197"/>
      <c r="C899" s="198"/>
      <c r="D899" s="197"/>
      <c r="E899" s="212"/>
      <c r="F899" s="29" t="str">
        <f>IFERROR(VLOOKUP(E899,'Inventaire des produits'!$B$4:$K$1001,2,0),"")</f>
        <v/>
      </c>
      <c r="G899" s="212"/>
      <c r="H899" s="30" t="str">
        <f>IFERROR(VLOOKUP(E899,'Inventaire des produits'!$B$4:$K$1001,8,0),"")</f>
        <v/>
      </c>
      <c r="I899" s="32" t="str">
        <f t="shared" si="26"/>
        <v/>
      </c>
      <c r="K899" s="127" t="str">
        <f t="shared" si="25"/>
        <v/>
      </c>
    </row>
    <row r="900" spans="2:11" x14ac:dyDescent="0.3">
      <c r="B900" s="197"/>
      <c r="C900" s="198"/>
      <c r="D900" s="197"/>
      <c r="E900" s="212"/>
      <c r="F900" s="29" t="str">
        <f>IFERROR(VLOOKUP(E900,'Inventaire des produits'!$B$4:$K$1001,2,0),"")</f>
        <v/>
      </c>
      <c r="G900" s="212"/>
      <c r="H900" s="30" t="str">
        <f>IFERROR(VLOOKUP(E900,'Inventaire des produits'!$B$4:$K$1001,8,0),"")</f>
        <v/>
      </c>
      <c r="I900" s="32" t="str">
        <f t="shared" si="26"/>
        <v/>
      </c>
      <c r="K900" s="127" t="str">
        <f t="shared" si="25"/>
        <v/>
      </c>
    </row>
    <row r="901" spans="2:11" x14ac:dyDescent="0.3">
      <c r="B901" s="197"/>
      <c r="C901" s="198"/>
      <c r="D901" s="197"/>
      <c r="E901" s="212"/>
      <c r="F901" s="29" t="str">
        <f>IFERROR(VLOOKUP(E901,'Inventaire des produits'!$B$4:$K$1001,2,0),"")</f>
        <v/>
      </c>
      <c r="G901" s="212"/>
      <c r="H901" s="30" t="str">
        <f>IFERROR(VLOOKUP(E901,'Inventaire des produits'!$B$4:$K$1001,8,0),"")</f>
        <v/>
      </c>
      <c r="I901" s="32" t="str">
        <f t="shared" si="26"/>
        <v/>
      </c>
      <c r="K901" s="127" t="str">
        <f t="shared" si="25"/>
        <v/>
      </c>
    </row>
    <row r="902" spans="2:11" x14ac:dyDescent="0.3">
      <c r="B902" s="197"/>
      <c r="C902" s="198"/>
      <c r="D902" s="197"/>
      <c r="E902" s="212"/>
      <c r="F902" s="29" t="str">
        <f>IFERROR(VLOOKUP(E902,'Inventaire des produits'!$B$4:$K$1001,2,0),"")</f>
        <v/>
      </c>
      <c r="G902" s="212"/>
      <c r="H902" s="30" t="str">
        <f>IFERROR(VLOOKUP(E902,'Inventaire des produits'!$B$4:$K$1001,8,0),"")</f>
        <v/>
      </c>
      <c r="I902" s="32" t="str">
        <f t="shared" si="26"/>
        <v/>
      </c>
      <c r="K902" s="127" t="str">
        <f t="shared" si="25"/>
        <v/>
      </c>
    </row>
    <row r="903" spans="2:11" x14ac:dyDescent="0.3">
      <c r="B903" s="197"/>
      <c r="C903" s="198"/>
      <c r="D903" s="197"/>
      <c r="E903" s="212"/>
      <c r="F903" s="29" t="str">
        <f>IFERROR(VLOOKUP(E903,'Inventaire des produits'!$B$4:$K$1001,2,0),"")</f>
        <v/>
      </c>
      <c r="G903" s="212"/>
      <c r="H903" s="30" t="str">
        <f>IFERROR(VLOOKUP(E903,'Inventaire des produits'!$B$4:$K$1001,8,0),"")</f>
        <v/>
      </c>
      <c r="I903" s="32" t="str">
        <f t="shared" si="26"/>
        <v/>
      </c>
      <c r="K903" s="127" t="str">
        <f t="shared" si="25"/>
        <v/>
      </c>
    </row>
    <row r="904" spans="2:11" x14ac:dyDescent="0.3">
      <c r="B904" s="197"/>
      <c r="C904" s="198"/>
      <c r="D904" s="197"/>
      <c r="E904" s="212"/>
      <c r="F904" s="29" t="str">
        <f>IFERROR(VLOOKUP(E904,'Inventaire des produits'!$B$4:$K$1001,2,0),"")</f>
        <v/>
      </c>
      <c r="G904" s="212"/>
      <c r="H904" s="30" t="str">
        <f>IFERROR(VLOOKUP(E904,'Inventaire des produits'!$B$4:$K$1001,8,0),"")</f>
        <v/>
      </c>
      <c r="I904" s="32" t="str">
        <f t="shared" si="26"/>
        <v/>
      </c>
      <c r="K904" s="127" t="str">
        <f t="shared" si="25"/>
        <v/>
      </c>
    </row>
    <row r="905" spans="2:11" x14ac:dyDescent="0.3">
      <c r="B905" s="197"/>
      <c r="C905" s="198"/>
      <c r="D905" s="197"/>
      <c r="E905" s="212"/>
      <c r="F905" s="29" t="str">
        <f>IFERROR(VLOOKUP(E905,'Inventaire des produits'!$B$4:$K$1001,2,0),"")</f>
        <v/>
      </c>
      <c r="G905" s="212"/>
      <c r="H905" s="30" t="str">
        <f>IFERROR(VLOOKUP(E905,'Inventaire des produits'!$B$4:$K$1001,8,0),"")</f>
        <v/>
      </c>
      <c r="I905" s="32" t="str">
        <f t="shared" si="26"/>
        <v/>
      </c>
      <c r="K905" s="127" t="str">
        <f t="shared" si="25"/>
        <v/>
      </c>
    </row>
    <row r="906" spans="2:11" x14ac:dyDescent="0.3">
      <c r="B906" s="197"/>
      <c r="C906" s="198"/>
      <c r="D906" s="197"/>
      <c r="E906" s="212"/>
      <c r="F906" s="29" t="str">
        <f>IFERROR(VLOOKUP(E906,'Inventaire des produits'!$B$4:$K$1001,2,0),"")</f>
        <v/>
      </c>
      <c r="G906" s="212"/>
      <c r="H906" s="30" t="str">
        <f>IFERROR(VLOOKUP(E906,'Inventaire des produits'!$B$4:$K$1001,8,0),"")</f>
        <v/>
      </c>
      <c r="I906" s="32" t="str">
        <f t="shared" si="26"/>
        <v/>
      </c>
      <c r="K906" s="127" t="str">
        <f t="shared" si="25"/>
        <v/>
      </c>
    </row>
    <row r="907" spans="2:11" x14ac:dyDescent="0.3">
      <c r="B907" s="197"/>
      <c r="C907" s="198"/>
      <c r="D907" s="197"/>
      <c r="E907" s="212"/>
      <c r="F907" s="29" t="str">
        <f>IFERROR(VLOOKUP(E907,'Inventaire des produits'!$B$4:$K$1001,2,0),"")</f>
        <v/>
      </c>
      <c r="G907" s="212"/>
      <c r="H907" s="30" t="str">
        <f>IFERROR(VLOOKUP(E907,'Inventaire des produits'!$B$4:$K$1001,8,0),"")</f>
        <v/>
      </c>
      <c r="I907" s="32" t="str">
        <f t="shared" si="26"/>
        <v/>
      </c>
      <c r="K907" s="127" t="str">
        <f t="shared" si="25"/>
        <v/>
      </c>
    </row>
    <row r="908" spans="2:11" x14ac:dyDescent="0.3">
      <c r="B908" s="197"/>
      <c r="C908" s="198"/>
      <c r="D908" s="197"/>
      <c r="E908" s="212"/>
      <c r="F908" s="29" t="str">
        <f>IFERROR(VLOOKUP(E908,'Inventaire des produits'!$B$4:$K$1001,2,0),"")</f>
        <v/>
      </c>
      <c r="G908" s="212"/>
      <c r="H908" s="30" t="str">
        <f>IFERROR(VLOOKUP(E908,'Inventaire des produits'!$B$4:$K$1001,8,0),"")</f>
        <v/>
      </c>
      <c r="I908" s="32" t="str">
        <f t="shared" si="26"/>
        <v/>
      </c>
      <c r="K908" s="127" t="str">
        <f t="shared" si="25"/>
        <v/>
      </c>
    </row>
    <row r="909" spans="2:11" x14ac:dyDescent="0.3">
      <c r="B909" s="197"/>
      <c r="C909" s="198"/>
      <c r="D909" s="197"/>
      <c r="E909" s="212"/>
      <c r="F909" s="29" t="str">
        <f>IFERROR(VLOOKUP(E909,'Inventaire des produits'!$B$4:$K$1001,2,0),"")</f>
        <v/>
      </c>
      <c r="G909" s="212"/>
      <c r="H909" s="30" t="str">
        <f>IFERROR(VLOOKUP(E909,'Inventaire des produits'!$B$4:$K$1001,8,0),"")</f>
        <v/>
      </c>
      <c r="I909" s="32" t="str">
        <f t="shared" si="26"/>
        <v/>
      </c>
      <c r="K909" s="127" t="str">
        <f t="shared" si="25"/>
        <v/>
      </c>
    </row>
    <row r="910" spans="2:11" x14ac:dyDescent="0.3">
      <c r="B910" s="197"/>
      <c r="C910" s="198"/>
      <c r="D910" s="197"/>
      <c r="E910" s="212"/>
      <c r="F910" s="29" t="str">
        <f>IFERROR(VLOOKUP(E910,'Inventaire des produits'!$B$4:$K$1001,2,0),"")</f>
        <v/>
      </c>
      <c r="G910" s="212"/>
      <c r="H910" s="30" t="str">
        <f>IFERROR(VLOOKUP(E910,'Inventaire des produits'!$B$4:$K$1001,8,0),"")</f>
        <v/>
      </c>
      <c r="I910" s="32" t="str">
        <f t="shared" si="26"/>
        <v/>
      </c>
      <c r="K910" s="127" t="str">
        <f t="shared" si="25"/>
        <v/>
      </c>
    </row>
    <row r="911" spans="2:11" x14ac:dyDescent="0.3">
      <c r="B911" s="197"/>
      <c r="C911" s="198"/>
      <c r="D911" s="197"/>
      <c r="E911" s="212"/>
      <c r="F911" s="29" t="str">
        <f>IFERROR(VLOOKUP(E911,'Inventaire des produits'!$B$4:$K$1001,2,0),"")</f>
        <v/>
      </c>
      <c r="G911" s="212"/>
      <c r="H911" s="30" t="str">
        <f>IFERROR(VLOOKUP(E911,'Inventaire des produits'!$B$4:$K$1001,8,0),"")</f>
        <v/>
      </c>
      <c r="I911" s="32" t="str">
        <f t="shared" si="26"/>
        <v/>
      </c>
      <c r="K911" s="127" t="str">
        <f t="shared" si="25"/>
        <v/>
      </c>
    </row>
    <row r="912" spans="2:11" x14ac:dyDescent="0.3">
      <c r="B912" s="197"/>
      <c r="C912" s="198"/>
      <c r="D912" s="197"/>
      <c r="E912" s="212"/>
      <c r="F912" s="29" t="str">
        <f>IFERROR(VLOOKUP(E912,'Inventaire des produits'!$B$4:$K$1001,2,0),"")</f>
        <v/>
      </c>
      <c r="G912" s="212"/>
      <c r="H912" s="30" t="str">
        <f>IFERROR(VLOOKUP(E912,'Inventaire des produits'!$B$4:$K$1001,8,0),"")</f>
        <v/>
      </c>
      <c r="I912" s="32" t="str">
        <f t="shared" si="26"/>
        <v/>
      </c>
      <c r="K912" s="127" t="str">
        <f t="shared" si="25"/>
        <v/>
      </c>
    </row>
    <row r="913" spans="2:11" x14ac:dyDescent="0.3">
      <c r="B913" s="197"/>
      <c r="C913" s="198"/>
      <c r="D913" s="197"/>
      <c r="E913" s="212"/>
      <c r="F913" s="29" t="str">
        <f>IFERROR(VLOOKUP(E913,'Inventaire des produits'!$B$4:$K$1001,2,0),"")</f>
        <v/>
      </c>
      <c r="G913" s="212"/>
      <c r="H913" s="30" t="str">
        <f>IFERROR(VLOOKUP(E913,'Inventaire des produits'!$B$4:$K$1001,8,0),"")</f>
        <v/>
      </c>
      <c r="I913" s="32" t="str">
        <f t="shared" si="26"/>
        <v/>
      </c>
      <c r="K913" s="127" t="str">
        <f t="shared" si="25"/>
        <v/>
      </c>
    </row>
    <row r="914" spans="2:11" x14ac:dyDescent="0.3">
      <c r="B914" s="197"/>
      <c r="C914" s="198"/>
      <c r="D914" s="197"/>
      <c r="E914" s="212"/>
      <c r="F914" s="29" t="str">
        <f>IFERROR(VLOOKUP(E914,'Inventaire des produits'!$B$4:$K$1001,2,0),"")</f>
        <v/>
      </c>
      <c r="G914" s="212"/>
      <c r="H914" s="30" t="str">
        <f>IFERROR(VLOOKUP(E914,'Inventaire des produits'!$B$4:$K$1001,8,0),"")</f>
        <v/>
      </c>
      <c r="I914" s="32" t="str">
        <f t="shared" si="26"/>
        <v/>
      </c>
      <c r="K914" s="127" t="str">
        <f t="shared" si="25"/>
        <v/>
      </c>
    </row>
    <row r="915" spans="2:11" x14ac:dyDescent="0.3">
      <c r="B915" s="197"/>
      <c r="C915" s="198"/>
      <c r="D915" s="197"/>
      <c r="E915" s="212"/>
      <c r="F915" s="29" t="str">
        <f>IFERROR(VLOOKUP(E915,'Inventaire des produits'!$B$4:$K$1001,2,0),"")</f>
        <v/>
      </c>
      <c r="G915" s="212"/>
      <c r="H915" s="30" t="str">
        <f>IFERROR(VLOOKUP(E915,'Inventaire des produits'!$B$4:$K$1001,8,0),"")</f>
        <v/>
      </c>
      <c r="I915" s="32" t="str">
        <f t="shared" si="26"/>
        <v/>
      </c>
      <c r="K915" s="127" t="str">
        <f t="shared" si="25"/>
        <v/>
      </c>
    </row>
    <row r="916" spans="2:11" x14ac:dyDescent="0.3">
      <c r="B916" s="197"/>
      <c r="C916" s="198"/>
      <c r="D916" s="197"/>
      <c r="E916" s="212"/>
      <c r="F916" s="29" t="str">
        <f>IFERROR(VLOOKUP(E916,'Inventaire des produits'!$B$4:$K$1001,2,0),"")</f>
        <v/>
      </c>
      <c r="G916" s="212"/>
      <c r="H916" s="30" t="str">
        <f>IFERROR(VLOOKUP(E916,'Inventaire des produits'!$B$4:$K$1001,8,0),"")</f>
        <v/>
      </c>
      <c r="I916" s="32" t="str">
        <f t="shared" si="26"/>
        <v/>
      </c>
      <c r="K916" s="127" t="str">
        <f t="shared" si="25"/>
        <v/>
      </c>
    </row>
    <row r="917" spans="2:11" x14ac:dyDescent="0.3">
      <c r="B917" s="197"/>
      <c r="C917" s="198"/>
      <c r="D917" s="197"/>
      <c r="E917" s="212"/>
      <c r="F917" s="29" t="str">
        <f>IFERROR(VLOOKUP(E917,'Inventaire des produits'!$B$4:$K$1001,2,0),"")</f>
        <v/>
      </c>
      <c r="G917" s="212"/>
      <c r="H917" s="30" t="str">
        <f>IFERROR(VLOOKUP(E917,'Inventaire des produits'!$B$4:$K$1001,8,0),"")</f>
        <v/>
      </c>
      <c r="I917" s="32" t="str">
        <f t="shared" si="26"/>
        <v/>
      </c>
      <c r="K917" s="127" t="str">
        <f t="shared" si="25"/>
        <v/>
      </c>
    </row>
    <row r="918" spans="2:11" x14ac:dyDescent="0.3">
      <c r="B918" s="197"/>
      <c r="C918" s="198"/>
      <c r="D918" s="197"/>
      <c r="E918" s="212"/>
      <c r="F918" s="29" t="str">
        <f>IFERROR(VLOOKUP(E918,'Inventaire des produits'!$B$4:$K$1001,2,0),"")</f>
        <v/>
      </c>
      <c r="G918" s="212"/>
      <c r="H918" s="30" t="str">
        <f>IFERROR(VLOOKUP(E918,'Inventaire des produits'!$B$4:$K$1001,8,0),"")</f>
        <v/>
      </c>
      <c r="I918" s="32" t="str">
        <f t="shared" si="26"/>
        <v/>
      </c>
      <c r="K918" s="127" t="str">
        <f t="shared" si="25"/>
        <v/>
      </c>
    </row>
    <row r="919" spans="2:11" x14ac:dyDescent="0.3">
      <c r="B919" s="197"/>
      <c r="C919" s="198"/>
      <c r="D919" s="197"/>
      <c r="E919" s="212"/>
      <c r="F919" s="29" t="str">
        <f>IFERROR(VLOOKUP(E919,'Inventaire des produits'!$B$4:$K$1001,2,0),"")</f>
        <v/>
      </c>
      <c r="G919" s="212"/>
      <c r="H919" s="30" t="str">
        <f>IFERROR(VLOOKUP(E919,'Inventaire des produits'!$B$4:$K$1001,8,0),"")</f>
        <v/>
      </c>
      <c r="I919" s="32" t="str">
        <f t="shared" si="26"/>
        <v/>
      </c>
      <c r="K919" s="127" t="str">
        <f t="shared" si="25"/>
        <v/>
      </c>
    </row>
    <row r="920" spans="2:11" x14ac:dyDescent="0.3">
      <c r="B920" s="197"/>
      <c r="C920" s="198"/>
      <c r="D920" s="197"/>
      <c r="E920" s="212"/>
      <c r="F920" s="29" t="str">
        <f>IFERROR(VLOOKUP(E920,'Inventaire des produits'!$B$4:$K$1001,2,0),"")</f>
        <v/>
      </c>
      <c r="G920" s="212"/>
      <c r="H920" s="30" t="str">
        <f>IFERROR(VLOOKUP(E920,'Inventaire des produits'!$B$4:$K$1001,8,0),"")</f>
        <v/>
      </c>
      <c r="I920" s="32" t="str">
        <f t="shared" si="26"/>
        <v/>
      </c>
      <c r="K920" s="127" t="str">
        <f t="shared" si="25"/>
        <v/>
      </c>
    </row>
    <row r="921" spans="2:11" x14ac:dyDescent="0.3">
      <c r="B921" s="197"/>
      <c r="C921" s="198"/>
      <c r="D921" s="197"/>
      <c r="E921" s="212"/>
      <c r="F921" s="29" t="str">
        <f>IFERROR(VLOOKUP(E921,'Inventaire des produits'!$B$4:$K$1001,2,0),"")</f>
        <v/>
      </c>
      <c r="G921" s="212"/>
      <c r="H921" s="30" t="str">
        <f>IFERROR(VLOOKUP(E921,'Inventaire des produits'!$B$4:$K$1001,8,0),"")</f>
        <v/>
      </c>
      <c r="I921" s="32" t="str">
        <f t="shared" si="26"/>
        <v/>
      </c>
      <c r="K921" s="127" t="str">
        <f t="shared" si="25"/>
        <v/>
      </c>
    </row>
    <row r="922" spans="2:11" x14ac:dyDescent="0.3">
      <c r="B922" s="197"/>
      <c r="C922" s="198"/>
      <c r="D922" s="197"/>
      <c r="E922" s="212"/>
      <c r="F922" s="29" t="str">
        <f>IFERROR(VLOOKUP(E922,'Inventaire des produits'!$B$4:$K$1001,2,0),"")</f>
        <v/>
      </c>
      <c r="G922" s="212"/>
      <c r="H922" s="30" t="str">
        <f>IFERROR(VLOOKUP(E922,'Inventaire des produits'!$B$4:$K$1001,8,0),"")</f>
        <v/>
      </c>
      <c r="I922" s="32" t="str">
        <f t="shared" si="26"/>
        <v/>
      </c>
      <c r="K922" s="127" t="str">
        <f t="shared" si="25"/>
        <v/>
      </c>
    </row>
    <row r="923" spans="2:11" x14ac:dyDescent="0.3">
      <c r="B923" s="197"/>
      <c r="C923" s="198"/>
      <c r="D923" s="197"/>
      <c r="E923" s="212"/>
      <c r="F923" s="29" t="str">
        <f>IFERROR(VLOOKUP(E923,'Inventaire des produits'!$B$4:$K$1001,2,0),"")</f>
        <v/>
      </c>
      <c r="G923" s="212"/>
      <c r="H923" s="30" t="str">
        <f>IFERROR(VLOOKUP(E923,'Inventaire des produits'!$B$4:$K$1001,8,0),"")</f>
        <v/>
      </c>
      <c r="I923" s="32" t="str">
        <f t="shared" si="26"/>
        <v/>
      </c>
      <c r="K923" s="127" t="str">
        <f t="shared" si="25"/>
        <v/>
      </c>
    </row>
    <row r="924" spans="2:11" x14ac:dyDescent="0.3">
      <c r="B924" s="197"/>
      <c r="C924" s="198"/>
      <c r="D924" s="197"/>
      <c r="E924" s="212"/>
      <c r="F924" s="29" t="str">
        <f>IFERROR(VLOOKUP(E924,'Inventaire des produits'!$B$4:$K$1001,2,0),"")</f>
        <v/>
      </c>
      <c r="G924" s="212"/>
      <c r="H924" s="30" t="str">
        <f>IFERROR(VLOOKUP(E924,'Inventaire des produits'!$B$4:$K$1001,8,0),"")</f>
        <v/>
      </c>
      <c r="I924" s="32" t="str">
        <f t="shared" si="26"/>
        <v/>
      </c>
      <c r="K924" s="127" t="str">
        <f t="shared" si="25"/>
        <v/>
      </c>
    </row>
    <row r="925" spans="2:11" x14ac:dyDescent="0.3">
      <c r="B925" s="197"/>
      <c r="C925" s="198"/>
      <c r="D925" s="197"/>
      <c r="E925" s="212"/>
      <c r="F925" s="29" t="str">
        <f>IFERROR(VLOOKUP(E925,'Inventaire des produits'!$B$4:$K$1001,2,0),"")</f>
        <v/>
      </c>
      <c r="G925" s="212"/>
      <c r="H925" s="30" t="str">
        <f>IFERROR(VLOOKUP(E925,'Inventaire des produits'!$B$4:$K$1001,8,0),"")</f>
        <v/>
      </c>
      <c r="I925" s="32" t="str">
        <f t="shared" si="26"/>
        <v/>
      </c>
      <c r="K925" s="127" t="str">
        <f t="shared" si="25"/>
        <v/>
      </c>
    </row>
    <row r="926" spans="2:11" x14ac:dyDescent="0.3">
      <c r="B926" s="197"/>
      <c r="C926" s="198"/>
      <c r="D926" s="197"/>
      <c r="E926" s="212"/>
      <c r="F926" s="29" t="str">
        <f>IFERROR(VLOOKUP(E926,'Inventaire des produits'!$B$4:$K$1001,2,0),"")</f>
        <v/>
      </c>
      <c r="G926" s="212"/>
      <c r="H926" s="30" t="str">
        <f>IFERROR(VLOOKUP(E926,'Inventaire des produits'!$B$4:$K$1001,8,0),"")</f>
        <v/>
      </c>
      <c r="I926" s="32" t="str">
        <f t="shared" si="26"/>
        <v/>
      </c>
      <c r="K926" s="127" t="str">
        <f t="shared" si="25"/>
        <v/>
      </c>
    </row>
    <row r="927" spans="2:11" x14ac:dyDescent="0.3">
      <c r="B927" s="197"/>
      <c r="C927" s="198"/>
      <c r="D927" s="197"/>
      <c r="E927" s="212"/>
      <c r="F927" s="29" t="str">
        <f>IFERROR(VLOOKUP(E927,'Inventaire des produits'!$B$4:$K$1001,2,0),"")</f>
        <v/>
      </c>
      <c r="G927" s="212"/>
      <c r="H927" s="30" t="str">
        <f>IFERROR(VLOOKUP(E927,'Inventaire des produits'!$B$4:$K$1001,8,0),"")</f>
        <v/>
      </c>
      <c r="I927" s="32" t="str">
        <f t="shared" si="26"/>
        <v/>
      </c>
      <c r="K927" s="127" t="str">
        <f t="shared" si="25"/>
        <v/>
      </c>
    </row>
    <row r="928" spans="2:11" x14ac:dyDescent="0.3">
      <c r="B928" s="197"/>
      <c r="C928" s="198"/>
      <c r="D928" s="197"/>
      <c r="E928" s="212"/>
      <c r="F928" s="29" t="str">
        <f>IFERROR(VLOOKUP(E928,'Inventaire des produits'!$B$4:$K$1001,2,0),"")</f>
        <v/>
      </c>
      <c r="G928" s="212"/>
      <c r="H928" s="30" t="str">
        <f>IFERROR(VLOOKUP(E928,'Inventaire des produits'!$B$4:$K$1001,8,0),"")</f>
        <v/>
      </c>
      <c r="I928" s="32" t="str">
        <f t="shared" si="26"/>
        <v/>
      </c>
      <c r="K928" s="127" t="str">
        <f t="shared" si="25"/>
        <v/>
      </c>
    </row>
    <row r="929" spans="2:11" x14ac:dyDescent="0.3">
      <c r="B929" s="197"/>
      <c r="C929" s="198"/>
      <c r="D929" s="197"/>
      <c r="E929" s="212"/>
      <c r="F929" s="29" t="str">
        <f>IFERROR(VLOOKUP(E929,'Inventaire des produits'!$B$4:$K$1001,2,0),"")</f>
        <v/>
      </c>
      <c r="G929" s="212"/>
      <c r="H929" s="30" t="str">
        <f>IFERROR(VLOOKUP(E929,'Inventaire des produits'!$B$4:$K$1001,8,0),"")</f>
        <v/>
      </c>
      <c r="I929" s="32" t="str">
        <f t="shared" si="26"/>
        <v/>
      </c>
      <c r="K929" s="127" t="str">
        <f t="shared" si="25"/>
        <v/>
      </c>
    </row>
    <row r="930" spans="2:11" x14ac:dyDescent="0.3">
      <c r="B930" s="197"/>
      <c r="C930" s="198"/>
      <c r="D930" s="197"/>
      <c r="E930" s="212"/>
      <c r="F930" s="29" t="str">
        <f>IFERROR(VLOOKUP(E930,'Inventaire des produits'!$B$4:$K$1001,2,0),"")</f>
        <v/>
      </c>
      <c r="G930" s="212"/>
      <c r="H930" s="30" t="str">
        <f>IFERROR(VLOOKUP(E930,'Inventaire des produits'!$B$4:$K$1001,8,0),"")</f>
        <v/>
      </c>
      <c r="I930" s="32" t="str">
        <f t="shared" si="26"/>
        <v/>
      </c>
      <c r="K930" s="127" t="str">
        <f t="shared" si="25"/>
        <v/>
      </c>
    </row>
    <row r="931" spans="2:11" x14ac:dyDescent="0.3">
      <c r="B931" s="197"/>
      <c r="C931" s="198"/>
      <c r="D931" s="197"/>
      <c r="E931" s="212"/>
      <c r="F931" s="29" t="str">
        <f>IFERROR(VLOOKUP(E931,'Inventaire des produits'!$B$4:$K$1001,2,0),"")</f>
        <v/>
      </c>
      <c r="G931" s="212"/>
      <c r="H931" s="30" t="str">
        <f>IFERROR(VLOOKUP(E931,'Inventaire des produits'!$B$4:$K$1001,8,0),"")</f>
        <v/>
      </c>
      <c r="I931" s="32" t="str">
        <f t="shared" si="26"/>
        <v/>
      </c>
      <c r="K931" s="127" t="str">
        <f t="shared" si="25"/>
        <v/>
      </c>
    </row>
    <row r="932" spans="2:11" x14ac:dyDescent="0.3">
      <c r="B932" s="197"/>
      <c r="C932" s="198"/>
      <c r="D932" s="197"/>
      <c r="E932" s="212"/>
      <c r="F932" s="29" t="str">
        <f>IFERROR(VLOOKUP(E932,'Inventaire des produits'!$B$4:$K$1001,2,0),"")</f>
        <v/>
      </c>
      <c r="G932" s="212"/>
      <c r="H932" s="30" t="str">
        <f>IFERROR(VLOOKUP(E932,'Inventaire des produits'!$B$4:$K$1001,8,0),"")</f>
        <v/>
      </c>
      <c r="I932" s="32" t="str">
        <f t="shared" si="26"/>
        <v/>
      </c>
      <c r="K932" s="127" t="str">
        <f t="shared" si="25"/>
        <v/>
      </c>
    </row>
    <row r="933" spans="2:11" x14ac:dyDescent="0.3">
      <c r="B933" s="197"/>
      <c r="C933" s="198"/>
      <c r="D933" s="197"/>
      <c r="E933" s="212"/>
      <c r="F933" s="29" t="str">
        <f>IFERROR(VLOOKUP(E933,'Inventaire des produits'!$B$4:$K$1001,2,0),"")</f>
        <v/>
      </c>
      <c r="G933" s="212"/>
      <c r="H933" s="30" t="str">
        <f>IFERROR(VLOOKUP(E933,'Inventaire des produits'!$B$4:$K$1001,8,0),"")</f>
        <v/>
      </c>
      <c r="I933" s="32" t="str">
        <f t="shared" si="26"/>
        <v/>
      </c>
      <c r="K933" s="127" t="str">
        <f t="shared" si="25"/>
        <v/>
      </c>
    </row>
    <row r="934" spans="2:11" x14ac:dyDescent="0.3">
      <c r="B934" s="197"/>
      <c r="C934" s="198"/>
      <c r="D934" s="197"/>
      <c r="E934" s="212"/>
      <c r="F934" s="29" t="str">
        <f>IFERROR(VLOOKUP(E934,'Inventaire des produits'!$B$4:$K$1001,2,0),"")</f>
        <v/>
      </c>
      <c r="G934" s="212"/>
      <c r="H934" s="30" t="str">
        <f>IFERROR(VLOOKUP(E934,'Inventaire des produits'!$B$4:$K$1001,8,0),"")</f>
        <v/>
      </c>
      <c r="I934" s="32" t="str">
        <f t="shared" si="26"/>
        <v/>
      </c>
      <c r="K934" s="127" t="str">
        <f t="shared" si="25"/>
        <v/>
      </c>
    </row>
    <row r="935" spans="2:11" x14ac:dyDescent="0.3">
      <c r="B935" s="197"/>
      <c r="C935" s="198"/>
      <c r="D935" s="197"/>
      <c r="E935" s="212"/>
      <c r="F935" s="29" t="str">
        <f>IFERROR(VLOOKUP(E935,'Inventaire des produits'!$B$4:$K$1001,2,0),"")</f>
        <v/>
      </c>
      <c r="G935" s="212"/>
      <c r="H935" s="30" t="str">
        <f>IFERROR(VLOOKUP(E935,'Inventaire des produits'!$B$4:$K$1001,8,0),"")</f>
        <v/>
      </c>
      <c r="I935" s="32" t="str">
        <f t="shared" si="26"/>
        <v/>
      </c>
      <c r="K935" s="127" t="str">
        <f t="shared" si="25"/>
        <v/>
      </c>
    </row>
    <row r="936" spans="2:11" x14ac:dyDescent="0.3">
      <c r="B936" s="197"/>
      <c r="C936" s="198"/>
      <c r="D936" s="197"/>
      <c r="E936" s="212"/>
      <c r="F936" s="29" t="str">
        <f>IFERROR(VLOOKUP(E936,'Inventaire des produits'!$B$4:$K$1001,2,0),"")</f>
        <v/>
      </c>
      <c r="G936" s="212"/>
      <c r="H936" s="30" t="str">
        <f>IFERROR(VLOOKUP(E936,'Inventaire des produits'!$B$4:$K$1001,8,0),"")</f>
        <v/>
      </c>
      <c r="I936" s="32" t="str">
        <f t="shared" si="26"/>
        <v/>
      </c>
      <c r="K936" s="127" t="str">
        <f t="shared" si="25"/>
        <v/>
      </c>
    </row>
    <row r="937" spans="2:11" x14ac:dyDescent="0.3">
      <c r="B937" s="197"/>
      <c r="C937" s="198"/>
      <c r="D937" s="197"/>
      <c r="E937" s="212"/>
      <c r="F937" s="29" t="str">
        <f>IFERROR(VLOOKUP(E937,'Inventaire des produits'!$B$4:$K$1001,2,0),"")</f>
        <v/>
      </c>
      <c r="G937" s="212"/>
      <c r="H937" s="30" t="str">
        <f>IFERROR(VLOOKUP(E937,'Inventaire des produits'!$B$4:$K$1001,8,0),"")</f>
        <v/>
      </c>
      <c r="I937" s="32" t="str">
        <f t="shared" si="26"/>
        <v/>
      </c>
      <c r="K937" s="127" t="str">
        <f t="shared" si="25"/>
        <v/>
      </c>
    </row>
    <row r="938" spans="2:11" x14ac:dyDescent="0.3">
      <c r="B938" s="197"/>
      <c r="C938" s="198"/>
      <c r="D938" s="197"/>
      <c r="E938" s="212"/>
      <c r="F938" s="29" t="str">
        <f>IFERROR(VLOOKUP(E938,'Inventaire des produits'!$B$4:$K$1001,2,0),"")</f>
        <v/>
      </c>
      <c r="G938" s="212"/>
      <c r="H938" s="30" t="str">
        <f>IFERROR(VLOOKUP(E938,'Inventaire des produits'!$B$4:$K$1001,8,0),"")</f>
        <v/>
      </c>
      <c r="I938" s="32" t="str">
        <f t="shared" si="26"/>
        <v/>
      </c>
      <c r="K938" s="127" t="str">
        <f t="shared" si="25"/>
        <v/>
      </c>
    </row>
    <row r="939" spans="2:11" x14ac:dyDescent="0.3">
      <c r="B939" s="197"/>
      <c r="C939" s="198"/>
      <c r="D939" s="197"/>
      <c r="E939" s="212"/>
      <c r="F939" s="29" t="str">
        <f>IFERROR(VLOOKUP(E939,'Inventaire des produits'!$B$4:$K$1001,2,0),"")</f>
        <v/>
      </c>
      <c r="G939" s="212"/>
      <c r="H939" s="30" t="str">
        <f>IFERROR(VLOOKUP(E939,'Inventaire des produits'!$B$4:$K$1001,8,0),"")</f>
        <v/>
      </c>
      <c r="I939" s="32" t="str">
        <f t="shared" si="26"/>
        <v/>
      </c>
      <c r="K939" s="127" t="str">
        <f t="shared" si="25"/>
        <v/>
      </c>
    </row>
    <row r="940" spans="2:11" x14ac:dyDescent="0.3">
      <c r="B940" s="197"/>
      <c r="C940" s="198"/>
      <c r="D940" s="197"/>
      <c r="E940" s="212"/>
      <c r="F940" s="29" t="str">
        <f>IFERROR(VLOOKUP(E940,'Inventaire des produits'!$B$4:$K$1001,2,0),"")</f>
        <v/>
      </c>
      <c r="G940" s="212"/>
      <c r="H940" s="30" t="str">
        <f>IFERROR(VLOOKUP(E940,'Inventaire des produits'!$B$4:$K$1001,8,0),"")</f>
        <v/>
      </c>
      <c r="I940" s="32" t="str">
        <f t="shared" si="26"/>
        <v/>
      </c>
      <c r="K940" s="127" t="str">
        <f t="shared" si="25"/>
        <v/>
      </c>
    </row>
    <row r="941" spans="2:11" x14ac:dyDescent="0.3">
      <c r="B941" s="197"/>
      <c r="C941" s="198"/>
      <c r="D941" s="197"/>
      <c r="E941" s="212"/>
      <c r="F941" s="29" t="str">
        <f>IFERROR(VLOOKUP(E941,'Inventaire des produits'!$B$4:$K$1001,2,0),"")</f>
        <v/>
      </c>
      <c r="G941" s="212"/>
      <c r="H941" s="30" t="str">
        <f>IFERROR(VLOOKUP(E941,'Inventaire des produits'!$B$4:$K$1001,8,0),"")</f>
        <v/>
      </c>
      <c r="I941" s="32" t="str">
        <f t="shared" si="26"/>
        <v/>
      </c>
      <c r="K941" s="127" t="str">
        <f t="shared" si="25"/>
        <v/>
      </c>
    </row>
    <row r="942" spans="2:11" x14ac:dyDescent="0.3">
      <c r="B942" s="197"/>
      <c r="C942" s="198"/>
      <c r="D942" s="197"/>
      <c r="E942" s="212"/>
      <c r="F942" s="29" t="str">
        <f>IFERROR(VLOOKUP(E942,'Inventaire des produits'!$B$4:$K$1001,2,0),"")</f>
        <v/>
      </c>
      <c r="G942" s="212"/>
      <c r="H942" s="30" t="str">
        <f>IFERROR(VLOOKUP(E942,'Inventaire des produits'!$B$4:$K$1001,8,0),"")</f>
        <v/>
      </c>
      <c r="I942" s="32" t="str">
        <f t="shared" si="26"/>
        <v/>
      </c>
      <c r="K942" s="127" t="str">
        <f t="shared" si="25"/>
        <v/>
      </c>
    </row>
    <row r="943" spans="2:11" x14ac:dyDescent="0.3">
      <c r="B943" s="197"/>
      <c r="C943" s="198"/>
      <c r="D943" s="197"/>
      <c r="E943" s="212"/>
      <c r="F943" s="29" t="str">
        <f>IFERROR(VLOOKUP(E943,'Inventaire des produits'!$B$4:$K$1001,2,0),"")</f>
        <v/>
      </c>
      <c r="G943" s="212"/>
      <c r="H943" s="30" t="str">
        <f>IFERROR(VLOOKUP(E943,'Inventaire des produits'!$B$4:$K$1001,8,0),"")</f>
        <v/>
      </c>
      <c r="I943" s="32" t="str">
        <f t="shared" si="26"/>
        <v/>
      </c>
      <c r="K943" s="127" t="str">
        <f t="shared" si="25"/>
        <v/>
      </c>
    </row>
    <row r="944" spans="2:11" x14ac:dyDescent="0.3">
      <c r="B944" s="197"/>
      <c r="C944" s="198"/>
      <c r="D944" s="197"/>
      <c r="E944" s="212"/>
      <c r="F944" s="29" t="str">
        <f>IFERROR(VLOOKUP(E944,'Inventaire des produits'!$B$4:$K$1001,2,0),"")</f>
        <v/>
      </c>
      <c r="G944" s="212"/>
      <c r="H944" s="30" t="str">
        <f>IFERROR(VLOOKUP(E944,'Inventaire des produits'!$B$4:$K$1001,8,0),"")</f>
        <v/>
      </c>
      <c r="I944" s="32" t="str">
        <f t="shared" si="26"/>
        <v/>
      </c>
      <c r="K944" s="127" t="str">
        <f t="shared" si="25"/>
        <v/>
      </c>
    </row>
    <row r="945" spans="2:11" x14ac:dyDescent="0.3">
      <c r="B945" s="197"/>
      <c r="C945" s="198"/>
      <c r="D945" s="197"/>
      <c r="E945" s="212"/>
      <c r="F945" s="29" t="str">
        <f>IFERROR(VLOOKUP(E945,'Inventaire des produits'!$B$4:$K$1001,2,0),"")</f>
        <v/>
      </c>
      <c r="G945" s="212"/>
      <c r="H945" s="30" t="str">
        <f>IFERROR(VLOOKUP(E945,'Inventaire des produits'!$B$4:$K$1001,8,0),"")</f>
        <v/>
      </c>
      <c r="I945" s="32" t="str">
        <f t="shared" si="26"/>
        <v/>
      </c>
      <c r="K945" s="127" t="str">
        <f t="shared" si="25"/>
        <v/>
      </c>
    </row>
    <row r="946" spans="2:11" x14ac:dyDescent="0.3">
      <c r="B946" s="197"/>
      <c r="C946" s="198"/>
      <c r="D946" s="197"/>
      <c r="E946" s="212"/>
      <c r="F946" s="29" t="str">
        <f>IFERROR(VLOOKUP(E946,'Inventaire des produits'!$B$4:$K$1001,2,0),"")</f>
        <v/>
      </c>
      <c r="G946" s="212"/>
      <c r="H946" s="30" t="str">
        <f>IFERROR(VLOOKUP(E946,'Inventaire des produits'!$B$4:$K$1001,8,0),"")</f>
        <v/>
      </c>
      <c r="I946" s="32" t="str">
        <f t="shared" si="26"/>
        <v/>
      </c>
      <c r="K946" s="127" t="str">
        <f t="shared" si="25"/>
        <v/>
      </c>
    </row>
    <row r="947" spans="2:11" x14ac:dyDescent="0.3">
      <c r="B947" s="197"/>
      <c r="C947" s="198"/>
      <c r="D947" s="197"/>
      <c r="E947" s="212"/>
      <c r="F947" s="29" t="str">
        <f>IFERROR(VLOOKUP(E947,'Inventaire des produits'!$B$4:$K$1001,2,0),"")</f>
        <v/>
      </c>
      <c r="G947" s="212"/>
      <c r="H947" s="30" t="str">
        <f>IFERROR(VLOOKUP(E947,'Inventaire des produits'!$B$4:$K$1001,8,0),"")</f>
        <v/>
      </c>
      <c r="I947" s="32" t="str">
        <f t="shared" si="26"/>
        <v/>
      </c>
      <c r="K947" s="127" t="str">
        <f t="shared" si="25"/>
        <v/>
      </c>
    </row>
    <row r="948" spans="2:11" x14ac:dyDescent="0.3">
      <c r="B948" s="197"/>
      <c r="C948" s="198"/>
      <c r="D948" s="197"/>
      <c r="E948" s="212"/>
      <c r="F948" s="29" t="str">
        <f>IFERROR(VLOOKUP(E948,'Inventaire des produits'!$B$4:$K$1001,2,0),"")</f>
        <v/>
      </c>
      <c r="G948" s="212"/>
      <c r="H948" s="30" t="str">
        <f>IFERROR(VLOOKUP(E948,'Inventaire des produits'!$B$4:$K$1001,8,0),"")</f>
        <v/>
      </c>
      <c r="I948" s="32" t="str">
        <f t="shared" si="26"/>
        <v/>
      </c>
      <c r="K948" s="127" t="str">
        <f t="shared" si="25"/>
        <v/>
      </c>
    </row>
    <row r="949" spans="2:11" x14ac:dyDescent="0.3">
      <c r="B949" s="197"/>
      <c r="C949" s="198"/>
      <c r="D949" s="197"/>
      <c r="E949" s="212"/>
      <c r="F949" s="29" t="str">
        <f>IFERROR(VLOOKUP(E949,'Inventaire des produits'!$B$4:$K$1001,2,0),"")</f>
        <v/>
      </c>
      <c r="G949" s="212"/>
      <c r="H949" s="30" t="str">
        <f>IFERROR(VLOOKUP(E949,'Inventaire des produits'!$B$4:$K$1001,8,0),"")</f>
        <v/>
      </c>
      <c r="I949" s="32" t="str">
        <f t="shared" si="26"/>
        <v/>
      </c>
      <c r="K949" s="127" t="str">
        <f t="shared" si="25"/>
        <v/>
      </c>
    </row>
    <row r="950" spans="2:11" x14ac:dyDescent="0.3">
      <c r="B950" s="197"/>
      <c r="C950" s="198"/>
      <c r="D950" s="197"/>
      <c r="E950" s="212"/>
      <c r="F950" s="29" t="str">
        <f>IFERROR(VLOOKUP(E950,'Inventaire des produits'!$B$4:$K$1001,2,0),"")</f>
        <v/>
      </c>
      <c r="G950" s="212"/>
      <c r="H950" s="30" t="str">
        <f>IFERROR(VLOOKUP(E950,'Inventaire des produits'!$B$4:$K$1001,8,0),"")</f>
        <v/>
      </c>
      <c r="I950" s="32" t="str">
        <f t="shared" si="26"/>
        <v/>
      </c>
      <c r="K950" s="127" t="str">
        <f t="shared" si="25"/>
        <v/>
      </c>
    </row>
    <row r="951" spans="2:11" x14ac:dyDescent="0.3">
      <c r="B951" s="197"/>
      <c r="C951" s="198"/>
      <c r="D951" s="197"/>
      <c r="E951" s="212"/>
      <c r="F951" s="29" t="str">
        <f>IFERROR(VLOOKUP(E951,'Inventaire des produits'!$B$4:$K$1001,2,0),"")</f>
        <v/>
      </c>
      <c r="G951" s="212"/>
      <c r="H951" s="30" t="str">
        <f>IFERROR(VLOOKUP(E951,'Inventaire des produits'!$B$4:$K$1001,8,0),"")</f>
        <v/>
      </c>
      <c r="I951" s="32" t="str">
        <f t="shared" si="26"/>
        <v/>
      </c>
      <c r="K951" s="127" t="str">
        <f t="shared" si="25"/>
        <v/>
      </c>
    </row>
    <row r="952" spans="2:11" x14ac:dyDescent="0.3">
      <c r="B952" s="197"/>
      <c r="C952" s="198"/>
      <c r="D952" s="197"/>
      <c r="E952" s="212"/>
      <c r="F952" s="29" t="str">
        <f>IFERROR(VLOOKUP(E952,'Inventaire des produits'!$B$4:$K$1001,2,0),"")</f>
        <v/>
      </c>
      <c r="G952" s="212"/>
      <c r="H952" s="30" t="str">
        <f>IFERROR(VLOOKUP(E952,'Inventaire des produits'!$B$4:$K$1001,8,0),"")</f>
        <v/>
      </c>
      <c r="I952" s="32" t="str">
        <f t="shared" si="26"/>
        <v/>
      </c>
      <c r="K952" s="127" t="str">
        <f t="shared" si="25"/>
        <v/>
      </c>
    </row>
    <row r="953" spans="2:11" x14ac:dyDescent="0.3">
      <c r="B953" s="197"/>
      <c r="C953" s="198"/>
      <c r="D953" s="197"/>
      <c r="E953" s="212"/>
      <c r="F953" s="29" t="str">
        <f>IFERROR(VLOOKUP(E953,'Inventaire des produits'!$B$4:$K$1001,2,0),"")</f>
        <v/>
      </c>
      <c r="G953" s="212"/>
      <c r="H953" s="30" t="str">
        <f>IFERROR(VLOOKUP(E953,'Inventaire des produits'!$B$4:$K$1001,8,0),"")</f>
        <v/>
      </c>
      <c r="I953" s="32" t="str">
        <f t="shared" si="26"/>
        <v/>
      </c>
      <c r="K953" s="127" t="str">
        <f t="shared" si="25"/>
        <v/>
      </c>
    </row>
    <row r="954" spans="2:11" x14ac:dyDescent="0.3">
      <c r="B954" s="197"/>
      <c r="C954" s="198"/>
      <c r="D954" s="197"/>
      <c r="E954" s="212"/>
      <c r="F954" s="29" t="str">
        <f>IFERROR(VLOOKUP(E954,'Inventaire des produits'!$B$4:$K$1001,2,0),"")</f>
        <v/>
      </c>
      <c r="G954" s="212"/>
      <c r="H954" s="30" t="str">
        <f>IFERROR(VLOOKUP(E954,'Inventaire des produits'!$B$4:$K$1001,8,0),"")</f>
        <v/>
      </c>
      <c r="I954" s="32" t="str">
        <f t="shared" si="26"/>
        <v/>
      </c>
      <c r="K954" s="127" t="str">
        <f t="shared" si="25"/>
        <v/>
      </c>
    </row>
    <row r="955" spans="2:11" x14ac:dyDescent="0.3">
      <c r="B955" s="197"/>
      <c r="C955" s="198"/>
      <c r="D955" s="197"/>
      <c r="E955" s="212"/>
      <c r="F955" s="29" t="str">
        <f>IFERROR(VLOOKUP(E955,'Inventaire des produits'!$B$4:$K$1001,2,0),"")</f>
        <v/>
      </c>
      <c r="G955" s="212"/>
      <c r="H955" s="30" t="str">
        <f>IFERROR(VLOOKUP(E955,'Inventaire des produits'!$B$4:$K$1001,8,0),"")</f>
        <v/>
      </c>
      <c r="I955" s="32" t="str">
        <f t="shared" si="26"/>
        <v/>
      </c>
      <c r="K955" s="127" t="str">
        <f t="shared" si="25"/>
        <v/>
      </c>
    </row>
    <row r="956" spans="2:11" x14ac:dyDescent="0.3">
      <c r="B956" s="197"/>
      <c r="C956" s="198"/>
      <c r="D956" s="197"/>
      <c r="E956" s="212"/>
      <c r="F956" s="29" t="str">
        <f>IFERROR(VLOOKUP(E956,'Inventaire des produits'!$B$4:$K$1001,2,0),"")</f>
        <v/>
      </c>
      <c r="G956" s="212"/>
      <c r="H956" s="30" t="str">
        <f>IFERROR(VLOOKUP(E956,'Inventaire des produits'!$B$4:$K$1001,8,0),"")</f>
        <v/>
      </c>
      <c r="I956" s="32" t="str">
        <f t="shared" si="26"/>
        <v/>
      </c>
      <c r="K956" s="127" t="str">
        <f t="shared" ref="K956:K1019" si="27">IF(J956="","",J956*1.2)</f>
        <v/>
      </c>
    </row>
    <row r="957" spans="2:11" x14ac:dyDescent="0.3">
      <c r="B957" s="197"/>
      <c r="C957" s="198"/>
      <c r="D957" s="197"/>
      <c r="E957" s="212"/>
      <c r="F957" s="29" t="str">
        <f>IFERROR(VLOOKUP(E957,'Inventaire des produits'!$B$4:$K$1001,2,0),"")</f>
        <v/>
      </c>
      <c r="G957" s="212"/>
      <c r="H957" s="30" t="str">
        <f>IFERROR(VLOOKUP(E957,'Inventaire des produits'!$B$4:$K$1001,8,0),"")</f>
        <v/>
      </c>
      <c r="I957" s="32" t="str">
        <f t="shared" si="26"/>
        <v/>
      </c>
      <c r="K957" s="127" t="str">
        <f t="shared" si="27"/>
        <v/>
      </c>
    </row>
    <row r="958" spans="2:11" x14ac:dyDescent="0.3">
      <c r="B958" s="197"/>
      <c r="C958" s="198"/>
      <c r="D958" s="197"/>
      <c r="E958" s="212"/>
      <c r="F958" s="29" t="str">
        <f>IFERROR(VLOOKUP(E958,'Inventaire des produits'!$B$4:$K$1001,2,0),"")</f>
        <v/>
      </c>
      <c r="G958" s="212"/>
      <c r="H958" s="30" t="str">
        <f>IFERROR(VLOOKUP(E958,'Inventaire des produits'!$B$4:$K$1001,8,0),"")</f>
        <v/>
      </c>
      <c r="I958" s="32" t="str">
        <f t="shared" si="26"/>
        <v/>
      </c>
      <c r="K958" s="127" t="str">
        <f t="shared" si="27"/>
        <v/>
      </c>
    </row>
    <row r="959" spans="2:11" x14ac:dyDescent="0.3">
      <c r="B959" s="197"/>
      <c r="C959" s="198"/>
      <c r="D959" s="197"/>
      <c r="E959" s="212"/>
      <c r="F959" s="29" t="str">
        <f>IFERROR(VLOOKUP(E959,'Inventaire des produits'!$B$4:$K$1001,2,0),"")</f>
        <v/>
      </c>
      <c r="G959" s="212"/>
      <c r="H959" s="30" t="str">
        <f>IFERROR(VLOOKUP(E959,'Inventaire des produits'!$B$4:$K$1001,8,0),"")</f>
        <v/>
      </c>
      <c r="I959" s="32" t="str">
        <f t="shared" si="26"/>
        <v/>
      </c>
      <c r="K959" s="127" t="str">
        <f t="shared" si="27"/>
        <v/>
      </c>
    </row>
    <row r="960" spans="2:11" x14ac:dyDescent="0.3">
      <c r="B960" s="197"/>
      <c r="C960" s="198"/>
      <c r="D960" s="197"/>
      <c r="E960" s="212"/>
      <c r="F960" s="29" t="str">
        <f>IFERROR(VLOOKUP(E960,'Inventaire des produits'!$B$4:$K$1001,2,0),"")</f>
        <v/>
      </c>
      <c r="G960" s="212"/>
      <c r="H960" s="30" t="str">
        <f>IFERROR(VLOOKUP(E960,'Inventaire des produits'!$B$4:$K$1001,8,0),"")</f>
        <v/>
      </c>
      <c r="I960" s="32" t="str">
        <f t="shared" si="26"/>
        <v/>
      </c>
      <c r="K960" s="127" t="str">
        <f t="shared" si="27"/>
        <v/>
      </c>
    </row>
    <row r="961" spans="2:11" x14ac:dyDescent="0.3">
      <c r="B961" s="197"/>
      <c r="C961" s="198"/>
      <c r="D961" s="197"/>
      <c r="E961" s="212"/>
      <c r="F961" s="29" t="str">
        <f>IFERROR(VLOOKUP(E961,'Inventaire des produits'!$B$4:$K$1001,2,0),"")</f>
        <v/>
      </c>
      <c r="G961" s="212"/>
      <c r="H961" s="30" t="str">
        <f>IFERROR(VLOOKUP(E961,'Inventaire des produits'!$B$4:$K$1001,8,0),"")</f>
        <v/>
      </c>
      <c r="I961" s="32" t="str">
        <f t="shared" si="26"/>
        <v/>
      </c>
      <c r="K961" s="127" t="str">
        <f t="shared" si="27"/>
        <v/>
      </c>
    </row>
    <row r="962" spans="2:11" x14ac:dyDescent="0.3">
      <c r="B962" s="197"/>
      <c r="C962" s="198"/>
      <c r="D962" s="197"/>
      <c r="E962" s="212"/>
      <c r="F962" s="29" t="str">
        <f>IFERROR(VLOOKUP(E962,'Inventaire des produits'!$B$4:$K$1001,2,0),"")</f>
        <v/>
      </c>
      <c r="G962" s="212"/>
      <c r="H962" s="30" t="str">
        <f>IFERROR(VLOOKUP(E962,'Inventaire des produits'!$B$4:$K$1001,8,0),"")</f>
        <v/>
      </c>
      <c r="I962" s="32" t="str">
        <f t="shared" ref="I962:I1025" si="28">IF(OR(G962="",H962=""),"",G962*H962)</f>
        <v/>
      </c>
      <c r="K962" s="127" t="str">
        <f t="shared" si="27"/>
        <v/>
      </c>
    </row>
    <row r="963" spans="2:11" x14ac:dyDescent="0.3">
      <c r="B963" s="197"/>
      <c r="C963" s="198"/>
      <c r="D963" s="197"/>
      <c r="E963" s="212"/>
      <c r="F963" s="29" t="str">
        <f>IFERROR(VLOOKUP(E963,'Inventaire des produits'!$B$4:$K$1001,2,0),"")</f>
        <v/>
      </c>
      <c r="G963" s="212"/>
      <c r="H963" s="30" t="str">
        <f>IFERROR(VLOOKUP(E963,'Inventaire des produits'!$B$4:$K$1001,8,0),"")</f>
        <v/>
      </c>
      <c r="I963" s="32" t="str">
        <f t="shared" si="28"/>
        <v/>
      </c>
      <c r="K963" s="127" t="str">
        <f t="shared" si="27"/>
        <v/>
      </c>
    </row>
    <row r="964" spans="2:11" x14ac:dyDescent="0.3">
      <c r="B964" s="197"/>
      <c r="C964" s="198"/>
      <c r="D964" s="197"/>
      <c r="E964" s="212"/>
      <c r="F964" s="29" t="str">
        <f>IFERROR(VLOOKUP(E964,'Inventaire des produits'!$B$4:$K$1001,2,0),"")</f>
        <v/>
      </c>
      <c r="G964" s="212"/>
      <c r="H964" s="30" t="str">
        <f>IFERROR(VLOOKUP(E964,'Inventaire des produits'!$B$4:$K$1001,8,0),"")</f>
        <v/>
      </c>
      <c r="I964" s="32" t="str">
        <f t="shared" si="28"/>
        <v/>
      </c>
      <c r="K964" s="127" t="str">
        <f t="shared" si="27"/>
        <v/>
      </c>
    </row>
    <row r="965" spans="2:11" x14ac:dyDescent="0.3">
      <c r="B965" s="197"/>
      <c r="C965" s="198"/>
      <c r="D965" s="197"/>
      <c r="E965" s="212"/>
      <c r="F965" s="29" t="str">
        <f>IFERROR(VLOOKUP(E965,'Inventaire des produits'!$B$4:$K$1001,2,0),"")</f>
        <v/>
      </c>
      <c r="G965" s="212"/>
      <c r="H965" s="30" t="str">
        <f>IFERROR(VLOOKUP(E965,'Inventaire des produits'!$B$4:$K$1001,8,0),"")</f>
        <v/>
      </c>
      <c r="I965" s="32" t="str">
        <f t="shared" si="28"/>
        <v/>
      </c>
      <c r="K965" s="127" t="str">
        <f t="shared" si="27"/>
        <v/>
      </c>
    </row>
    <row r="966" spans="2:11" x14ac:dyDescent="0.3">
      <c r="B966" s="197"/>
      <c r="C966" s="198"/>
      <c r="D966" s="197"/>
      <c r="E966" s="212"/>
      <c r="F966" s="29" t="str">
        <f>IFERROR(VLOOKUP(E966,'Inventaire des produits'!$B$4:$K$1001,2,0),"")</f>
        <v/>
      </c>
      <c r="G966" s="212"/>
      <c r="H966" s="30" t="str">
        <f>IFERROR(VLOOKUP(E966,'Inventaire des produits'!$B$4:$K$1001,8,0),"")</f>
        <v/>
      </c>
      <c r="I966" s="32" t="str">
        <f t="shared" si="28"/>
        <v/>
      </c>
      <c r="K966" s="127" t="str">
        <f t="shared" si="27"/>
        <v/>
      </c>
    </row>
    <row r="967" spans="2:11" x14ac:dyDescent="0.3">
      <c r="B967" s="197"/>
      <c r="C967" s="198"/>
      <c r="D967" s="197"/>
      <c r="E967" s="212"/>
      <c r="F967" s="29" t="str">
        <f>IFERROR(VLOOKUP(E967,'Inventaire des produits'!$B$4:$K$1001,2,0),"")</f>
        <v/>
      </c>
      <c r="G967" s="212"/>
      <c r="H967" s="30" t="str">
        <f>IFERROR(VLOOKUP(E967,'Inventaire des produits'!$B$4:$K$1001,8,0),"")</f>
        <v/>
      </c>
      <c r="I967" s="32" t="str">
        <f t="shared" si="28"/>
        <v/>
      </c>
      <c r="K967" s="127" t="str">
        <f t="shared" si="27"/>
        <v/>
      </c>
    </row>
    <row r="968" spans="2:11" x14ac:dyDescent="0.3">
      <c r="B968" s="197"/>
      <c r="C968" s="198"/>
      <c r="D968" s="197"/>
      <c r="E968" s="212"/>
      <c r="F968" s="29" t="str">
        <f>IFERROR(VLOOKUP(E968,'Inventaire des produits'!$B$4:$K$1001,2,0),"")</f>
        <v/>
      </c>
      <c r="G968" s="212"/>
      <c r="H968" s="30" t="str">
        <f>IFERROR(VLOOKUP(E968,'Inventaire des produits'!$B$4:$K$1001,8,0),"")</f>
        <v/>
      </c>
      <c r="I968" s="32" t="str">
        <f t="shared" si="28"/>
        <v/>
      </c>
      <c r="K968" s="127" t="str">
        <f t="shared" si="27"/>
        <v/>
      </c>
    </row>
    <row r="969" spans="2:11" x14ac:dyDescent="0.3">
      <c r="B969" s="197"/>
      <c r="C969" s="198"/>
      <c r="D969" s="197"/>
      <c r="E969" s="212"/>
      <c r="F969" s="29" t="str">
        <f>IFERROR(VLOOKUP(E969,'Inventaire des produits'!$B$4:$K$1001,2,0),"")</f>
        <v/>
      </c>
      <c r="G969" s="212"/>
      <c r="H969" s="30" t="str">
        <f>IFERROR(VLOOKUP(E969,'Inventaire des produits'!$B$4:$K$1001,8,0),"")</f>
        <v/>
      </c>
      <c r="I969" s="32" t="str">
        <f t="shared" si="28"/>
        <v/>
      </c>
      <c r="K969" s="127" t="str">
        <f t="shared" si="27"/>
        <v/>
      </c>
    </row>
    <row r="970" spans="2:11" x14ac:dyDescent="0.3">
      <c r="B970" s="197"/>
      <c r="C970" s="198"/>
      <c r="D970" s="197"/>
      <c r="E970" s="212"/>
      <c r="F970" s="29" t="str">
        <f>IFERROR(VLOOKUP(E970,'Inventaire des produits'!$B$4:$K$1001,2,0),"")</f>
        <v/>
      </c>
      <c r="G970" s="212"/>
      <c r="H970" s="30" t="str">
        <f>IFERROR(VLOOKUP(E970,'Inventaire des produits'!$B$4:$K$1001,8,0),"")</f>
        <v/>
      </c>
      <c r="I970" s="32" t="str">
        <f t="shared" si="28"/>
        <v/>
      </c>
      <c r="K970" s="127" t="str">
        <f t="shared" si="27"/>
        <v/>
      </c>
    </row>
    <row r="971" spans="2:11" x14ac:dyDescent="0.3">
      <c r="B971" s="197"/>
      <c r="C971" s="198"/>
      <c r="D971" s="197"/>
      <c r="E971" s="212"/>
      <c r="F971" s="29" t="str">
        <f>IFERROR(VLOOKUP(E971,'Inventaire des produits'!$B$4:$K$1001,2,0),"")</f>
        <v/>
      </c>
      <c r="G971" s="212"/>
      <c r="H971" s="30" t="str">
        <f>IFERROR(VLOOKUP(E971,'Inventaire des produits'!$B$4:$K$1001,8,0),"")</f>
        <v/>
      </c>
      <c r="I971" s="32" t="str">
        <f t="shared" si="28"/>
        <v/>
      </c>
      <c r="K971" s="127" t="str">
        <f t="shared" si="27"/>
        <v/>
      </c>
    </row>
    <row r="972" spans="2:11" x14ac:dyDescent="0.3">
      <c r="B972" s="197"/>
      <c r="C972" s="198"/>
      <c r="D972" s="197"/>
      <c r="E972" s="212"/>
      <c r="F972" s="29" t="str">
        <f>IFERROR(VLOOKUP(E972,'Inventaire des produits'!$B$4:$K$1001,2,0),"")</f>
        <v/>
      </c>
      <c r="G972" s="212"/>
      <c r="H972" s="30" t="str">
        <f>IFERROR(VLOOKUP(E972,'Inventaire des produits'!$B$4:$K$1001,8,0),"")</f>
        <v/>
      </c>
      <c r="I972" s="32" t="str">
        <f t="shared" si="28"/>
        <v/>
      </c>
      <c r="K972" s="127" t="str">
        <f t="shared" si="27"/>
        <v/>
      </c>
    </row>
    <row r="973" spans="2:11" x14ac:dyDescent="0.3">
      <c r="B973" s="197"/>
      <c r="C973" s="198"/>
      <c r="D973" s="197"/>
      <c r="E973" s="212"/>
      <c r="F973" s="29" t="str">
        <f>IFERROR(VLOOKUP(E973,'Inventaire des produits'!$B$4:$K$1001,2,0),"")</f>
        <v/>
      </c>
      <c r="G973" s="212"/>
      <c r="H973" s="30" t="str">
        <f>IFERROR(VLOOKUP(E973,'Inventaire des produits'!$B$4:$K$1001,8,0),"")</f>
        <v/>
      </c>
      <c r="I973" s="32" t="str">
        <f t="shared" si="28"/>
        <v/>
      </c>
      <c r="K973" s="127" t="str">
        <f t="shared" si="27"/>
        <v/>
      </c>
    </row>
    <row r="974" spans="2:11" x14ac:dyDescent="0.3">
      <c r="B974" s="197"/>
      <c r="C974" s="198"/>
      <c r="D974" s="197"/>
      <c r="E974" s="212"/>
      <c r="F974" s="29" t="str">
        <f>IFERROR(VLOOKUP(E974,'Inventaire des produits'!$B$4:$K$1001,2,0),"")</f>
        <v/>
      </c>
      <c r="G974" s="212"/>
      <c r="H974" s="30" t="str">
        <f>IFERROR(VLOOKUP(E974,'Inventaire des produits'!$B$4:$K$1001,8,0),"")</f>
        <v/>
      </c>
      <c r="I974" s="32" t="str">
        <f t="shared" si="28"/>
        <v/>
      </c>
      <c r="K974" s="127" t="str">
        <f t="shared" si="27"/>
        <v/>
      </c>
    </row>
    <row r="975" spans="2:11" x14ac:dyDescent="0.3">
      <c r="B975" s="197"/>
      <c r="C975" s="198"/>
      <c r="D975" s="197"/>
      <c r="E975" s="212"/>
      <c r="F975" s="29" t="str">
        <f>IFERROR(VLOOKUP(E975,'Inventaire des produits'!$B$4:$K$1001,2,0),"")</f>
        <v/>
      </c>
      <c r="G975" s="212"/>
      <c r="H975" s="30" t="str">
        <f>IFERROR(VLOOKUP(E975,'Inventaire des produits'!$B$4:$K$1001,8,0),"")</f>
        <v/>
      </c>
      <c r="I975" s="32" t="str">
        <f t="shared" si="28"/>
        <v/>
      </c>
      <c r="K975" s="127" t="str">
        <f t="shared" si="27"/>
        <v/>
      </c>
    </row>
    <row r="976" spans="2:11" x14ac:dyDescent="0.3">
      <c r="B976" s="197"/>
      <c r="C976" s="198"/>
      <c r="D976" s="197"/>
      <c r="E976" s="212"/>
      <c r="F976" s="29" t="str">
        <f>IFERROR(VLOOKUP(E976,'Inventaire des produits'!$B$4:$K$1001,2,0),"")</f>
        <v/>
      </c>
      <c r="G976" s="212"/>
      <c r="H976" s="30" t="str">
        <f>IFERROR(VLOOKUP(E976,'Inventaire des produits'!$B$4:$K$1001,8,0),"")</f>
        <v/>
      </c>
      <c r="I976" s="32" t="str">
        <f t="shared" si="28"/>
        <v/>
      </c>
      <c r="K976" s="127" t="str">
        <f t="shared" si="27"/>
        <v/>
      </c>
    </row>
    <row r="977" spans="2:11" x14ac:dyDescent="0.3">
      <c r="B977" s="197"/>
      <c r="C977" s="198"/>
      <c r="D977" s="197"/>
      <c r="E977" s="212"/>
      <c r="F977" s="29" t="str">
        <f>IFERROR(VLOOKUP(E977,'Inventaire des produits'!$B$4:$K$1001,2,0),"")</f>
        <v/>
      </c>
      <c r="G977" s="212"/>
      <c r="H977" s="30" t="str">
        <f>IFERROR(VLOOKUP(E977,'Inventaire des produits'!$B$4:$K$1001,8,0),"")</f>
        <v/>
      </c>
      <c r="I977" s="32" t="str">
        <f t="shared" si="28"/>
        <v/>
      </c>
      <c r="K977" s="127" t="str">
        <f t="shared" si="27"/>
        <v/>
      </c>
    </row>
    <row r="978" spans="2:11" x14ac:dyDescent="0.3">
      <c r="B978" s="197"/>
      <c r="C978" s="198"/>
      <c r="D978" s="197"/>
      <c r="E978" s="212"/>
      <c r="F978" s="29" t="str">
        <f>IFERROR(VLOOKUP(E978,'Inventaire des produits'!$B$4:$K$1001,2,0),"")</f>
        <v/>
      </c>
      <c r="G978" s="212"/>
      <c r="H978" s="30" t="str">
        <f>IFERROR(VLOOKUP(E978,'Inventaire des produits'!$B$4:$K$1001,8,0),"")</f>
        <v/>
      </c>
      <c r="I978" s="32" t="str">
        <f t="shared" si="28"/>
        <v/>
      </c>
      <c r="K978" s="127" t="str">
        <f t="shared" si="27"/>
        <v/>
      </c>
    </row>
    <row r="979" spans="2:11" x14ac:dyDescent="0.3">
      <c r="B979" s="197"/>
      <c r="C979" s="198"/>
      <c r="D979" s="197"/>
      <c r="E979" s="212"/>
      <c r="F979" s="29" t="str">
        <f>IFERROR(VLOOKUP(E979,'Inventaire des produits'!$B$4:$K$1001,2,0),"")</f>
        <v/>
      </c>
      <c r="G979" s="212"/>
      <c r="H979" s="30" t="str">
        <f>IFERROR(VLOOKUP(E979,'Inventaire des produits'!$B$4:$K$1001,8,0),"")</f>
        <v/>
      </c>
      <c r="I979" s="32" t="str">
        <f t="shared" si="28"/>
        <v/>
      </c>
      <c r="K979" s="127" t="str">
        <f t="shared" si="27"/>
        <v/>
      </c>
    </row>
    <row r="980" spans="2:11" x14ac:dyDescent="0.3">
      <c r="B980" s="197"/>
      <c r="C980" s="198"/>
      <c r="D980" s="197"/>
      <c r="E980" s="212"/>
      <c r="F980" s="29" t="str">
        <f>IFERROR(VLOOKUP(E980,'Inventaire des produits'!$B$4:$K$1001,2,0),"")</f>
        <v/>
      </c>
      <c r="G980" s="212"/>
      <c r="H980" s="30" t="str">
        <f>IFERROR(VLOOKUP(E980,'Inventaire des produits'!$B$4:$K$1001,8,0),"")</f>
        <v/>
      </c>
      <c r="I980" s="32" t="str">
        <f t="shared" si="28"/>
        <v/>
      </c>
      <c r="K980" s="127" t="str">
        <f t="shared" si="27"/>
        <v/>
      </c>
    </row>
    <row r="981" spans="2:11" x14ac:dyDescent="0.3">
      <c r="B981" s="197"/>
      <c r="C981" s="198"/>
      <c r="D981" s="197"/>
      <c r="E981" s="212"/>
      <c r="F981" s="29" t="str">
        <f>IFERROR(VLOOKUP(E981,'Inventaire des produits'!$B$4:$K$1001,2,0),"")</f>
        <v/>
      </c>
      <c r="G981" s="212"/>
      <c r="H981" s="30" t="str">
        <f>IFERROR(VLOOKUP(E981,'Inventaire des produits'!$B$4:$K$1001,8,0),"")</f>
        <v/>
      </c>
      <c r="I981" s="32" t="str">
        <f t="shared" si="28"/>
        <v/>
      </c>
      <c r="K981" s="127" t="str">
        <f t="shared" si="27"/>
        <v/>
      </c>
    </row>
    <row r="982" spans="2:11" x14ac:dyDescent="0.3">
      <c r="B982" s="197"/>
      <c r="C982" s="198"/>
      <c r="D982" s="197"/>
      <c r="E982" s="212"/>
      <c r="F982" s="29" t="str">
        <f>IFERROR(VLOOKUP(E982,'Inventaire des produits'!$B$4:$K$1001,2,0),"")</f>
        <v/>
      </c>
      <c r="G982" s="212"/>
      <c r="H982" s="30" t="str">
        <f>IFERROR(VLOOKUP(E982,'Inventaire des produits'!$B$4:$K$1001,8,0),"")</f>
        <v/>
      </c>
      <c r="I982" s="32" t="str">
        <f t="shared" si="28"/>
        <v/>
      </c>
      <c r="K982" s="127" t="str">
        <f t="shared" si="27"/>
        <v/>
      </c>
    </row>
    <row r="983" spans="2:11" x14ac:dyDescent="0.3">
      <c r="B983" s="197"/>
      <c r="C983" s="198"/>
      <c r="D983" s="197"/>
      <c r="E983" s="212"/>
      <c r="F983" s="29" t="str">
        <f>IFERROR(VLOOKUP(E983,'Inventaire des produits'!$B$4:$K$1001,2,0),"")</f>
        <v/>
      </c>
      <c r="G983" s="212"/>
      <c r="H983" s="30" t="str">
        <f>IFERROR(VLOOKUP(E983,'Inventaire des produits'!$B$4:$K$1001,8,0),"")</f>
        <v/>
      </c>
      <c r="I983" s="32" t="str">
        <f t="shared" si="28"/>
        <v/>
      </c>
      <c r="K983" s="127" t="str">
        <f t="shared" si="27"/>
        <v/>
      </c>
    </row>
    <row r="984" spans="2:11" x14ac:dyDescent="0.3">
      <c r="B984" s="197"/>
      <c r="C984" s="198"/>
      <c r="D984" s="197"/>
      <c r="E984" s="212"/>
      <c r="F984" s="29" t="str">
        <f>IFERROR(VLOOKUP(E984,'Inventaire des produits'!$B$4:$K$1001,2,0),"")</f>
        <v/>
      </c>
      <c r="G984" s="212"/>
      <c r="H984" s="30" t="str">
        <f>IFERROR(VLOOKUP(E984,'Inventaire des produits'!$B$4:$K$1001,8,0),"")</f>
        <v/>
      </c>
      <c r="I984" s="32" t="str">
        <f t="shared" si="28"/>
        <v/>
      </c>
      <c r="K984" s="127" t="str">
        <f t="shared" si="27"/>
        <v/>
      </c>
    </row>
    <row r="985" spans="2:11" x14ac:dyDescent="0.3">
      <c r="B985" s="197"/>
      <c r="C985" s="198"/>
      <c r="D985" s="197"/>
      <c r="E985" s="212"/>
      <c r="F985" s="29" t="str">
        <f>IFERROR(VLOOKUP(E985,'Inventaire des produits'!$B$4:$K$1001,2,0),"")</f>
        <v/>
      </c>
      <c r="G985" s="212"/>
      <c r="H985" s="30" t="str">
        <f>IFERROR(VLOOKUP(E985,'Inventaire des produits'!$B$4:$K$1001,8,0),"")</f>
        <v/>
      </c>
      <c r="I985" s="32" t="str">
        <f t="shared" si="28"/>
        <v/>
      </c>
      <c r="K985" s="127" t="str">
        <f t="shared" si="27"/>
        <v/>
      </c>
    </row>
    <row r="986" spans="2:11" x14ac:dyDescent="0.3">
      <c r="B986" s="197"/>
      <c r="C986" s="198"/>
      <c r="D986" s="197"/>
      <c r="E986" s="212"/>
      <c r="F986" s="29" t="str">
        <f>IFERROR(VLOOKUP(E986,'Inventaire des produits'!$B$4:$K$1001,2,0),"")</f>
        <v/>
      </c>
      <c r="G986" s="212"/>
      <c r="H986" s="30" t="str">
        <f>IFERROR(VLOOKUP(E986,'Inventaire des produits'!$B$4:$K$1001,8,0),"")</f>
        <v/>
      </c>
      <c r="I986" s="32" t="str">
        <f t="shared" si="28"/>
        <v/>
      </c>
      <c r="K986" s="127" t="str">
        <f t="shared" si="27"/>
        <v/>
      </c>
    </row>
    <row r="987" spans="2:11" x14ac:dyDescent="0.3">
      <c r="B987" s="197"/>
      <c r="C987" s="198"/>
      <c r="D987" s="197"/>
      <c r="E987" s="212"/>
      <c r="F987" s="29" t="str">
        <f>IFERROR(VLOOKUP(E987,'Inventaire des produits'!$B$4:$K$1001,2,0),"")</f>
        <v/>
      </c>
      <c r="G987" s="212"/>
      <c r="H987" s="30" t="str">
        <f>IFERROR(VLOOKUP(E987,'Inventaire des produits'!$B$4:$K$1001,8,0),"")</f>
        <v/>
      </c>
      <c r="I987" s="32" t="str">
        <f t="shared" si="28"/>
        <v/>
      </c>
      <c r="K987" s="127" t="str">
        <f t="shared" si="27"/>
        <v/>
      </c>
    </row>
    <row r="988" spans="2:11" x14ac:dyDescent="0.3">
      <c r="B988" s="197"/>
      <c r="C988" s="198"/>
      <c r="D988" s="197"/>
      <c r="E988" s="212"/>
      <c r="F988" s="29" t="str">
        <f>IFERROR(VLOOKUP(E988,'Inventaire des produits'!$B$4:$K$1001,2,0),"")</f>
        <v/>
      </c>
      <c r="G988" s="212"/>
      <c r="H988" s="30" t="str">
        <f>IFERROR(VLOOKUP(E988,'Inventaire des produits'!$B$4:$K$1001,8,0),"")</f>
        <v/>
      </c>
      <c r="I988" s="32" t="str">
        <f t="shared" si="28"/>
        <v/>
      </c>
      <c r="K988" s="127" t="str">
        <f t="shared" si="27"/>
        <v/>
      </c>
    </row>
    <row r="989" spans="2:11" x14ac:dyDescent="0.3">
      <c r="B989" s="197"/>
      <c r="C989" s="198"/>
      <c r="D989" s="197"/>
      <c r="E989" s="212"/>
      <c r="F989" s="29" t="str">
        <f>IFERROR(VLOOKUP(E989,'Inventaire des produits'!$B$4:$K$1001,2,0),"")</f>
        <v/>
      </c>
      <c r="G989" s="212"/>
      <c r="H989" s="30" t="str">
        <f>IFERROR(VLOOKUP(E989,'Inventaire des produits'!$B$4:$K$1001,8,0),"")</f>
        <v/>
      </c>
      <c r="I989" s="32" t="str">
        <f t="shared" si="28"/>
        <v/>
      </c>
      <c r="K989" s="127" t="str">
        <f t="shared" si="27"/>
        <v/>
      </c>
    </row>
    <row r="990" spans="2:11" x14ac:dyDescent="0.3">
      <c r="B990" s="197"/>
      <c r="C990" s="198"/>
      <c r="D990" s="197"/>
      <c r="E990" s="212"/>
      <c r="F990" s="29" t="str">
        <f>IFERROR(VLOOKUP(E990,'Inventaire des produits'!$B$4:$K$1001,2,0),"")</f>
        <v/>
      </c>
      <c r="G990" s="212"/>
      <c r="H990" s="30" t="str">
        <f>IFERROR(VLOOKUP(E990,'Inventaire des produits'!$B$4:$K$1001,8,0),"")</f>
        <v/>
      </c>
      <c r="I990" s="32" t="str">
        <f t="shared" si="28"/>
        <v/>
      </c>
      <c r="K990" s="127" t="str">
        <f t="shared" si="27"/>
        <v/>
      </c>
    </row>
    <row r="991" spans="2:11" x14ac:dyDescent="0.3">
      <c r="B991" s="197"/>
      <c r="C991" s="198"/>
      <c r="D991" s="197"/>
      <c r="E991" s="212"/>
      <c r="F991" s="29" t="str">
        <f>IFERROR(VLOOKUP(E991,'Inventaire des produits'!$B$4:$K$1001,2,0),"")</f>
        <v/>
      </c>
      <c r="G991" s="212"/>
      <c r="H991" s="30" t="str">
        <f>IFERROR(VLOOKUP(E991,'Inventaire des produits'!$B$4:$K$1001,8,0),"")</f>
        <v/>
      </c>
      <c r="I991" s="32" t="str">
        <f t="shared" si="28"/>
        <v/>
      </c>
      <c r="K991" s="127" t="str">
        <f t="shared" si="27"/>
        <v/>
      </c>
    </row>
    <row r="992" spans="2:11" x14ac:dyDescent="0.3">
      <c r="B992" s="197"/>
      <c r="C992" s="198"/>
      <c r="D992" s="197"/>
      <c r="E992" s="212"/>
      <c r="F992" s="29" t="str">
        <f>IFERROR(VLOOKUP(E992,'Inventaire des produits'!$B$4:$K$1001,2,0),"")</f>
        <v/>
      </c>
      <c r="G992" s="212"/>
      <c r="H992" s="30" t="str">
        <f>IFERROR(VLOOKUP(E992,'Inventaire des produits'!$B$4:$K$1001,8,0),"")</f>
        <v/>
      </c>
      <c r="I992" s="32" t="str">
        <f t="shared" si="28"/>
        <v/>
      </c>
      <c r="K992" s="127" t="str">
        <f t="shared" si="27"/>
        <v/>
      </c>
    </row>
    <row r="993" spans="2:11" x14ac:dyDescent="0.3">
      <c r="B993" s="197"/>
      <c r="C993" s="198"/>
      <c r="D993" s="197"/>
      <c r="E993" s="212"/>
      <c r="F993" s="29" t="str">
        <f>IFERROR(VLOOKUP(E993,'Inventaire des produits'!$B$4:$K$1001,2,0),"")</f>
        <v/>
      </c>
      <c r="G993" s="212"/>
      <c r="H993" s="30" t="str">
        <f>IFERROR(VLOOKUP(E993,'Inventaire des produits'!$B$4:$K$1001,8,0),"")</f>
        <v/>
      </c>
      <c r="I993" s="32" t="str">
        <f t="shared" si="28"/>
        <v/>
      </c>
      <c r="K993" s="127" t="str">
        <f t="shared" si="27"/>
        <v/>
      </c>
    </row>
    <row r="994" spans="2:11" x14ac:dyDescent="0.3">
      <c r="B994" s="197"/>
      <c r="C994" s="198"/>
      <c r="D994" s="197"/>
      <c r="E994" s="212"/>
      <c r="F994" s="29" t="str">
        <f>IFERROR(VLOOKUP(E994,'Inventaire des produits'!$B$4:$K$1001,2,0),"")</f>
        <v/>
      </c>
      <c r="G994" s="212"/>
      <c r="H994" s="30" t="str">
        <f>IFERROR(VLOOKUP(E994,'Inventaire des produits'!$B$4:$K$1001,8,0),"")</f>
        <v/>
      </c>
      <c r="I994" s="32" t="str">
        <f t="shared" si="28"/>
        <v/>
      </c>
      <c r="K994" s="127" t="str">
        <f t="shared" si="27"/>
        <v/>
      </c>
    </row>
    <row r="995" spans="2:11" x14ac:dyDescent="0.3">
      <c r="B995" s="197"/>
      <c r="C995" s="198"/>
      <c r="D995" s="197"/>
      <c r="E995" s="212"/>
      <c r="F995" s="29" t="str">
        <f>IFERROR(VLOOKUP(E995,'Inventaire des produits'!$B$4:$K$1001,2,0),"")</f>
        <v/>
      </c>
      <c r="G995" s="212"/>
      <c r="H995" s="30" t="str">
        <f>IFERROR(VLOOKUP(E995,'Inventaire des produits'!$B$4:$K$1001,8,0),"")</f>
        <v/>
      </c>
      <c r="I995" s="32" t="str">
        <f t="shared" si="28"/>
        <v/>
      </c>
      <c r="K995" s="127" t="str">
        <f t="shared" si="27"/>
        <v/>
      </c>
    </row>
    <row r="996" spans="2:11" x14ac:dyDescent="0.3">
      <c r="B996" s="197"/>
      <c r="C996" s="198"/>
      <c r="D996" s="197"/>
      <c r="E996" s="212"/>
      <c r="F996" s="29" t="str">
        <f>IFERROR(VLOOKUP(E996,'Inventaire des produits'!$B$4:$K$1001,2,0),"")</f>
        <v/>
      </c>
      <c r="G996" s="212"/>
      <c r="H996" s="30" t="str">
        <f>IFERROR(VLOOKUP(E996,'Inventaire des produits'!$B$4:$K$1001,8,0),"")</f>
        <v/>
      </c>
      <c r="I996" s="32" t="str">
        <f t="shared" si="28"/>
        <v/>
      </c>
      <c r="K996" s="127" t="str">
        <f t="shared" si="27"/>
        <v/>
      </c>
    </row>
    <row r="997" spans="2:11" x14ac:dyDescent="0.3">
      <c r="B997" s="197"/>
      <c r="C997" s="198"/>
      <c r="D997" s="197"/>
      <c r="E997" s="212"/>
      <c r="F997" s="29" t="str">
        <f>IFERROR(VLOOKUP(E997,'Inventaire des produits'!$B$4:$K$1001,2,0),"")</f>
        <v/>
      </c>
      <c r="G997" s="212"/>
      <c r="H997" s="30" t="str">
        <f>IFERROR(VLOOKUP(E997,'Inventaire des produits'!$B$4:$K$1001,8,0),"")</f>
        <v/>
      </c>
      <c r="I997" s="32" t="str">
        <f t="shared" si="28"/>
        <v/>
      </c>
      <c r="K997" s="127" t="str">
        <f t="shared" si="27"/>
        <v/>
      </c>
    </row>
    <row r="998" spans="2:11" x14ac:dyDescent="0.3">
      <c r="B998" s="197"/>
      <c r="C998" s="198"/>
      <c r="D998" s="197"/>
      <c r="E998" s="212"/>
      <c r="F998" s="29" t="str">
        <f>IFERROR(VLOOKUP(E998,'Inventaire des produits'!$B$4:$K$1001,2,0),"")</f>
        <v/>
      </c>
      <c r="G998" s="212"/>
      <c r="H998" s="30" t="str">
        <f>IFERROR(VLOOKUP(E998,'Inventaire des produits'!$B$4:$K$1001,8,0),"")</f>
        <v/>
      </c>
      <c r="I998" s="32" t="str">
        <f t="shared" si="28"/>
        <v/>
      </c>
      <c r="K998" s="127" t="str">
        <f t="shared" si="27"/>
        <v/>
      </c>
    </row>
    <row r="999" spans="2:11" x14ac:dyDescent="0.3">
      <c r="B999" s="197"/>
      <c r="C999" s="198"/>
      <c r="D999" s="197"/>
      <c r="E999" s="212"/>
      <c r="F999" s="29" t="str">
        <f>IFERROR(VLOOKUP(E999,'Inventaire des produits'!$B$4:$K$1001,2,0),"")</f>
        <v/>
      </c>
      <c r="G999" s="212"/>
      <c r="H999" s="30" t="str">
        <f>IFERROR(VLOOKUP(E999,'Inventaire des produits'!$B$4:$K$1001,8,0),"")</f>
        <v/>
      </c>
      <c r="I999" s="32" t="str">
        <f t="shared" si="28"/>
        <v/>
      </c>
      <c r="K999" s="127" t="str">
        <f t="shared" si="27"/>
        <v/>
      </c>
    </row>
    <row r="1000" spans="2:11" x14ac:dyDescent="0.3">
      <c r="B1000" s="197"/>
      <c r="C1000" s="198"/>
      <c r="D1000" s="197"/>
      <c r="E1000" s="212"/>
      <c r="F1000" s="29" t="str">
        <f>IFERROR(VLOOKUP(E1000,'Inventaire des produits'!$B$4:$K$1001,2,0),"")</f>
        <v/>
      </c>
      <c r="G1000" s="212"/>
      <c r="H1000" s="30" t="str">
        <f>IFERROR(VLOOKUP(E1000,'Inventaire des produits'!$B$4:$K$1001,8,0),"")</f>
        <v/>
      </c>
      <c r="I1000" s="32" t="str">
        <f t="shared" si="28"/>
        <v/>
      </c>
      <c r="K1000" s="127" t="str">
        <f t="shared" si="27"/>
        <v/>
      </c>
    </row>
    <row r="1001" spans="2:11" x14ac:dyDescent="0.3">
      <c r="B1001" s="197"/>
      <c r="C1001" s="198"/>
      <c r="D1001" s="197"/>
      <c r="E1001" s="212"/>
      <c r="F1001" s="29" t="str">
        <f>IFERROR(VLOOKUP(E1001,'Inventaire des produits'!$B$4:$K$1001,2,0),"")</f>
        <v/>
      </c>
      <c r="G1001" s="212"/>
      <c r="H1001" s="30" t="str">
        <f>IFERROR(VLOOKUP(E1001,'Inventaire des produits'!$B$4:$K$1001,8,0),"")</f>
        <v/>
      </c>
      <c r="I1001" s="32" t="str">
        <f t="shared" si="28"/>
        <v/>
      </c>
      <c r="K1001" s="127" t="str">
        <f t="shared" si="27"/>
        <v/>
      </c>
    </row>
    <row r="1002" spans="2:11" x14ac:dyDescent="0.3">
      <c r="B1002" s="197"/>
      <c r="C1002" s="198"/>
      <c r="D1002" s="197"/>
      <c r="E1002" s="212"/>
      <c r="F1002" s="29" t="str">
        <f>IFERROR(VLOOKUP(E1002,'Inventaire des produits'!$B$4:$K$1001,2,0),"")</f>
        <v/>
      </c>
      <c r="G1002" s="212"/>
      <c r="H1002" s="30" t="str">
        <f>IFERROR(VLOOKUP(E1002,'Inventaire des produits'!$B$4:$K$1001,8,0),"")</f>
        <v/>
      </c>
      <c r="I1002" s="32" t="str">
        <f t="shared" si="28"/>
        <v/>
      </c>
      <c r="K1002" s="127" t="str">
        <f t="shared" si="27"/>
        <v/>
      </c>
    </row>
    <row r="1003" spans="2:11" x14ac:dyDescent="0.3">
      <c r="B1003" s="197"/>
      <c r="C1003" s="198"/>
      <c r="D1003" s="197"/>
      <c r="E1003" s="212"/>
      <c r="F1003" s="29" t="str">
        <f>IFERROR(VLOOKUP(E1003,'Inventaire des produits'!$B$4:$K$1001,2,0),"")</f>
        <v/>
      </c>
      <c r="G1003" s="212"/>
      <c r="H1003" s="30" t="str">
        <f>IFERROR(VLOOKUP(E1003,'Inventaire des produits'!$B$4:$K$1001,8,0),"")</f>
        <v/>
      </c>
      <c r="I1003" s="32" t="str">
        <f t="shared" si="28"/>
        <v/>
      </c>
      <c r="K1003" s="127" t="str">
        <f t="shared" si="27"/>
        <v/>
      </c>
    </row>
    <row r="1004" spans="2:11" x14ac:dyDescent="0.3">
      <c r="B1004" s="197"/>
      <c r="C1004" s="198"/>
      <c r="D1004" s="197"/>
      <c r="E1004" s="212"/>
      <c r="F1004" s="29" t="str">
        <f>IFERROR(VLOOKUP(E1004,'Inventaire des produits'!$B$4:$K$1001,2,0),"")</f>
        <v/>
      </c>
      <c r="G1004" s="212"/>
      <c r="H1004" s="30" t="str">
        <f>IFERROR(VLOOKUP(E1004,'Inventaire des produits'!$B$4:$K$1001,8,0),"")</f>
        <v/>
      </c>
      <c r="I1004" s="32" t="str">
        <f t="shared" si="28"/>
        <v/>
      </c>
      <c r="K1004" s="127" t="str">
        <f t="shared" si="27"/>
        <v/>
      </c>
    </row>
    <row r="1005" spans="2:11" x14ac:dyDescent="0.3">
      <c r="B1005" s="197"/>
      <c r="C1005" s="198"/>
      <c r="D1005" s="197"/>
      <c r="E1005" s="212"/>
      <c r="F1005" s="29" t="str">
        <f>IFERROR(VLOOKUP(E1005,'Inventaire des produits'!$B$4:$K$1001,2,0),"")</f>
        <v/>
      </c>
      <c r="G1005" s="212"/>
      <c r="H1005" s="30" t="str">
        <f>IFERROR(VLOOKUP(E1005,'Inventaire des produits'!$B$4:$K$1001,8,0),"")</f>
        <v/>
      </c>
      <c r="I1005" s="32" t="str">
        <f t="shared" si="28"/>
        <v/>
      </c>
      <c r="K1005" s="127" t="str">
        <f t="shared" si="27"/>
        <v/>
      </c>
    </row>
    <row r="1006" spans="2:11" x14ac:dyDescent="0.3">
      <c r="B1006" s="197"/>
      <c r="C1006" s="198"/>
      <c r="D1006" s="197"/>
      <c r="E1006" s="212"/>
      <c r="F1006" s="29" t="str">
        <f>IFERROR(VLOOKUP(E1006,'Inventaire des produits'!$B$4:$K$1001,2,0),"")</f>
        <v/>
      </c>
      <c r="G1006" s="212"/>
      <c r="H1006" s="30" t="str">
        <f>IFERROR(VLOOKUP(E1006,'Inventaire des produits'!$B$4:$K$1001,8,0),"")</f>
        <v/>
      </c>
      <c r="I1006" s="32" t="str">
        <f t="shared" si="28"/>
        <v/>
      </c>
      <c r="K1006" s="127" t="str">
        <f t="shared" si="27"/>
        <v/>
      </c>
    </row>
    <row r="1007" spans="2:11" x14ac:dyDescent="0.3">
      <c r="B1007" s="197"/>
      <c r="C1007" s="198"/>
      <c r="D1007" s="197"/>
      <c r="E1007" s="212"/>
      <c r="F1007" s="29" t="str">
        <f>IFERROR(VLOOKUP(E1007,'Inventaire des produits'!$B$4:$K$1001,2,0),"")</f>
        <v/>
      </c>
      <c r="G1007" s="212"/>
      <c r="H1007" s="30" t="str">
        <f>IFERROR(VLOOKUP(E1007,'Inventaire des produits'!$B$4:$K$1001,8,0),"")</f>
        <v/>
      </c>
      <c r="I1007" s="32" t="str">
        <f t="shared" si="28"/>
        <v/>
      </c>
      <c r="K1007" s="127" t="str">
        <f t="shared" si="27"/>
        <v/>
      </c>
    </row>
    <row r="1008" spans="2:11" x14ac:dyDescent="0.3">
      <c r="B1008" s="197"/>
      <c r="C1008" s="198"/>
      <c r="D1008" s="197"/>
      <c r="E1008" s="212"/>
      <c r="F1008" s="29" t="str">
        <f>IFERROR(VLOOKUP(E1008,'Inventaire des produits'!$B$4:$K$1001,2,0),"")</f>
        <v/>
      </c>
      <c r="G1008" s="212"/>
      <c r="H1008" s="30" t="str">
        <f>IFERROR(VLOOKUP(E1008,'Inventaire des produits'!$B$4:$K$1001,8,0),"")</f>
        <v/>
      </c>
      <c r="I1008" s="32" t="str">
        <f t="shared" si="28"/>
        <v/>
      </c>
      <c r="K1008" s="127" t="str">
        <f t="shared" si="27"/>
        <v/>
      </c>
    </row>
    <row r="1009" spans="2:11" x14ac:dyDescent="0.3">
      <c r="B1009" s="197"/>
      <c r="C1009" s="198"/>
      <c r="D1009" s="197"/>
      <c r="E1009" s="212"/>
      <c r="F1009" s="29" t="str">
        <f>IFERROR(VLOOKUP(E1009,'Inventaire des produits'!$B$4:$K$1001,2,0),"")</f>
        <v/>
      </c>
      <c r="G1009" s="212"/>
      <c r="H1009" s="30" t="str">
        <f>IFERROR(VLOOKUP(E1009,'Inventaire des produits'!$B$4:$K$1001,8,0),"")</f>
        <v/>
      </c>
      <c r="I1009" s="32" t="str">
        <f t="shared" si="28"/>
        <v/>
      </c>
      <c r="K1009" s="127" t="str">
        <f t="shared" si="27"/>
        <v/>
      </c>
    </row>
    <row r="1010" spans="2:11" x14ac:dyDescent="0.3">
      <c r="B1010" s="197"/>
      <c r="C1010" s="198"/>
      <c r="D1010" s="197"/>
      <c r="E1010" s="212"/>
      <c r="F1010" s="29" t="str">
        <f>IFERROR(VLOOKUP(E1010,'Inventaire des produits'!$B$4:$K$1001,2,0),"")</f>
        <v/>
      </c>
      <c r="G1010" s="212"/>
      <c r="H1010" s="30" t="str">
        <f>IFERROR(VLOOKUP(E1010,'Inventaire des produits'!$B$4:$K$1001,8,0),"")</f>
        <v/>
      </c>
      <c r="I1010" s="32" t="str">
        <f t="shared" si="28"/>
        <v/>
      </c>
      <c r="K1010" s="127" t="str">
        <f t="shared" si="27"/>
        <v/>
      </c>
    </row>
    <row r="1011" spans="2:11" x14ac:dyDescent="0.3">
      <c r="B1011" s="197"/>
      <c r="C1011" s="198"/>
      <c r="D1011" s="197"/>
      <c r="E1011" s="212"/>
      <c r="F1011" s="29" t="str">
        <f>IFERROR(VLOOKUP(E1011,'Inventaire des produits'!$B$4:$K$1001,2,0),"")</f>
        <v/>
      </c>
      <c r="G1011" s="212"/>
      <c r="H1011" s="30" t="str">
        <f>IFERROR(VLOOKUP(E1011,'Inventaire des produits'!$B$4:$K$1001,8,0),"")</f>
        <v/>
      </c>
      <c r="I1011" s="32" t="str">
        <f t="shared" si="28"/>
        <v/>
      </c>
      <c r="K1011" s="127" t="str">
        <f t="shared" si="27"/>
        <v/>
      </c>
    </row>
    <row r="1012" spans="2:11" x14ac:dyDescent="0.3">
      <c r="B1012" s="197"/>
      <c r="C1012" s="198"/>
      <c r="D1012" s="197"/>
      <c r="E1012" s="212"/>
      <c r="F1012" s="29" t="str">
        <f>IFERROR(VLOOKUP(E1012,'Inventaire des produits'!$B$4:$K$1001,2,0),"")</f>
        <v/>
      </c>
      <c r="G1012" s="212"/>
      <c r="H1012" s="30" t="str">
        <f>IFERROR(VLOOKUP(E1012,'Inventaire des produits'!$B$4:$K$1001,8,0),"")</f>
        <v/>
      </c>
      <c r="I1012" s="32" t="str">
        <f t="shared" si="28"/>
        <v/>
      </c>
      <c r="K1012" s="127" t="str">
        <f t="shared" si="27"/>
        <v/>
      </c>
    </row>
    <row r="1013" spans="2:11" x14ac:dyDescent="0.3">
      <c r="B1013" s="197"/>
      <c r="C1013" s="198"/>
      <c r="D1013" s="197"/>
      <c r="E1013" s="212"/>
      <c r="F1013" s="29" t="str">
        <f>IFERROR(VLOOKUP(E1013,'Inventaire des produits'!$B$4:$K$1001,2,0),"")</f>
        <v/>
      </c>
      <c r="G1013" s="212"/>
      <c r="H1013" s="30" t="str">
        <f>IFERROR(VLOOKUP(E1013,'Inventaire des produits'!$B$4:$K$1001,8,0),"")</f>
        <v/>
      </c>
      <c r="I1013" s="32" t="str">
        <f t="shared" si="28"/>
        <v/>
      </c>
      <c r="K1013" s="127" t="str">
        <f t="shared" si="27"/>
        <v/>
      </c>
    </row>
    <row r="1014" spans="2:11" x14ac:dyDescent="0.3">
      <c r="B1014" s="197"/>
      <c r="C1014" s="198"/>
      <c r="D1014" s="197"/>
      <c r="E1014" s="212"/>
      <c r="F1014" s="29" t="str">
        <f>IFERROR(VLOOKUP(E1014,'Inventaire des produits'!$B$4:$K$1001,2,0),"")</f>
        <v/>
      </c>
      <c r="G1014" s="212"/>
      <c r="H1014" s="30" t="str">
        <f>IFERROR(VLOOKUP(E1014,'Inventaire des produits'!$B$4:$K$1001,8,0),"")</f>
        <v/>
      </c>
      <c r="I1014" s="32" t="str">
        <f t="shared" si="28"/>
        <v/>
      </c>
      <c r="K1014" s="127" t="str">
        <f t="shared" si="27"/>
        <v/>
      </c>
    </row>
    <row r="1015" spans="2:11" x14ac:dyDescent="0.3">
      <c r="B1015" s="197"/>
      <c r="C1015" s="198"/>
      <c r="D1015" s="197"/>
      <c r="E1015" s="212"/>
      <c r="F1015" s="29" t="str">
        <f>IFERROR(VLOOKUP(E1015,'Inventaire des produits'!$B$4:$K$1001,2,0),"")</f>
        <v/>
      </c>
      <c r="G1015" s="212"/>
      <c r="H1015" s="30" t="str">
        <f>IFERROR(VLOOKUP(E1015,'Inventaire des produits'!$B$4:$K$1001,8,0),"")</f>
        <v/>
      </c>
      <c r="I1015" s="32" t="str">
        <f t="shared" si="28"/>
        <v/>
      </c>
      <c r="K1015" s="127" t="str">
        <f t="shared" si="27"/>
        <v/>
      </c>
    </row>
    <row r="1016" spans="2:11" x14ac:dyDescent="0.3">
      <c r="B1016" s="197"/>
      <c r="C1016" s="198"/>
      <c r="D1016" s="197"/>
      <c r="E1016" s="212"/>
      <c r="F1016" s="29" t="str">
        <f>IFERROR(VLOOKUP(E1016,'Inventaire des produits'!$B$4:$K$1001,2,0),"")</f>
        <v/>
      </c>
      <c r="G1016" s="212"/>
      <c r="H1016" s="30" t="str">
        <f>IFERROR(VLOOKUP(E1016,'Inventaire des produits'!$B$4:$K$1001,8,0),"")</f>
        <v/>
      </c>
      <c r="I1016" s="32" t="str">
        <f t="shared" si="28"/>
        <v/>
      </c>
      <c r="K1016" s="127" t="str">
        <f t="shared" si="27"/>
        <v/>
      </c>
    </row>
    <row r="1017" spans="2:11" x14ac:dyDescent="0.3">
      <c r="B1017" s="197"/>
      <c r="C1017" s="198"/>
      <c r="D1017" s="197"/>
      <c r="E1017" s="212"/>
      <c r="F1017" s="29" t="str">
        <f>IFERROR(VLOOKUP(E1017,'Inventaire des produits'!$B$4:$K$1001,2,0),"")</f>
        <v/>
      </c>
      <c r="G1017" s="212"/>
      <c r="H1017" s="30" t="str">
        <f>IFERROR(VLOOKUP(E1017,'Inventaire des produits'!$B$4:$K$1001,8,0),"")</f>
        <v/>
      </c>
      <c r="I1017" s="32" t="str">
        <f t="shared" si="28"/>
        <v/>
      </c>
      <c r="K1017" s="127" t="str">
        <f t="shared" si="27"/>
        <v/>
      </c>
    </row>
    <row r="1018" spans="2:11" x14ac:dyDescent="0.3">
      <c r="B1018" s="197"/>
      <c r="C1018" s="198"/>
      <c r="D1018" s="197"/>
      <c r="E1018" s="212"/>
      <c r="F1018" s="29" t="str">
        <f>IFERROR(VLOOKUP(E1018,'Inventaire des produits'!$B$4:$K$1001,2,0),"")</f>
        <v/>
      </c>
      <c r="G1018" s="212"/>
      <c r="H1018" s="30" t="str">
        <f>IFERROR(VLOOKUP(E1018,'Inventaire des produits'!$B$4:$K$1001,8,0),"")</f>
        <v/>
      </c>
      <c r="I1018" s="32" t="str">
        <f t="shared" si="28"/>
        <v/>
      </c>
      <c r="K1018" s="127" t="str">
        <f t="shared" si="27"/>
        <v/>
      </c>
    </row>
    <row r="1019" spans="2:11" x14ac:dyDescent="0.3">
      <c r="B1019" s="197"/>
      <c r="C1019" s="198"/>
      <c r="D1019" s="197"/>
      <c r="E1019" s="212"/>
      <c r="F1019" s="29" t="str">
        <f>IFERROR(VLOOKUP(E1019,'Inventaire des produits'!$B$4:$K$1001,2,0),"")</f>
        <v/>
      </c>
      <c r="G1019" s="212"/>
      <c r="H1019" s="30" t="str">
        <f>IFERROR(VLOOKUP(E1019,'Inventaire des produits'!$B$4:$K$1001,8,0),"")</f>
        <v/>
      </c>
      <c r="I1019" s="32" t="str">
        <f t="shared" si="28"/>
        <v/>
      </c>
      <c r="K1019" s="127" t="str">
        <f t="shared" si="27"/>
        <v/>
      </c>
    </row>
    <row r="1020" spans="2:11" x14ac:dyDescent="0.3">
      <c r="B1020" s="197"/>
      <c r="C1020" s="198"/>
      <c r="D1020" s="197"/>
      <c r="E1020" s="212"/>
      <c r="F1020" s="29" t="str">
        <f>IFERROR(VLOOKUP(E1020,'Inventaire des produits'!$B$4:$K$1001,2,0),"")</f>
        <v/>
      </c>
      <c r="G1020" s="212"/>
      <c r="H1020" s="30" t="str">
        <f>IFERROR(VLOOKUP(E1020,'Inventaire des produits'!$B$4:$K$1001,8,0),"")</f>
        <v/>
      </c>
      <c r="I1020" s="32" t="str">
        <f t="shared" si="28"/>
        <v/>
      </c>
      <c r="K1020" s="127" t="str">
        <f t="shared" ref="K1020:K1083" si="29">IF(J1020="","",J1020*1.2)</f>
        <v/>
      </c>
    </row>
    <row r="1021" spans="2:11" x14ac:dyDescent="0.3">
      <c r="B1021" s="197"/>
      <c r="C1021" s="198"/>
      <c r="D1021" s="197"/>
      <c r="E1021" s="212"/>
      <c r="F1021" s="29" t="str">
        <f>IFERROR(VLOOKUP(E1021,'Inventaire des produits'!$B$4:$K$1001,2,0),"")</f>
        <v/>
      </c>
      <c r="G1021" s="212"/>
      <c r="H1021" s="30" t="str">
        <f>IFERROR(VLOOKUP(E1021,'Inventaire des produits'!$B$4:$K$1001,8,0),"")</f>
        <v/>
      </c>
      <c r="I1021" s="32" t="str">
        <f t="shared" si="28"/>
        <v/>
      </c>
      <c r="K1021" s="127" t="str">
        <f t="shared" si="29"/>
        <v/>
      </c>
    </row>
    <row r="1022" spans="2:11" x14ac:dyDescent="0.3">
      <c r="B1022" s="197"/>
      <c r="C1022" s="198"/>
      <c r="D1022" s="197"/>
      <c r="E1022" s="212"/>
      <c r="F1022" s="29" t="str">
        <f>IFERROR(VLOOKUP(E1022,'Inventaire des produits'!$B$4:$K$1001,2,0),"")</f>
        <v/>
      </c>
      <c r="G1022" s="212"/>
      <c r="H1022" s="30" t="str">
        <f>IFERROR(VLOOKUP(E1022,'Inventaire des produits'!$B$4:$K$1001,8,0),"")</f>
        <v/>
      </c>
      <c r="I1022" s="32" t="str">
        <f t="shared" si="28"/>
        <v/>
      </c>
      <c r="K1022" s="127" t="str">
        <f t="shared" si="29"/>
        <v/>
      </c>
    </row>
    <row r="1023" spans="2:11" x14ac:dyDescent="0.3">
      <c r="B1023" s="197"/>
      <c r="C1023" s="198"/>
      <c r="D1023" s="197"/>
      <c r="E1023" s="212"/>
      <c r="F1023" s="29" t="str">
        <f>IFERROR(VLOOKUP(E1023,'Inventaire des produits'!$B$4:$K$1001,2,0),"")</f>
        <v/>
      </c>
      <c r="G1023" s="212"/>
      <c r="H1023" s="30" t="str">
        <f>IFERROR(VLOOKUP(E1023,'Inventaire des produits'!$B$4:$K$1001,8,0),"")</f>
        <v/>
      </c>
      <c r="I1023" s="32" t="str">
        <f t="shared" si="28"/>
        <v/>
      </c>
      <c r="K1023" s="127" t="str">
        <f t="shared" si="29"/>
        <v/>
      </c>
    </row>
    <row r="1024" spans="2:11" x14ac:dyDescent="0.3">
      <c r="B1024" s="197"/>
      <c r="C1024" s="198"/>
      <c r="D1024" s="197"/>
      <c r="E1024" s="212"/>
      <c r="F1024" s="29" t="str">
        <f>IFERROR(VLOOKUP(E1024,'Inventaire des produits'!$B$4:$K$1001,2,0),"")</f>
        <v/>
      </c>
      <c r="G1024" s="212"/>
      <c r="H1024" s="30" t="str">
        <f>IFERROR(VLOOKUP(E1024,'Inventaire des produits'!$B$4:$K$1001,8,0),"")</f>
        <v/>
      </c>
      <c r="I1024" s="32" t="str">
        <f t="shared" si="28"/>
        <v/>
      </c>
      <c r="K1024" s="127" t="str">
        <f t="shared" si="29"/>
        <v/>
      </c>
    </row>
    <row r="1025" spans="2:11" x14ac:dyDescent="0.3">
      <c r="B1025" s="197"/>
      <c r="C1025" s="198"/>
      <c r="D1025" s="197"/>
      <c r="E1025" s="212"/>
      <c r="F1025" s="29" t="str">
        <f>IFERROR(VLOOKUP(E1025,'Inventaire des produits'!$B$4:$K$1001,2,0),"")</f>
        <v/>
      </c>
      <c r="G1025" s="212"/>
      <c r="H1025" s="30" t="str">
        <f>IFERROR(VLOOKUP(E1025,'Inventaire des produits'!$B$4:$K$1001,8,0),"")</f>
        <v/>
      </c>
      <c r="I1025" s="32" t="str">
        <f t="shared" si="28"/>
        <v/>
      </c>
      <c r="K1025" s="127" t="str">
        <f t="shared" si="29"/>
        <v/>
      </c>
    </row>
    <row r="1026" spans="2:11" x14ac:dyDescent="0.3">
      <c r="B1026" s="197"/>
      <c r="C1026" s="198"/>
      <c r="D1026" s="197"/>
      <c r="E1026" s="212"/>
      <c r="F1026" s="29" t="str">
        <f>IFERROR(VLOOKUP(E1026,'Inventaire des produits'!$B$4:$K$1001,2,0),"")</f>
        <v/>
      </c>
      <c r="G1026" s="212"/>
      <c r="H1026" s="30" t="str">
        <f>IFERROR(VLOOKUP(E1026,'Inventaire des produits'!$B$4:$K$1001,8,0),"")</f>
        <v/>
      </c>
      <c r="I1026" s="32" t="str">
        <f t="shared" ref="I1026:I1089" si="30">IF(OR(G1026="",H1026=""),"",G1026*H1026)</f>
        <v/>
      </c>
      <c r="K1026" s="127" t="str">
        <f t="shared" si="29"/>
        <v/>
      </c>
    </row>
    <row r="1027" spans="2:11" x14ac:dyDescent="0.3">
      <c r="B1027" s="197"/>
      <c r="C1027" s="198"/>
      <c r="D1027" s="197"/>
      <c r="E1027" s="212"/>
      <c r="F1027" s="29" t="str">
        <f>IFERROR(VLOOKUP(E1027,'Inventaire des produits'!$B$4:$K$1001,2,0),"")</f>
        <v/>
      </c>
      <c r="G1027" s="212"/>
      <c r="H1027" s="30" t="str">
        <f>IFERROR(VLOOKUP(E1027,'Inventaire des produits'!$B$4:$K$1001,8,0),"")</f>
        <v/>
      </c>
      <c r="I1027" s="32" t="str">
        <f t="shared" si="30"/>
        <v/>
      </c>
      <c r="K1027" s="127" t="str">
        <f t="shared" si="29"/>
        <v/>
      </c>
    </row>
    <row r="1028" spans="2:11" x14ac:dyDescent="0.3">
      <c r="B1028" s="197"/>
      <c r="C1028" s="198"/>
      <c r="D1028" s="197"/>
      <c r="E1028" s="212"/>
      <c r="F1028" s="29" t="str">
        <f>IFERROR(VLOOKUP(E1028,'Inventaire des produits'!$B$4:$K$1001,2,0),"")</f>
        <v/>
      </c>
      <c r="G1028" s="212"/>
      <c r="H1028" s="30" t="str">
        <f>IFERROR(VLOOKUP(E1028,'Inventaire des produits'!$B$4:$K$1001,8,0),"")</f>
        <v/>
      </c>
      <c r="I1028" s="32" t="str">
        <f t="shared" si="30"/>
        <v/>
      </c>
      <c r="K1028" s="127" t="str">
        <f t="shared" si="29"/>
        <v/>
      </c>
    </row>
    <row r="1029" spans="2:11" x14ac:dyDescent="0.3">
      <c r="B1029" s="197"/>
      <c r="C1029" s="198"/>
      <c r="D1029" s="197"/>
      <c r="E1029" s="212"/>
      <c r="F1029" s="29" t="str">
        <f>IFERROR(VLOOKUP(E1029,'Inventaire des produits'!$B$4:$K$1001,2,0),"")</f>
        <v/>
      </c>
      <c r="G1029" s="212"/>
      <c r="H1029" s="30" t="str">
        <f>IFERROR(VLOOKUP(E1029,'Inventaire des produits'!$B$4:$K$1001,8,0),"")</f>
        <v/>
      </c>
      <c r="I1029" s="32" t="str">
        <f t="shared" si="30"/>
        <v/>
      </c>
      <c r="K1029" s="127" t="str">
        <f t="shared" si="29"/>
        <v/>
      </c>
    </row>
    <row r="1030" spans="2:11" x14ac:dyDescent="0.3">
      <c r="B1030" s="197"/>
      <c r="C1030" s="198"/>
      <c r="D1030" s="197"/>
      <c r="E1030" s="212"/>
      <c r="F1030" s="29" t="str">
        <f>IFERROR(VLOOKUP(E1030,'Inventaire des produits'!$B$4:$K$1001,2,0),"")</f>
        <v/>
      </c>
      <c r="G1030" s="212"/>
      <c r="H1030" s="30" t="str">
        <f>IFERROR(VLOOKUP(E1030,'Inventaire des produits'!$B$4:$K$1001,8,0),"")</f>
        <v/>
      </c>
      <c r="I1030" s="32" t="str">
        <f t="shared" si="30"/>
        <v/>
      </c>
      <c r="K1030" s="127" t="str">
        <f t="shared" si="29"/>
        <v/>
      </c>
    </row>
    <row r="1031" spans="2:11" x14ac:dyDescent="0.3">
      <c r="B1031" s="197"/>
      <c r="C1031" s="198"/>
      <c r="D1031" s="197"/>
      <c r="E1031" s="212"/>
      <c r="F1031" s="29" t="str">
        <f>IFERROR(VLOOKUP(E1031,'Inventaire des produits'!$B$4:$K$1001,2,0),"")</f>
        <v/>
      </c>
      <c r="G1031" s="212"/>
      <c r="H1031" s="30" t="str">
        <f>IFERROR(VLOOKUP(E1031,'Inventaire des produits'!$B$4:$K$1001,8,0),"")</f>
        <v/>
      </c>
      <c r="I1031" s="32" t="str">
        <f t="shared" si="30"/>
        <v/>
      </c>
      <c r="K1031" s="127" t="str">
        <f t="shared" si="29"/>
        <v/>
      </c>
    </row>
    <row r="1032" spans="2:11" x14ac:dyDescent="0.3">
      <c r="B1032" s="197"/>
      <c r="C1032" s="198"/>
      <c r="D1032" s="197"/>
      <c r="E1032" s="212"/>
      <c r="F1032" s="29" t="str">
        <f>IFERROR(VLOOKUP(E1032,'Inventaire des produits'!$B$4:$K$1001,2,0),"")</f>
        <v/>
      </c>
      <c r="G1032" s="212"/>
      <c r="H1032" s="30" t="str">
        <f>IFERROR(VLOOKUP(E1032,'Inventaire des produits'!$B$4:$K$1001,8,0),"")</f>
        <v/>
      </c>
      <c r="I1032" s="32" t="str">
        <f t="shared" si="30"/>
        <v/>
      </c>
      <c r="K1032" s="127" t="str">
        <f t="shared" si="29"/>
        <v/>
      </c>
    </row>
    <row r="1033" spans="2:11" x14ac:dyDescent="0.3">
      <c r="B1033" s="197"/>
      <c r="C1033" s="198"/>
      <c r="D1033" s="197"/>
      <c r="E1033" s="212"/>
      <c r="F1033" s="29" t="str">
        <f>IFERROR(VLOOKUP(E1033,'Inventaire des produits'!$B$4:$K$1001,2,0),"")</f>
        <v/>
      </c>
      <c r="G1033" s="212"/>
      <c r="H1033" s="30" t="str">
        <f>IFERROR(VLOOKUP(E1033,'Inventaire des produits'!$B$4:$K$1001,8,0),"")</f>
        <v/>
      </c>
      <c r="I1033" s="32" t="str">
        <f t="shared" si="30"/>
        <v/>
      </c>
      <c r="K1033" s="127" t="str">
        <f t="shared" si="29"/>
        <v/>
      </c>
    </row>
    <row r="1034" spans="2:11" x14ac:dyDescent="0.3">
      <c r="B1034" s="197"/>
      <c r="C1034" s="198"/>
      <c r="D1034" s="197"/>
      <c r="E1034" s="212"/>
      <c r="F1034" s="29" t="str">
        <f>IFERROR(VLOOKUP(E1034,'Inventaire des produits'!$B$4:$K$1001,2,0),"")</f>
        <v/>
      </c>
      <c r="G1034" s="212"/>
      <c r="H1034" s="30" t="str">
        <f>IFERROR(VLOOKUP(E1034,'Inventaire des produits'!$B$4:$K$1001,8,0),"")</f>
        <v/>
      </c>
      <c r="I1034" s="32" t="str">
        <f t="shared" si="30"/>
        <v/>
      </c>
      <c r="K1034" s="127" t="str">
        <f t="shared" si="29"/>
        <v/>
      </c>
    </row>
    <row r="1035" spans="2:11" x14ac:dyDescent="0.3">
      <c r="B1035" s="197"/>
      <c r="C1035" s="198"/>
      <c r="D1035" s="197"/>
      <c r="E1035" s="212"/>
      <c r="F1035" s="29" t="str">
        <f>IFERROR(VLOOKUP(E1035,'Inventaire des produits'!$B$4:$K$1001,2,0),"")</f>
        <v/>
      </c>
      <c r="G1035" s="212"/>
      <c r="H1035" s="30" t="str">
        <f>IFERROR(VLOOKUP(E1035,'Inventaire des produits'!$B$4:$K$1001,8,0),"")</f>
        <v/>
      </c>
      <c r="I1035" s="32" t="str">
        <f t="shared" si="30"/>
        <v/>
      </c>
      <c r="K1035" s="127" t="str">
        <f t="shared" si="29"/>
        <v/>
      </c>
    </row>
    <row r="1036" spans="2:11" x14ac:dyDescent="0.3">
      <c r="B1036" s="197"/>
      <c r="C1036" s="198"/>
      <c r="D1036" s="197"/>
      <c r="E1036" s="212"/>
      <c r="F1036" s="29" t="str">
        <f>IFERROR(VLOOKUP(E1036,'Inventaire des produits'!$B$4:$K$1001,2,0),"")</f>
        <v/>
      </c>
      <c r="G1036" s="212"/>
      <c r="H1036" s="30" t="str">
        <f>IFERROR(VLOOKUP(E1036,'Inventaire des produits'!$B$4:$K$1001,8,0),"")</f>
        <v/>
      </c>
      <c r="I1036" s="32" t="str">
        <f t="shared" si="30"/>
        <v/>
      </c>
      <c r="K1036" s="127" t="str">
        <f t="shared" si="29"/>
        <v/>
      </c>
    </row>
    <row r="1037" spans="2:11" x14ac:dyDescent="0.3">
      <c r="B1037" s="197"/>
      <c r="C1037" s="198"/>
      <c r="D1037" s="197"/>
      <c r="E1037" s="212"/>
      <c r="F1037" s="29" t="str">
        <f>IFERROR(VLOOKUP(E1037,'Inventaire des produits'!$B$4:$K$1001,2,0),"")</f>
        <v/>
      </c>
      <c r="G1037" s="212"/>
      <c r="H1037" s="30" t="str">
        <f>IFERROR(VLOOKUP(E1037,'Inventaire des produits'!$B$4:$K$1001,8,0),"")</f>
        <v/>
      </c>
      <c r="I1037" s="32" t="str">
        <f t="shared" si="30"/>
        <v/>
      </c>
      <c r="K1037" s="127" t="str">
        <f t="shared" si="29"/>
        <v/>
      </c>
    </row>
    <row r="1038" spans="2:11" x14ac:dyDescent="0.3">
      <c r="B1038" s="197"/>
      <c r="C1038" s="198"/>
      <c r="D1038" s="197"/>
      <c r="E1038" s="212"/>
      <c r="F1038" s="29" t="str">
        <f>IFERROR(VLOOKUP(E1038,'Inventaire des produits'!$B$4:$K$1001,2,0),"")</f>
        <v/>
      </c>
      <c r="G1038" s="212"/>
      <c r="H1038" s="30" t="str">
        <f>IFERROR(VLOOKUP(E1038,'Inventaire des produits'!$B$4:$K$1001,8,0),"")</f>
        <v/>
      </c>
      <c r="I1038" s="32" t="str">
        <f t="shared" si="30"/>
        <v/>
      </c>
      <c r="K1038" s="127" t="str">
        <f t="shared" si="29"/>
        <v/>
      </c>
    </row>
    <row r="1039" spans="2:11" x14ac:dyDescent="0.3">
      <c r="B1039" s="197"/>
      <c r="C1039" s="198"/>
      <c r="D1039" s="197"/>
      <c r="E1039" s="212"/>
      <c r="F1039" s="29" t="str">
        <f>IFERROR(VLOOKUP(E1039,'Inventaire des produits'!$B$4:$K$1001,2,0),"")</f>
        <v/>
      </c>
      <c r="G1039" s="212"/>
      <c r="H1039" s="30" t="str">
        <f>IFERROR(VLOOKUP(E1039,'Inventaire des produits'!$B$4:$K$1001,8,0),"")</f>
        <v/>
      </c>
      <c r="I1039" s="32" t="str">
        <f t="shared" si="30"/>
        <v/>
      </c>
      <c r="K1039" s="127" t="str">
        <f t="shared" si="29"/>
        <v/>
      </c>
    </row>
    <row r="1040" spans="2:11" x14ac:dyDescent="0.3">
      <c r="B1040" s="197"/>
      <c r="C1040" s="198"/>
      <c r="D1040" s="197"/>
      <c r="E1040" s="212"/>
      <c r="F1040" s="29" t="str">
        <f>IFERROR(VLOOKUP(E1040,'Inventaire des produits'!$B$4:$K$1001,2,0),"")</f>
        <v/>
      </c>
      <c r="G1040" s="212"/>
      <c r="H1040" s="30" t="str">
        <f>IFERROR(VLOOKUP(E1040,'Inventaire des produits'!$B$4:$K$1001,8,0),"")</f>
        <v/>
      </c>
      <c r="I1040" s="32" t="str">
        <f t="shared" si="30"/>
        <v/>
      </c>
      <c r="K1040" s="127" t="str">
        <f t="shared" si="29"/>
        <v/>
      </c>
    </row>
    <row r="1041" spans="2:11" x14ac:dyDescent="0.3">
      <c r="B1041" s="197"/>
      <c r="C1041" s="198"/>
      <c r="D1041" s="197"/>
      <c r="E1041" s="212"/>
      <c r="F1041" s="29" t="str">
        <f>IFERROR(VLOOKUP(E1041,'Inventaire des produits'!$B$4:$K$1001,2,0),"")</f>
        <v/>
      </c>
      <c r="G1041" s="212"/>
      <c r="H1041" s="30" t="str">
        <f>IFERROR(VLOOKUP(E1041,'Inventaire des produits'!$B$4:$K$1001,8,0),"")</f>
        <v/>
      </c>
      <c r="I1041" s="32" t="str">
        <f t="shared" si="30"/>
        <v/>
      </c>
      <c r="K1041" s="127" t="str">
        <f t="shared" si="29"/>
        <v/>
      </c>
    </row>
    <row r="1042" spans="2:11" x14ac:dyDescent="0.3">
      <c r="B1042" s="197"/>
      <c r="C1042" s="198"/>
      <c r="D1042" s="197"/>
      <c r="E1042" s="212"/>
      <c r="F1042" s="29" t="str">
        <f>IFERROR(VLOOKUP(E1042,'Inventaire des produits'!$B$4:$K$1001,2,0),"")</f>
        <v/>
      </c>
      <c r="G1042" s="212"/>
      <c r="H1042" s="30" t="str">
        <f>IFERROR(VLOOKUP(E1042,'Inventaire des produits'!$B$4:$K$1001,8,0),"")</f>
        <v/>
      </c>
      <c r="I1042" s="32" t="str">
        <f t="shared" si="30"/>
        <v/>
      </c>
      <c r="K1042" s="127" t="str">
        <f t="shared" si="29"/>
        <v/>
      </c>
    </row>
    <row r="1043" spans="2:11" x14ac:dyDescent="0.3">
      <c r="B1043" s="197"/>
      <c r="C1043" s="198"/>
      <c r="D1043" s="197"/>
      <c r="E1043" s="212"/>
      <c r="F1043" s="29" t="str">
        <f>IFERROR(VLOOKUP(E1043,'Inventaire des produits'!$B$4:$K$1001,2,0),"")</f>
        <v/>
      </c>
      <c r="G1043" s="212"/>
      <c r="H1043" s="30" t="str">
        <f>IFERROR(VLOOKUP(E1043,'Inventaire des produits'!$B$4:$K$1001,8,0),"")</f>
        <v/>
      </c>
      <c r="I1043" s="32" t="str">
        <f t="shared" si="30"/>
        <v/>
      </c>
      <c r="K1043" s="127" t="str">
        <f t="shared" si="29"/>
        <v/>
      </c>
    </row>
    <row r="1044" spans="2:11" x14ac:dyDescent="0.3">
      <c r="B1044" s="197"/>
      <c r="C1044" s="198"/>
      <c r="D1044" s="197"/>
      <c r="E1044" s="212"/>
      <c r="F1044" s="29" t="str">
        <f>IFERROR(VLOOKUP(E1044,'Inventaire des produits'!$B$4:$K$1001,2,0),"")</f>
        <v/>
      </c>
      <c r="G1044" s="212"/>
      <c r="H1044" s="30" t="str">
        <f>IFERROR(VLOOKUP(E1044,'Inventaire des produits'!$B$4:$K$1001,8,0),"")</f>
        <v/>
      </c>
      <c r="I1044" s="32" t="str">
        <f t="shared" si="30"/>
        <v/>
      </c>
      <c r="K1044" s="127" t="str">
        <f t="shared" si="29"/>
        <v/>
      </c>
    </row>
    <row r="1045" spans="2:11" x14ac:dyDescent="0.3">
      <c r="B1045" s="197"/>
      <c r="C1045" s="198"/>
      <c r="D1045" s="197"/>
      <c r="E1045" s="212"/>
      <c r="F1045" s="29" t="str">
        <f>IFERROR(VLOOKUP(E1045,'Inventaire des produits'!$B$4:$K$1001,2,0),"")</f>
        <v/>
      </c>
      <c r="G1045" s="212"/>
      <c r="H1045" s="30" t="str">
        <f>IFERROR(VLOOKUP(E1045,'Inventaire des produits'!$B$4:$K$1001,8,0),"")</f>
        <v/>
      </c>
      <c r="I1045" s="32" t="str">
        <f t="shared" si="30"/>
        <v/>
      </c>
      <c r="K1045" s="127" t="str">
        <f t="shared" si="29"/>
        <v/>
      </c>
    </row>
    <row r="1046" spans="2:11" x14ac:dyDescent="0.3">
      <c r="B1046" s="197"/>
      <c r="C1046" s="198"/>
      <c r="D1046" s="197"/>
      <c r="E1046" s="212"/>
      <c r="F1046" s="29" t="str">
        <f>IFERROR(VLOOKUP(E1046,'Inventaire des produits'!$B$4:$K$1001,2,0),"")</f>
        <v/>
      </c>
      <c r="G1046" s="212"/>
      <c r="H1046" s="30" t="str">
        <f>IFERROR(VLOOKUP(E1046,'Inventaire des produits'!$B$4:$K$1001,8,0),"")</f>
        <v/>
      </c>
      <c r="I1046" s="32" t="str">
        <f t="shared" si="30"/>
        <v/>
      </c>
      <c r="K1046" s="127" t="str">
        <f t="shared" si="29"/>
        <v/>
      </c>
    </row>
    <row r="1047" spans="2:11" x14ac:dyDescent="0.3">
      <c r="B1047" s="197"/>
      <c r="C1047" s="198"/>
      <c r="D1047" s="197"/>
      <c r="E1047" s="212"/>
      <c r="F1047" s="29" t="str">
        <f>IFERROR(VLOOKUP(E1047,'Inventaire des produits'!$B$4:$K$1001,2,0),"")</f>
        <v/>
      </c>
      <c r="G1047" s="212"/>
      <c r="H1047" s="30" t="str">
        <f>IFERROR(VLOOKUP(E1047,'Inventaire des produits'!$B$4:$K$1001,8,0),"")</f>
        <v/>
      </c>
      <c r="I1047" s="32" t="str">
        <f t="shared" si="30"/>
        <v/>
      </c>
      <c r="K1047" s="127" t="str">
        <f t="shared" si="29"/>
        <v/>
      </c>
    </row>
    <row r="1048" spans="2:11" x14ac:dyDescent="0.3">
      <c r="B1048" s="197"/>
      <c r="C1048" s="198"/>
      <c r="D1048" s="197"/>
      <c r="E1048" s="212"/>
      <c r="F1048" s="29" t="str">
        <f>IFERROR(VLOOKUP(E1048,'Inventaire des produits'!$B$4:$K$1001,2,0),"")</f>
        <v/>
      </c>
      <c r="G1048" s="212"/>
      <c r="H1048" s="30" t="str">
        <f>IFERROR(VLOOKUP(E1048,'Inventaire des produits'!$B$4:$K$1001,8,0),"")</f>
        <v/>
      </c>
      <c r="I1048" s="32" t="str">
        <f t="shared" si="30"/>
        <v/>
      </c>
      <c r="K1048" s="127" t="str">
        <f t="shared" si="29"/>
        <v/>
      </c>
    </row>
    <row r="1049" spans="2:11" x14ac:dyDescent="0.3">
      <c r="B1049" s="197"/>
      <c r="C1049" s="198"/>
      <c r="D1049" s="197"/>
      <c r="E1049" s="212"/>
      <c r="F1049" s="29" t="str">
        <f>IFERROR(VLOOKUP(E1049,'Inventaire des produits'!$B$4:$K$1001,2,0),"")</f>
        <v/>
      </c>
      <c r="G1049" s="212"/>
      <c r="H1049" s="30" t="str">
        <f>IFERROR(VLOOKUP(E1049,'Inventaire des produits'!$B$4:$K$1001,8,0),"")</f>
        <v/>
      </c>
      <c r="I1049" s="32" t="str">
        <f t="shared" si="30"/>
        <v/>
      </c>
      <c r="K1049" s="127" t="str">
        <f t="shared" si="29"/>
        <v/>
      </c>
    </row>
    <row r="1050" spans="2:11" x14ac:dyDescent="0.3">
      <c r="B1050" s="197"/>
      <c r="C1050" s="198"/>
      <c r="D1050" s="197"/>
      <c r="E1050" s="212"/>
      <c r="F1050" s="29" t="str">
        <f>IFERROR(VLOOKUP(E1050,'Inventaire des produits'!$B$4:$K$1001,2,0),"")</f>
        <v/>
      </c>
      <c r="G1050" s="212"/>
      <c r="H1050" s="30" t="str">
        <f>IFERROR(VLOOKUP(E1050,'Inventaire des produits'!$B$4:$K$1001,8,0),"")</f>
        <v/>
      </c>
      <c r="I1050" s="32" t="str">
        <f t="shared" si="30"/>
        <v/>
      </c>
      <c r="K1050" s="127" t="str">
        <f t="shared" si="29"/>
        <v/>
      </c>
    </row>
    <row r="1051" spans="2:11" x14ac:dyDescent="0.3">
      <c r="B1051" s="197"/>
      <c r="C1051" s="198"/>
      <c r="D1051" s="197"/>
      <c r="E1051" s="212"/>
      <c r="F1051" s="29" t="str">
        <f>IFERROR(VLOOKUP(E1051,'Inventaire des produits'!$B$4:$K$1001,2,0),"")</f>
        <v/>
      </c>
      <c r="G1051" s="212"/>
      <c r="H1051" s="30" t="str">
        <f>IFERROR(VLOOKUP(E1051,'Inventaire des produits'!$B$4:$K$1001,8,0),"")</f>
        <v/>
      </c>
      <c r="I1051" s="32" t="str">
        <f t="shared" si="30"/>
        <v/>
      </c>
      <c r="K1051" s="127" t="str">
        <f t="shared" si="29"/>
        <v/>
      </c>
    </row>
    <row r="1052" spans="2:11" x14ac:dyDescent="0.3">
      <c r="B1052" s="197"/>
      <c r="C1052" s="198"/>
      <c r="D1052" s="197"/>
      <c r="E1052" s="212"/>
      <c r="F1052" s="29" t="str">
        <f>IFERROR(VLOOKUP(E1052,'Inventaire des produits'!$B$4:$K$1001,2,0),"")</f>
        <v/>
      </c>
      <c r="G1052" s="212"/>
      <c r="H1052" s="30" t="str">
        <f>IFERROR(VLOOKUP(E1052,'Inventaire des produits'!$B$4:$K$1001,8,0),"")</f>
        <v/>
      </c>
      <c r="I1052" s="32" t="str">
        <f t="shared" si="30"/>
        <v/>
      </c>
      <c r="K1052" s="127" t="str">
        <f t="shared" si="29"/>
        <v/>
      </c>
    </row>
    <row r="1053" spans="2:11" x14ac:dyDescent="0.3">
      <c r="B1053" s="197"/>
      <c r="C1053" s="198"/>
      <c r="D1053" s="197"/>
      <c r="E1053" s="212"/>
      <c r="F1053" s="29" t="str">
        <f>IFERROR(VLOOKUP(E1053,'Inventaire des produits'!$B$4:$K$1001,2,0),"")</f>
        <v/>
      </c>
      <c r="G1053" s="212"/>
      <c r="H1053" s="30" t="str">
        <f>IFERROR(VLOOKUP(E1053,'Inventaire des produits'!$B$4:$K$1001,8,0),"")</f>
        <v/>
      </c>
      <c r="I1053" s="32" t="str">
        <f t="shared" si="30"/>
        <v/>
      </c>
      <c r="K1053" s="127" t="str">
        <f t="shared" si="29"/>
        <v/>
      </c>
    </row>
    <row r="1054" spans="2:11" x14ac:dyDescent="0.3">
      <c r="B1054" s="197"/>
      <c r="C1054" s="198"/>
      <c r="D1054" s="197"/>
      <c r="E1054" s="212"/>
      <c r="F1054" s="29" t="str">
        <f>IFERROR(VLOOKUP(E1054,'Inventaire des produits'!$B$4:$K$1001,2,0),"")</f>
        <v/>
      </c>
      <c r="G1054" s="212"/>
      <c r="H1054" s="30" t="str">
        <f>IFERROR(VLOOKUP(E1054,'Inventaire des produits'!$B$4:$K$1001,8,0),"")</f>
        <v/>
      </c>
      <c r="I1054" s="32" t="str">
        <f t="shared" si="30"/>
        <v/>
      </c>
      <c r="K1054" s="127" t="str">
        <f t="shared" si="29"/>
        <v/>
      </c>
    </row>
    <row r="1055" spans="2:11" x14ac:dyDescent="0.3">
      <c r="B1055" s="197"/>
      <c r="C1055" s="198"/>
      <c r="D1055" s="197"/>
      <c r="E1055" s="212"/>
      <c r="F1055" s="29" t="str">
        <f>IFERROR(VLOOKUP(E1055,'Inventaire des produits'!$B$4:$K$1001,2,0),"")</f>
        <v/>
      </c>
      <c r="G1055" s="212"/>
      <c r="H1055" s="30" t="str">
        <f>IFERROR(VLOOKUP(E1055,'Inventaire des produits'!$B$4:$K$1001,8,0),"")</f>
        <v/>
      </c>
      <c r="I1055" s="32" t="str">
        <f t="shared" si="30"/>
        <v/>
      </c>
      <c r="K1055" s="127" t="str">
        <f t="shared" si="29"/>
        <v/>
      </c>
    </row>
    <row r="1056" spans="2:11" x14ac:dyDescent="0.3">
      <c r="B1056" s="197"/>
      <c r="C1056" s="198"/>
      <c r="D1056" s="197"/>
      <c r="E1056" s="212"/>
      <c r="F1056" s="29" t="str">
        <f>IFERROR(VLOOKUP(E1056,'Inventaire des produits'!$B$4:$K$1001,2,0),"")</f>
        <v/>
      </c>
      <c r="G1056" s="212"/>
      <c r="H1056" s="30" t="str">
        <f>IFERROR(VLOOKUP(E1056,'Inventaire des produits'!$B$4:$K$1001,8,0),"")</f>
        <v/>
      </c>
      <c r="I1056" s="32" t="str">
        <f t="shared" si="30"/>
        <v/>
      </c>
      <c r="K1056" s="127" t="str">
        <f t="shared" si="29"/>
        <v/>
      </c>
    </row>
    <row r="1057" spans="2:11" x14ac:dyDescent="0.3">
      <c r="B1057" s="197"/>
      <c r="C1057" s="198"/>
      <c r="D1057" s="197"/>
      <c r="E1057" s="212"/>
      <c r="F1057" s="29" t="str">
        <f>IFERROR(VLOOKUP(E1057,'Inventaire des produits'!$B$4:$K$1001,2,0),"")</f>
        <v/>
      </c>
      <c r="G1057" s="212"/>
      <c r="H1057" s="30" t="str">
        <f>IFERROR(VLOOKUP(E1057,'Inventaire des produits'!$B$4:$K$1001,8,0),"")</f>
        <v/>
      </c>
      <c r="I1057" s="32" t="str">
        <f t="shared" si="30"/>
        <v/>
      </c>
      <c r="K1057" s="127" t="str">
        <f t="shared" si="29"/>
        <v/>
      </c>
    </row>
    <row r="1058" spans="2:11" x14ac:dyDescent="0.3">
      <c r="B1058" s="197"/>
      <c r="C1058" s="198"/>
      <c r="D1058" s="197"/>
      <c r="E1058" s="212"/>
      <c r="F1058" s="29" t="str">
        <f>IFERROR(VLOOKUP(E1058,'Inventaire des produits'!$B$4:$K$1001,2,0),"")</f>
        <v/>
      </c>
      <c r="G1058" s="212"/>
      <c r="H1058" s="30" t="str">
        <f>IFERROR(VLOOKUP(E1058,'Inventaire des produits'!$B$4:$K$1001,8,0),"")</f>
        <v/>
      </c>
      <c r="I1058" s="32" t="str">
        <f t="shared" si="30"/>
        <v/>
      </c>
      <c r="K1058" s="127" t="str">
        <f t="shared" si="29"/>
        <v/>
      </c>
    </row>
    <row r="1059" spans="2:11" x14ac:dyDescent="0.3">
      <c r="B1059" s="197"/>
      <c r="C1059" s="198"/>
      <c r="D1059" s="197"/>
      <c r="E1059" s="212"/>
      <c r="F1059" s="29" t="str">
        <f>IFERROR(VLOOKUP(E1059,'Inventaire des produits'!$B$4:$K$1001,2,0),"")</f>
        <v/>
      </c>
      <c r="G1059" s="212"/>
      <c r="H1059" s="30" t="str">
        <f>IFERROR(VLOOKUP(E1059,'Inventaire des produits'!$B$4:$K$1001,8,0),"")</f>
        <v/>
      </c>
      <c r="I1059" s="32" t="str">
        <f t="shared" si="30"/>
        <v/>
      </c>
      <c r="K1059" s="127" t="str">
        <f t="shared" si="29"/>
        <v/>
      </c>
    </row>
    <row r="1060" spans="2:11" x14ac:dyDescent="0.3">
      <c r="B1060" s="197"/>
      <c r="C1060" s="198"/>
      <c r="D1060" s="197"/>
      <c r="E1060" s="212"/>
      <c r="F1060" s="29" t="str">
        <f>IFERROR(VLOOKUP(E1060,'Inventaire des produits'!$B$4:$K$1001,2,0),"")</f>
        <v/>
      </c>
      <c r="G1060" s="212"/>
      <c r="H1060" s="30" t="str">
        <f>IFERROR(VLOOKUP(E1060,'Inventaire des produits'!$B$4:$K$1001,8,0),"")</f>
        <v/>
      </c>
      <c r="I1060" s="32" t="str">
        <f t="shared" si="30"/>
        <v/>
      </c>
      <c r="K1060" s="127" t="str">
        <f t="shared" si="29"/>
        <v/>
      </c>
    </row>
    <row r="1061" spans="2:11" x14ac:dyDescent="0.3">
      <c r="B1061" s="197"/>
      <c r="C1061" s="198"/>
      <c r="D1061" s="197"/>
      <c r="E1061" s="212"/>
      <c r="F1061" s="29" t="str">
        <f>IFERROR(VLOOKUP(E1061,'Inventaire des produits'!$B$4:$K$1001,2,0),"")</f>
        <v/>
      </c>
      <c r="G1061" s="212"/>
      <c r="H1061" s="30" t="str">
        <f>IFERROR(VLOOKUP(E1061,'Inventaire des produits'!$B$4:$K$1001,8,0),"")</f>
        <v/>
      </c>
      <c r="I1061" s="32" t="str">
        <f t="shared" si="30"/>
        <v/>
      </c>
      <c r="K1061" s="127" t="str">
        <f t="shared" si="29"/>
        <v/>
      </c>
    </row>
    <row r="1062" spans="2:11" x14ac:dyDescent="0.3">
      <c r="B1062" s="197"/>
      <c r="C1062" s="198"/>
      <c r="D1062" s="197"/>
      <c r="E1062" s="212"/>
      <c r="F1062" s="29" t="str">
        <f>IFERROR(VLOOKUP(E1062,'Inventaire des produits'!$B$4:$K$1001,2,0),"")</f>
        <v/>
      </c>
      <c r="G1062" s="212"/>
      <c r="H1062" s="30" t="str">
        <f>IFERROR(VLOOKUP(E1062,'Inventaire des produits'!$B$4:$K$1001,8,0),"")</f>
        <v/>
      </c>
      <c r="I1062" s="32" t="str">
        <f t="shared" si="30"/>
        <v/>
      </c>
      <c r="K1062" s="127" t="str">
        <f t="shared" si="29"/>
        <v/>
      </c>
    </row>
    <row r="1063" spans="2:11" x14ac:dyDescent="0.3">
      <c r="B1063" s="197"/>
      <c r="C1063" s="198"/>
      <c r="D1063" s="197"/>
      <c r="E1063" s="212"/>
      <c r="F1063" s="29" t="str">
        <f>IFERROR(VLOOKUP(E1063,'Inventaire des produits'!$B$4:$K$1001,2,0),"")</f>
        <v/>
      </c>
      <c r="G1063" s="212"/>
      <c r="H1063" s="30" t="str">
        <f>IFERROR(VLOOKUP(E1063,'Inventaire des produits'!$B$4:$K$1001,8,0),"")</f>
        <v/>
      </c>
      <c r="I1063" s="32" t="str">
        <f t="shared" si="30"/>
        <v/>
      </c>
      <c r="K1063" s="127" t="str">
        <f t="shared" si="29"/>
        <v/>
      </c>
    </row>
    <row r="1064" spans="2:11" x14ac:dyDescent="0.3">
      <c r="B1064" s="197"/>
      <c r="C1064" s="198"/>
      <c r="D1064" s="197"/>
      <c r="E1064" s="212"/>
      <c r="F1064" s="29" t="str">
        <f>IFERROR(VLOOKUP(E1064,'Inventaire des produits'!$B$4:$K$1001,2,0),"")</f>
        <v/>
      </c>
      <c r="G1064" s="212"/>
      <c r="H1064" s="30" t="str">
        <f>IFERROR(VLOOKUP(E1064,'Inventaire des produits'!$B$4:$K$1001,8,0),"")</f>
        <v/>
      </c>
      <c r="I1064" s="32" t="str">
        <f t="shared" si="30"/>
        <v/>
      </c>
      <c r="K1064" s="127" t="str">
        <f t="shared" si="29"/>
        <v/>
      </c>
    </row>
    <row r="1065" spans="2:11" x14ac:dyDescent="0.3">
      <c r="B1065" s="197"/>
      <c r="C1065" s="198"/>
      <c r="D1065" s="197"/>
      <c r="E1065" s="212"/>
      <c r="F1065" s="29" t="str">
        <f>IFERROR(VLOOKUP(E1065,'Inventaire des produits'!$B$4:$K$1001,2,0),"")</f>
        <v/>
      </c>
      <c r="G1065" s="212"/>
      <c r="H1065" s="30" t="str">
        <f>IFERROR(VLOOKUP(E1065,'Inventaire des produits'!$B$4:$K$1001,8,0),"")</f>
        <v/>
      </c>
      <c r="I1065" s="32" t="str">
        <f t="shared" si="30"/>
        <v/>
      </c>
      <c r="K1065" s="127" t="str">
        <f t="shared" si="29"/>
        <v/>
      </c>
    </row>
    <row r="1066" spans="2:11" x14ac:dyDescent="0.3">
      <c r="B1066" s="197"/>
      <c r="C1066" s="198"/>
      <c r="D1066" s="197"/>
      <c r="E1066" s="212"/>
      <c r="F1066" s="29" t="str">
        <f>IFERROR(VLOOKUP(E1066,'Inventaire des produits'!$B$4:$K$1001,2,0),"")</f>
        <v/>
      </c>
      <c r="G1066" s="212"/>
      <c r="H1066" s="30" t="str">
        <f>IFERROR(VLOOKUP(E1066,'Inventaire des produits'!$B$4:$K$1001,8,0),"")</f>
        <v/>
      </c>
      <c r="I1066" s="32" t="str">
        <f t="shared" si="30"/>
        <v/>
      </c>
      <c r="K1066" s="127" t="str">
        <f t="shared" si="29"/>
        <v/>
      </c>
    </row>
    <row r="1067" spans="2:11" x14ac:dyDescent="0.3">
      <c r="B1067" s="197"/>
      <c r="C1067" s="198"/>
      <c r="D1067" s="197"/>
      <c r="E1067" s="212"/>
      <c r="F1067" s="29" t="str">
        <f>IFERROR(VLOOKUP(E1067,'Inventaire des produits'!$B$4:$K$1001,2,0),"")</f>
        <v/>
      </c>
      <c r="G1067" s="212"/>
      <c r="H1067" s="30" t="str">
        <f>IFERROR(VLOOKUP(E1067,'Inventaire des produits'!$B$4:$K$1001,8,0),"")</f>
        <v/>
      </c>
      <c r="I1067" s="32" t="str">
        <f t="shared" si="30"/>
        <v/>
      </c>
      <c r="K1067" s="127" t="str">
        <f t="shared" si="29"/>
        <v/>
      </c>
    </row>
    <row r="1068" spans="2:11" x14ac:dyDescent="0.3">
      <c r="B1068" s="197"/>
      <c r="C1068" s="198"/>
      <c r="D1068" s="197"/>
      <c r="E1068" s="212"/>
      <c r="F1068" s="29" t="str">
        <f>IFERROR(VLOOKUP(E1068,'Inventaire des produits'!$B$4:$K$1001,2,0),"")</f>
        <v/>
      </c>
      <c r="G1068" s="212"/>
      <c r="H1068" s="30" t="str">
        <f>IFERROR(VLOOKUP(E1068,'Inventaire des produits'!$B$4:$K$1001,8,0),"")</f>
        <v/>
      </c>
      <c r="I1068" s="32" t="str">
        <f t="shared" si="30"/>
        <v/>
      </c>
      <c r="K1068" s="127" t="str">
        <f t="shared" si="29"/>
        <v/>
      </c>
    </row>
    <row r="1069" spans="2:11" x14ac:dyDescent="0.3">
      <c r="B1069" s="197"/>
      <c r="C1069" s="198"/>
      <c r="D1069" s="197"/>
      <c r="E1069" s="212"/>
      <c r="F1069" s="29" t="str">
        <f>IFERROR(VLOOKUP(E1069,'Inventaire des produits'!$B$4:$K$1001,2,0),"")</f>
        <v/>
      </c>
      <c r="G1069" s="212"/>
      <c r="H1069" s="30" t="str">
        <f>IFERROR(VLOOKUP(E1069,'Inventaire des produits'!$B$4:$K$1001,8,0),"")</f>
        <v/>
      </c>
      <c r="I1069" s="32" t="str">
        <f t="shared" si="30"/>
        <v/>
      </c>
      <c r="K1069" s="127" t="str">
        <f t="shared" si="29"/>
        <v/>
      </c>
    </row>
    <row r="1070" spans="2:11" x14ac:dyDescent="0.3">
      <c r="B1070" s="197"/>
      <c r="C1070" s="198"/>
      <c r="D1070" s="197"/>
      <c r="E1070" s="212"/>
      <c r="F1070" s="29" t="str">
        <f>IFERROR(VLOOKUP(E1070,'Inventaire des produits'!$B$4:$K$1001,2,0),"")</f>
        <v/>
      </c>
      <c r="G1070" s="212"/>
      <c r="H1070" s="30" t="str">
        <f>IFERROR(VLOOKUP(E1070,'Inventaire des produits'!$B$4:$K$1001,8,0),"")</f>
        <v/>
      </c>
      <c r="I1070" s="32" t="str">
        <f t="shared" si="30"/>
        <v/>
      </c>
      <c r="K1070" s="127" t="str">
        <f t="shared" si="29"/>
        <v/>
      </c>
    </row>
    <row r="1071" spans="2:11" x14ac:dyDescent="0.3">
      <c r="B1071" s="197"/>
      <c r="C1071" s="198"/>
      <c r="D1071" s="197"/>
      <c r="E1071" s="212"/>
      <c r="F1071" s="29" t="str">
        <f>IFERROR(VLOOKUP(E1071,'Inventaire des produits'!$B$4:$K$1001,2,0),"")</f>
        <v/>
      </c>
      <c r="G1071" s="212"/>
      <c r="H1071" s="30" t="str">
        <f>IFERROR(VLOOKUP(E1071,'Inventaire des produits'!$B$4:$K$1001,8,0),"")</f>
        <v/>
      </c>
      <c r="I1071" s="32" t="str">
        <f t="shared" si="30"/>
        <v/>
      </c>
      <c r="K1071" s="127" t="str">
        <f t="shared" si="29"/>
        <v/>
      </c>
    </row>
    <row r="1072" spans="2:11" x14ac:dyDescent="0.3">
      <c r="B1072" s="197"/>
      <c r="C1072" s="198"/>
      <c r="D1072" s="197"/>
      <c r="E1072" s="212"/>
      <c r="F1072" s="29" t="str">
        <f>IFERROR(VLOOKUP(E1072,'Inventaire des produits'!$B$4:$K$1001,2,0),"")</f>
        <v/>
      </c>
      <c r="G1072" s="212"/>
      <c r="H1072" s="30" t="str">
        <f>IFERROR(VLOOKUP(E1072,'Inventaire des produits'!$B$4:$K$1001,8,0),"")</f>
        <v/>
      </c>
      <c r="I1072" s="32" t="str">
        <f t="shared" si="30"/>
        <v/>
      </c>
      <c r="K1072" s="127" t="str">
        <f t="shared" si="29"/>
        <v/>
      </c>
    </row>
    <row r="1073" spans="2:11" x14ac:dyDescent="0.3">
      <c r="B1073" s="197"/>
      <c r="C1073" s="198"/>
      <c r="D1073" s="197"/>
      <c r="E1073" s="212"/>
      <c r="F1073" s="29" t="str">
        <f>IFERROR(VLOOKUP(E1073,'Inventaire des produits'!$B$4:$K$1001,2,0),"")</f>
        <v/>
      </c>
      <c r="G1073" s="212"/>
      <c r="H1073" s="30" t="str">
        <f>IFERROR(VLOOKUP(E1073,'Inventaire des produits'!$B$4:$K$1001,8,0),"")</f>
        <v/>
      </c>
      <c r="I1073" s="32" t="str">
        <f t="shared" si="30"/>
        <v/>
      </c>
      <c r="K1073" s="127" t="str">
        <f t="shared" si="29"/>
        <v/>
      </c>
    </row>
    <row r="1074" spans="2:11" x14ac:dyDescent="0.3">
      <c r="B1074" s="197"/>
      <c r="C1074" s="198"/>
      <c r="D1074" s="197"/>
      <c r="E1074" s="212"/>
      <c r="F1074" s="29" t="str">
        <f>IFERROR(VLOOKUP(E1074,'Inventaire des produits'!$B$4:$K$1001,2,0),"")</f>
        <v/>
      </c>
      <c r="G1074" s="212"/>
      <c r="H1074" s="30" t="str">
        <f>IFERROR(VLOOKUP(E1074,'Inventaire des produits'!$B$4:$K$1001,8,0),"")</f>
        <v/>
      </c>
      <c r="I1074" s="32" t="str">
        <f t="shared" si="30"/>
        <v/>
      </c>
      <c r="K1074" s="127" t="str">
        <f t="shared" si="29"/>
        <v/>
      </c>
    </row>
    <row r="1075" spans="2:11" x14ac:dyDescent="0.3">
      <c r="B1075" s="197"/>
      <c r="C1075" s="198"/>
      <c r="D1075" s="197"/>
      <c r="E1075" s="212"/>
      <c r="F1075" s="29" t="str">
        <f>IFERROR(VLOOKUP(E1075,'Inventaire des produits'!$B$4:$K$1001,2,0),"")</f>
        <v/>
      </c>
      <c r="G1075" s="212"/>
      <c r="H1075" s="30" t="str">
        <f>IFERROR(VLOOKUP(E1075,'Inventaire des produits'!$B$4:$K$1001,8,0),"")</f>
        <v/>
      </c>
      <c r="I1075" s="32" t="str">
        <f t="shared" si="30"/>
        <v/>
      </c>
      <c r="K1075" s="127" t="str">
        <f t="shared" si="29"/>
        <v/>
      </c>
    </row>
    <row r="1076" spans="2:11" x14ac:dyDescent="0.3">
      <c r="B1076" s="197"/>
      <c r="C1076" s="198"/>
      <c r="D1076" s="197"/>
      <c r="E1076" s="212"/>
      <c r="F1076" s="29" t="str">
        <f>IFERROR(VLOOKUP(E1076,'Inventaire des produits'!$B$4:$K$1001,2,0),"")</f>
        <v/>
      </c>
      <c r="G1076" s="212"/>
      <c r="H1076" s="30" t="str">
        <f>IFERROR(VLOOKUP(E1076,'Inventaire des produits'!$B$4:$K$1001,8,0),"")</f>
        <v/>
      </c>
      <c r="I1076" s="32" t="str">
        <f t="shared" si="30"/>
        <v/>
      </c>
      <c r="K1076" s="127" t="str">
        <f t="shared" si="29"/>
        <v/>
      </c>
    </row>
    <row r="1077" spans="2:11" x14ac:dyDescent="0.3">
      <c r="B1077" s="197"/>
      <c r="C1077" s="198"/>
      <c r="D1077" s="197"/>
      <c r="E1077" s="212"/>
      <c r="F1077" s="29" t="str">
        <f>IFERROR(VLOOKUP(E1077,'Inventaire des produits'!$B$4:$K$1001,2,0),"")</f>
        <v/>
      </c>
      <c r="G1077" s="212"/>
      <c r="H1077" s="30" t="str">
        <f>IFERROR(VLOOKUP(E1077,'Inventaire des produits'!$B$4:$K$1001,8,0),"")</f>
        <v/>
      </c>
      <c r="I1077" s="32" t="str">
        <f t="shared" si="30"/>
        <v/>
      </c>
      <c r="K1077" s="127" t="str">
        <f t="shared" si="29"/>
        <v/>
      </c>
    </row>
    <row r="1078" spans="2:11" x14ac:dyDescent="0.3">
      <c r="B1078" s="197"/>
      <c r="C1078" s="198"/>
      <c r="D1078" s="197"/>
      <c r="E1078" s="212"/>
      <c r="F1078" s="29" t="str">
        <f>IFERROR(VLOOKUP(E1078,'Inventaire des produits'!$B$4:$K$1001,2,0),"")</f>
        <v/>
      </c>
      <c r="G1078" s="212"/>
      <c r="H1078" s="30" t="str">
        <f>IFERROR(VLOOKUP(E1078,'Inventaire des produits'!$B$4:$K$1001,8,0),"")</f>
        <v/>
      </c>
      <c r="I1078" s="32" t="str">
        <f t="shared" si="30"/>
        <v/>
      </c>
      <c r="K1078" s="127" t="str">
        <f t="shared" si="29"/>
        <v/>
      </c>
    </row>
    <row r="1079" spans="2:11" x14ac:dyDescent="0.3">
      <c r="B1079" s="197"/>
      <c r="C1079" s="198"/>
      <c r="D1079" s="197"/>
      <c r="E1079" s="212"/>
      <c r="F1079" s="29" t="str">
        <f>IFERROR(VLOOKUP(E1079,'Inventaire des produits'!$B$4:$K$1001,2,0),"")</f>
        <v/>
      </c>
      <c r="G1079" s="212"/>
      <c r="H1079" s="30" t="str">
        <f>IFERROR(VLOOKUP(E1079,'Inventaire des produits'!$B$4:$K$1001,8,0),"")</f>
        <v/>
      </c>
      <c r="I1079" s="32" t="str">
        <f t="shared" si="30"/>
        <v/>
      </c>
      <c r="K1079" s="127" t="str">
        <f t="shared" si="29"/>
        <v/>
      </c>
    </row>
    <row r="1080" spans="2:11" x14ac:dyDescent="0.3">
      <c r="B1080" s="197"/>
      <c r="C1080" s="198"/>
      <c r="D1080" s="197"/>
      <c r="E1080" s="212"/>
      <c r="F1080" s="29" t="str">
        <f>IFERROR(VLOOKUP(E1080,'Inventaire des produits'!$B$4:$K$1001,2,0),"")</f>
        <v/>
      </c>
      <c r="G1080" s="212"/>
      <c r="H1080" s="30" t="str">
        <f>IFERROR(VLOOKUP(E1080,'Inventaire des produits'!$B$4:$K$1001,8,0),"")</f>
        <v/>
      </c>
      <c r="I1080" s="32" t="str">
        <f t="shared" si="30"/>
        <v/>
      </c>
      <c r="K1080" s="127" t="str">
        <f t="shared" si="29"/>
        <v/>
      </c>
    </row>
    <row r="1081" spans="2:11" x14ac:dyDescent="0.3">
      <c r="B1081" s="197"/>
      <c r="C1081" s="198"/>
      <c r="D1081" s="197"/>
      <c r="E1081" s="212"/>
      <c r="F1081" s="29" t="str">
        <f>IFERROR(VLOOKUP(E1081,'Inventaire des produits'!$B$4:$K$1001,2,0),"")</f>
        <v/>
      </c>
      <c r="G1081" s="212"/>
      <c r="H1081" s="30" t="str">
        <f>IFERROR(VLOOKUP(E1081,'Inventaire des produits'!$B$4:$K$1001,8,0),"")</f>
        <v/>
      </c>
      <c r="I1081" s="32" t="str">
        <f t="shared" si="30"/>
        <v/>
      </c>
      <c r="K1081" s="127" t="str">
        <f t="shared" si="29"/>
        <v/>
      </c>
    </row>
    <row r="1082" spans="2:11" x14ac:dyDescent="0.3">
      <c r="B1082" s="197"/>
      <c r="C1082" s="198"/>
      <c r="D1082" s="197"/>
      <c r="E1082" s="212"/>
      <c r="F1082" s="29" t="str">
        <f>IFERROR(VLOOKUP(E1082,'Inventaire des produits'!$B$4:$K$1001,2,0),"")</f>
        <v/>
      </c>
      <c r="G1082" s="212"/>
      <c r="H1082" s="30" t="str">
        <f>IFERROR(VLOOKUP(E1082,'Inventaire des produits'!$B$4:$K$1001,8,0),"")</f>
        <v/>
      </c>
      <c r="I1082" s="32" t="str">
        <f t="shared" si="30"/>
        <v/>
      </c>
      <c r="K1082" s="127" t="str">
        <f t="shared" si="29"/>
        <v/>
      </c>
    </row>
    <row r="1083" spans="2:11" x14ac:dyDescent="0.3">
      <c r="B1083" s="197"/>
      <c r="C1083" s="198"/>
      <c r="D1083" s="197"/>
      <c r="E1083" s="212"/>
      <c r="F1083" s="29" t="str">
        <f>IFERROR(VLOOKUP(E1083,'Inventaire des produits'!$B$4:$K$1001,2,0),"")</f>
        <v/>
      </c>
      <c r="G1083" s="212"/>
      <c r="H1083" s="30" t="str">
        <f>IFERROR(VLOOKUP(E1083,'Inventaire des produits'!$B$4:$K$1001,8,0),"")</f>
        <v/>
      </c>
      <c r="I1083" s="32" t="str">
        <f t="shared" si="30"/>
        <v/>
      </c>
      <c r="K1083" s="127" t="str">
        <f t="shared" si="29"/>
        <v/>
      </c>
    </row>
    <row r="1084" spans="2:11" x14ac:dyDescent="0.3">
      <c r="B1084" s="197"/>
      <c r="C1084" s="198"/>
      <c r="D1084" s="197"/>
      <c r="E1084" s="212"/>
      <c r="F1084" s="29" t="str">
        <f>IFERROR(VLOOKUP(E1084,'Inventaire des produits'!$B$4:$K$1001,2,0),"")</f>
        <v/>
      </c>
      <c r="G1084" s="212"/>
      <c r="H1084" s="30" t="str">
        <f>IFERROR(VLOOKUP(E1084,'Inventaire des produits'!$B$4:$K$1001,8,0),"")</f>
        <v/>
      </c>
      <c r="I1084" s="32" t="str">
        <f t="shared" si="30"/>
        <v/>
      </c>
      <c r="K1084" s="127" t="str">
        <f t="shared" ref="K1084:K1147" si="31">IF(J1084="","",J1084*1.2)</f>
        <v/>
      </c>
    </row>
    <row r="1085" spans="2:11" x14ac:dyDescent="0.3">
      <c r="B1085" s="197"/>
      <c r="C1085" s="198"/>
      <c r="D1085" s="197"/>
      <c r="E1085" s="212"/>
      <c r="F1085" s="29" t="str">
        <f>IFERROR(VLOOKUP(E1085,'Inventaire des produits'!$B$4:$K$1001,2,0),"")</f>
        <v/>
      </c>
      <c r="G1085" s="212"/>
      <c r="H1085" s="30" t="str">
        <f>IFERROR(VLOOKUP(E1085,'Inventaire des produits'!$B$4:$K$1001,8,0),"")</f>
        <v/>
      </c>
      <c r="I1085" s="32" t="str">
        <f t="shared" si="30"/>
        <v/>
      </c>
      <c r="K1085" s="127" t="str">
        <f t="shared" si="31"/>
        <v/>
      </c>
    </row>
    <row r="1086" spans="2:11" x14ac:dyDescent="0.3">
      <c r="B1086" s="197"/>
      <c r="C1086" s="198"/>
      <c r="D1086" s="197"/>
      <c r="E1086" s="212"/>
      <c r="F1086" s="29" t="str">
        <f>IFERROR(VLOOKUP(E1086,'Inventaire des produits'!$B$4:$K$1001,2,0),"")</f>
        <v/>
      </c>
      <c r="G1086" s="212"/>
      <c r="H1086" s="30" t="str">
        <f>IFERROR(VLOOKUP(E1086,'Inventaire des produits'!$B$4:$K$1001,8,0),"")</f>
        <v/>
      </c>
      <c r="I1086" s="32" t="str">
        <f t="shared" si="30"/>
        <v/>
      </c>
      <c r="K1086" s="127" t="str">
        <f t="shared" si="31"/>
        <v/>
      </c>
    </row>
    <row r="1087" spans="2:11" x14ac:dyDescent="0.3">
      <c r="B1087" s="197"/>
      <c r="C1087" s="198"/>
      <c r="D1087" s="197"/>
      <c r="E1087" s="212"/>
      <c r="F1087" s="29" t="str">
        <f>IFERROR(VLOOKUP(E1087,'Inventaire des produits'!$B$4:$K$1001,2,0),"")</f>
        <v/>
      </c>
      <c r="G1087" s="212"/>
      <c r="H1087" s="30" t="str">
        <f>IFERROR(VLOOKUP(E1087,'Inventaire des produits'!$B$4:$K$1001,8,0),"")</f>
        <v/>
      </c>
      <c r="I1087" s="32" t="str">
        <f t="shared" si="30"/>
        <v/>
      </c>
      <c r="K1087" s="127" t="str">
        <f t="shared" si="31"/>
        <v/>
      </c>
    </row>
    <row r="1088" spans="2:11" x14ac:dyDescent="0.3">
      <c r="B1088" s="197"/>
      <c r="C1088" s="198"/>
      <c r="D1088" s="197"/>
      <c r="E1088" s="212"/>
      <c r="F1088" s="29" t="str">
        <f>IFERROR(VLOOKUP(E1088,'Inventaire des produits'!$B$4:$K$1001,2,0),"")</f>
        <v/>
      </c>
      <c r="G1088" s="212"/>
      <c r="H1088" s="30" t="str">
        <f>IFERROR(VLOOKUP(E1088,'Inventaire des produits'!$B$4:$K$1001,8,0),"")</f>
        <v/>
      </c>
      <c r="I1088" s="32" t="str">
        <f t="shared" si="30"/>
        <v/>
      </c>
      <c r="K1088" s="127" t="str">
        <f t="shared" si="31"/>
        <v/>
      </c>
    </row>
    <row r="1089" spans="2:11" x14ac:dyDescent="0.3">
      <c r="B1089" s="197"/>
      <c r="C1089" s="198"/>
      <c r="D1089" s="197"/>
      <c r="E1089" s="212"/>
      <c r="F1089" s="29" t="str">
        <f>IFERROR(VLOOKUP(E1089,'Inventaire des produits'!$B$4:$K$1001,2,0),"")</f>
        <v/>
      </c>
      <c r="G1089" s="212"/>
      <c r="H1089" s="30" t="str">
        <f>IFERROR(VLOOKUP(E1089,'Inventaire des produits'!$B$4:$K$1001,8,0),"")</f>
        <v/>
      </c>
      <c r="I1089" s="32" t="str">
        <f t="shared" si="30"/>
        <v/>
      </c>
      <c r="K1089" s="127" t="str">
        <f t="shared" si="31"/>
        <v/>
      </c>
    </row>
    <row r="1090" spans="2:11" x14ac:dyDescent="0.3">
      <c r="B1090" s="197"/>
      <c r="C1090" s="198"/>
      <c r="D1090" s="197"/>
      <c r="E1090" s="212"/>
      <c r="F1090" s="29" t="str">
        <f>IFERROR(VLOOKUP(E1090,'Inventaire des produits'!$B$4:$K$1001,2,0),"")</f>
        <v/>
      </c>
      <c r="G1090" s="212"/>
      <c r="H1090" s="30" t="str">
        <f>IFERROR(VLOOKUP(E1090,'Inventaire des produits'!$B$4:$K$1001,8,0),"")</f>
        <v/>
      </c>
      <c r="I1090" s="32" t="str">
        <f t="shared" ref="I1090:I1153" si="32">IF(OR(G1090="",H1090=""),"",G1090*H1090)</f>
        <v/>
      </c>
      <c r="K1090" s="127" t="str">
        <f t="shared" si="31"/>
        <v/>
      </c>
    </row>
    <row r="1091" spans="2:11" x14ac:dyDescent="0.3">
      <c r="B1091" s="197"/>
      <c r="C1091" s="198"/>
      <c r="D1091" s="197"/>
      <c r="E1091" s="212"/>
      <c r="F1091" s="29" t="str">
        <f>IFERROR(VLOOKUP(E1091,'Inventaire des produits'!$B$4:$K$1001,2,0),"")</f>
        <v/>
      </c>
      <c r="G1091" s="212"/>
      <c r="H1091" s="30" t="str">
        <f>IFERROR(VLOOKUP(E1091,'Inventaire des produits'!$B$4:$K$1001,8,0),"")</f>
        <v/>
      </c>
      <c r="I1091" s="32" t="str">
        <f t="shared" si="32"/>
        <v/>
      </c>
      <c r="K1091" s="127" t="str">
        <f t="shared" si="31"/>
        <v/>
      </c>
    </row>
    <row r="1092" spans="2:11" x14ac:dyDescent="0.3">
      <c r="B1092" s="197"/>
      <c r="C1092" s="198"/>
      <c r="D1092" s="197"/>
      <c r="E1092" s="212"/>
      <c r="F1092" s="29" t="str">
        <f>IFERROR(VLOOKUP(E1092,'Inventaire des produits'!$B$4:$K$1001,2,0),"")</f>
        <v/>
      </c>
      <c r="G1092" s="212"/>
      <c r="H1092" s="30" t="str">
        <f>IFERROR(VLOOKUP(E1092,'Inventaire des produits'!$B$4:$K$1001,8,0),"")</f>
        <v/>
      </c>
      <c r="I1092" s="32" t="str">
        <f t="shared" si="32"/>
        <v/>
      </c>
      <c r="K1092" s="127" t="str">
        <f t="shared" si="31"/>
        <v/>
      </c>
    </row>
    <row r="1093" spans="2:11" x14ac:dyDescent="0.3">
      <c r="B1093" s="197"/>
      <c r="C1093" s="198"/>
      <c r="D1093" s="197"/>
      <c r="E1093" s="212"/>
      <c r="F1093" s="29" t="str">
        <f>IFERROR(VLOOKUP(E1093,'Inventaire des produits'!$B$4:$K$1001,2,0),"")</f>
        <v/>
      </c>
      <c r="G1093" s="212"/>
      <c r="H1093" s="30" t="str">
        <f>IFERROR(VLOOKUP(E1093,'Inventaire des produits'!$B$4:$K$1001,8,0),"")</f>
        <v/>
      </c>
      <c r="I1093" s="32" t="str">
        <f t="shared" si="32"/>
        <v/>
      </c>
      <c r="K1093" s="127" t="str">
        <f t="shared" si="31"/>
        <v/>
      </c>
    </row>
    <row r="1094" spans="2:11" x14ac:dyDescent="0.3">
      <c r="B1094" s="197"/>
      <c r="C1094" s="198"/>
      <c r="D1094" s="197"/>
      <c r="E1094" s="212"/>
      <c r="F1094" s="29" t="str">
        <f>IFERROR(VLOOKUP(E1094,'Inventaire des produits'!$B$4:$K$1001,2,0),"")</f>
        <v/>
      </c>
      <c r="G1094" s="212"/>
      <c r="H1094" s="30" t="str">
        <f>IFERROR(VLOOKUP(E1094,'Inventaire des produits'!$B$4:$K$1001,8,0),"")</f>
        <v/>
      </c>
      <c r="I1094" s="32" t="str">
        <f t="shared" si="32"/>
        <v/>
      </c>
      <c r="K1094" s="127" t="str">
        <f t="shared" si="31"/>
        <v/>
      </c>
    </row>
    <row r="1095" spans="2:11" x14ac:dyDescent="0.3">
      <c r="B1095" s="197"/>
      <c r="C1095" s="198"/>
      <c r="D1095" s="197"/>
      <c r="E1095" s="212"/>
      <c r="F1095" s="29" t="str">
        <f>IFERROR(VLOOKUP(E1095,'Inventaire des produits'!$B$4:$K$1001,2,0),"")</f>
        <v/>
      </c>
      <c r="G1095" s="212"/>
      <c r="H1095" s="30" t="str">
        <f>IFERROR(VLOOKUP(E1095,'Inventaire des produits'!$B$4:$K$1001,8,0),"")</f>
        <v/>
      </c>
      <c r="I1095" s="32" t="str">
        <f t="shared" si="32"/>
        <v/>
      </c>
      <c r="K1095" s="127" t="str">
        <f t="shared" si="31"/>
        <v/>
      </c>
    </row>
    <row r="1096" spans="2:11" x14ac:dyDescent="0.3">
      <c r="B1096" s="197"/>
      <c r="C1096" s="198"/>
      <c r="D1096" s="197"/>
      <c r="E1096" s="212"/>
      <c r="F1096" s="29" t="str">
        <f>IFERROR(VLOOKUP(E1096,'Inventaire des produits'!$B$4:$K$1001,2,0),"")</f>
        <v/>
      </c>
      <c r="G1096" s="212"/>
      <c r="H1096" s="30" t="str">
        <f>IFERROR(VLOOKUP(E1096,'Inventaire des produits'!$B$4:$K$1001,8,0),"")</f>
        <v/>
      </c>
      <c r="I1096" s="32" t="str">
        <f t="shared" si="32"/>
        <v/>
      </c>
      <c r="K1096" s="127" t="str">
        <f t="shared" si="31"/>
        <v/>
      </c>
    </row>
    <row r="1097" spans="2:11" x14ac:dyDescent="0.3">
      <c r="B1097" s="197"/>
      <c r="C1097" s="198"/>
      <c r="D1097" s="197"/>
      <c r="E1097" s="212"/>
      <c r="F1097" s="29" t="str">
        <f>IFERROR(VLOOKUP(E1097,'Inventaire des produits'!$B$4:$K$1001,2,0),"")</f>
        <v/>
      </c>
      <c r="G1097" s="212"/>
      <c r="H1097" s="30" t="str">
        <f>IFERROR(VLOOKUP(E1097,'Inventaire des produits'!$B$4:$K$1001,8,0),"")</f>
        <v/>
      </c>
      <c r="I1097" s="32" t="str">
        <f t="shared" si="32"/>
        <v/>
      </c>
      <c r="K1097" s="127" t="str">
        <f t="shared" si="31"/>
        <v/>
      </c>
    </row>
    <row r="1098" spans="2:11" x14ac:dyDescent="0.3">
      <c r="B1098" s="197"/>
      <c r="C1098" s="198"/>
      <c r="D1098" s="197"/>
      <c r="E1098" s="212"/>
      <c r="F1098" s="29" t="str">
        <f>IFERROR(VLOOKUP(E1098,'Inventaire des produits'!$B$4:$K$1001,2,0),"")</f>
        <v/>
      </c>
      <c r="G1098" s="212"/>
      <c r="H1098" s="30" t="str">
        <f>IFERROR(VLOOKUP(E1098,'Inventaire des produits'!$B$4:$K$1001,8,0),"")</f>
        <v/>
      </c>
      <c r="I1098" s="32" t="str">
        <f t="shared" si="32"/>
        <v/>
      </c>
      <c r="K1098" s="127" t="str">
        <f t="shared" si="31"/>
        <v/>
      </c>
    </row>
    <row r="1099" spans="2:11" x14ac:dyDescent="0.3">
      <c r="B1099" s="197"/>
      <c r="C1099" s="198"/>
      <c r="D1099" s="197"/>
      <c r="E1099" s="212"/>
      <c r="F1099" s="29" t="str">
        <f>IFERROR(VLOOKUP(E1099,'Inventaire des produits'!$B$4:$K$1001,2,0),"")</f>
        <v/>
      </c>
      <c r="G1099" s="212"/>
      <c r="H1099" s="30" t="str">
        <f>IFERROR(VLOOKUP(E1099,'Inventaire des produits'!$B$4:$K$1001,8,0),"")</f>
        <v/>
      </c>
      <c r="I1099" s="32" t="str">
        <f t="shared" si="32"/>
        <v/>
      </c>
      <c r="K1099" s="127" t="str">
        <f t="shared" si="31"/>
        <v/>
      </c>
    </row>
    <row r="1100" spans="2:11" x14ac:dyDescent="0.3">
      <c r="B1100" s="197"/>
      <c r="C1100" s="198"/>
      <c r="D1100" s="197"/>
      <c r="E1100" s="212"/>
      <c r="F1100" s="29" t="str">
        <f>IFERROR(VLOOKUP(E1100,'Inventaire des produits'!$B$4:$K$1001,2,0),"")</f>
        <v/>
      </c>
      <c r="G1100" s="212"/>
      <c r="H1100" s="30" t="str">
        <f>IFERROR(VLOOKUP(E1100,'Inventaire des produits'!$B$4:$K$1001,8,0),"")</f>
        <v/>
      </c>
      <c r="I1100" s="32" t="str">
        <f t="shared" si="32"/>
        <v/>
      </c>
      <c r="K1100" s="127" t="str">
        <f t="shared" si="31"/>
        <v/>
      </c>
    </row>
    <row r="1101" spans="2:11" x14ac:dyDescent="0.3">
      <c r="B1101" s="197"/>
      <c r="C1101" s="198"/>
      <c r="D1101" s="197"/>
      <c r="E1101" s="212"/>
      <c r="F1101" s="29" t="str">
        <f>IFERROR(VLOOKUP(E1101,'Inventaire des produits'!$B$4:$K$1001,2,0),"")</f>
        <v/>
      </c>
      <c r="G1101" s="212"/>
      <c r="H1101" s="30" t="str">
        <f>IFERROR(VLOOKUP(E1101,'Inventaire des produits'!$B$4:$K$1001,8,0),"")</f>
        <v/>
      </c>
      <c r="I1101" s="32" t="str">
        <f t="shared" si="32"/>
        <v/>
      </c>
      <c r="K1101" s="127" t="str">
        <f t="shared" si="31"/>
        <v/>
      </c>
    </row>
    <row r="1102" spans="2:11" x14ac:dyDescent="0.3">
      <c r="B1102" s="197"/>
      <c r="C1102" s="198"/>
      <c r="D1102" s="197"/>
      <c r="E1102" s="212"/>
      <c r="F1102" s="29" t="str">
        <f>IFERROR(VLOOKUP(E1102,'Inventaire des produits'!$B$4:$K$1001,2,0),"")</f>
        <v/>
      </c>
      <c r="G1102" s="212"/>
      <c r="H1102" s="30" t="str">
        <f>IFERROR(VLOOKUP(E1102,'Inventaire des produits'!$B$4:$K$1001,8,0),"")</f>
        <v/>
      </c>
      <c r="I1102" s="32" t="str">
        <f t="shared" si="32"/>
        <v/>
      </c>
      <c r="K1102" s="127" t="str">
        <f t="shared" si="31"/>
        <v/>
      </c>
    </row>
    <row r="1103" spans="2:11" x14ac:dyDescent="0.3">
      <c r="B1103" s="197"/>
      <c r="C1103" s="198"/>
      <c r="D1103" s="197"/>
      <c r="E1103" s="212"/>
      <c r="F1103" s="29" t="str">
        <f>IFERROR(VLOOKUP(E1103,'Inventaire des produits'!$B$4:$K$1001,2,0),"")</f>
        <v/>
      </c>
      <c r="G1103" s="212"/>
      <c r="H1103" s="30" t="str">
        <f>IFERROR(VLOOKUP(E1103,'Inventaire des produits'!$B$4:$K$1001,8,0),"")</f>
        <v/>
      </c>
      <c r="I1103" s="32" t="str">
        <f t="shared" si="32"/>
        <v/>
      </c>
      <c r="K1103" s="127" t="str">
        <f t="shared" si="31"/>
        <v/>
      </c>
    </row>
    <row r="1104" spans="2:11" x14ac:dyDescent="0.3">
      <c r="B1104" s="197"/>
      <c r="C1104" s="198"/>
      <c r="D1104" s="197"/>
      <c r="E1104" s="212"/>
      <c r="F1104" s="29" t="str">
        <f>IFERROR(VLOOKUP(E1104,'Inventaire des produits'!$B$4:$K$1001,2,0),"")</f>
        <v/>
      </c>
      <c r="G1104" s="212"/>
      <c r="H1104" s="30" t="str">
        <f>IFERROR(VLOOKUP(E1104,'Inventaire des produits'!$B$4:$K$1001,8,0),"")</f>
        <v/>
      </c>
      <c r="I1104" s="32" t="str">
        <f t="shared" si="32"/>
        <v/>
      </c>
      <c r="K1104" s="127" t="str">
        <f t="shared" si="31"/>
        <v/>
      </c>
    </row>
    <row r="1105" spans="2:11" x14ac:dyDescent="0.3">
      <c r="B1105" s="197"/>
      <c r="C1105" s="198"/>
      <c r="D1105" s="197"/>
      <c r="E1105" s="212"/>
      <c r="F1105" s="29" t="str">
        <f>IFERROR(VLOOKUP(E1105,'Inventaire des produits'!$B$4:$K$1001,2,0),"")</f>
        <v/>
      </c>
      <c r="G1105" s="212"/>
      <c r="H1105" s="30" t="str">
        <f>IFERROR(VLOOKUP(E1105,'Inventaire des produits'!$B$4:$K$1001,8,0),"")</f>
        <v/>
      </c>
      <c r="I1105" s="32" t="str">
        <f t="shared" si="32"/>
        <v/>
      </c>
      <c r="K1105" s="127" t="str">
        <f t="shared" si="31"/>
        <v/>
      </c>
    </row>
    <row r="1106" spans="2:11" x14ac:dyDescent="0.3">
      <c r="B1106" s="197"/>
      <c r="C1106" s="198"/>
      <c r="D1106" s="197"/>
      <c r="E1106" s="212"/>
      <c r="F1106" s="29" t="str">
        <f>IFERROR(VLOOKUP(E1106,'Inventaire des produits'!$B$4:$K$1001,2,0),"")</f>
        <v/>
      </c>
      <c r="G1106" s="212"/>
      <c r="H1106" s="30" t="str">
        <f>IFERROR(VLOOKUP(E1106,'Inventaire des produits'!$B$4:$K$1001,8,0),"")</f>
        <v/>
      </c>
      <c r="I1106" s="32" t="str">
        <f t="shared" si="32"/>
        <v/>
      </c>
      <c r="K1106" s="127" t="str">
        <f t="shared" si="31"/>
        <v/>
      </c>
    </row>
    <row r="1107" spans="2:11" x14ac:dyDescent="0.3">
      <c r="B1107" s="197"/>
      <c r="C1107" s="198"/>
      <c r="D1107" s="197"/>
      <c r="E1107" s="212"/>
      <c r="F1107" s="29" t="str">
        <f>IFERROR(VLOOKUP(E1107,'Inventaire des produits'!$B$4:$K$1001,2,0),"")</f>
        <v/>
      </c>
      <c r="G1107" s="212"/>
      <c r="H1107" s="30" t="str">
        <f>IFERROR(VLOOKUP(E1107,'Inventaire des produits'!$B$4:$K$1001,8,0),"")</f>
        <v/>
      </c>
      <c r="I1107" s="32" t="str">
        <f t="shared" si="32"/>
        <v/>
      </c>
      <c r="K1107" s="127" t="str">
        <f t="shared" si="31"/>
        <v/>
      </c>
    </row>
    <row r="1108" spans="2:11" x14ac:dyDescent="0.3">
      <c r="B1108" s="197"/>
      <c r="C1108" s="198"/>
      <c r="D1108" s="197"/>
      <c r="E1108" s="212"/>
      <c r="F1108" s="29" t="str">
        <f>IFERROR(VLOOKUP(E1108,'Inventaire des produits'!$B$4:$K$1001,2,0),"")</f>
        <v/>
      </c>
      <c r="G1108" s="212"/>
      <c r="H1108" s="30" t="str">
        <f>IFERROR(VLOOKUP(E1108,'Inventaire des produits'!$B$4:$K$1001,8,0),"")</f>
        <v/>
      </c>
      <c r="I1108" s="32" t="str">
        <f t="shared" si="32"/>
        <v/>
      </c>
      <c r="K1108" s="127" t="str">
        <f t="shared" si="31"/>
        <v/>
      </c>
    </row>
    <row r="1109" spans="2:11" x14ac:dyDescent="0.3">
      <c r="B1109" s="197"/>
      <c r="C1109" s="198"/>
      <c r="D1109" s="197"/>
      <c r="E1109" s="212"/>
      <c r="F1109" s="29" t="str">
        <f>IFERROR(VLOOKUP(E1109,'Inventaire des produits'!$B$4:$K$1001,2,0),"")</f>
        <v/>
      </c>
      <c r="G1109" s="212"/>
      <c r="H1109" s="30" t="str">
        <f>IFERROR(VLOOKUP(E1109,'Inventaire des produits'!$B$4:$K$1001,8,0),"")</f>
        <v/>
      </c>
      <c r="I1109" s="32" t="str">
        <f t="shared" si="32"/>
        <v/>
      </c>
      <c r="K1109" s="127" t="str">
        <f t="shared" si="31"/>
        <v/>
      </c>
    </row>
    <row r="1110" spans="2:11" x14ac:dyDescent="0.3">
      <c r="B1110" s="197"/>
      <c r="C1110" s="198"/>
      <c r="D1110" s="197"/>
      <c r="E1110" s="212"/>
      <c r="F1110" s="29" t="str">
        <f>IFERROR(VLOOKUP(E1110,'Inventaire des produits'!$B$4:$K$1001,2,0),"")</f>
        <v/>
      </c>
      <c r="G1110" s="212"/>
      <c r="H1110" s="30" t="str">
        <f>IFERROR(VLOOKUP(E1110,'Inventaire des produits'!$B$4:$K$1001,8,0),"")</f>
        <v/>
      </c>
      <c r="I1110" s="32" t="str">
        <f t="shared" si="32"/>
        <v/>
      </c>
      <c r="K1110" s="127" t="str">
        <f t="shared" si="31"/>
        <v/>
      </c>
    </row>
    <row r="1111" spans="2:11" x14ac:dyDescent="0.3">
      <c r="B1111" s="197"/>
      <c r="C1111" s="198"/>
      <c r="D1111" s="197"/>
      <c r="E1111" s="212"/>
      <c r="F1111" s="29" t="str">
        <f>IFERROR(VLOOKUP(E1111,'Inventaire des produits'!$B$4:$K$1001,2,0),"")</f>
        <v/>
      </c>
      <c r="G1111" s="212"/>
      <c r="H1111" s="30" t="str">
        <f>IFERROR(VLOOKUP(E1111,'Inventaire des produits'!$B$4:$K$1001,8,0),"")</f>
        <v/>
      </c>
      <c r="I1111" s="32" t="str">
        <f t="shared" si="32"/>
        <v/>
      </c>
      <c r="K1111" s="127" t="str">
        <f t="shared" si="31"/>
        <v/>
      </c>
    </row>
    <row r="1112" spans="2:11" x14ac:dyDescent="0.3">
      <c r="B1112" s="197"/>
      <c r="C1112" s="198"/>
      <c r="D1112" s="197"/>
      <c r="E1112" s="212"/>
      <c r="F1112" s="29" t="str">
        <f>IFERROR(VLOOKUP(E1112,'Inventaire des produits'!$B$4:$K$1001,2,0),"")</f>
        <v/>
      </c>
      <c r="G1112" s="212"/>
      <c r="H1112" s="30" t="str">
        <f>IFERROR(VLOOKUP(E1112,'Inventaire des produits'!$B$4:$K$1001,8,0),"")</f>
        <v/>
      </c>
      <c r="I1112" s="32" t="str">
        <f t="shared" si="32"/>
        <v/>
      </c>
      <c r="K1112" s="127" t="str">
        <f t="shared" si="31"/>
        <v/>
      </c>
    </row>
    <row r="1113" spans="2:11" x14ac:dyDescent="0.3">
      <c r="B1113" s="197"/>
      <c r="C1113" s="198"/>
      <c r="D1113" s="197"/>
      <c r="E1113" s="212"/>
      <c r="F1113" s="29" t="str">
        <f>IFERROR(VLOOKUP(E1113,'Inventaire des produits'!$B$4:$K$1001,2,0),"")</f>
        <v/>
      </c>
      <c r="G1113" s="212"/>
      <c r="H1113" s="30" t="str">
        <f>IFERROR(VLOOKUP(E1113,'Inventaire des produits'!$B$4:$K$1001,8,0),"")</f>
        <v/>
      </c>
      <c r="I1113" s="32" t="str">
        <f t="shared" si="32"/>
        <v/>
      </c>
      <c r="K1113" s="127" t="str">
        <f t="shared" si="31"/>
        <v/>
      </c>
    </row>
    <row r="1114" spans="2:11" x14ac:dyDescent="0.3">
      <c r="B1114" s="197"/>
      <c r="C1114" s="198"/>
      <c r="D1114" s="197"/>
      <c r="E1114" s="212"/>
      <c r="F1114" s="29" t="str">
        <f>IFERROR(VLOOKUP(E1114,'Inventaire des produits'!$B$4:$K$1001,2,0),"")</f>
        <v/>
      </c>
      <c r="G1114" s="212"/>
      <c r="H1114" s="30" t="str">
        <f>IFERROR(VLOOKUP(E1114,'Inventaire des produits'!$B$4:$K$1001,8,0),"")</f>
        <v/>
      </c>
      <c r="I1114" s="32" t="str">
        <f t="shared" si="32"/>
        <v/>
      </c>
      <c r="K1114" s="127" t="str">
        <f t="shared" si="31"/>
        <v/>
      </c>
    </row>
    <row r="1115" spans="2:11" x14ac:dyDescent="0.3">
      <c r="B1115" s="197"/>
      <c r="C1115" s="198"/>
      <c r="D1115" s="197"/>
      <c r="E1115" s="212"/>
      <c r="F1115" s="29" t="str">
        <f>IFERROR(VLOOKUP(E1115,'Inventaire des produits'!$B$4:$K$1001,2,0),"")</f>
        <v/>
      </c>
      <c r="G1115" s="212"/>
      <c r="H1115" s="30" t="str">
        <f>IFERROR(VLOOKUP(E1115,'Inventaire des produits'!$B$4:$K$1001,8,0),"")</f>
        <v/>
      </c>
      <c r="I1115" s="32" t="str">
        <f t="shared" si="32"/>
        <v/>
      </c>
      <c r="K1115" s="127" t="str">
        <f t="shared" si="31"/>
        <v/>
      </c>
    </row>
    <row r="1116" spans="2:11" x14ac:dyDescent="0.3">
      <c r="B1116" s="197"/>
      <c r="C1116" s="198"/>
      <c r="D1116" s="197"/>
      <c r="E1116" s="212"/>
      <c r="F1116" s="29" t="str">
        <f>IFERROR(VLOOKUP(E1116,'Inventaire des produits'!$B$4:$K$1001,2,0),"")</f>
        <v/>
      </c>
      <c r="G1116" s="212"/>
      <c r="H1116" s="30" t="str">
        <f>IFERROR(VLOOKUP(E1116,'Inventaire des produits'!$B$4:$K$1001,8,0),"")</f>
        <v/>
      </c>
      <c r="I1116" s="32" t="str">
        <f t="shared" si="32"/>
        <v/>
      </c>
      <c r="K1116" s="127" t="str">
        <f t="shared" si="31"/>
        <v/>
      </c>
    </row>
    <row r="1117" spans="2:11" x14ac:dyDescent="0.3">
      <c r="B1117" s="197"/>
      <c r="C1117" s="198"/>
      <c r="D1117" s="197"/>
      <c r="E1117" s="212"/>
      <c r="F1117" s="29" t="str">
        <f>IFERROR(VLOOKUP(E1117,'Inventaire des produits'!$B$4:$K$1001,2,0),"")</f>
        <v/>
      </c>
      <c r="G1117" s="212"/>
      <c r="H1117" s="30" t="str">
        <f>IFERROR(VLOOKUP(E1117,'Inventaire des produits'!$B$4:$K$1001,8,0),"")</f>
        <v/>
      </c>
      <c r="I1117" s="32" t="str">
        <f t="shared" si="32"/>
        <v/>
      </c>
      <c r="K1117" s="127" t="str">
        <f t="shared" si="31"/>
        <v/>
      </c>
    </row>
    <row r="1118" spans="2:11" x14ac:dyDescent="0.3">
      <c r="B1118" s="197"/>
      <c r="C1118" s="198"/>
      <c r="D1118" s="197"/>
      <c r="E1118" s="212"/>
      <c r="F1118" s="29" t="str">
        <f>IFERROR(VLOOKUP(E1118,'Inventaire des produits'!$B$4:$K$1001,2,0),"")</f>
        <v/>
      </c>
      <c r="G1118" s="212"/>
      <c r="H1118" s="30" t="str">
        <f>IFERROR(VLOOKUP(E1118,'Inventaire des produits'!$B$4:$K$1001,8,0),"")</f>
        <v/>
      </c>
      <c r="I1118" s="32" t="str">
        <f t="shared" si="32"/>
        <v/>
      </c>
      <c r="K1118" s="127" t="str">
        <f t="shared" si="31"/>
        <v/>
      </c>
    </row>
    <row r="1119" spans="2:11" x14ac:dyDescent="0.3">
      <c r="B1119" s="197"/>
      <c r="C1119" s="198"/>
      <c r="D1119" s="197"/>
      <c r="E1119" s="212"/>
      <c r="F1119" s="29" t="str">
        <f>IFERROR(VLOOKUP(E1119,'Inventaire des produits'!$B$4:$K$1001,2,0),"")</f>
        <v/>
      </c>
      <c r="G1119" s="212"/>
      <c r="H1119" s="30" t="str">
        <f>IFERROR(VLOOKUP(E1119,'Inventaire des produits'!$B$4:$K$1001,8,0),"")</f>
        <v/>
      </c>
      <c r="I1119" s="32" t="str">
        <f t="shared" si="32"/>
        <v/>
      </c>
      <c r="K1119" s="127" t="str">
        <f t="shared" si="31"/>
        <v/>
      </c>
    </row>
    <row r="1120" spans="2:11" x14ac:dyDescent="0.3">
      <c r="B1120" s="197"/>
      <c r="C1120" s="198"/>
      <c r="D1120" s="197"/>
      <c r="E1120" s="212"/>
      <c r="F1120" s="29" t="str">
        <f>IFERROR(VLOOKUP(E1120,'Inventaire des produits'!$B$4:$K$1001,2,0),"")</f>
        <v/>
      </c>
      <c r="G1120" s="212"/>
      <c r="H1120" s="30" t="str">
        <f>IFERROR(VLOOKUP(E1120,'Inventaire des produits'!$B$4:$K$1001,8,0),"")</f>
        <v/>
      </c>
      <c r="I1120" s="32" t="str">
        <f t="shared" si="32"/>
        <v/>
      </c>
      <c r="K1120" s="127" t="str">
        <f t="shared" si="31"/>
        <v/>
      </c>
    </row>
    <row r="1121" spans="2:11" x14ac:dyDescent="0.3">
      <c r="B1121" s="197"/>
      <c r="C1121" s="198"/>
      <c r="D1121" s="197"/>
      <c r="E1121" s="212"/>
      <c r="F1121" s="29" t="str">
        <f>IFERROR(VLOOKUP(E1121,'Inventaire des produits'!$B$4:$K$1001,2,0),"")</f>
        <v/>
      </c>
      <c r="G1121" s="212"/>
      <c r="H1121" s="30" t="str">
        <f>IFERROR(VLOOKUP(E1121,'Inventaire des produits'!$B$4:$K$1001,8,0),"")</f>
        <v/>
      </c>
      <c r="I1121" s="32" t="str">
        <f t="shared" si="32"/>
        <v/>
      </c>
      <c r="K1121" s="127" t="str">
        <f t="shared" si="31"/>
        <v/>
      </c>
    </row>
    <row r="1122" spans="2:11" x14ac:dyDescent="0.3">
      <c r="B1122" s="197"/>
      <c r="C1122" s="198"/>
      <c r="D1122" s="197"/>
      <c r="E1122" s="212"/>
      <c r="F1122" s="29" t="str">
        <f>IFERROR(VLOOKUP(E1122,'Inventaire des produits'!$B$4:$K$1001,2,0),"")</f>
        <v/>
      </c>
      <c r="G1122" s="212"/>
      <c r="H1122" s="30" t="str">
        <f>IFERROR(VLOOKUP(E1122,'Inventaire des produits'!$B$4:$K$1001,8,0),"")</f>
        <v/>
      </c>
      <c r="I1122" s="32" t="str">
        <f t="shared" si="32"/>
        <v/>
      </c>
      <c r="K1122" s="127" t="str">
        <f t="shared" si="31"/>
        <v/>
      </c>
    </row>
    <row r="1123" spans="2:11" x14ac:dyDescent="0.3">
      <c r="B1123" s="197"/>
      <c r="C1123" s="198"/>
      <c r="D1123" s="197"/>
      <c r="E1123" s="212"/>
      <c r="F1123" s="29" t="str">
        <f>IFERROR(VLOOKUP(E1123,'Inventaire des produits'!$B$4:$K$1001,2,0),"")</f>
        <v/>
      </c>
      <c r="G1123" s="212"/>
      <c r="H1123" s="30" t="str">
        <f>IFERROR(VLOOKUP(E1123,'Inventaire des produits'!$B$4:$K$1001,8,0),"")</f>
        <v/>
      </c>
      <c r="I1123" s="32" t="str">
        <f t="shared" si="32"/>
        <v/>
      </c>
      <c r="K1123" s="127" t="str">
        <f t="shared" si="31"/>
        <v/>
      </c>
    </row>
    <row r="1124" spans="2:11" x14ac:dyDescent="0.3">
      <c r="B1124" s="197"/>
      <c r="C1124" s="198"/>
      <c r="D1124" s="197"/>
      <c r="E1124" s="212"/>
      <c r="F1124" s="29" t="str">
        <f>IFERROR(VLOOKUP(E1124,'Inventaire des produits'!$B$4:$K$1001,2,0),"")</f>
        <v/>
      </c>
      <c r="G1124" s="212"/>
      <c r="H1124" s="30" t="str">
        <f>IFERROR(VLOOKUP(E1124,'Inventaire des produits'!$B$4:$K$1001,8,0),"")</f>
        <v/>
      </c>
      <c r="I1124" s="32" t="str">
        <f t="shared" si="32"/>
        <v/>
      </c>
      <c r="K1124" s="127" t="str">
        <f t="shared" si="31"/>
        <v/>
      </c>
    </row>
    <row r="1125" spans="2:11" x14ac:dyDescent="0.3">
      <c r="B1125" s="197"/>
      <c r="C1125" s="198"/>
      <c r="D1125" s="197"/>
      <c r="E1125" s="212"/>
      <c r="F1125" s="29" t="str">
        <f>IFERROR(VLOOKUP(E1125,'Inventaire des produits'!$B$4:$K$1001,2,0),"")</f>
        <v/>
      </c>
      <c r="G1125" s="212"/>
      <c r="H1125" s="30" t="str">
        <f>IFERROR(VLOOKUP(E1125,'Inventaire des produits'!$B$4:$K$1001,8,0),"")</f>
        <v/>
      </c>
      <c r="I1125" s="32" t="str">
        <f t="shared" si="32"/>
        <v/>
      </c>
      <c r="K1125" s="127" t="str">
        <f t="shared" si="31"/>
        <v/>
      </c>
    </row>
    <row r="1126" spans="2:11" x14ac:dyDescent="0.3">
      <c r="B1126" s="197"/>
      <c r="C1126" s="198"/>
      <c r="D1126" s="197"/>
      <c r="E1126" s="212"/>
      <c r="F1126" s="29" t="str">
        <f>IFERROR(VLOOKUP(E1126,'Inventaire des produits'!$B$4:$K$1001,2,0),"")</f>
        <v/>
      </c>
      <c r="G1126" s="212"/>
      <c r="H1126" s="30" t="str">
        <f>IFERROR(VLOOKUP(E1126,'Inventaire des produits'!$B$4:$K$1001,8,0),"")</f>
        <v/>
      </c>
      <c r="I1126" s="32" t="str">
        <f t="shared" si="32"/>
        <v/>
      </c>
      <c r="K1126" s="127" t="str">
        <f t="shared" si="31"/>
        <v/>
      </c>
    </row>
    <row r="1127" spans="2:11" x14ac:dyDescent="0.3">
      <c r="B1127" s="197"/>
      <c r="C1127" s="198"/>
      <c r="D1127" s="197"/>
      <c r="E1127" s="212"/>
      <c r="F1127" s="29" t="str">
        <f>IFERROR(VLOOKUP(E1127,'Inventaire des produits'!$B$4:$K$1001,2,0),"")</f>
        <v/>
      </c>
      <c r="G1127" s="212"/>
      <c r="H1127" s="30" t="str">
        <f>IFERROR(VLOOKUP(E1127,'Inventaire des produits'!$B$4:$K$1001,8,0),"")</f>
        <v/>
      </c>
      <c r="I1127" s="32" t="str">
        <f t="shared" si="32"/>
        <v/>
      </c>
      <c r="K1127" s="127" t="str">
        <f t="shared" si="31"/>
        <v/>
      </c>
    </row>
    <row r="1128" spans="2:11" x14ac:dyDescent="0.3">
      <c r="B1128" s="197"/>
      <c r="C1128" s="198"/>
      <c r="D1128" s="197"/>
      <c r="E1128" s="212"/>
      <c r="F1128" s="29" t="str">
        <f>IFERROR(VLOOKUP(E1128,'Inventaire des produits'!$B$4:$K$1001,2,0),"")</f>
        <v/>
      </c>
      <c r="G1128" s="212"/>
      <c r="H1128" s="30" t="str">
        <f>IFERROR(VLOOKUP(E1128,'Inventaire des produits'!$B$4:$K$1001,8,0),"")</f>
        <v/>
      </c>
      <c r="I1128" s="32" t="str">
        <f t="shared" si="32"/>
        <v/>
      </c>
      <c r="K1128" s="127" t="str">
        <f t="shared" si="31"/>
        <v/>
      </c>
    </row>
    <row r="1129" spans="2:11" x14ac:dyDescent="0.3">
      <c r="B1129" s="197"/>
      <c r="C1129" s="198"/>
      <c r="D1129" s="197"/>
      <c r="E1129" s="212"/>
      <c r="F1129" s="29" t="str">
        <f>IFERROR(VLOOKUP(E1129,'Inventaire des produits'!$B$4:$K$1001,2,0),"")</f>
        <v/>
      </c>
      <c r="G1129" s="212"/>
      <c r="H1129" s="30" t="str">
        <f>IFERROR(VLOOKUP(E1129,'Inventaire des produits'!$B$4:$K$1001,8,0),"")</f>
        <v/>
      </c>
      <c r="I1129" s="32" t="str">
        <f t="shared" si="32"/>
        <v/>
      </c>
      <c r="K1129" s="127" t="str">
        <f t="shared" si="31"/>
        <v/>
      </c>
    </row>
    <row r="1130" spans="2:11" x14ac:dyDescent="0.3">
      <c r="B1130" s="197"/>
      <c r="C1130" s="198"/>
      <c r="D1130" s="197"/>
      <c r="E1130" s="212"/>
      <c r="F1130" s="29" t="str">
        <f>IFERROR(VLOOKUP(E1130,'Inventaire des produits'!$B$4:$K$1001,2,0),"")</f>
        <v/>
      </c>
      <c r="G1130" s="212"/>
      <c r="H1130" s="30" t="str">
        <f>IFERROR(VLOOKUP(E1130,'Inventaire des produits'!$B$4:$K$1001,8,0),"")</f>
        <v/>
      </c>
      <c r="I1130" s="32" t="str">
        <f t="shared" si="32"/>
        <v/>
      </c>
      <c r="K1130" s="127" t="str">
        <f t="shared" si="31"/>
        <v/>
      </c>
    </row>
    <row r="1131" spans="2:11" x14ac:dyDescent="0.3">
      <c r="B1131" s="197"/>
      <c r="C1131" s="198"/>
      <c r="D1131" s="197"/>
      <c r="E1131" s="212"/>
      <c r="F1131" s="29" t="str">
        <f>IFERROR(VLOOKUP(E1131,'Inventaire des produits'!$B$4:$K$1001,2,0),"")</f>
        <v/>
      </c>
      <c r="G1131" s="212"/>
      <c r="H1131" s="30" t="str">
        <f>IFERROR(VLOOKUP(E1131,'Inventaire des produits'!$B$4:$K$1001,8,0),"")</f>
        <v/>
      </c>
      <c r="I1131" s="32" t="str">
        <f t="shared" si="32"/>
        <v/>
      </c>
      <c r="K1131" s="127" t="str">
        <f t="shared" si="31"/>
        <v/>
      </c>
    </row>
    <row r="1132" spans="2:11" x14ac:dyDescent="0.3">
      <c r="B1132" s="197"/>
      <c r="C1132" s="198"/>
      <c r="D1132" s="197"/>
      <c r="E1132" s="212"/>
      <c r="F1132" s="29" t="str">
        <f>IFERROR(VLOOKUP(E1132,'Inventaire des produits'!$B$4:$K$1001,2,0),"")</f>
        <v/>
      </c>
      <c r="G1132" s="212"/>
      <c r="H1132" s="30" t="str">
        <f>IFERROR(VLOOKUP(E1132,'Inventaire des produits'!$B$4:$K$1001,8,0),"")</f>
        <v/>
      </c>
      <c r="I1132" s="32" t="str">
        <f t="shared" si="32"/>
        <v/>
      </c>
      <c r="K1132" s="127" t="str">
        <f t="shared" si="31"/>
        <v/>
      </c>
    </row>
    <row r="1133" spans="2:11" x14ac:dyDescent="0.3">
      <c r="B1133" s="197"/>
      <c r="C1133" s="198"/>
      <c r="D1133" s="197"/>
      <c r="E1133" s="212"/>
      <c r="F1133" s="29" t="str">
        <f>IFERROR(VLOOKUP(E1133,'Inventaire des produits'!$B$4:$K$1001,2,0),"")</f>
        <v/>
      </c>
      <c r="G1133" s="212"/>
      <c r="H1133" s="30" t="str">
        <f>IFERROR(VLOOKUP(E1133,'Inventaire des produits'!$B$4:$K$1001,8,0),"")</f>
        <v/>
      </c>
      <c r="I1133" s="32" t="str">
        <f t="shared" si="32"/>
        <v/>
      </c>
      <c r="K1133" s="127" t="str">
        <f t="shared" si="31"/>
        <v/>
      </c>
    </row>
    <row r="1134" spans="2:11" x14ac:dyDescent="0.3">
      <c r="B1134" s="197"/>
      <c r="C1134" s="198"/>
      <c r="D1134" s="197"/>
      <c r="E1134" s="212"/>
      <c r="F1134" s="29" t="str">
        <f>IFERROR(VLOOKUP(E1134,'Inventaire des produits'!$B$4:$K$1001,2,0),"")</f>
        <v/>
      </c>
      <c r="G1134" s="212"/>
      <c r="H1134" s="30" t="str">
        <f>IFERROR(VLOOKUP(E1134,'Inventaire des produits'!$B$4:$K$1001,8,0),"")</f>
        <v/>
      </c>
      <c r="I1134" s="32" t="str">
        <f t="shared" si="32"/>
        <v/>
      </c>
      <c r="K1134" s="127" t="str">
        <f t="shared" si="31"/>
        <v/>
      </c>
    </row>
    <row r="1135" spans="2:11" x14ac:dyDescent="0.3">
      <c r="B1135" s="197"/>
      <c r="C1135" s="198"/>
      <c r="D1135" s="197"/>
      <c r="E1135" s="212"/>
      <c r="F1135" s="29" t="str">
        <f>IFERROR(VLOOKUP(E1135,'Inventaire des produits'!$B$4:$K$1001,2,0),"")</f>
        <v/>
      </c>
      <c r="G1135" s="212"/>
      <c r="H1135" s="30" t="str">
        <f>IFERROR(VLOOKUP(E1135,'Inventaire des produits'!$B$4:$K$1001,8,0),"")</f>
        <v/>
      </c>
      <c r="I1135" s="32" t="str">
        <f t="shared" si="32"/>
        <v/>
      </c>
      <c r="K1135" s="127" t="str">
        <f t="shared" si="31"/>
        <v/>
      </c>
    </row>
    <row r="1136" spans="2:11" x14ac:dyDescent="0.3">
      <c r="B1136" s="197"/>
      <c r="C1136" s="198"/>
      <c r="D1136" s="197"/>
      <c r="E1136" s="212"/>
      <c r="F1136" s="29" t="str">
        <f>IFERROR(VLOOKUP(E1136,'Inventaire des produits'!$B$4:$K$1001,2,0),"")</f>
        <v/>
      </c>
      <c r="G1136" s="212"/>
      <c r="H1136" s="30" t="str">
        <f>IFERROR(VLOOKUP(E1136,'Inventaire des produits'!$B$4:$K$1001,8,0),"")</f>
        <v/>
      </c>
      <c r="I1136" s="32" t="str">
        <f t="shared" si="32"/>
        <v/>
      </c>
      <c r="K1136" s="127" t="str">
        <f t="shared" si="31"/>
        <v/>
      </c>
    </row>
    <row r="1137" spans="2:11" x14ac:dyDescent="0.3">
      <c r="B1137" s="197"/>
      <c r="C1137" s="198"/>
      <c r="D1137" s="197"/>
      <c r="E1137" s="212"/>
      <c r="F1137" s="29" t="str">
        <f>IFERROR(VLOOKUP(E1137,'Inventaire des produits'!$B$4:$K$1001,2,0),"")</f>
        <v/>
      </c>
      <c r="G1137" s="212"/>
      <c r="H1137" s="30" t="str">
        <f>IFERROR(VLOOKUP(E1137,'Inventaire des produits'!$B$4:$K$1001,8,0),"")</f>
        <v/>
      </c>
      <c r="I1137" s="32" t="str">
        <f t="shared" si="32"/>
        <v/>
      </c>
      <c r="K1137" s="127" t="str">
        <f t="shared" si="31"/>
        <v/>
      </c>
    </row>
    <row r="1138" spans="2:11" x14ac:dyDescent="0.3">
      <c r="B1138" s="197"/>
      <c r="C1138" s="198"/>
      <c r="D1138" s="197"/>
      <c r="E1138" s="212"/>
      <c r="F1138" s="29" t="str">
        <f>IFERROR(VLOOKUP(E1138,'Inventaire des produits'!$B$4:$K$1001,2,0),"")</f>
        <v/>
      </c>
      <c r="G1138" s="212"/>
      <c r="H1138" s="30" t="str">
        <f>IFERROR(VLOOKUP(E1138,'Inventaire des produits'!$B$4:$K$1001,8,0),"")</f>
        <v/>
      </c>
      <c r="I1138" s="32" t="str">
        <f t="shared" si="32"/>
        <v/>
      </c>
      <c r="K1138" s="127" t="str">
        <f t="shared" si="31"/>
        <v/>
      </c>
    </row>
    <row r="1139" spans="2:11" x14ac:dyDescent="0.3">
      <c r="B1139" s="197"/>
      <c r="C1139" s="198"/>
      <c r="D1139" s="197"/>
      <c r="E1139" s="212"/>
      <c r="F1139" s="29" t="str">
        <f>IFERROR(VLOOKUP(E1139,'Inventaire des produits'!$B$4:$K$1001,2,0),"")</f>
        <v/>
      </c>
      <c r="G1139" s="212"/>
      <c r="H1139" s="30" t="str">
        <f>IFERROR(VLOOKUP(E1139,'Inventaire des produits'!$B$4:$K$1001,8,0),"")</f>
        <v/>
      </c>
      <c r="I1139" s="32" t="str">
        <f t="shared" si="32"/>
        <v/>
      </c>
      <c r="K1139" s="127" t="str">
        <f t="shared" si="31"/>
        <v/>
      </c>
    </row>
    <row r="1140" spans="2:11" x14ac:dyDescent="0.3">
      <c r="B1140" s="197"/>
      <c r="C1140" s="198"/>
      <c r="D1140" s="197"/>
      <c r="E1140" s="212"/>
      <c r="F1140" s="29" t="str">
        <f>IFERROR(VLOOKUP(E1140,'Inventaire des produits'!$B$4:$K$1001,2,0),"")</f>
        <v/>
      </c>
      <c r="G1140" s="212"/>
      <c r="H1140" s="30" t="str">
        <f>IFERROR(VLOOKUP(E1140,'Inventaire des produits'!$B$4:$K$1001,8,0),"")</f>
        <v/>
      </c>
      <c r="I1140" s="32" t="str">
        <f t="shared" si="32"/>
        <v/>
      </c>
      <c r="K1140" s="127" t="str">
        <f t="shared" si="31"/>
        <v/>
      </c>
    </row>
    <row r="1141" spans="2:11" x14ac:dyDescent="0.3">
      <c r="B1141" s="197"/>
      <c r="C1141" s="198"/>
      <c r="D1141" s="197"/>
      <c r="E1141" s="212"/>
      <c r="F1141" s="29" t="str">
        <f>IFERROR(VLOOKUP(E1141,'Inventaire des produits'!$B$4:$K$1001,2,0),"")</f>
        <v/>
      </c>
      <c r="G1141" s="212"/>
      <c r="H1141" s="30" t="str">
        <f>IFERROR(VLOOKUP(E1141,'Inventaire des produits'!$B$4:$K$1001,8,0),"")</f>
        <v/>
      </c>
      <c r="I1141" s="32" t="str">
        <f t="shared" si="32"/>
        <v/>
      </c>
      <c r="K1141" s="127" t="str">
        <f t="shared" si="31"/>
        <v/>
      </c>
    </row>
    <row r="1142" spans="2:11" x14ac:dyDescent="0.3">
      <c r="B1142" s="197"/>
      <c r="C1142" s="198"/>
      <c r="D1142" s="197"/>
      <c r="E1142" s="212"/>
      <c r="F1142" s="29" t="str">
        <f>IFERROR(VLOOKUP(E1142,'Inventaire des produits'!$B$4:$K$1001,2,0),"")</f>
        <v/>
      </c>
      <c r="G1142" s="212"/>
      <c r="H1142" s="30" t="str">
        <f>IFERROR(VLOOKUP(E1142,'Inventaire des produits'!$B$4:$K$1001,8,0),"")</f>
        <v/>
      </c>
      <c r="I1142" s="32" t="str">
        <f t="shared" si="32"/>
        <v/>
      </c>
      <c r="K1142" s="127" t="str">
        <f t="shared" si="31"/>
        <v/>
      </c>
    </row>
    <row r="1143" spans="2:11" x14ac:dyDescent="0.3">
      <c r="B1143" s="197"/>
      <c r="C1143" s="198"/>
      <c r="D1143" s="197"/>
      <c r="E1143" s="212"/>
      <c r="F1143" s="29" t="str">
        <f>IFERROR(VLOOKUP(E1143,'Inventaire des produits'!$B$4:$K$1001,2,0),"")</f>
        <v/>
      </c>
      <c r="G1143" s="212"/>
      <c r="H1143" s="30" t="str">
        <f>IFERROR(VLOOKUP(E1143,'Inventaire des produits'!$B$4:$K$1001,8,0),"")</f>
        <v/>
      </c>
      <c r="I1143" s="32" t="str">
        <f t="shared" si="32"/>
        <v/>
      </c>
      <c r="K1143" s="127" t="str">
        <f t="shared" si="31"/>
        <v/>
      </c>
    </row>
    <row r="1144" spans="2:11" x14ac:dyDescent="0.3">
      <c r="B1144" s="197"/>
      <c r="C1144" s="198"/>
      <c r="D1144" s="197"/>
      <c r="E1144" s="212"/>
      <c r="F1144" s="29" t="str">
        <f>IFERROR(VLOOKUP(E1144,'Inventaire des produits'!$B$4:$K$1001,2,0),"")</f>
        <v/>
      </c>
      <c r="G1144" s="212"/>
      <c r="H1144" s="30" t="str">
        <f>IFERROR(VLOOKUP(E1144,'Inventaire des produits'!$B$4:$K$1001,8,0),"")</f>
        <v/>
      </c>
      <c r="I1144" s="32" t="str">
        <f t="shared" si="32"/>
        <v/>
      </c>
      <c r="K1144" s="127" t="str">
        <f t="shared" si="31"/>
        <v/>
      </c>
    </row>
    <row r="1145" spans="2:11" x14ac:dyDescent="0.3">
      <c r="B1145" s="197"/>
      <c r="C1145" s="198"/>
      <c r="D1145" s="197"/>
      <c r="E1145" s="212"/>
      <c r="F1145" s="29" t="str">
        <f>IFERROR(VLOOKUP(E1145,'Inventaire des produits'!$B$4:$K$1001,2,0),"")</f>
        <v/>
      </c>
      <c r="G1145" s="212"/>
      <c r="H1145" s="30" t="str">
        <f>IFERROR(VLOOKUP(E1145,'Inventaire des produits'!$B$4:$K$1001,8,0),"")</f>
        <v/>
      </c>
      <c r="I1145" s="32" t="str">
        <f t="shared" si="32"/>
        <v/>
      </c>
      <c r="K1145" s="127" t="str">
        <f t="shared" si="31"/>
        <v/>
      </c>
    </row>
    <row r="1146" spans="2:11" x14ac:dyDescent="0.3">
      <c r="B1146" s="197"/>
      <c r="C1146" s="198"/>
      <c r="D1146" s="197"/>
      <c r="E1146" s="212"/>
      <c r="F1146" s="29" t="str">
        <f>IFERROR(VLOOKUP(E1146,'Inventaire des produits'!$B$4:$K$1001,2,0),"")</f>
        <v/>
      </c>
      <c r="G1146" s="212"/>
      <c r="H1146" s="30" t="str">
        <f>IFERROR(VLOOKUP(E1146,'Inventaire des produits'!$B$4:$K$1001,8,0),"")</f>
        <v/>
      </c>
      <c r="I1146" s="32" t="str">
        <f t="shared" si="32"/>
        <v/>
      </c>
      <c r="K1146" s="127" t="str">
        <f t="shared" si="31"/>
        <v/>
      </c>
    </row>
    <row r="1147" spans="2:11" x14ac:dyDescent="0.3">
      <c r="B1147" s="197"/>
      <c r="C1147" s="198"/>
      <c r="D1147" s="197"/>
      <c r="E1147" s="212"/>
      <c r="F1147" s="29" t="str">
        <f>IFERROR(VLOOKUP(E1147,'Inventaire des produits'!$B$4:$K$1001,2,0),"")</f>
        <v/>
      </c>
      <c r="G1147" s="212"/>
      <c r="H1147" s="30" t="str">
        <f>IFERROR(VLOOKUP(E1147,'Inventaire des produits'!$B$4:$K$1001,8,0),"")</f>
        <v/>
      </c>
      <c r="I1147" s="32" t="str">
        <f t="shared" si="32"/>
        <v/>
      </c>
      <c r="K1147" s="127" t="str">
        <f t="shared" si="31"/>
        <v/>
      </c>
    </row>
    <row r="1148" spans="2:11" x14ac:dyDescent="0.3">
      <c r="B1148" s="197"/>
      <c r="C1148" s="198"/>
      <c r="D1148" s="197"/>
      <c r="E1148" s="212"/>
      <c r="F1148" s="29" t="str">
        <f>IFERROR(VLOOKUP(E1148,'Inventaire des produits'!$B$4:$K$1001,2,0),"")</f>
        <v/>
      </c>
      <c r="G1148" s="212"/>
      <c r="H1148" s="30" t="str">
        <f>IFERROR(VLOOKUP(E1148,'Inventaire des produits'!$B$4:$K$1001,8,0),"")</f>
        <v/>
      </c>
      <c r="I1148" s="32" t="str">
        <f t="shared" si="32"/>
        <v/>
      </c>
      <c r="K1148" s="127" t="str">
        <f t="shared" ref="K1148:K1211" si="33">IF(J1148="","",J1148*1.2)</f>
        <v/>
      </c>
    </row>
    <row r="1149" spans="2:11" x14ac:dyDescent="0.3">
      <c r="B1149" s="197"/>
      <c r="C1149" s="198"/>
      <c r="D1149" s="197"/>
      <c r="E1149" s="212"/>
      <c r="F1149" s="29" t="str">
        <f>IFERROR(VLOOKUP(E1149,'Inventaire des produits'!$B$4:$K$1001,2,0),"")</f>
        <v/>
      </c>
      <c r="G1149" s="212"/>
      <c r="H1149" s="30" t="str">
        <f>IFERROR(VLOOKUP(E1149,'Inventaire des produits'!$B$4:$K$1001,8,0),"")</f>
        <v/>
      </c>
      <c r="I1149" s="32" t="str">
        <f t="shared" si="32"/>
        <v/>
      </c>
      <c r="K1149" s="127" t="str">
        <f t="shared" si="33"/>
        <v/>
      </c>
    </row>
    <row r="1150" spans="2:11" x14ac:dyDescent="0.3">
      <c r="B1150" s="197"/>
      <c r="C1150" s="198"/>
      <c r="D1150" s="197"/>
      <c r="E1150" s="212"/>
      <c r="F1150" s="29" t="str">
        <f>IFERROR(VLOOKUP(E1150,'Inventaire des produits'!$B$4:$K$1001,2,0),"")</f>
        <v/>
      </c>
      <c r="G1150" s="212"/>
      <c r="H1150" s="30" t="str">
        <f>IFERROR(VLOOKUP(E1150,'Inventaire des produits'!$B$4:$K$1001,8,0),"")</f>
        <v/>
      </c>
      <c r="I1150" s="32" t="str">
        <f t="shared" si="32"/>
        <v/>
      </c>
      <c r="K1150" s="127" t="str">
        <f t="shared" si="33"/>
        <v/>
      </c>
    </row>
    <row r="1151" spans="2:11" x14ac:dyDescent="0.3">
      <c r="B1151" s="197"/>
      <c r="C1151" s="198"/>
      <c r="D1151" s="197"/>
      <c r="E1151" s="212"/>
      <c r="F1151" s="29" t="str">
        <f>IFERROR(VLOOKUP(E1151,'Inventaire des produits'!$B$4:$K$1001,2,0),"")</f>
        <v/>
      </c>
      <c r="G1151" s="212"/>
      <c r="H1151" s="30" t="str">
        <f>IFERROR(VLOOKUP(E1151,'Inventaire des produits'!$B$4:$K$1001,8,0),"")</f>
        <v/>
      </c>
      <c r="I1151" s="32" t="str">
        <f t="shared" si="32"/>
        <v/>
      </c>
      <c r="K1151" s="127" t="str">
        <f t="shared" si="33"/>
        <v/>
      </c>
    </row>
    <row r="1152" spans="2:11" x14ac:dyDescent="0.3">
      <c r="B1152" s="197"/>
      <c r="C1152" s="198"/>
      <c r="D1152" s="197"/>
      <c r="E1152" s="212"/>
      <c r="F1152" s="29" t="str">
        <f>IFERROR(VLOOKUP(E1152,'Inventaire des produits'!$B$4:$K$1001,2,0),"")</f>
        <v/>
      </c>
      <c r="G1152" s="212"/>
      <c r="H1152" s="30" t="str">
        <f>IFERROR(VLOOKUP(E1152,'Inventaire des produits'!$B$4:$K$1001,8,0),"")</f>
        <v/>
      </c>
      <c r="I1152" s="32" t="str">
        <f t="shared" si="32"/>
        <v/>
      </c>
      <c r="K1152" s="127" t="str">
        <f t="shared" si="33"/>
        <v/>
      </c>
    </row>
    <row r="1153" spans="2:11" x14ac:dyDescent="0.3">
      <c r="B1153" s="197"/>
      <c r="C1153" s="198"/>
      <c r="D1153" s="197"/>
      <c r="E1153" s="212"/>
      <c r="F1153" s="29" t="str">
        <f>IFERROR(VLOOKUP(E1153,'Inventaire des produits'!$B$4:$K$1001,2,0),"")</f>
        <v/>
      </c>
      <c r="G1153" s="212"/>
      <c r="H1153" s="30" t="str">
        <f>IFERROR(VLOOKUP(E1153,'Inventaire des produits'!$B$4:$K$1001,8,0),"")</f>
        <v/>
      </c>
      <c r="I1153" s="32" t="str">
        <f t="shared" si="32"/>
        <v/>
      </c>
      <c r="K1153" s="127" t="str">
        <f t="shared" si="33"/>
        <v/>
      </c>
    </row>
    <row r="1154" spans="2:11" x14ac:dyDescent="0.3">
      <c r="B1154" s="197"/>
      <c r="C1154" s="198"/>
      <c r="D1154" s="197"/>
      <c r="E1154" s="212"/>
      <c r="F1154" s="29" t="str">
        <f>IFERROR(VLOOKUP(E1154,'Inventaire des produits'!$B$4:$K$1001,2,0),"")</f>
        <v/>
      </c>
      <c r="G1154" s="212"/>
      <c r="H1154" s="30" t="str">
        <f>IFERROR(VLOOKUP(E1154,'Inventaire des produits'!$B$4:$K$1001,8,0),"")</f>
        <v/>
      </c>
      <c r="I1154" s="32" t="str">
        <f t="shared" ref="I1154:I1217" si="34">IF(OR(G1154="",H1154=""),"",G1154*H1154)</f>
        <v/>
      </c>
      <c r="K1154" s="127" t="str">
        <f t="shared" si="33"/>
        <v/>
      </c>
    </row>
    <row r="1155" spans="2:11" x14ac:dyDescent="0.3">
      <c r="B1155" s="197"/>
      <c r="C1155" s="198"/>
      <c r="D1155" s="197"/>
      <c r="E1155" s="212"/>
      <c r="F1155" s="29" t="str">
        <f>IFERROR(VLOOKUP(E1155,'Inventaire des produits'!$B$4:$K$1001,2,0),"")</f>
        <v/>
      </c>
      <c r="G1155" s="212"/>
      <c r="H1155" s="30" t="str">
        <f>IFERROR(VLOOKUP(E1155,'Inventaire des produits'!$B$4:$K$1001,8,0),"")</f>
        <v/>
      </c>
      <c r="I1155" s="32" t="str">
        <f t="shared" si="34"/>
        <v/>
      </c>
      <c r="K1155" s="127" t="str">
        <f t="shared" si="33"/>
        <v/>
      </c>
    </row>
    <row r="1156" spans="2:11" x14ac:dyDescent="0.3">
      <c r="B1156" s="197"/>
      <c r="C1156" s="198"/>
      <c r="D1156" s="197"/>
      <c r="E1156" s="212"/>
      <c r="F1156" s="29" t="str">
        <f>IFERROR(VLOOKUP(E1156,'Inventaire des produits'!$B$4:$K$1001,2,0),"")</f>
        <v/>
      </c>
      <c r="G1156" s="212"/>
      <c r="H1156" s="30" t="str">
        <f>IFERROR(VLOOKUP(E1156,'Inventaire des produits'!$B$4:$K$1001,8,0),"")</f>
        <v/>
      </c>
      <c r="I1156" s="32" t="str">
        <f t="shared" si="34"/>
        <v/>
      </c>
      <c r="K1156" s="127" t="str">
        <f t="shared" si="33"/>
        <v/>
      </c>
    </row>
    <row r="1157" spans="2:11" x14ac:dyDescent="0.3">
      <c r="B1157" s="197"/>
      <c r="C1157" s="198"/>
      <c r="D1157" s="197"/>
      <c r="E1157" s="212"/>
      <c r="F1157" s="29" t="str">
        <f>IFERROR(VLOOKUP(E1157,'Inventaire des produits'!$B$4:$K$1001,2,0),"")</f>
        <v/>
      </c>
      <c r="G1157" s="212"/>
      <c r="H1157" s="30" t="str">
        <f>IFERROR(VLOOKUP(E1157,'Inventaire des produits'!$B$4:$K$1001,8,0),"")</f>
        <v/>
      </c>
      <c r="I1157" s="32" t="str">
        <f t="shared" si="34"/>
        <v/>
      </c>
      <c r="K1157" s="127" t="str">
        <f t="shared" si="33"/>
        <v/>
      </c>
    </row>
    <row r="1158" spans="2:11" x14ac:dyDescent="0.3">
      <c r="B1158" s="197"/>
      <c r="C1158" s="198"/>
      <c r="D1158" s="197"/>
      <c r="E1158" s="212"/>
      <c r="F1158" s="29" t="str">
        <f>IFERROR(VLOOKUP(E1158,'Inventaire des produits'!$B$4:$K$1001,2,0),"")</f>
        <v/>
      </c>
      <c r="G1158" s="212"/>
      <c r="H1158" s="30" t="str">
        <f>IFERROR(VLOOKUP(E1158,'Inventaire des produits'!$B$4:$K$1001,8,0),"")</f>
        <v/>
      </c>
      <c r="I1158" s="32" t="str">
        <f t="shared" si="34"/>
        <v/>
      </c>
      <c r="K1158" s="127" t="str">
        <f t="shared" si="33"/>
        <v/>
      </c>
    </row>
    <row r="1159" spans="2:11" x14ac:dyDescent="0.3">
      <c r="B1159" s="197"/>
      <c r="C1159" s="198"/>
      <c r="D1159" s="197"/>
      <c r="E1159" s="212"/>
      <c r="F1159" s="29" t="str">
        <f>IFERROR(VLOOKUP(E1159,'Inventaire des produits'!$B$4:$K$1001,2,0),"")</f>
        <v/>
      </c>
      <c r="G1159" s="212"/>
      <c r="H1159" s="30" t="str">
        <f>IFERROR(VLOOKUP(E1159,'Inventaire des produits'!$B$4:$K$1001,8,0),"")</f>
        <v/>
      </c>
      <c r="I1159" s="32" t="str">
        <f t="shared" si="34"/>
        <v/>
      </c>
      <c r="K1159" s="127" t="str">
        <f t="shared" si="33"/>
        <v/>
      </c>
    </row>
    <row r="1160" spans="2:11" x14ac:dyDescent="0.3">
      <c r="B1160" s="197"/>
      <c r="C1160" s="198"/>
      <c r="D1160" s="197"/>
      <c r="E1160" s="212"/>
      <c r="F1160" s="29" t="str">
        <f>IFERROR(VLOOKUP(E1160,'Inventaire des produits'!$B$4:$K$1001,2,0),"")</f>
        <v/>
      </c>
      <c r="G1160" s="212"/>
      <c r="H1160" s="30" t="str">
        <f>IFERROR(VLOOKUP(E1160,'Inventaire des produits'!$B$4:$K$1001,8,0),"")</f>
        <v/>
      </c>
      <c r="I1160" s="32" t="str">
        <f t="shared" si="34"/>
        <v/>
      </c>
      <c r="K1160" s="127" t="str">
        <f t="shared" si="33"/>
        <v/>
      </c>
    </row>
    <row r="1161" spans="2:11" x14ac:dyDescent="0.3">
      <c r="B1161" s="197"/>
      <c r="C1161" s="198"/>
      <c r="D1161" s="197"/>
      <c r="E1161" s="212"/>
      <c r="F1161" s="29" t="str">
        <f>IFERROR(VLOOKUP(E1161,'Inventaire des produits'!$B$4:$K$1001,2,0),"")</f>
        <v/>
      </c>
      <c r="G1161" s="212"/>
      <c r="H1161" s="30" t="str">
        <f>IFERROR(VLOOKUP(E1161,'Inventaire des produits'!$B$4:$K$1001,8,0),"")</f>
        <v/>
      </c>
      <c r="I1161" s="32" t="str">
        <f t="shared" si="34"/>
        <v/>
      </c>
      <c r="K1161" s="127" t="str">
        <f t="shared" si="33"/>
        <v/>
      </c>
    </row>
    <row r="1162" spans="2:11" x14ac:dyDescent="0.3">
      <c r="B1162" s="197"/>
      <c r="C1162" s="198"/>
      <c r="D1162" s="197"/>
      <c r="E1162" s="212"/>
      <c r="F1162" s="29" t="str">
        <f>IFERROR(VLOOKUP(E1162,'Inventaire des produits'!$B$4:$K$1001,2,0),"")</f>
        <v/>
      </c>
      <c r="G1162" s="212"/>
      <c r="H1162" s="30" t="str">
        <f>IFERROR(VLOOKUP(E1162,'Inventaire des produits'!$B$4:$K$1001,8,0),"")</f>
        <v/>
      </c>
      <c r="I1162" s="32" t="str">
        <f t="shared" si="34"/>
        <v/>
      </c>
      <c r="K1162" s="127" t="str">
        <f t="shared" si="33"/>
        <v/>
      </c>
    </row>
    <row r="1163" spans="2:11" x14ac:dyDescent="0.3">
      <c r="B1163" s="197"/>
      <c r="C1163" s="198"/>
      <c r="D1163" s="197"/>
      <c r="E1163" s="212"/>
      <c r="F1163" s="29" t="str">
        <f>IFERROR(VLOOKUP(E1163,'Inventaire des produits'!$B$4:$K$1001,2,0),"")</f>
        <v/>
      </c>
      <c r="G1163" s="212"/>
      <c r="H1163" s="30" t="str">
        <f>IFERROR(VLOOKUP(E1163,'Inventaire des produits'!$B$4:$K$1001,8,0),"")</f>
        <v/>
      </c>
      <c r="I1163" s="32" t="str">
        <f t="shared" si="34"/>
        <v/>
      </c>
      <c r="K1163" s="127" t="str">
        <f t="shared" si="33"/>
        <v/>
      </c>
    </row>
    <row r="1164" spans="2:11" x14ac:dyDescent="0.3">
      <c r="B1164" s="197"/>
      <c r="C1164" s="198"/>
      <c r="D1164" s="197"/>
      <c r="E1164" s="212"/>
      <c r="F1164" s="29" t="str">
        <f>IFERROR(VLOOKUP(E1164,'Inventaire des produits'!$B$4:$K$1001,2,0),"")</f>
        <v/>
      </c>
      <c r="G1164" s="212"/>
      <c r="H1164" s="30" t="str">
        <f>IFERROR(VLOOKUP(E1164,'Inventaire des produits'!$B$4:$K$1001,8,0),"")</f>
        <v/>
      </c>
      <c r="I1164" s="32" t="str">
        <f t="shared" si="34"/>
        <v/>
      </c>
      <c r="K1164" s="127" t="str">
        <f t="shared" si="33"/>
        <v/>
      </c>
    </row>
    <row r="1165" spans="2:11" x14ac:dyDescent="0.3">
      <c r="B1165" s="197"/>
      <c r="C1165" s="198"/>
      <c r="D1165" s="197"/>
      <c r="E1165" s="212"/>
      <c r="F1165" s="29" t="str">
        <f>IFERROR(VLOOKUP(E1165,'Inventaire des produits'!$B$4:$K$1001,2,0),"")</f>
        <v/>
      </c>
      <c r="G1165" s="212"/>
      <c r="H1165" s="30" t="str">
        <f>IFERROR(VLOOKUP(E1165,'Inventaire des produits'!$B$4:$K$1001,8,0),"")</f>
        <v/>
      </c>
      <c r="I1165" s="32" t="str">
        <f t="shared" si="34"/>
        <v/>
      </c>
      <c r="K1165" s="127" t="str">
        <f t="shared" si="33"/>
        <v/>
      </c>
    </row>
    <row r="1166" spans="2:11" x14ac:dyDescent="0.3">
      <c r="B1166" s="197"/>
      <c r="C1166" s="198"/>
      <c r="D1166" s="197"/>
      <c r="E1166" s="212"/>
      <c r="F1166" s="29" t="str">
        <f>IFERROR(VLOOKUP(E1166,'Inventaire des produits'!$B$4:$K$1001,2,0),"")</f>
        <v/>
      </c>
      <c r="G1166" s="212"/>
      <c r="H1166" s="30" t="str">
        <f>IFERROR(VLOOKUP(E1166,'Inventaire des produits'!$B$4:$K$1001,8,0),"")</f>
        <v/>
      </c>
      <c r="I1166" s="32" t="str">
        <f t="shared" si="34"/>
        <v/>
      </c>
      <c r="K1166" s="127" t="str">
        <f t="shared" si="33"/>
        <v/>
      </c>
    </row>
    <row r="1167" spans="2:11" x14ac:dyDescent="0.3">
      <c r="B1167" s="197"/>
      <c r="C1167" s="198"/>
      <c r="D1167" s="197"/>
      <c r="E1167" s="212"/>
      <c r="F1167" s="29" t="str">
        <f>IFERROR(VLOOKUP(E1167,'Inventaire des produits'!$B$4:$K$1001,2,0),"")</f>
        <v/>
      </c>
      <c r="G1167" s="212"/>
      <c r="H1167" s="30" t="str">
        <f>IFERROR(VLOOKUP(E1167,'Inventaire des produits'!$B$4:$K$1001,8,0),"")</f>
        <v/>
      </c>
      <c r="I1167" s="32" t="str">
        <f t="shared" si="34"/>
        <v/>
      </c>
      <c r="K1167" s="127" t="str">
        <f t="shared" si="33"/>
        <v/>
      </c>
    </row>
    <row r="1168" spans="2:11" x14ac:dyDescent="0.3">
      <c r="B1168" s="197"/>
      <c r="C1168" s="198"/>
      <c r="D1168" s="197"/>
      <c r="E1168" s="212"/>
      <c r="F1168" s="29" t="str">
        <f>IFERROR(VLOOKUP(E1168,'Inventaire des produits'!$B$4:$K$1001,2,0),"")</f>
        <v/>
      </c>
      <c r="G1168" s="212"/>
      <c r="H1168" s="30" t="str">
        <f>IFERROR(VLOOKUP(E1168,'Inventaire des produits'!$B$4:$K$1001,8,0),"")</f>
        <v/>
      </c>
      <c r="I1168" s="32" t="str">
        <f t="shared" si="34"/>
        <v/>
      </c>
      <c r="K1168" s="127" t="str">
        <f t="shared" si="33"/>
        <v/>
      </c>
    </row>
    <row r="1169" spans="2:11" x14ac:dyDescent="0.3">
      <c r="B1169" s="197"/>
      <c r="C1169" s="198"/>
      <c r="D1169" s="197"/>
      <c r="E1169" s="212"/>
      <c r="F1169" s="29" t="str">
        <f>IFERROR(VLOOKUP(E1169,'Inventaire des produits'!$B$4:$K$1001,2,0),"")</f>
        <v/>
      </c>
      <c r="G1169" s="212"/>
      <c r="H1169" s="30" t="str">
        <f>IFERROR(VLOOKUP(E1169,'Inventaire des produits'!$B$4:$K$1001,8,0),"")</f>
        <v/>
      </c>
      <c r="I1169" s="32" t="str">
        <f t="shared" si="34"/>
        <v/>
      </c>
      <c r="K1169" s="127" t="str">
        <f t="shared" si="33"/>
        <v/>
      </c>
    </row>
    <row r="1170" spans="2:11" x14ac:dyDescent="0.3">
      <c r="B1170" s="197"/>
      <c r="C1170" s="198"/>
      <c r="D1170" s="197"/>
      <c r="E1170" s="212"/>
      <c r="F1170" s="29" t="str">
        <f>IFERROR(VLOOKUP(E1170,'Inventaire des produits'!$B$4:$K$1001,2,0),"")</f>
        <v/>
      </c>
      <c r="G1170" s="212"/>
      <c r="H1170" s="30" t="str">
        <f>IFERROR(VLOOKUP(E1170,'Inventaire des produits'!$B$4:$K$1001,8,0),"")</f>
        <v/>
      </c>
      <c r="I1170" s="32" t="str">
        <f t="shared" si="34"/>
        <v/>
      </c>
      <c r="K1170" s="127" t="str">
        <f t="shared" si="33"/>
        <v/>
      </c>
    </row>
    <row r="1171" spans="2:11" x14ac:dyDescent="0.3">
      <c r="B1171" s="197"/>
      <c r="C1171" s="198"/>
      <c r="D1171" s="197"/>
      <c r="E1171" s="212"/>
      <c r="F1171" s="29" t="str">
        <f>IFERROR(VLOOKUP(E1171,'Inventaire des produits'!$B$4:$K$1001,2,0),"")</f>
        <v/>
      </c>
      <c r="G1171" s="212"/>
      <c r="H1171" s="30" t="str">
        <f>IFERROR(VLOOKUP(E1171,'Inventaire des produits'!$B$4:$K$1001,8,0),"")</f>
        <v/>
      </c>
      <c r="I1171" s="32" t="str">
        <f t="shared" si="34"/>
        <v/>
      </c>
      <c r="K1171" s="127" t="str">
        <f t="shared" si="33"/>
        <v/>
      </c>
    </row>
    <row r="1172" spans="2:11" x14ac:dyDescent="0.3">
      <c r="B1172" s="197"/>
      <c r="C1172" s="198"/>
      <c r="D1172" s="197"/>
      <c r="E1172" s="212"/>
      <c r="F1172" s="29" t="str">
        <f>IFERROR(VLOOKUP(E1172,'Inventaire des produits'!$B$4:$K$1001,2,0),"")</f>
        <v/>
      </c>
      <c r="G1172" s="212"/>
      <c r="H1172" s="30" t="str">
        <f>IFERROR(VLOOKUP(E1172,'Inventaire des produits'!$B$4:$K$1001,8,0),"")</f>
        <v/>
      </c>
      <c r="I1172" s="32" t="str">
        <f t="shared" si="34"/>
        <v/>
      </c>
      <c r="K1172" s="127" t="str">
        <f t="shared" si="33"/>
        <v/>
      </c>
    </row>
    <row r="1173" spans="2:11" x14ac:dyDescent="0.3">
      <c r="B1173" s="197"/>
      <c r="C1173" s="198"/>
      <c r="D1173" s="197"/>
      <c r="E1173" s="212"/>
      <c r="F1173" s="29" t="str">
        <f>IFERROR(VLOOKUP(E1173,'Inventaire des produits'!$B$4:$K$1001,2,0),"")</f>
        <v/>
      </c>
      <c r="G1173" s="212"/>
      <c r="H1173" s="30" t="str">
        <f>IFERROR(VLOOKUP(E1173,'Inventaire des produits'!$B$4:$K$1001,8,0),"")</f>
        <v/>
      </c>
      <c r="I1173" s="32" t="str">
        <f t="shared" si="34"/>
        <v/>
      </c>
      <c r="K1173" s="127" t="str">
        <f t="shared" si="33"/>
        <v/>
      </c>
    </row>
    <row r="1174" spans="2:11" x14ac:dyDescent="0.3">
      <c r="B1174" s="197"/>
      <c r="C1174" s="198"/>
      <c r="D1174" s="197"/>
      <c r="E1174" s="212"/>
      <c r="F1174" s="29" t="str">
        <f>IFERROR(VLOOKUP(E1174,'Inventaire des produits'!$B$4:$K$1001,2,0),"")</f>
        <v/>
      </c>
      <c r="G1174" s="212"/>
      <c r="H1174" s="30" t="str">
        <f>IFERROR(VLOOKUP(E1174,'Inventaire des produits'!$B$4:$K$1001,8,0),"")</f>
        <v/>
      </c>
      <c r="I1174" s="32" t="str">
        <f t="shared" si="34"/>
        <v/>
      </c>
      <c r="K1174" s="127" t="str">
        <f t="shared" si="33"/>
        <v/>
      </c>
    </row>
    <row r="1175" spans="2:11" x14ac:dyDescent="0.3">
      <c r="B1175" s="197"/>
      <c r="C1175" s="198"/>
      <c r="D1175" s="197"/>
      <c r="E1175" s="212"/>
      <c r="F1175" s="29" t="str">
        <f>IFERROR(VLOOKUP(E1175,'Inventaire des produits'!$B$4:$K$1001,2,0),"")</f>
        <v/>
      </c>
      <c r="G1175" s="212"/>
      <c r="H1175" s="30" t="str">
        <f>IFERROR(VLOOKUP(E1175,'Inventaire des produits'!$B$4:$K$1001,8,0),"")</f>
        <v/>
      </c>
      <c r="I1175" s="32" t="str">
        <f t="shared" si="34"/>
        <v/>
      </c>
      <c r="K1175" s="127" t="str">
        <f t="shared" si="33"/>
        <v/>
      </c>
    </row>
    <row r="1176" spans="2:11" x14ac:dyDescent="0.3">
      <c r="B1176" s="197"/>
      <c r="C1176" s="198"/>
      <c r="D1176" s="197"/>
      <c r="E1176" s="212"/>
      <c r="F1176" s="29" t="str">
        <f>IFERROR(VLOOKUP(E1176,'Inventaire des produits'!$B$4:$K$1001,2,0),"")</f>
        <v/>
      </c>
      <c r="G1176" s="212"/>
      <c r="H1176" s="30" t="str">
        <f>IFERROR(VLOOKUP(E1176,'Inventaire des produits'!$B$4:$K$1001,8,0),"")</f>
        <v/>
      </c>
      <c r="I1176" s="32" t="str">
        <f t="shared" si="34"/>
        <v/>
      </c>
      <c r="K1176" s="127" t="str">
        <f t="shared" si="33"/>
        <v/>
      </c>
    </row>
    <row r="1177" spans="2:11" x14ac:dyDescent="0.3">
      <c r="B1177" s="197"/>
      <c r="C1177" s="198"/>
      <c r="D1177" s="197"/>
      <c r="E1177" s="212"/>
      <c r="F1177" s="29" t="str">
        <f>IFERROR(VLOOKUP(E1177,'Inventaire des produits'!$B$4:$K$1001,2,0),"")</f>
        <v/>
      </c>
      <c r="G1177" s="212"/>
      <c r="H1177" s="30" t="str">
        <f>IFERROR(VLOOKUP(E1177,'Inventaire des produits'!$B$4:$K$1001,8,0),"")</f>
        <v/>
      </c>
      <c r="I1177" s="32" t="str">
        <f t="shared" si="34"/>
        <v/>
      </c>
      <c r="K1177" s="127" t="str">
        <f t="shared" si="33"/>
        <v/>
      </c>
    </row>
    <row r="1178" spans="2:11" x14ac:dyDescent="0.3">
      <c r="B1178" s="197"/>
      <c r="C1178" s="198"/>
      <c r="D1178" s="197"/>
      <c r="E1178" s="212"/>
      <c r="F1178" s="29" t="str">
        <f>IFERROR(VLOOKUP(E1178,'Inventaire des produits'!$B$4:$K$1001,2,0),"")</f>
        <v/>
      </c>
      <c r="G1178" s="212"/>
      <c r="H1178" s="30" t="str">
        <f>IFERROR(VLOOKUP(E1178,'Inventaire des produits'!$B$4:$K$1001,8,0),"")</f>
        <v/>
      </c>
      <c r="I1178" s="32" t="str">
        <f t="shared" si="34"/>
        <v/>
      </c>
      <c r="K1178" s="127" t="str">
        <f t="shared" si="33"/>
        <v/>
      </c>
    </row>
    <row r="1179" spans="2:11" x14ac:dyDescent="0.3">
      <c r="B1179" s="197"/>
      <c r="C1179" s="198"/>
      <c r="D1179" s="197"/>
      <c r="E1179" s="212"/>
      <c r="F1179" s="29" t="str">
        <f>IFERROR(VLOOKUP(E1179,'Inventaire des produits'!$B$4:$K$1001,2,0),"")</f>
        <v/>
      </c>
      <c r="G1179" s="212"/>
      <c r="H1179" s="30" t="str">
        <f>IFERROR(VLOOKUP(E1179,'Inventaire des produits'!$B$4:$K$1001,8,0),"")</f>
        <v/>
      </c>
      <c r="I1179" s="32" t="str">
        <f t="shared" si="34"/>
        <v/>
      </c>
      <c r="K1179" s="127" t="str">
        <f t="shared" si="33"/>
        <v/>
      </c>
    </row>
    <row r="1180" spans="2:11" x14ac:dyDescent="0.3">
      <c r="B1180" s="197"/>
      <c r="C1180" s="198"/>
      <c r="D1180" s="197"/>
      <c r="E1180" s="212"/>
      <c r="F1180" s="29" t="str">
        <f>IFERROR(VLOOKUP(E1180,'Inventaire des produits'!$B$4:$K$1001,2,0),"")</f>
        <v/>
      </c>
      <c r="G1180" s="212"/>
      <c r="H1180" s="30" t="str">
        <f>IFERROR(VLOOKUP(E1180,'Inventaire des produits'!$B$4:$K$1001,8,0),"")</f>
        <v/>
      </c>
      <c r="I1180" s="32" t="str">
        <f t="shared" si="34"/>
        <v/>
      </c>
      <c r="K1180" s="127" t="str">
        <f t="shared" si="33"/>
        <v/>
      </c>
    </row>
    <row r="1181" spans="2:11" x14ac:dyDescent="0.3">
      <c r="B1181" s="197"/>
      <c r="C1181" s="198"/>
      <c r="D1181" s="197"/>
      <c r="E1181" s="212"/>
      <c r="F1181" s="29" t="str">
        <f>IFERROR(VLOOKUP(E1181,'Inventaire des produits'!$B$4:$K$1001,2,0),"")</f>
        <v/>
      </c>
      <c r="G1181" s="212"/>
      <c r="H1181" s="30" t="str">
        <f>IFERROR(VLOOKUP(E1181,'Inventaire des produits'!$B$4:$K$1001,8,0),"")</f>
        <v/>
      </c>
      <c r="I1181" s="32" t="str">
        <f t="shared" si="34"/>
        <v/>
      </c>
      <c r="K1181" s="127" t="str">
        <f t="shared" si="33"/>
        <v/>
      </c>
    </row>
    <row r="1182" spans="2:11" x14ac:dyDescent="0.3">
      <c r="B1182" s="197"/>
      <c r="C1182" s="198"/>
      <c r="D1182" s="197"/>
      <c r="E1182" s="212"/>
      <c r="F1182" s="29" t="str">
        <f>IFERROR(VLOOKUP(E1182,'Inventaire des produits'!$B$4:$K$1001,2,0),"")</f>
        <v/>
      </c>
      <c r="G1182" s="212"/>
      <c r="H1182" s="30" t="str">
        <f>IFERROR(VLOOKUP(E1182,'Inventaire des produits'!$B$4:$K$1001,8,0),"")</f>
        <v/>
      </c>
      <c r="I1182" s="32" t="str">
        <f t="shared" si="34"/>
        <v/>
      </c>
      <c r="K1182" s="127" t="str">
        <f t="shared" si="33"/>
        <v/>
      </c>
    </row>
    <row r="1183" spans="2:11" x14ac:dyDescent="0.3">
      <c r="B1183" s="197"/>
      <c r="C1183" s="198"/>
      <c r="D1183" s="197"/>
      <c r="E1183" s="212"/>
      <c r="F1183" s="29" t="str">
        <f>IFERROR(VLOOKUP(E1183,'Inventaire des produits'!$B$4:$K$1001,2,0),"")</f>
        <v/>
      </c>
      <c r="G1183" s="212"/>
      <c r="H1183" s="30" t="str">
        <f>IFERROR(VLOOKUP(E1183,'Inventaire des produits'!$B$4:$K$1001,8,0),"")</f>
        <v/>
      </c>
      <c r="I1183" s="32" t="str">
        <f t="shared" si="34"/>
        <v/>
      </c>
      <c r="K1183" s="127" t="str">
        <f t="shared" si="33"/>
        <v/>
      </c>
    </row>
    <row r="1184" spans="2:11" x14ac:dyDescent="0.3">
      <c r="B1184" s="197"/>
      <c r="C1184" s="198"/>
      <c r="D1184" s="197"/>
      <c r="E1184" s="212"/>
      <c r="F1184" s="29" t="str">
        <f>IFERROR(VLOOKUP(E1184,'Inventaire des produits'!$B$4:$K$1001,2,0),"")</f>
        <v/>
      </c>
      <c r="G1184" s="212"/>
      <c r="H1184" s="30" t="str">
        <f>IFERROR(VLOOKUP(E1184,'Inventaire des produits'!$B$4:$K$1001,8,0),"")</f>
        <v/>
      </c>
      <c r="I1184" s="32" t="str">
        <f t="shared" si="34"/>
        <v/>
      </c>
      <c r="K1184" s="127" t="str">
        <f t="shared" si="33"/>
        <v/>
      </c>
    </row>
    <row r="1185" spans="2:11" x14ac:dyDescent="0.3">
      <c r="B1185" s="197"/>
      <c r="C1185" s="198"/>
      <c r="D1185" s="197"/>
      <c r="E1185" s="212"/>
      <c r="F1185" s="29" t="str">
        <f>IFERROR(VLOOKUP(E1185,'Inventaire des produits'!$B$4:$K$1001,2,0),"")</f>
        <v/>
      </c>
      <c r="G1185" s="212"/>
      <c r="H1185" s="30" t="str">
        <f>IFERROR(VLOOKUP(E1185,'Inventaire des produits'!$B$4:$K$1001,8,0),"")</f>
        <v/>
      </c>
      <c r="I1185" s="32" t="str">
        <f t="shared" si="34"/>
        <v/>
      </c>
      <c r="K1185" s="127" t="str">
        <f t="shared" si="33"/>
        <v/>
      </c>
    </row>
    <row r="1186" spans="2:11" x14ac:dyDescent="0.3">
      <c r="B1186" s="197"/>
      <c r="C1186" s="198"/>
      <c r="D1186" s="197"/>
      <c r="E1186" s="212"/>
      <c r="F1186" s="29" t="str">
        <f>IFERROR(VLOOKUP(E1186,'Inventaire des produits'!$B$4:$K$1001,2,0),"")</f>
        <v/>
      </c>
      <c r="G1186" s="212"/>
      <c r="H1186" s="30" t="str">
        <f>IFERROR(VLOOKUP(E1186,'Inventaire des produits'!$B$4:$K$1001,8,0),"")</f>
        <v/>
      </c>
      <c r="I1186" s="32" t="str">
        <f t="shared" si="34"/>
        <v/>
      </c>
      <c r="K1186" s="127" t="str">
        <f t="shared" si="33"/>
        <v/>
      </c>
    </row>
    <row r="1187" spans="2:11" x14ac:dyDescent="0.3">
      <c r="B1187" s="197"/>
      <c r="C1187" s="198"/>
      <c r="D1187" s="197"/>
      <c r="E1187" s="212"/>
      <c r="F1187" s="29" t="str">
        <f>IFERROR(VLOOKUP(E1187,'Inventaire des produits'!$B$4:$K$1001,2,0),"")</f>
        <v/>
      </c>
      <c r="G1187" s="212"/>
      <c r="H1187" s="30" t="str">
        <f>IFERROR(VLOOKUP(E1187,'Inventaire des produits'!$B$4:$K$1001,8,0),"")</f>
        <v/>
      </c>
      <c r="I1187" s="32" t="str">
        <f t="shared" si="34"/>
        <v/>
      </c>
      <c r="K1187" s="127" t="str">
        <f t="shared" si="33"/>
        <v/>
      </c>
    </row>
    <row r="1188" spans="2:11" x14ac:dyDescent="0.3">
      <c r="B1188" s="197"/>
      <c r="C1188" s="198"/>
      <c r="D1188" s="197"/>
      <c r="E1188" s="212"/>
      <c r="F1188" s="29" t="str">
        <f>IFERROR(VLOOKUP(E1188,'Inventaire des produits'!$B$4:$K$1001,2,0),"")</f>
        <v/>
      </c>
      <c r="G1188" s="212"/>
      <c r="H1188" s="30" t="str">
        <f>IFERROR(VLOOKUP(E1188,'Inventaire des produits'!$B$4:$K$1001,8,0),"")</f>
        <v/>
      </c>
      <c r="I1188" s="32" t="str">
        <f t="shared" si="34"/>
        <v/>
      </c>
      <c r="K1188" s="127" t="str">
        <f t="shared" si="33"/>
        <v/>
      </c>
    </row>
    <row r="1189" spans="2:11" x14ac:dyDescent="0.3">
      <c r="B1189" s="197"/>
      <c r="C1189" s="198"/>
      <c r="D1189" s="197"/>
      <c r="E1189" s="212"/>
      <c r="F1189" s="29" t="str">
        <f>IFERROR(VLOOKUP(E1189,'Inventaire des produits'!$B$4:$K$1001,2,0),"")</f>
        <v/>
      </c>
      <c r="G1189" s="212"/>
      <c r="H1189" s="30" t="str">
        <f>IFERROR(VLOOKUP(E1189,'Inventaire des produits'!$B$4:$K$1001,8,0),"")</f>
        <v/>
      </c>
      <c r="I1189" s="32" t="str">
        <f t="shared" si="34"/>
        <v/>
      </c>
      <c r="K1189" s="127" t="str">
        <f t="shared" si="33"/>
        <v/>
      </c>
    </row>
    <row r="1190" spans="2:11" x14ac:dyDescent="0.3">
      <c r="B1190" s="197"/>
      <c r="C1190" s="198"/>
      <c r="D1190" s="197"/>
      <c r="E1190" s="212"/>
      <c r="F1190" s="29" t="str">
        <f>IFERROR(VLOOKUP(E1190,'Inventaire des produits'!$B$4:$K$1001,2,0),"")</f>
        <v/>
      </c>
      <c r="G1190" s="212"/>
      <c r="H1190" s="30" t="str">
        <f>IFERROR(VLOOKUP(E1190,'Inventaire des produits'!$B$4:$K$1001,8,0),"")</f>
        <v/>
      </c>
      <c r="I1190" s="32" t="str">
        <f t="shared" si="34"/>
        <v/>
      </c>
      <c r="K1190" s="127" t="str">
        <f t="shared" si="33"/>
        <v/>
      </c>
    </row>
    <row r="1191" spans="2:11" x14ac:dyDescent="0.3">
      <c r="B1191" s="197"/>
      <c r="C1191" s="198"/>
      <c r="D1191" s="197"/>
      <c r="E1191" s="212"/>
      <c r="F1191" s="29" t="str">
        <f>IFERROR(VLOOKUP(E1191,'Inventaire des produits'!$B$4:$K$1001,2,0),"")</f>
        <v/>
      </c>
      <c r="G1191" s="212"/>
      <c r="H1191" s="30" t="str">
        <f>IFERROR(VLOOKUP(E1191,'Inventaire des produits'!$B$4:$K$1001,8,0),"")</f>
        <v/>
      </c>
      <c r="I1191" s="32" t="str">
        <f t="shared" si="34"/>
        <v/>
      </c>
      <c r="K1191" s="127" t="str">
        <f t="shared" si="33"/>
        <v/>
      </c>
    </row>
    <row r="1192" spans="2:11" x14ac:dyDescent="0.3">
      <c r="B1192" s="197"/>
      <c r="C1192" s="198"/>
      <c r="D1192" s="197"/>
      <c r="E1192" s="212"/>
      <c r="F1192" s="29" t="str">
        <f>IFERROR(VLOOKUP(E1192,'Inventaire des produits'!$B$4:$K$1001,2,0),"")</f>
        <v/>
      </c>
      <c r="G1192" s="212"/>
      <c r="H1192" s="30" t="str">
        <f>IFERROR(VLOOKUP(E1192,'Inventaire des produits'!$B$4:$K$1001,8,0),"")</f>
        <v/>
      </c>
      <c r="I1192" s="32" t="str">
        <f t="shared" si="34"/>
        <v/>
      </c>
      <c r="K1192" s="127" t="str">
        <f t="shared" si="33"/>
        <v/>
      </c>
    </row>
    <row r="1193" spans="2:11" x14ac:dyDescent="0.3">
      <c r="B1193" s="197"/>
      <c r="C1193" s="198"/>
      <c r="D1193" s="197"/>
      <c r="E1193" s="212"/>
      <c r="F1193" s="29" t="str">
        <f>IFERROR(VLOOKUP(E1193,'Inventaire des produits'!$B$4:$K$1001,2,0),"")</f>
        <v/>
      </c>
      <c r="G1193" s="212"/>
      <c r="H1193" s="30" t="str">
        <f>IFERROR(VLOOKUP(E1193,'Inventaire des produits'!$B$4:$K$1001,8,0),"")</f>
        <v/>
      </c>
      <c r="I1193" s="32" t="str">
        <f t="shared" si="34"/>
        <v/>
      </c>
      <c r="K1193" s="127" t="str">
        <f t="shared" si="33"/>
        <v/>
      </c>
    </row>
    <row r="1194" spans="2:11" x14ac:dyDescent="0.3">
      <c r="B1194" s="197"/>
      <c r="C1194" s="198"/>
      <c r="D1194" s="197"/>
      <c r="E1194" s="212"/>
      <c r="F1194" s="29" t="str">
        <f>IFERROR(VLOOKUP(E1194,'Inventaire des produits'!$B$4:$K$1001,2,0),"")</f>
        <v/>
      </c>
      <c r="G1194" s="212"/>
      <c r="H1194" s="30" t="str">
        <f>IFERROR(VLOOKUP(E1194,'Inventaire des produits'!$B$4:$K$1001,8,0),"")</f>
        <v/>
      </c>
      <c r="I1194" s="32" t="str">
        <f t="shared" si="34"/>
        <v/>
      </c>
      <c r="K1194" s="127" t="str">
        <f t="shared" si="33"/>
        <v/>
      </c>
    </row>
    <row r="1195" spans="2:11" x14ac:dyDescent="0.3">
      <c r="B1195" s="197"/>
      <c r="C1195" s="198"/>
      <c r="D1195" s="197"/>
      <c r="E1195" s="212"/>
      <c r="F1195" s="29" t="str">
        <f>IFERROR(VLOOKUP(E1195,'Inventaire des produits'!$B$4:$K$1001,2,0),"")</f>
        <v/>
      </c>
      <c r="G1195" s="212"/>
      <c r="H1195" s="30" t="str">
        <f>IFERROR(VLOOKUP(E1195,'Inventaire des produits'!$B$4:$K$1001,8,0),"")</f>
        <v/>
      </c>
      <c r="I1195" s="32" t="str">
        <f t="shared" si="34"/>
        <v/>
      </c>
      <c r="K1195" s="127" t="str">
        <f t="shared" si="33"/>
        <v/>
      </c>
    </row>
    <row r="1196" spans="2:11" x14ac:dyDescent="0.3">
      <c r="B1196" s="197"/>
      <c r="C1196" s="198"/>
      <c r="D1196" s="197"/>
      <c r="E1196" s="212"/>
      <c r="F1196" s="29" t="str">
        <f>IFERROR(VLOOKUP(E1196,'Inventaire des produits'!$B$4:$K$1001,2,0),"")</f>
        <v/>
      </c>
      <c r="G1196" s="212"/>
      <c r="H1196" s="30" t="str">
        <f>IFERROR(VLOOKUP(E1196,'Inventaire des produits'!$B$4:$K$1001,8,0),"")</f>
        <v/>
      </c>
      <c r="I1196" s="32" t="str">
        <f t="shared" si="34"/>
        <v/>
      </c>
      <c r="K1196" s="127" t="str">
        <f t="shared" si="33"/>
        <v/>
      </c>
    </row>
    <row r="1197" spans="2:11" x14ac:dyDescent="0.3">
      <c r="B1197" s="197"/>
      <c r="C1197" s="198"/>
      <c r="D1197" s="197"/>
      <c r="E1197" s="212"/>
      <c r="F1197" s="29" t="str">
        <f>IFERROR(VLOOKUP(E1197,'Inventaire des produits'!$B$4:$K$1001,2,0),"")</f>
        <v/>
      </c>
      <c r="G1197" s="212"/>
      <c r="H1197" s="30" t="str">
        <f>IFERROR(VLOOKUP(E1197,'Inventaire des produits'!$B$4:$K$1001,8,0),"")</f>
        <v/>
      </c>
      <c r="I1197" s="32" t="str">
        <f t="shared" si="34"/>
        <v/>
      </c>
      <c r="K1197" s="127" t="str">
        <f t="shared" si="33"/>
        <v/>
      </c>
    </row>
    <row r="1198" spans="2:11" x14ac:dyDescent="0.3">
      <c r="B1198" s="197"/>
      <c r="C1198" s="198"/>
      <c r="D1198" s="197"/>
      <c r="E1198" s="212"/>
      <c r="F1198" s="29" t="str">
        <f>IFERROR(VLOOKUP(E1198,'Inventaire des produits'!$B$4:$K$1001,2,0),"")</f>
        <v/>
      </c>
      <c r="G1198" s="212"/>
      <c r="H1198" s="30" t="str">
        <f>IFERROR(VLOOKUP(E1198,'Inventaire des produits'!$B$4:$K$1001,8,0),"")</f>
        <v/>
      </c>
      <c r="I1198" s="32" t="str">
        <f t="shared" si="34"/>
        <v/>
      </c>
      <c r="K1198" s="127" t="str">
        <f t="shared" si="33"/>
        <v/>
      </c>
    </row>
    <row r="1199" spans="2:11" x14ac:dyDescent="0.3">
      <c r="B1199" s="197"/>
      <c r="C1199" s="198"/>
      <c r="D1199" s="197"/>
      <c r="E1199" s="212"/>
      <c r="F1199" s="29" t="str">
        <f>IFERROR(VLOOKUP(E1199,'Inventaire des produits'!$B$4:$K$1001,2,0),"")</f>
        <v/>
      </c>
      <c r="G1199" s="212"/>
      <c r="H1199" s="30" t="str">
        <f>IFERROR(VLOOKUP(E1199,'Inventaire des produits'!$B$4:$K$1001,8,0),"")</f>
        <v/>
      </c>
      <c r="I1199" s="32" t="str">
        <f t="shared" si="34"/>
        <v/>
      </c>
      <c r="K1199" s="127" t="str">
        <f t="shared" si="33"/>
        <v/>
      </c>
    </row>
    <row r="1200" spans="2:11" x14ac:dyDescent="0.3">
      <c r="B1200" s="197"/>
      <c r="C1200" s="198"/>
      <c r="D1200" s="197"/>
      <c r="E1200" s="212"/>
      <c r="F1200" s="29" t="str">
        <f>IFERROR(VLOOKUP(E1200,'Inventaire des produits'!$B$4:$K$1001,2,0),"")</f>
        <v/>
      </c>
      <c r="G1200" s="212"/>
      <c r="H1200" s="30" t="str">
        <f>IFERROR(VLOOKUP(E1200,'Inventaire des produits'!$B$4:$K$1001,8,0),"")</f>
        <v/>
      </c>
      <c r="I1200" s="32" t="str">
        <f t="shared" si="34"/>
        <v/>
      </c>
      <c r="K1200" s="127" t="str">
        <f t="shared" si="33"/>
        <v/>
      </c>
    </row>
    <row r="1201" spans="2:11" x14ac:dyDescent="0.3">
      <c r="B1201" s="197"/>
      <c r="C1201" s="198"/>
      <c r="D1201" s="197"/>
      <c r="E1201" s="212"/>
      <c r="F1201" s="29" t="str">
        <f>IFERROR(VLOOKUP(E1201,'Inventaire des produits'!$B$4:$K$1001,2,0),"")</f>
        <v/>
      </c>
      <c r="G1201" s="212"/>
      <c r="H1201" s="30" t="str">
        <f>IFERROR(VLOOKUP(E1201,'Inventaire des produits'!$B$4:$K$1001,8,0),"")</f>
        <v/>
      </c>
      <c r="I1201" s="32" t="str">
        <f t="shared" si="34"/>
        <v/>
      </c>
      <c r="K1201" s="127" t="str">
        <f t="shared" si="33"/>
        <v/>
      </c>
    </row>
    <row r="1202" spans="2:11" x14ac:dyDescent="0.3">
      <c r="B1202" s="197"/>
      <c r="C1202" s="198"/>
      <c r="D1202" s="197"/>
      <c r="E1202" s="212"/>
      <c r="F1202" s="29" t="str">
        <f>IFERROR(VLOOKUP(E1202,'Inventaire des produits'!$B$4:$K$1001,2,0),"")</f>
        <v/>
      </c>
      <c r="G1202" s="212"/>
      <c r="H1202" s="30" t="str">
        <f>IFERROR(VLOOKUP(E1202,'Inventaire des produits'!$B$4:$K$1001,8,0),"")</f>
        <v/>
      </c>
      <c r="I1202" s="32" t="str">
        <f t="shared" si="34"/>
        <v/>
      </c>
      <c r="K1202" s="127" t="str">
        <f t="shared" si="33"/>
        <v/>
      </c>
    </row>
    <row r="1203" spans="2:11" x14ac:dyDescent="0.3">
      <c r="B1203" s="197"/>
      <c r="C1203" s="198"/>
      <c r="D1203" s="197"/>
      <c r="E1203" s="212"/>
      <c r="F1203" s="29" t="str">
        <f>IFERROR(VLOOKUP(E1203,'Inventaire des produits'!$B$4:$K$1001,2,0),"")</f>
        <v/>
      </c>
      <c r="G1203" s="212"/>
      <c r="H1203" s="30" t="str">
        <f>IFERROR(VLOOKUP(E1203,'Inventaire des produits'!$B$4:$K$1001,8,0),"")</f>
        <v/>
      </c>
      <c r="I1203" s="32" t="str">
        <f t="shared" si="34"/>
        <v/>
      </c>
      <c r="K1203" s="127" t="str">
        <f t="shared" si="33"/>
        <v/>
      </c>
    </row>
    <row r="1204" spans="2:11" x14ac:dyDescent="0.3">
      <c r="B1204" s="197"/>
      <c r="C1204" s="198"/>
      <c r="D1204" s="197"/>
      <c r="E1204" s="212"/>
      <c r="F1204" s="29" t="str">
        <f>IFERROR(VLOOKUP(E1204,'Inventaire des produits'!$B$4:$K$1001,2,0),"")</f>
        <v/>
      </c>
      <c r="G1204" s="212"/>
      <c r="H1204" s="30" t="str">
        <f>IFERROR(VLOOKUP(E1204,'Inventaire des produits'!$B$4:$K$1001,8,0),"")</f>
        <v/>
      </c>
      <c r="I1204" s="32" t="str">
        <f t="shared" si="34"/>
        <v/>
      </c>
      <c r="K1204" s="127" t="str">
        <f t="shared" si="33"/>
        <v/>
      </c>
    </row>
    <row r="1205" spans="2:11" x14ac:dyDescent="0.3">
      <c r="B1205" s="197"/>
      <c r="C1205" s="198"/>
      <c r="D1205" s="197"/>
      <c r="E1205" s="212"/>
      <c r="F1205" s="29" t="str">
        <f>IFERROR(VLOOKUP(E1205,'Inventaire des produits'!$B$4:$K$1001,2,0),"")</f>
        <v/>
      </c>
      <c r="G1205" s="212"/>
      <c r="H1205" s="30" t="str">
        <f>IFERROR(VLOOKUP(E1205,'Inventaire des produits'!$B$4:$K$1001,8,0),"")</f>
        <v/>
      </c>
      <c r="I1205" s="32" t="str">
        <f t="shared" si="34"/>
        <v/>
      </c>
      <c r="K1205" s="127" t="str">
        <f t="shared" si="33"/>
        <v/>
      </c>
    </row>
    <row r="1206" spans="2:11" x14ac:dyDescent="0.3">
      <c r="B1206" s="197"/>
      <c r="C1206" s="198"/>
      <c r="D1206" s="197"/>
      <c r="E1206" s="212"/>
      <c r="F1206" s="29" t="str">
        <f>IFERROR(VLOOKUP(E1206,'Inventaire des produits'!$B$4:$K$1001,2,0),"")</f>
        <v/>
      </c>
      <c r="G1206" s="212"/>
      <c r="H1206" s="30" t="str">
        <f>IFERROR(VLOOKUP(E1206,'Inventaire des produits'!$B$4:$K$1001,8,0),"")</f>
        <v/>
      </c>
      <c r="I1206" s="32" t="str">
        <f t="shared" si="34"/>
        <v/>
      </c>
      <c r="K1206" s="127" t="str">
        <f t="shared" si="33"/>
        <v/>
      </c>
    </row>
    <row r="1207" spans="2:11" x14ac:dyDescent="0.3">
      <c r="B1207" s="197"/>
      <c r="C1207" s="198"/>
      <c r="D1207" s="197"/>
      <c r="E1207" s="212"/>
      <c r="F1207" s="29" t="str">
        <f>IFERROR(VLOOKUP(E1207,'Inventaire des produits'!$B$4:$K$1001,2,0),"")</f>
        <v/>
      </c>
      <c r="G1207" s="212"/>
      <c r="H1207" s="30" t="str">
        <f>IFERROR(VLOOKUP(E1207,'Inventaire des produits'!$B$4:$K$1001,8,0),"")</f>
        <v/>
      </c>
      <c r="I1207" s="32" t="str">
        <f t="shared" si="34"/>
        <v/>
      </c>
      <c r="K1207" s="127" t="str">
        <f t="shared" si="33"/>
        <v/>
      </c>
    </row>
    <row r="1208" spans="2:11" x14ac:dyDescent="0.3">
      <c r="B1208" s="197"/>
      <c r="C1208" s="198"/>
      <c r="D1208" s="197"/>
      <c r="E1208" s="212"/>
      <c r="F1208" s="29" t="str">
        <f>IFERROR(VLOOKUP(E1208,'Inventaire des produits'!$B$4:$K$1001,2,0),"")</f>
        <v/>
      </c>
      <c r="G1208" s="212"/>
      <c r="H1208" s="30" t="str">
        <f>IFERROR(VLOOKUP(E1208,'Inventaire des produits'!$B$4:$K$1001,8,0),"")</f>
        <v/>
      </c>
      <c r="I1208" s="32" t="str">
        <f t="shared" si="34"/>
        <v/>
      </c>
      <c r="K1208" s="127" t="str">
        <f t="shared" si="33"/>
        <v/>
      </c>
    </row>
    <row r="1209" spans="2:11" x14ac:dyDescent="0.3">
      <c r="B1209" s="197"/>
      <c r="C1209" s="198"/>
      <c r="D1209" s="197"/>
      <c r="E1209" s="212"/>
      <c r="F1209" s="29" t="str">
        <f>IFERROR(VLOOKUP(E1209,'Inventaire des produits'!$B$4:$K$1001,2,0),"")</f>
        <v/>
      </c>
      <c r="G1209" s="212"/>
      <c r="H1209" s="30" t="str">
        <f>IFERROR(VLOOKUP(E1209,'Inventaire des produits'!$B$4:$K$1001,8,0),"")</f>
        <v/>
      </c>
      <c r="I1209" s="32" t="str">
        <f t="shared" si="34"/>
        <v/>
      </c>
      <c r="K1209" s="127" t="str">
        <f t="shared" si="33"/>
        <v/>
      </c>
    </row>
    <row r="1210" spans="2:11" x14ac:dyDescent="0.3">
      <c r="B1210" s="197"/>
      <c r="C1210" s="198"/>
      <c r="D1210" s="197"/>
      <c r="E1210" s="212"/>
      <c r="F1210" s="29" t="str">
        <f>IFERROR(VLOOKUP(E1210,'Inventaire des produits'!$B$4:$K$1001,2,0),"")</f>
        <v/>
      </c>
      <c r="G1210" s="212"/>
      <c r="H1210" s="30" t="str">
        <f>IFERROR(VLOOKUP(E1210,'Inventaire des produits'!$B$4:$K$1001,8,0),"")</f>
        <v/>
      </c>
      <c r="I1210" s="32" t="str">
        <f t="shared" si="34"/>
        <v/>
      </c>
      <c r="K1210" s="127" t="str">
        <f t="shared" si="33"/>
        <v/>
      </c>
    </row>
    <row r="1211" spans="2:11" x14ac:dyDescent="0.3">
      <c r="B1211" s="197"/>
      <c r="C1211" s="198"/>
      <c r="D1211" s="197"/>
      <c r="E1211" s="212"/>
      <c r="F1211" s="29" t="str">
        <f>IFERROR(VLOOKUP(E1211,'Inventaire des produits'!$B$4:$K$1001,2,0),"")</f>
        <v/>
      </c>
      <c r="G1211" s="212"/>
      <c r="H1211" s="30" t="str">
        <f>IFERROR(VLOOKUP(E1211,'Inventaire des produits'!$B$4:$K$1001,8,0),"")</f>
        <v/>
      </c>
      <c r="I1211" s="32" t="str">
        <f t="shared" si="34"/>
        <v/>
      </c>
      <c r="K1211" s="127" t="str">
        <f t="shared" si="33"/>
        <v/>
      </c>
    </row>
    <row r="1212" spans="2:11" x14ac:dyDescent="0.3">
      <c r="B1212" s="197"/>
      <c r="C1212" s="198"/>
      <c r="D1212" s="197"/>
      <c r="E1212" s="212"/>
      <c r="F1212" s="29" t="str">
        <f>IFERROR(VLOOKUP(E1212,'Inventaire des produits'!$B$4:$K$1001,2,0),"")</f>
        <v/>
      </c>
      <c r="G1212" s="212"/>
      <c r="H1212" s="30" t="str">
        <f>IFERROR(VLOOKUP(E1212,'Inventaire des produits'!$B$4:$K$1001,8,0),"")</f>
        <v/>
      </c>
      <c r="I1212" s="32" t="str">
        <f t="shared" si="34"/>
        <v/>
      </c>
      <c r="K1212" s="127" t="str">
        <f t="shared" ref="K1212:K1275" si="35">IF(J1212="","",J1212*1.2)</f>
        <v/>
      </c>
    </row>
    <row r="1213" spans="2:11" x14ac:dyDescent="0.3">
      <c r="B1213" s="197"/>
      <c r="C1213" s="198"/>
      <c r="D1213" s="197"/>
      <c r="E1213" s="212"/>
      <c r="F1213" s="29" t="str">
        <f>IFERROR(VLOOKUP(E1213,'Inventaire des produits'!$B$4:$K$1001,2,0),"")</f>
        <v/>
      </c>
      <c r="G1213" s="212"/>
      <c r="H1213" s="30" t="str">
        <f>IFERROR(VLOOKUP(E1213,'Inventaire des produits'!$B$4:$K$1001,8,0),"")</f>
        <v/>
      </c>
      <c r="I1213" s="32" t="str">
        <f t="shared" si="34"/>
        <v/>
      </c>
      <c r="K1213" s="127" t="str">
        <f t="shared" si="35"/>
        <v/>
      </c>
    </row>
    <row r="1214" spans="2:11" x14ac:dyDescent="0.3">
      <c r="B1214" s="197"/>
      <c r="C1214" s="198"/>
      <c r="D1214" s="197"/>
      <c r="E1214" s="212"/>
      <c r="F1214" s="29" t="str">
        <f>IFERROR(VLOOKUP(E1214,'Inventaire des produits'!$B$4:$K$1001,2,0),"")</f>
        <v/>
      </c>
      <c r="G1214" s="212"/>
      <c r="H1214" s="30" t="str">
        <f>IFERROR(VLOOKUP(E1214,'Inventaire des produits'!$B$4:$K$1001,8,0),"")</f>
        <v/>
      </c>
      <c r="I1214" s="32" t="str">
        <f t="shared" si="34"/>
        <v/>
      </c>
      <c r="K1214" s="127" t="str">
        <f t="shared" si="35"/>
        <v/>
      </c>
    </row>
    <row r="1215" spans="2:11" x14ac:dyDescent="0.3">
      <c r="B1215" s="197"/>
      <c r="C1215" s="198"/>
      <c r="D1215" s="197"/>
      <c r="E1215" s="212"/>
      <c r="F1215" s="29" t="str">
        <f>IFERROR(VLOOKUP(E1215,'Inventaire des produits'!$B$4:$K$1001,2,0),"")</f>
        <v/>
      </c>
      <c r="G1215" s="212"/>
      <c r="H1215" s="30" t="str">
        <f>IFERROR(VLOOKUP(E1215,'Inventaire des produits'!$B$4:$K$1001,8,0),"")</f>
        <v/>
      </c>
      <c r="I1215" s="32" t="str">
        <f t="shared" si="34"/>
        <v/>
      </c>
      <c r="K1215" s="127" t="str">
        <f t="shared" si="35"/>
        <v/>
      </c>
    </row>
    <row r="1216" spans="2:11" x14ac:dyDescent="0.3">
      <c r="B1216" s="197"/>
      <c r="C1216" s="198"/>
      <c r="D1216" s="197"/>
      <c r="E1216" s="212"/>
      <c r="F1216" s="29" t="str">
        <f>IFERROR(VLOOKUP(E1216,'Inventaire des produits'!$B$4:$K$1001,2,0),"")</f>
        <v/>
      </c>
      <c r="G1216" s="212"/>
      <c r="H1216" s="30" t="str">
        <f>IFERROR(VLOOKUP(E1216,'Inventaire des produits'!$B$4:$K$1001,8,0),"")</f>
        <v/>
      </c>
      <c r="I1216" s="32" t="str">
        <f t="shared" si="34"/>
        <v/>
      </c>
      <c r="K1216" s="127" t="str">
        <f t="shared" si="35"/>
        <v/>
      </c>
    </row>
    <row r="1217" spans="2:11" x14ac:dyDescent="0.3">
      <c r="B1217" s="197"/>
      <c r="C1217" s="198"/>
      <c r="D1217" s="197"/>
      <c r="E1217" s="212"/>
      <c r="F1217" s="29" t="str">
        <f>IFERROR(VLOOKUP(E1217,'Inventaire des produits'!$B$4:$K$1001,2,0),"")</f>
        <v/>
      </c>
      <c r="G1217" s="212"/>
      <c r="H1217" s="30" t="str">
        <f>IFERROR(VLOOKUP(E1217,'Inventaire des produits'!$B$4:$K$1001,8,0),"")</f>
        <v/>
      </c>
      <c r="I1217" s="32" t="str">
        <f t="shared" si="34"/>
        <v/>
      </c>
      <c r="K1217" s="127" t="str">
        <f t="shared" si="35"/>
        <v/>
      </c>
    </row>
    <row r="1218" spans="2:11" x14ac:dyDescent="0.3">
      <c r="B1218" s="197"/>
      <c r="C1218" s="198"/>
      <c r="D1218" s="197"/>
      <c r="E1218" s="212"/>
      <c r="F1218" s="29" t="str">
        <f>IFERROR(VLOOKUP(E1218,'Inventaire des produits'!$B$4:$K$1001,2,0),"")</f>
        <v/>
      </c>
      <c r="G1218" s="212"/>
      <c r="H1218" s="30" t="str">
        <f>IFERROR(VLOOKUP(E1218,'Inventaire des produits'!$B$4:$K$1001,8,0),"")</f>
        <v/>
      </c>
      <c r="I1218" s="32" t="str">
        <f t="shared" ref="I1218:I1281" si="36">IF(OR(G1218="",H1218=""),"",G1218*H1218)</f>
        <v/>
      </c>
      <c r="K1218" s="127" t="str">
        <f t="shared" si="35"/>
        <v/>
      </c>
    </row>
    <row r="1219" spans="2:11" x14ac:dyDescent="0.3">
      <c r="B1219" s="197"/>
      <c r="C1219" s="198"/>
      <c r="D1219" s="197"/>
      <c r="E1219" s="212"/>
      <c r="F1219" s="29" t="str">
        <f>IFERROR(VLOOKUP(E1219,'Inventaire des produits'!$B$4:$K$1001,2,0),"")</f>
        <v/>
      </c>
      <c r="G1219" s="212"/>
      <c r="H1219" s="30" t="str">
        <f>IFERROR(VLOOKUP(E1219,'Inventaire des produits'!$B$4:$K$1001,8,0),"")</f>
        <v/>
      </c>
      <c r="I1219" s="32" t="str">
        <f t="shared" si="36"/>
        <v/>
      </c>
      <c r="K1219" s="127" t="str">
        <f t="shared" si="35"/>
        <v/>
      </c>
    </row>
    <row r="1220" spans="2:11" x14ac:dyDescent="0.3">
      <c r="B1220" s="197"/>
      <c r="C1220" s="198"/>
      <c r="D1220" s="197"/>
      <c r="E1220" s="212"/>
      <c r="F1220" s="29" t="str">
        <f>IFERROR(VLOOKUP(E1220,'Inventaire des produits'!$B$4:$K$1001,2,0),"")</f>
        <v/>
      </c>
      <c r="G1220" s="212"/>
      <c r="H1220" s="30" t="str">
        <f>IFERROR(VLOOKUP(E1220,'Inventaire des produits'!$B$4:$K$1001,8,0),"")</f>
        <v/>
      </c>
      <c r="I1220" s="32" t="str">
        <f t="shared" si="36"/>
        <v/>
      </c>
      <c r="K1220" s="127" t="str">
        <f t="shared" si="35"/>
        <v/>
      </c>
    </row>
    <row r="1221" spans="2:11" x14ac:dyDescent="0.3">
      <c r="B1221" s="197"/>
      <c r="C1221" s="198"/>
      <c r="D1221" s="197"/>
      <c r="E1221" s="212"/>
      <c r="F1221" s="29" t="str">
        <f>IFERROR(VLOOKUP(E1221,'Inventaire des produits'!$B$4:$K$1001,2,0),"")</f>
        <v/>
      </c>
      <c r="G1221" s="212"/>
      <c r="H1221" s="30" t="str">
        <f>IFERROR(VLOOKUP(E1221,'Inventaire des produits'!$B$4:$K$1001,8,0),"")</f>
        <v/>
      </c>
      <c r="I1221" s="32" t="str">
        <f t="shared" si="36"/>
        <v/>
      </c>
      <c r="K1221" s="127" t="str">
        <f t="shared" si="35"/>
        <v/>
      </c>
    </row>
    <row r="1222" spans="2:11" x14ac:dyDescent="0.3">
      <c r="B1222" s="197"/>
      <c r="C1222" s="198"/>
      <c r="D1222" s="197"/>
      <c r="E1222" s="212"/>
      <c r="F1222" s="29" t="str">
        <f>IFERROR(VLOOKUP(E1222,'Inventaire des produits'!$B$4:$K$1001,2,0),"")</f>
        <v/>
      </c>
      <c r="G1222" s="212"/>
      <c r="H1222" s="30" t="str">
        <f>IFERROR(VLOOKUP(E1222,'Inventaire des produits'!$B$4:$K$1001,8,0),"")</f>
        <v/>
      </c>
      <c r="I1222" s="32" t="str">
        <f t="shared" si="36"/>
        <v/>
      </c>
      <c r="K1222" s="127" t="str">
        <f t="shared" si="35"/>
        <v/>
      </c>
    </row>
    <row r="1223" spans="2:11" x14ac:dyDescent="0.3">
      <c r="B1223" s="197"/>
      <c r="C1223" s="198"/>
      <c r="D1223" s="197"/>
      <c r="E1223" s="212"/>
      <c r="F1223" s="29" t="str">
        <f>IFERROR(VLOOKUP(E1223,'Inventaire des produits'!$B$4:$K$1001,2,0),"")</f>
        <v/>
      </c>
      <c r="G1223" s="212"/>
      <c r="H1223" s="30" t="str">
        <f>IFERROR(VLOOKUP(E1223,'Inventaire des produits'!$B$4:$K$1001,8,0),"")</f>
        <v/>
      </c>
      <c r="I1223" s="32" t="str">
        <f t="shared" si="36"/>
        <v/>
      </c>
      <c r="K1223" s="127" t="str">
        <f t="shared" si="35"/>
        <v/>
      </c>
    </row>
    <row r="1224" spans="2:11" x14ac:dyDescent="0.3">
      <c r="B1224" s="197"/>
      <c r="C1224" s="198"/>
      <c r="D1224" s="197"/>
      <c r="E1224" s="212"/>
      <c r="F1224" s="29" t="str">
        <f>IFERROR(VLOOKUP(E1224,'Inventaire des produits'!$B$4:$K$1001,2,0),"")</f>
        <v/>
      </c>
      <c r="G1224" s="212"/>
      <c r="H1224" s="30" t="str">
        <f>IFERROR(VLOOKUP(E1224,'Inventaire des produits'!$B$4:$K$1001,8,0),"")</f>
        <v/>
      </c>
      <c r="I1224" s="32" t="str">
        <f t="shared" si="36"/>
        <v/>
      </c>
      <c r="K1224" s="127" t="str">
        <f t="shared" si="35"/>
        <v/>
      </c>
    </row>
    <row r="1225" spans="2:11" x14ac:dyDescent="0.3">
      <c r="B1225" s="197"/>
      <c r="C1225" s="198"/>
      <c r="D1225" s="197"/>
      <c r="E1225" s="212"/>
      <c r="F1225" s="29" t="str">
        <f>IFERROR(VLOOKUP(E1225,'Inventaire des produits'!$B$4:$K$1001,2,0),"")</f>
        <v/>
      </c>
      <c r="G1225" s="212"/>
      <c r="H1225" s="30" t="str">
        <f>IFERROR(VLOOKUP(E1225,'Inventaire des produits'!$B$4:$K$1001,8,0),"")</f>
        <v/>
      </c>
      <c r="I1225" s="32" t="str">
        <f t="shared" si="36"/>
        <v/>
      </c>
      <c r="K1225" s="127" t="str">
        <f t="shared" si="35"/>
        <v/>
      </c>
    </row>
    <row r="1226" spans="2:11" x14ac:dyDescent="0.3">
      <c r="B1226" s="197"/>
      <c r="C1226" s="198"/>
      <c r="D1226" s="197"/>
      <c r="E1226" s="212"/>
      <c r="F1226" s="29" t="str">
        <f>IFERROR(VLOOKUP(E1226,'Inventaire des produits'!$B$4:$K$1001,2,0),"")</f>
        <v/>
      </c>
      <c r="G1226" s="212"/>
      <c r="H1226" s="30" t="str">
        <f>IFERROR(VLOOKUP(E1226,'Inventaire des produits'!$B$4:$K$1001,8,0),"")</f>
        <v/>
      </c>
      <c r="I1226" s="32" t="str">
        <f t="shared" si="36"/>
        <v/>
      </c>
      <c r="K1226" s="127" t="str">
        <f t="shared" si="35"/>
        <v/>
      </c>
    </row>
    <row r="1227" spans="2:11" x14ac:dyDescent="0.3">
      <c r="B1227" s="197"/>
      <c r="C1227" s="198"/>
      <c r="D1227" s="197"/>
      <c r="E1227" s="212"/>
      <c r="F1227" s="29" t="str">
        <f>IFERROR(VLOOKUP(E1227,'Inventaire des produits'!$B$4:$K$1001,2,0),"")</f>
        <v/>
      </c>
      <c r="G1227" s="212"/>
      <c r="H1227" s="30" t="str">
        <f>IFERROR(VLOOKUP(E1227,'Inventaire des produits'!$B$4:$K$1001,8,0),"")</f>
        <v/>
      </c>
      <c r="I1227" s="32" t="str">
        <f t="shared" si="36"/>
        <v/>
      </c>
      <c r="K1227" s="127" t="str">
        <f t="shared" si="35"/>
        <v/>
      </c>
    </row>
    <row r="1228" spans="2:11" x14ac:dyDescent="0.3">
      <c r="B1228" s="197"/>
      <c r="C1228" s="198"/>
      <c r="D1228" s="197"/>
      <c r="E1228" s="212"/>
      <c r="F1228" s="29" t="str">
        <f>IFERROR(VLOOKUP(E1228,'Inventaire des produits'!$B$4:$K$1001,2,0),"")</f>
        <v/>
      </c>
      <c r="G1228" s="212"/>
      <c r="H1228" s="30" t="str">
        <f>IFERROR(VLOOKUP(E1228,'Inventaire des produits'!$B$4:$K$1001,8,0),"")</f>
        <v/>
      </c>
      <c r="I1228" s="32" t="str">
        <f t="shared" si="36"/>
        <v/>
      </c>
      <c r="K1228" s="127" t="str">
        <f t="shared" si="35"/>
        <v/>
      </c>
    </row>
    <row r="1229" spans="2:11" x14ac:dyDescent="0.3">
      <c r="B1229" s="197"/>
      <c r="C1229" s="198"/>
      <c r="D1229" s="197"/>
      <c r="E1229" s="212"/>
      <c r="F1229" s="29" t="str">
        <f>IFERROR(VLOOKUP(E1229,'Inventaire des produits'!$B$4:$K$1001,2,0),"")</f>
        <v/>
      </c>
      <c r="G1229" s="212"/>
      <c r="H1229" s="30" t="str">
        <f>IFERROR(VLOOKUP(E1229,'Inventaire des produits'!$B$4:$K$1001,8,0),"")</f>
        <v/>
      </c>
      <c r="I1229" s="32" t="str">
        <f t="shared" si="36"/>
        <v/>
      </c>
      <c r="K1229" s="127" t="str">
        <f t="shared" si="35"/>
        <v/>
      </c>
    </row>
    <row r="1230" spans="2:11" x14ac:dyDescent="0.3">
      <c r="B1230" s="197"/>
      <c r="C1230" s="198"/>
      <c r="D1230" s="197"/>
      <c r="E1230" s="212"/>
      <c r="F1230" s="29" t="str">
        <f>IFERROR(VLOOKUP(E1230,'Inventaire des produits'!$B$4:$K$1001,2,0),"")</f>
        <v/>
      </c>
      <c r="G1230" s="212"/>
      <c r="H1230" s="30" t="str">
        <f>IFERROR(VLOOKUP(E1230,'Inventaire des produits'!$B$4:$K$1001,8,0),"")</f>
        <v/>
      </c>
      <c r="I1230" s="32" t="str">
        <f t="shared" si="36"/>
        <v/>
      </c>
      <c r="K1230" s="127" t="str">
        <f t="shared" si="35"/>
        <v/>
      </c>
    </row>
    <row r="1231" spans="2:11" x14ac:dyDescent="0.3">
      <c r="B1231" s="197"/>
      <c r="C1231" s="198"/>
      <c r="D1231" s="197"/>
      <c r="E1231" s="212"/>
      <c r="F1231" s="29" t="str">
        <f>IFERROR(VLOOKUP(E1231,'Inventaire des produits'!$B$4:$K$1001,2,0),"")</f>
        <v/>
      </c>
      <c r="G1231" s="212"/>
      <c r="H1231" s="30" t="str">
        <f>IFERROR(VLOOKUP(E1231,'Inventaire des produits'!$B$4:$K$1001,8,0),"")</f>
        <v/>
      </c>
      <c r="I1231" s="32" t="str">
        <f t="shared" si="36"/>
        <v/>
      </c>
      <c r="K1231" s="127" t="str">
        <f t="shared" si="35"/>
        <v/>
      </c>
    </row>
    <row r="1232" spans="2:11" x14ac:dyDescent="0.3">
      <c r="B1232" s="197"/>
      <c r="C1232" s="198"/>
      <c r="D1232" s="197"/>
      <c r="E1232" s="212"/>
      <c r="F1232" s="29" t="str">
        <f>IFERROR(VLOOKUP(E1232,'Inventaire des produits'!$B$4:$K$1001,2,0),"")</f>
        <v/>
      </c>
      <c r="G1232" s="212"/>
      <c r="H1232" s="30" t="str">
        <f>IFERROR(VLOOKUP(E1232,'Inventaire des produits'!$B$4:$K$1001,8,0),"")</f>
        <v/>
      </c>
      <c r="I1232" s="32" t="str">
        <f t="shared" si="36"/>
        <v/>
      </c>
      <c r="K1232" s="127" t="str">
        <f t="shared" si="35"/>
        <v/>
      </c>
    </row>
    <row r="1233" spans="2:11" x14ac:dyDescent="0.3">
      <c r="B1233" s="197"/>
      <c r="C1233" s="198"/>
      <c r="D1233" s="197"/>
      <c r="E1233" s="212"/>
      <c r="F1233" s="29" t="str">
        <f>IFERROR(VLOOKUP(E1233,'Inventaire des produits'!$B$4:$K$1001,2,0),"")</f>
        <v/>
      </c>
      <c r="G1233" s="212"/>
      <c r="H1233" s="30" t="str">
        <f>IFERROR(VLOOKUP(E1233,'Inventaire des produits'!$B$4:$K$1001,8,0),"")</f>
        <v/>
      </c>
      <c r="I1233" s="32" t="str">
        <f t="shared" si="36"/>
        <v/>
      </c>
      <c r="K1233" s="127" t="str">
        <f t="shared" si="35"/>
        <v/>
      </c>
    </row>
    <row r="1234" spans="2:11" x14ac:dyDescent="0.3">
      <c r="B1234" s="197"/>
      <c r="C1234" s="198"/>
      <c r="D1234" s="197"/>
      <c r="E1234" s="212"/>
      <c r="F1234" s="29" t="str">
        <f>IFERROR(VLOOKUP(E1234,'Inventaire des produits'!$B$4:$K$1001,2,0),"")</f>
        <v/>
      </c>
      <c r="G1234" s="212"/>
      <c r="H1234" s="30" t="str">
        <f>IFERROR(VLOOKUP(E1234,'Inventaire des produits'!$B$4:$K$1001,8,0),"")</f>
        <v/>
      </c>
      <c r="I1234" s="32" t="str">
        <f t="shared" si="36"/>
        <v/>
      </c>
      <c r="K1234" s="127" t="str">
        <f t="shared" si="35"/>
        <v/>
      </c>
    </row>
    <row r="1235" spans="2:11" x14ac:dyDescent="0.3">
      <c r="B1235" s="197"/>
      <c r="C1235" s="198"/>
      <c r="D1235" s="197"/>
      <c r="E1235" s="212"/>
      <c r="F1235" s="29" t="str">
        <f>IFERROR(VLOOKUP(E1235,'Inventaire des produits'!$B$4:$K$1001,2,0),"")</f>
        <v/>
      </c>
      <c r="G1235" s="212"/>
      <c r="H1235" s="30" t="str">
        <f>IFERROR(VLOOKUP(E1235,'Inventaire des produits'!$B$4:$K$1001,8,0),"")</f>
        <v/>
      </c>
      <c r="I1235" s="32" t="str">
        <f t="shared" si="36"/>
        <v/>
      </c>
      <c r="K1235" s="127" t="str">
        <f t="shared" si="35"/>
        <v/>
      </c>
    </row>
    <row r="1236" spans="2:11" x14ac:dyDescent="0.3">
      <c r="B1236" s="197"/>
      <c r="C1236" s="198"/>
      <c r="D1236" s="197"/>
      <c r="E1236" s="212"/>
      <c r="F1236" s="29" t="str">
        <f>IFERROR(VLOOKUP(E1236,'Inventaire des produits'!$B$4:$K$1001,2,0),"")</f>
        <v/>
      </c>
      <c r="G1236" s="212"/>
      <c r="H1236" s="30" t="str">
        <f>IFERROR(VLOOKUP(E1236,'Inventaire des produits'!$B$4:$K$1001,8,0),"")</f>
        <v/>
      </c>
      <c r="I1236" s="32" t="str">
        <f t="shared" si="36"/>
        <v/>
      </c>
      <c r="K1236" s="127" t="str">
        <f t="shared" si="35"/>
        <v/>
      </c>
    </row>
    <row r="1237" spans="2:11" x14ac:dyDescent="0.3">
      <c r="B1237" s="197"/>
      <c r="C1237" s="198"/>
      <c r="D1237" s="197"/>
      <c r="E1237" s="212"/>
      <c r="F1237" s="29" t="str">
        <f>IFERROR(VLOOKUP(E1237,'Inventaire des produits'!$B$4:$K$1001,2,0),"")</f>
        <v/>
      </c>
      <c r="G1237" s="212"/>
      <c r="H1237" s="30" t="str">
        <f>IFERROR(VLOOKUP(E1237,'Inventaire des produits'!$B$4:$K$1001,8,0),"")</f>
        <v/>
      </c>
      <c r="I1237" s="32" t="str">
        <f t="shared" si="36"/>
        <v/>
      </c>
      <c r="K1237" s="127" t="str">
        <f t="shared" si="35"/>
        <v/>
      </c>
    </row>
    <row r="1238" spans="2:11" x14ac:dyDescent="0.3">
      <c r="B1238" s="197"/>
      <c r="C1238" s="198"/>
      <c r="D1238" s="197"/>
      <c r="E1238" s="212"/>
      <c r="F1238" s="29" t="str">
        <f>IFERROR(VLOOKUP(E1238,'Inventaire des produits'!$B$4:$K$1001,2,0),"")</f>
        <v/>
      </c>
      <c r="G1238" s="212"/>
      <c r="H1238" s="30" t="str">
        <f>IFERROR(VLOOKUP(E1238,'Inventaire des produits'!$B$4:$K$1001,8,0),"")</f>
        <v/>
      </c>
      <c r="I1238" s="32" t="str">
        <f t="shared" si="36"/>
        <v/>
      </c>
      <c r="K1238" s="127" t="str">
        <f t="shared" si="35"/>
        <v/>
      </c>
    </row>
    <row r="1239" spans="2:11" x14ac:dyDescent="0.3">
      <c r="B1239" s="197"/>
      <c r="C1239" s="198"/>
      <c r="D1239" s="197"/>
      <c r="E1239" s="212"/>
      <c r="F1239" s="29" t="str">
        <f>IFERROR(VLOOKUP(E1239,'Inventaire des produits'!$B$4:$K$1001,2,0),"")</f>
        <v/>
      </c>
      <c r="G1239" s="212"/>
      <c r="H1239" s="30" t="str">
        <f>IFERROR(VLOOKUP(E1239,'Inventaire des produits'!$B$4:$K$1001,8,0),"")</f>
        <v/>
      </c>
      <c r="I1239" s="32" t="str">
        <f t="shared" si="36"/>
        <v/>
      </c>
      <c r="K1239" s="127" t="str">
        <f t="shared" si="35"/>
        <v/>
      </c>
    </row>
    <row r="1240" spans="2:11" x14ac:dyDescent="0.3">
      <c r="B1240" s="197"/>
      <c r="C1240" s="198"/>
      <c r="D1240" s="197"/>
      <c r="E1240" s="212"/>
      <c r="F1240" s="29" t="str">
        <f>IFERROR(VLOOKUP(E1240,'Inventaire des produits'!$B$4:$K$1001,2,0),"")</f>
        <v/>
      </c>
      <c r="G1240" s="212"/>
      <c r="H1240" s="30" t="str">
        <f>IFERROR(VLOOKUP(E1240,'Inventaire des produits'!$B$4:$K$1001,8,0),"")</f>
        <v/>
      </c>
      <c r="I1240" s="32" t="str">
        <f t="shared" si="36"/>
        <v/>
      </c>
      <c r="K1240" s="127" t="str">
        <f t="shared" si="35"/>
        <v/>
      </c>
    </row>
    <row r="1241" spans="2:11" x14ac:dyDescent="0.3">
      <c r="B1241" s="197"/>
      <c r="C1241" s="198"/>
      <c r="D1241" s="197"/>
      <c r="E1241" s="212"/>
      <c r="F1241" s="29" t="str">
        <f>IFERROR(VLOOKUP(E1241,'Inventaire des produits'!$B$4:$K$1001,2,0),"")</f>
        <v/>
      </c>
      <c r="G1241" s="212"/>
      <c r="H1241" s="30" t="str">
        <f>IFERROR(VLOOKUP(E1241,'Inventaire des produits'!$B$4:$K$1001,8,0),"")</f>
        <v/>
      </c>
      <c r="I1241" s="32" t="str">
        <f t="shared" si="36"/>
        <v/>
      </c>
      <c r="K1241" s="127" t="str">
        <f t="shared" si="35"/>
        <v/>
      </c>
    </row>
    <row r="1242" spans="2:11" x14ac:dyDescent="0.3">
      <c r="B1242" s="197"/>
      <c r="C1242" s="198"/>
      <c r="D1242" s="197"/>
      <c r="E1242" s="212"/>
      <c r="F1242" s="29" t="str">
        <f>IFERROR(VLOOKUP(E1242,'Inventaire des produits'!$B$4:$K$1001,2,0),"")</f>
        <v/>
      </c>
      <c r="G1242" s="212"/>
      <c r="H1242" s="30" t="str">
        <f>IFERROR(VLOOKUP(E1242,'Inventaire des produits'!$B$4:$K$1001,8,0),"")</f>
        <v/>
      </c>
      <c r="I1242" s="32" t="str">
        <f t="shared" si="36"/>
        <v/>
      </c>
      <c r="K1242" s="127" t="str">
        <f t="shared" si="35"/>
        <v/>
      </c>
    </row>
    <row r="1243" spans="2:11" x14ac:dyDescent="0.3">
      <c r="B1243" s="197"/>
      <c r="C1243" s="198"/>
      <c r="D1243" s="197"/>
      <c r="E1243" s="212"/>
      <c r="F1243" s="29" t="str">
        <f>IFERROR(VLOOKUP(E1243,'Inventaire des produits'!$B$4:$K$1001,2,0),"")</f>
        <v/>
      </c>
      <c r="G1243" s="212"/>
      <c r="H1243" s="30" t="str">
        <f>IFERROR(VLOOKUP(E1243,'Inventaire des produits'!$B$4:$K$1001,8,0),"")</f>
        <v/>
      </c>
      <c r="I1243" s="32" t="str">
        <f t="shared" si="36"/>
        <v/>
      </c>
      <c r="K1243" s="127" t="str">
        <f t="shared" si="35"/>
        <v/>
      </c>
    </row>
    <row r="1244" spans="2:11" x14ac:dyDescent="0.3">
      <c r="B1244" s="197"/>
      <c r="C1244" s="198"/>
      <c r="D1244" s="197"/>
      <c r="E1244" s="212"/>
      <c r="F1244" s="29" t="str">
        <f>IFERROR(VLOOKUP(E1244,'Inventaire des produits'!$B$4:$K$1001,2,0),"")</f>
        <v/>
      </c>
      <c r="G1244" s="212"/>
      <c r="H1244" s="30" t="str">
        <f>IFERROR(VLOOKUP(E1244,'Inventaire des produits'!$B$4:$K$1001,8,0),"")</f>
        <v/>
      </c>
      <c r="I1244" s="32" t="str">
        <f t="shared" si="36"/>
        <v/>
      </c>
      <c r="K1244" s="127" t="str">
        <f t="shared" si="35"/>
        <v/>
      </c>
    </row>
    <row r="1245" spans="2:11" x14ac:dyDescent="0.3">
      <c r="B1245" s="197"/>
      <c r="C1245" s="198"/>
      <c r="D1245" s="197"/>
      <c r="E1245" s="212"/>
      <c r="F1245" s="29" t="str">
        <f>IFERROR(VLOOKUP(E1245,'Inventaire des produits'!$B$4:$K$1001,2,0),"")</f>
        <v/>
      </c>
      <c r="G1245" s="212"/>
      <c r="H1245" s="30" t="str">
        <f>IFERROR(VLOOKUP(E1245,'Inventaire des produits'!$B$4:$K$1001,8,0),"")</f>
        <v/>
      </c>
      <c r="I1245" s="32" t="str">
        <f t="shared" si="36"/>
        <v/>
      </c>
      <c r="K1245" s="127" t="str">
        <f t="shared" si="35"/>
        <v/>
      </c>
    </row>
    <row r="1246" spans="2:11" x14ac:dyDescent="0.3">
      <c r="B1246" s="197"/>
      <c r="C1246" s="198"/>
      <c r="D1246" s="197"/>
      <c r="E1246" s="212"/>
      <c r="F1246" s="29" t="str">
        <f>IFERROR(VLOOKUP(E1246,'Inventaire des produits'!$B$4:$K$1001,2,0),"")</f>
        <v/>
      </c>
      <c r="G1246" s="212"/>
      <c r="H1246" s="30" t="str">
        <f>IFERROR(VLOOKUP(E1246,'Inventaire des produits'!$B$4:$K$1001,8,0),"")</f>
        <v/>
      </c>
      <c r="I1246" s="32" t="str">
        <f t="shared" si="36"/>
        <v/>
      </c>
      <c r="K1246" s="127" t="str">
        <f t="shared" si="35"/>
        <v/>
      </c>
    </row>
    <row r="1247" spans="2:11" x14ac:dyDescent="0.3">
      <c r="B1247" s="197"/>
      <c r="C1247" s="198"/>
      <c r="D1247" s="197"/>
      <c r="E1247" s="212"/>
      <c r="F1247" s="29" t="str">
        <f>IFERROR(VLOOKUP(E1247,'Inventaire des produits'!$B$4:$K$1001,2,0),"")</f>
        <v/>
      </c>
      <c r="G1247" s="212"/>
      <c r="H1247" s="30" t="str">
        <f>IFERROR(VLOOKUP(E1247,'Inventaire des produits'!$B$4:$K$1001,8,0),"")</f>
        <v/>
      </c>
      <c r="I1247" s="32" t="str">
        <f t="shared" si="36"/>
        <v/>
      </c>
      <c r="K1247" s="127" t="str">
        <f t="shared" si="35"/>
        <v/>
      </c>
    </row>
    <row r="1248" spans="2:11" x14ac:dyDescent="0.3">
      <c r="B1248" s="197"/>
      <c r="C1248" s="198"/>
      <c r="D1248" s="197"/>
      <c r="E1248" s="212"/>
      <c r="F1248" s="29" t="str">
        <f>IFERROR(VLOOKUP(E1248,'Inventaire des produits'!$B$4:$K$1001,2,0),"")</f>
        <v/>
      </c>
      <c r="G1248" s="212"/>
      <c r="H1248" s="30" t="str">
        <f>IFERROR(VLOOKUP(E1248,'Inventaire des produits'!$B$4:$K$1001,8,0),"")</f>
        <v/>
      </c>
      <c r="I1248" s="32" t="str">
        <f t="shared" si="36"/>
        <v/>
      </c>
      <c r="K1248" s="127" t="str">
        <f t="shared" si="35"/>
        <v/>
      </c>
    </row>
    <row r="1249" spans="2:11" x14ac:dyDescent="0.3">
      <c r="B1249" s="197"/>
      <c r="C1249" s="198"/>
      <c r="D1249" s="197"/>
      <c r="E1249" s="212"/>
      <c r="F1249" s="29" t="str">
        <f>IFERROR(VLOOKUP(E1249,'Inventaire des produits'!$B$4:$K$1001,2,0),"")</f>
        <v/>
      </c>
      <c r="G1249" s="212"/>
      <c r="H1249" s="30" t="str">
        <f>IFERROR(VLOOKUP(E1249,'Inventaire des produits'!$B$4:$K$1001,8,0),"")</f>
        <v/>
      </c>
      <c r="I1249" s="32" t="str">
        <f t="shared" si="36"/>
        <v/>
      </c>
      <c r="K1249" s="127" t="str">
        <f t="shared" si="35"/>
        <v/>
      </c>
    </row>
    <row r="1250" spans="2:11" x14ac:dyDescent="0.3">
      <c r="B1250" s="197"/>
      <c r="C1250" s="198"/>
      <c r="D1250" s="197"/>
      <c r="E1250" s="212"/>
      <c r="F1250" s="29" t="str">
        <f>IFERROR(VLOOKUP(E1250,'Inventaire des produits'!$B$4:$K$1001,2,0),"")</f>
        <v/>
      </c>
      <c r="G1250" s="212"/>
      <c r="H1250" s="30" t="str">
        <f>IFERROR(VLOOKUP(E1250,'Inventaire des produits'!$B$4:$K$1001,8,0),"")</f>
        <v/>
      </c>
      <c r="I1250" s="32" t="str">
        <f t="shared" si="36"/>
        <v/>
      </c>
      <c r="K1250" s="127" t="str">
        <f t="shared" si="35"/>
        <v/>
      </c>
    </row>
    <row r="1251" spans="2:11" x14ac:dyDescent="0.3">
      <c r="B1251" s="197"/>
      <c r="C1251" s="198"/>
      <c r="D1251" s="197"/>
      <c r="E1251" s="212"/>
      <c r="F1251" s="29" t="str">
        <f>IFERROR(VLOOKUP(E1251,'Inventaire des produits'!$B$4:$K$1001,2,0),"")</f>
        <v/>
      </c>
      <c r="G1251" s="212"/>
      <c r="H1251" s="30" t="str">
        <f>IFERROR(VLOOKUP(E1251,'Inventaire des produits'!$B$4:$K$1001,8,0),"")</f>
        <v/>
      </c>
      <c r="I1251" s="32" t="str">
        <f t="shared" si="36"/>
        <v/>
      </c>
      <c r="K1251" s="127" t="str">
        <f t="shared" si="35"/>
        <v/>
      </c>
    </row>
    <row r="1252" spans="2:11" x14ac:dyDescent="0.3">
      <c r="B1252" s="197"/>
      <c r="C1252" s="198"/>
      <c r="D1252" s="197"/>
      <c r="E1252" s="212"/>
      <c r="F1252" s="29" t="str">
        <f>IFERROR(VLOOKUP(E1252,'Inventaire des produits'!$B$4:$K$1001,2,0),"")</f>
        <v/>
      </c>
      <c r="G1252" s="212"/>
      <c r="H1252" s="30" t="str">
        <f>IFERROR(VLOOKUP(E1252,'Inventaire des produits'!$B$4:$K$1001,8,0),"")</f>
        <v/>
      </c>
      <c r="I1252" s="32" t="str">
        <f t="shared" si="36"/>
        <v/>
      </c>
      <c r="K1252" s="127" t="str">
        <f t="shared" si="35"/>
        <v/>
      </c>
    </row>
    <row r="1253" spans="2:11" x14ac:dyDescent="0.3">
      <c r="B1253" s="197"/>
      <c r="C1253" s="198"/>
      <c r="D1253" s="197"/>
      <c r="E1253" s="212"/>
      <c r="F1253" s="29" t="str">
        <f>IFERROR(VLOOKUP(E1253,'Inventaire des produits'!$B$4:$K$1001,2,0),"")</f>
        <v/>
      </c>
      <c r="G1253" s="212"/>
      <c r="H1253" s="30" t="str">
        <f>IFERROR(VLOOKUP(E1253,'Inventaire des produits'!$B$4:$K$1001,8,0),"")</f>
        <v/>
      </c>
      <c r="I1253" s="32" t="str">
        <f t="shared" si="36"/>
        <v/>
      </c>
      <c r="K1253" s="127" t="str">
        <f t="shared" si="35"/>
        <v/>
      </c>
    </row>
    <row r="1254" spans="2:11" x14ac:dyDescent="0.3">
      <c r="B1254" s="197"/>
      <c r="C1254" s="198"/>
      <c r="D1254" s="197"/>
      <c r="E1254" s="212"/>
      <c r="F1254" s="29" t="str">
        <f>IFERROR(VLOOKUP(E1254,'Inventaire des produits'!$B$4:$K$1001,2,0),"")</f>
        <v/>
      </c>
      <c r="G1254" s="212"/>
      <c r="H1254" s="30" t="str">
        <f>IFERROR(VLOOKUP(E1254,'Inventaire des produits'!$B$4:$K$1001,8,0),"")</f>
        <v/>
      </c>
      <c r="I1254" s="32" t="str">
        <f t="shared" si="36"/>
        <v/>
      </c>
      <c r="K1254" s="127" t="str">
        <f t="shared" si="35"/>
        <v/>
      </c>
    </row>
    <row r="1255" spans="2:11" x14ac:dyDescent="0.3">
      <c r="B1255" s="197"/>
      <c r="C1255" s="198"/>
      <c r="D1255" s="197"/>
      <c r="E1255" s="212"/>
      <c r="F1255" s="29" t="str">
        <f>IFERROR(VLOOKUP(E1255,'Inventaire des produits'!$B$4:$K$1001,2,0),"")</f>
        <v/>
      </c>
      <c r="G1255" s="212"/>
      <c r="H1255" s="30" t="str">
        <f>IFERROR(VLOOKUP(E1255,'Inventaire des produits'!$B$4:$K$1001,8,0),"")</f>
        <v/>
      </c>
      <c r="I1255" s="32" t="str">
        <f t="shared" si="36"/>
        <v/>
      </c>
      <c r="K1255" s="127" t="str">
        <f t="shared" si="35"/>
        <v/>
      </c>
    </row>
    <row r="1256" spans="2:11" x14ac:dyDescent="0.3">
      <c r="B1256" s="197"/>
      <c r="C1256" s="198"/>
      <c r="D1256" s="197"/>
      <c r="E1256" s="212"/>
      <c r="F1256" s="29" t="str">
        <f>IFERROR(VLOOKUP(E1256,'Inventaire des produits'!$B$4:$K$1001,2,0),"")</f>
        <v/>
      </c>
      <c r="G1256" s="212"/>
      <c r="H1256" s="30" t="str">
        <f>IFERROR(VLOOKUP(E1256,'Inventaire des produits'!$B$4:$K$1001,8,0),"")</f>
        <v/>
      </c>
      <c r="I1256" s="32" t="str">
        <f t="shared" si="36"/>
        <v/>
      </c>
      <c r="K1256" s="127" t="str">
        <f t="shared" si="35"/>
        <v/>
      </c>
    </row>
    <row r="1257" spans="2:11" x14ac:dyDescent="0.3">
      <c r="B1257" s="197"/>
      <c r="C1257" s="198"/>
      <c r="D1257" s="197"/>
      <c r="E1257" s="212"/>
      <c r="F1257" s="29" t="str">
        <f>IFERROR(VLOOKUP(E1257,'Inventaire des produits'!$B$4:$K$1001,2,0),"")</f>
        <v/>
      </c>
      <c r="G1257" s="212"/>
      <c r="H1257" s="30" t="str">
        <f>IFERROR(VLOOKUP(E1257,'Inventaire des produits'!$B$4:$K$1001,8,0),"")</f>
        <v/>
      </c>
      <c r="I1257" s="32" t="str">
        <f t="shared" si="36"/>
        <v/>
      </c>
      <c r="K1257" s="127" t="str">
        <f t="shared" si="35"/>
        <v/>
      </c>
    </row>
    <row r="1258" spans="2:11" x14ac:dyDescent="0.3">
      <c r="B1258" s="197"/>
      <c r="C1258" s="198"/>
      <c r="D1258" s="197"/>
      <c r="E1258" s="212"/>
      <c r="F1258" s="29" t="str">
        <f>IFERROR(VLOOKUP(E1258,'Inventaire des produits'!$B$4:$K$1001,2,0),"")</f>
        <v/>
      </c>
      <c r="G1258" s="212"/>
      <c r="H1258" s="30" t="str">
        <f>IFERROR(VLOOKUP(E1258,'Inventaire des produits'!$B$4:$K$1001,8,0),"")</f>
        <v/>
      </c>
      <c r="I1258" s="32" t="str">
        <f t="shared" si="36"/>
        <v/>
      </c>
      <c r="K1258" s="127" t="str">
        <f t="shared" si="35"/>
        <v/>
      </c>
    </row>
    <row r="1259" spans="2:11" x14ac:dyDescent="0.3">
      <c r="B1259" s="197"/>
      <c r="C1259" s="198"/>
      <c r="D1259" s="197"/>
      <c r="E1259" s="212"/>
      <c r="F1259" s="29" t="str">
        <f>IFERROR(VLOOKUP(E1259,'Inventaire des produits'!$B$4:$K$1001,2,0),"")</f>
        <v/>
      </c>
      <c r="G1259" s="212"/>
      <c r="H1259" s="30" t="str">
        <f>IFERROR(VLOOKUP(E1259,'Inventaire des produits'!$B$4:$K$1001,8,0),"")</f>
        <v/>
      </c>
      <c r="I1259" s="32" t="str">
        <f t="shared" si="36"/>
        <v/>
      </c>
      <c r="K1259" s="127" t="str">
        <f t="shared" si="35"/>
        <v/>
      </c>
    </row>
    <row r="1260" spans="2:11" x14ac:dyDescent="0.3">
      <c r="B1260" s="197"/>
      <c r="C1260" s="198"/>
      <c r="D1260" s="197"/>
      <c r="E1260" s="212"/>
      <c r="F1260" s="29" t="str">
        <f>IFERROR(VLOOKUP(E1260,'Inventaire des produits'!$B$4:$K$1001,2,0),"")</f>
        <v/>
      </c>
      <c r="G1260" s="212"/>
      <c r="H1260" s="30" t="str">
        <f>IFERROR(VLOOKUP(E1260,'Inventaire des produits'!$B$4:$K$1001,8,0),"")</f>
        <v/>
      </c>
      <c r="I1260" s="32" t="str">
        <f t="shared" si="36"/>
        <v/>
      </c>
      <c r="K1260" s="127" t="str">
        <f t="shared" si="35"/>
        <v/>
      </c>
    </row>
    <row r="1261" spans="2:11" x14ac:dyDescent="0.3">
      <c r="B1261" s="197"/>
      <c r="C1261" s="198"/>
      <c r="D1261" s="197"/>
      <c r="E1261" s="212"/>
      <c r="F1261" s="29" t="str">
        <f>IFERROR(VLOOKUP(E1261,'Inventaire des produits'!$B$4:$K$1001,2,0),"")</f>
        <v/>
      </c>
      <c r="G1261" s="212"/>
      <c r="H1261" s="30" t="str">
        <f>IFERROR(VLOOKUP(E1261,'Inventaire des produits'!$B$4:$K$1001,8,0),"")</f>
        <v/>
      </c>
      <c r="I1261" s="32" t="str">
        <f t="shared" si="36"/>
        <v/>
      </c>
      <c r="K1261" s="127" t="str">
        <f t="shared" si="35"/>
        <v/>
      </c>
    </row>
    <row r="1262" spans="2:11" x14ac:dyDescent="0.3">
      <c r="B1262" s="197"/>
      <c r="C1262" s="198"/>
      <c r="D1262" s="197"/>
      <c r="E1262" s="212"/>
      <c r="F1262" s="29" t="str">
        <f>IFERROR(VLOOKUP(E1262,'Inventaire des produits'!$B$4:$K$1001,2,0),"")</f>
        <v/>
      </c>
      <c r="G1262" s="212"/>
      <c r="H1262" s="30" t="str">
        <f>IFERROR(VLOOKUP(E1262,'Inventaire des produits'!$B$4:$K$1001,8,0),"")</f>
        <v/>
      </c>
      <c r="I1262" s="32" t="str">
        <f t="shared" si="36"/>
        <v/>
      </c>
      <c r="K1262" s="127" t="str">
        <f t="shared" si="35"/>
        <v/>
      </c>
    </row>
    <row r="1263" spans="2:11" x14ac:dyDescent="0.3">
      <c r="B1263" s="197"/>
      <c r="C1263" s="198"/>
      <c r="D1263" s="197"/>
      <c r="E1263" s="212"/>
      <c r="F1263" s="29" t="str">
        <f>IFERROR(VLOOKUP(E1263,'Inventaire des produits'!$B$4:$K$1001,2,0),"")</f>
        <v/>
      </c>
      <c r="G1263" s="212"/>
      <c r="H1263" s="30" t="str">
        <f>IFERROR(VLOOKUP(E1263,'Inventaire des produits'!$B$4:$K$1001,8,0),"")</f>
        <v/>
      </c>
      <c r="I1263" s="32" t="str">
        <f t="shared" si="36"/>
        <v/>
      </c>
      <c r="K1263" s="127" t="str">
        <f t="shared" si="35"/>
        <v/>
      </c>
    </row>
    <row r="1264" spans="2:11" x14ac:dyDescent="0.3">
      <c r="B1264" s="197"/>
      <c r="C1264" s="198"/>
      <c r="D1264" s="197"/>
      <c r="E1264" s="212"/>
      <c r="F1264" s="29" t="str">
        <f>IFERROR(VLOOKUP(E1264,'Inventaire des produits'!$B$4:$K$1001,2,0),"")</f>
        <v/>
      </c>
      <c r="G1264" s="212"/>
      <c r="H1264" s="30" t="str">
        <f>IFERROR(VLOOKUP(E1264,'Inventaire des produits'!$B$4:$K$1001,8,0),"")</f>
        <v/>
      </c>
      <c r="I1264" s="32" t="str">
        <f t="shared" si="36"/>
        <v/>
      </c>
      <c r="K1264" s="127" t="str">
        <f t="shared" si="35"/>
        <v/>
      </c>
    </row>
    <row r="1265" spans="2:11" x14ac:dyDescent="0.3">
      <c r="B1265" s="197"/>
      <c r="C1265" s="198"/>
      <c r="D1265" s="197"/>
      <c r="E1265" s="212"/>
      <c r="F1265" s="29" t="str">
        <f>IFERROR(VLOOKUP(E1265,'Inventaire des produits'!$B$4:$K$1001,2,0),"")</f>
        <v/>
      </c>
      <c r="G1265" s="212"/>
      <c r="H1265" s="30" t="str">
        <f>IFERROR(VLOOKUP(E1265,'Inventaire des produits'!$B$4:$K$1001,8,0),"")</f>
        <v/>
      </c>
      <c r="I1265" s="32" t="str">
        <f t="shared" si="36"/>
        <v/>
      </c>
      <c r="K1265" s="127" t="str">
        <f t="shared" si="35"/>
        <v/>
      </c>
    </row>
    <row r="1266" spans="2:11" x14ac:dyDescent="0.3">
      <c r="B1266" s="197"/>
      <c r="C1266" s="198"/>
      <c r="D1266" s="197"/>
      <c r="E1266" s="212"/>
      <c r="F1266" s="29" t="str">
        <f>IFERROR(VLOOKUP(E1266,'Inventaire des produits'!$B$4:$K$1001,2,0),"")</f>
        <v/>
      </c>
      <c r="G1266" s="212"/>
      <c r="H1266" s="30" t="str">
        <f>IFERROR(VLOOKUP(E1266,'Inventaire des produits'!$B$4:$K$1001,8,0),"")</f>
        <v/>
      </c>
      <c r="I1266" s="32" t="str">
        <f t="shared" si="36"/>
        <v/>
      </c>
      <c r="K1266" s="127" t="str">
        <f t="shared" si="35"/>
        <v/>
      </c>
    </row>
    <row r="1267" spans="2:11" x14ac:dyDescent="0.3">
      <c r="B1267" s="197"/>
      <c r="C1267" s="198"/>
      <c r="D1267" s="197"/>
      <c r="E1267" s="212"/>
      <c r="F1267" s="29" t="str">
        <f>IFERROR(VLOOKUP(E1267,'Inventaire des produits'!$B$4:$K$1001,2,0),"")</f>
        <v/>
      </c>
      <c r="G1267" s="212"/>
      <c r="H1267" s="30" t="str">
        <f>IFERROR(VLOOKUP(E1267,'Inventaire des produits'!$B$4:$K$1001,8,0),"")</f>
        <v/>
      </c>
      <c r="I1267" s="32" t="str">
        <f t="shared" si="36"/>
        <v/>
      </c>
      <c r="K1267" s="127" t="str">
        <f t="shared" si="35"/>
        <v/>
      </c>
    </row>
    <row r="1268" spans="2:11" x14ac:dyDescent="0.3">
      <c r="B1268" s="197"/>
      <c r="C1268" s="198"/>
      <c r="D1268" s="197"/>
      <c r="E1268" s="212"/>
      <c r="F1268" s="29" t="str">
        <f>IFERROR(VLOOKUP(E1268,'Inventaire des produits'!$B$4:$K$1001,2,0),"")</f>
        <v/>
      </c>
      <c r="G1268" s="212"/>
      <c r="H1268" s="30" t="str">
        <f>IFERROR(VLOOKUP(E1268,'Inventaire des produits'!$B$4:$K$1001,8,0),"")</f>
        <v/>
      </c>
      <c r="I1268" s="32" t="str">
        <f t="shared" si="36"/>
        <v/>
      </c>
      <c r="K1268" s="127" t="str">
        <f t="shared" si="35"/>
        <v/>
      </c>
    </row>
    <row r="1269" spans="2:11" x14ac:dyDescent="0.3">
      <c r="B1269" s="197"/>
      <c r="C1269" s="198"/>
      <c r="D1269" s="197"/>
      <c r="E1269" s="212"/>
      <c r="F1269" s="29" t="str">
        <f>IFERROR(VLOOKUP(E1269,'Inventaire des produits'!$B$4:$K$1001,2,0),"")</f>
        <v/>
      </c>
      <c r="G1269" s="212"/>
      <c r="H1269" s="30" t="str">
        <f>IFERROR(VLOOKUP(E1269,'Inventaire des produits'!$B$4:$K$1001,8,0),"")</f>
        <v/>
      </c>
      <c r="I1269" s="32" t="str">
        <f t="shared" si="36"/>
        <v/>
      </c>
      <c r="K1269" s="127" t="str">
        <f t="shared" si="35"/>
        <v/>
      </c>
    </row>
    <row r="1270" spans="2:11" x14ac:dyDescent="0.3">
      <c r="B1270" s="197"/>
      <c r="C1270" s="198"/>
      <c r="D1270" s="197"/>
      <c r="E1270" s="212"/>
      <c r="F1270" s="29" t="str">
        <f>IFERROR(VLOOKUP(E1270,'Inventaire des produits'!$B$4:$K$1001,2,0),"")</f>
        <v/>
      </c>
      <c r="G1270" s="212"/>
      <c r="H1270" s="30" t="str">
        <f>IFERROR(VLOOKUP(E1270,'Inventaire des produits'!$B$4:$K$1001,8,0),"")</f>
        <v/>
      </c>
      <c r="I1270" s="32" t="str">
        <f t="shared" si="36"/>
        <v/>
      </c>
      <c r="K1270" s="127" t="str">
        <f t="shared" si="35"/>
        <v/>
      </c>
    </row>
    <row r="1271" spans="2:11" x14ac:dyDescent="0.3">
      <c r="B1271" s="197"/>
      <c r="C1271" s="198"/>
      <c r="D1271" s="197"/>
      <c r="E1271" s="212"/>
      <c r="F1271" s="29" t="str">
        <f>IFERROR(VLOOKUP(E1271,'Inventaire des produits'!$B$4:$K$1001,2,0),"")</f>
        <v/>
      </c>
      <c r="G1271" s="212"/>
      <c r="H1271" s="30" t="str">
        <f>IFERROR(VLOOKUP(E1271,'Inventaire des produits'!$B$4:$K$1001,8,0),"")</f>
        <v/>
      </c>
      <c r="I1271" s="32" t="str">
        <f t="shared" si="36"/>
        <v/>
      </c>
      <c r="K1271" s="127" t="str">
        <f t="shared" si="35"/>
        <v/>
      </c>
    </row>
    <row r="1272" spans="2:11" x14ac:dyDescent="0.3">
      <c r="B1272" s="197"/>
      <c r="C1272" s="198"/>
      <c r="D1272" s="197"/>
      <c r="E1272" s="212"/>
      <c r="F1272" s="29" t="str">
        <f>IFERROR(VLOOKUP(E1272,'Inventaire des produits'!$B$4:$K$1001,2,0),"")</f>
        <v/>
      </c>
      <c r="G1272" s="212"/>
      <c r="H1272" s="30" t="str">
        <f>IFERROR(VLOOKUP(E1272,'Inventaire des produits'!$B$4:$K$1001,8,0),"")</f>
        <v/>
      </c>
      <c r="I1272" s="32" t="str">
        <f t="shared" si="36"/>
        <v/>
      </c>
      <c r="K1272" s="127" t="str">
        <f t="shared" si="35"/>
        <v/>
      </c>
    </row>
    <row r="1273" spans="2:11" x14ac:dyDescent="0.3">
      <c r="B1273" s="197"/>
      <c r="C1273" s="198"/>
      <c r="D1273" s="197"/>
      <c r="E1273" s="212"/>
      <c r="F1273" s="29" t="str">
        <f>IFERROR(VLOOKUP(E1273,'Inventaire des produits'!$B$4:$K$1001,2,0),"")</f>
        <v/>
      </c>
      <c r="G1273" s="212"/>
      <c r="H1273" s="30" t="str">
        <f>IFERROR(VLOOKUP(E1273,'Inventaire des produits'!$B$4:$K$1001,8,0),"")</f>
        <v/>
      </c>
      <c r="I1273" s="32" t="str">
        <f t="shared" si="36"/>
        <v/>
      </c>
      <c r="K1273" s="127" t="str">
        <f t="shared" si="35"/>
        <v/>
      </c>
    </row>
    <row r="1274" spans="2:11" x14ac:dyDescent="0.3">
      <c r="B1274" s="197"/>
      <c r="C1274" s="198"/>
      <c r="D1274" s="197"/>
      <c r="E1274" s="212"/>
      <c r="F1274" s="29" t="str">
        <f>IFERROR(VLOOKUP(E1274,'Inventaire des produits'!$B$4:$K$1001,2,0),"")</f>
        <v/>
      </c>
      <c r="G1274" s="212"/>
      <c r="H1274" s="30" t="str">
        <f>IFERROR(VLOOKUP(E1274,'Inventaire des produits'!$B$4:$K$1001,8,0),"")</f>
        <v/>
      </c>
      <c r="I1274" s="32" t="str">
        <f t="shared" si="36"/>
        <v/>
      </c>
      <c r="K1274" s="127" t="str">
        <f t="shared" si="35"/>
        <v/>
      </c>
    </row>
    <row r="1275" spans="2:11" x14ac:dyDescent="0.3">
      <c r="B1275" s="197"/>
      <c r="C1275" s="198"/>
      <c r="D1275" s="197"/>
      <c r="E1275" s="212"/>
      <c r="F1275" s="29" t="str">
        <f>IFERROR(VLOOKUP(E1275,'Inventaire des produits'!$B$4:$K$1001,2,0),"")</f>
        <v/>
      </c>
      <c r="G1275" s="212"/>
      <c r="H1275" s="30" t="str">
        <f>IFERROR(VLOOKUP(E1275,'Inventaire des produits'!$B$4:$K$1001,8,0),"")</f>
        <v/>
      </c>
      <c r="I1275" s="32" t="str">
        <f t="shared" si="36"/>
        <v/>
      </c>
      <c r="K1275" s="127" t="str">
        <f t="shared" si="35"/>
        <v/>
      </c>
    </row>
    <row r="1276" spans="2:11" x14ac:dyDescent="0.3">
      <c r="B1276" s="197"/>
      <c r="C1276" s="198"/>
      <c r="D1276" s="197"/>
      <c r="E1276" s="212"/>
      <c r="F1276" s="29" t="str">
        <f>IFERROR(VLOOKUP(E1276,'Inventaire des produits'!$B$4:$K$1001,2,0),"")</f>
        <v/>
      </c>
      <c r="G1276" s="212"/>
      <c r="H1276" s="30" t="str">
        <f>IFERROR(VLOOKUP(E1276,'Inventaire des produits'!$B$4:$K$1001,8,0),"")</f>
        <v/>
      </c>
      <c r="I1276" s="32" t="str">
        <f t="shared" si="36"/>
        <v/>
      </c>
      <c r="K1276" s="127" t="str">
        <f t="shared" ref="K1276:K1339" si="37">IF(J1276="","",J1276*1.2)</f>
        <v/>
      </c>
    </row>
    <row r="1277" spans="2:11" x14ac:dyDescent="0.3">
      <c r="B1277" s="197"/>
      <c r="C1277" s="198"/>
      <c r="D1277" s="197"/>
      <c r="E1277" s="212"/>
      <c r="F1277" s="29" t="str">
        <f>IFERROR(VLOOKUP(E1277,'Inventaire des produits'!$B$4:$K$1001,2,0),"")</f>
        <v/>
      </c>
      <c r="G1277" s="212"/>
      <c r="H1277" s="30" t="str">
        <f>IFERROR(VLOOKUP(E1277,'Inventaire des produits'!$B$4:$K$1001,8,0),"")</f>
        <v/>
      </c>
      <c r="I1277" s="32" t="str">
        <f t="shared" si="36"/>
        <v/>
      </c>
      <c r="K1277" s="127" t="str">
        <f t="shared" si="37"/>
        <v/>
      </c>
    </row>
    <row r="1278" spans="2:11" x14ac:dyDescent="0.3">
      <c r="B1278" s="197"/>
      <c r="C1278" s="198"/>
      <c r="D1278" s="197"/>
      <c r="E1278" s="212"/>
      <c r="F1278" s="29" t="str">
        <f>IFERROR(VLOOKUP(E1278,'Inventaire des produits'!$B$4:$K$1001,2,0),"")</f>
        <v/>
      </c>
      <c r="G1278" s="212"/>
      <c r="H1278" s="30" t="str">
        <f>IFERROR(VLOOKUP(E1278,'Inventaire des produits'!$B$4:$K$1001,8,0),"")</f>
        <v/>
      </c>
      <c r="I1278" s="32" t="str">
        <f t="shared" si="36"/>
        <v/>
      </c>
      <c r="K1278" s="127" t="str">
        <f t="shared" si="37"/>
        <v/>
      </c>
    </row>
    <row r="1279" spans="2:11" x14ac:dyDescent="0.3">
      <c r="B1279" s="197"/>
      <c r="C1279" s="198"/>
      <c r="D1279" s="197"/>
      <c r="E1279" s="212"/>
      <c r="F1279" s="29" t="str">
        <f>IFERROR(VLOOKUP(E1279,'Inventaire des produits'!$B$4:$K$1001,2,0),"")</f>
        <v/>
      </c>
      <c r="G1279" s="212"/>
      <c r="H1279" s="30" t="str">
        <f>IFERROR(VLOOKUP(E1279,'Inventaire des produits'!$B$4:$K$1001,8,0),"")</f>
        <v/>
      </c>
      <c r="I1279" s="32" t="str">
        <f t="shared" si="36"/>
        <v/>
      </c>
      <c r="K1279" s="127" t="str">
        <f t="shared" si="37"/>
        <v/>
      </c>
    </row>
    <row r="1280" spans="2:11" x14ac:dyDescent="0.3">
      <c r="B1280" s="197"/>
      <c r="C1280" s="198"/>
      <c r="D1280" s="197"/>
      <c r="E1280" s="212"/>
      <c r="F1280" s="29" t="str">
        <f>IFERROR(VLOOKUP(E1280,'Inventaire des produits'!$B$4:$K$1001,2,0),"")</f>
        <v/>
      </c>
      <c r="G1280" s="212"/>
      <c r="H1280" s="30" t="str">
        <f>IFERROR(VLOOKUP(E1280,'Inventaire des produits'!$B$4:$K$1001,8,0),"")</f>
        <v/>
      </c>
      <c r="I1280" s="32" t="str">
        <f t="shared" si="36"/>
        <v/>
      </c>
      <c r="K1280" s="127" t="str">
        <f t="shared" si="37"/>
        <v/>
      </c>
    </row>
    <row r="1281" spans="2:11" x14ac:dyDescent="0.3">
      <c r="B1281" s="197"/>
      <c r="C1281" s="198"/>
      <c r="D1281" s="197"/>
      <c r="E1281" s="212"/>
      <c r="F1281" s="29" t="str">
        <f>IFERROR(VLOOKUP(E1281,'Inventaire des produits'!$B$4:$K$1001,2,0),"")</f>
        <v/>
      </c>
      <c r="G1281" s="212"/>
      <c r="H1281" s="30" t="str">
        <f>IFERROR(VLOOKUP(E1281,'Inventaire des produits'!$B$4:$K$1001,8,0),"")</f>
        <v/>
      </c>
      <c r="I1281" s="32" t="str">
        <f t="shared" si="36"/>
        <v/>
      </c>
      <c r="K1281" s="127" t="str">
        <f t="shared" si="37"/>
        <v/>
      </c>
    </row>
    <row r="1282" spans="2:11" x14ac:dyDescent="0.3">
      <c r="B1282" s="197"/>
      <c r="C1282" s="198"/>
      <c r="D1282" s="197"/>
      <c r="E1282" s="212"/>
      <c r="F1282" s="29" t="str">
        <f>IFERROR(VLOOKUP(E1282,'Inventaire des produits'!$B$4:$K$1001,2,0),"")</f>
        <v/>
      </c>
      <c r="G1282" s="212"/>
      <c r="H1282" s="30" t="str">
        <f>IFERROR(VLOOKUP(E1282,'Inventaire des produits'!$B$4:$K$1001,8,0),"")</f>
        <v/>
      </c>
      <c r="I1282" s="32" t="str">
        <f t="shared" ref="I1282:I1345" si="38">IF(OR(G1282="",H1282=""),"",G1282*H1282)</f>
        <v/>
      </c>
      <c r="K1282" s="127" t="str">
        <f t="shared" si="37"/>
        <v/>
      </c>
    </row>
    <row r="1283" spans="2:11" x14ac:dyDescent="0.3">
      <c r="B1283" s="197"/>
      <c r="C1283" s="198"/>
      <c r="D1283" s="197"/>
      <c r="E1283" s="212"/>
      <c r="F1283" s="29" t="str">
        <f>IFERROR(VLOOKUP(E1283,'Inventaire des produits'!$B$4:$K$1001,2,0),"")</f>
        <v/>
      </c>
      <c r="G1283" s="212"/>
      <c r="H1283" s="30" t="str">
        <f>IFERROR(VLOOKUP(E1283,'Inventaire des produits'!$B$4:$K$1001,8,0),"")</f>
        <v/>
      </c>
      <c r="I1283" s="32" t="str">
        <f t="shared" si="38"/>
        <v/>
      </c>
      <c r="K1283" s="127" t="str">
        <f t="shared" si="37"/>
        <v/>
      </c>
    </row>
    <row r="1284" spans="2:11" x14ac:dyDescent="0.3">
      <c r="B1284" s="197"/>
      <c r="C1284" s="198"/>
      <c r="D1284" s="197"/>
      <c r="E1284" s="212"/>
      <c r="F1284" s="29" t="str">
        <f>IFERROR(VLOOKUP(E1284,'Inventaire des produits'!$B$4:$K$1001,2,0),"")</f>
        <v/>
      </c>
      <c r="G1284" s="212"/>
      <c r="H1284" s="30" t="str">
        <f>IFERROR(VLOOKUP(E1284,'Inventaire des produits'!$B$4:$K$1001,8,0),"")</f>
        <v/>
      </c>
      <c r="I1284" s="32" t="str">
        <f t="shared" si="38"/>
        <v/>
      </c>
      <c r="K1284" s="127" t="str">
        <f t="shared" si="37"/>
        <v/>
      </c>
    </row>
    <row r="1285" spans="2:11" x14ac:dyDescent="0.3">
      <c r="B1285" s="197"/>
      <c r="C1285" s="198"/>
      <c r="D1285" s="197"/>
      <c r="E1285" s="212"/>
      <c r="F1285" s="29" t="str">
        <f>IFERROR(VLOOKUP(E1285,'Inventaire des produits'!$B$4:$K$1001,2,0),"")</f>
        <v/>
      </c>
      <c r="G1285" s="212"/>
      <c r="H1285" s="30" t="str">
        <f>IFERROR(VLOOKUP(E1285,'Inventaire des produits'!$B$4:$K$1001,8,0),"")</f>
        <v/>
      </c>
      <c r="I1285" s="32" t="str">
        <f t="shared" si="38"/>
        <v/>
      </c>
      <c r="K1285" s="127" t="str">
        <f t="shared" si="37"/>
        <v/>
      </c>
    </row>
    <row r="1286" spans="2:11" x14ac:dyDescent="0.3">
      <c r="B1286" s="197"/>
      <c r="C1286" s="198"/>
      <c r="D1286" s="197"/>
      <c r="E1286" s="212"/>
      <c r="F1286" s="29" t="str">
        <f>IFERROR(VLOOKUP(E1286,'Inventaire des produits'!$B$4:$K$1001,2,0),"")</f>
        <v/>
      </c>
      <c r="G1286" s="212"/>
      <c r="H1286" s="30" t="str">
        <f>IFERROR(VLOOKUP(E1286,'Inventaire des produits'!$B$4:$K$1001,8,0),"")</f>
        <v/>
      </c>
      <c r="I1286" s="32" t="str">
        <f t="shared" si="38"/>
        <v/>
      </c>
      <c r="K1286" s="127" t="str">
        <f t="shared" si="37"/>
        <v/>
      </c>
    </row>
    <row r="1287" spans="2:11" x14ac:dyDescent="0.3">
      <c r="B1287" s="197"/>
      <c r="C1287" s="198"/>
      <c r="D1287" s="197"/>
      <c r="E1287" s="212"/>
      <c r="F1287" s="29" t="str">
        <f>IFERROR(VLOOKUP(E1287,'Inventaire des produits'!$B$4:$K$1001,2,0),"")</f>
        <v/>
      </c>
      <c r="G1287" s="212"/>
      <c r="H1287" s="30" t="str">
        <f>IFERROR(VLOOKUP(E1287,'Inventaire des produits'!$B$4:$K$1001,8,0),"")</f>
        <v/>
      </c>
      <c r="I1287" s="32" t="str">
        <f t="shared" si="38"/>
        <v/>
      </c>
      <c r="K1287" s="127" t="str">
        <f t="shared" si="37"/>
        <v/>
      </c>
    </row>
    <row r="1288" spans="2:11" x14ac:dyDescent="0.3">
      <c r="B1288" s="197"/>
      <c r="C1288" s="198"/>
      <c r="D1288" s="197"/>
      <c r="E1288" s="212"/>
      <c r="F1288" s="29" t="str">
        <f>IFERROR(VLOOKUP(E1288,'Inventaire des produits'!$B$4:$K$1001,2,0),"")</f>
        <v/>
      </c>
      <c r="G1288" s="212"/>
      <c r="H1288" s="30" t="str">
        <f>IFERROR(VLOOKUP(E1288,'Inventaire des produits'!$B$4:$K$1001,8,0),"")</f>
        <v/>
      </c>
      <c r="I1288" s="32" t="str">
        <f t="shared" si="38"/>
        <v/>
      </c>
      <c r="K1288" s="127" t="str">
        <f t="shared" si="37"/>
        <v/>
      </c>
    </row>
    <row r="1289" spans="2:11" x14ac:dyDescent="0.3">
      <c r="B1289" s="197"/>
      <c r="C1289" s="198"/>
      <c r="D1289" s="197"/>
      <c r="E1289" s="212"/>
      <c r="F1289" s="29" t="str">
        <f>IFERROR(VLOOKUP(E1289,'Inventaire des produits'!$B$4:$K$1001,2,0),"")</f>
        <v/>
      </c>
      <c r="G1289" s="212"/>
      <c r="H1289" s="30" t="str">
        <f>IFERROR(VLOOKUP(E1289,'Inventaire des produits'!$B$4:$K$1001,8,0),"")</f>
        <v/>
      </c>
      <c r="I1289" s="32" t="str">
        <f t="shared" si="38"/>
        <v/>
      </c>
      <c r="K1289" s="127" t="str">
        <f t="shared" si="37"/>
        <v/>
      </c>
    </row>
    <row r="1290" spans="2:11" x14ac:dyDescent="0.3">
      <c r="B1290" s="197"/>
      <c r="C1290" s="198"/>
      <c r="D1290" s="197"/>
      <c r="E1290" s="212"/>
      <c r="F1290" s="29" t="str">
        <f>IFERROR(VLOOKUP(E1290,'Inventaire des produits'!$B$4:$K$1001,2,0),"")</f>
        <v/>
      </c>
      <c r="G1290" s="212"/>
      <c r="H1290" s="30" t="str">
        <f>IFERROR(VLOOKUP(E1290,'Inventaire des produits'!$B$4:$K$1001,8,0),"")</f>
        <v/>
      </c>
      <c r="I1290" s="32" t="str">
        <f t="shared" si="38"/>
        <v/>
      </c>
      <c r="K1290" s="127" t="str">
        <f t="shared" si="37"/>
        <v/>
      </c>
    </row>
    <row r="1291" spans="2:11" x14ac:dyDescent="0.3">
      <c r="B1291" s="197"/>
      <c r="C1291" s="198"/>
      <c r="D1291" s="197"/>
      <c r="E1291" s="212"/>
      <c r="F1291" s="29" t="str">
        <f>IFERROR(VLOOKUP(E1291,'Inventaire des produits'!$B$4:$K$1001,2,0),"")</f>
        <v/>
      </c>
      <c r="G1291" s="212"/>
      <c r="H1291" s="30" t="str">
        <f>IFERROR(VLOOKUP(E1291,'Inventaire des produits'!$B$4:$K$1001,8,0),"")</f>
        <v/>
      </c>
      <c r="I1291" s="32" t="str">
        <f t="shared" si="38"/>
        <v/>
      </c>
      <c r="K1291" s="127" t="str">
        <f t="shared" si="37"/>
        <v/>
      </c>
    </row>
    <row r="1292" spans="2:11" x14ac:dyDescent="0.3">
      <c r="B1292" s="197"/>
      <c r="C1292" s="198"/>
      <c r="D1292" s="197"/>
      <c r="E1292" s="212"/>
      <c r="F1292" s="29" t="str">
        <f>IFERROR(VLOOKUP(E1292,'Inventaire des produits'!$B$4:$K$1001,2,0),"")</f>
        <v/>
      </c>
      <c r="G1292" s="212"/>
      <c r="H1292" s="30" t="str">
        <f>IFERROR(VLOOKUP(E1292,'Inventaire des produits'!$B$4:$K$1001,8,0),"")</f>
        <v/>
      </c>
      <c r="I1292" s="32" t="str">
        <f t="shared" si="38"/>
        <v/>
      </c>
      <c r="K1292" s="127" t="str">
        <f t="shared" si="37"/>
        <v/>
      </c>
    </row>
    <row r="1293" spans="2:11" x14ac:dyDescent="0.3">
      <c r="B1293" s="197"/>
      <c r="C1293" s="198"/>
      <c r="D1293" s="197"/>
      <c r="E1293" s="212"/>
      <c r="F1293" s="29" t="str">
        <f>IFERROR(VLOOKUP(E1293,'Inventaire des produits'!$B$4:$K$1001,2,0),"")</f>
        <v/>
      </c>
      <c r="G1293" s="212"/>
      <c r="H1293" s="30" t="str">
        <f>IFERROR(VLOOKUP(E1293,'Inventaire des produits'!$B$4:$K$1001,8,0),"")</f>
        <v/>
      </c>
      <c r="I1293" s="32" t="str">
        <f t="shared" si="38"/>
        <v/>
      </c>
      <c r="K1293" s="127" t="str">
        <f t="shared" si="37"/>
        <v/>
      </c>
    </row>
    <row r="1294" spans="2:11" x14ac:dyDescent="0.3">
      <c r="B1294" s="197"/>
      <c r="C1294" s="198"/>
      <c r="D1294" s="197"/>
      <c r="E1294" s="212"/>
      <c r="F1294" s="29" t="str">
        <f>IFERROR(VLOOKUP(E1294,'Inventaire des produits'!$B$4:$K$1001,2,0),"")</f>
        <v/>
      </c>
      <c r="G1294" s="212"/>
      <c r="H1294" s="30" t="str">
        <f>IFERROR(VLOOKUP(E1294,'Inventaire des produits'!$B$4:$K$1001,8,0),"")</f>
        <v/>
      </c>
      <c r="I1294" s="32" t="str">
        <f t="shared" si="38"/>
        <v/>
      </c>
      <c r="K1294" s="127" t="str">
        <f t="shared" si="37"/>
        <v/>
      </c>
    </row>
    <row r="1295" spans="2:11" x14ac:dyDescent="0.3">
      <c r="B1295" s="197"/>
      <c r="C1295" s="198"/>
      <c r="D1295" s="197"/>
      <c r="E1295" s="212"/>
      <c r="F1295" s="29" t="str">
        <f>IFERROR(VLOOKUP(E1295,'Inventaire des produits'!$B$4:$K$1001,2,0),"")</f>
        <v/>
      </c>
      <c r="G1295" s="212"/>
      <c r="H1295" s="30" t="str">
        <f>IFERROR(VLOOKUP(E1295,'Inventaire des produits'!$B$4:$K$1001,8,0),"")</f>
        <v/>
      </c>
      <c r="I1295" s="32" t="str">
        <f t="shared" si="38"/>
        <v/>
      </c>
      <c r="K1295" s="127" t="str">
        <f t="shared" si="37"/>
        <v/>
      </c>
    </row>
    <row r="1296" spans="2:11" x14ac:dyDescent="0.3">
      <c r="B1296" s="197"/>
      <c r="C1296" s="198"/>
      <c r="D1296" s="197"/>
      <c r="E1296" s="212"/>
      <c r="F1296" s="29" t="str">
        <f>IFERROR(VLOOKUP(E1296,'Inventaire des produits'!$B$4:$K$1001,2,0),"")</f>
        <v/>
      </c>
      <c r="G1296" s="212"/>
      <c r="H1296" s="30" t="str">
        <f>IFERROR(VLOOKUP(E1296,'Inventaire des produits'!$B$4:$K$1001,8,0),"")</f>
        <v/>
      </c>
      <c r="I1296" s="32" t="str">
        <f t="shared" si="38"/>
        <v/>
      </c>
      <c r="K1296" s="127" t="str">
        <f t="shared" si="37"/>
        <v/>
      </c>
    </row>
    <row r="1297" spans="2:11" x14ac:dyDescent="0.3">
      <c r="B1297" s="197"/>
      <c r="C1297" s="198"/>
      <c r="D1297" s="197"/>
      <c r="E1297" s="212"/>
      <c r="F1297" s="29" t="str">
        <f>IFERROR(VLOOKUP(E1297,'Inventaire des produits'!$B$4:$K$1001,2,0),"")</f>
        <v/>
      </c>
      <c r="G1297" s="212"/>
      <c r="H1297" s="30" t="str">
        <f>IFERROR(VLOOKUP(E1297,'Inventaire des produits'!$B$4:$K$1001,8,0),"")</f>
        <v/>
      </c>
      <c r="I1297" s="32" t="str">
        <f t="shared" si="38"/>
        <v/>
      </c>
      <c r="K1297" s="127" t="str">
        <f t="shared" si="37"/>
        <v/>
      </c>
    </row>
    <row r="1298" spans="2:11" x14ac:dyDescent="0.3">
      <c r="B1298" s="197"/>
      <c r="C1298" s="198"/>
      <c r="D1298" s="197"/>
      <c r="E1298" s="212"/>
      <c r="F1298" s="29" t="str">
        <f>IFERROR(VLOOKUP(E1298,'Inventaire des produits'!$B$4:$K$1001,2,0),"")</f>
        <v/>
      </c>
      <c r="G1298" s="212"/>
      <c r="H1298" s="30" t="str">
        <f>IFERROR(VLOOKUP(E1298,'Inventaire des produits'!$B$4:$K$1001,8,0),"")</f>
        <v/>
      </c>
      <c r="I1298" s="32" t="str">
        <f t="shared" si="38"/>
        <v/>
      </c>
      <c r="K1298" s="127" t="str">
        <f t="shared" si="37"/>
        <v/>
      </c>
    </row>
    <row r="1299" spans="2:11" x14ac:dyDescent="0.3">
      <c r="B1299" s="197"/>
      <c r="C1299" s="198"/>
      <c r="D1299" s="197"/>
      <c r="E1299" s="212"/>
      <c r="F1299" s="29" t="str">
        <f>IFERROR(VLOOKUP(E1299,'Inventaire des produits'!$B$4:$K$1001,2,0),"")</f>
        <v/>
      </c>
      <c r="G1299" s="212"/>
      <c r="H1299" s="30" t="str">
        <f>IFERROR(VLOOKUP(E1299,'Inventaire des produits'!$B$4:$K$1001,8,0),"")</f>
        <v/>
      </c>
      <c r="I1299" s="32" t="str">
        <f t="shared" si="38"/>
        <v/>
      </c>
      <c r="K1299" s="127" t="str">
        <f t="shared" si="37"/>
        <v/>
      </c>
    </row>
    <row r="1300" spans="2:11" x14ac:dyDescent="0.3">
      <c r="B1300" s="197"/>
      <c r="C1300" s="198"/>
      <c r="D1300" s="197"/>
      <c r="E1300" s="212"/>
      <c r="F1300" s="29" t="str">
        <f>IFERROR(VLOOKUP(E1300,'Inventaire des produits'!$B$4:$K$1001,2,0),"")</f>
        <v/>
      </c>
      <c r="G1300" s="212"/>
      <c r="H1300" s="30" t="str">
        <f>IFERROR(VLOOKUP(E1300,'Inventaire des produits'!$B$4:$K$1001,8,0),"")</f>
        <v/>
      </c>
      <c r="I1300" s="32" t="str">
        <f t="shared" si="38"/>
        <v/>
      </c>
      <c r="K1300" s="127" t="str">
        <f t="shared" si="37"/>
        <v/>
      </c>
    </row>
    <row r="1301" spans="2:11" x14ac:dyDescent="0.3">
      <c r="B1301" s="197"/>
      <c r="C1301" s="198"/>
      <c r="D1301" s="197"/>
      <c r="E1301" s="212"/>
      <c r="F1301" s="29" t="str">
        <f>IFERROR(VLOOKUP(E1301,'Inventaire des produits'!$B$4:$K$1001,2,0),"")</f>
        <v/>
      </c>
      <c r="G1301" s="212"/>
      <c r="H1301" s="30" t="str">
        <f>IFERROR(VLOOKUP(E1301,'Inventaire des produits'!$B$4:$K$1001,8,0),"")</f>
        <v/>
      </c>
      <c r="I1301" s="32" t="str">
        <f t="shared" si="38"/>
        <v/>
      </c>
      <c r="K1301" s="127" t="str">
        <f t="shared" si="37"/>
        <v/>
      </c>
    </row>
    <row r="1302" spans="2:11" x14ac:dyDescent="0.3">
      <c r="B1302" s="197"/>
      <c r="C1302" s="198"/>
      <c r="D1302" s="197"/>
      <c r="E1302" s="212"/>
      <c r="F1302" s="29" t="str">
        <f>IFERROR(VLOOKUP(E1302,'Inventaire des produits'!$B$4:$K$1001,2,0),"")</f>
        <v/>
      </c>
      <c r="G1302" s="212"/>
      <c r="H1302" s="30" t="str">
        <f>IFERROR(VLOOKUP(E1302,'Inventaire des produits'!$B$4:$K$1001,8,0),"")</f>
        <v/>
      </c>
      <c r="I1302" s="32" t="str">
        <f t="shared" si="38"/>
        <v/>
      </c>
      <c r="K1302" s="127" t="str">
        <f t="shared" si="37"/>
        <v/>
      </c>
    </row>
    <row r="1303" spans="2:11" x14ac:dyDescent="0.3">
      <c r="B1303" s="197"/>
      <c r="C1303" s="198"/>
      <c r="D1303" s="197"/>
      <c r="E1303" s="212"/>
      <c r="F1303" s="29" t="str">
        <f>IFERROR(VLOOKUP(E1303,'Inventaire des produits'!$B$4:$K$1001,2,0),"")</f>
        <v/>
      </c>
      <c r="G1303" s="212"/>
      <c r="H1303" s="30" t="str">
        <f>IFERROR(VLOOKUP(E1303,'Inventaire des produits'!$B$4:$K$1001,8,0),"")</f>
        <v/>
      </c>
      <c r="I1303" s="32" t="str">
        <f t="shared" si="38"/>
        <v/>
      </c>
      <c r="K1303" s="127" t="str">
        <f t="shared" si="37"/>
        <v/>
      </c>
    </row>
    <row r="1304" spans="2:11" x14ac:dyDescent="0.3">
      <c r="B1304" s="197"/>
      <c r="C1304" s="198"/>
      <c r="D1304" s="197"/>
      <c r="E1304" s="212"/>
      <c r="F1304" s="29" t="str">
        <f>IFERROR(VLOOKUP(E1304,'Inventaire des produits'!$B$4:$K$1001,2,0),"")</f>
        <v/>
      </c>
      <c r="G1304" s="212"/>
      <c r="H1304" s="30" t="str">
        <f>IFERROR(VLOOKUP(E1304,'Inventaire des produits'!$B$4:$K$1001,8,0),"")</f>
        <v/>
      </c>
      <c r="I1304" s="32" t="str">
        <f t="shared" si="38"/>
        <v/>
      </c>
      <c r="K1304" s="127" t="str">
        <f t="shared" si="37"/>
        <v/>
      </c>
    </row>
    <row r="1305" spans="2:11" x14ac:dyDescent="0.3">
      <c r="B1305" s="197"/>
      <c r="C1305" s="198"/>
      <c r="D1305" s="197"/>
      <c r="E1305" s="212"/>
      <c r="F1305" s="29" t="str">
        <f>IFERROR(VLOOKUP(E1305,'Inventaire des produits'!$B$4:$K$1001,2,0),"")</f>
        <v/>
      </c>
      <c r="G1305" s="212"/>
      <c r="H1305" s="30" t="str">
        <f>IFERROR(VLOOKUP(E1305,'Inventaire des produits'!$B$4:$K$1001,8,0),"")</f>
        <v/>
      </c>
      <c r="I1305" s="32" t="str">
        <f t="shared" si="38"/>
        <v/>
      </c>
      <c r="K1305" s="127" t="str">
        <f t="shared" si="37"/>
        <v/>
      </c>
    </row>
    <row r="1306" spans="2:11" x14ac:dyDescent="0.3">
      <c r="B1306" s="197"/>
      <c r="C1306" s="198"/>
      <c r="D1306" s="197"/>
      <c r="E1306" s="212"/>
      <c r="F1306" s="29" t="str">
        <f>IFERROR(VLOOKUP(E1306,'Inventaire des produits'!$B$4:$K$1001,2,0),"")</f>
        <v/>
      </c>
      <c r="G1306" s="212"/>
      <c r="H1306" s="30" t="str">
        <f>IFERROR(VLOOKUP(E1306,'Inventaire des produits'!$B$4:$K$1001,8,0),"")</f>
        <v/>
      </c>
      <c r="I1306" s="32" t="str">
        <f t="shared" si="38"/>
        <v/>
      </c>
      <c r="K1306" s="127" t="str">
        <f t="shared" si="37"/>
        <v/>
      </c>
    </row>
    <row r="1307" spans="2:11" x14ac:dyDescent="0.3">
      <c r="B1307" s="197"/>
      <c r="C1307" s="198"/>
      <c r="D1307" s="197"/>
      <c r="E1307" s="212"/>
      <c r="F1307" s="29" t="str">
        <f>IFERROR(VLOOKUP(E1307,'Inventaire des produits'!$B$4:$K$1001,2,0),"")</f>
        <v/>
      </c>
      <c r="G1307" s="212"/>
      <c r="H1307" s="30" t="str">
        <f>IFERROR(VLOOKUP(E1307,'Inventaire des produits'!$B$4:$K$1001,8,0),"")</f>
        <v/>
      </c>
      <c r="I1307" s="32" t="str">
        <f t="shared" si="38"/>
        <v/>
      </c>
      <c r="K1307" s="127" t="str">
        <f t="shared" si="37"/>
        <v/>
      </c>
    </row>
    <row r="1308" spans="2:11" x14ac:dyDescent="0.3">
      <c r="B1308" s="197"/>
      <c r="C1308" s="198"/>
      <c r="D1308" s="197"/>
      <c r="E1308" s="212"/>
      <c r="F1308" s="29" t="str">
        <f>IFERROR(VLOOKUP(E1308,'Inventaire des produits'!$B$4:$K$1001,2,0),"")</f>
        <v/>
      </c>
      <c r="G1308" s="212"/>
      <c r="H1308" s="30" t="str">
        <f>IFERROR(VLOOKUP(E1308,'Inventaire des produits'!$B$4:$K$1001,8,0),"")</f>
        <v/>
      </c>
      <c r="I1308" s="32" t="str">
        <f t="shared" si="38"/>
        <v/>
      </c>
      <c r="K1308" s="127" t="str">
        <f t="shared" si="37"/>
        <v/>
      </c>
    </row>
    <row r="1309" spans="2:11" x14ac:dyDescent="0.3">
      <c r="B1309" s="197"/>
      <c r="C1309" s="198"/>
      <c r="D1309" s="197"/>
      <c r="E1309" s="212"/>
      <c r="F1309" s="29" t="str">
        <f>IFERROR(VLOOKUP(E1309,'Inventaire des produits'!$B$4:$K$1001,2,0),"")</f>
        <v/>
      </c>
      <c r="G1309" s="212"/>
      <c r="H1309" s="30" t="str">
        <f>IFERROR(VLOOKUP(E1309,'Inventaire des produits'!$B$4:$K$1001,8,0),"")</f>
        <v/>
      </c>
      <c r="I1309" s="32" t="str">
        <f t="shared" si="38"/>
        <v/>
      </c>
      <c r="K1309" s="127" t="str">
        <f t="shared" si="37"/>
        <v/>
      </c>
    </row>
    <row r="1310" spans="2:11" x14ac:dyDescent="0.3">
      <c r="B1310" s="197"/>
      <c r="C1310" s="198"/>
      <c r="D1310" s="197"/>
      <c r="E1310" s="212"/>
      <c r="F1310" s="29" t="str">
        <f>IFERROR(VLOOKUP(E1310,'Inventaire des produits'!$B$4:$K$1001,2,0),"")</f>
        <v/>
      </c>
      <c r="G1310" s="212"/>
      <c r="H1310" s="30" t="str">
        <f>IFERROR(VLOOKUP(E1310,'Inventaire des produits'!$B$4:$K$1001,8,0),"")</f>
        <v/>
      </c>
      <c r="I1310" s="32" t="str">
        <f t="shared" si="38"/>
        <v/>
      </c>
      <c r="K1310" s="127" t="str">
        <f t="shared" si="37"/>
        <v/>
      </c>
    </row>
    <row r="1311" spans="2:11" x14ac:dyDescent="0.3">
      <c r="B1311" s="197"/>
      <c r="C1311" s="198"/>
      <c r="D1311" s="197"/>
      <c r="E1311" s="212"/>
      <c r="F1311" s="29" t="str">
        <f>IFERROR(VLOOKUP(E1311,'Inventaire des produits'!$B$4:$K$1001,2,0),"")</f>
        <v/>
      </c>
      <c r="G1311" s="212"/>
      <c r="H1311" s="30" t="str">
        <f>IFERROR(VLOOKUP(E1311,'Inventaire des produits'!$B$4:$K$1001,8,0),"")</f>
        <v/>
      </c>
      <c r="I1311" s="32" t="str">
        <f t="shared" si="38"/>
        <v/>
      </c>
      <c r="K1311" s="127" t="str">
        <f t="shared" si="37"/>
        <v/>
      </c>
    </row>
    <row r="1312" spans="2:11" x14ac:dyDescent="0.3">
      <c r="B1312" s="197"/>
      <c r="C1312" s="198"/>
      <c r="D1312" s="197"/>
      <c r="E1312" s="212"/>
      <c r="F1312" s="29" t="str">
        <f>IFERROR(VLOOKUP(E1312,'Inventaire des produits'!$B$4:$K$1001,2,0),"")</f>
        <v/>
      </c>
      <c r="G1312" s="212"/>
      <c r="H1312" s="30" t="str">
        <f>IFERROR(VLOOKUP(E1312,'Inventaire des produits'!$B$4:$K$1001,8,0),"")</f>
        <v/>
      </c>
      <c r="I1312" s="32" t="str">
        <f t="shared" si="38"/>
        <v/>
      </c>
      <c r="K1312" s="127" t="str">
        <f t="shared" si="37"/>
        <v/>
      </c>
    </row>
    <row r="1313" spans="2:11" x14ac:dyDescent="0.3">
      <c r="B1313" s="197"/>
      <c r="C1313" s="198"/>
      <c r="D1313" s="197"/>
      <c r="E1313" s="212"/>
      <c r="F1313" s="29" t="str">
        <f>IFERROR(VLOOKUP(E1313,'Inventaire des produits'!$B$4:$K$1001,2,0),"")</f>
        <v/>
      </c>
      <c r="G1313" s="212"/>
      <c r="H1313" s="30" t="str">
        <f>IFERROR(VLOOKUP(E1313,'Inventaire des produits'!$B$4:$K$1001,8,0),"")</f>
        <v/>
      </c>
      <c r="I1313" s="32" t="str">
        <f t="shared" si="38"/>
        <v/>
      </c>
      <c r="K1313" s="127" t="str">
        <f t="shared" si="37"/>
        <v/>
      </c>
    </row>
    <row r="1314" spans="2:11" x14ac:dyDescent="0.3">
      <c r="B1314" s="197"/>
      <c r="C1314" s="198"/>
      <c r="D1314" s="197"/>
      <c r="E1314" s="212"/>
      <c r="F1314" s="29" t="str">
        <f>IFERROR(VLOOKUP(E1314,'Inventaire des produits'!$B$4:$K$1001,2,0),"")</f>
        <v/>
      </c>
      <c r="G1314" s="212"/>
      <c r="H1314" s="30" t="str">
        <f>IFERROR(VLOOKUP(E1314,'Inventaire des produits'!$B$4:$K$1001,8,0),"")</f>
        <v/>
      </c>
      <c r="I1314" s="32" t="str">
        <f t="shared" si="38"/>
        <v/>
      </c>
      <c r="K1314" s="127" t="str">
        <f t="shared" si="37"/>
        <v/>
      </c>
    </row>
    <row r="1315" spans="2:11" x14ac:dyDescent="0.3">
      <c r="B1315" s="197"/>
      <c r="C1315" s="198"/>
      <c r="D1315" s="197"/>
      <c r="E1315" s="212"/>
      <c r="F1315" s="29" t="str">
        <f>IFERROR(VLOOKUP(E1315,'Inventaire des produits'!$B$4:$K$1001,2,0),"")</f>
        <v/>
      </c>
      <c r="G1315" s="212"/>
      <c r="H1315" s="30" t="str">
        <f>IFERROR(VLOOKUP(E1315,'Inventaire des produits'!$B$4:$K$1001,8,0),"")</f>
        <v/>
      </c>
      <c r="I1315" s="32" t="str">
        <f t="shared" si="38"/>
        <v/>
      </c>
      <c r="K1315" s="127" t="str">
        <f t="shared" si="37"/>
        <v/>
      </c>
    </row>
    <row r="1316" spans="2:11" x14ac:dyDescent="0.3">
      <c r="B1316" s="197"/>
      <c r="C1316" s="198"/>
      <c r="D1316" s="197"/>
      <c r="E1316" s="212"/>
      <c r="F1316" s="29" t="str">
        <f>IFERROR(VLOOKUP(E1316,'Inventaire des produits'!$B$4:$K$1001,2,0),"")</f>
        <v/>
      </c>
      <c r="G1316" s="212"/>
      <c r="H1316" s="30" t="str">
        <f>IFERROR(VLOOKUP(E1316,'Inventaire des produits'!$B$4:$K$1001,8,0),"")</f>
        <v/>
      </c>
      <c r="I1316" s="32" t="str">
        <f t="shared" si="38"/>
        <v/>
      </c>
      <c r="K1316" s="127" t="str">
        <f t="shared" si="37"/>
        <v/>
      </c>
    </row>
    <row r="1317" spans="2:11" x14ac:dyDescent="0.3">
      <c r="B1317" s="197"/>
      <c r="C1317" s="198"/>
      <c r="D1317" s="197"/>
      <c r="E1317" s="212"/>
      <c r="F1317" s="29" t="str">
        <f>IFERROR(VLOOKUP(E1317,'Inventaire des produits'!$B$4:$K$1001,2,0),"")</f>
        <v/>
      </c>
      <c r="G1317" s="212"/>
      <c r="H1317" s="30" t="str">
        <f>IFERROR(VLOOKUP(E1317,'Inventaire des produits'!$B$4:$K$1001,8,0),"")</f>
        <v/>
      </c>
      <c r="I1317" s="32" t="str">
        <f t="shared" si="38"/>
        <v/>
      </c>
      <c r="K1317" s="127" t="str">
        <f t="shared" si="37"/>
        <v/>
      </c>
    </row>
    <row r="1318" spans="2:11" x14ac:dyDescent="0.3">
      <c r="B1318" s="197"/>
      <c r="C1318" s="198"/>
      <c r="D1318" s="197"/>
      <c r="E1318" s="212"/>
      <c r="F1318" s="29" t="str">
        <f>IFERROR(VLOOKUP(E1318,'Inventaire des produits'!$B$4:$K$1001,2,0),"")</f>
        <v/>
      </c>
      <c r="G1318" s="212"/>
      <c r="H1318" s="30" t="str">
        <f>IFERROR(VLOOKUP(E1318,'Inventaire des produits'!$B$4:$K$1001,8,0),"")</f>
        <v/>
      </c>
      <c r="I1318" s="32" t="str">
        <f t="shared" si="38"/>
        <v/>
      </c>
      <c r="K1318" s="127" t="str">
        <f t="shared" si="37"/>
        <v/>
      </c>
    </row>
    <row r="1319" spans="2:11" x14ac:dyDescent="0.3">
      <c r="B1319" s="197"/>
      <c r="C1319" s="198"/>
      <c r="D1319" s="197"/>
      <c r="E1319" s="212"/>
      <c r="F1319" s="29" t="str">
        <f>IFERROR(VLOOKUP(E1319,'Inventaire des produits'!$B$4:$K$1001,2,0),"")</f>
        <v/>
      </c>
      <c r="G1319" s="212"/>
      <c r="H1319" s="30" t="str">
        <f>IFERROR(VLOOKUP(E1319,'Inventaire des produits'!$B$4:$K$1001,8,0),"")</f>
        <v/>
      </c>
      <c r="I1319" s="32" t="str">
        <f t="shared" si="38"/>
        <v/>
      </c>
      <c r="K1319" s="127" t="str">
        <f t="shared" si="37"/>
        <v/>
      </c>
    </row>
    <row r="1320" spans="2:11" x14ac:dyDescent="0.3">
      <c r="B1320" s="197"/>
      <c r="C1320" s="198"/>
      <c r="D1320" s="197"/>
      <c r="E1320" s="212"/>
      <c r="F1320" s="29" t="str">
        <f>IFERROR(VLOOKUP(E1320,'Inventaire des produits'!$B$4:$K$1001,2,0),"")</f>
        <v/>
      </c>
      <c r="G1320" s="212"/>
      <c r="H1320" s="30" t="str">
        <f>IFERROR(VLOOKUP(E1320,'Inventaire des produits'!$B$4:$K$1001,8,0),"")</f>
        <v/>
      </c>
      <c r="I1320" s="32" t="str">
        <f t="shared" si="38"/>
        <v/>
      </c>
      <c r="K1320" s="127" t="str">
        <f t="shared" si="37"/>
        <v/>
      </c>
    </row>
    <row r="1321" spans="2:11" x14ac:dyDescent="0.3">
      <c r="B1321" s="197"/>
      <c r="C1321" s="198"/>
      <c r="D1321" s="197"/>
      <c r="E1321" s="212"/>
      <c r="F1321" s="29" t="str">
        <f>IFERROR(VLOOKUP(E1321,'Inventaire des produits'!$B$4:$K$1001,2,0),"")</f>
        <v/>
      </c>
      <c r="G1321" s="212"/>
      <c r="H1321" s="30" t="str">
        <f>IFERROR(VLOOKUP(E1321,'Inventaire des produits'!$B$4:$K$1001,8,0),"")</f>
        <v/>
      </c>
      <c r="I1321" s="32" t="str">
        <f t="shared" si="38"/>
        <v/>
      </c>
      <c r="K1321" s="127" t="str">
        <f t="shared" si="37"/>
        <v/>
      </c>
    </row>
    <row r="1322" spans="2:11" x14ac:dyDescent="0.3">
      <c r="B1322" s="197"/>
      <c r="C1322" s="198"/>
      <c r="D1322" s="197"/>
      <c r="E1322" s="212"/>
      <c r="F1322" s="29" t="str">
        <f>IFERROR(VLOOKUP(E1322,'Inventaire des produits'!$B$4:$K$1001,2,0),"")</f>
        <v/>
      </c>
      <c r="G1322" s="212"/>
      <c r="H1322" s="30" t="str">
        <f>IFERROR(VLOOKUP(E1322,'Inventaire des produits'!$B$4:$K$1001,8,0),"")</f>
        <v/>
      </c>
      <c r="I1322" s="32" t="str">
        <f t="shared" si="38"/>
        <v/>
      </c>
      <c r="K1322" s="127" t="str">
        <f t="shared" si="37"/>
        <v/>
      </c>
    </row>
    <row r="1323" spans="2:11" x14ac:dyDescent="0.3">
      <c r="B1323" s="197"/>
      <c r="C1323" s="198"/>
      <c r="D1323" s="197"/>
      <c r="E1323" s="212"/>
      <c r="F1323" s="29" t="str">
        <f>IFERROR(VLOOKUP(E1323,'Inventaire des produits'!$B$4:$K$1001,2,0),"")</f>
        <v/>
      </c>
      <c r="G1323" s="212"/>
      <c r="H1323" s="30" t="str">
        <f>IFERROR(VLOOKUP(E1323,'Inventaire des produits'!$B$4:$K$1001,8,0),"")</f>
        <v/>
      </c>
      <c r="I1323" s="32" t="str">
        <f t="shared" si="38"/>
        <v/>
      </c>
      <c r="K1323" s="127" t="str">
        <f t="shared" si="37"/>
        <v/>
      </c>
    </row>
    <row r="1324" spans="2:11" x14ac:dyDescent="0.3">
      <c r="B1324" s="197"/>
      <c r="C1324" s="198"/>
      <c r="D1324" s="197"/>
      <c r="E1324" s="212"/>
      <c r="F1324" s="29" t="str">
        <f>IFERROR(VLOOKUP(E1324,'Inventaire des produits'!$B$4:$K$1001,2,0),"")</f>
        <v/>
      </c>
      <c r="G1324" s="212"/>
      <c r="H1324" s="30" t="str">
        <f>IFERROR(VLOOKUP(E1324,'Inventaire des produits'!$B$4:$K$1001,8,0),"")</f>
        <v/>
      </c>
      <c r="I1324" s="32" t="str">
        <f t="shared" si="38"/>
        <v/>
      </c>
      <c r="K1324" s="127" t="str">
        <f t="shared" si="37"/>
        <v/>
      </c>
    </row>
    <row r="1325" spans="2:11" x14ac:dyDescent="0.3">
      <c r="B1325" s="197"/>
      <c r="C1325" s="198"/>
      <c r="D1325" s="197"/>
      <c r="E1325" s="212"/>
      <c r="F1325" s="29" t="str">
        <f>IFERROR(VLOOKUP(E1325,'Inventaire des produits'!$B$4:$K$1001,2,0),"")</f>
        <v/>
      </c>
      <c r="G1325" s="212"/>
      <c r="H1325" s="30" t="str">
        <f>IFERROR(VLOOKUP(E1325,'Inventaire des produits'!$B$4:$K$1001,8,0),"")</f>
        <v/>
      </c>
      <c r="I1325" s="32" t="str">
        <f t="shared" si="38"/>
        <v/>
      </c>
      <c r="K1325" s="127" t="str">
        <f t="shared" si="37"/>
        <v/>
      </c>
    </row>
    <row r="1326" spans="2:11" x14ac:dyDescent="0.3">
      <c r="B1326" s="197"/>
      <c r="C1326" s="198"/>
      <c r="D1326" s="197"/>
      <c r="E1326" s="212"/>
      <c r="F1326" s="29" t="str">
        <f>IFERROR(VLOOKUP(E1326,'Inventaire des produits'!$B$4:$K$1001,2,0),"")</f>
        <v/>
      </c>
      <c r="G1326" s="212"/>
      <c r="H1326" s="30" t="str">
        <f>IFERROR(VLOOKUP(E1326,'Inventaire des produits'!$B$4:$K$1001,8,0),"")</f>
        <v/>
      </c>
      <c r="I1326" s="32" t="str">
        <f t="shared" si="38"/>
        <v/>
      </c>
      <c r="K1326" s="127" t="str">
        <f t="shared" si="37"/>
        <v/>
      </c>
    </row>
    <row r="1327" spans="2:11" x14ac:dyDescent="0.3">
      <c r="B1327" s="197"/>
      <c r="C1327" s="198"/>
      <c r="D1327" s="197"/>
      <c r="E1327" s="212"/>
      <c r="F1327" s="29" t="str">
        <f>IFERROR(VLOOKUP(E1327,'Inventaire des produits'!$B$4:$K$1001,2,0),"")</f>
        <v/>
      </c>
      <c r="G1327" s="212"/>
      <c r="H1327" s="30" t="str">
        <f>IFERROR(VLOOKUP(E1327,'Inventaire des produits'!$B$4:$K$1001,8,0),"")</f>
        <v/>
      </c>
      <c r="I1327" s="32" t="str">
        <f t="shared" si="38"/>
        <v/>
      </c>
      <c r="K1327" s="127" t="str">
        <f t="shared" si="37"/>
        <v/>
      </c>
    </row>
    <row r="1328" spans="2:11" x14ac:dyDescent="0.3">
      <c r="B1328" s="197"/>
      <c r="C1328" s="198"/>
      <c r="D1328" s="197"/>
      <c r="E1328" s="212"/>
      <c r="F1328" s="29" t="str">
        <f>IFERROR(VLOOKUP(E1328,'Inventaire des produits'!$B$4:$K$1001,2,0),"")</f>
        <v/>
      </c>
      <c r="G1328" s="212"/>
      <c r="H1328" s="30" t="str">
        <f>IFERROR(VLOOKUP(E1328,'Inventaire des produits'!$B$4:$K$1001,8,0),"")</f>
        <v/>
      </c>
      <c r="I1328" s="32" t="str">
        <f t="shared" si="38"/>
        <v/>
      </c>
      <c r="K1328" s="127" t="str">
        <f t="shared" si="37"/>
        <v/>
      </c>
    </row>
    <row r="1329" spans="2:11" x14ac:dyDescent="0.3">
      <c r="B1329" s="197"/>
      <c r="C1329" s="198"/>
      <c r="D1329" s="197"/>
      <c r="E1329" s="212"/>
      <c r="F1329" s="29" t="str">
        <f>IFERROR(VLOOKUP(E1329,'Inventaire des produits'!$B$4:$K$1001,2,0),"")</f>
        <v/>
      </c>
      <c r="G1329" s="212"/>
      <c r="H1329" s="30" t="str">
        <f>IFERROR(VLOOKUP(E1329,'Inventaire des produits'!$B$4:$K$1001,8,0),"")</f>
        <v/>
      </c>
      <c r="I1329" s="32" t="str">
        <f t="shared" si="38"/>
        <v/>
      </c>
      <c r="K1329" s="127" t="str">
        <f t="shared" si="37"/>
        <v/>
      </c>
    </row>
    <row r="1330" spans="2:11" x14ac:dyDescent="0.3">
      <c r="B1330" s="197"/>
      <c r="C1330" s="198"/>
      <c r="D1330" s="197"/>
      <c r="E1330" s="212"/>
      <c r="F1330" s="29" t="str">
        <f>IFERROR(VLOOKUP(E1330,'Inventaire des produits'!$B$4:$K$1001,2,0),"")</f>
        <v/>
      </c>
      <c r="G1330" s="212"/>
      <c r="H1330" s="30" t="str">
        <f>IFERROR(VLOOKUP(E1330,'Inventaire des produits'!$B$4:$K$1001,8,0),"")</f>
        <v/>
      </c>
      <c r="I1330" s="32" t="str">
        <f t="shared" si="38"/>
        <v/>
      </c>
      <c r="K1330" s="127" t="str">
        <f t="shared" si="37"/>
        <v/>
      </c>
    </row>
    <row r="1331" spans="2:11" x14ac:dyDescent="0.3">
      <c r="B1331" s="197"/>
      <c r="C1331" s="198"/>
      <c r="D1331" s="197"/>
      <c r="E1331" s="212"/>
      <c r="F1331" s="29" t="str">
        <f>IFERROR(VLOOKUP(E1331,'Inventaire des produits'!$B$4:$K$1001,2,0),"")</f>
        <v/>
      </c>
      <c r="G1331" s="212"/>
      <c r="H1331" s="30" t="str">
        <f>IFERROR(VLOOKUP(E1331,'Inventaire des produits'!$B$4:$K$1001,8,0),"")</f>
        <v/>
      </c>
      <c r="I1331" s="32" t="str">
        <f t="shared" si="38"/>
        <v/>
      </c>
      <c r="K1331" s="127" t="str">
        <f t="shared" si="37"/>
        <v/>
      </c>
    </row>
    <row r="1332" spans="2:11" x14ac:dyDescent="0.3">
      <c r="B1332" s="197"/>
      <c r="C1332" s="198"/>
      <c r="D1332" s="197"/>
      <c r="E1332" s="212"/>
      <c r="F1332" s="29" t="str">
        <f>IFERROR(VLOOKUP(E1332,'Inventaire des produits'!$B$4:$K$1001,2,0),"")</f>
        <v/>
      </c>
      <c r="G1332" s="212"/>
      <c r="H1332" s="30" t="str">
        <f>IFERROR(VLOOKUP(E1332,'Inventaire des produits'!$B$4:$K$1001,8,0),"")</f>
        <v/>
      </c>
      <c r="I1332" s="32" t="str">
        <f t="shared" si="38"/>
        <v/>
      </c>
      <c r="K1332" s="127" t="str">
        <f t="shared" si="37"/>
        <v/>
      </c>
    </row>
    <row r="1333" spans="2:11" x14ac:dyDescent="0.3">
      <c r="B1333" s="197"/>
      <c r="C1333" s="198"/>
      <c r="D1333" s="197"/>
      <c r="E1333" s="212"/>
      <c r="F1333" s="29" t="str">
        <f>IFERROR(VLOOKUP(E1333,'Inventaire des produits'!$B$4:$K$1001,2,0),"")</f>
        <v/>
      </c>
      <c r="G1333" s="212"/>
      <c r="H1333" s="30" t="str">
        <f>IFERROR(VLOOKUP(E1333,'Inventaire des produits'!$B$4:$K$1001,8,0),"")</f>
        <v/>
      </c>
      <c r="I1333" s="32" t="str">
        <f t="shared" si="38"/>
        <v/>
      </c>
      <c r="K1333" s="127" t="str">
        <f t="shared" si="37"/>
        <v/>
      </c>
    </row>
    <row r="1334" spans="2:11" x14ac:dyDescent="0.3">
      <c r="B1334" s="197"/>
      <c r="C1334" s="198"/>
      <c r="D1334" s="197"/>
      <c r="E1334" s="212"/>
      <c r="F1334" s="29" t="str">
        <f>IFERROR(VLOOKUP(E1334,'Inventaire des produits'!$B$4:$K$1001,2,0),"")</f>
        <v/>
      </c>
      <c r="G1334" s="212"/>
      <c r="H1334" s="30" t="str">
        <f>IFERROR(VLOOKUP(E1334,'Inventaire des produits'!$B$4:$K$1001,8,0),"")</f>
        <v/>
      </c>
      <c r="I1334" s="32" t="str">
        <f t="shared" si="38"/>
        <v/>
      </c>
      <c r="K1334" s="127" t="str">
        <f t="shared" si="37"/>
        <v/>
      </c>
    </row>
    <row r="1335" spans="2:11" x14ac:dyDescent="0.3">
      <c r="B1335" s="197"/>
      <c r="C1335" s="198"/>
      <c r="D1335" s="197"/>
      <c r="E1335" s="212"/>
      <c r="F1335" s="29" t="str">
        <f>IFERROR(VLOOKUP(E1335,'Inventaire des produits'!$B$4:$K$1001,2,0),"")</f>
        <v/>
      </c>
      <c r="G1335" s="212"/>
      <c r="H1335" s="30" t="str">
        <f>IFERROR(VLOOKUP(E1335,'Inventaire des produits'!$B$4:$K$1001,8,0),"")</f>
        <v/>
      </c>
      <c r="I1335" s="32" t="str">
        <f t="shared" si="38"/>
        <v/>
      </c>
      <c r="K1335" s="127" t="str">
        <f t="shared" si="37"/>
        <v/>
      </c>
    </row>
    <row r="1336" spans="2:11" x14ac:dyDescent="0.3">
      <c r="B1336" s="197"/>
      <c r="C1336" s="198"/>
      <c r="D1336" s="197"/>
      <c r="E1336" s="212"/>
      <c r="F1336" s="29" t="str">
        <f>IFERROR(VLOOKUP(E1336,'Inventaire des produits'!$B$4:$K$1001,2,0),"")</f>
        <v/>
      </c>
      <c r="G1336" s="212"/>
      <c r="H1336" s="30" t="str">
        <f>IFERROR(VLOOKUP(E1336,'Inventaire des produits'!$B$4:$K$1001,8,0),"")</f>
        <v/>
      </c>
      <c r="I1336" s="32" t="str">
        <f t="shared" si="38"/>
        <v/>
      </c>
      <c r="K1336" s="127" t="str">
        <f t="shared" si="37"/>
        <v/>
      </c>
    </row>
    <row r="1337" spans="2:11" x14ac:dyDescent="0.3">
      <c r="B1337" s="197"/>
      <c r="C1337" s="198"/>
      <c r="D1337" s="197"/>
      <c r="E1337" s="212"/>
      <c r="F1337" s="29" t="str">
        <f>IFERROR(VLOOKUP(E1337,'Inventaire des produits'!$B$4:$K$1001,2,0),"")</f>
        <v/>
      </c>
      <c r="G1337" s="212"/>
      <c r="H1337" s="30" t="str">
        <f>IFERROR(VLOOKUP(E1337,'Inventaire des produits'!$B$4:$K$1001,8,0),"")</f>
        <v/>
      </c>
      <c r="I1337" s="32" t="str">
        <f t="shared" si="38"/>
        <v/>
      </c>
      <c r="K1337" s="127" t="str">
        <f t="shared" si="37"/>
        <v/>
      </c>
    </row>
    <row r="1338" spans="2:11" x14ac:dyDescent="0.3">
      <c r="B1338" s="197"/>
      <c r="C1338" s="198"/>
      <c r="D1338" s="197"/>
      <c r="E1338" s="212"/>
      <c r="F1338" s="29" t="str">
        <f>IFERROR(VLOOKUP(E1338,'Inventaire des produits'!$B$4:$K$1001,2,0),"")</f>
        <v/>
      </c>
      <c r="G1338" s="212"/>
      <c r="H1338" s="30" t="str">
        <f>IFERROR(VLOOKUP(E1338,'Inventaire des produits'!$B$4:$K$1001,8,0),"")</f>
        <v/>
      </c>
      <c r="I1338" s="32" t="str">
        <f t="shared" si="38"/>
        <v/>
      </c>
      <c r="K1338" s="127" t="str">
        <f t="shared" si="37"/>
        <v/>
      </c>
    </row>
    <row r="1339" spans="2:11" x14ac:dyDescent="0.3">
      <c r="B1339" s="197"/>
      <c r="C1339" s="198"/>
      <c r="D1339" s="197"/>
      <c r="E1339" s="212"/>
      <c r="F1339" s="29" t="str">
        <f>IFERROR(VLOOKUP(E1339,'Inventaire des produits'!$B$4:$K$1001,2,0),"")</f>
        <v/>
      </c>
      <c r="G1339" s="212"/>
      <c r="H1339" s="30" t="str">
        <f>IFERROR(VLOOKUP(E1339,'Inventaire des produits'!$B$4:$K$1001,8,0),"")</f>
        <v/>
      </c>
      <c r="I1339" s="32" t="str">
        <f t="shared" si="38"/>
        <v/>
      </c>
      <c r="K1339" s="127" t="str">
        <f t="shared" si="37"/>
        <v/>
      </c>
    </row>
    <row r="1340" spans="2:11" x14ac:dyDescent="0.3">
      <c r="B1340" s="197"/>
      <c r="C1340" s="198"/>
      <c r="D1340" s="197"/>
      <c r="E1340" s="212"/>
      <c r="F1340" s="29" t="str">
        <f>IFERROR(VLOOKUP(E1340,'Inventaire des produits'!$B$4:$K$1001,2,0),"")</f>
        <v/>
      </c>
      <c r="G1340" s="212"/>
      <c r="H1340" s="30" t="str">
        <f>IFERROR(VLOOKUP(E1340,'Inventaire des produits'!$B$4:$K$1001,8,0),"")</f>
        <v/>
      </c>
      <c r="I1340" s="32" t="str">
        <f t="shared" si="38"/>
        <v/>
      </c>
      <c r="K1340" s="127" t="str">
        <f t="shared" ref="K1340:K1403" si="39">IF(J1340="","",J1340*1.2)</f>
        <v/>
      </c>
    </row>
    <row r="1341" spans="2:11" x14ac:dyDescent="0.3">
      <c r="B1341" s="197"/>
      <c r="C1341" s="198"/>
      <c r="D1341" s="197"/>
      <c r="E1341" s="212"/>
      <c r="F1341" s="29" t="str">
        <f>IFERROR(VLOOKUP(E1341,'Inventaire des produits'!$B$4:$K$1001,2,0),"")</f>
        <v/>
      </c>
      <c r="G1341" s="212"/>
      <c r="H1341" s="30" t="str">
        <f>IFERROR(VLOOKUP(E1341,'Inventaire des produits'!$B$4:$K$1001,8,0),"")</f>
        <v/>
      </c>
      <c r="I1341" s="32" t="str">
        <f t="shared" si="38"/>
        <v/>
      </c>
      <c r="K1341" s="127" t="str">
        <f t="shared" si="39"/>
        <v/>
      </c>
    </row>
    <row r="1342" spans="2:11" x14ac:dyDescent="0.3">
      <c r="B1342" s="197"/>
      <c r="C1342" s="198"/>
      <c r="D1342" s="197"/>
      <c r="E1342" s="212"/>
      <c r="F1342" s="29" t="str">
        <f>IFERROR(VLOOKUP(E1342,'Inventaire des produits'!$B$4:$K$1001,2,0),"")</f>
        <v/>
      </c>
      <c r="G1342" s="212"/>
      <c r="H1342" s="30" t="str">
        <f>IFERROR(VLOOKUP(E1342,'Inventaire des produits'!$B$4:$K$1001,8,0),"")</f>
        <v/>
      </c>
      <c r="I1342" s="32" t="str">
        <f t="shared" si="38"/>
        <v/>
      </c>
      <c r="K1342" s="127" t="str">
        <f t="shared" si="39"/>
        <v/>
      </c>
    </row>
    <row r="1343" spans="2:11" x14ac:dyDescent="0.3">
      <c r="B1343" s="197"/>
      <c r="C1343" s="198"/>
      <c r="D1343" s="197"/>
      <c r="E1343" s="212"/>
      <c r="F1343" s="29" t="str">
        <f>IFERROR(VLOOKUP(E1343,'Inventaire des produits'!$B$4:$K$1001,2,0),"")</f>
        <v/>
      </c>
      <c r="G1343" s="212"/>
      <c r="H1343" s="30" t="str">
        <f>IFERROR(VLOOKUP(E1343,'Inventaire des produits'!$B$4:$K$1001,8,0),"")</f>
        <v/>
      </c>
      <c r="I1343" s="32" t="str">
        <f t="shared" si="38"/>
        <v/>
      </c>
      <c r="K1343" s="127" t="str">
        <f t="shared" si="39"/>
        <v/>
      </c>
    </row>
    <row r="1344" spans="2:11" x14ac:dyDescent="0.3">
      <c r="B1344" s="197"/>
      <c r="C1344" s="198"/>
      <c r="D1344" s="197"/>
      <c r="E1344" s="212"/>
      <c r="F1344" s="29" t="str">
        <f>IFERROR(VLOOKUP(E1344,'Inventaire des produits'!$B$4:$K$1001,2,0),"")</f>
        <v/>
      </c>
      <c r="G1344" s="212"/>
      <c r="H1344" s="30" t="str">
        <f>IFERROR(VLOOKUP(E1344,'Inventaire des produits'!$B$4:$K$1001,8,0),"")</f>
        <v/>
      </c>
      <c r="I1344" s="32" t="str">
        <f t="shared" si="38"/>
        <v/>
      </c>
      <c r="K1344" s="127" t="str">
        <f t="shared" si="39"/>
        <v/>
      </c>
    </row>
    <row r="1345" spans="2:11" x14ac:dyDescent="0.3">
      <c r="B1345" s="197"/>
      <c r="C1345" s="198"/>
      <c r="D1345" s="197"/>
      <c r="E1345" s="212"/>
      <c r="F1345" s="29" t="str">
        <f>IFERROR(VLOOKUP(E1345,'Inventaire des produits'!$B$4:$K$1001,2,0),"")</f>
        <v/>
      </c>
      <c r="G1345" s="212"/>
      <c r="H1345" s="30" t="str">
        <f>IFERROR(VLOOKUP(E1345,'Inventaire des produits'!$B$4:$K$1001,8,0),"")</f>
        <v/>
      </c>
      <c r="I1345" s="32" t="str">
        <f t="shared" si="38"/>
        <v/>
      </c>
      <c r="K1345" s="127" t="str">
        <f t="shared" si="39"/>
        <v/>
      </c>
    </row>
    <row r="1346" spans="2:11" x14ac:dyDescent="0.3">
      <c r="B1346" s="197"/>
      <c r="C1346" s="198"/>
      <c r="D1346" s="197"/>
      <c r="E1346" s="212"/>
      <c r="F1346" s="29" t="str">
        <f>IFERROR(VLOOKUP(E1346,'Inventaire des produits'!$B$4:$K$1001,2,0),"")</f>
        <v/>
      </c>
      <c r="G1346" s="212"/>
      <c r="H1346" s="30" t="str">
        <f>IFERROR(VLOOKUP(E1346,'Inventaire des produits'!$B$4:$K$1001,8,0),"")</f>
        <v/>
      </c>
      <c r="I1346" s="32" t="str">
        <f t="shared" ref="I1346:I1409" si="40">IF(OR(G1346="",H1346=""),"",G1346*H1346)</f>
        <v/>
      </c>
      <c r="K1346" s="127" t="str">
        <f t="shared" si="39"/>
        <v/>
      </c>
    </row>
    <row r="1347" spans="2:11" x14ac:dyDescent="0.3">
      <c r="B1347" s="197"/>
      <c r="C1347" s="198"/>
      <c r="D1347" s="197"/>
      <c r="E1347" s="212"/>
      <c r="F1347" s="29" t="str">
        <f>IFERROR(VLOOKUP(E1347,'Inventaire des produits'!$B$4:$K$1001,2,0),"")</f>
        <v/>
      </c>
      <c r="G1347" s="212"/>
      <c r="H1347" s="30" t="str">
        <f>IFERROR(VLOOKUP(E1347,'Inventaire des produits'!$B$4:$K$1001,8,0),"")</f>
        <v/>
      </c>
      <c r="I1347" s="32" t="str">
        <f t="shared" si="40"/>
        <v/>
      </c>
      <c r="K1347" s="127" t="str">
        <f t="shared" si="39"/>
        <v/>
      </c>
    </row>
    <row r="1348" spans="2:11" x14ac:dyDescent="0.3">
      <c r="B1348" s="197"/>
      <c r="C1348" s="198"/>
      <c r="D1348" s="197"/>
      <c r="E1348" s="212"/>
      <c r="F1348" s="29" t="str">
        <f>IFERROR(VLOOKUP(E1348,'Inventaire des produits'!$B$4:$K$1001,2,0),"")</f>
        <v/>
      </c>
      <c r="G1348" s="212"/>
      <c r="H1348" s="30" t="str">
        <f>IFERROR(VLOOKUP(E1348,'Inventaire des produits'!$B$4:$K$1001,8,0),"")</f>
        <v/>
      </c>
      <c r="I1348" s="32" t="str">
        <f t="shared" si="40"/>
        <v/>
      </c>
      <c r="K1348" s="127" t="str">
        <f t="shared" si="39"/>
        <v/>
      </c>
    </row>
    <row r="1349" spans="2:11" x14ac:dyDescent="0.3">
      <c r="B1349" s="197"/>
      <c r="C1349" s="198"/>
      <c r="D1349" s="197"/>
      <c r="E1349" s="212"/>
      <c r="F1349" s="29" t="str">
        <f>IFERROR(VLOOKUP(E1349,'Inventaire des produits'!$B$4:$K$1001,2,0),"")</f>
        <v/>
      </c>
      <c r="G1349" s="212"/>
      <c r="H1349" s="30" t="str">
        <f>IFERROR(VLOOKUP(E1349,'Inventaire des produits'!$B$4:$K$1001,8,0),"")</f>
        <v/>
      </c>
      <c r="I1349" s="32" t="str">
        <f t="shared" si="40"/>
        <v/>
      </c>
      <c r="K1349" s="127" t="str">
        <f t="shared" si="39"/>
        <v/>
      </c>
    </row>
    <row r="1350" spans="2:11" x14ac:dyDescent="0.3">
      <c r="B1350" s="197"/>
      <c r="C1350" s="198"/>
      <c r="D1350" s="197"/>
      <c r="E1350" s="212"/>
      <c r="F1350" s="29" t="str">
        <f>IFERROR(VLOOKUP(E1350,'Inventaire des produits'!$B$4:$K$1001,2,0),"")</f>
        <v/>
      </c>
      <c r="G1350" s="212"/>
      <c r="H1350" s="30" t="str">
        <f>IFERROR(VLOOKUP(E1350,'Inventaire des produits'!$B$4:$K$1001,8,0),"")</f>
        <v/>
      </c>
      <c r="I1350" s="32" t="str">
        <f t="shared" si="40"/>
        <v/>
      </c>
      <c r="K1350" s="127" t="str">
        <f t="shared" si="39"/>
        <v/>
      </c>
    </row>
    <row r="1351" spans="2:11" x14ac:dyDescent="0.3">
      <c r="B1351" s="197"/>
      <c r="C1351" s="198"/>
      <c r="D1351" s="197"/>
      <c r="E1351" s="212"/>
      <c r="F1351" s="29" t="str">
        <f>IFERROR(VLOOKUP(E1351,'Inventaire des produits'!$B$4:$K$1001,2,0),"")</f>
        <v/>
      </c>
      <c r="G1351" s="212"/>
      <c r="H1351" s="30" t="str">
        <f>IFERROR(VLOOKUP(E1351,'Inventaire des produits'!$B$4:$K$1001,8,0),"")</f>
        <v/>
      </c>
      <c r="I1351" s="32" t="str">
        <f t="shared" si="40"/>
        <v/>
      </c>
      <c r="K1351" s="127" t="str">
        <f t="shared" si="39"/>
        <v/>
      </c>
    </row>
    <row r="1352" spans="2:11" x14ac:dyDescent="0.3">
      <c r="B1352" s="197"/>
      <c r="C1352" s="198"/>
      <c r="D1352" s="197"/>
      <c r="E1352" s="212"/>
      <c r="F1352" s="29" t="str">
        <f>IFERROR(VLOOKUP(E1352,'Inventaire des produits'!$B$4:$K$1001,2,0),"")</f>
        <v/>
      </c>
      <c r="G1352" s="212"/>
      <c r="H1352" s="30" t="str">
        <f>IFERROR(VLOOKUP(E1352,'Inventaire des produits'!$B$4:$K$1001,8,0),"")</f>
        <v/>
      </c>
      <c r="I1352" s="32" t="str">
        <f t="shared" si="40"/>
        <v/>
      </c>
      <c r="K1352" s="127" t="str">
        <f t="shared" si="39"/>
        <v/>
      </c>
    </row>
    <row r="1353" spans="2:11" x14ac:dyDescent="0.3">
      <c r="B1353" s="197"/>
      <c r="C1353" s="198"/>
      <c r="D1353" s="197"/>
      <c r="E1353" s="212"/>
      <c r="F1353" s="29" t="str">
        <f>IFERROR(VLOOKUP(E1353,'Inventaire des produits'!$B$4:$K$1001,2,0),"")</f>
        <v/>
      </c>
      <c r="G1353" s="212"/>
      <c r="H1353" s="30" t="str">
        <f>IFERROR(VLOOKUP(E1353,'Inventaire des produits'!$B$4:$K$1001,8,0),"")</f>
        <v/>
      </c>
      <c r="I1353" s="32" t="str">
        <f t="shared" si="40"/>
        <v/>
      </c>
      <c r="K1353" s="127" t="str">
        <f t="shared" si="39"/>
        <v/>
      </c>
    </row>
    <row r="1354" spans="2:11" x14ac:dyDescent="0.3">
      <c r="B1354" s="197"/>
      <c r="C1354" s="198"/>
      <c r="D1354" s="197"/>
      <c r="E1354" s="212"/>
      <c r="F1354" s="29" t="str">
        <f>IFERROR(VLOOKUP(E1354,'Inventaire des produits'!$B$4:$K$1001,2,0),"")</f>
        <v/>
      </c>
      <c r="G1354" s="212"/>
      <c r="H1354" s="30" t="str">
        <f>IFERROR(VLOOKUP(E1354,'Inventaire des produits'!$B$4:$K$1001,8,0),"")</f>
        <v/>
      </c>
      <c r="I1354" s="32" t="str">
        <f t="shared" si="40"/>
        <v/>
      </c>
      <c r="K1354" s="127" t="str">
        <f t="shared" si="39"/>
        <v/>
      </c>
    </row>
    <row r="1355" spans="2:11" x14ac:dyDescent="0.3">
      <c r="B1355" s="197"/>
      <c r="C1355" s="198"/>
      <c r="D1355" s="197"/>
      <c r="E1355" s="212"/>
      <c r="F1355" s="29" t="str">
        <f>IFERROR(VLOOKUP(E1355,'Inventaire des produits'!$B$4:$K$1001,2,0),"")</f>
        <v/>
      </c>
      <c r="G1355" s="212"/>
      <c r="H1355" s="30" t="str">
        <f>IFERROR(VLOOKUP(E1355,'Inventaire des produits'!$B$4:$K$1001,8,0),"")</f>
        <v/>
      </c>
      <c r="I1355" s="32" t="str">
        <f t="shared" si="40"/>
        <v/>
      </c>
      <c r="K1355" s="127" t="str">
        <f t="shared" si="39"/>
        <v/>
      </c>
    </row>
    <row r="1356" spans="2:11" x14ac:dyDescent="0.3">
      <c r="B1356" s="197"/>
      <c r="C1356" s="198"/>
      <c r="D1356" s="197"/>
      <c r="E1356" s="212"/>
      <c r="F1356" s="29" t="str">
        <f>IFERROR(VLOOKUP(E1356,'Inventaire des produits'!$B$4:$K$1001,2,0),"")</f>
        <v/>
      </c>
      <c r="G1356" s="212"/>
      <c r="H1356" s="30" t="str">
        <f>IFERROR(VLOOKUP(E1356,'Inventaire des produits'!$B$4:$K$1001,8,0),"")</f>
        <v/>
      </c>
      <c r="I1356" s="32" t="str">
        <f t="shared" si="40"/>
        <v/>
      </c>
      <c r="K1356" s="127" t="str">
        <f t="shared" si="39"/>
        <v/>
      </c>
    </row>
    <row r="1357" spans="2:11" x14ac:dyDescent="0.3">
      <c r="B1357" s="197"/>
      <c r="C1357" s="198"/>
      <c r="D1357" s="197"/>
      <c r="E1357" s="212"/>
      <c r="F1357" s="29" t="str">
        <f>IFERROR(VLOOKUP(E1357,'Inventaire des produits'!$B$4:$K$1001,2,0),"")</f>
        <v/>
      </c>
      <c r="G1357" s="212"/>
      <c r="H1357" s="30" t="str">
        <f>IFERROR(VLOOKUP(E1357,'Inventaire des produits'!$B$4:$K$1001,8,0),"")</f>
        <v/>
      </c>
      <c r="I1357" s="32" t="str">
        <f t="shared" si="40"/>
        <v/>
      </c>
      <c r="K1357" s="127" t="str">
        <f t="shared" si="39"/>
        <v/>
      </c>
    </row>
    <row r="1358" spans="2:11" x14ac:dyDescent="0.3">
      <c r="B1358" s="197"/>
      <c r="C1358" s="198"/>
      <c r="D1358" s="197"/>
      <c r="E1358" s="212"/>
      <c r="F1358" s="29" t="str">
        <f>IFERROR(VLOOKUP(E1358,'Inventaire des produits'!$B$4:$K$1001,2,0),"")</f>
        <v/>
      </c>
      <c r="G1358" s="212"/>
      <c r="H1358" s="30" t="str">
        <f>IFERROR(VLOOKUP(E1358,'Inventaire des produits'!$B$4:$K$1001,8,0),"")</f>
        <v/>
      </c>
      <c r="I1358" s="32" t="str">
        <f t="shared" si="40"/>
        <v/>
      </c>
      <c r="K1358" s="127" t="str">
        <f t="shared" si="39"/>
        <v/>
      </c>
    </row>
    <row r="1359" spans="2:11" x14ac:dyDescent="0.3">
      <c r="B1359" s="197"/>
      <c r="C1359" s="198"/>
      <c r="D1359" s="197"/>
      <c r="E1359" s="212"/>
      <c r="F1359" s="29" t="str">
        <f>IFERROR(VLOOKUP(E1359,'Inventaire des produits'!$B$4:$K$1001,2,0),"")</f>
        <v/>
      </c>
      <c r="G1359" s="212"/>
      <c r="H1359" s="30" t="str">
        <f>IFERROR(VLOOKUP(E1359,'Inventaire des produits'!$B$4:$K$1001,8,0),"")</f>
        <v/>
      </c>
      <c r="I1359" s="32" t="str">
        <f t="shared" si="40"/>
        <v/>
      </c>
      <c r="K1359" s="127" t="str">
        <f t="shared" si="39"/>
        <v/>
      </c>
    </row>
    <row r="1360" spans="2:11" x14ac:dyDescent="0.3">
      <c r="B1360" s="197"/>
      <c r="C1360" s="198"/>
      <c r="D1360" s="197"/>
      <c r="E1360" s="212"/>
      <c r="F1360" s="29" t="str">
        <f>IFERROR(VLOOKUP(E1360,'Inventaire des produits'!$B$4:$K$1001,2,0),"")</f>
        <v/>
      </c>
      <c r="G1360" s="212"/>
      <c r="H1360" s="30" t="str">
        <f>IFERROR(VLOOKUP(E1360,'Inventaire des produits'!$B$4:$K$1001,8,0),"")</f>
        <v/>
      </c>
      <c r="I1360" s="32" t="str">
        <f t="shared" si="40"/>
        <v/>
      </c>
      <c r="K1360" s="127" t="str">
        <f t="shared" si="39"/>
        <v/>
      </c>
    </row>
    <row r="1361" spans="2:11" x14ac:dyDescent="0.3">
      <c r="B1361" s="197"/>
      <c r="C1361" s="198"/>
      <c r="D1361" s="197"/>
      <c r="E1361" s="212"/>
      <c r="F1361" s="29" t="str">
        <f>IFERROR(VLOOKUP(E1361,'Inventaire des produits'!$B$4:$K$1001,2,0),"")</f>
        <v/>
      </c>
      <c r="G1361" s="212"/>
      <c r="H1361" s="30" t="str">
        <f>IFERROR(VLOOKUP(E1361,'Inventaire des produits'!$B$4:$K$1001,8,0),"")</f>
        <v/>
      </c>
      <c r="I1361" s="32" t="str">
        <f t="shared" si="40"/>
        <v/>
      </c>
      <c r="K1361" s="127" t="str">
        <f t="shared" si="39"/>
        <v/>
      </c>
    </row>
    <row r="1362" spans="2:11" x14ac:dyDescent="0.3">
      <c r="B1362" s="197"/>
      <c r="C1362" s="198"/>
      <c r="D1362" s="197"/>
      <c r="E1362" s="212"/>
      <c r="F1362" s="29" t="str">
        <f>IFERROR(VLOOKUP(E1362,'Inventaire des produits'!$B$4:$K$1001,2,0),"")</f>
        <v/>
      </c>
      <c r="G1362" s="212"/>
      <c r="H1362" s="30" t="str">
        <f>IFERROR(VLOOKUP(E1362,'Inventaire des produits'!$B$4:$K$1001,8,0),"")</f>
        <v/>
      </c>
      <c r="I1362" s="32" t="str">
        <f t="shared" si="40"/>
        <v/>
      </c>
      <c r="K1362" s="127" t="str">
        <f t="shared" si="39"/>
        <v/>
      </c>
    </row>
    <row r="1363" spans="2:11" x14ac:dyDescent="0.3">
      <c r="B1363" s="197"/>
      <c r="C1363" s="198"/>
      <c r="D1363" s="197"/>
      <c r="E1363" s="212"/>
      <c r="F1363" s="29" t="str">
        <f>IFERROR(VLOOKUP(E1363,'Inventaire des produits'!$B$4:$K$1001,2,0),"")</f>
        <v/>
      </c>
      <c r="G1363" s="212"/>
      <c r="H1363" s="30" t="str">
        <f>IFERROR(VLOOKUP(E1363,'Inventaire des produits'!$B$4:$K$1001,8,0),"")</f>
        <v/>
      </c>
      <c r="I1363" s="32" t="str">
        <f t="shared" si="40"/>
        <v/>
      </c>
      <c r="K1363" s="127" t="str">
        <f t="shared" si="39"/>
        <v/>
      </c>
    </row>
    <row r="1364" spans="2:11" x14ac:dyDescent="0.3">
      <c r="B1364" s="197"/>
      <c r="C1364" s="198"/>
      <c r="D1364" s="197"/>
      <c r="E1364" s="212"/>
      <c r="F1364" s="29" t="str">
        <f>IFERROR(VLOOKUP(E1364,'Inventaire des produits'!$B$4:$K$1001,2,0),"")</f>
        <v/>
      </c>
      <c r="G1364" s="212"/>
      <c r="H1364" s="30" t="str">
        <f>IFERROR(VLOOKUP(E1364,'Inventaire des produits'!$B$4:$K$1001,8,0),"")</f>
        <v/>
      </c>
      <c r="I1364" s="32" t="str">
        <f t="shared" si="40"/>
        <v/>
      </c>
      <c r="K1364" s="127" t="str">
        <f t="shared" si="39"/>
        <v/>
      </c>
    </row>
    <row r="1365" spans="2:11" x14ac:dyDescent="0.3">
      <c r="B1365" s="197"/>
      <c r="C1365" s="198"/>
      <c r="D1365" s="197"/>
      <c r="E1365" s="212"/>
      <c r="F1365" s="29" t="str">
        <f>IFERROR(VLOOKUP(E1365,'Inventaire des produits'!$B$4:$K$1001,2,0),"")</f>
        <v/>
      </c>
      <c r="G1365" s="212"/>
      <c r="H1365" s="30" t="str">
        <f>IFERROR(VLOOKUP(E1365,'Inventaire des produits'!$B$4:$K$1001,8,0),"")</f>
        <v/>
      </c>
      <c r="I1365" s="32" t="str">
        <f t="shared" si="40"/>
        <v/>
      </c>
      <c r="K1365" s="127" t="str">
        <f t="shared" si="39"/>
        <v/>
      </c>
    </row>
    <row r="1366" spans="2:11" x14ac:dyDescent="0.3">
      <c r="B1366" s="197"/>
      <c r="C1366" s="198"/>
      <c r="D1366" s="197"/>
      <c r="E1366" s="212"/>
      <c r="F1366" s="29" t="str">
        <f>IFERROR(VLOOKUP(E1366,'Inventaire des produits'!$B$4:$K$1001,2,0),"")</f>
        <v/>
      </c>
      <c r="G1366" s="212"/>
      <c r="H1366" s="30" t="str">
        <f>IFERROR(VLOOKUP(E1366,'Inventaire des produits'!$B$4:$K$1001,8,0),"")</f>
        <v/>
      </c>
      <c r="I1366" s="32" t="str">
        <f t="shared" si="40"/>
        <v/>
      </c>
      <c r="K1366" s="127" t="str">
        <f t="shared" si="39"/>
        <v/>
      </c>
    </row>
    <row r="1367" spans="2:11" x14ac:dyDescent="0.3">
      <c r="B1367" s="197"/>
      <c r="C1367" s="198"/>
      <c r="D1367" s="197"/>
      <c r="E1367" s="212"/>
      <c r="F1367" s="29" t="str">
        <f>IFERROR(VLOOKUP(E1367,'Inventaire des produits'!$B$4:$K$1001,2,0),"")</f>
        <v/>
      </c>
      <c r="G1367" s="212"/>
      <c r="H1367" s="30" t="str">
        <f>IFERROR(VLOOKUP(E1367,'Inventaire des produits'!$B$4:$K$1001,8,0),"")</f>
        <v/>
      </c>
      <c r="I1367" s="32" t="str">
        <f t="shared" si="40"/>
        <v/>
      </c>
      <c r="K1367" s="127" t="str">
        <f t="shared" si="39"/>
        <v/>
      </c>
    </row>
    <row r="1368" spans="2:11" x14ac:dyDescent="0.3">
      <c r="B1368" s="197"/>
      <c r="C1368" s="198"/>
      <c r="D1368" s="197"/>
      <c r="E1368" s="212"/>
      <c r="F1368" s="29" t="str">
        <f>IFERROR(VLOOKUP(E1368,'Inventaire des produits'!$B$4:$K$1001,2,0),"")</f>
        <v/>
      </c>
      <c r="G1368" s="212"/>
      <c r="H1368" s="30" t="str">
        <f>IFERROR(VLOOKUP(E1368,'Inventaire des produits'!$B$4:$K$1001,8,0),"")</f>
        <v/>
      </c>
      <c r="I1368" s="32" t="str">
        <f t="shared" si="40"/>
        <v/>
      </c>
      <c r="K1368" s="127" t="str">
        <f t="shared" si="39"/>
        <v/>
      </c>
    </row>
    <row r="1369" spans="2:11" x14ac:dyDescent="0.3">
      <c r="B1369" s="197"/>
      <c r="C1369" s="198"/>
      <c r="D1369" s="197"/>
      <c r="E1369" s="212"/>
      <c r="F1369" s="29" t="str">
        <f>IFERROR(VLOOKUP(E1369,'Inventaire des produits'!$B$4:$K$1001,2,0),"")</f>
        <v/>
      </c>
      <c r="G1369" s="212"/>
      <c r="H1369" s="30" t="str">
        <f>IFERROR(VLOOKUP(E1369,'Inventaire des produits'!$B$4:$K$1001,8,0),"")</f>
        <v/>
      </c>
      <c r="I1369" s="32" t="str">
        <f t="shared" si="40"/>
        <v/>
      </c>
      <c r="K1369" s="127" t="str">
        <f t="shared" si="39"/>
        <v/>
      </c>
    </row>
    <row r="1370" spans="2:11" x14ac:dyDescent="0.3">
      <c r="B1370" s="197"/>
      <c r="C1370" s="198"/>
      <c r="D1370" s="197"/>
      <c r="E1370" s="212"/>
      <c r="F1370" s="29" t="str">
        <f>IFERROR(VLOOKUP(E1370,'Inventaire des produits'!$B$4:$K$1001,2,0),"")</f>
        <v/>
      </c>
      <c r="G1370" s="212"/>
      <c r="H1370" s="30" t="str">
        <f>IFERROR(VLOOKUP(E1370,'Inventaire des produits'!$B$4:$K$1001,8,0),"")</f>
        <v/>
      </c>
      <c r="I1370" s="32" t="str">
        <f t="shared" si="40"/>
        <v/>
      </c>
      <c r="K1370" s="127" t="str">
        <f t="shared" si="39"/>
        <v/>
      </c>
    </row>
    <row r="1371" spans="2:11" x14ac:dyDescent="0.3">
      <c r="B1371" s="197"/>
      <c r="C1371" s="198"/>
      <c r="D1371" s="197"/>
      <c r="E1371" s="212"/>
      <c r="F1371" s="29" t="str">
        <f>IFERROR(VLOOKUP(E1371,'Inventaire des produits'!$B$4:$K$1001,2,0),"")</f>
        <v/>
      </c>
      <c r="G1371" s="212"/>
      <c r="H1371" s="30" t="str">
        <f>IFERROR(VLOOKUP(E1371,'Inventaire des produits'!$B$4:$K$1001,8,0),"")</f>
        <v/>
      </c>
      <c r="I1371" s="32" t="str">
        <f t="shared" si="40"/>
        <v/>
      </c>
      <c r="K1371" s="127" t="str">
        <f t="shared" si="39"/>
        <v/>
      </c>
    </row>
    <row r="1372" spans="2:11" x14ac:dyDescent="0.3">
      <c r="B1372" s="197"/>
      <c r="C1372" s="198"/>
      <c r="D1372" s="197"/>
      <c r="E1372" s="212"/>
      <c r="F1372" s="29" t="str">
        <f>IFERROR(VLOOKUP(E1372,'Inventaire des produits'!$B$4:$K$1001,2,0),"")</f>
        <v/>
      </c>
      <c r="G1372" s="212"/>
      <c r="H1372" s="30" t="str">
        <f>IFERROR(VLOOKUP(E1372,'Inventaire des produits'!$B$4:$K$1001,8,0),"")</f>
        <v/>
      </c>
      <c r="I1372" s="32" t="str">
        <f t="shared" si="40"/>
        <v/>
      </c>
      <c r="K1372" s="127" t="str">
        <f t="shared" si="39"/>
        <v/>
      </c>
    </row>
    <row r="1373" spans="2:11" x14ac:dyDescent="0.3">
      <c r="B1373" s="197"/>
      <c r="C1373" s="198"/>
      <c r="D1373" s="197"/>
      <c r="E1373" s="212"/>
      <c r="F1373" s="29" t="str">
        <f>IFERROR(VLOOKUP(E1373,'Inventaire des produits'!$B$4:$K$1001,2,0),"")</f>
        <v/>
      </c>
      <c r="G1373" s="212"/>
      <c r="H1373" s="30" t="str">
        <f>IFERROR(VLOOKUP(E1373,'Inventaire des produits'!$B$4:$K$1001,8,0),"")</f>
        <v/>
      </c>
      <c r="I1373" s="32" t="str">
        <f t="shared" si="40"/>
        <v/>
      </c>
      <c r="K1373" s="127" t="str">
        <f t="shared" si="39"/>
        <v/>
      </c>
    </row>
    <row r="1374" spans="2:11" x14ac:dyDescent="0.3">
      <c r="B1374" s="197"/>
      <c r="C1374" s="198"/>
      <c r="D1374" s="197"/>
      <c r="E1374" s="212"/>
      <c r="F1374" s="29" t="str">
        <f>IFERROR(VLOOKUP(E1374,'Inventaire des produits'!$B$4:$K$1001,2,0),"")</f>
        <v/>
      </c>
      <c r="G1374" s="212"/>
      <c r="H1374" s="30" t="str">
        <f>IFERROR(VLOOKUP(E1374,'Inventaire des produits'!$B$4:$K$1001,8,0),"")</f>
        <v/>
      </c>
      <c r="I1374" s="32" t="str">
        <f t="shared" si="40"/>
        <v/>
      </c>
      <c r="K1374" s="127" t="str">
        <f t="shared" si="39"/>
        <v/>
      </c>
    </row>
    <row r="1375" spans="2:11" x14ac:dyDescent="0.3">
      <c r="B1375" s="197"/>
      <c r="C1375" s="198"/>
      <c r="D1375" s="197"/>
      <c r="E1375" s="212"/>
      <c r="F1375" s="29" t="str">
        <f>IFERROR(VLOOKUP(E1375,'Inventaire des produits'!$B$4:$K$1001,2,0),"")</f>
        <v/>
      </c>
      <c r="G1375" s="212"/>
      <c r="H1375" s="30" t="str">
        <f>IFERROR(VLOOKUP(E1375,'Inventaire des produits'!$B$4:$K$1001,8,0),"")</f>
        <v/>
      </c>
      <c r="I1375" s="32" t="str">
        <f t="shared" si="40"/>
        <v/>
      </c>
      <c r="K1375" s="127" t="str">
        <f t="shared" si="39"/>
        <v/>
      </c>
    </row>
    <row r="1376" spans="2:11" x14ac:dyDescent="0.3">
      <c r="B1376" s="197"/>
      <c r="C1376" s="198"/>
      <c r="D1376" s="197"/>
      <c r="E1376" s="212"/>
      <c r="F1376" s="29" t="str">
        <f>IFERROR(VLOOKUP(E1376,'Inventaire des produits'!$B$4:$K$1001,2,0),"")</f>
        <v/>
      </c>
      <c r="G1376" s="212"/>
      <c r="H1376" s="30" t="str">
        <f>IFERROR(VLOOKUP(E1376,'Inventaire des produits'!$B$4:$K$1001,8,0),"")</f>
        <v/>
      </c>
      <c r="I1376" s="32" t="str">
        <f t="shared" si="40"/>
        <v/>
      </c>
      <c r="K1376" s="127" t="str">
        <f t="shared" si="39"/>
        <v/>
      </c>
    </row>
    <row r="1377" spans="2:11" x14ac:dyDescent="0.3">
      <c r="B1377" s="197"/>
      <c r="C1377" s="198"/>
      <c r="D1377" s="197"/>
      <c r="E1377" s="212"/>
      <c r="F1377" s="29" t="str">
        <f>IFERROR(VLOOKUP(E1377,'Inventaire des produits'!$B$4:$K$1001,2,0),"")</f>
        <v/>
      </c>
      <c r="G1377" s="212"/>
      <c r="H1377" s="30" t="str">
        <f>IFERROR(VLOOKUP(E1377,'Inventaire des produits'!$B$4:$K$1001,8,0),"")</f>
        <v/>
      </c>
      <c r="I1377" s="32" t="str">
        <f t="shared" si="40"/>
        <v/>
      </c>
      <c r="K1377" s="127" t="str">
        <f t="shared" si="39"/>
        <v/>
      </c>
    </row>
    <row r="1378" spans="2:11" x14ac:dyDescent="0.3">
      <c r="B1378" s="197"/>
      <c r="C1378" s="198"/>
      <c r="D1378" s="197"/>
      <c r="E1378" s="212"/>
      <c r="F1378" s="29" t="str">
        <f>IFERROR(VLOOKUP(E1378,'Inventaire des produits'!$B$4:$K$1001,2,0),"")</f>
        <v/>
      </c>
      <c r="G1378" s="212"/>
      <c r="H1378" s="30" t="str">
        <f>IFERROR(VLOOKUP(E1378,'Inventaire des produits'!$B$4:$K$1001,8,0),"")</f>
        <v/>
      </c>
      <c r="I1378" s="32" t="str">
        <f t="shared" si="40"/>
        <v/>
      </c>
      <c r="K1378" s="127" t="str">
        <f t="shared" si="39"/>
        <v/>
      </c>
    </row>
    <row r="1379" spans="2:11" x14ac:dyDescent="0.3">
      <c r="B1379" s="197"/>
      <c r="C1379" s="198"/>
      <c r="D1379" s="197"/>
      <c r="E1379" s="212"/>
      <c r="F1379" s="29" t="str">
        <f>IFERROR(VLOOKUP(E1379,'Inventaire des produits'!$B$4:$K$1001,2,0),"")</f>
        <v/>
      </c>
      <c r="G1379" s="212"/>
      <c r="H1379" s="30" t="str">
        <f>IFERROR(VLOOKUP(E1379,'Inventaire des produits'!$B$4:$K$1001,8,0),"")</f>
        <v/>
      </c>
      <c r="I1379" s="32" t="str">
        <f t="shared" si="40"/>
        <v/>
      </c>
      <c r="K1379" s="127" t="str">
        <f t="shared" si="39"/>
        <v/>
      </c>
    </row>
    <row r="1380" spans="2:11" x14ac:dyDescent="0.3">
      <c r="B1380" s="197"/>
      <c r="C1380" s="198"/>
      <c r="D1380" s="197"/>
      <c r="E1380" s="212"/>
      <c r="F1380" s="29" t="str">
        <f>IFERROR(VLOOKUP(E1380,'Inventaire des produits'!$B$4:$K$1001,2,0),"")</f>
        <v/>
      </c>
      <c r="G1380" s="212"/>
      <c r="H1380" s="30" t="str">
        <f>IFERROR(VLOOKUP(E1380,'Inventaire des produits'!$B$4:$K$1001,8,0),"")</f>
        <v/>
      </c>
      <c r="I1380" s="32" t="str">
        <f t="shared" si="40"/>
        <v/>
      </c>
      <c r="K1380" s="127" t="str">
        <f t="shared" si="39"/>
        <v/>
      </c>
    </row>
    <row r="1381" spans="2:11" x14ac:dyDescent="0.3">
      <c r="B1381" s="197"/>
      <c r="C1381" s="198"/>
      <c r="D1381" s="197"/>
      <c r="E1381" s="212"/>
      <c r="F1381" s="29" t="str">
        <f>IFERROR(VLOOKUP(E1381,'Inventaire des produits'!$B$4:$K$1001,2,0),"")</f>
        <v/>
      </c>
      <c r="G1381" s="212"/>
      <c r="H1381" s="30" t="str">
        <f>IFERROR(VLOOKUP(E1381,'Inventaire des produits'!$B$4:$K$1001,8,0),"")</f>
        <v/>
      </c>
      <c r="I1381" s="32" t="str">
        <f t="shared" si="40"/>
        <v/>
      </c>
      <c r="K1381" s="127" t="str">
        <f t="shared" si="39"/>
        <v/>
      </c>
    </row>
    <row r="1382" spans="2:11" x14ac:dyDescent="0.3">
      <c r="B1382" s="197"/>
      <c r="C1382" s="198"/>
      <c r="D1382" s="197"/>
      <c r="E1382" s="212"/>
      <c r="F1382" s="29" t="str">
        <f>IFERROR(VLOOKUP(E1382,'Inventaire des produits'!$B$4:$K$1001,2,0),"")</f>
        <v/>
      </c>
      <c r="G1382" s="212"/>
      <c r="H1382" s="30" t="str">
        <f>IFERROR(VLOOKUP(E1382,'Inventaire des produits'!$B$4:$K$1001,8,0),"")</f>
        <v/>
      </c>
      <c r="I1382" s="32" t="str">
        <f t="shared" si="40"/>
        <v/>
      </c>
      <c r="K1382" s="127" t="str">
        <f t="shared" si="39"/>
        <v/>
      </c>
    </row>
    <row r="1383" spans="2:11" x14ac:dyDescent="0.3">
      <c r="B1383" s="197"/>
      <c r="C1383" s="198"/>
      <c r="D1383" s="197"/>
      <c r="E1383" s="212"/>
      <c r="F1383" s="29" t="str">
        <f>IFERROR(VLOOKUP(E1383,'Inventaire des produits'!$B$4:$K$1001,2,0),"")</f>
        <v/>
      </c>
      <c r="G1383" s="212"/>
      <c r="H1383" s="30" t="str">
        <f>IFERROR(VLOOKUP(E1383,'Inventaire des produits'!$B$4:$K$1001,8,0),"")</f>
        <v/>
      </c>
      <c r="I1383" s="32" t="str">
        <f t="shared" si="40"/>
        <v/>
      </c>
      <c r="K1383" s="127" t="str">
        <f t="shared" si="39"/>
        <v/>
      </c>
    </row>
    <row r="1384" spans="2:11" x14ac:dyDescent="0.3">
      <c r="B1384" s="197"/>
      <c r="C1384" s="198"/>
      <c r="D1384" s="197"/>
      <c r="E1384" s="212"/>
      <c r="F1384" s="29" t="str">
        <f>IFERROR(VLOOKUP(E1384,'Inventaire des produits'!$B$4:$K$1001,2,0),"")</f>
        <v/>
      </c>
      <c r="G1384" s="212"/>
      <c r="H1384" s="30" t="str">
        <f>IFERROR(VLOOKUP(E1384,'Inventaire des produits'!$B$4:$K$1001,8,0),"")</f>
        <v/>
      </c>
      <c r="I1384" s="32" t="str">
        <f t="shared" si="40"/>
        <v/>
      </c>
      <c r="K1384" s="127" t="str">
        <f t="shared" si="39"/>
        <v/>
      </c>
    </row>
    <row r="1385" spans="2:11" x14ac:dyDescent="0.3">
      <c r="B1385" s="197"/>
      <c r="C1385" s="198"/>
      <c r="D1385" s="197"/>
      <c r="E1385" s="212"/>
      <c r="F1385" s="29" t="str">
        <f>IFERROR(VLOOKUP(E1385,'Inventaire des produits'!$B$4:$K$1001,2,0),"")</f>
        <v/>
      </c>
      <c r="G1385" s="212"/>
      <c r="H1385" s="30" t="str">
        <f>IFERROR(VLOOKUP(E1385,'Inventaire des produits'!$B$4:$K$1001,8,0),"")</f>
        <v/>
      </c>
      <c r="I1385" s="32" t="str">
        <f t="shared" si="40"/>
        <v/>
      </c>
      <c r="K1385" s="127" t="str">
        <f t="shared" si="39"/>
        <v/>
      </c>
    </row>
    <row r="1386" spans="2:11" x14ac:dyDescent="0.3">
      <c r="B1386" s="197"/>
      <c r="C1386" s="198"/>
      <c r="D1386" s="197"/>
      <c r="E1386" s="212"/>
      <c r="F1386" s="29" t="str">
        <f>IFERROR(VLOOKUP(E1386,'Inventaire des produits'!$B$4:$K$1001,2,0),"")</f>
        <v/>
      </c>
      <c r="G1386" s="212"/>
      <c r="H1386" s="30" t="str">
        <f>IFERROR(VLOOKUP(E1386,'Inventaire des produits'!$B$4:$K$1001,8,0),"")</f>
        <v/>
      </c>
      <c r="I1386" s="32" t="str">
        <f t="shared" si="40"/>
        <v/>
      </c>
      <c r="K1386" s="127" t="str">
        <f t="shared" si="39"/>
        <v/>
      </c>
    </row>
    <row r="1387" spans="2:11" x14ac:dyDescent="0.3">
      <c r="B1387" s="197"/>
      <c r="C1387" s="198"/>
      <c r="D1387" s="197"/>
      <c r="E1387" s="212"/>
      <c r="F1387" s="29" t="str">
        <f>IFERROR(VLOOKUP(E1387,'Inventaire des produits'!$B$4:$K$1001,2,0),"")</f>
        <v/>
      </c>
      <c r="G1387" s="212"/>
      <c r="H1387" s="30" t="str">
        <f>IFERROR(VLOOKUP(E1387,'Inventaire des produits'!$B$4:$K$1001,8,0),"")</f>
        <v/>
      </c>
      <c r="I1387" s="32" t="str">
        <f t="shared" si="40"/>
        <v/>
      </c>
      <c r="K1387" s="127" t="str">
        <f t="shared" si="39"/>
        <v/>
      </c>
    </row>
    <row r="1388" spans="2:11" x14ac:dyDescent="0.3">
      <c r="B1388" s="197"/>
      <c r="C1388" s="198"/>
      <c r="D1388" s="197"/>
      <c r="E1388" s="212"/>
      <c r="F1388" s="29" t="str">
        <f>IFERROR(VLOOKUP(E1388,'Inventaire des produits'!$B$4:$K$1001,2,0),"")</f>
        <v/>
      </c>
      <c r="G1388" s="212"/>
      <c r="H1388" s="30" t="str">
        <f>IFERROR(VLOOKUP(E1388,'Inventaire des produits'!$B$4:$K$1001,8,0),"")</f>
        <v/>
      </c>
      <c r="I1388" s="32" t="str">
        <f t="shared" si="40"/>
        <v/>
      </c>
      <c r="K1388" s="127" t="str">
        <f t="shared" si="39"/>
        <v/>
      </c>
    </row>
    <row r="1389" spans="2:11" x14ac:dyDescent="0.3">
      <c r="B1389" s="197"/>
      <c r="C1389" s="198"/>
      <c r="D1389" s="197"/>
      <c r="E1389" s="212"/>
      <c r="F1389" s="29" t="str">
        <f>IFERROR(VLOOKUP(E1389,'Inventaire des produits'!$B$4:$K$1001,2,0),"")</f>
        <v/>
      </c>
      <c r="G1389" s="212"/>
      <c r="H1389" s="30" t="str">
        <f>IFERROR(VLOOKUP(E1389,'Inventaire des produits'!$B$4:$K$1001,8,0),"")</f>
        <v/>
      </c>
      <c r="I1389" s="32" t="str">
        <f t="shared" si="40"/>
        <v/>
      </c>
      <c r="K1389" s="127" t="str">
        <f t="shared" si="39"/>
        <v/>
      </c>
    </row>
    <row r="1390" spans="2:11" x14ac:dyDescent="0.3">
      <c r="B1390" s="197"/>
      <c r="C1390" s="198"/>
      <c r="D1390" s="197"/>
      <c r="E1390" s="212"/>
      <c r="F1390" s="29" t="str">
        <f>IFERROR(VLOOKUP(E1390,'Inventaire des produits'!$B$4:$K$1001,2,0),"")</f>
        <v/>
      </c>
      <c r="G1390" s="212"/>
      <c r="H1390" s="30" t="str">
        <f>IFERROR(VLOOKUP(E1390,'Inventaire des produits'!$B$4:$K$1001,8,0),"")</f>
        <v/>
      </c>
      <c r="I1390" s="32" t="str">
        <f t="shared" si="40"/>
        <v/>
      </c>
      <c r="K1390" s="127" t="str">
        <f t="shared" si="39"/>
        <v/>
      </c>
    </row>
    <row r="1391" spans="2:11" x14ac:dyDescent="0.3">
      <c r="B1391" s="197"/>
      <c r="C1391" s="198"/>
      <c r="D1391" s="197"/>
      <c r="E1391" s="212"/>
      <c r="F1391" s="29" t="str">
        <f>IFERROR(VLOOKUP(E1391,'Inventaire des produits'!$B$4:$K$1001,2,0),"")</f>
        <v/>
      </c>
      <c r="G1391" s="212"/>
      <c r="H1391" s="30" t="str">
        <f>IFERROR(VLOOKUP(E1391,'Inventaire des produits'!$B$4:$K$1001,8,0),"")</f>
        <v/>
      </c>
      <c r="I1391" s="32" t="str">
        <f t="shared" si="40"/>
        <v/>
      </c>
      <c r="K1391" s="127" t="str">
        <f t="shared" si="39"/>
        <v/>
      </c>
    </row>
    <row r="1392" spans="2:11" x14ac:dyDescent="0.3">
      <c r="B1392" s="197"/>
      <c r="C1392" s="198"/>
      <c r="D1392" s="197"/>
      <c r="E1392" s="212"/>
      <c r="F1392" s="29" t="str">
        <f>IFERROR(VLOOKUP(E1392,'Inventaire des produits'!$B$4:$K$1001,2,0),"")</f>
        <v/>
      </c>
      <c r="G1392" s="212"/>
      <c r="H1392" s="30" t="str">
        <f>IFERROR(VLOOKUP(E1392,'Inventaire des produits'!$B$4:$K$1001,8,0),"")</f>
        <v/>
      </c>
      <c r="I1392" s="32" t="str">
        <f t="shared" si="40"/>
        <v/>
      </c>
      <c r="K1392" s="127" t="str">
        <f t="shared" si="39"/>
        <v/>
      </c>
    </row>
    <row r="1393" spans="2:11" x14ac:dyDescent="0.3">
      <c r="B1393" s="197"/>
      <c r="C1393" s="198"/>
      <c r="D1393" s="197"/>
      <c r="E1393" s="212"/>
      <c r="F1393" s="29" t="str">
        <f>IFERROR(VLOOKUP(E1393,'Inventaire des produits'!$B$4:$K$1001,2,0),"")</f>
        <v/>
      </c>
      <c r="G1393" s="212"/>
      <c r="H1393" s="30" t="str">
        <f>IFERROR(VLOOKUP(E1393,'Inventaire des produits'!$B$4:$K$1001,8,0),"")</f>
        <v/>
      </c>
      <c r="I1393" s="32" t="str">
        <f t="shared" si="40"/>
        <v/>
      </c>
      <c r="K1393" s="127" t="str">
        <f t="shared" si="39"/>
        <v/>
      </c>
    </row>
    <row r="1394" spans="2:11" x14ac:dyDescent="0.3">
      <c r="B1394" s="197"/>
      <c r="C1394" s="198"/>
      <c r="D1394" s="197"/>
      <c r="E1394" s="212"/>
      <c r="F1394" s="29" t="str">
        <f>IFERROR(VLOOKUP(E1394,'Inventaire des produits'!$B$4:$K$1001,2,0),"")</f>
        <v/>
      </c>
      <c r="G1394" s="212"/>
      <c r="H1394" s="30" t="str">
        <f>IFERROR(VLOOKUP(E1394,'Inventaire des produits'!$B$4:$K$1001,8,0),"")</f>
        <v/>
      </c>
      <c r="I1394" s="32" t="str">
        <f t="shared" si="40"/>
        <v/>
      </c>
      <c r="K1394" s="127" t="str">
        <f t="shared" si="39"/>
        <v/>
      </c>
    </row>
    <row r="1395" spans="2:11" x14ac:dyDescent="0.3">
      <c r="B1395" s="197"/>
      <c r="C1395" s="198"/>
      <c r="D1395" s="197"/>
      <c r="E1395" s="212"/>
      <c r="F1395" s="29" t="str">
        <f>IFERROR(VLOOKUP(E1395,'Inventaire des produits'!$B$4:$K$1001,2,0),"")</f>
        <v/>
      </c>
      <c r="G1395" s="212"/>
      <c r="H1395" s="30" t="str">
        <f>IFERROR(VLOOKUP(E1395,'Inventaire des produits'!$B$4:$K$1001,8,0),"")</f>
        <v/>
      </c>
      <c r="I1395" s="32" t="str">
        <f t="shared" si="40"/>
        <v/>
      </c>
      <c r="K1395" s="127" t="str">
        <f t="shared" si="39"/>
        <v/>
      </c>
    </row>
    <row r="1396" spans="2:11" x14ac:dyDescent="0.3">
      <c r="B1396" s="197"/>
      <c r="C1396" s="198"/>
      <c r="D1396" s="197"/>
      <c r="E1396" s="212"/>
      <c r="F1396" s="29" t="str">
        <f>IFERROR(VLOOKUP(E1396,'Inventaire des produits'!$B$4:$K$1001,2,0),"")</f>
        <v/>
      </c>
      <c r="G1396" s="212"/>
      <c r="H1396" s="30" t="str">
        <f>IFERROR(VLOOKUP(E1396,'Inventaire des produits'!$B$4:$K$1001,8,0),"")</f>
        <v/>
      </c>
      <c r="I1396" s="32" t="str">
        <f t="shared" si="40"/>
        <v/>
      </c>
      <c r="K1396" s="127" t="str">
        <f t="shared" si="39"/>
        <v/>
      </c>
    </row>
    <row r="1397" spans="2:11" x14ac:dyDescent="0.3">
      <c r="B1397" s="197"/>
      <c r="C1397" s="198"/>
      <c r="D1397" s="197"/>
      <c r="E1397" s="212"/>
      <c r="F1397" s="29" t="str">
        <f>IFERROR(VLOOKUP(E1397,'Inventaire des produits'!$B$4:$K$1001,2,0),"")</f>
        <v/>
      </c>
      <c r="G1397" s="212"/>
      <c r="H1397" s="30" t="str">
        <f>IFERROR(VLOOKUP(E1397,'Inventaire des produits'!$B$4:$K$1001,8,0),"")</f>
        <v/>
      </c>
      <c r="I1397" s="32" t="str">
        <f t="shared" si="40"/>
        <v/>
      </c>
      <c r="K1397" s="127" t="str">
        <f t="shared" si="39"/>
        <v/>
      </c>
    </row>
    <row r="1398" spans="2:11" x14ac:dyDescent="0.3">
      <c r="B1398" s="197"/>
      <c r="C1398" s="198"/>
      <c r="D1398" s="197"/>
      <c r="E1398" s="212"/>
      <c r="F1398" s="29" t="str">
        <f>IFERROR(VLOOKUP(E1398,'Inventaire des produits'!$B$4:$K$1001,2,0),"")</f>
        <v/>
      </c>
      <c r="G1398" s="212"/>
      <c r="H1398" s="30" t="str">
        <f>IFERROR(VLOOKUP(E1398,'Inventaire des produits'!$B$4:$K$1001,8,0),"")</f>
        <v/>
      </c>
      <c r="I1398" s="32" t="str">
        <f t="shared" si="40"/>
        <v/>
      </c>
      <c r="K1398" s="127" t="str">
        <f t="shared" si="39"/>
        <v/>
      </c>
    </row>
    <row r="1399" spans="2:11" x14ac:dyDescent="0.3">
      <c r="B1399" s="197"/>
      <c r="C1399" s="198"/>
      <c r="D1399" s="197"/>
      <c r="E1399" s="212"/>
      <c r="F1399" s="29" t="str">
        <f>IFERROR(VLOOKUP(E1399,'Inventaire des produits'!$B$4:$K$1001,2,0),"")</f>
        <v/>
      </c>
      <c r="G1399" s="212"/>
      <c r="H1399" s="30" t="str">
        <f>IFERROR(VLOOKUP(E1399,'Inventaire des produits'!$B$4:$K$1001,8,0),"")</f>
        <v/>
      </c>
      <c r="I1399" s="32" t="str">
        <f t="shared" si="40"/>
        <v/>
      </c>
      <c r="K1399" s="127" t="str">
        <f t="shared" si="39"/>
        <v/>
      </c>
    </row>
    <row r="1400" spans="2:11" x14ac:dyDescent="0.3">
      <c r="B1400" s="197"/>
      <c r="C1400" s="198"/>
      <c r="D1400" s="197"/>
      <c r="E1400" s="212"/>
      <c r="F1400" s="29" t="str">
        <f>IFERROR(VLOOKUP(E1400,'Inventaire des produits'!$B$4:$K$1001,2,0),"")</f>
        <v/>
      </c>
      <c r="G1400" s="212"/>
      <c r="H1400" s="30" t="str">
        <f>IFERROR(VLOOKUP(E1400,'Inventaire des produits'!$B$4:$K$1001,8,0),"")</f>
        <v/>
      </c>
      <c r="I1400" s="32" t="str">
        <f t="shared" si="40"/>
        <v/>
      </c>
      <c r="K1400" s="127" t="str">
        <f t="shared" si="39"/>
        <v/>
      </c>
    </row>
    <row r="1401" spans="2:11" x14ac:dyDescent="0.3">
      <c r="B1401" s="197"/>
      <c r="C1401" s="198"/>
      <c r="D1401" s="197"/>
      <c r="E1401" s="212"/>
      <c r="F1401" s="29" t="str">
        <f>IFERROR(VLOOKUP(E1401,'Inventaire des produits'!$B$4:$K$1001,2,0),"")</f>
        <v/>
      </c>
      <c r="G1401" s="212"/>
      <c r="H1401" s="30" t="str">
        <f>IFERROR(VLOOKUP(E1401,'Inventaire des produits'!$B$4:$K$1001,8,0),"")</f>
        <v/>
      </c>
      <c r="I1401" s="32" t="str">
        <f t="shared" si="40"/>
        <v/>
      </c>
      <c r="K1401" s="127" t="str">
        <f t="shared" si="39"/>
        <v/>
      </c>
    </row>
    <row r="1402" spans="2:11" x14ac:dyDescent="0.3">
      <c r="B1402" s="197"/>
      <c r="C1402" s="198"/>
      <c r="D1402" s="197"/>
      <c r="E1402" s="212"/>
      <c r="F1402" s="29" t="str">
        <f>IFERROR(VLOOKUP(E1402,'Inventaire des produits'!$B$4:$K$1001,2,0),"")</f>
        <v/>
      </c>
      <c r="G1402" s="212"/>
      <c r="H1402" s="30" t="str">
        <f>IFERROR(VLOOKUP(E1402,'Inventaire des produits'!$B$4:$K$1001,8,0),"")</f>
        <v/>
      </c>
      <c r="I1402" s="32" t="str">
        <f t="shared" si="40"/>
        <v/>
      </c>
      <c r="K1402" s="127" t="str">
        <f t="shared" si="39"/>
        <v/>
      </c>
    </row>
    <row r="1403" spans="2:11" x14ac:dyDescent="0.3">
      <c r="B1403" s="197"/>
      <c r="C1403" s="198"/>
      <c r="D1403" s="197"/>
      <c r="E1403" s="212"/>
      <c r="F1403" s="29" t="str">
        <f>IFERROR(VLOOKUP(E1403,'Inventaire des produits'!$B$4:$K$1001,2,0),"")</f>
        <v/>
      </c>
      <c r="G1403" s="212"/>
      <c r="H1403" s="30" t="str">
        <f>IFERROR(VLOOKUP(E1403,'Inventaire des produits'!$B$4:$K$1001,8,0),"")</f>
        <v/>
      </c>
      <c r="I1403" s="32" t="str">
        <f t="shared" si="40"/>
        <v/>
      </c>
      <c r="K1403" s="127" t="str">
        <f t="shared" si="39"/>
        <v/>
      </c>
    </row>
    <row r="1404" spans="2:11" x14ac:dyDescent="0.3">
      <c r="B1404" s="197"/>
      <c r="C1404" s="198"/>
      <c r="D1404" s="197"/>
      <c r="E1404" s="212"/>
      <c r="F1404" s="29" t="str">
        <f>IFERROR(VLOOKUP(E1404,'Inventaire des produits'!$B$4:$K$1001,2,0),"")</f>
        <v/>
      </c>
      <c r="G1404" s="212"/>
      <c r="H1404" s="30" t="str">
        <f>IFERROR(VLOOKUP(E1404,'Inventaire des produits'!$B$4:$K$1001,8,0),"")</f>
        <v/>
      </c>
      <c r="I1404" s="32" t="str">
        <f t="shared" si="40"/>
        <v/>
      </c>
      <c r="K1404" s="127" t="str">
        <f t="shared" ref="K1404:K1467" si="41">IF(J1404="","",J1404*1.2)</f>
        <v/>
      </c>
    </row>
    <row r="1405" spans="2:11" x14ac:dyDescent="0.3">
      <c r="B1405" s="197"/>
      <c r="C1405" s="198"/>
      <c r="D1405" s="197"/>
      <c r="E1405" s="212"/>
      <c r="F1405" s="29" t="str">
        <f>IFERROR(VLOOKUP(E1405,'Inventaire des produits'!$B$4:$K$1001,2,0),"")</f>
        <v/>
      </c>
      <c r="G1405" s="212"/>
      <c r="H1405" s="30" t="str">
        <f>IFERROR(VLOOKUP(E1405,'Inventaire des produits'!$B$4:$K$1001,8,0),"")</f>
        <v/>
      </c>
      <c r="I1405" s="32" t="str">
        <f t="shared" si="40"/>
        <v/>
      </c>
      <c r="K1405" s="127" t="str">
        <f t="shared" si="41"/>
        <v/>
      </c>
    </row>
    <row r="1406" spans="2:11" x14ac:dyDescent="0.3">
      <c r="B1406" s="197"/>
      <c r="C1406" s="198"/>
      <c r="D1406" s="197"/>
      <c r="E1406" s="212"/>
      <c r="F1406" s="29" t="str">
        <f>IFERROR(VLOOKUP(E1406,'Inventaire des produits'!$B$4:$K$1001,2,0),"")</f>
        <v/>
      </c>
      <c r="G1406" s="212"/>
      <c r="H1406" s="30" t="str">
        <f>IFERROR(VLOOKUP(E1406,'Inventaire des produits'!$B$4:$K$1001,8,0),"")</f>
        <v/>
      </c>
      <c r="I1406" s="32" t="str">
        <f t="shared" si="40"/>
        <v/>
      </c>
      <c r="K1406" s="127" t="str">
        <f t="shared" si="41"/>
        <v/>
      </c>
    </row>
    <row r="1407" spans="2:11" x14ac:dyDescent="0.3">
      <c r="B1407" s="197"/>
      <c r="C1407" s="198"/>
      <c r="D1407" s="197"/>
      <c r="E1407" s="212"/>
      <c r="F1407" s="29" t="str">
        <f>IFERROR(VLOOKUP(E1407,'Inventaire des produits'!$B$4:$K$1001,2,0),"")</f>
        <v/>
      </c>
      <c r="G1407" s="212"/>
      <c r="H1407" s="30" t="str">
        <f>IFERROR(VLOOKUP(E1407,'Inventaire des produits'!$B$4:$K$1001,8,0),"")</f>
        <v/>
      </c>
      <c r="I1407" s="32" t="str">
        <f t="shared" si="40"/>
        <v/>
      </c>
      <c r="K1407" s="127" t="str">
        <f t="shared" si="41"/>
        <v/>
      </c>
    </row>
    <row r="1408" spans="2:11" x14ac:dyDescent="0.3">
      <c r="B1408" s="197"/>
      <c r="C1408" s="198"/>
      <c r="D1408" s="197"/>
      <c r="E1408" s="212"/>
      <c r="F1408" s="29" t="str">
        <f>IFERROR(VLOOKUP(E1408,'Inventaire des produits'!$B$4:$K$1001,2,0),"")</f>
        <v/>
      </c>
      <c r="G1408" s="212"/>
      <c r="H1408" s="30" t="str">
        <f>IFERROR(VLOOKUP(E1408,'Inventaire des produits'!$B$4:$K$1001,8,0),"")</f>
        <v/>
      </c>
      <c r="I1408" s="32" t="str">
        <f t="shared" si="40"/>
        <v/>
      </c>
      <c r="K1408" s="127" t="str">
        <f t="shared" si="41"/>
        <v/>
      </c>
    </row>
    <row r="1409" spans="2:11" x14ac:dyDescent="0.3">
      <c r="B1409" s="197"/>
      <c r="C1409" s="198"/>
      <c r="D1409" s="197"/>
      <c r="E1409" s="212"/>
      <c r="F1409" s="29" t="str">
        <f>IFERROR(VLOOKUP(E1409,'Inventaire des produits'!$B$4:$K$1001,2,0),"")</f>
        <v/>
      </c>
      <c r="G1409" s="212"/>
      <c r="H1409" s="30" t="str">
        <f>IFERROR(VLOOKUP(E1409,'Inventaire des produits'!$B$4:$K$1001,8,0),"")</f>
        <v/>
      </c>
      <c r="I1409" s="32" t="str">
        <f t="shared" si="40"/>
        <v/>
      </c>
      <c r="K1409" s="127" t="str">
        <f t="shared" si="41"/>
        <v/>
      </c>
    </row>
    <row r="1410" spans="2:11" x14ac:dyDescent="0.3">
      <c r="B1410" s="197"/>
      <c r="C1410" s="198"/>
      <c r="D1410" s="197"/>
      <c r="E1410" s="212"/>
      <c r="F1410" s="29" t="str">
        <f>IFERROR(VLOOKUP(E1410,'Inventaire des produits'!$B$4:$K$1001,2,0),"")</f>
        <v/>
      </c>
      <c r="G1410" s="212"/>
      <c r="H1410" s="30" t="str">
        <f>IFERROR(VLOOKUP(E1410,'Inventaire des produits'!$B$4:$K$1001,8,0),"")</f>
        <v/>
      </c>
      <c r="I1410" s="32" t="str">
        <f t="shared" ref="I1410:I1473" si="42">IF(OR(G1410="",H1410=""),"",G1410*H1410)</f>
        <v/>
      </c>
      <c r="K1410" s="127" t="str">
        <f t="shared" si="41"/>
        <v/>
      </c>
    </row>
    <row r="1411" spans="2:11" x14ac:dyDescent="0.3">
      <c r="B1411" s="197"/>
      <c r="C1411" s="198"/>
      <c r="D1411" s="197"/>
      <c r="E1411" s="212"/>
      <c r="F1411" s="29" t="str">
        <f>IFERROR(VLOOKUP(E1411,'Inventaire des produits'!$B$4:$K$1001,2,0),"")</f>
        <v/>
      </c>
      <c r="G1411" s="212"/>
      <c r="H1411" s="30" t="str">
        <f>IFERROR(VLOOKUP(E1411,'Inventaire des produits'!$B$4:$K$1001,8,0),"")</f>
        <v/>
      </c>
      <c r="I1411" s="32" t="str">
        <f t="shared" si="42"/>
        <v/>
      </c>
      <c r="K1411" s="127" t="str">
        <f t="shared" si="41"/>
        <v/>
      </c>
    </row>
    <row r="1412" spans="2:11" x14ac:dyDescent="0.3">
      <c r="B1412" s="197"/>
      <c r="C1412" s="198"/>
      <c r="D1412" s="197"/>
      <c r="E1412" s="212"/>
      <c r="F1412" s="29" t="str">
        <f>IFERROR(VLOOKUP(E1412,'Inventaire des produits'!$B$4:$K$1001,2,0),"")</f>
        <v/>
      </c>
      <c r="G1412" s="212"/>
      <c r="H1412" s="30" t="str">
        <f>IFERROR(VLOOKUP(E1412,'Inventaire des produits'!$B$4:$K$1001,8,0),"")</f>
        <v/>
      </c>
      <c r="I1412" s="32" t="str">
        <f t="shared" si="42"/>
        <v/>
      </c>
      <c r="K1412" s="127" t="str">
        <f t="shared" si="41"/>
        <v/>
      </c>
    </row>
    <row r="1413" spans="2:11" x14ac:dyDescent="0.3">
      <c r="B1413" s="197"/>
      <c r="C1413" s="198"/>
      <c r="D1413" s="197"/>
      <c r="E1413" s="212"/>
      <c r="F1413" s="29" t="str">
        <f>IFERROR(VLOOKUP(E1413,'Inventaire des produits'!$B$4:$K$1001,2,0),"")</f>
        <v/>
      </c>
      <c r="G1413" s="212"/>
      <c r="H1413" s="30" t="str">
        <f>IFERROR(VLOOKUP(E1413,'Inventaire des produits'!$B$4:$K$1001,8,0),"")</f>
        <v/>
      </c>
      <c r="I1413" s="32" t="str">
        <f t="shared" si="42"/>
        <v/>
      </c>
      <c r="K1413" s="127" t="str">
        <f t="shared" si="41"/>
        <v/>
      </c>
    </row>
    <row r="1414" spans="2:11" x14ac:dyDescent="0.3">
      <c r="B1414" s="197"/>
      <c r="C1414" s="198"/>
      <c r="D1414" s="197"/>
      <c r="E1414" s="212"/>
      <c r="F1414" s="29" t="str">
        <f>IFERROR(VLOOKUP(E1414,'Inventaire des produits'!$B$4:$K$1001,2,0),"")</f>
        <v/>
      </c>
      <c r="G1414" s="212"/>
      <c r="H1414" s="30" t="str">
        <f>IFERROR(VLOOKUP(E1414,'Inventaire des produits'!$B$4:$K$1001,8,0),"")</f>
        <v/>
      </c>
      <c r="I1414" s="32" t="str">
        <f t="shared" si="42"/>
        <v/>
      </c>
      <c r="K1414" s="127" t="str">
        <f t="shared" si="41"/>
        <v/>
      </c>
    </row>
    <row r="1415" spans="2:11" x14ac:dyDescent="0.3">
      <c r="B1415" s="197"/>
      <c r="C1415" s="198"/>
      <c r="D1415" s="197"/>
      <c r="E1415" s="212"/>
      <c r="F1415" s="29" t="str">
        <f>IFERROR(VLOOKUP(E1415,'Inventaire des produits'!$B$4:$K$1001,2,0),"")</f>
        <v/>
      </c>
      <c r="G1415" s="212"/>
      <c r="H1415" s="30" t="str">
        <f>IFERROR(VLOOKUP(E1415,'Inventaire des produits'!$B$4:$K$1001,8,0),"")</f>
        <v/>
      </c>
      <c r="I1415" s="32" t="str">
        <f t="shared" si="42"/>
        <v/>
      </c>
      <c r="K1415" s="127" t="str">
        <f t="shared" si="41"/>
        <v/>
      </c>
    </row>
    <row r="1416" spans="2:11" x14ac:dyDescent="0.3">
      <c r="B1416" s="197"/>
      <c r="C1416" s="198"/>
      <c r="D1416" s="197"/>
      <c r="E1416" s="212"/>
      <c r="F1416" s="29" t="str">
        <f>IFERROR(VLOOKUP(E1416,'Inventaire des produits'!$B$4:$K$1001,2,0),"")</f>
        <v/>
      </c>
      <c r="G1416" s="212"/>
      <c r="H1416" s="30" t="str">
        <f>IFERROR(VLOOKUP(E1416,'Inventaire des produits'!$B$4:$K$1001,8,0),"")</f>
        <v/>
      </c>
      <c r="I1416" s="32" t="str">
        <f t="shared" si="42"/>
        <v/>
      </c>
      <c r="K1416" s="127" t="str">
        <f t="shared" si="41"/>
        <v/>
      </c>
    </row>
    <row r="1417" spans="2:11" x14ac:dyDescent="0.3">
      <c r="B1417" s="197"/>
      <c r="C1417" s="198"/>
      <c r="D1417" s="197"/>
      <c r="E1417" s="212"/>
      <c r="F1417" s="29" t="str">
        <f>IFERROR(VLOOKUP(E1417,'Inventaire des produits'!$B$4:$K$1001,2,0),"")</f>
        <v/>
      </c>
      <c r="G1417" s="212"/>
      <c r="H1417" s="30" t="str">
        <f>IFERROR(VLOOKUP(E1417,'Inventaire des produits'!$B$4:$K$1001,8,0),"")</f>
        <v/>
      </c>
      <c r="I1417" s="32" t="str">
        <f t="shared" si="42"/>
        <v/>
      </c>
      <c r="K1417" s="127" t="str">
        <f t="shared" si="41"/>
        <v/>
      </c>
    </row>
    <row r="1418" spans="2:11" x14ac:dyDescent="0.3">
      <c r="B1418" s="197"/>
      <c r="C1418" s="198"/>
      <c r="D1418" s="197"/>
      <c r="E1418" s="212"/>
      <c r="F1418" s="29" t="str">
        <f>IFERROR(VLOOKUP(E1418,'Inventaire des produits'!$B$4:$K$1001,2,0),"")</f>
        <v/>
      </c>
      <c r="G1418" s="212"/>
      <c r="H1418" s="30" t="str">
        <f>IFERROR(VLOOKUP(E1418,'Inventaire des produits'!$B$4:$K$1001,8,0),"")</f>
        <v/>
      </c>
      <c r="I1418" s="32" t="str">
        <f t="shared" si="42"/>
        <v/>
      </c>
      <c r="K1418" s="127" t="str">
        <f t="shared" si="41"/>
        <v/>
      </c>
    </row>
    <row r="1419" spans="2:11" x14ac:dyDescent="0.3">
      <c r="B1419" s="197"/>
      <c r="C1419" s="198"/>
      <c r="D1419" s="197"/>
      <c r="E1419" s="212"/>
      <c r="F1419" s="29" t="str">
        <f>IFERROR(VLOOKUP(E1419,'Inventaire des produits'!$B$4:$K$1001,2,0),"")</f>
        <v/>
      </c>
      <c r="G1419" s="212"/>
      <c r="H1419" s="30" t="str">
        <f>IFERROR(VLOOKUP(E1419,'Inventaire des produits'!$B$4:$K$1001,8,0),"")</f>
        <v/>
      </c>
      <c r="I1419" s="32" t="str">
        <f t="shared" si="42"/>
        <v/>
      </c>
      <c r="K1419" s="127" t="str">
        <f t="shared" si="41"/>
        <v/>
      </c>
    </row>
    <row r="1420" spans="2:11" x14ac:dyDescent="0.3">
      <c r="B1420" s="197"/>
      <c r="C1420" s="198"/>
      <c r="D1420" s="197"/>
      <c r="E1420" s="212"/>
      <c r="F1420" s="29" t="str">
        <f>IFERROR(VLOOKUP(E1420,'Inventaire des produits'!$B$4:$K$1001,2,0),"")</f>
        <v/>
      </c>
      <c r="G1420" s="212"/>
      <c r="H1420" s="30" t="str">
        <f>IFERROR(VLOOKUP(E1420,'Inventaire des produits'!$B$4:$K$1001,8,0),"")</f>
        <v/>
      </c>
      <c r="I1420" s="32" t="str">
        <f t="shared" si="42"/>
        <v/>
      </c>
      <c r="K1420" s="127" t="str">
        <f t="shared" si="41"/>
        <v/>
      </c>
    </row>
    <row r="1421" spans="2:11" x14ac:dyDescent="0.3">
      <c r="B1421" s="197"/>
      <c r="C1421" s="198"/>
      <c r="D1421" s="197"/>
      <c r="E1421" s="212"/>
      <c r="F1421" s="29" t="str">
        <f>IFERROR(VLOOKUP(E1421,'Inventaire des produits'!$B$4:$K$1001,2,0),"")</f>
        <v/>
      </c>
      <c r="G1421" s="212"/>
      <c r="H1421" s="30" t="str">
        <f>IFERROR(VLOOKUP(E1421,'Inventaire des produits'!$B$4:$K$1001,8,0),"")</f>
        <v/>
      </c>
      <c r="I1421" s="32" t="str">
        <f t="shared" si="42"/>
        <v/>
      </c>
      <c r="K1421" s="127" t="str">
        <f t="shared" si="41"/>
        <v/>
      </c>
    </row>
    <row r="1422" spans="2:11" x14ac:dyDescent="0.3">
      <c r="B1422" s="197"/>
      <c r="C1422" s="198"/>
      <c r="D1422" s="197"/>
      <c r="E1422" s="212"/>
      <c r="F1422" s="29" t="str">
        <f>IFERROR(VLOOKUP(E1422,'Inventaire des produits'!$B$4:$K$1001,2,0),"")</f>
        <v/>
      </c>
      <c r="G1422" s="212"/>
      <c r="H1422" s="30" t="str">
        <f>IFERROR(VLOOKUP(E1422,'Inventaire des produits'!$B$4:$K$1001,8,0),"")</f>
        <v/>
      </c>
      <c r="I1422" s="32" t="str">
        <f t="shared" si="42"/>
        <v/>
      </c>
      <c r="K1422" s="127" t="str">
        <f t="shared" si="41"/>
        <v/>
      </c>
    </row>
    <row r="1423" spans="2:11" x14ac:dyDescent="0.3">
      <c r="B1423" s="197"/>
      <c r="C1423" s="198"/>
      <c r="D1423" s="197"/>
      <c r="E1423" s="212"/>
      <c r="F1423" s="29" t="str">
        <f>IFERROR(VLOOKUP(E1423,'Inventaire des produits'!$B$4:$K$1001,2,0),"")</f>
        <v/>
      </c>
      <c r="G1423" s="212"/>
      <c r="H1423" s="30" t="str">
        <f>IFERROR(VLOOKUP(E1423,'Inventaire des produits'!$B$4:$K$1001,8,0),"")</f>
        <v/>
      </c>
      <c r="I1423" s="32" t="str">
        <f t="shared" si="42"/>
        <v/>
      </c>
      <c r="K1423" s="127" t="str">
        <f t="shared" si="41"/>
        <v/>
      </c>
    </row>
    <row r="1424" spans="2:11" x14ac:dyDescent="0.3">
      <c r="B1424" s="197"/>
      <c r="C1424" s="198"/>
      <c r="D1424" s="197"/>
      <c r="E1424" s="212"/>
      <c r="F1424" s="29" t="str">
        <f>IFERROR(VLOOKUP(E1424,'Inventaire des produits'!$B$4:$K$1001,2,0),"")</f>
        <v/>
      </c>
      <c r="G1424" s="212"/>
      <c r="H1424" s="30" t="str">
        <f>IFERROR(VLOOKUP(E1424,'Inventaire des produits'!$B$4:$K$1001,8,0),"")</f>
        <v/>
      </c>
      <c r="I1424" s="32" t="str">
        <f t="shared" si="42"/>
        <v/>
      </c>
      <c r="K1424" s="127" t="str">
        <f t="shared" si="41"/>
        <v/>
      </c>
    </row>
    <row r="1425" spans="2:11" x14ac:dyDescent="0.3">
      <c r="B1425" s="197"/>
      <c r="C1425" s="198"/>
      <c r="D1425" s="197"/>
      <c r="E1425" s="212"/>
      <c r="F1425" s="29" t="str">
        <f>IFERROR(VLOOKUP(E1425,'Inventaire des produits'!$B$4:$K$1001,2,0),"")</f>
        <v/>
      </c>
      <c r="G1425" s="212"/>
      <c r="H1425" s="30" t="str">
        <f>IFERROR(VLOOKUP(E1425,'Inventaire des produits'!$B$4:$K$1001,8,0),"")</f>
        <v/>
      </c>
      <c r="I1425" s="32" t="str">
        <f t="shared" si="42"/>
        <v/>
      </c>
      <c r="K1425" s="127" t="str">
        <f t="shared" si="41"/>
        <v/>
      </c>
    </row>
    <row r="1426" spans="2:11" x14ac:dyDescent="0.3">
      <c r="B1426" s="197"/>
      <c r="C1426" s="198"/>
      <c r="D1426" s="197"/>
      <c r="E1426" s="212"/>
      <c r="F1426" s="29" t="str">
        <f>IFERROR(VLOOKUP(E1426,'Inventaire des produits'!$B$4:$K$1001,2,0),"")</f>
        <v/>
      </c>
      <c r="G1426" s="212"/>
      <c r="H1426" s="30" t="str">
        <f>IFERROR(VLOOKUP(E1426,'Inventaire des produits'!$B$4:$K$1001,8,0),"")</f>
        <v/>
      </c>
      <c r="I1426" s="32" t="str">
        <f t="shared" si="42"/>
        <v/>
      </c>
      <c r="K1426" s="127" t="str">
        <f t="shared" si="41"/>
        <v/>
      </c>
    </row>
    <row r="1427" spans="2:11" x14ac:dyDescent="0.3">
      <c r="B1427" s="197"/>
      <c r="C1427" s="198"/>
      <c r="D1427" s="197"/>
      <c r="E1427" s="212"/>
      <c r="F1427" s="29" t="str">
        <f>IFERROR(VLOOKUP(E1427,'Inventaire des produits'!$B$4:$K$1001,2,0),"")</f>
        <v/>
      </c>
      <c r="G1427" s="212"/>
      <c r="H1427" s="30" t="str">
        <f>IFERROR(VLOOKUP(E1427,'Inventaire des produits'!$B$4:$K$1001,8,0),"")</f>
        <v/>
      </c>
      <c r="I1427" s="32" t="str">
        <f t="shared" si="42"/>
        <v/>
      </c>
      <c r="K1427" s="127" t="str">
        <f t="shared" si="41"/>
        <v/>
      </c>
    </row>
    <row r="1428" spans="2:11" x14ac:dyDescent="0.3">
      <c r="B1428" s="197"/>
      <c r="C1428" s="198"/>
      <c r="D1428" s="197"/>
      <c r="E1428" s="212"/>
      <c r="F1428" s="29" t="str">
        <f>IFERROR(VLOOKUP(E1428,'Inventaire des produits'!$B$4:$K$1001,2,0),"")</f>
        <v/>
      </c>
      <c r="G1428" s="212"/>
      <c r="H1428" s="30" t="str">
        <f>IFERROR(VLOOKUP(E1428,'Inventaire des produits'!$B$4:$K$1001,8,0),"")</f>
        <v/>
      </c>
      <c r="I1428" s="32" t="str">
        <f t="shared" si="42"/>
        <v/>
      </c>
      <c r="K1428" s="127" t="str">
        <f t="shared" si="41"/>
        <v/>
      </c>
    </row>
    <row r="1429" spans="2:11" x14ac:dyDescent="0.3">
      <c r="B1429" s="197"/>
      <c r="C1429" s="198"/>
      <c r="D1429" s="197"/>
      <c r="E1429" s="212"/>
      <c r="F1429" s="29" t="str">
        <f>IFERROR(VLOOKUP(E1429,'Inventaire des produits'!$B$4:$K$1001,2,0),"")</f>
        <v/>
      </c>
      <c r="G1429" s="212"/>
      <c r="H1429" s="30" t="str">
        <f>IFERROR(VLOOKUP(E1429,'Inventaire des produits'!$B$4:$K$1001,8,0),"")</f>
        <v/>
      </c>
      <c r="I1429" s="32" t="str">
        <f t="shared" si="42"/>
        <v/>
      </c>
      <c r="K1429" s="127" t="str">
        <f t="shared" si="41"/>
        <v/>
      </c>
    </row>
    <row r="1430" spans="2:11" x14ac:dyDescent="0.3">
      <c r="B1430" s="197"/>
      <c r="C1430" s="198"/>
      <c r="D1430" s="197"/>
      <c r="E1430" s="212"/>
      <c r="F1430" s="29" t="str">
        <f>IFERROR(VLOOKUP(E1430,'Inventaire des produits'!$B$4:$K$1001,2,0),"")</f>
        <v/>
      </c>
      <c r="G1430" s="212"/>
      <c r="H1430" s="30" t="str">
        <f>IFERROR(VLOOKUP(E1430,'Inventaire des produits'!$B$4:$K$1001,8,0),"")</f>
        <v/>
      </c>
      <c r="I1430" s="32" t="str">
        <f t="shared" si="42"/>
        <v/>
      </c>
      <c r="K1430" s="127" t="str">
        <f t="shared" si="41"/>
        <v/>
      </c>
    </row>
    <row r="1431" spans="2:11" x14ac:dyDescent="0.3">
      <c r="B1431" s="197"/>
      <c r="C1431" s="198"/>
      <c r="D1431" s="197"/>
      <c r="E1431" s="212"/>
      <c r="F1431" s="29" t="str">
        <f>IFERROR(VLOOKUP(E1431,'Inventaire des produits'!$B$4:$K$1001,2,0),"")</f>
        <v/>
      </c>
      <c r="G1431" s="212"/>
      <c r="H1431" s="30" t="str">
        <f>IFERROR(VLOOKUP(E1431,'Inventaire des produits'!$B$4:$K$1001,8,0),"")</f>
        <v/>
      </c>
      <c r="I1431" s="32" t="str">
        <f t="shared" si="42"/>
        <v/>
      </c>
      <c r="K1431" s="127" t="str">
        <f t="shared" si="41"/>
        <v/>
      </c>
    </row>
    <row r="1432" spans="2:11" x14ac:dyDescent="0.3">
      <c r="B1432" s="197"/>
      <c r="C1432" s="198"/>
      <c r="D1432" s="197"/>
      <c r="E1432" s="212"/>
      <c r="F1432" s="29" t="str">
        <f>IFERROR(VLOOKUP(E1432,'Inventaire des produits'!$B$4:$K$1001,2,0),"")</f>
        <v/>
      </c>
      <c r="G1432" s="212"/>
      <c r="H1432" s="30" t="str">
        <f>IFERROR(VLOOKUP(E1432,'Inventaire des produits'!$B$4:$K$1001,8,0),"")</f>
        <v/>
      </c>
      <c r="I1432" s="32" t="str">
        <f t="shared" si="42"/>
        <v/>
      </c>
      <c r="K1432" s="127" t="str">
        <f t="shared" si="41"/>
        <v/>
      </c>
    </row>
    <row r="1433" spans="2:11" x14ac:dyDescent="0.3">
      <c r="B1433" s="197"/>
      <c r="C1433" s="198"/>
      <c r="D1433" s="197"/>
      <c r="E1433" s="212"/>
      <c r="F1433" s="29" t="str">
        <f>IFERROR(VLOOKUP(E1433,'Inventaire des produits'!$B$4:$K$1001,2,0),"")</f>
        <v/>
      </c>
      <c r="G1433" s="212"/>
      <c r="H1433" s="30" t="str">
        <f>IFERROR(VLOOKUP(E1433,'Inventaire des produits'!$B$4:$K$1001,8,0),"")</f>
        <v/>
      </c>
      <c r="I1433" s="32" t="str">
        <f t="shared" si="42"/>
        <v/>
      </c>
      <c r="K1433" s="127" t="str">
        <f t="shared" si="41"/>
        <v/>
      </c>
    </row>
    <row r="1434" spans="2:11" x14ac:dyDescent="0.3">
      <c r="B1434" s="197"/>
      <c r="C1434" s="198"/>
      <c r="D1434" s="197"/>
      <c r="E1434" s="212"/>
      <c r="F1434" s="29" t="str">
        <f>IFERROR(VLOOKUP(E1434,'Inventaire des produits'!$B$4:$K$1001,2,0),"")</f>
        <v/>
      </c>
      <c r="G1434" s="212"/>
      <c r="H1434" s="30" t="str">
        <f>IFERROR(VLOOKUP(E1434,'Inventaire des produits'!$B$4:$K$1001,8,0),"")</f>
        <v/>
      </c>
      <c r="I1434" s="32" t="str">
        <f t="shared" si="42"/>
        <v/>
      </c>
      <c r="K1434" s="127" t="str">
        <f t="shared" si="41"/>
        <v/>
      </c>
    </row>
    <row r="1435" spans="2:11" x14ac:dyDescent="0.3">
      <c r="B1435" s="197"/>
      <c r="C1435" s="198"/>
      <c r="D1435" s="197"/>
      <c r="E1435" s="212"/>
      <c r="F1435" s="29" t="str">
        <f>IFERROR(VLOOKUP(E1435,'Inventaire des produits'!$B$4:$K$1001,2,0),"")</f>
        <v/>
      </c>
      <c r="G1435" s="212"/>
      <c r="H1435" s="30" t="str">
        <f>IFERROR(VLOOKUP(E1435,'Inventaire des produits'!$B$4:$K$1001,8,0),"")</f>
        <v/>
      </c>
      <c r="I1435" s="32" t="str">
        <f t="shared" si="42"/>
        <v/>
      </c>
      <c r="K1435" s="127" t="str">
        <f t="shared" si="41"/>
        <v/>
      </c>
    </row>
    <row r="1436" spans="2:11" x14ac:dyDescent="0.3">
      <c r="B1436" s="197"/>
      <c r="C1436" s="198"/>
      <c r="D1436" s="197"/>
      <c r="E1436" s="212"/>
      <c r="F1436" s="29" t="str">
        <f>IFERROR(VLOOKUP(E1436,'Inventaire des produits'!$B$4:$K$1001,2,0),"")</f>
        <v/>
      </c>
      <c r="G1436" s="212"/>
      <c r="H1436" s="30" t="str">
        <f>IFERROR(VLOOKUP(E1436,'Inventaire des produits'!$B$4:$K$1001,8,0),"")</f>
        <v/>
      </c>
      <c r="I1436" s="32" t="str">
        <f t="shared" si="42"/>
        <v/>
      </c>
      <c r="K1436" s="127" t="str">
        <f t="shared" si="41"/>
        <v/>
      </c>
    </row>
    <row r="1437" spans="2:11" x14ac:dyDescent="0.3">
      <c r="B1437" s="197"/>
      <c r="C1437" s="198"/>
      <c r="D1437" s="197"/>
      <c r="E1437" s="212"/>
      <c r="F1437" s="29" t="str">
        <f>IFERROR(VLOOKUP(E1437,'Inventaire des produits'!$B$4:$K$1001,2,0),"")</f>
        <v/>
      </c>
      <c r="G1437" s="212"/>
      <c r="H1437" s="30" t="str">
        <f>IFERROR(VLOOKUP(E1437,'Inventaire des produits'!$B$4:$K$1001,8,0),"")</f>
        <v/>
      </c>
      <c r="I1437" s="32" t="str">
        <f t="shared" si="42"/>
        <v/>
      </c>
      <c r="K1437" s="127" t="str">
        <f t="shared" si="41"/>
        <v/>
      </c>
    </row>
    <row r="1438" spans="2:11" x14ac:dyDescent="0.3">
      <c r="B1438" s="197"/>
      <c r="C1438" s="198"/>
      <c r="D1438" s="197"/>
      <c r="E1438" s="212"/>
      <c r="F1438" s="29" t="str">
        <f>IFERROR(VLOOKUP(E1438,'Inventaire des produits'!$B$4:$K$1001,2,0),"")</f>
        <v/>
      </c>
      <c r="G1438" s="212"/>
      <c r="H1438" s="30" t="str">
        <f>IFERROR(VLOOKUP(E1438,'Inventaire des produits'!$B$4:$K$1001,8,0),"")</f>
        <v/>
      </c>
      <c r="I1438" s="32" t="str">
        <f t="shared" si="42"/>
        <v/>
      </c>
      <c r="K1438" s="127" t="str">
        <f t="shared" si="41"/>
        <v/>
      </c>
    </row>
    <row r="1439" spans="2:11" x14ac:dyDescent="0.3">
      <c r="B1439" s="197"/>
      <c r="C1439" s="198"/>
      <c r="D1439" s="197"/>
      <c r="E1439" s="212"/>
      <c r="F1439" s="29" t="str">
        <f>IFERROR(VLOOKUP(E1439,'Inventaire des produits'!$B$4:$K$1001,2,0),"")</f>
        <v/>
      </c>
      <c r="G1439" s="212"/>
      <c r="H1439" s="30" t="str">
        <f>IFERROR(VLOOKUP(E1439,'Inventaire des produits'!$B$4:$K$1001,8,0),"")</f>
        <v/>
      </c>
      <c r="I1439" s="32" t="str">
        <f t="shared" si="42"/>
        <v/>
      </c>
      <c r="K1439" s="127" t="str">
        <f t="shared" si="41"/>
        <v/>
      </c>
    </row>
    <row r="1440" spans="2:11" x14ac:dyDescent="0.3">
      <c r="B1440" s="197"/>
      <c r="C1440" s="198"/>
      <c r="D1440" s="197"/>
      <c r="E1440" s="212"/>
      <c r="F1440" s="29" t="str">
        <f>IFERROR(VLOOKUP(E1440,'Inventaire des produits'!$B$4:$K$1001,2,0),"")</f>
        <v/>
      </c>
      <c r="G1440" s="212"/>
      <c r="H1440" s="30" t="str">
        <f>IFERROR(VLOOKUP(E1440,'Inventaire des produits'!$B$4:$K$1001,8,0),"")</f>
        <v/>
      </c>
      <c r="I1440" s="32" t="str">
        <f t="shared" si="42"/>
        <v/>
      </c>
      <c r="K1440" s="127" t="str">
        <f t="shared" si="41"/>
        <v/>
      </c>
    </row>
    <row r="1441" spans="2:11" x14ac:dyDescent="0.3">
      <c r="B1441" s="197"/>
      <c r="C1441" s="198"/>
      <c r="D1441" s="197"/>
      <c r="E1441" s="212"/>
      <c r="F1441" s="29" t="str">
        <f>IFERROR(VLOOKUP(E1441,'Inventaire des produits'!$B$4:$K$1001,2,0),"")</f>
        <v/>
      </c>
      <c r="G1441" s="212"/>
      <c r="H1441" s="30" t="str">
        <f>IFERROR(VLOOKUP(E1441,'Inventaire des produits'!$B$4:$K$1001,8,0),"")</f>
        <v/>
      </c>
      <c r="I1441" s="32" t="str">
        <f t="shared" si="42"/>
        <v/>
      </c>
      <c r="K1441" s="127" t="str">
        <f t="shared" si="41"/>
        <v/>
      </c>
    </row>
    <row r="1442" spans="2:11" x14ac:dyDescent="0.3">
      <c r="B1442" s="197"/>
      <c r="C1442" s="198"/>
      <c r="D1442" s="197"/>
      <c r="E1442" s="212"/>
      <c r="F1442" s="29" t="str">
        <f>IFERROR(VLOOKUP(E1442,'Inventaire des produits'!$B$4:$K$1001,2,0),"")</f>
        <v/>
      </c>
      <c r="G1442" s="212"/>
      <c r="H1442" s="30" t="str">
        <f>IFERROR(VLOOKUP(E1442,'Inventaire des produits'!$B$4:$K$1001,8,0),"")</f>
        <v/>
      </c>
      <c r="I1442" s="32" t="str">
        <f t="shared" si="42"/>
        <v/>
      </c>
      <c r="K1442" s="127" t="str">
        <f t="shared" si="41"/>
        <v/>
      </c>
    </row>
    <row r="1443" spans="2:11" x14ac:dyDescent="0.3">
      <c r="B1443" s="197"/>
      <c r="C1443" s="198"/>
      <c r="D1443" s="197"/>
      <c r="E1443" s="212"/>
      <c r="F1443" s="29" t="str">
        <f>IFERROR(VLOOKUP(E1443,'Inventaire des produits'!$B$4:$K$1001,2,0),"")</f>
        <v/>
      </c>
      <c r="G1443" s="212"/>
      <c r="H1443" s="30" t="str">
        <f>IFERROR(VLOOKUP(E1443,'Inventaire des produits'!$B$4:$K$1001,8,0),"")</f>
        <v/>
      </c>
      <c r="I1443" s="32" t="str">
        <f t="shared" si="42"/>
        <v/>
      </c>
      <c r="K1443" s="127" t="str">
        <f t="shared" si="41"/>
        <v/>
      </c>
    </row>
    <row r="1444" spans="2:11" x14ac:dyDescent="0.3">
      <c r="B1444" s="197"/>
      <c r="C1444" s="198"/>
      <c r="D1444" s="197"/>
      <c r="E1444" s="212"/>
      <c r="F1444" s="29" t="str">
        <f>IFERROR(VLOOKUP(E1444,'Inventaire des produits'!$B$4:$K$1001,2,0),"")</f>
        <v/>
      </c>
      <c r="G1444" s="212"/>
      <c r="H1444" s="30" t="str">
        <f>IFERROR(VLOOKUP(E1444,'Inventaire des produits'!$B$4:$K$1001,8,0),"")</f>
        <v/>
      </c>
      <c r="I1444" s="32" t="str">
        <f t="shared" si="42"/>
        <v/>
      </c>
      <c r="K1444" s="127" t="str">
        <f t="shared" si="41"/>
        <v/>
      </c>
    </row>
    <row r="1445" spans="2:11" x14ac:dyDescent="0.3">
      <c r="B1445" s="197"/>
      <c r="C1445" s="198"/>
      <c r="D1445" s="197"/>
      <c r="E1445" s="212"/>
      <c r="F1445" s="29" t="str">
        <f>IFERROR(VLOOKUP(E1445,'Inventaire des produits'!$B$4:$K$1001,2,0),"")</f>
        <v/>
      </c>
      <c r="G1445" s="212"/>
      <c r="H1445" s="30" t="str">
        <f>IFERROR(VLOOKUP(E1445,'Inventaire des produits'!$B$4:$K$1001,8,0),"")</f>
        <v/>
      </c>
      <c r="I1445" s="32" t="str">
        <f t="shared" si="42"/>
        <v/>
      </c>
      <c r="K1445" s="127" t="str">
        <f t="shared" si="41"/>
        <v/>
      </c>
    </row>
    <row r="1446" spans="2:11" x14ac:dyDescent="0.3">
      <c r="B1446" s="197"/>
      <c r="C1446" s="198"/>
      <c r="D1446" s="197"/>
      <c r="E1446" s="212"/>
      <c r="F1446" s="29" t="str">
        <f>IFERROR(VLOOKUP(E1446,'Inventaire des produits'!$B$4:$K$1001,2,0),"")</f>
        <v/>
      </c>
      <c r="G1446" s="212"/>
      <c r="H1446" s="30" t="str">
        <f>IFERROR(VLOOKUP(E1446,'Inventaire des produits'!$B$4:$K$1001,8,0),"")</f>
        <v/>
      </c>
      <c r="I1446" s="32" t="str">
        <f t="shared" si="42"/>
        <v/>
      </c>
      <c r="K1446" s="127" t="str">
        <f t="shared" si="41"/>
        <v/>
      </c>
    </row>
    <row r="1447" spans="2:11" x14ac:dyDescent="0.3">
      <c r="B1447" s="197"/>
      <c r="C1447" s="198"/>
      <c r="D1447" s="197"/>
      <c r="E1447" s="212"/>
      <c r="F1447" s="29" t="str">
        <f>IFERROR(VLOOKUP(E1447,'Inventaire des produits'!$B$4:$K$1001,2,0),"")</f>
        <v/>
      </c>
      <c r="G1447" s="212"/>
      <c r="H1447" s="30" t="str">
        <f>IFERROR(VLOOKUP(E1447,'Inventaire des produits'!$B$4:$K$1001,8,0),"")</f>
        <v/>
      </c>
      <c r="I1447" s="32" t="str">
        <f t="shared" si="42"/>
        <v/>
      </c>
      <c r="K1447" s="127" t="str">
        <f t="shared" si="41"/>
        <v/>
      </c>
    </row>
    <row r="1448" spans="2:11" x14ac:dyDescent="0.3">
      <c r="B1448" s="197"/>
      <c r="C1448" s="198"/>
      <c r="D1448" s="197"/>
      <c r="E1448" s="212"/>
      <c r="F1448" s="29" t="str">
        <f>IFERROR(VLOOKUP(E1448,'Inventaire des produits'!$B$4:$K$1001,2,0),"")</f>
        <v/>
      </c>
      <c r="G1448" s="212"/>
      <c r="H1448" s="30" t="str">
        <f>IFERROR(VLOOKUP(E1448,'Inventaire des produits'!$B$4:$K$1001,8,0),"")</f>
        <v/>
      </c>
      <c r="I1448" s="32" t="str">
        <f t="shared" si="42"/>
        <v/>
      </c>
      <c r="K1448" s="127" t="str">
        <f t="shared" si="41"/>
        <v/>
      </c>
    </row>
    <row r="1449" spans="2:11" x14ac:dyDescent="0.3">
      <c r="B1449" s="197"/>
      <c r="C1449" s="198"/>
      <c r="D1449" s="197"/>
      <c r="E1449" s="212"/>
      <c r="F1449" s="29" t="str">
        <f>IFERROR(VLOOKUP(E1449,'Inventaire des produits'!$B$4:$K$1001,2,0),"")</f>
        <v/>
      </c>
      <c r="G1449" s="212"/>
      <c r="H1449" s="30" t="str">
        <f>IFERROR(VLOOKUP(E1449,'Inventaire des produits'!$B$4:$K$1001,8,0),"")</f>
        <v/>
      </c>
      <c r="I1449" s="32" t="str">
        <f t="shared" si="42"/>
        <v/>
      </c>
      <c r="K1449" s="127" t="str">
        <f t="shared" si="41"/>
        <v/>
      </c>
    </row>
    <row r="1450" spans="2:11" x14ac:dyDescent="0.3">
      <c r="B1450" s="197"/>
      <c r="C1450" s="198"/>
      <c r="D1450" s="197"/>
      <c r="E1450" s="212"/>
      <c r="F1450" s="29" t="str">
        <f>IFERROR(VLOOKUP(E1450,'Inventaire des produits'!$B$4:$K$1001,2,0),"")</f>
        <v/>
      </c>
      <c r="G1450" s="212"/>
      <c r="H1450" s="30" t="str">
        <f>IFERROR(VLOOKUP(E1450,'Inventaire des produits'!$B$4:$K$1001,8,0),"")</f>
        <v/>
      </c>
      <c r="I1450" s="32" t="str">
        <f t="shared" si="42"/>
        <v/>
      </c>
      <c r="K1450" s="127" t="str">
        <f t="shared" si="41"/>
        <v/>
      </c>
    </row>
    <row r="1451" spans="2:11" x14ac:dyDescent="0.3">
      <c r="B1451" s="197"/>
      <c r="C1451" s="198"/>
      <c r="D1451" s="197"/>
      <c r="E1451" s="212"/>
      <c r="F1451" s="29" t="str">
        <f>IFERROR(VLOOKUP(E1451,'Inventaire des produits'!$B$4:$K$1001,2,0),"")</f>
        <v/>
      </c>
      <c r="G1451" s="212"/>
      <c r="H1451" s="30" t="str">
        <f>IFERROR(VLOOKUP(E1451,'Inventaire des produits'!$B$4:$K$1001,8,0),"")</f>
        <v/>
      </c>
      <c r="I1451" s="32" t="str">
        <f t="shared" si="42"/>
        <v/>
      </c>
      <c r="K1451" s="127" t="str">
        <f t="shared" si="41"/>
        <v/>
      </c>
    </row>
    <row r="1452" spans="2:11" x14ac:dyDescent="0.3">
      <c r="B1452" s="197"/>
      <c r="C1452" s="198"/>
      <c r="D1452" s="197"/>
      <c r="E1452" s="212"/>
      <c r="F1452" s="29" t="str">
        <f>IFERROR(VLOOKUP(E1452,'Inventaire des produits'!$B$4:$K$1001,2,0),"")</f>
        <v/>
      </c>
      <c r="G1452" s="212"/>
      <c r="H1452" s="30" t="str">
        <f>IFERROR(VLOOKUP(E1452,'Inventaire des produits'!$B$4:$K$1001,8,0),"")</f>
        <v/>
      </c>
      <c r="I1452" s="32" t="str">
        <f t="shared" si="42"/>
        <v/>
      </c>
      <c r="K1452" s="127" t="str">
        <f t="shared" si="41"/>
        <v/>
      </c>
    </row>
    <row r="1453" spans="2:11" x14ac:dyDescent="0.3">
      <c r="B1453" s="197"/>
      <c r="C1453" s="198"/>
      <c r="D1453" s="197"/>
      <c r="E1453" s="212"/>
      <c r="F1453" s="29" t="str">
        <f>IFERROR(VLOOKUP(E1453,'Inventaire des produits'!$B$4:$K$1001,2,0),"")</f>
        <v/>
      </c>
      <c r="G1453" s="212"/>
      <c r="H1453" s="30" t="str">
        <f>IFERROR(VLOOKUP(E1453,'Inventaire des produits'!$B$4:$K$1001,8,0),"")</f>
        <v/>
      </c>
      <c r="I1453" s="32" t="str">
        <f t="shared" si="42"/>
        <v/>
      </c>
      <c r="K1453" s="127" t="str">
        <f t="shared" si="41"/>
        <v/>
      </c>
    </row>
    <row r="1454" spans="2:11" x14ac:dyDescent="0.3">
      <c r="B1454" s="197"/>
      <c r="C1454" s="198"/>
      <c r="D1454" s="197"/>
      <c r="E1454" s="212"/>
      <c r="F1454" s="29" t="str">
        <f>IFERROR(VLOOKUP(E1454,'Inventaire des produits'!$B$4:$K$1001,2,0),"")</f>
        <v/>
      </c>
      <c r="G1454" s="212"/>
      <c r="H1454" s="30" t="str">
        <f>IFERROR(VLOOKUP(E1454,'Inventaire des produits'!$B$4:$K$1001,8,0),"")</f>
        <v/>
      </c>
      <c r="I1454" s="32" t="str">
        <f t="shared" si="42"/>
        <v/>
      </c>
      <c r="K1454" s="127" t="str">
        <f t="shared" si="41"/>
        <v/>
      </c>
    </row>
    <row r="1455" spans="2:11" x14ac:dyDescent="0.3">
      <c r="B1455" s="197"/>
      <c r="C1455" s="198"/>
      <c r="D1455" s="197"/>
      <c r="E1455" s="212"/>
      <c r="F1455" s="29" t="str">
        <f>IFERROR(VLOOKUP(E1455,'Inventaire des produits'!$B$4:$K$1001,2,0),"")</f>
        <v/>
      </c>
      <c r="G1455" s="212"/>
      <c r="H1455" s="30" t="str">
        <f>IFERROR(VLOOKUP(E1455,'Inventaire des produits'!$B$4:$K$1001,8,0),"")</f>
        <v/>
      </c>
      <c r="I1455" s="32" t="str">
        <f t="shared" si="42"/>
        <v/>
      </c>
      <c r="K1455" s="127" t="str">
        <f t="shared" si="41"/>
        <v/>
      </c>
    </row>
    <row r="1456" spans="2:11" x14ac:dyDescent="0.3">
      <c r="B1456" s="197"/>
      <c r="C1456" s="198"/>
      <c r="D1456" s="197"/>
      <c r="E1456" s="212"/>
      <c r="F1456" s="29" t="str">
        <f>IFERROR(VLOOKUP(E1456,'Inventaire des produits'!$B$4:$K$1001,2,0),"")</f>
        <v/>
      </c>
      <c r="G1456" s="212"/>
      <c r="H1456" s="30" t="str">
        <f>IFERROR(VLOOKUP(E1456,'Inventaire des produits'!$B$4:$K$1001,8,0),"")</f>
        <v/>
      </c>
      <c r="I1456" s="32" t="str">
        <f t="shared" si="42"/>
        <v/>
      </c>
      <c r="K1456" s="127" t="str">
        <f t="shared" si="41"/>
        <v/>
      </c>
    </row>
    <row r="1457" spans="2:11" x14ac:dyDescent="0.3">
      <c r="B1457" s="197"/>
      <c r="C1457" s="198"/>
      <c r="D1457" s="197"/>
      <c r="E1457" s="212"/>
      <c r="F1457" s="29" t="str">
        <f>IFERROR(VLOOKUP(E1457,'Inventaire des produits'!$B$4:$K$1001,2,0),"")</f>
        <v/>
      </c>
      <c r="G1457" s="212"/>
      <c r="H1457" s="30" t="str">
        <f>IFERROR(VLOOKUP(E1457,'Inventaire des produits'!$B$4:$K$1001,8,0),"")</f>
        <v/>
      </c>
      <c r="I1457" s="32" t="str">
        <f t="shared" si="42"/>
        <v/>
      </c>
      <c r="K1457" s="127" t="str">
        <f t="shared" si="41"/>
        <v/>
      </c>
    </row>
    <row r="1458" spans="2:11" x14ac:dyDescent="0.3">
      <c r="B1458" s="197"/>
      <c r="C1458" s="198"/>
      <c r="D1458" s="197"/>
      <c r="E1458" s="212"/>
      <c r="F1458" s="29" t="str">
        <f>IFERROR(VLOOKUP(E1458,'Inventaire des produits'!$B$4:$K$1001,2,0),"")</f>
        <v/>
      </c>
      <c r="G1458" s="212"/>
      <c r="H1458" s="30" t="str">
        <f>IFERROR(VLOOKUP(E1458,'Inventaire des produits'!$B$4:$K$1001,8,0),"")</f>
        <v/>
      </c>
      <c r="I1458" s="32" t="str">
        <f t="shared" si="42"/>
        <v/>
      </c>
      <c r="K1458" s="127" t="str">
        <f t="shared" si="41"/>
        <v/>
      </c>
    </row>
    <row r="1459" spans="2:11" x14ac:dyDescent="0.3">
      <c r="B1459" s="197"/>
      <c r="C1459" s="198"/>
      <c r="D1459" s="197"/>
      <c r="E1459" s="212"/>
      <c r="F1459" s="29" t="str">
        <f>IFERROR(VLOOKUP(E1459,'Inventaire des produits'!$B$4:$K$1001,2,0),"")</f>
        <v/>
      </c>
      <c r="G1459" s="212"/>
      <c r="H1459" s="30" t="str">
        <f>IFERROR(VLOOKUP(E1459,'Inventaire des produits'!$B$4:$K$1001,8,0),"")</f>
        <v/>
      </c>
      <c r="I1459" s="32" t="str">
        <f t="shared" si="42"/>
        <v/>
      </c>
      <c r="K1459" s="127" t="str">
        <f t="shared" si="41"/>
        <v/>
      </c>
    </row>
    <row r="1460" spans="2:11" x14ac:dyDescent="0.3">
      <c r="B1460" s="197"/>
      <c r="C1460" s="198"/>
      <c r="D1460" s="197"/>
      <c r="E1460" s="212"/>
      <c r="F1460" s="29" t="str">
        <f>IFERROR(VLOOKUP(E1460,'Inventaire des produits'!$B$4:$K$1001,2,0),"")</f>
        <v/>
      </c>
      <c r="G1460" s="212"/>
      <c r="H1460" s="30" t="str">
        <f>IFERROR(VLOOKUP(E1460,'Inventaire des produits'!$B$4:$K$1001,8,0),"")</f>
        <v/>
      </c>
      <c r="I1460" s="32" t="str">
        <f t="shared" si="42"/>
        <v/>
      </c>
      <c r="K1460" s="127" t="str">
        <f t="shared" si="41"/>
        <v/>
      </c>
    </row>
    <row r="1461" spans="2:11" x14ac:dyDescent="0.3">
      <c r="B1461" s="197"/>
      <c r="C1461" s="198"/>
      <c r="D1461" s="197"/>
      <c r="E1461" s="212"/>
      <c r="F1461" s="29" t="str">
        <f>IFERROR(VLOOKUP(E1461,'Inventaire des produits'!$B$4:$K$1001,2,0),"")</f>
        <v/>
      </c>
      <c r="G1461" s="212"/>
      <c r="H1461" s="30" t="str">
        <f>IFERROR(VLOOKUP(E1461,'Inventaire des produits'!$B$4:$K$1001,8,0),"")</f>
        <v/>
      </c>
      <c r="I1461" s="32" t="str">
        <f t="shared" si="42"/>
        <v/>
      </c>
      <c r="K1461" s="127" t="str">
        <f t="shared" si="41"/>
        <v/>
      </c>
    </row>
    <row r="1462" spans="2:11" x14ac:dyDescent="0.3">
      <c r="B1462" s="197"/>
      <c r="C1462" s="198"/>
      <c r="D1462" s="197"/>
      <c r="E1462" s="212"/>
      <c r="F1462" s="29" t="str">
        <f>IFERROR(VLOOKUP(E1462,'Inventaire des produits'!$B$4:$K$1001,2,0),"")</f>
        <v/>
      </c>
      <c r="G1462" s="212"/>
      <c r="H1462" s="30" t="str">
        <f>IFERROR(VLOOKUP(E1462,'Inventaire des produits'!$B$4:$K$1001,8,0),"")</f>
        <v/>
      </c>
      <c r="I1462" s="32" t="str">
        <f t="shared" si="42"/>
        <v/>
      </c>
      <c r="K1462" s="127" t="str">
        <f t="shared" si="41"/>
        <v/>
      </c>
    </row>
    <row r="1463" spans="2:11" x14ac:dyDescent="0.3">
      <c r="B1463" s="197"/>
      <c r="C1463" s="198"/>
      <c r="D1463" s="197"/>
      <c r="E1463" s="212"/>
      <c r="F1463" s="29" t="str">
        <f>IFERROR(VLOOKUP(E1463,'Inventaire des produits'!$B$4:$K$1001,2,0),"")</f>
        <v/>
      </c>
      <c r="G1463" s="212"/>
      <c r="H1463" s="30" t="str">
        <f>IFERROR(VLOOKUP(E1463,'Inventaire des produits'!$B$4:$K$1001,8,0),"")</f>
        <v/>
      </c>
      <c r="I1463" s="32" t="str">
        <f t="shared" si="42"/>
        <v/>
      </c>
      <c r="K1463" s="127" t="str">
        <f t="shared" si="41"/>
        <v/>
      </c>
    </row>
    <row r="1464" spans="2:11" x14ac:dyDescent="0.3">
      <c r="B1464" s="197"/>
      <c r="C1464" s="198"/>
      <c r="D1464" s="197"/>
      <c r="E1464" s="212"/>
      <c r="F1464" s="29" t="str">
        <f>IFERROR(VLOOKUP(E1464,'Inventaire des produits'!$B$4:$K$1001,2,0),"")</f>
        <v/>
      </c>
      <c r="G1464" s="212"/>
      <c r="H1464" s="30" t="str">
        <f>IFERROR(VLOOKUP(E1464,'Inventaire des produits'!$B$4:$K$1001,8,0),"")</f>
        <v/>
      </c>
      <c r="I1464" s="32" t="str">
        <f t="shared" si="42"/>
        <v/>
      </c>
      <c r="K1464" s="127" t="str">
        <f t="shared" si="41"/>
        <v/>
      </c>
    </row>
    <row r="1465" spans="2:11" x14ac:dyDescent="0.3">
      <c r="B1465" s="197"/>
      <c r="C1465" s="198"/>
      <c r="D1465" s="197"/>
      <c r="E1465" s="212"/>
      <c r="F1465" s="29" t="str">
        <f>IFERROR(VLOOKUP(E1465,'Inventaire des produits'!$B$4:$K$1001,2,0),"")</f>
        <v/>
      </c>
      <c r="G1465" s="212"/>
      <c r="H1465" s="30" t="str">
        <f>IFERROR(VLOOKUP(E1465,'Inventaire des produits'!$B$4:$K$1001,8,0),"")</f>
        <v/>
      </c>
      <c r="I1465" s="32" t="str">
        <f t="shared" si="42"/>
        <v/>
      </c>
      <c r="K1465" s="127" t="str">
        <f t="shared" si="41"/>
        <v/>
      </c>
    </row>
    <row r="1466" spans="2:11" x14ac:dyDescent="0.3">
      <c r="B1466" s="197"/>
      <c r="C1466" s="198"/>
      <c r="D1466" s="197"/>
      <c r="E1466" s="212"/>
      <c r="F1466" s="29" t="str">
        <f>IFERROR(VLOOKUP(E1466,'Inventaire des produits'!$B$4:$K$1001,2,0),"")</f>
        <v/>
      </c>
      <c r="G1466" s="212"/>
      <c r="H1466" s="30" t="str">
        <f>IFERROR(VLOOKUP(E1466,'Inventaire des produits'!$B$4:$K$1001,8,0),"")</f>
        <v/>
      </c>
      <c r="I1466" s="32" t="str">
        <f t="shared" si="42"/>
        <v/>
      </c>
      <c r="K1466" s="127" t="str">
        <f t="shared" si="41"/>
        <v/>
      </c>
    </row>
    <row r="1467" spans="2:11" x14ac:dyDescent="0.3">
      <c r="B1467" s="197"/>
      <c r="C1467" s="198"/>
      <c r="D1467" s="197"/>
      <c r="E1467" s="212"/>
      <c r="F1467" s="29" t="str">
        <f>IFERROR(VLOOKUP(E1467,'Inventaire des produits'!$B$4:$K$1001,2,0),"")</f>
        <v/>
      </c>
      <c r="G1467" s="212"/>
      <c r="H1467" s="30" t="str">
        <f>IFERROR(VLOOKUP(E1467,'Inventaire des produits'!$B$4:$K$1001,8,0),"")</f>
        <v/>
      </c>
      <c r="I1467" s="32" t="str">
        <f t="shared" si="42"/>
        <v/>
      </c>
      <c r="K1467" s="127" t="str">
        <f t="shared" si="41"/>
        <v/>
      </c>
    </row>
    <row r="1468" spans="2:11" x14ac:dyDescent="0.3">
      <c r="B1468" s="197"/>
      <c r="C1468" s="198"/>
      <c r="D1468" s="197"/>
      <c r="E1468" s="212"/>
      <c r="F1468" s="29" t="str">
        <f>IFERROR(VLOOKUP(E1468,'Inventaire des produits'!$B$4:$K$1001,2,0),"")</f>
        <v/>
      </c>
      <c r="G1468" s="212"/>
      <c r="H1468" s="30" t="str">
        <f>IFERROR(VLOOKUP(E1468,'Inventaire des produits'!$B$4:$K$1001,8,0),"")</f>
        <v/>
      </c>
      <c r="I1468" s="32" t="str">
        <f t="shared" si="42"/>
        <v/>
      </c>
      <c r="K1468" s="127" t="str">
        <f t="shared" ref="K1468:K1531" si="43">IF(J1468="","",J1468*1.2)</f>
        <v/>
      </c>
    </row>
    <row r="1469" spans="2:11" x14ac:dyDescent="0.3">
      <c r="B1469" s="197"/>
      <c r="C1469" s="198"/>
      <c r="D1469" s="197"/>
      <c r="E1469" s="212"/>
      <c r="F1469" s="29" t="str">
        <f>IFERROR(VLOOKUP(E1469,'Inventaire des produits'!$B$4:$K$1001,2,0),"")</f>
        <v/>
      </c>
      <c r="G1469" s="212"/>
      <c r="H1469" s="30" t="str">
        <f>IFERROR(VLOOKUP(E1469,'Inventaire des produits'!$B$4:$K$1001,8,0),"")</f>
        <v/>
      </c>
      <c r="I1469" s="32" t="str">
        <f t="shared" si="42"/>
        <v/>
      </c>
      <c r="K1469" s="127" t="str">
        <f t="shared" si="43"/>
        <v/>
      </c>
    </row>
    <row r="1470" spans="2:11" x14ac:dyDescent="0.3">
      <c r="B1470" s="197"/>
      <c r="C1470" s="198"/>
      <c r="D1470" s="197"/>
      <c r="E1470" s="212"/>
      <c r="F1470" s="29" t="str">
        <f>IFERROR(VLOOKUP(E1470,'Inventaire des produits'!$B$4:$K$1001,2,0),"")</f>
        <v/>
      </c>
      <c r="G1470" s="212"/>
      <c r="H1470" s="30" t="str">
        <f>IFERROR(VLOOKUP(E1470,'Inventaire des produits'!$B$4:$K$1001,8,0),"")</f>
        <v/>
      </c>
      <c r="I1470" s="32" t="str">
        <f t="shared" si="42"/>
        <v/>
      </c>
      <c r="K1470" s="127" t="str">
        <f t="shared" si="43"/>
        <v/>
      </c>
    </row>
    <row r="1471" spans="2:11" x14ac:dyDescent="0.3">
      <c r="B1471" s="197"/>
      <c r="C1471" s="198"/>
      <c r="D1471" s="197"/>
      <c r="E1471" s="212"/>
      <c r="F1471" s="29" t="str">
        <f>IFERROR(VLOOKUP(E1471,'Inventaire des produits'!$B$4:$K$1001,2,0),"")</f>
        <v/>
      </c>
      <c r="G1471" s="212"/>
      <c r="H1471" s="30" t="str">
        <f>IFERROR(VLOOKUP(E1471,'Inventaire des produits'!$B$4:$K$1001,8,0),"")</f>
        <v/>
      </c>
      <c r="I1471" s="32" t="str">
        <f t="shared" si="42"/>
        <v/>
      </c>
      <c r="K1471" s="127" t="str">
        <f t="shared" si="43"/>
        <v/>
      </c>
    </row>
    <row r="1472" spans="2:11" x14ac:dyDescent="0.3">
      <c r="B1472" s="197"/>
      <c r="C1472" s="198"/>
      <c r="D1472" s="197"/>
      <c r="E1472" s="212"/>
      <c r="F1472" s="29" t="str">
        <f>IFERROR(VLOOKUP(E1472,'Inventaire des produits'!$B$4:$K$1001,2,0),"")</f>
        <v/>
      </c>
      <c r="G1472" s="212"/>
      <c r="H1472" s="30" t="str">
        <f>IFERROR(VLOOKUP(E1472,'Inventaire des produits'!$B$4:$K$1001,8,0),"")</f>
        <v/>
      </c>
      <c r="I1472" s="32" t="str">
        <f t="shared" si="42"/>
        <v/>
      </c>
      <c r="K1472" s="127" t="str">
        <f t="shared" si="43"/>
        <v/>
      </c>
    </row>
    <row r="1473" spans="2:11" x14ac:dyDescent="0.3">
      <c r="B1473" s="197"/>
      <c r="C1473" s="198"/>
      <c r="D1473" s="197"/>
      <c r="E1473" s="212"/>
      <c r="F1473" s="29" t="str">
        <f>IFERROR(VLOOKUP(E1473,'Inventaire des produits'!$B$4:$K$1001,2,0),"")</f>
        <v/>
      </c>
      <c r="G1473" s="212"/>
      <c r="H1473" s="30" t="str">
        <f>IFERROR(VLOOKUP(E1473,'Inventaire des produits'!$B$4:$K$1001,8,0),"")</f>
        <v/>
      </c>
      <c r="I1473" s="32" t="str">
        <f t="shared" si="42"/>
        <v/>
      </c>
      <c r="K1473" s="127" t="str">
        <f t="shared" si="43"/>
        <v/>
      </c>
    </row>
    <row r="1474" spans="2:11" x14ac:dyDescent="0.3">
      <c r="B1474" s="197"/>
      <c r="C1474" s="198"/>
      <c r="D1474" s="197"/>
      <c r="E1474" s="212"/>
      <c r="F1474" s="29" t="str">
        <f>IFERROR(VLOOKUP(E1474,'Inventaire des produits'!$B$4:$K$1001,2,0),"")</f>
        <v/>
      </c>
      <c r="G1474" s="212"/>
      <c r="H1474" s="30" t="str">
        <f>IFERROR(VLOOKUP(E1474,'Inventaire des produits'!$B$4:$K$1001,8,0),"")</f>
        <v/>
      </c>
      <c r="I1474" s="32" t="str">
        <f t="shared" ref="I1474:I1537" si="44">IF(OR(G1474="",H1474=""),"",G1474*H1474)</f>
        <v/>
      </c>
      <c r="K1474" s="127" t="str">
        <f t="shared" si="43"/>
        <v/>
      </c>
    </row>
    <row r="1475" spans="2:11" x14ac:dyDescent="0.3">
      <c r="B1475" s="197"/>
      <c r="C1475" s="198"/>
      <c r="D1475" s="197"/>
      <c r="E1475" s="212"/>
      <c r="F1475" s="29" t="str">
        <f>IFERROR(VLOOKUP(E1475,'Inventaire des produits'!$B$4:$K$1001,2,0),"")</f>
        <v/>
      </c>
      <c r="G1475" s="212"/>
      <c r="H1475" s="30" t="str">
        <f>IFERROR(VLOOKUP(E1475,'Inventaire des produits'!$B$4:$K$1001,8,0),"")</f>
        <v/>
      </c>
      <c r="I1475" s="32" t="str">
        <f t="shared" si="44"/>
        <v/>
      </c>
      <c r="K1475" s="127" t="str">
        <f t="shared" si="43"/>
        <v/>
      </c>
    </row>
    <row r="1476" spans="2:11" x14ac:dyDescent="0.3">
      <c r="B1476" s="197"/>
      <c r="C1476" s="198"/>
      <c r="D1476" s="197"/>
      <c r="E1476" s="212"/>
      <c r="F1476" s="29" t="str">
        <f>IFERROR(VLOOKUP(E1476,'Inventaire des produits'!$B$4:$K$1001,2,0),"")</f>
        <v/>
      </c>
      <c r="G1476" s="212"/>
      <c r="H1476" s="30" t="str">
        <f>IFERROR(VLOOKUP(E1476,'Inventaire des produits'!$B$4:$K$1001,8,0),"")</f>
        <v/>
      </c>
      <c r="I1476" s="32" t="str">
        <f t="shared" si="44"/>
        <v/>
      </c>
      <c r="K1476" s="127" t="str">
        <f t="shared" si="43"/>
        <v/>
      </c>
    </row>
    <row r="1477" spans="2:11" x14ac:dyDescent="0.3">
      <c r="B1477" s="197"/>
      <c r="C1477" s="198"/>
      <c r="D1477" s="197"/>
      <c r="E1477" s="212"/>
      <c r="F1477" s="29" t="str">
        <f>IFERROR(VLOOKUP(E1477,'Inventaire des produits'!$B$4:$K$1001,2,0),"")</f>
        <v/>
      </c>
      <c r="G1477" s="212"/>
      <c r="H1477" s="30" t="str">
        <f>IFERROR(VLOOKUP(E1477,'Inventaire des produits'!$B$4:$K$1001,8,0),"")</f>
        <v/>
      </c>
      <c r="I1477" s="32" t="str">
        <f t="shared" si="44"/>
        <v/>
      </c>
      <c r="K1477" s="127" t="str">
        <f t="shared" si="43"/>
        <v/>
      </c>
    </row>
    <row r="1478" spans="2:11" x14ac:dyDescent="0.3">
      <c r="B1478" s="197"/>
      <c r="C1478" s="198"/>
      <c r="D1478" s="197"/>
      <c r="E1478" s="212"/>
      <c r="F1478" s="29" t="str">
        <f>IFERROR(VLOOKUP(E1478,'Inventaire des produits'!$B$4:$K$1001,2,0),"")</f>
        <v/>
      </c>
      <c r="G1478" s="212"/>
      <c r="H1478" s="30" t="str">
        <f>IFERROR(VLOOKUP(E1478,'Inventaire des produits'!$B$4:$K$1001,8,0),"")</f>
        <v/>
      </c>
      <c r="I1478" s="32" t="str">
        <f t="shared" si="44"/>
        <v/>
      </c>
      <c r="K1478" s="127" t="str">
        <f t="shared" si="43"/>
        <v/>
      </c>
    </row>
    <row r="1479" spans="2:11" x14ac:dyDescent="0.3">
      <c r="B1479" s="197"/>
      <c r="C1479" s="198"/>
      <c r="D1479" s="197"/>
      <c r="E1479" s="212"/>
      <c r="F1479" s="29" t="str">
        <f>IFERROR(VLOOKUP(E1479,'Inventaire des produits'!$B$4:$K$1001,2,0),"")</f>
        <v/>
      </c>
      <c r="G1479" s="212"/>
      <c r="H1479" s="30" t="str">
        <f>IFERROR(VLOOKUP(E1479,'Inventaire des produits'!$B$4:$K$1001,8,0),"")</f>
        <v/>
      </c>
      <c r="I1479" s="32" t="str">
        <f t="shared" si="44"/>
        <v/>
      </c>
      <c r="K1479" s="127" t="str">
        <f t="shared" si="43"/>
        <v/>
      </c>
    </row>
    <row r="1480" spans="2:11" x14ac:dyDescent="0.3">
      <c r="B1480" s="197"/>
      <c r="C1480" s="198"/>
      <c r="D1480" s="197"/>
      <c r="E1480" s="212"/>
      <c r="F1480" s="29" t="str">
        <f>IFERROR(VLOOKUP(E1480,'Inventaire des produits'!$B$4:$K$1001,2,0),"")</f>
        <v/>
      </c>
      <c r="G1480" s="212"/>
      <c r="H1480" s="30" t="str">
        <f>IFERROR(VLOOKUP(E1480,'Inventaire des produits'!$B$4:$K$1001,8,0),"")</f>
        <v/>
      </c>
      <c r="I1480" s="32" t="str">
        <f t="shared" si="44"/>
        <v/>
      </c>
      <c r="K1480" s="127" t="str">
        <f t="shared" si="43"/>
        <v/>
      </c>
    </row>
    <row r="1481" spans="2:11" x14ac:dyDescent="0.3">
      <c r="B1481" s="197"/>
      <c r="C1481" s="198"/>
      <c r="D1481" s="197"/>
      <c r="E1481" s="212"/>
      <c r="F1481" s="29" t="str">
        <f>IFERROR(VLOOKUP(E1481,'Inventaire des produits'!$B$4:$K$1001,2,0),"")</f>
        <v/>
      </c>
      <c r="G1481" s="212"/>
      <c r="H1481" s="30" t="str">
        <f>IFERROR(VLOOKUP(E1481,'Inventaire des produits'!$B$4:$K$1001,8,0),"")</f>
        <v/>
      </c>
      <c r="I1481" s="32" t="str">
        <f t="shared" si="44"/>
        <v/>
      </c>
      <c r="K1481" s="127" t="str">
        <f t="shared" si="43"/>
        <v/>
      </c>
    </row>
    <row r="1482" spans="2:11" x14ac:dyDescent="0.3">
      <c r="B1482" s="197"/>
      <c r="C1482" s="198"/>
      <c r="D1482" s="197"/>
      <c r="E1482" s="212"/>
      <c r="F1482" s="29" t="str">
        <f>IFERROR(VLOOKUP(E1482,'Inventaire des produits'!$B$4:$K$1001,2,0),"")</f>
        <v/>
      </c>
      <c r="G1482" s="212"/>
      <c r="H1482" s="30" t="str">
        <f>IFERROR(VLOOKUP(E1482,'Inventaire des produits'!$B$4:$K$1001,8,0),"")</f>
        <v/>
      </c>
      <c r="I1482" s="32" t="str">
        <f t="shared" si="44"/>
        <v/>
      </c>
      <c r="K1482" s="127" t="str">
        <f t="shared" si="43"/>
        <v/>
      </c>
    </row>
    <row r="1483" spans="2:11" x14ac:dyDescent="0.3">
      <c r="B1483" s="197"/>
      <c r="C1483" s="198"/>
      <c r="D1483" s="197"/>
      <c r="E1483" s="212"/>
      <c r="F1483" s="29" t="str">
        <f>IFERROR(VLOOKUP(E1483,'Inventaire des produits'!$B$4:$K$1001,2,0),"")</f>
        <v/>
      </c>
      <c r="G1483" s="212"/>
      <c r="H1483" s="30" t="str">
        <f>IFERROR(VLOOKUP(E1483,'Inventaire des produits'!$B$4:$K$1001,8,0),"")</f>
        <v/>
      </c>
      <c r="I1483" s="32" t="str">
        <f t="shared" si="44"/>
        <v/>
      </c>
      <c r="K1483" s="127" t="str">
        <f t="shared" si="43"/>
        <v/>
      </c>
    </row>
    <row r="1484" spans="2:11" x14ac:dyDescent="0.3">
      <c r="B1484" s="197"/>
      <c r="C1484" s="198"/>
      <c r="D1484" s="197"/>
      <c r="E1484" s="212"/>
      <c r="F1484" s="29" t="str">
        <f>IFERROR(VLOOKUP(E1484,'Inventaire des produits'!$B$4:$K$1001,2,0),"")</f>
        <v/>
      </c>
      <c r="G1484" s="212"/>
      <c r="H1484" s="30" t="str">
        <f>IFERROR(VLOOKUP(E1484,'Inventaire des produits'!$B$4:$K$1001,8,0),"")</f>
        <v/>
      </c>
      <c r="I1484" s="32" t="str">
        <f t="shared" si="44"/>
        <v/>
      </c>
      <c r="K1484" s="127" t="str">
        <f t="shared" si="43"/>
        <v/>
      </c>
    </row>
    <row r="1485" spans="2:11" x14ac:dyDescent="0.3">
      <c r="B1485" s="197"/>
      <c r="C1485" s="198"/>
      <c r="D1485" s="197"/>
      <c r="E1485" s="212"/>
      <c r="F1485" s="29" t="str">
        <f>IFERROR(VLOOKUP(E1485,'Inventaire des produits'!$B$4:$K$1001,2,0),"")</f>
        <v/>
      </c>
      <c r="G1485" s="212"/>
      <c r="H1485" s="30" t="str">
        <f>IFERROR(VLOOKUP(E1485,'Inventaire des produits'!$B$4:$K$1001,8,0),"")</f>
        <v/>
      </c>
      <c r="I1485" s="32" t="str">
        <f t="shared" si="44"/>
        <v/>
      </c>
      <c r="K1485" s="127" t="str">
        <f t="shared" si="43"/>
        <v/>
      </c>
    </row>
    <row r="1486" spans="2:11" x14ac:dyDescent="0.3">
      <c r="B1486" s="197"/>
      <c r="C1486" s="198"/>
      <c r="D1486" s="197"/>
      <c r="E1486" s="212"/>
      <c r="F1486" s="29" t="str">
        <f>IFERROR(VLOOKUP(E1486,'Inventaire des produits'!$B$4:$K$1001,2,0),"")</f>
        <v/>
      </c>
      <c r="G1486" s="212"/>
      <c r="H1486" s="30" t="str">
        <f>IFERROR(VLOOKUP(E1486,'Inventaire des produits'!$B$4:$K$1001,8,0),"")</f>
        <v/>
      </c>
      <c r="I1486" s="32" t="str">
        <f t="shared" si="44"/>
        <v/>
      </c>
      <c r="K1486" s="127" t="str">
        <f t="shared" si="43"/>
        <v/>
      </c>
    </row>
    <row r="1487" spans="2:11" x14ac:dyDescent="0.3">
      <c r="B1487" s="197"/>
      <c r="C1487" s="198"/>
      <c r="D1487" s="197"/>
      <c r="E1487" s="212"/>
      <c r="F1487" s="29" t="str">
        <f>IFERROR(VLOOKUP(E1487,'Inventaire des produits'!$B$4:$K$1001,2,0),"")</f>
        <v/>
      </c>
      <c r="G1487" s="212"/>
      <c r="H1487" s="30" t="str">
        <f>IFERROR(VLOOKUP(E1487,'Inventaire des produits'!$B$4:$K$1001,8,0),"")</f>
        <v/>
      </c>
      <c r="I1487" s="32" t="str">
        <f t="shared" si="44"/>
        <v/>
      </c>
      <c r="K1487" s="127" t="str">
        <f t="shared" si="43"/>
        <v/>
      </c>
    </row>
    <row r="1488" spans="2:11" x14ac:dyDescent="0.3">
      <c r="B1488" s="197"/>
      <c r="C1488" s="198"/>
      <c r="D1488" s="197"/>
      <c r="E1488" s="212"/>
      <c r="F1488" s="29" t="str">
        <f>IFERROR(VLOOKUP(E1488,'Inventaire des produits'!$B$4:$K$1001,2,0),"")</f>
        <v/>
      </c>
      <c r="G1488" s="212"/>
      <c r="H1488" s="30" t="str">
        <f>IFERROR(VLOOKUP(E1488,'Inventaire des produits'!$B$4:$K$1001,8,0),"")</f>
        <v/>
      </c>
      <c r="I1488" s="32" t="str">
        <f t="shared" si="44"/>
        <v/>
      </c>
      <c r="K1488" s="127" t="str">
        <f t="shared" si="43"/>
        <v/>
      </c>
    </row>
    <row r="1489" spans="2:11" x14ac:dyDescent="0.3">
      <c r="B1489" s="197"/>
      <c r="C1489" s="198"/>
      <c r="D1489" s="197"/>
      <c r="E1489" s="212"/>
      <c r="F1489" s="29" t="str">
        <f>IFERROR(VLOOKUP(E1489,'Inventaire des produits'!$B$4:$K$1001,2,0),"")</f>
        <v/>
      </c>
      <c r="G1489" s="212"/>
      <c r="H1489" s="30" t="str">
        <f>IFERROR(VLOOKUP(E1489,'Inventaire des produits'!$B$4:$K$1001,8,0),"")</f>
        <v/>
      </c>
      <c r="I1489" s="32" t="str">
        <f t="shared" si="44"/>
        <v/>
      </c>
      <c r="K1489" s="127" t="str">
        <f t="shared" si="43"/>
        <v/>
      </c>
    </row>
    <row r="1490" spans="2:11" x14ac:dyDescent="0.3">
      <c r="B1490" s="197"/>
      <c r="C1490" s="198"/>
      <c r="D1490" s="197"/>
      <c r="E1490" s="212"/>
      <c r="F1490" s="29" t="str">
        <f>IFERROR(VLOOKUP(E1490,'Inventaire des produits'!$B$4:$K$1001,2,0),"")</f>
        <v/>
      </c>
      <c r="G1490" s="212"/>
      <c r="H1490" s="30" t="str">
        <f>IFERROR(VLOOKUP(E1490,'Inventaire des produits'!$B$4:$K$1001,8,0),"")</f>
        <v/>
      </c>
      <c r="I1490" s="32" t="str">
        <f t="shared" si="44"/>
        <v/>
      </c>
      <c r="K1490" s="127" t="str">
        <f t="shared" si="43"/>
        <v/>
      </c>
    </row>
    <row r="1491" spans="2:11" x14ac:dyDescent="0.3">
      <c r="B1491" s="197"/>
      <c r="C1491" s="198"/>
      <c r="D1491" s="197"/>
      <c r="E1491" s="212"/>
      <c r="F1491" s="29" t="str">
        <f>IFERROR(VLOOKUP(E1491,'Inventaire des produits'!$B$4:$K$1001,2,0),"")</f>
        <v/>
      </c>
      <c r="G1491" s="212"/>
      <c r="H1491" s="30" t="str">
        <f>IFERROR(VLOOKUP(E1491,'Inventaire des produits'!$B$4:$K$1001,8,0),"")</f>
        <v/>
      </c>
      <c r="I1491" s="32" t="str">
        <f t="shared" si="44"/>
        <v/>
      </c>
      <c r="K1491" s="127" t="str">
        <f t="shared" si="43"/>
        <v/>
      </c>
    </row>
    <row r="1492" spans="2:11" x14ac:dyDescent="0.3">
      <c r="B1492" s="197"/>
      <c r="C1492" s="198"/>
      <c r="D1492" s="197"/>
      <c r="E1492" s="212"/>
      <c r="F1492" s="29" t="str">
        <f>IFERROR(VLOOKUP(E1492,'Inventaire des produits'!$B$4:$K$1001,2,0),"")</f>
        <v/>
      </c>
      <c r="G1492" s="212"/>
      <c r="H1492" s="30" t="str">
        <f>IFERROR(VLOOKUP(E1492,'Inventaire des produits'!$B$4:$K$1001,8,0),"")</f>
        <v/>
      </c>
      <c r="I1492" s="32" t="str">
        <f t="shared" si="44"/>
        <v/>
      </c>
      <c r="K1492" s="127" t="str">
        <f t="shared" si="43"/>
        <v/>
      </c>
    </row>
    <row r="1493" spans="2:11" x14ac:dyDescent="0.3">
      <c r="B1493" s="197"/>
      <c r="C1493" s="198"/>
      <c r="D1493" s="197"/>
      <c r="E1493" s="212"/>
      <c r="F1493" s="29" t="str">
        <f>IFERROR(VLOOKUP(E1493,'Inventaire des produits'!$B$4:$K$1001,2,0),"")</f>
        <v/>
      </c>
      <c r="G1493" s="212"/>
      <c r="H1493" s="30" t="str">
        <f>IFERROR(VLOOKUP(E1493,'Inventaire des produits'!$B$4:$K$1001,8,0),"")</f>
        <v/>
      </c>
      <c r="I1493" s="32" t="str">
        <f t="shared" si="44"/>
        <v/>
      </c>
      <c r="K1493" s="127" t="str">
        <f t="shared" si="43"/>
        <v/>
      </c>
    </row>
    <row r="1494" spans="2:11" x14ac:dyDescent="0.3">
      <c r="B1494" s="197"/>
      <c r="C1494" s="198"/>
      <c r="D1494" s="197"/>
      <c r="E1494" s="212"/>
      <c r="F1494" s="29" t="str">
        <f>IFERROR(VLOOKUP(E1494,'Inventaire des produits'!$B$4:$K$1001,2,0),"")</f>
        <v/>
      </c>
      <c r="G1494" s="212"/>
      <c r="H1494" s="30" t="str">
        <f>IFERROR(VLOOKUP(E1494,'Inventaire des produits'!$B$4:$K$1001,8,0),"")</f>
        <v/>
      </c>
      <c r="I1494" s="32" t="str">
        <f t="shared" si="44"/>
        <v/>
      </c>
      <c r="K1494" s="127" t="str">
        <f t="shared" si="43"/>
        <v/>
      </c>
    </row>
    <row r="1495" spans="2:11" x14ac:dyDescent="0.3">
      <c r="B1495" s="197"/>
      <c r="C1495" s="198"/>
      <c r="D1495" s="197"/>
      <c r="E1495" s="212"/>
      <c r="F1495" s="29" t="str">
        <f>IFERROR(VLOOKUP(E1495,'Inventaire des produits'!$B$4:$K$1001,2,0),"")</f>
        <v/>
      </c>
      <c r="G1495" s="212"/>
      <c r="H1495" s="30" t="str">
        <f>IFERROR(VLOOKUP(E1495,'Inventaire des produits'!$B$4:$K$1001,8,0),"")</f>
        <v/>
      </c>
      <c r="I1495" s="32" t="str">
        <f t="shared" si="44"/>
        <v/>
      </c>
      <c r="K1495" s="127" t="str">
        <f t="shared" si="43"/>
        <v/>
      </c>
    </row>
    <row r="1496" spans="2:11" x14ac:dyDescent="0.3">
      <c r="B1496" s="197"/>
      <c r="C1496" s="198"/>
      <c r="D1496" s="197"/>
      <c r="E1496" s="212"/>
      <c r="F1496" s="29" t="str">
        <f>IFERROR(VLOOKUP(E1496,'Inventaire des produits'!$B$4:$K$1001,2,0),"")</f>
        <v/>
      </c>
      <c r="G1496" s="212"/>
      <c r="H1496" s="30" t="str">
        <f>IFERROR(VLOOKUP(E1496,'Inventaire des produits'!$B$4:$K$1001,8,0),"")</f>
        <v/>
      </c>
      <c r="I1496" s="32" t="str">
        <f t="shared" si="44"/>
        <v/>
      </c>
      <c r="K1496" s="127" t="str">
        <f t="shared" si="43"/>
        <v/>
      </c>
    </row>
    <row r="1497" spans="2:11" x14ac:dyDescent="0.3">
      <c r="B1497" s="197"/>
      <c r="C1497" s="198"/>
      <c r="D1497" s="197"/>
      <c r="E1497" s="212"/>
      <c r="F1497" s="29" t="str">
        <f>IFERROR(VLOOKUP(E1497,'Inventaire des produits'!$B$4:$K$1001,2,0),"")</f>
        <v/>
      </c>
      <c r="G1497" s="212"/>
      <c r="H1497" s="30" t="str">
        <f>IFERROR(VLOOKUP(E1497,'Inventaire des produits'!$B$4:$K$1001,8,0),"")</f>
        <v/>
      </c>
      <c r="I1497" s="32" t="str">
        <f t="shared" si="44"/>
        <v/>
      </c>
      <c r="K1497" s="127" t="str">
        <f t="shared" si="43"/>
        <v/>
      </c>
    </row>
    <row r="1498" spans="2:11" x14ac:dyDescent="0.3">
      <c r="B1498" s="197"/>
      <c r="C1498" s="198"/>
      <c r="D1498" s="197"/>
      <c r="E1498" s="212"/>
      <c r="F1498" s="29" t="str">
        <f>IFERROR(VLOOKUP(E1498,'Inventaire des produits'!$B$4:$K$1001,2,0),"")</f>
        <v/>
      </c>
      <c r="G1498" s="212"/>
      <c r="H1498" s="30" t="str">
        <f>IFERROR(VLOOKUP(E1498,'Inventaire des produits'!$B$4:$K$1001,8,0),"")</f>
        <v/>
      </c>
      <c r="I1498" s="32" t="str">
        <f t="shared" si="44"/>
        <v/>
      </c>
      <c r="K1498" s="127" t="str">
        <f t="shared" si="43"/>
        <v/>
      </c>
    </row>
    <row r="1499" spans="2:11" x14ac:dyDescent="0.3">
      <c r="B1499" s="197"/>
      <c r="C1499" s="198"/>
      <c r="D1499" s="197"/>
      <c r="E1499" s="212"/>
      <c r="F1499" s="29" t="str">
        <f>IFERROR(VLOOKUP(E1499,'Inventaire des produits'!$B$4:$K$1001,2,0),"")</f>
        <v/>
      </c>
      <c r="G1499" s="212"/>
      <c r="H1499" s="30" t="str">
        <f>IFERROR(VLOOKUP(E1499,'Inventaire des produits'!$B$4:$K$1001,8,0),"")</f>
        <v/>
      </c>
      <c r="I1499" s="32" t="str">
        <f t="shared" si="44"/>
        <v/>
      </c>
      <c r="K1499" s="127" t="str">
        <f t="shared" si="43"/>
        <v/>
      </c>
    </row>
    <row r="1500" spans="2:11" x14ac:dyDescent="0.3">
      <c r="B1500" s="197"/>
      <c r="C1500" s="198"/>
      <c r="D1500" s="197"/>
      <c r="E1500" s="212"/>
      <c r="F1500" s="29" t="str">
        <f>IFERROR(VLOOKUP(E1500,'Inventaire des produits'!$B$4:$K$1001,2,0),"")</f>
        <v/>
      </c>
      <c r="G1500" s="212"/>
      <c r="H1500" s="30" t="str">
        <f>IFERROR(VLOOKUP(E1500,'Inventaire des produits'!$B$4:$K$1001,8,0),"")</f>
        <v/>
      </c>
      <c r="I1500" s="32" t="str">
        <f t="shared" si="44"/>
        <v/>
      </c>
      <c r="K1500" s="127" t="str">
        <f t="shared" si="43"/>
        <v/>
      </c>
    </row>
    <row r="1501" spans="2:11" x14ac:dyDescent="0.3">
      <c r="B1501" s="197"/>
      <c r="C1501" s="198"/>
      <c r="D1501" s="197"/>
      <c r="E1501" s="212"/>
      <c r="F1501" s="29" t="str">
        <f>IFERROR(VLOOKUP(E1501,'Inventaire des produits'!$B$4:$K$1001,2,0),"")</f>
        <v/>
      </c>
      <c r="G1501" s="212"/>
      <c r="H1501" s="30" t="str">
        <f>IFERROR(VLOOKUP(E1501,'Inventaire des produits'!$B$4:$K$1001,8,0),"")</f>
        <v/>
      </c>
      <c r="I1501" s="32" t="str">
        <f t="shared" si="44"/>
        <v/>
      </c>
      <c r="K1501" s="127" t="str">
        <f t="shared" si="43"/>
        <v/>
      </c>
    </row>
    <row r="1502" spans="2:11" x14ac:dyDescent="0.3">
      <c r="B1502" s="197"/>
      <c r="C1502" s="198"/>
      <c r="D1502" s="197"/>
      <c r="E1502" s="212"/>
      <c r="F1502" s="29" t="str">
        <f>IFERROR(VLOOKUP(E1502,'Inventaire des produits'!$B$4:$K$1001,2,0),"")</f>
        <v/>
      </c>
      <c r="G1502" s="212"/>
      <c r="H1502" s="30" t="str">
        <f>IFERROR(VLOOKUP(E1502,'Inventaire des produits'!$B$4:$K$1001,8,0),"")</f>
        <v/>
      </c>
      <c r="I1502" s="32" t="str">
        <f t="shared" si="44"/>
        <v/>
      </c>
      <c r="K1502" s="127" t="str">
        <f t="shared" si="43"/>
        <v/>
      </c>
    </row>
    <row r="1503" spans="2:11" x14ac:dyDescent="0.3">
      <c r="B1503" s="197"/>
      <c r="C1503" s="198"/>
      <c r="D1503" s="197"/>
      <c r="E1503" s="212"/>
      <c r="F1503" s="29" t="str">
        <f>IFERROR(VLOOKUP(E1503,'Inventaire des produits'!$B$4:$K$1001,2,0),"")</f>
        <v/>
      </c>
      <c r="G1503" s="212"/>
      <c r="H1503" s="30" t="str">
        <f>IFERROR(VLOOKUP(E1503,'Inventaire des produits'!$B$4:$K$1001,8,0),"")</f>
        <v/>
      </c>
      <c r="I1503" s="32" t="str">
        <f t="shared" si="44"/>
        <v/>
      </c>
      <c r="K1503" s="127" t="str">
        <f t="shared" si="43"/>
        <v/>
      </c>
    </row>
    <row r="1504" spans="2:11" x14ac:dyDescent="0.3">
      <c r="B1504" s="197"/>
      <c r="C1504" s="198"/>
      <c r="D1504" s="197"/>
      <c r="E1504" s="212"/>
      <c r="F1504" s="29" t="str">
        <f>IFERROR(VLOOKUP(E1504,'Inventaire des produits'!$B$4:$K$1001,2,0),"")</f>
        <v/>
      </c>
      <c r="G1504" s="212"/>
      <c r="H1504" s="30" t="str">
        <f>IFERROR(VLOOKUP(E1504,'Inventaire des produits'!$B$4:$K$1001,8,0),"")</f>
        <v/>
      </c>
      <c r="I1504" s="32" t="str">
        <f t="shared" si="44"/>
        <v/>
      </c>
      <c r="K1504" s="127" t="str">
        <f t="shared" si="43"/>
        <v/>
      </c>
    </row>
    <row r="1505" spans="2:11" x14ac:dyDescent="0.3">
      <c r="B1505" s="197"/>
      <c r="C1505" s="198"/>
      <c r="D1505" s="197"/>
      <c r="E1505" s="212"/>
      <c r="F1505" s="29" t="str">
        <f>IFERROR(VLOOKUP(E1505,'Inventaire des produits'!$B$4:$K$1001,2,0),"")</f>
        <v/>
      </c>
      <c r="G1505" s="212"/>
      <c r="H1505" s="30" t="str">
        <f>IFERROR(VLOOKUP(E1505,'Inventaire des produits'!$B$4:$K$1001,8,0),"")</f>
        <v/>
      </c>
      <c r="I1505" s="32" t="str">
        <f t="shared" si="44"/>
        <v/>
      </c>
      <c r="K1505" s="127" t="str">
        <f t="shared" si="43"/>
        <v/>
      </c>
    </row>
    <row r="1506" spans="2:11" x14ac:dyDescent="0.3">
      <c r="B1506" s="197"/>
      <c r="C1506" s="198"/>
      <c r="D1506" s="197"/>
      <c r="E1506" s="212"/>
      <c r="F1506" s="29" t="str">
        <f>IFERROR(VLOOKUP(E1506,'Inventaire des produits'!$B$4:$K$1001,2,0),"")</f>
        <v/>
      </c>
      <c r="G1506" s="212"/>
      <c r="H1506" s="30" t="str">
        <f>IFERROR(VLOOKUP(E1506,'Inventaire des produits'!$B$4:$K$1001,8,0),"")</f>
        <v/>
      </c>
      <c r="I1506" s="32" t="str">
        <f t="shared" si="44"/>
        <v/>
      </c>
      <c r="K1506" s="127" t="str">
        <f t="shared" si="43"/>
        <v/>
      </c>
    </row>
    <row r="1507" spans="2:11" x14ac:dyDescent="0.3">
      <c r="B1507" s="197"/>
      <c r="C1507" s="198"/>
      <c r="D1507" s="197"/>
      <c r="E1507" s="212"/>
      <c r="F1507" s="29" t="str">
        <f>IFERROR(VLOOKUP(E1507,'Inventaire des produits'!$B$4:$K$1001,2,0),"")</f>
        <v/>
      </c>
      <c r="G1507" s="212"/>
      <c r="H1507" s="30" t="str">
        <f>IFERROR(VLOOKUP(E1507,'Inventaire des produits'!$B$4:$K$1001,8,0),"")</f>
        <v/>
      </c>
      <c r="I1507" s="32" t="str">
        <f t="shared" si="44"/>
        <v/>
      </c>
      <c r="K1507" s="127" t="str">
        <f t="shared" si="43"/>
        <v/>
      </c>
    </row>
    <row r="1508" spans="2:11" x14ac:dyDescent="0.3">
      <c r="B1508" s="197"/>
      <c r="C1508" s="198"/>
      <c r="D1508" s="197"/>
      <c r="E1508" s="212"/>
      <c r="F1508" s="29" t="str">
        <f>IFERROR(VLOOKUP(E1508,'Inventaire des produits'!$B$4:$K$1001,2,0),"")</f>
        <v/>
      </c>
      <c r="G1508" s="212"/>
      <c r="H1508" s="30" t="str">
        <f>IFERROR(VLOOKUP(E1508,'Inventaire des produits'!$B$4:$K$1001,8,0),"")</f>
        <v/>
      </c>
      <c r="I1508" s="32" t="str">
        <f t="shared" si="44"/>
        <v/>
      </c>
      <c r="K1508" s="127" t="str">
        <f t="shared" si="43"/>
        <v/>
      </c>
    </row>
    <row r="1509" spans="2:11" x14ac:dyDescent="0.3">
      <c r="B1509" s="197"/>
      <c r="C1509" s="198"/>
      <c r="D1509" s="197"/>
      <c r="E1509" s="212"/>
      <c r="F1509" s="29" t="str">
        <f>IFERROR(VLOOKUP(E1509,'Inventaire des produits'!$B$4:$K$1001,2,0),"")</f>
        <v/>
      </c>
      <c r="G1509" s="212"/>
      <c r="H1509" s="30" t="str">
        <f>IFERROR(VLOOKUP(E1509,'Inventaire des produits'!$B$4:$K$1001,8,0),"")</f>
        <v/>
      </c>
      <c r="I1509" s="32" t="str">
        <f t="shared" si="44"/>
        <v/>
      </c>
      <c r="K1509" s="127" t="str">
        <f t="shared" si="43"/>
        <v/>
      </c>
    </row>
    <row r="1510" spans="2:11" x14ac:dyDescent="0.3">
      <c r="B1510" s="197"/>
      <c r="C1510" s="198"/>
      <c r="D1510" s="197"/>
      <c r="E1510" s="212"/>
      <c r="F1510" s="29" t="str">
        <f>IFERROR(VLOOKUP(E1510,'Inventaire des produits'!$B$4:$K$1001,2,0),"")</f>
        <v/>
      </c>
      <c r="G1510" s="212"/>
      <c r="H1510" s="30" t="str">
        <f>IFERROR(VLOOKUP(E1510,'Inventaire des produits'!$B$4:$K$1001,8,0),"")</f>
        <v/>
      </c>
      <c r="I1510" s="32" t="str">
        <f t="shared" si="44"/>
        <v/>
      </c>
      <c r="K1510" s="127" t="str">
        <f t="shared" si="43"/>
        <v/>
      </c>
    </row>
    <row r="1511" spans="2:11" x14ac:dyDescent="0.3">
      <c r="B1511" s="197"/>
      <c r="C1511" s="198"/>
      <c r="D1511" s="197"/>
      <c r="E1511" s="212"/>
      <c r="F1511" s="29" t="str">
        <f>IFERROR(VLOOKUP(E1511,'Inventaire des produits'!$B$4:$K$1001,2,0),"")</f>
        <v/>
      </c>
      <c r="G1511" s="212"/>
      <c r="H1511" s="30" t="str">
        <f>IFERROR(VLOOKUP(E1511,'Inventaire des produits'!$B$4:$K$1001,8,0),"")</f>
        <v/>
      </c>
      <c r="I1511" s="32" t="str">
        <f t="shared" si="44"/>
        <v/>
      </c>
      <c r="K1511" s="127" t="str">
        <f t="shared" si="43"/>
        <v/>
      </c>
    </row>
    <row r="1512" spans="2:11" x14ac:dyDescent="0.3">
      <c r="B1512" s="197"/>
      <c r="C1512" s="198"/>
      <c r="D1512" s="197"/>
      <c r="E1512" s="212"/>
      <c r="F1512" s="29" t="str">
        <f>IFERROR(VLOOKUP(E1512,'Inventaire des produits'!$B$4:$K$1001,2,0),"")</f>
        <v/>
      </c>
      <c r="G1512" s="212"/>
      <c r="H1512" s="30" t="str">
        <f>IFERROR(VLOOKUP(E1512,'Inventaire des produits'!$B$4:$K$1001,8,0),"")</f>
        <v/>
      </c>
      <c r="I1512" s="32" t="str">
        <f t="shared" si="44"/>
        <v/>
      </c>
      <c r="K1512" s="127" t="str">
        <f t="shared" si="43"/>
        <v/>
      </c>
    </row>
    <row r="1513" spans="2:11" x14ac:dyDescent="0.3">
      <c r="B1513" s="197"/>
      <c r="C1513" s="198"/>
      <c r="D1513" s="197"/>
      <c r="E1513" s="212"/>
      <c r="F1513" s="29" t="str">
        <f>IFERROR(VLOOKUP(E1513,'Inventaire des produits'!$B$4:$K$1001,2,0),"")</f>
        <v/>
      </c>
      <c r="G1513" s="212"/>
      <c r="H1513" s="30" t="str">
        <f>IFERROR(VLOOKUP(E1513,'Inventaire des produits'!$B$4:$K$1001,8,0),"")</f>
        <v/>
      </c>
      <c r="I1513" s="32" t="str">
        <f t="shared" si="44"/>
        <v/>
      </c>
      <c r="K1513" s="127" t="str">
        <f t="shared" si="43"/>
        <v/>
      </c>
    </row>
    <row r="1514" spans="2:11" x14ac:dyDescent="0.3">
      <c r="B1514" s="197"/>
      <c r="C1514" s="198"/>
      <c r="D1514" s="197"/>
      <c r="E1514" s="212"/>
      <c r="F1514" s="29" t="str">
        <f>IFERROR(VLOOKUP(E1514,'Inventaire des produits'!$B$4:$K$1001,2,0),"")</f>
        <v/>
      </c>
      <c r="G1514" s="212"/>
      <c r="H1514" s="30" t="str">
        <f>IFERROR(VLOOKUP(E1514,'Inventaire des produits'!$B$4:$K$1001,8,0),"")</f>
        <v/>
      </c>
      <c r="I1514" s="32" t="str">
        <f t="shared" si="44"/>
        <v/>
      </c>
      <c r="K1514" s="127" t="str">
        <f t="shared" si="43"/>
        <v/>
      </c>
    </row>
    <row r="1515" spans="2:11" x14ac:dyDescent="0.3">
      <c r="B1515" s="197"/>
      <c r="C1515" s="198"/>
      <c r="D1515" s="197"/>
      <c r="E1515" s="212"/>
      <c r="F1515" s="29" t="str">
        <f>IFERROR(VLOOKUP(E1515,'Inventaire des produits'!$B$4:$K$1001,2,0),"")</f>
        <v/>
      </c>
      <c r="G1515" s="212"/>
      <c r="H1515" s="30" t="str">
        <f>IFERROR(VLOOKUP(E1515,'Inventaire des produits'!$B$4:$K$1001,8,0),"")</f>
        <v/>
      </c>
      <c r="I1515" s="32" t="str">
        <f t="shared" si="44"/>
        <v/>
      </c>
      <c r="K1515" s="127" t="str">
        <f t="shared" si="43"/>
        <v/>
      </c>
    </row>
    <row r="1516" spans="2:11" x14ac:dyDescent="0.3">
      <c r="B1516" s="197"/>
      <c r="C1516" s="198"/>
      <c r="D1516" s="197"/>
      <c r="E1516" s="212"/>
      <c r="F1516" s="29" t="str">
        <f>IFERROR(VLOOKUP(E1516,'Inventaire des produits'!$B$4:$K$1001,2,0),"")</f>
        <v/>
      </c>
      <c r="G1516" s="212"/>
      <c r="H1516" s="30" t="str">
        <f>IFERROR(VLOOKUP(E1516,'Inventaire des produits'!$B$4:$K$1001,8,0),"")</f>
        <v/>
      </c>
      <c r="I1516" s="32" t="str">
        <f t="shared" si="44"/>
        <v/>
      </c>
      <c r="K1516" s="127" t="str">
        <f t="shared" si="43"/>
        <v/>
      </c>
    </row>
    <row r="1517" spans="2:11" x14ac:dyDescent="0.3">
      <c r="B1517" s="197"/>
      <c r="C1517" s="198"/>
      <c r="D1517" s="197"/>
      <c r="E1517" s="212"/>
      <c r="F1517" s="29" t="str">
        <f>IFERROR(VLOOKUP(E1517,'Inventaire des produits'!$B$4:$K$1001,2,0),"")</f>
        <v/>
      </c>
      <c r="G1517" s="212"/>
      <c r="H1517" s="30" t="str">
        <f>IFERROR(VLOOKUP(E1517,'Inventaire des produits'!$B$4:$K$1001,8,0),"")</f>
        <v/>
      </c>
      <c r="I1517" s="32" t="str">
        <f t="shared" si="44"/>
        <v/>
      </c>
      <c r="K1517" s="127" t="str">
        <f t="shared" si="43"/>
        <v/>
      </c>
    </row>
    <row r="1518" spans="2:11" x14ac:dyDescent="0.3">
      <c r="B1518" s="197"/>
      <c r="C1518" s="198"/>
      <c r="D1518" s="197"/>
      <c r="E1518" s="212"/>
      <c r="F1518" s="29" t="str">
        <f>IFERROR(VLOOKUP(E1518,'Inventaire des produits'!$B$4:$K$1001,2,0),"")</f>
        <v/>
      </c>
      <c r="G1518" s="212"/>
      <c r="H1518" s="30" t="str">
        <f>IFERROR(VLOOKUP(E1518,'Inventaire des produits'!$B$4:$K$1001,8,0),"")</f>
        <v/>
      </c>
      <c r="I1518" s="32" t="str">
        <f t="shared" si="44"/>
        <v/>
      </c>
      <c r="K1518" s="127" t="str">
        <f t="shared" si="43"/>
        <v/>
      </c>
    </row>
    <row r="1519" spans="2:11" x14ac:dyDescent="0.3">
      <c r="B1519" s="197"/>
      <c r="C1519" s="198"/>
      <c r="D1519" s="197"/>
      <c r="E1519" s="212"/>
      <c r="F1519" s="29" t="str">
        <f>IFERROR(VLOOKUP(E1519,'Inventaire des produits'!$B$4:$K$1001,2,0),"")</f>
        <v/>
      </c>
      <c r="G1519" s="212"/>
      <c r="H1519" s="30" t="str">
        <f>IFERROR(VLOOKUP(E1519,'Inventaire des produits'!$B$4:$K$1001,8,0),"")</f>
        <v/>
      </c>
      <c r="I1519" s="32" t="str">
        <f t="shared" si="44"/>
        <v/>
      </c>
      <c r="K1519" s="127" t="str">
        <f t="shared" si="43"/>
        <v/>
      </c>
    </row>
    <row r="1520" spans="2:11" x14ac:dyDescent="0.3">
      <c r="B1520" s="197"/>
      <c r="C1520" s="198"/>
      <c r="D1520" s="197"/>
      <c r="E1520" s="212"/>
      <c r="F1520" s="29" t="str">
        <f>IFERROR(VLOOKUP(E1520,'Inventaire des produits'!$B$4:$K$1001,2,0),"")</f>
        <v/>
      </c>
      <c r="G1520" s="212"/>
      <c r="H1520" s="30" t="str">
        <f>IFERROR(VLOOKUP(E1520,'Inventaire des produits'!$B$4:$K$1001,8,0),"")</f>
        <v/>
      </c>
      <c r="I1520" s="32" t="str">
        <f t="shared" si="44"/>
        <v/>
      </c>
      <c r="K1520" s="127" t="str">
        <f t="shared" si="43"/>
        <v/>
      </c>
    </row>
    <row r="1521" spans="2:11" x14ac:dyDescent="0.3">
      <c r="B1521" s="197"/>
      <c r="C1521" s="198"/>
      <c r="D1521" s="197"/>
      <c r="E1521" s="212"/>
      <c r="F1521" s="29" t="str">
        <f>IFERROR(VLOOKUP(E1521,'Inventaire des produits'!$B$4:$K$1001,2,0),"")</f>
        <v/>
      </c>
      <c r="G1521" s="212"/>
      <c r="H1521" s="30" t="str">
        <f>IFERROR(VLOOKUP(E1521,'Inventaire des produits'!$B$4:$K$1001,8,0),"")</f>
        <v/>
      </c>
      <c r="I1521" s="32" t="str">
        <f t="shared" si="44"/>
        <v/>
      </c>
      <c r="K1521" s="127" t="str">
        <f t="shared" si="43"/>
        <v/>
      </c>
    </row>
    <row r="1522" spans="2:11" x14ac:dyDescent="0.3">
      <c r="B1522" s="197"/>
      <c r="C1522" s="198"/>
      <c r="D1522" s="197"/>
      <c r="E1522" s="212"/>
      <c r="F1522" s="29" t="str">
        <f>IFERROR(VLOOKUP(E1522,'Inventaire des produits'!$B$4:$K$1001,2,0),"")</f>
        <v/>
      </c>
      <c r="G1522" s="212"/>
      <c r="H1522" s="30" t="str">
        <f>IFERROR(VLOOKUP(E1522,'Inventaire des produits'!$B$4:$K$1001,8,0),"")</f>
        <v/>
      </c>
      <c r="I1522" s="32" t="str">
        <f t="shared" si="44"/>
        <v/>
      </c>
      <c r="K1522" s="127" t="str">
        <f t="shared" si="43"/>
        <v/>
      </c>
    </row>
    <row r="1523" spans="2:11" x14ac:dyDescent="0.3">
      <c r="B1523" s="197"/>
      <c r="C1523" s="198"/>
      <c r="D1523" s="197"/>
      <c r="E1523" s="212"/>
      <c r="F1523" s="29" t="str">
        <f>IFERROR(VLOOKUP(E1523,'Inventaire des produits'!$B$4:$K$1001,2,0),"")</f>
        <v/>
      </c>
      <c r="G1523" s="212"/>
      <c r="H1523" s="30" t="str">
        <f>IFERROR(VLOOKUP(E1523,'Inventaire des produits'!$B$4:$K$1001,8,0),"")</f>
        <v/>
      </c>
      <c r="I1523" s="32" t="str">
        <f t="shared" si="44"/>
        <v/>
      </c>
      <c r="K1523" s="127" t="str">
        <f t="shared" si="43"/>
        <v/>
      </c>
    </row>
    <row r="1524" spans="2:11" x14ac:dyDescent="0.3">
      <c r="B1524" s="197"/>
      <c r="C1524" s="198"/>
      <c r="D1524" s="197"/>
      <c r="E1524" s="212"/>
      <c r="F1524" s="29" t="str">
        <f>IFERROR(VLOOKUP(E1524,'Inventaire des produits'!$B$4:$K$1001,2,0),"")</f>
        <v/>
      </c>
      <c r="G1524" s="212"/>
      <c r="H1524" s="30" t="str">
        <f>IFERROR(VLOOKUP(E1524,'Inventaire des produits'!$B$4:$K$1001,8,0),"")</f>
        <v/>
      </c>
      <c r="I1524" s="32" t="str">
        <f t="shared" si="44"/>
        <v/>
      </c>
      <c r="K1524" s="127" t="str">
        <f t="shared" si="43"/>
        <v/>
      </c>
    </row>
    <row r="1525" spans="2:11" x14ac:dyDescent="0.3">
      <c r="B1525" s="197"/>
      <c r="C1525" s="198"/>
      <c r="D1525" s="197"/>
      <c r="E1525" s="212"/>
      <c r="F1525" s="29" t="str">
        <f>IFERROR(VLOOKUP(E1525,'Inventaire des produits'!$B$4:$K$1001,2,0),"")</f>
        <v/>
      </c>
      <c r="G1525" s="212"/>
      <c r="H1525" s="30" t="str">
        <f>IFERROR(VLOOKUP(E1525,'Inventaire des produits'!$B$4:$K$1001,8,0),"")</f>
        <v/>
      </c>
      <c r="I1525" s="32" t="str">
        <f t="shared" si="44"/>
        <v/>
      </c>
      <c r="K1525" s="127" t="str">
        <f t="shared" si="43"/>
        <v/>
      </c>
    </row>
    <row r="1526" spans="2:11" x14ac:dyDescent="0.3">
      <c r="B1526" s="197"/>
      <c r="C1526" s="198"/>
      <c r="D1526" s="197"/>
      <c r="E1526" s="212"/>
      <c r="F1526" s="29" t="str">
        <f>IFERROR(VLOOKUP(E1526,'Inventaire des produits'!$B$4:$K$1001,2,0),"")</f>
        <v/>
      </c>
      <c r="G1526" s="212"/>
      <c r="H1526" s="30" t="str">
        <f>IFERROR(VLOOKUP(E1526,'Inventaire des produits'!$B$4:$K$1001,8,0),"")</f>
        <v/>
      </c>
      <c r="I1526" s="32" t="str">
        <f t="shared" si="44"/>
        <v/>
      </c>
      <c r="K1526" s="127" t="str">
        <f t="shared" si="43"/>
        <v/>
      </c>
    </row>
    <row r="1527" spans="2:11" x14ac:dyDescent="0.3">
      <c r="B1527" s="197"/>
      <c r="C1527" s="198"/>
      <c r="D1527" s="197"/>
      <c r="E1527" s="212"/>
      <c r="F1527" s="29" t="str">
        <f>IFERROR(VLOOKUP(E1527,'Inventaire des produits'!$B$4:$K$1001,2,0),"")</f>
        <v/>
      </c>
      <c r="G1527" s="212"/>
      <c r="H1527" s="30" t="str">
        <f>IFERROR(VLOOKUP(E1527,'Inventaire des produits'!$B$4:$K$1001,8,0),"")</f>
        <v/>
      </c>
      <c r="I1527" s="32" t="str">
        <f t="shared" si="44"/>
        <v/>
      </c>
      <c r="K1527" s="127" t="str">
        <f t="shared" si="43"/>
        <v/>
      </c>
    </row>
    <row r="1528" spans="2:11" x14ac:dyDescent="0.3">
      <c r="B1528" s="197"/>
      <c r="C1528" s="198"/>
      <c r="D1528" s="197"/>
      <c r="E1528" s="212"/>
      <c r="F1528" s="29" t="str">
        <f>IFERROR(VLOOKUP(E1528,'Inventaire des produits'!$B$4:$K$1001,2,0),"")</f>
        <v/>
      </c>
      <c r="G1528" s="212"/>
      <c r="H1528" s="30" t="str">
        <f>IFERROR(VLOOKUP(E1528,'Inventaire des produits'!$B$4:$K$1001,8,0),"")</f>
        <v/>
      </c>
      <c r="I1528" s="32" t="str">
        <f t="shared" si="44"/>
        <v/>
      </c>
      <c r="K1528" s="127" t="str">
        <f t="shared" si="43"/>
        <v/>
      </c>
    </row>
    <row r="1529" spans="2:11" x14ac:dyDescent="0.3">
      <c r="B1529" s="197"/>
      <c r="C1529" s="198"/>
      <c r="D1529" s="197"/>
      <c r="E1529" s="212"/>
      <c r="F1529" s="29" t="str">
        <f>IFERROR(VLOOKUP(E1529,'Inventaire des produits'!$B$4:$K$1001,2,0),"")</f>
        <v/>
      </c>
      <c r="G1529" s="212"/>
      <c r="H1529" s="30" t="str">
        <f>IFERROR(VLOOKUP(E1529,'Inventaire des produits'!$B$4:$K$1001,8,0),"")</f>
        <v/>
      </c>
      <c r="I1529" s="32" t="str">
        <f t="shared" si="44"/>
        <v/>
      </c>
      <c r="K1529" s="127" t="str">
        <f t="shared" si="43"/>
        <v/>
      </c>
    </row>
    <row r="1530" spans="2:11" x14ac:dyDescent="0.3">
      <c r="B1530" s="197"/>
      <c r="C1530" s="198"/>
      <c r="D1530" s="197"/>
      <c r="E1530" s="212"/>
      <c r="F1530" s="29" t="str">
        <f>IFERROR(VLOOKUP(E1530,'Inventaire des produits'!$B$4:$K$1001,2,0),"")</f>
        <v/>
      </c>
      <c r="G1530" s="212"/>
      <c r="H1530" s="30" t="str">
        <f>IFERROR(VLOOKUP(E1530,'Inventaire des produits'!$B$4:$K$1001,8,0),"")</f>
        <v/>
      </c>
      <c r="I1530" s="32" t="str">
        <f t="shared" si="44"/>
        <v/>
      </c>
      <c r="K1530" s="127" t="str">
        <f t="shared" si="43"/>
        <v/>
      </c>
    </row>
    <row r="1531" spans="2:11" x14ac:dyDescent="0.3">
      <c r="B1531" s="197"/>
      <c r="C1531" s="198"/>
      <c r="D1531" s="197"/>
      <c r="E1531" s="212"/>
      <c r="F1531" s="29" t="str">
        <f>IFERROR(VLOOKUP(E1531,'Inventaire des produits'!$B$4:$K$1001,2,0),"")</f>
        <v/>
      </c>
      <c r="G1531" s="212"/>
      <c r="H1531" s="30" t="str">
        <f>IFERROR(VLOOKUP(E1531,'Inventaire des produits'!$B$4:$K$1001,8,0),"")</f>
        <v/>
      </c>
      <c r="I1531" s="32" t="str">
        <f t="shared" si="44"/>
        <v/>
      </c>
      <c r="K1531" s="127" t="str">
        <f t="shared" si="43"/>
        <v/>
      </c>
    </row>
    <row r="1532" spans="2:11" x14ac:dyDescent="0.3">
      <c r="B1532" s="197"/>
      <c r="C1532" s="198"/>
      <c r="D1532" s="197"/>
      <c r="E1532" s="212"/>
      <c r="F1532" s="29" t="str">
        <f>IFERROR(VLOOKUP(E1532,'Inventaire des produits'!$B$4:$K$1001,2,0),"")</f>
        <v/>
      </c>
      <c r="G1532" s="212"/>
      <c r="H1532" s="30" t="str">
        <f>IFERROR(VLOOKUP(E1532,'Inventaire des produits'!$B$4:$K$1001,8,0),"")</f>
        <v/>
      </c>
      <c r="I1532" s="32" t="str">
        <f t="shared" si="44"/>
        <v/>
      </c>
      <c r="K1532" s="127" t="str">
        <f t="shared" ref="K1532:K1595" si="45">IF(J1532="","",J1532*1.2)</f>
        <v/>
      </c>
    </row>
    <row r="1533" spans="2:11" x14ac:dyDescent="0.3">
      <c r="B1533" s="197"/>
      <c r="C1533" s="198"/>
      <c r="D1533" s="197"/>
      <c r="E1533" s="212"/>
      <c r="F1533" s="29" t="str">
        <f>IFERROR(VLOOKUP(E1533,'Inventaire des produits'!$B$4:$K$1001,2,0),"")</f>
        <v/>
      </c>
      <c r="G1533" s="212"/>
      <c r="H1533" s="30" t="str">
        <f>IFERROR(VLOOKUP(E1533,'Inventaire des produits'!$B$4:$K$1001,8,0),"")</f>
        <v/>
      </c>
      <c r="I1533" s="32" t="str">
        <f t="shared" si="44"/>
        <v/>
      </c>
      <c r="K1533" s="127" t="str">
        <f t="shared" si="45"/>
        <v/>
      </c>
    </row>
    <row r="1534" spans="2:11" x14ac:dyDescent="0.3">
      <c r="B1534" s="197"/>
      <c r="C1534" s="198"/>
      <c r="D1534" s="197"/>
      <c r="E1534" s="212"/>
      <c r="F1534" s="29" t="str">
        <f>IFERROR(VLOOKUP(E1534,'Inventaire des produits'!$B$4:$K$1001,2,0),"")</f>
        <v/>
      </c>
      <c r="G1534" s="212"/>
      <c r="H1534" s="30" t="str">
        <f>IFERROR(VLOOKUP(E1534,'Inventaire des produits'!$B$4:$K$1001,8,0),"")</f>
        <v/>
      </c>
      <c r="I1534" s="32" t="str">
        <f t="shared" si="44"/>
        <v/>
      </c>
      <c r="K1534" s="127" t="str">
        <f t="shared" si="45"/>
        <v/>
      </c>
    </row>
    <row r="1535" spans="2:11" x14ac:dyDescent="0.3">
      <c r="B1535" s="197"/>
      <c r="C1535" s="198"/>
      <c r="D1535" s="197"/>
      <c r="E1535" s="212"/>
      <c r="F1535" s="29" t="str">
        <f>IFERROR(VLOOKUP(E1535,'Inventaire des produits'!$B$4:$K$1001,2,0),"")</f>
        <v/>
      </c>
      <c r="G1535" s="212"/>
      <c r="H1535" s="30" t="str">
        <f>IFERROR(VLOOKUP(E1535,'Inventaire des produits'!$B$4:$K$1001,8,0),"")</f>
        <v/>
      </c>
      <c r="I1535" s="32" t="str">
        <f t="shared" si="44"/>
        <v/>
      </c>
      <c r="K1535" s="127" t="str">
        <f t="shared" si="45"/>
        <v/>
      </c>
    </row>
    <row r="1536" spans="2:11" x14ac:dyDescent="0.3">
      <c r="B1536" s="197"/>
      <c r="C1536" s="198"/>
      <c r="D1536" s="197"/>
      <c r="E1536" s="212"/>
      <c r="F1536" s="29" t="str">
        <f>IFERROR(VLOOKUP(E1536,'Inventaire des produits'!$B$4:$K$1001,2,0),"")</f>
        <v/>
      </c>
      <c r="G1536" s="212"/>
      <c r="H1536" s="30" t="str">
        <f>IFERROR(VLOOKUP(E1536,'Inventaire des produits'!$B$4:$K$1001,8,0),"")</f>
        <v/>
      </c>
      <c r="I1536" s="32" t="str">
        <f t="shared" si="44"/>
        <v/>
      </c>
      <c r="K1536" s="127" t="str">
        <f t="shared" si="45"/>
        <v/>
      </c>
    </row>
    <row r="1537" spans="2:11" x14ac:dyDescent="0.3">
      <c r="B1537" s="197"/>
      <c r="C1537" s="198"/>
      <c r="D1537" s="197"/>
      <c r="E1537" s="212"/>
      <c r="F1537" s="29" t="str">
        <f>IFERROR(VLOOKUP(E1537,'Inventaire des produits'!$B$4:$K$1001,2,0),"")</f>
        <v/>
      </c>
      <c r="G1537" s="212"/>
      <c r="H1537" s="30" t="str">
        <f>IFERROR(VLOOKUP(E1537,'Inventaire des produits'!$B$4:$K$1001,8,0),"")</f>
        <v/>
      </c>
      <c r="I1537" s="32" t="str">
        <f t="shared" si="44"/>
        <v/>
      </c>
      <c r="K1537" s="127" t="str">
        <f t="shared" si="45"/>
        <v/>
      </c>
    </row>
    <row r="1538" spans="2:11" x14ac:dyDescent="0.3">
      <c r="B1538" s="197"/>
      <c r="C1538" s="198"/>
      <c r="D1538" s="197"/>
      <c r="E1538" s="212"/>
      <c r="F1538" s="29" t="str">
        <f>IFERROR(VLOOKUP(E1538,'Inventaire des produits'!$B$4:$K$1001,2,0),"")</f>
        <v/>
      </c>
      <c r="G1538" s="212"/>
      <c r="H1538" s="30" t="str">
        <f>IFERROR(VLOOKUP(E1538,'Inventaire des produits'!$B$4:$K$1001,8,0),"")</f>
        <v/>
      </c>
      <c r="I1538" s="32" t="str">
        <f t="shared" ref="I1538:I1601" si="46">IF(OR(G1538="",H1538=""),"",G1538*H1538)</f>
        <v/>
      </c>
      <c r="K1538" s="127" t="str">
        <f t="shared" si="45"/>
        <v/>
      </c>
    </row>
    <row r="1539" spans="2:11" x14ac:dyDescent="0.3">
      <c r="B1539" s="197"/>
      <c r="C1539" s="198"/>
      <c r="D1539" s="197"/>
      <c r="E1539" s="212"/>
      <c r="F1539" s="29" t="str">
        <f>IFERROR(VLOOKUP(E1539,'Inventaire des produits'!$B$4:$K$1001,2,0),"")</f>
        <v/>
      </c>
      <c r="G1539" s="212"/>
      <c r="H1539" s="30" t="str">
        <f>IFERROR(VLOOKUP(E1539,'Inventaire des produits'!$B$4:$K$1001,8,0),"")</f>
        <v/>
      </c>
      <c r="I1539" s="32" t="str">
        <f t="shared" si="46"/>
        <v/>
      </c>
      <c r="K1539" s="127" t="str">
        <f t="shared" si="45"/>
        <v/>
      </c>
    </row>
    <row r="1540" spans="2:11" x14ac:dyDescent="0.3">
      <c r="B1540" s="197"/>
      <c r="C1540" s="198"/>
      <c r="D1540" s="197"/>
      <c r="E1540" s="212"/>
      <c r="F1540" s="29" t="str">
        <f>IFERROR(VLOOKUP(E1540,'Inventaire des produits'!$B$4:$K$1001,2,0),"")</f>
        <v/>
      </c>
      <c r="G1540" s="212"/>
      <c r="H1540" s="30" t="str">
        <f>IFERROR(VLOOKUP(E1540,'Inventaire des produits'!$B$4:$K$1001,8,0),"")</f>
        <v/>
      </c>
      <c r="I1540" s="32" t="str">
        <f t="shared" si="46"/>
        <v/>
      </c>
      <c r="K1540" s="127" t="str">
        <f t="shared" si="45"/>
        <v/>
      </c>
    </row>
    <row r="1541" spans="2:11" x14ac:dyDescent="0.3">
      <c r="B1541" s="197"/>
      <c r="C1541" s="198"/>
      <c r="D1541" s="197"/>
      <c r="E1541" s="212"/>
      <c r="F1541" s="29" t="str">
        <f>IFERROR(VLOOKUP(E1541,'Inventaire des produits'!$B$4:$K$1001,2,0),"")</f>
        <v/>
      </c>
      <c r="G1541" s="212"/>
      <c r="H1541" s="30" t="str">
        <f>IFERROR(VLOOKUP(E1541,'Inventaire des produits'!$B$4:$K$1001,8,0),"")</f>
        <v/>
      </c>
      <c r="I1541" s="32" t="str">
        <f t="shared" si="46"/>
        <v/>
      </c>
      <c r="K1541" s="127" t="str">
        <f t="shared" si="45"/>
        <v/>
      </c>
    </row>
    <row r="1542" spans="2:11" x14ac:dyDescent="0.3">
      <c r="B1542" s="197"/>
      <c r="C1542" s="198"/>
      <c r="D1542" s="197"/>
      <c r="E1542" s="212"/>
      <c r="F1542" s="29" t="str">
        <f>IFERROR(VLOOKUP(E1542,'Inventaire des produits'!$B$4:$K$1001,2,0),"")</f>
        <v/>
      </c>
      <c r="G1542" s="212"/>
      <c r="H1542" s="30" t="str">
        <f>IFERROR(VLOOKUP(E1542,'Inventaire des produits'!$B$4:$K$1001,8,0),"")</f>
        <v/>
      </c>
      <c r="I1542" s="32" t="str">
        <f t="shared" si="46"/>
        <v/>
      </c>
      <c r="K1542" s="127" t="str">
        <f t="shared" si="45"/>
        <v/>
      </c>
    </row>
    <row r="1543" spans="2:11" x14ac:dyDescent="0.3">
      <c r="B1543" s="197"/>
      <c r="C1543" s="198"/>
      <c r="D1543" s="197"/>
      <c r="E1543" s="212"/>
      <c r="F1543" s="29" t="str">
        <f>IFERROR(VLOOKUP(E1543,'Inventaire des produits'!$B$4:$K$1001,2,0),"")</f>
        <v/>
      </c>
      <c r="G1543" s="212"/>
      <c r="H1543" s="30" t="str">
        <f>IFERROR(VLOOKUP(E1543,'Inventaire des produits'!$B$4:$K$1001,8,0),"")</f>
        <v/>
      </c>
      <c r="I1543" s="32" t="str">
        <f t="shared" si="46"/>
        <v/>
      </c>
      <c r="K1543" s="127" t="str">
        <f t="shared" si="45"/>
        <v/>
      </c>
    </row>
    <row r="1544" spans="2:11" x14ac:dyDescent="0.3">
      <c r="B1544" s="197"/>
      <c r="C1544" s="198"/>
      <c r="D1544" s="197"/>
      <c r="E1544" s="212"/>
      <c r="F1544" s="29" t="str">
        <f>IFERROR(VLOOKUP(E1544,'Inventaire des produits'!$B$4:$K$1001,2,0),"")</f>
        <v/>
      </c>
      <c r="G1544" s="212"/>
      <c r="H1544" s="30" t="str">
        <f>IFERROR(VLOOKUP(E1544,'Inventaire des produits'!$B$4:$K$1001,8,0),"")</f>
        <v/>
      </c>
      <c r="I1544" s="32" t="str">
        <f t="shared" si="46"/>
        <v/>
      </c>
      <c r="K1544" s="127" t="str">
        <f t="shared" si="45"/>
        <v/>
      </c>
    </row>
    <row r="1545" spans="2:11" x14ac:dyDescent="0.3">
      <c r="B1545" s="197"/>
      <c r="C1545" s="198"/>
      <c r="D1545" s="197"/>
      <c r="E1545" s="212"/>
      <c r="F1545" s="29" t="str">
        <f>IFERROR(VLOOKUP(E1545,'Inventaire des produits'!$B$4:$K$1001,2,0),"")</f>
        <v/>
      </c>
      <c r="G1545" s="212"/>
      <c r="H1545" s="30" t="str">
        <f>IFERROR(VLOOKUP(E1545,'Inventaire des produits'!$B$4:$K$1001,8,0),"")</f>
        <v/>
      </c>
      <c r="I1545" s="32" t="str">
        <f t="shared" si="46"/>
        <v/>
      </c>
      <c r="K1545" s="127" t="str">
        <f t="shared" si="45"/>
        <v/>
      </c>
    </row>
    <row r="1546" spans="2:11" x14ac:dyDescent="0.3">
      <c r="B1546" s="197"/>
      <c r="C1546" s="198"/>
      <c r="D1546" s="197"/>
      <c r="E1546" s="212"/>
      <c r="F1546" s="29" t="str">
        <f>IFERROR(VLOOKUP(E1546,'Inventaire des produits'!$B$4:$K$1001,2,0),"")</f>
        <v/>
      </c>
      <c r="G1546" s="212"/>
      <c r="H1546" s="30" t="str">
        <f>IFERROR(VLOOKUP(E1546,'Inventaire des produits'!$B$4:$K$1001,8,0),"")</f>
        <v/>
      </c>
      <c r="I1546" s="32" t="str">
        <f t="shared" si="46"/>
        <v/>
      </c>
      <c r="K1546" s="127" t="str">
        <f t="shared" si="45"/>
        <v/>
      </c>
    </row>
    <row r="1547" spans="2:11" x14ac:dyDescent="0.3">
      <c r="B1547" s="197"/>
      <c r="C1547" s="198"/>
      <c r="D1547" s="197"/>
      <c r="E1547" s="212"/>
      <c r="F1547" s="29" t="str">
        <f>IFERROR(VLOOKUP(E1547,'Inventaire des produits'!$B$4:$K$1001,2,0),"")</f>
        <v/>
      </c>
      <c r="G1547" s="212"/>
      <c r="H1547" s="30" t="str">
        <f>IFERROR(VLOOKUP(E1547,'Inventaire des produits'!$B$4:$K$1001,8,0),"")</f>
        <v/>
      </c>
      <c r="I1547" s="32" t="str">
        <f t="shared" si="46"/>
        <v/>
      </c>
      <c r="K1547" s="127" t="str">
        <f t="shared" si="45"/>
        <v/>
      </c>
    </row>
    <row r="1548" spans="2:11" x14ac:dyDescent="0.3">
      <c r="B1548" s="197"/>
      <c r="C1548" s="198"/>
      <c r="D1548" s="197"/>
      <c r="E1548" s="212"/>
      <c r="F1548" s="29" t="str">
        <f>IFERROR(VLOOKUP(E1548,'Inventaire des produits'!$B$4:$K$1001,2,0),"")</f>
        <v/>
      </c>
      <c r="G1548" s="212"/>
      <c r="H1548" s="30" t="str">
        <f>IFERROR(VLOOKUP(E1548,'Inventaire des produits'!$B$4:$K$1001,8,0),"")</f>
        <v/>
      </c>
      <c r="I1548" s="32" t="str">
        <f t="shared" si="46"/>
        <v/>
      </c>
      <c r="K1548" s="127" t="str">
        <f t="shared" si="45"/>
        <v/>
      </c>
    </row>
    <row r="1549" spans="2:11" x14ac:dyDescent="0.3">
      <c r="B1549" s="197"/>
      <c r="C1549" s="198"/>
      <c r="D1549" s="197"/>
      <c r="E1549" s="212"/>
      <c r="F1549" s="29" t="str">
        <f>IFERROR(VLOOKUP(E1549,'Inventaire des produits'!$B$4:$K$1001,2,0),"")</f>
        <v/>
      </c>
      <c r="G1549" s="212"/>
      <c r="H1549" s="30" t="str">
        <f>IFERROR(VLOOKUP(E1549,'Inventaire des produits'!$B$4:$K$1001,8,0),"")</f>
        <v/>
      </c>
      <c r="I1549" s="32" t="str">
        <f t="shared" si="46"/>
        <v/>
      </c>
      <c r="K1549" s="127" t="str">
        <f t="shared" si="45"/>
        <v/>
      </c>
    </row>
    <row r="1550" spans="2:11" x14ac:dyDescent="0.3">
      <c r="B1550" s="197"/>
      <c r="C1550" s="198"/>
      <c r="D1550" s="197"/>
      <c r="E1550" s="212"/>
      <c r="F1550" s="29" t="str">
        <f>IFERROR(VLOOKUP(E1550,'Inventaire des produits'!$B$4:$K$1001,2,0),"")</f>
        <v/>
      </c>
      <c r="G1550" s="212"/>
      <c r="H1550" s="30" t="str">
        <f>IFERROR(VLOOKUP(E1550,'Inventaire des produits'!$B$4:$K$1001,8,0),"")</f>
        <v/>
      </c>
      <c r="I1550" s="32" t="str">
        <f t="shared" si="46"/>
        <v/>
      </c>
      <c r="K1550" s="127" t="str">
        <f t="shared" si="45"/>
        <v/>
      </c>
    </row>
    <row r="1551" spans="2:11" x14ac:dyDescent="0.3">
      <c r="B1551" s="197"/>
      <c r="C1551" s="198"/>
      <c r="D1551" s="197"/>
      <c r="E1551" s="212"/>
      <c r="F1551" s="29" t="str">
        <f>IFERROR(VLOOKUP(E1551,'Inventaire des produits'!$B$4:$K$1001,2,0),"")</f>
        <v/>
      </c>
      <c r="G1551" s="212"/>
      <c r="H1551" s="30" t="str">
        <f>IFERROR(VLOOKUP(E1551,'Inventaire des produits'!$B$4:$K$1001,8,0),"")</f>
        <v/>
      </c>
      <c r="I1551" s="32" t="str">
        <f t="shared" si="46"/>
        <v/>
      </c>
      <c r="K1551" s="127" t="str">
        <f t="shared" si="45"/>
        <v/>
      </c>
    </row>
    <row r="1552" spans="2:11" x14ac:dyDescent="0.3">
      <c r="B1552" s="197"/>
      <c r="C1552" s="198"/>
      <c r="D1552" s="197"/>
      <c r="E1552" s="212"/>
      <c r="F1552" s="29" t="str">
        <f>IFERROR(VLOOKUP(E1552,'Inventaire des produits'!$B$4:$K$1001,2,0),"")</f>
        <v/>
      </c>
      <c r="G1552" s="212"/>
      <c r="H1552" s="30" t="str">
        <f>IFERROR(VLOOKUP(E1552,'Inventaire des produits'!$B$4:$K$1001,8,0),"")</f>
        <v/>
      </c>
      <c r="I1552" s="32" t="str">
        <f t="shared" si="46"/>
        <v/>
      </c>
      <c r="K1552" s="127" t="str">
        <f t="shared" si="45"/>
        <v/>
      </c>
    </row>
    <row r="1553" spans="2:11" x14ac:dyDescent="0.3">
      <c r="B1553" s="197"/>
      <c r="C1553" s="198"/>
      <c r="D1553" s="197"/>
      <c r="E1553" s="212"/>
      <c r="F1553" s="29" t="str">
        <f>IFERROR(VLOOKUP(E1553,'Inventaire des produits'!$B$4:$K$1001,2,0),"")</f>
        <v/>
      </c>
      <c r="G1553" s="212"/>
      <c r="H1553" s="30" t="str">
        <f>IFERROR(VLOOKUP(E1553,'Inventaire des produits'!$B$4:$K$1001,8,0),"")</f>
        <v/>
      </c>
      <c r="I1553" s="32" t="str">
        <f t="shared" si="46"/>
        <v/>
      </c>
      <c r="K1553" s="127" t="str">
        <f t="shared" si="45"/>
        <v/>
      </c>
    </row>
    <row r="1554" spans="2:11" x14ac:dyDescent="0.3">
      <c r="B1554" s="197"/>
      <c r="C1554" s="198"/>
      <c r="D1554" s="197"/>
      <c r="E1554" s="212"/>
      <c r="F1554" s="29" t="str">
        <f>IFERROR(VLOOKUP(E1554,'Inventaire des produits'!$B$4:$K$1001,2,0),"")</f>
        <v/>
      </c>
      <c r="G1554" s="212"/>
      <c r="H1554" s="30" t="str">
        <f>IFERROR(VLOOKUP(E1554,'Inventaire des produits'!$B$4:$K$1001,8,0),"")</f>
        <v/>
      </c>
      <c r="I1554" s="32" t="str">
        <f t="shared" si="46"/>
        <v/>
      </c>
      <c r="K1554" s="127" t="str">
        <f t="shared" si="45"/>
        <v/>
      </c>
    </row>
    <row r="1555" spans="2:11" x14ac:dyDescent="0.3">
      <c r="B1555" s="197"/>
      <c r="C1555" s="198"/>
      <c r="D1555" s="197"/>
      <c r="E1555" s="212"/>
      <c r="F1555" s="29" t="str">
        <f>IFERROR(VLOOKUP(E1555,'Inventaire des produits'!$B$4:$K$1001,2,0),"")</f>
        <v/>
      </c>
      <c r="G1555" s="212"/>
      <c r="H1555" s="30" t="str">
        <f>IFERROR(VLOOKUP(E1555,'Inventaire des produits'!$B$4:$K$1001,8,0),"")</f>
        <v/>
      </c>
      <c r="I1555" s="32" t="str">
        <f t="shared" si="46"/>
        <v/>
      </c>
      <c r="K1555" s="127" t="str">
        <f t="shared" si="45"/>
        <v/>
      </c>
    </row>
    <row r="1556" spans="2:11" x14ac:dyDescent="0.3">
      <c r="B1556" s="197"/>
      <c r="C1556" s="198"/>
      <c r="D1556" s="197"/>
      <c r="E1556" s="212"/>
      <c r="F1556" s="29" t="str">
        <f>IFERROR(VLOOKUP(E1556,'Inventaire des produits'!$B$4:$K$1001,2,0),"")</f>
        <v/>
      </c>
      <c r="G1556" s="212"/>
      <c r="H1556" s="30" t="str">
        <f>IFERROR(VLOOKUP(E1556,'Inventaire des produits'!$B$4:$K$1001,8,0),"")</f>
        <v/>
      </c>
      <c r="I1556" s="32" t="str">
        <f t="shared" si="46"/>
        <v/>
      </c>
      <c r="K1556" s="127" t="str">
        <f t="shared" si="45"/>
        <v/>
      </c>
    </row>
    <row r="1557" spans="2:11" x14ac:dyDescent="0.3">
      <c r="B1557" s="197"/>
      <c r="C1557" s="198"/>
      <c r="D1557" s="197"/>
      <c r="E1557" s="212"/>
      <c r="F1557" s="29" t="str">
        <f>IFERROR(VLOOKUP(E1557,'Inventaire des produits'!$B$4:$K$1001,2,0),"")</f>
        <v/>
      </c>
      <c r="G1557" s="212"/>
      <c r="H1557" s="30" t="str">
        <f>IFERROR(VLOOKUP(E1557,'Inventaire des produits'!$B$4:$K$1001,8,0),"")</f>
        <v/>
      </c>
      <c r="I1557" s="32" t="str">
        <f t="shared" si="46"/>
        <v/>
      </c>
      <c r="K1557" s="127" t="str">
        <f t="shared" si="45"/>
        <v/>
      </c>
    </row>
    <row r="1558" spans="2:11" x14ac:dyDescent="0.3">
      <c r="B1558" s="197"/>
      <c r="C1558" s="198"/>
      <c r="D1558" s="197"/>
      <c r="E1558" s="212"/>
      <c r="F1558" s="29" t="str">
        <f>IFERROR(VLOOKUP(E1558,'Inventaire des produits'!$B$4:$K$1001,2,0),"")</f>
        <v/>
      </c>
      <c r="G1558" s="212"/>
      <c r="H1558" s="30" t="str">
        <f>IFERROR(VLOOKUP(E1558,'Inventaire des produits'!$B$4:$K$1001,8,0),"")</f>
        <v/>
      </c>
      <c r="I1558" s="32" t="str">
        <f t="shared" si="46"/>
        <v/>
      </c>
      <c r="K1558" s="127" t="str">
        <f t="shared" si="45"/>
        <v/>
      </c>
    </row>
    <row r="1559" spans="2:11" x14ac:dyDescent="0.3">
      <c r="B1559" s="197"/>
      <c r="C1559" s="198"/>
      <c r="D1559" s="197"/>
      <c r="E1559" s="212"/>
      <c r="F1559" s="29" t="str">
        <f>IFERROR(VLOOKUP(E1559,'Inventaire des produits'!$B$4:$K$1001,2,0),"")</f>
        <v/>
      </c>
      <c r="G1559" s="212"/>
      <c r="H1559" s="30" t="str">
        <f>IFERROR(VLOOKUP(E1559,'Inventaire des produits'!$B$4:$K$1001,8,0),"")</f>
        <v/>
      </c>
      <c r="I1559" s="32" t="str">
        <f t="shared" si="46"/>
        <v/>
      </c>
      <c r="K1559" s="127" t="str">
        <f t="shared" si="45"/>
        <v/>
      </c>
    </row>
    <row r="1560" spans="2:11" x14ac:dyDescent="0.3">
      <c r="B1560" s="197"/>
      <c r="C1560" s="198"/>
      <c r="D1560" s="197"/>
      <c r="E1560" s="212"/>
      <c r="F1560" s="29" t="str">
        <f>IFERROR(VLOOKUP(E1560,'Inventaire des produits'!$B$4:$K$1001,2,0),"")</f>
        <v/>
      </c>
      <c r="G1560" s="212"/>
      <c r="H1560" s="30" t="str">
        <f>IFERROR(VLOOKUP(E1560,'Inventaire des produits'!$B$4:$K$1001,8,0),"")</f>
        <v/>
      </c>
      <c r="I1560" s="32" t="str">
        <f t="shared" si="46"/>
        <v/>
      </c>
      <c r="K1560" s="127" t="str">
        <f t="shared" si="45"/>
        <v/>
      </c>
    </row>
    <row r="1561" spans="2:11" x14ac:dyDescent="0.3">
      <c r="B1561" s="197"/>
      <c r="C1561" s="198"/>
      <c r="D1561" s="197"/>
      <c r="E1561" s="212"/>
      <c r="F1561" s="29" t="str">
        <f>IFERROR(VLOOKUP(E1561,'Inventaire des produits'!$B$4:$K$1001,2,0),"")</f>
        <v/>
      </c>
      <c r="G1561" s="212"/>
      <c r="H1561" s="30" t="str">
        <f>IFERROR(VLOOKUP(E1561,'Inventaire des produits'!$B$4:$K$1001,8,0),"")</f>
        <v/>
      </c>
      <c r="I1561" s="32" t="str">
        <f t="shared" si="46"/>
        <v/>
      </c>
      <c r="K1561" s="127" t="str">
        <f t="shared" si="45"/>
        <v/>
      </c>
    </row>
    <row r="1562" spans="2:11" x14ac:dyDescent="0.3">
      <c r="B1562" s="197"/>
      <c r="C1562" s="198"/>
      <c r="D1562" s="197"/>
      <c r="E1562" s="212"/>
      <c r="F1562" s="29" t="str">
        <f>IFERROR(VLOOKUP(E1562,'Inventaire des produits'!$B$4:$K$1001,2,0),"")</f>
        <v/>
      </c>
      <c r="G1562" s="212"/>
      <c r="H1562" s="30" t="str">
        <f>IFERROR(VLOOKUP(E1562,'Inventaire des produits'!$B$4:$K$1001,8,0),"")</f>
        <v/>
      </c>
      <c r="I1562" s="32" t="str">
        <f t="shared" si="46"/>
        <v/>
      </c>
      <c r="K1562" s="127" t="str">
        <f t="shared" si="45"/>
        <v/>
      </c>
    </row>
    <row r="1563" spans="2:11" x14ac:dyDescent="0.3">
      <c r="B1563" s="197"/>
      <c r="C1563" s="198"/>
      <c r="D1563" s="197"/>
      <c r="E1563" s="212"/>
      <c r="F1563" s="29" t="str">
        <f>IFERROR(VLOOKUP(E1563,'Inventaire des produits'!$B$4:$K$1001,2,0),"")</f>
        <v/>
      </c>
      <c r="G1563" s="212"/>
      <c r="H1563" s="30" t="str">
        <f>IFERROR(VLOOKUP(E1563,'Inventaire des produits'!$B$4:$K$1001,8,0),"")</f>
        <v/>
      </c>
      <c r="I1563" s="32" t="str">
        <f t="shared" si="46"/>
        <v/>
      </c>
      <c r="K1563" s="127" t="str">
        <f t="shared" si="45"/>
        <v/>
      </c>
    </row>
    <row r="1564" spans="2:11" x14ac:dyDescent="0.3">
      <c r="B1564" s="197"/>
      <c r="C1564" s="198"/>
      <c r="D1564" s="197"/>
      <c r="E1564" s="212"/>
      <c r="F1564" s="29" t="str">
        <f>IFERROR(VLOOKUP(E1564,'Inventaire des produits'!$B$4:$K$1001,2,0),"")</f>
        <v/>
      </c>
      <c r="G1564" s="212"/>
      <c r="H1564" s="30" t="str">
        <f>IFERROR(VLOOKUP(E1564,'Inventaire des produits'!$B$4:$K$1001,8,0),"")</f>
        <v/>
      </c>
      <c r="I1564" s="32" t="str">
        <f t="shared" si="46"/>
        <v/>
      </c>
      <c r="K1564" s="127" t="str">
        <f t="shared" si="45"/>
        <v/>
      </c>
    </row>
    <row r="1565" spans="2:11" x14ac:dyDescent="0.3">
      <c r="B1565" s="197"/>
      <c r="C1565" s="198"/>
      <c r="D1565" s="197"/>
      <c r="E1565" s="212"/>
      <c r="F1565" s="29" t="str">
        <f>IFERROR(VLOOKUP(E1565,'Inventaire des produits'!$B$4:$K$1001,2,0),"")</f>
        <v/>
      </c>
      <c r="G1565" s="212"/>
      <c r="H1565" s="30" t="str">
        <f>IFERROR(VLOOKUP(E1565,'Inventaire des produits'!$B$4:$K$1001,8,0),"")</f>
        <v/>
      </c>
      <c r="I1565" s="32" t="str">
        <f t="shared" si="46"/>
        <v/>
      </c>
      <c r="K1565" s="127" t="str">
        <f t="shared" si="45"/>
        <v/>
      </c>
    </row>
    <row r="1566" spans="2:11" x14ac:dyDescent="0.3">
      <c r="B1566" s="197"/>
      <c r="C1566" s="198"/>
      <c r="D1566" s="197"/>
      <c r="E1566" s="212"/>
      <c r="F1566" s="29" t="str">
        <f>IFERROR(VLOOKUP(E1566,'Inventaire des produits'!$B$4:$K$1001,2,0),"")</f>
        <v/>
      </c>
      <c r="G1566" s="212"/>
      <c r="H1566" s="30" t="str">
        <f>IFERROR(VLOOKUP(E1566,'Inventaire des produits'!$B$4:$K$1001,8,0),"")</f>
        <v/>
      </c>
      <c r="I1566" s="32" t="str">
        <f t="shared" si="46"/>
        <v/>
      </c>
      <c r="K1566" s="127" t="str">
        <f t="shared" si="45"/>
        <v/>
      </c>
    </row>
    <row r="1567" spans="2:11" x14ac:dyDescent="0.3">
      <c r="B1567" s="197"/>
      <c r="C1567" s="198"/>
      <c r="D1567" s="197"/>
      <c r="E1567" s="212"/>
      <c r="F1567" s="29" t="str">
        <f>IFERROR(VLOOKUP(E1567,'Inventaire des produits'!$B$4:$K$1001,2,0),"")</f>
        <v/>
      </c>
      <c r="G1567" s="212"/>
      <c r="H1567" s="30" t="str">
        <f>IFERROR(VLOOKUP(E1567,'Inventaire des produits'!$B$4:$K$1001,8,0),"")</f>
        <v/>
      </c>
      <c r="I1567" s="32" t="str">
        <f t="shared" si="46"/>
        <v/>
      </c>
      <c r="K1567" s="127" t="str">
        <f t="shared" si="45"/>
        <v/>
      </c>
    </row>
    <row r="1568" spans="2:11" x14ac:dyDescent="0.3">
      <c r="B1568" s="197"/>
      <c r="C1568" s="198"/>
      <c r="D1568" s="197"/>
      <c r="E1568" s="212"/>
      <c r="F1568" s="29" t="str">
        <f>IFERROR(VLOOKUP(E1568,'Inventaire des produits'!$B$4:$K$1001,2,0),"")</f>
        <v/>
      </c>
      <c r="G1568" s="212"/>
      <c r="H1568" s="30" t="str">
        <f>IFERROR(VLOOKUP(E1568,'Inventaire des produits'!$B$4:$K$1001,8,0),"")</f>
        <v/>
      </c>
      <c r="I1568" s="32" t="str">
        <f t="shared" si="46"/>
        <v/>
      </c>
      <c r="K1568" s="127" t="str">
        <f t="shared" si="45"/>
        <v/>
      </c>
    </row>
    <row r="1569" spans="2:11" x14ac:dyDescent="0.3">
      <c r="B1569" s="197"/>
      <c r="C1569" s="198"/>
      <c r="D1569" s="197"/>
      <c r="E1569" s="212"/>
      <c r="F1569" s="29" t="str">
        <f>IFERROR(VLOOKUP(E1569,'Inventaire des produits'!$B$4:$K$1001,2,0),"")</f>
        <v/>
      </c>
      <c r="G1569" s="212"/>
      <c r="H1569" s="30" t="str">
        <f>IFERROR(VLOOKUP(E1569,'Inventaire des produits'!$B$4:$K$1001,8,0),"")</f>
        <v/>
      </c>
      <c r="I1569" s="32" t="str">
        <f t="shared" si="46"/>
        <v/>
      </c>
      <c r="K1569" s="127" t="str">
        <f t="shared" si="45"/>
        <v/>
      </c>
    </row>
    <row r="1570" spans="2:11" x14ac:dyDescent="0.3">
      <c r="B1570" s="197"/>
      <c r="C1570" s="198"/>
      <c r="D1570" s="197"/>
      <c r="E1570" s="212"/>
      <c r="F1570" s="29" t="str">
        <f>IFERROR(VLOOKUP(E1570,'Inventaire des produits'!$B$4:$K$1001,2,0),"")</f>
        <v/>
      </c>
      <c r="G1570" s="212"/>
      <c r="H1570" s="30" t="str">
        <f>IFERROR(VLOOKUP(E1570,'Inventaire des produits'!$B$4:$K$1001,8,0),"")</f>
        <v/>
      </c>
      <c r="I1570" s="32" t="str">
        <f t="shared" si="46"/>
        <v/>
      </c>
      <c r="K1570" s="127" t="str">
        <f t="shared" si="45"/>
        <v/>
      </c>
    </row>
    <row r="1571" spans="2:11" x14ac:dyDescent="0.3">
      <c r="B1571" s="197"/>
      <c r="C1571" s="198"/>
      <c r="D1571" s="197"/>
      <c r="E1571" s="212"/>
      <c r="F1571" s="29" t="str">
        <f>IFERROR(VLOOKUP(E1571,'Inventaire des produits'!$B$4:$K$1001,2,0),"")</f>
        <v/>
      </c>
      <c r="G1571" s="212"/>
      <c r="H1571" s="30" t="str">
        <f>IFERROR(VLOOKUP(E1571,'Inventaire des produits'!$B$4:$K$1001,8,0),"")</f>
        <v/>
      </c>
      <c r="I1571" s="32" t="str">
        <f t="shared" si="46"/>
        <v/>
      </c>
      <c r="K1571" s="127" t="str">
        <f t="shared" si="45"/>
        <v/>
      </c>
    </row>
    <row r="1572" spans="2:11" x14ac:dyDescent="0.3">
      <c r="B1572" s="197"/>
      <c r="C1572" s="198"/>
      <c r="D1572" s="197"/>
      <c r="E1572" s="212"/>
      <c r="F1572" s="29" t="str">
        <f>IFERROR(VLOOKUP(E1572,'Inventaire des produits'!$B$4:$K$1001,2,0),"")</f>
        <v/>
      </c>
      <c r="G1572" s="212"/>
      <c r="H1572" s="30" t="str">
        <f>IFERROR(VLOOKUP(E1572,'Inventaire des produits'!$B$4:$K$1001,8,0),"")</f>
        <v/>
      </c>
      <c r="I1572" s="32" t="str">
        <f t="shared" si="46"/>
        <v/>
      </c>
      <c r="K1572" s="127" t="str">
        <f t="shared" si="45"/>
        <v/>
      </c>
    </row>
    <row r="1573" spans="2:11" x14ac:dyDescent="0.3">
      <c r="B1573" s="197"/>
      <c r="C1573" s="198"/>
      <c r="D1573" s="197"/>
      <c r="E1573" s="212"/>
      <c r="F1573" s="29" t="str">
        <f>IFERROR(VLOOKUP(E1573,'Inventaire des produits'!$B$4:$K$1001,2,0),"")</f>
        <v/>
      </c>
      <c r="G1573" s="212"/>
      <c r="H1573" s="30" t="str">
        <f>IFERROR(VLOOKUP(E1573,'Inventaire des produits'!$B$4:$K$1001,8,0),"")</f>
        <v/>
      </c>
      <c r="I1573" s="32" t="str">
        <f t="shared" si="46"/>
        <v/>
      </c>
      <c r="K1573" s="127" t="str">
        <f t="shared" si="45"/>
        <v/>
      </c>
    </row>
    <row r="1574" spans="2:11" x14ac:dyDescent="0.3">
      <c r="B1574" s="197"/>
      <c r="C1574" s="198"/>
      <c r="D1574" s="197"/>
      <c r="E1574" s="212"/>
      <c r="F1574" s="29" t="str">
        <f>IFERROR(VLOOKUP(E1574,'Inventaire des produits'!$B$4:$K$1001,2,0),"")</f>
        <v/>
      </c>
      <c r="G1574" s="212"/>
      <c r="H1574" s="30" t="str">
        <f>IFERROR(VLOOKUP(E1574,'Inventaire des produits'!$B$4:$K$1001,8,0),"")</f>
        <v/>
      </c>
      <c r="I1574" s="32" t="str">
        <f t="shared" si="46"/>
        <v/>
      </c>
      <c r="K1574" s="127" t="str">
        <f t="shared" si="45"/>
        <v/>
      </c>
    </row>
    <row r="1575" spans="2:11" x14ac:dyDescent="0.3">
      <c r="B1575" s="197"/>
      <c r="C1575" s="198"/>
      <c r="D1575" s="197"/>
      <c r="E1575" s="212"/>
      <c r="F1575" s="29" t="str">
        <f>IFERROR(VLOOKUP(E1575,'Inventaire des produits'!$B$4:$K$1001,2,0),"")</f>
        <v/>
      </c>
      <c r="G1575" s="212"/>
      <c r="H1575" s="30" t="str">
        <f>IFERROR(VLOOKUP(E1575,'Inventaire des produits'!$B$4:$K$1001,8,0),"")</f>
        <v/>
      </c>
      <c r="I1575" s="32" t="str">
        <f t="shared" si="46"/>
        <v/>
      </c>
      <c r="K1575" s="127" t="str">
        <f t="shared" si="45"/>
        <v/>
      </c>
    </row>
    <row r="1576" spans="2:11" x14ac:dyDescent="0.3">
      <c r="B1576" s="197"/>
      <c r="C1576" s="198"/>
      <c r="D1576" s="197"/>
      <c r="E1576" s="212"/>
      <c r="F1576" s="29" t="str">
        <f>IFERROR(VLOOKUP(E1576,'Inventaire des produits'!$B$4:$K$1001,2,0),"")</f>
        <v/>
      </c>
      <c r="G1576" s="212"/>
      <c r="H1576" s="30" t="str">
        <f>IFERROR(VLOOKUP(E1576,'Inventaire des produits'!$B$4:$K$1001,8,0),"")</f>
        <v/>
      </c>
      <c r="I1576" s="32" t="str">
        <f t="shared" si="46"/>
        <v/>
      </c>
      <c r="K1576" s="127" t="str">
        <f t="shared" si="45"/>
        <v/>
      </c>
    </row>
    <row r="1577" spans="2:11" x14ac:dyDescent="0.3">
      <c r="B1577" s="197"/>
      <c r="C1577" s="198"/>
      <c r="D1577" s="197"/>
      <c r="E1577" s="212"/>
      <c r="F1577" s="29" t="str">
        <f>IFERROR(VLOOKUP(E1577,'Inventaire des produits'!$B$4:$K$1001,2,0),"")</f>
        <v/>
      </c>
      <c r="G1577" s="212"/>
      <c r="H1577" s="30" t="str">
        <f>IFERROR(VLOOKUP(E1577,'Inventaire des produits'!$B$4:$K$1001,8,0),"")</f>
        <v/>
      </c>
      <c r="I1577" s="32" t="str">
        <f t="shared" si="46"/>
        <v/>
      </c>
      <c r="K1577" s="127" t="str">
        <f t="shared" si="45"/>
        <v/>
      </c>
    </row>
    <row r="1578" spans="2:11" x14ac:dyDescent="0.3">
      <c r="B1578" s="197"/>
      <c r="C1578" s="198"/>
      <c r="D1578" s="197"/>
      <c r="E1578" s="212"/>
      <c r="F1578" s="29" t="str">
        <f>IFERROR(VLOOKUP(E1578,'Inventaire des produits'!$B$4:$K$1001,2,0),"")</f>
        <v/>
      </c>
      <c r="G1578" s="212"/>
      <c r="H1578" s="30" t="str">
        <f>IFERROR(VLOOKUP(E1578,'Inventaire des produits'!$B$4:$K$1001,8,0),"")</f>
        <v/>
      </c>
      <c r="I1578" s="32" t="str">
        <f t="shared" si="46"/>
        <v/>
      </c>
      <c r="K1578" s="127" t="str">
        <f t="shared" si="45"/>
        <v/>
      </c>
    </row>
    <row r="1579" spans="2:11" x14ac:dyDescent="0.3">
      <c r="B1579" s="197"/>
      <c r="C1579" s="198"/>
      <c r="D1579" s="197"/>
      <c r="E1579" s="212"/>
      <c r="F1579" s="29" t="str">
        <f>IFERROR(VLOOKUP(E1579,'Inventaire des produits'!$B$4:$K$1001,2,0),"")</f>
        <v/>
      </c>
      <c r="G1579" s="212"/>
      <c r="H1579" s="30" t="str">
        <f>IFERROR(VLOOKUP(E1579,'Inventaire des produits'!$B$4:$K$1001,8,0),"")</f>
        <v/>
      </c>
      <c r="I1579" s="32" t="str">
        <f t="shared" si="46"/>
        <v/>
      </c>
      <c r="K1579" s="127" t="str">
        <f t="shared" si="45"/>
        <v/>
      </c>
    </row>
    <row r="1580" spans="2:11" x14ac:dyDescent="0.3">
      <c r="B1580" s="197"/>
      <c r="C1580" s="198"/>
      <c r="D1580" s="197"/>
      <c r="E1580" s="212"/>
      <c r="F1580" s="29" t="str">
        <f>IFERROR(VLOOKUP(E1580,'Inventaire des produits'!$B$4:$K$1001,2,0),"")</f>
        <v/>
      </c>
      <c r="G1580" s="212"/>
      <c r="H1580" s="30" t="str">
        <f>IFERROR(VLOOKUP(E1580,'Inventaire des produits'!$B$4:$K$1001,8,0),"")</f>
        <v/>
      </c>
      <c r="I1580" s="32" t="str">
        <f t="shared" si="46"/>
        <v/>
      </c>
      <c r="K1580" s="127" t="str">
        <f t="shared" si="45"/>
        <v/>
      </c>
    </row>
    <row r="1581" spans="2:11" x14ac:dyDescent="0.3">
      <c r="B1581" s="197"/>
      <c r="C1581" s="198"/>
      <c r="D1581" s="197"/>
      <c r="E1581" s="212"/>
      <c r="F1581" s="29" t="str">
        <f>IFERROR(VLOOKUP(E1581,'Inventaire des produits'!$B$4:$K$1001,2,0),"")</f>
        <v/>
      </c>
      <c r="G1581" s="212"/>
      <c r="H1581" s="30" t="str">
        <f>IFERROR(VLOOKUP(E1581,'Inventaire des produits'!$B$4:$K$1001,8,0),"")</f>
        <v/>
      </c>
      <c r="I1581" s="32" t="str">
        <f t="shared" si="46"/>
        <v/>
      </c>
      <c r="K1581" s="127" t="str">
        <f t="shared" si="45"/>
        <v/>
      </c>
    </row>
    <row r="1582" spans="2:11" x14ac:dyDescent="0.3">
      <c r="B1582" s="197"/>
      <c r="C1582" s="198"/>
      <c r="D1582" s="197"/>
      <c r="E1582" s="212"/>
      <c r="F1582" s="29" t="str">
        <f>IFERROR(VLOOKUP(E1582,'Inventaire des produits'!$B$4:$K$1001,2,0),"")</f>
        <v/>
      </c>
      <c r="G1582" s="212"/>
      <c r="H1582" s="30" t="str">
        <f>IFERROR(VLOOKUP(E1582,'Inventaire des produits'!$B$4:$K$1001,8,0),"")</f>
        <v/>
      </c>
      <c r="I1582" s="32" t="str">
        <f t="shared" si="46"/>
        <v/>
      </c>
      <c r="K1582" s="127" t="str">
        <f t="shared" si="45"/>
        <v/>
      </c>
    </row>
    <row r="1583" spans="2:11" x14ac:dyDescent="0.3">
      <c r="B1583" s="197"/>
      <c r="C1583" s="198"/>
      <c r="D1583" s="197"/>
      <c r="E1583" s="212"/>
      <c r="F1583" s="29" t="str">
        <f>IFERROR(VLOOKUP(E1583,'Inventaire des produits'!$B$4:$K$1001,2,0),"")</f>
        <v/>
      </c>
      <c r="G1583" s="212"/>
      <c r="H1583" s="30" t="str">
        <f>IFERROR(VLOOKUP(E1583,'Inventaire des produits'!$B$4:$K$1001,8,0),"")</f>
        <v/>
      </c>
      <c r="I1583" s="32" t="str">
        <f t="shared" si="46"/>
        <v/>
      </c>
      <c r="K1583" s="127" t="str">
        <f t="shared" si="45"/>
        <v/>
      </c>
    </row>
    <row r="1584" spans="2:11" x14ac:dyDescent="0.3">
      <c r="B1584" s="197"/>
      <c r="C1584" s="198"/>
      <c r="D1584" s="197"/>
      <c r="E1584" s="212"/>
      <c r="F1584" s="29" t="str">
        <f>IFERROR(VLOOKUP(E1584,'Inventaire des produits'!$B$4:$K$1001,2,0),"")</f>
        <v/>
      </c>
      <c r="G1584" s="212"/>
      <c r="H1584" s="30" t="str">
        <f>IFERROR(VLOOKUP(E1584,'Inventaire des produits'!$B$4:$K$1001,8,0),"")</f>
        <v/>
      </c>
      <c r="I1584" s="32" t="str">
        <f t="shared" si="46"/>
        <v/>
      </c>
      <c r="K1584" s="127" t="str">
        <f t="shared" si="45"/>
        <v/>
      </c>
    </row>
    <row r="1585" spans="2:11" x14ac:dyDescent="0.3">
      <c r="B1585" s="197"/>
      <c r="C1585" s="198"/>
      <c r="D1585" s="197"/>
      <c r="E1585" s="212"/>
      <c r="F1585" s="29" t="str">
        <f>IFERROR(VLOOKUP(E1585,'Inventaire des produits'!$B$4:$K$1001,2,0),"")</f>
        <v/>
      </c>
      <c r="G1585" s="212"/>
      <c r="H1585" s="30" t="str">
        <f>IFERROR(VLOOKUP(E1585,'Inventaire des produits'!$B$4:$K$1001,8,0),"")</f>
        <v/>
      </c>
      <c r="I1585" s="32" t="str">
        <f t="shared" si="46"/>
        <v/>
      </c>
      <c r="K1585" s="127" t="str">
        <f t="shared" si="45"/>
        <v/>
      </c>
    </row>
    <row r="1586" spans="2:11" x14ac:dyDescent="0.3">
      <c r="B1586" s="197"/>
      <c r="C1586" s="198"/>
      <c r="D1586" s="197"/>
      <c r="E1586" s="212"/>
      <c r="F1586" s="29" t="str">
        <f>IFERROR(VLOOKUP(E1586,'Inventaire des produits'!$B$4:$K$1001,2,0),"")</f>
        <v/>
      </c>
      <c r="G1586" s="212"/>
      <c r="H1586" s="30" t="str">
        <f>IFERROR(VLOOKUP(E1586,'Inventaire des produits'!$B$4:$K$1001,8,0),"")</f>
        <v/>
      </c>
      <c r="I1586" s="32" t="str">
        <f t="shared" si="46"/>
        <v/>
      </c>
      <c r="K1586" s="127" t="str">
        <f t="shared" si="45"/>
        <v/>
      </c>
    </row>
    <row r="1587" spans="2:11" x14ac:dyDescent="0.3">
      <c r="B1587" s="197"/>
      <c r="C1587" s="198"/>
      <c r="D1587" s="197"/>
      <c r="E1587" s="212"/>
      <c r="F1587" s="29" t="str">
        <f>IFERROR(VLOOKUP(E1587,'Inventaire des produits'!$B$4:$K$1001,2,0),"")</f>
        <v/>
      </c>
      <c r="G1587" s="212"/>
      <c r="H1587" s="30" t="str">
        <f>IFERROR(VLOOKUP(E1587,'Inventaire des produits'!$B$4:$K$1001,8,0),"")</f>
        <v/>
      </c>
      <c r="I1587" s="32" t="str">
        <f t="shared" si="46"/>
        <v/>
      </c>
      <c r="K1587" s="127" t="str">
        <f t="shared" si="45"/>
        <v/>
      </c>
    </row>
    <row r="1588" spans="2:11" x14ac:dyDescent="0.3">
      <c r="B1588" s="197"/>
      <c r="C1588" s="198"/>
      <c r="D1588" s="197"/>
      <c r="E1588" s="212"/>
      <c r="F1588" s="29" t="str">
        <f>IFERROR(VLOOKUP(E1588,'Inventaire des produits'!$B$4:$K$1001,2,0),"")</f>
        <v/>
      </c>
      <c r="G1588" s="212"/>
      <c r="H1588" s="30" t="str">
        <f>IFERROR(VLOOKUP(E1588,'Inventaire des produits'!$B$4:$K$1001,8,0),"")</f>
        <v/>
      </c>
      <c r="I1588" s="32" t="str">
        <f t="shared" si="46"/>
        <v/>
      </c>
      <c r="K1588" s="127" t="str">
        <f t="shared" si="45"/>
        <v/>
      </c>
    </row>
    <row r="1589" spans="2:11" x14ac:dyDescent="0.3">
      <c r="B1589" s="197"/>
      <c r="C1589" s="198"/>
      <c r="D1589" s="197"/>
      <c r="E1589" s="212"/>
      <c r="F1589" s="29" t="str">
        <f>IFERROR(VLOOKUP(E1589,'Inventaire des produits'!$B$4:$K$1001,2,0),"")</f>
        <v/>
      </c>
      <c r="G1589" s="212"/>
      <c r="H1589" s="30" t="str">
        <f>IFERROR(VLOOKUP(E1589,'Inventaire des produits'!$B$4:$K$1001,8,0),"")</f>
        <v/>
      </c>
      <c r="I1589" s="32" t="str">
        <f t="shared" si="46"/>
        <v/>
      </c>
      <c r="K1589" s="127" t="str">
        <f t="shared" si="45"/>
        <v/>
      </c>
    </row>
    <row r="1590" spans="2:11" x14ac:dyDescent="0.3">
      <c r="B1590" s="197"/>
      <c r="C1590" s="198"/>
      <c r="D1590" s="197"/>
      <c r="E1590" s="212"/>
      <c r="F1590" s="29" t="str">
        <f>IFERROR(VLOOKUP(E1590,'Inventaire des produits'!$B$4:$K$1001,2,0),"")</f>
        <v/>
      </c>
      <c r="G1590" s="212"/>
      <c r="H1590" s="30" t="str">
        <f>IFERROR(VLOOKUP(E1590,'Inventaire des produits'!$B$4:$K$1001,8,0),"")</f>
        <v/>
      </c>
      <c r="I1590" s="32" t="str">
        <f t="shared" si="46"/>
        <v/>
      </c>
      <c r="K1590" s="127" t="str">
        <f t="shared" si="45"/>
        <v/>
      </c>
    </row>
    <row r="1591" spans="2:11" x14ac:dyDescent="0.3">
      <c r="B1591" s="197"/>
      <c r="C1591" s="198"/>
      <c r="D1591" s="197"/>
      <c r="E1591" s="212"/>
      <c r="F1591" s="29" t="str">
        <f>IFERROR(VLOOKUP(E1591,'Inventaire des produits'!$B$4:$K$1001,2,0),"")</f>
        <v/>
      </c>
      <c r="G1591" s="212"/>
      <c r="H1591" s="30" t="str">
        <f>IFERROR(VLOOKUP(E1591,'Inventaire des produits'!$B$4:$K$1001,8,0),"")</f>
        <v/>
      </c>
      <c r="I1591" s="32" t="str">
        <f t="shared" si="46"/>
        <v/>
      </c>
      <c r="K1591" s="127" t="str">
        <f t="shared" si="45"/>
        <v/>
      </c>
    </row>
    <row r="1592" spans="2:11" x14ac:dyDescent="0.3">
      <c r="B1592" s="197"/>
      <c r="C1592" s="198"/>
      <c r="D1592" s="197"/>
      <c r="E1592" s="212"/>
      <c r="F1592" s="29" t="str">
        <f>IFERROR(VLOOKUP(E1592,'Inventaire des produits'!$B$4:$K$1001,2,0),"")</f>
        <v/>
      </c>
      <c r="G1592" s="212"/>
      <c r="H1592" s="30" t="str">
        <f>IFERROR(VLOOKUP(E1592,'Inventaire des produits'!$B$4:$K$1001,8,0),"")</f>
        <v/>
      </c>
      <c r="I1592" s="32" t="str">
        <f t="shared" si="46"/>
        <v/>
      </c>
      <c r="K1592" s="127" t="str">
        <f t="shared" si="45"/>
        <v/>
      </c>
    </row>
    <row r="1593" spans="2:11" x14ac:dyDescent="0.3">
      <c r="B1593" s="197"/>
      <c r="C1593" s="198"/>
      <c r="D1593" s="197"/>
      <c r="E1593" s="212"/>
      <c r="F1593" s="29" t="str">
        <f>IFERROR(VLOOKUP(E1593,'Inventaire des produits'!$B$4:$K$1001,2,0),"")</f>
        <v/>
      </c>
      <c r="G1593" s="212"/>
      <c r="H1593" s="30" t="str">
        <f>IFERROR(VLOOKUP(E1593,'Inventaire des produits'!$B$4:$K$1001,8,0),"")</f>
        <v/>
      </c>
      <c r="I1593" s="32" t="str">
        <f t="shared" si="46"/>
        <v/>
      </c>
      <c r="K1593" s="127" t="str">
        <f t="shared" si="45"/>
        <v/>
      </c>
    </row>
    <row r="1594" spans="2:11" x14ac:dyDescent="0.3">
      <c r="B1594" s="197"/>
      <c r="C1594" s="198"/>
      <c r="D1594" s="197"/>
      <c r="E1594" s="212"/>
      <c r="F1594" s="29" t="str">
        <f>IFERROR(VLOOKUP(E1594,'Inventaire des produits'!$B$4:$K$1001,2,0),"")</f>
        <v/>
      </c>
      <c r="G1594" s="212"/>
      <c r="H1594" s="30" t="str">
        <f>IFERROR(VLOOKUP(E1594,'Inventaire des produits'!$B$4:$K$1001,8,0),"")</f>
        <v/>
      </c>
      <c r="I1594" s="32" t="str">
        <f t="shared" si="46"/>
        <v/>
      </c>
      <c r="K1594" s="127" t="str">
        <f t="shared" si="45"/>
        <v/>
      </c>
    </row>
    <row r="1595" spans="2:11" x14ac:dyDescent="0.3">
      <c r="B1595" s="197"/>
      <c r="C1595" s="198"/>
      <c r="D1595" s="197"/>
      <c r="E1595" s="212"/>
      <c r="F1595" s="29" t="str">
        <f>IFERROR(VLOOKUP(E1595,'Inventaire des produits'!$B$4:$K$1001,2,0),"")</f>
        <v/>
      </c>
      <c r="G1595" s="212"/>
      <c r="H1595" s="30" t="str">
        <f>IFERROR(VLOOKUP(E1595,'Inventaire des produits'!$B$4:$K$1001,8,0),"")</f>
        <v/>
      </c>
      <c r="I1595" s="32" t="str">
        <f t="shared" si="46"/>
        <v/>
      </c>
      <c r="K1595" s="127" t="str">
        <f t="shared" si="45"/>
        <v/>
      </c>
    </row>
    <row r="1596" spans="2:11" x14ac:dyDescent="0.3">
      <c r="B1596" s="197"/>
      <c r="C1596" s="198"/>
      <c r="D1596" s="197"/>
      <c r="E1596" s="212"/>
      <c r="F1596" s="29" t="str">
        <f>IFERROR(VLOOKUP(E1596,'Inventaire des produits'!$B$4:$K$1001,2,0),"")</f>
        <v/>
      </c>
      <c r="G1596" s="212"/>
      <c r="H1596" s="30" t="str">
        <f>IFERROR(VLOOKUP(E1596,'Inventaire des produits'!$B$4:$K$1001,8,0),"")</f>
        <v/>
      </c>
      <c r="I1596" s="32" t="str">
        <f t="shared" si="46"/>
        <v/>
      </c>
      <c r="K1596" s="127" t="str">
        <f t="shared" ref="K1596:K1659" si="47">IF(J1596="","",J1596*1.2)</f>
        <v/>
      </c>
    </row>
    <row r="1597" spans="2:11" x14ac:dyDescent="0.3">
      <c r="B1597" s="197"/>
      <c r="C1597" s="198"/>
      <c r="D1597" s="197"/>
      <c r="E1597" s="212"/>
      <c r="F1597" s="29" t="str">
        <f>IFERROR(VLOOKUP(E1597,'Inventaire des produits'!$B$4:$K$1001,2,0),"")</f>
        <v/>
      </c>
      <c r="G1597" s="212"/>
      <c r="H1597" s="30" t="str">
        <f>IFERROR(VLOOKUP(E1597,'Inventaire des produits'!$B$4:$K$1001,8,0),"")</f>
        <v/>
      </c>
      <c r="I1597" s="32" t="str">
        <f t="shared" si="46"/>
        <v/>
      </c>
      <c r="K1597" s="127" t="str">
        <f t="shared" si="47"/>
        <v/>
      </c>
    </row>
    <row r="1598" spans="2:11" x14ac:dyDescent="0.3">
      <c r="B1598" s="197"/>
      <c r="C1598" s="198"/>
      <c r="D1598" s="197"/>
      <c r="E1598" s="212"/>
      <c r="F1598" s="29" t="str">
        <f>IFERROR(VLOOKUP(E1598,'Inventaire des produits'!$B$4:$K$1001,2,0),"")</f>
        <v/>
      </c>
      <c r="G1598" s="212"/>
      <c r="H1598" s="30" t="str">
        <f>IFERROR(VLOOKUP(E1598,'Inventaire des produits'!$B$4:$K$1001,8,0),"")</f>
        <v/>
      </c>
      <c r="I1598" s="32" t="str">
        <f t="shared" si="46"/>
        <v/>
      </c>
      <c r="K1598" s="127" t="str">
        <f t="shared" si="47"/>
        <v/>
      </c>
    </row>
    <row r="1599" spans="2:11" x14ac:dyDescent="0.3">
      <c r="B1599" s="197"/>
      <c r="C1599" s="198"/>
      <c r="D1599" s="197"/>
      <c r="E1599" s="212"/>
      <c r="F1599" s="29" t="str">
        <f>IFERROR(VLOOKUP(E1599,'Inventaire des produits'!$B$4:$K$1001,2,0),"")</f>
        <v/>
      </c>
      <c r="G1599" s="212"/>
      <c r="H1599" s="30" t="str">
        <f>IFERROR(VLOOKUP(E1599,'Inventaire des produits'!$B$4:$K$1001,8,0),"")</f>
        <v/>
      </c>
      <c r="I1599" s="32" t="str">
        <f t="shared" si="46"/>
        <v/>
      </c>
      <c r="K1599" s="127" t="str">
        <f t="shared" si="47"/>
        <v/>
      </c>
    </row>
    <row r="1600" spans="2:11" x14ac:dyDescent="0.3">
      <c r="B1600" s="197"/>
      <c r="C1600" s="198"/>
      <c r="D1600" s="197"/>
      <c r="E1600" s="212"/>
      <c r="F1600" s="29" t="str">
        <f>IFERROR(VLOOKUP(E1600,'Inventaire des produits'!$B$4:$K$1001,2,0),"")</f>
        <v/>
      </c>
      <c r="G1600" s="212"/>
      <c r="H1600" s="30" t="str">
        <f>IFERROR(VLOOKUP(E1600,'Inventaire des produits'!$B$4:$K$1001,8,0),"")</f>
        <v/>
      </c>
      <c r="I1600" s="32" t="str">
        <f t="shared" si="46"/>
        <v/>
      </c>
      <c r="K1600" s="127" t="str">
        <f t="shared" si="47"/>
        <v/>
      </c>
    </row>
    <row r="1601" spans="2:11" x14ac:dyDescent="0.3">
      <c r="B1601" s="197"/>
      <c r="C1601" s="198"/>
      <c r="D1601" s="197"/>
      <c r="E1601" s="212"/>
      <c r="F1601" s="29" t="str">
        <f>IFERROR(VLOOKUP(E1601,'Inventaire des produits'!$B$4:$K$1001,2,0),"")</f>
        <v/>
      </c>
      <c r="G1601" s="212"/>
      <c r="H1601" s="30" t="str">
        <f>IFERROR(VLOOKUP(E1601,'Inventaire des produits'!$B$4:$K$1001,8,0),"")</f>
        <v/>
      </c>
      <c r="I1601" s="32" t="str">
        <f t="shared" si="46"/>
        <v/>
      </c>
      <c r="K1601" s="127" t="str">
        <f t="shared" si="47"/>
        <v/>
      </c>
    </row>
    <row r="1602" spans="2:11" x14ac:dyDescent="0.3">
      <c r="B1602" s="197"/>
      <c r="C1602" s="198"/>
      <c r="D1602" s="197"/>
      <c r="E1602" s="212"/>
      <c r="F1602" s="29" t="str">
        <f>IFERROR(VLOOKUP(E1602,'Inventaire des produits'!$B$4:$K$1001,2,0),"")</f>
        <v/>
      </c>
      <c r="G1602" s="212"/>
      <c r="H1602" s="30" t="str">
        <f>IFERROR(VLOOKUP(E1602,'Inventaire des produits'!$B$4:$K$1001,8,0),"")</f>
        <v/>
      </c>
      <c r="I1602" s="32" t="str">
        <f t="shared" ref="I1602:I1665" si="48">IF(OR(G1602="",H1602=""),"",G1602*H1602)</f>
        <v/>
      </c>
      <c r="K1602" s="127" t="str">
        <f t="shared" si="47"/>
        <v/>
      </c>
    </row>
    <row r="1603" spans="2:11" x14ac:dyDescent="0.3">
      <c r="B1603" s="197"/>
      <c r="C1603" s="198"/>
      <c r="D1603" s="197"/>
      <c r="E1603" s="212"/>
      <c r="F1603" s="29" t="str">
        <f>IFERROR(VLOOKUP(E1603,'Inventaire des produits'!$B$4:$K$1001,2,0),"")</f>
        <v/>
      </c>
      <c r="G1603" s="212"/>
      <c r="H1603" s="30" t="str">
        <f>IFERROR(VLOOKUP(E1603,'Inventaire des produits'!$B$4:$K$1001,8,0),"")</f>
        <v/>
      </c>
      <c r="I1603" s="32" t="str">
        <f t="shared" si="48"/>
        <v/>
      </c>
      <c r="K1603" s="127" t="str">
        <f t="shared" si="47"/>
        <v/>
      </c>
    </row>
    <row r="1604" spans="2:11" x14ac:dyDescent="0.3">
      <c r="B1604" s="197"/>
      <c r="C1604" s="198"/>
      <c r="D1604" s="197"/>
      <c r="E1604" s="212"/>
      <c r="F1604" s="29" t="str">
        <f>IFERROR(VLOOKUP(E1604,'Inventaire des produits'!$B$4:$K$1001,2,0),"")</f>
        <v/>
      </c>
      <c r="G1604" s="212"/>
      <c r="H1604" s="30" t="str">
        <f>IFERROR(VLOOKUP(E1604,'Inventaire des produits'!$B$4:$K$1001,8,0),"")</f>
        <v/>
      </c>
      <c r="I1604" s="32" t="str">
        <f t="shared" si="48"/>
        <v/>
      </c>
      <c r="K1604" s="127" t="str">
        <f t="shared" si="47"/>
        <v/>
      </c>
    </row>
    <row r="1605" spans="2:11" x14ac:dyDescent="0.3">
      <c r="B1605" s="197"/>
      <c r="C1605" s="198"/>
      <c r="D1605" s="197"/>
      <c r="E1605" s="212"/>
      <c r="F1605" s="29" t="str">
        <f>IFERROR(VLOOKUP(E1605,'Inventaire des produits'!$B$4:$K$1001,2,0),"")</f>
        <v/>
      </c>
      <c r="G1605" s="212"/>
      <c r="H1605" s="30" t="str">
        <f>IFERROR(VLOOKUP(E1605,'Inventaire des produits'!$B$4:$K$1001,8,0),"")</f>
        <v/>
      </c>
      <c r="I1605" s="32" t="str">
        <f t="shared" si="48"/>
        <v/>
      </c>
      <c r="K1605" s="127" t="str">
        <f t="shared" si="47"/>
        <v/>
      </c>
    </row>
    <row r="1606" spans="2:11" x14ac:dyDescent="0.3">
      <c r="B1606" s="197"/>
      <c r="C1606" s="198"/>
      <c r="D1606" s="197"/>
      <c r="E1606" s="212"/>
      <c r="F1606" s="29" t="str">
        <f>IFERROR(VLOOKUP(E1606,'Inventaire des produits'!$B$4:$K$1001,2,0),"")</f>
        <v/>
      </c>
      <c r="G1606" s="212"/>
      <c r="H1606" s="30" t="str">
        <f>IFERROR(VLOOKUP(E1606,'Inventaire des produits'!$B$4:$K$1001,8,0),"")</f>
        <v/>
      </c>
      <c r="I1606" s="32" t="str">
        <f t="shared" si="48"/>
        <v/>
      </c>
      <c r="K1606" s="127" t="str">
        <f t="shared" si="47"/>
        <v/>
      </c>
    </row>
    <row r="1607" spans="2:11" x14ac:dyDescent="0.3">
      <c r="B1607" s="197"/>
      <c r="C1607" s="198"/>
      <c r="D1607" s="197"/>
      <c r="E1607" s="212"/>
      <c r="F1607" s="29" t="str">
        <f>IFERROR(VLOOKUP(E1607,'Inventaire des produits'!$B$4:$K$1001,2,0),"")</f>
        <v/>
      </c>
      <c r="G1607" s="212"/>
      <c r="H1607" s="30" t="str">
        <f>IFERROR(VLOOKUP(E1607,'Inventaire des produits'!$B$4:$K$1001,8,0),"")</f>
        <v/>
      </c>
      <c r="I1607" s="32" t="str">
        <f t="shared" si="48"/>
        <v/>
      </c>
      <c r="K1607" s="127" t="str">
        <f t="shared" si="47"/>
        <v/>
      </c>
    </row>
    <row r="1608" spans="2:11" x14ac:dyDescent="0.3">
      <c r="B1608" s="197"/>
      <c r="C1608" s="198"/>
      <c r="D1608" s="197"/>
      <c r="E1608" s="212"/>
      <c r="F1608" s="29" t="str">
        <f>IFERROR(VLOOKUP(E1608,'Inventaire des produits'!$B$4:$K$1001,2,0),"")</f>
        <v/>
      </c>
      <c r="G1608" s="212"/>
      <c r="H1608" s="30" t="str">
        <f>IFERROR(VLOOKUP(E1608,'Inventaire des produits'!$B$4:$K$1001,8,0),"")</f>
        <v/>
      </c>
      <c r="I1608" s="32" t="str">
        <f t="shared" si="48"/>
        <v/>
      </c>
      <c r="K1608" s="127" t="str">
        <f t="shared" si="47"/>
        <v/>
      </c>
    </row>
    <row r="1609" spans="2:11" x14ac:dyDescent="0.3">
      <c r="B1609" s="197"/>
      <c r="C1609" s="198"/>
      <c r="D1609" s="197"/>
      <c r="E1609" s="212"/>
      <c r="F1609" s="29" t="str">
        <f>IFERROR(VLOOKUP(E1609,'Inventaire des produits'!$B$4:$K$1001,2,0),"")</f>
        <v/>
      </c>
      <c r="G1609" s="212"/>
      <c r="H1609" s="30" t="str">
        <f>IFERROR(VLOOKUP(E1609,'Inventaire des produits'!$B$4:$K$1001,8,0),"")</f>
        <v/>
      </c>
      <c r="I1609" s="32" t="str">
        <f t="shared" si="48"/>
        <v/>
      </c>
      <c r="K1609" s="127" t="str">
        <f t="shared" si="47"/>
        <v/>
      </c>
    </row>
    <row r="1610" spans="2:11" x14ac:dyDescent="0.3">
      <c r="B1610" s="197"/>
      <c r="C1610" s="198"/>
      <c r="D1610" s="197"/>
      <c r="E1610" s="212"/>
      <c r="F1610" s="29" t="str">
        <f>IFERROR(VLOOKUP(E1610,'Inventaire des produits'!$B$4:$K$1001,2,0),"")</f>
        <v/>
      </c>
      <c r="G1610" s="212"/>
      <c r="H1610" s="30" t="str">
        <f>IFERROR(VLOOKUP(E1610,'Inventaire des produits'!$B$4:$K$1001,8,0),"")</f>
        <v/>
      </c>
      <c r="I1610" s="32" t="str">
        <f t="shared" si="48"/>
        <v/>
      </c>
      <c r="K1610" s="127" t="str">
        <f t="shared" si="47"/>
        <v/>
      </c>
    </row>
    <row r="1611" spans="2:11" x14ac:dyDescent="0.3">
      <c r="B1611" s="197"/>
      <c r="C1611" s="198"/>
      <c r="D1611" s="197"/>
      <c r="E1611" s="212"/>
      <c r="F1611" s="29" t="str">
        <f>IFERROR(VLOOKUP(E1611,'Inventaire des produits'!$B$4:$K$1001,2,0),"")</f>
        <v/>
      </c>
      <c r="G1611" s="212"/>
      <c r="H1611" s="30" t="str">
        <f>IFERROR(VLOOKUP(E1611,'Inventaire des produits'!$B$4:$K$1001,8,0),"")</f>
        <v/>
      </c>
      <c r="I1611" s="32" t="str">
        <f t="shared" si="48"/>
        <v/>
      </c>
      <c r="K1611" s="127" t="str">
        <f t="shared" si="47"/>
        <v/>
      </c>
    </row>
    <row r="1612" spans="2:11" x14ac:dyDescent="0.3">
      <c r="B1612" s="197"/>
      <c r="C1612" s="198"/>
      <c r="D1612" s="197"/>
      <c r="E1612" s="212"/>
      <c r="F1612" s="29" t="str">
        <f>IFERROR(VLOOKUP(E1612,'Inventaire des produits'!$B$4:$K$1001,2,0),"")</f>
        <v/>
      </c>
      <c r="G1612" s="212"/>
      <c r="H1612" s="30" t="str">
        <f>IFERROR(VLOOKUP(E1612,'Inventaire des produits'!$B$4:$K$1001,8,0),"")</f>
        <v/>
      </c>
      <c r="I1612" s="32" t="str">
        <f t="shared" si="48"/>
        <v/>
      </c>
      <c r="K1612" s="127" t="str">
        <f t="shared" si="47"/>
        <v/>
      </c>
    </row>
    <row r="1613" spans="2:11" x14ac:dyDescent="0.3">
      <c r="B1613" s="197"/>
      <c r="C1613" s="198"/>
      <c r="D1613" s="197"/>
      <c r="E1613" s="212"/>
      <c r="F1613" s="29" t="str">
        <f>IFERROR(VLOOKUP(E1613,'Inventaire des produits'!$B$4:$K$1001,2,0),"")</f>
        <v/>
      </c>
      <c r="G1613" s="212"/>
      <c r="H1613" s="30" t="str">
        <f>IFERROR(VLOOKUP(E1613,'Inventaire des produits'!$B$4:$K$1001,8,0),"")</f>
        <v/>
      </c>
      <c r="I1613" s="32" t="str">
        <f t="shared" si="48"/>
        <v/>
      </c>
      <c r="K1613" s="127" t="str">
        <f t="shared" si="47"/>
        <v/>
      </c>
    </row>
    <row r="1614" spans="2:11" x14ac:dyDescent="0.3">
      <c r="B1614" s="197"/>
      <c r="C1614" s="198"/>
      <c r="D1614" s="197"/>
      <c r="E1614" s="212"/>
      <c r="F1614" s="29" t="str">
        <f>IFERROR(VLOOKUP(E1614,'Inventaire des produits'!$B$4:$K$1001,2,0),"")</f>
        <v/>
      </c>
      <c r="G1614" s="212"/>
      <c r="H1614" s="30" t="str">
        <f>IFERROR(VLOOKUP(E1614,'Inventaire des produits'!$B$4:$K$1001,8,0),"")</f>
        <v/>
      </c>
      <c r="I1614" s="32" t="str">
        <f t="shared" si="48"/>
        <v/>
      </c>
      <c r="K1614" s="127" t="str">
        <f t="shared" si="47"/>
        <v/>
      </c>
    </row>
    <row r="1615" spans="2:11" x14ac:dyDescent="0.3">
      <c r="B1615" s="197"/>
      <c r="C1615" s="198"/>
      <c r="D1615" s="197"/>
      <c r="E1615" s="212"/>
      <c r="F1615" s="29" t="str">
        <f>IFERROR(VLOOKUP(E1615,'Inventaire des produits'!$B$4:$K$1001,2,0),"")</f>
        <v/>
      </c>
      <c r="G1615" s="212"/>
      <c r="H1615" s="30" t="str">
        <f>IFERROR(VLOOKUP(E1615,'Inventaire des produits'!$B$4:$K$1001,8,0),"")</f>
        <v/>
      </c>
      <c r="I1615" s="32" t="str">
        <f t="shared" si="48"/>
        <v/>
      </c>
      <c r="K1615" s="127" t="str">
        <f t="shared" si="47"/>
        <v/>
      </c>
    </row>
    <row r="1616" spans="2:11" x14ac:dyDescent="0.3">
      <c r="B1616" s="197"/>
      <c r="C1616" s="198"/>
      <c r="D1616" s="197"/>
      <c r="E1616" s="212"/>
      <c r="F1616" s="29" t="str">
        <f>IFERROR(VLOOKUP(E1616,'Inventaire des produits'!$B$4:$K$1001,2,0),"")</f>
        <v/>
      </c>
      <c r="G1616" s="212"/>
      <c r="H1616" s="30" t="str">
        <f>IFERROR(VLOOKUP(E1616,'Inventaire des produits'!$B$4:$K$1001,8,0),"")</f>
        <v/>
      </c>
      <c r="I1616" s="32" t="str">
        <f t="shared" si="48"/>
        <v/>
      </c>
      <c r="K1616" s="127" t="str">
        <f t="shared" si="47"/>
        <v/>
      </c>
    </row>
    <row r="1617" spans="2:11" x14ac:dyDescent="0.3">
      <c r="B1617" s="197"/>
      <c r="C1617" s="198"/>
      <c r="D1617" s="197"/>
      <c r="E1617" s="212"/>
      <c r="F1617" s="29" t="str">
        <f>IFERROR(VLOOKUP(E1617,'Inventaire des produits'!$B$4:$K$1001,2,0),"")</f>
        <v/>
      </c>
      <c r="G1617" s="212"/>
      <c r="H1617" s="30" t="str">
        <f>IFERROR(VLOOKUP(E1617,'Inventaire des produits'!$B$4:$K$1001,8,0),"")</f>
        <v/>
      </c>
      <c r="I1617" s="32" t="str">
        <f t="shared" si="48"/>
        <v/>
      </c>
      <c r="K1617" s="127" t="str">
        <f t="shared" si="47"/>
        <v/>
      </c>
    </row>
    <row r="1618" spans="2:11" x14ac:dyDescent="0.3">
      <c r="B1618" s="197"/>
      <c r="C1618" s="198"/>
      <c r="D1618" s="197"/>
      <c r="E1618" s="212"/>
      <c r="F1618" s="29" t="str">
        <f>IFERROR(VLOOKUP(E1618,'Inventaire des produits'!$B$4:$K$1001,2,0),"")</f>
        <v/>
      </c>
      <c r="G1618" s="212"/>
      <c r="H1618" s="30" t="str">
        <f>IFERROR(VLOOKUP(E1618,'Inventaire des produits'!$B$4:$K$1001,8,0),"")</f>
        <v/>
      </c>
      <c r="I1618" s="32" t="str">
        <f t="shared" si="48"/>
        <v/>
      </c>
      <c r="K1618" s="127" t="str">
        <f t="shared" si="47"/>
        <v/>
      </c>
    </row>
    <row r="1619" spans="2:11" x14ac:dyDescent="0.3">
      <c r="B1619" s="197"/>
      <c r="C1619" s="198"/>
      <c r="D1619" s="197"/>
      <c r="E1619" s="212"/>
      <c r="F1619" s="29" t="str">
        <f>IFERROR(VLOOKUP(E1619,'Inventaire des produits'!$B$4:$K$1001,2,0),"")</f>
        <v/>
      </c>
      <c r="G1619" s="212"/>
      <c r="H1619" s="30" t="str">
        <f>IFERROR(VLOOKUP(E1619,'Inventaire des produits'!$B$4:$K$1001,8,0),"")</f>
        <v/>
      </c>
      <c r="I1619" s="32" t="str">
        <f t="shared" si="48"/>
        <v/>
      </c>
      <c r="K1619" s="127" t="str">
        <f t="shared" si="47"/>
        <v/>
      </c>
    </row>
    <row r="1620" spans="2:11" x14ac:dyDescent="0.3">
      <c r="B1620" s="197"/>
      <c r="C1620" s="198"/>
      <c r="D1620" s="197"/>
      <c r="E1620" s="212"/>
      <c r="F1620" s="29" t="str">
        <f>IFERROR(VLOOKUP(E1620,'Inventaire des produits'!$B$4:$K$1001,2,0),"")</f>
        <v/>
      </c>
      <c r="G1620" s="212"/>
      <c r="H1620" s="30" t="str">
        <f>IFERROR(VLOOKUP(E1620,'Inventaire des produits'!$B$4:$K$1001,8,0),"")</f>
        <v/>
      </c>
      <c r="I1620" s="32" t="str">
        <f t="shared" si="48"/>
        <v/>
      </c>
      <c r="K1620" s="127" t="str">
        <f t="shared" si="47"/>
        <v/>
      </c>
    </row>
    <row r="1621" spans="2:11" x14ac:dyDescent="0.3">
      <c r="B1621" s="197"/>
      <c r="C1621" s="198"/>
      <c r="D1621" s="197"/>
      <c r="E1621" s="212"/>
      <c r="F1621" s="29" t="str">
        <f>IFERROR(VLOOKUP(E1621,'Inventaire des produits'!$B$4:$K$1001,2,0),"")</f>
        <v/>
      </c>
      <c r="G1621" s="212"/>
      <c r="H1621" s="30" t="str">
        <f>IFERROR(VLOOKUP(E1621,'Inventaire des produits'!$B$4:$K$1001,8,0),"")</f>
        <v/>
      </c>
      <c r="I1621" s="32" t="str">
        <f t="shared" si="48"/>
        <v/>
      </c>
      <c r="K1621" s="127" t="str">
        <f t="shared" si="47"/>
        <v/>
      </c>
    </row>
    <row r="1622" spans="2:11" x14ac:dyDescent="0.3">
      <c r="B1622" s="197"/>
      <c r="C1622" s="198"/>
      <c r="D1622" s="197"/>
      <c r="E1622" s="212"/>
      <c r="F1622" s="29" t="str">
        <f>IFERROR(VLOOKUP(E1622,'Inventaire des produits'!$B$4:$K$1001,2,0),"")</f>
        <v/>
      </c>
      <c r="G1622" s="212"/>
      <c r="H1622" s="30" t="str">
        <f>IFERROR(VLOOKUP(E1622,'Inventaire des produits'!$B$4:$K$1001,8,0),"")</f>
        <v/>
      </c>
      <c r="I1622" s="32" t="str">
        <f t="shared" si="48"/>
        <v/>
      </c>
      <c r="K1622" s="127" t="str">
        <f t="shared" si="47"/>
        <v/>
      </c>
    </row>
    <row r="1623" spans="2:11" x14ac:dyDescent="0.3">
      <c r="B1623" s="197"/>
      <c r="C1623" s="198"/>
      <c r="D1623" s="197"/>
      <c r="E1623" s="212"/>
      <c r="F1623" s="29" t="str">
        <f>IFERROR(VLOOKUP(E1623,'Inventaire des produits'!$B$4:$K$1001,2,0),"")</f>
        <v/>
      </c>
      <c r="G1623" s="212"/>
      <c r="H1623" s="30" t="str">
        <f>IFERROR(VLOOKUP(E1623,'Inventaire des produits'!$B$4:$K$1001,8,0),"")</f>
        <v/>
      </c>
      <c r="I1623" s="32" t="str">
        <f t="shared" si="48"/>
        <v/>
      </c>
      <c r="K1623" s="127" t="str">
        <f t="shared" si="47"/>
        <v/>
      </c>
    </row>
    <row r="1624" spans="2:11" x14ac:dyDescent="0.3">
      <c r="B1624" s="197"/>
      <c r="C1624" s="198"/>
      <c r="D1624" s="197"/>
      <c r="E1624" s="212"/>
      <c r="F1624" s="29" t="str">
        <f>IFERROR(VLOOKUP(E1624,'Inventaire des produits'!$B$4:$K$1001,2,0),"")</f>
        <v/>
      </c>
      <c r="G1624" s="212"/>
      <c r="H1624" s="30" t="str">
        <f>IFERROR(VLOOKUP(E1624,'Inventaire des produits'!$B$4:$K$1001,8,0),"")</f>
        <v/>
      </c>
      <c r="I1624" s="32" t="str">
        <f t="shared" si="48"/>
        <v/>
      </c>
      <c r="K1624" s="127" t="str">
        <f t="shared" si="47"/>
        <v/>
      </c>
    </row>
    <row r="1625" spans="2:11" x14ac:dyDescent="0.3">
      <c r="B1625" s="197"/>
      <c r="C1625" s="198"/>
      <c r="D1625" s="197"/>
      <c r="E1625" s="212"/>
      <c r="F1625" s="29" t="str">
        <f>IFERROR(VLOOKUP(E1625,'Inventaire des produits'!$B$4:$K$1001,2,0),"")</f>
        <v/>
      </c>
      <c r="G1625" s="212"/>
      <c r="H1625" s="30" t="str">
        <f>IFERROR(VLOOKUP(E1625,'Inventaire des produits'!$B$4:$K$1001,8,0),"")</f>
        <v/>
      </c>
      <c r="I1625" s="32" t="str">
        <f t="shared" si="48"/>
        <v/>
      </c>
      <c r="K1625" s="127" t="str">
        <f t="shared" si="47"/>
        <v/>
      </c>
    </row>
    <row r="1626" spans="2:11" x14ac:dyDescent="0.3">
      <c r="B1626" s="197"/>
      <c r="C1626" s="198"/>
      <c r="D1626" s="197"/>
      <c r="E1626" s="212"/>
      <c r="F1626" s="29" t="str">
        <f>IFERROR(VLOOKUP(E1626,'Inventaire des produits'!$B$4:$K$1001,2,0),"")</f>
        <v/>
      </c>
      <c r="G1626" s="212"/>
      <c r="H1626" s="30" t="str">
        <f>IFERROR(VLOOKUP(E1626,'Inventaire des produits'!$B$4:$K$1001,8,0),"")</f>
        <v/>
      </c>
      <c r="I1626" s="32" t="str">
        <f t="shared" si="48"/>
        <v/>
      </c>
      <c r="K1626" s="127" t="str">
        <f t="shared" si="47"/>
        <v/>
      </c>
    </row>
    <row r="1627" spans="2:11" x14ac:dyDescent="0.3">
      <c r="B1627" s="197"/>
      <c r="C1627" s="198"/>
      <c r="D1627" s="197"/>
      <c r="E1627" s="212"/>
      <c r="F1627" s="29" t="str">
        <f>IFERROR(VLOOKUP(E1627,'Inventaire des produits'!$B$4:$K$1001,2,0),"")</f>
        <v/>
      </c>
      <c r="G1627" s="212"/>
      <c r="H1627" s="30" t="str">
        <f>IFERROR(VLOOKUP(E1627,'Inventaire des produits'!$B$4:$K$1001,8,0),"")</f>
        <v/>
      </c>
      <c r="I1627" s="32" t="str">
        <f t="shared" si="48"/>
        <v/>
      </c>
      <c r="K1627" s="127" t="str">
        <f t="shared" si="47"/>
        <v/>
      </c>
    </row>
    <row r="1628" spans="2:11" x14ac:dyDescent="0.3">
      <c r="B1628" s="197"/>
      <c r="C1628" s="198"/>
      <c r="D1628" s="197"/>
      <c r="E1628" s="212"/>
      <c r="F1628" s="29" t="str">
        <f>IFERROR(VLOOKUP(E1628,'Inventaire des produits'!$B$4:$K$1001,2,0),"")</f>
        <v/>
      </c>
      <c r="G1628" s="212"/>
      <c r="H1628" s="30" t="str">
        <f>IFERROR(VLOOKUP(E1628,'Inventaire des produits'!$B$4:$K$1001,8,0),"")</f>
        <v/>
      </c>
      <c r="I1628" s="32" t="str">
        <f t="shared" si="48"/>
        <v/>
      </c>
      <c r="K1628" s="127" t="str">
        <f t="shared" si="47"/>
        <v/>
      </c>
    </row>
    <row r="1629" spans="2:11" x14ac:dyDescent="0.3">
      <c r="B1629" s="197"/>
      <c r="C1629" s="198"/>
      <c r="D1629" s="197"/>
      <c r="E1629" s="212"/>
      <c r="F1629" s="29" t="str">
        <f>IFERROR(VLOOKUP(E1629,'Inventaire des produits'!$B$4:$K$1001,2,0),"")</f>
        <v/>
      </c>
      <c r="G1629" s="212"/>
      <c r="H1629" s="30" t="str">
        <f>IFERROR(VLOOKUP(E1629,'Inventaire des produits'!$B$4:$K$1001,8,0),"")</f>
        <v/>
      </c>
      <c r="I1629" s="32" t="str">
        <f t="shared" si="48"/>
        <v/>
      </c>
      <c r="K1629" s="127" t="str">
        <f t="shared" si="47"/>
        <v/>
      </c>
    </row>
    <row r="1630" spans="2:11" x14ac:dyDescent="0.3">
      <c r="B1630" s="197"/>
      <c r="C1630" s="198"/>
      <c r="D1630" s="197"/>
      <c r="E1630" s="212"/>
      <c r="F1630" s="29" t="str">
        <f>IFERROR(VLOOKUP(E1630,'Inventaire des produits'!$B$4:$K$1001,2,0),"")</f>
        <v/>
      </c>
      <c r="G1630" s="212"/>
      <c r="H1630" s="30" t="str">
        <f>IFERROR(VLOOKUP(E1630,'Inventaire des produits'!$B$4:$K$1001,8,0),"")</f>
        <v/>
      </c>
      <c r="I1630" s="32" t="str">
        <f t="shared" si="48"/>
        <v/>
      </c>
      <c r="K1630" s="127" t="str">
        <f t="shared" si="47"/>
        <v/>
      </c>
    </row>
    <row r="1631" spans="2:11" x14ac:dyDescent="0.3">
      <c r="B1631" s="197"/>
      <c r="C1631" s="198"/>
      <c r="D1631" s="197"/>
      <c r="E1631" s="212"/>
      <c r="F1631" s="29" t="str">
        <f>IFERROR(VLOOKUP(E1631,'Inventaire des produits'!$B$4:$K$1001,2,0),"")</f>
        <v/>
      </c>
      <c r="G1631" s="212"/>
      <c r="H1631" s="30" t="str">
        <f>IFERROR(VLOOKUP(E1631,'Inventaire des produits'!$B$4:$K$1001,8,0),"")</f>
        <v/>
      </c>
      <c r="I1631" s="32" t="str">
        <f t="shared" si="48"/>
        <v/>
      </c>
      <c r="K1631" s="127" t="str">
        <f t="shared" si="47"/>
        <v/>
      </c>
    </row>
    <row r="1632" spans="2:11" x14ac:dyDescent="0.3">
      <c r="B1632" s="197"/>
      <c r="C1632" s="198"/>
      <c r="D1632" s="197"/>
      <c r="E1632" s="212"/>
      <c r="F1632" s="29" t="str">
        <f>IFERROR(VLOOKUP(E1632,'Inventaire des produits'!$B$4:$K$1001,2,0),"")</f>
        <v/>
      </c>
      <c r="G1632" s="212"/>
      <c r="H1632" s="30" t="str">
        <f>IFERROR(VLOOKUP(E1632,'Inventaire des produits'!$B$4:$K$1001,8,0),"")</f>
        <v/>
      </c>
      <c r="I1632" s="32" t="str">
        <f t="shared" si="48"/>
        <v/>
      </c>
      <c r="K1632" s="127" t="str">
        <f t="shared" si="47"/>
        <v/>
      </c>
    </row>
    <row r="1633" spans="2:11" x14ac:dyDescent="0.3">
      <c r="B1633" s="197"/>
      <c r="C1633" s="198"/>
      <c r="D1633" s="197"/>
      <c r="E1633" s="212"/>
      <c r="F1633" s="29" t="str">
        <f>IFERROR(VLOOKUP(E1633,'Inventaire des produits'!$B$4:$K$1001,2,0),"")</f>
        <v/>
      </c>
      <c r="G1633" s="212"/>
      <c r="H1633" s="30" t="str">
        <f>IFERROR(VLOOKUP(E1633,'Inventaire des produits'!$B$4:$K$1001,8,0),"")</f>
        <v/>
      </c>
      <c r="I1633" s="32" t="str">
        <f t="shared" si="48"/>
        <v/>
      </c>
      <c r="K1633" s="127" t="str">
        <f t="shared" si="47"/>
        <v/>
      </c>
    </row>
    <row r="1634" spans="2:11" x14ac:dyDescent="0.3">
      <c r="B1634" s="197"/>
      <c r="C1634" s="198"/>
      <c r="D1634" s="197"/>
      <c r="E1634" s="212"/>
      <c r="F1634" s="29" t="str">
        <f>IFERROR(VLOOKUP(E1634,'Inventaire des produits'!$B$4:$K$1001,2,0),"")</f>
        <v/>
      </c>
      <c r="G1634" s="212"/>
      <c r="H1634" s="30" t="str">
        <f>IFERROR(VLOOKUP(E1634,'Inventaire des produits'!$B$4:$K$1001,8,0),"")</f>
        <v/>
      </c>
      <c r="I1634" s="32" t="str">
        <f t="shared" si="48"/>
        <v/>
      </c>
      <c r="K1634" s="127" t="str">
        <f t="shared" si="47"/>
        <v/>
      </c>
    </row>
    <row r="1635" spans="2:11" x14ac:dyDescent="0.3">
      <c r="B1635" s="197"/>
      <c r="C1635" s="198"/>
      <c r="D1635" s="197"/>
      <c r="E1635" s="212"/>
      <c r="F1635" s="29" t="str">
        <f>IFERROR(VLOOKUP(E1635,'Inventaire des produits'!$B$4:$K$1001,2,0),"")</f>
        <v/>
      </c>
      <c r="G1635" s="212"/>
      <c r="H1635" s="30" t="str">
        <f>IFERROR(VLOOKUP(E1635,'Inventaire des produits'!$B$4:$K$1001,8,0),"")</f>
        <v/>
      </c>
      <c r="I1635" s="32" t="str">
        <f t="shared" si="48"/>
        <v/>
      </c>
      <c r="K1635" s="127" t="str">
        <f t="shared" si="47"/>
        <v/>
      </c>
    </row>
    <row r="1636" spans="2:11" x14ac:dyDescent="0.3">
      <c r="B1636" s="197"/>
      <c r="C1636" s="198"/>
      <c r="D1636" s="197"/>
      <c r="E1636" s="212"/>
      <c r="F1636" s="29" t="str">
        <f>IFERROR(VLOOKUP(E1636,'Inventaire des produits'!$B$4:$K$1001,2,0),"")</f>
        <v/>
      </c>
      <c r="G1636" s="212"/>
      <c r="H1636" s="30" t="str">
        <f>IFERROR(VLOOKUP(E1636,'Inventaire des produits'!$B$4:$K$1001,8,0),"")</f>
        <v/>
      </c>
      <c r="I1636" s="32" t="str">
        <f t="shared" si="48"/>
        <v/>
      </c>
      <c r="K1636" s="127" t="str">
        <f t="shared" si="47"/>
        <v/>
      </c>
    </row>
    <row r="1637" spans="2:11" x14ac:dyDescent="0.3">
      <c r="B1637" s="197"/>
      <c r="C1637" s="198"/>
      <c r="D1637" s="197"/>
      <c r="E1637" s="212"/>
      <c r="F1637" s="29" t="str">
        <f>IFERROR(VLOOKUP(E1637,'Inventaire des produits'!$B$4:$K$1001,2,0),"")</f>
        <v/>
      </c>
      <c r="G1637" s="212"/>
      <c r="H1637" s="30" t="str">
        <f>IFERROR(VLOOKUP(E1637,'Inventaire des produits'!$B$4:$K$1001,8,0),"")</f>
        <v/>
      </c>
      <c r="I1637" s="32" t="str">
        <f t="shared" si="48"/>
        <v/>
      </c>
      <c r="K1637" s="127" t="str">
        <f t="shared" si="47"/>
        <v/>
      </c>
    </row>
    <row r="1638" spans="2:11" x14ac:dyDescent="0.3">
      <c r="B1638" s="197"/>
      <c r="C1638" s="198"/>
      <c r="D1638" s="197"/>
      <c r="E1638" s="212"/>
      <c r="F1638" s="29" t="str">
        <f>IFERROR(VLOOKUP(E1638,'Inventaire des produits'!$B$4:$K$1001,2,0),"")</f>
        <v/>
      </c>
      <c r="G1638" s="212"/>
      <c r="H1638" s="30" t="str">
        <f>IFERROR(VLOOKUP(E1638,'Inventaire des produits'!$B$4:$K$1001,8,0),"")</f>
        <v/>
      </c>
      <c r="I1638" s="32" t="str">
        <f t="shared" si="48"/>
        <v/>
      </c>
      <c r="K1638" s="127" t="str">
        <f t="shared" si="47"/>
        <v/>
      </c>
    </row>
    <row r="1639" spans="2:11" x14ac:dyDescent="0.3">
      <c r="B1639" s="197"/>
      <c r="C1639" s="198"/>
      <c r="D1639" s="197"/>
      <c r="E1639" s="212"/>
      <c r="F1639" s="29" t="str">
        <f>IFERROR(VLOOKUP(E1639,'Inventaire des produits'!$B$4:$K$1001,2,0),"")</f>
        <v/>
      </c>
      <c r="G1639" s="212"/>
      <c r="H1639" s="30" t="str">
        <f>IFERROR(VLOOKUP(E1639,'Inventaire des produits'!$B$4:$K$1001,8,0),"")</f>
        <v/>
      </c>
      <c r="I1639" s="32" t="str">
        <f t="shared" si="48"/>
        <v/>
      </c>
      <c r="K1639" s="127" t="str">
        <f t="shared" si="47"/>
        <v/>
      </c>
    </row>
    <row r="1640" spans="2:11" x14ac:dyDescent="0.3">
      <c r="B1640" s="197"/>
      <c r="C1640" s="198"/>
      <c r="D1640" s="197"/>
      <c r="E1640" s="212"/>
      <c r="F1640" s="29" t="str">
        <f>IFERROR(VLOOKUP(E1640,'Inventaire des produits'!$B$4:$K$1001,2,0),"")</f>
        <v/>
      </c>
      <c r="G1640" s="212"/>
      <c r="H1640" s="30" t="str">
        <f>IFERROR(VLOOKUP(E1640,'Inventaire des produits'!$B$4:$K$1001,8,0),"")</f>
        <v/>
      </c>
      <c r="I1640" s="32" t="str">
        <f t="shared" si="48"/>
        <v/>
      </c>
      <c r="K1640" s="127" t="str">
        <f t="shared" si="47"/>
        <v/>
      </c>
    </row>
    <row r="1641" spans="2:11" x14ac:dyDescent="0.3">
      <c r="B1641" s="197"/>
      <c r="C1641" s="198"/>
      <c r="D1641" s="197"/>
      <c r="E1641" s="212"/>
      <c r="F1641" s="29" t="str">
        <f>IFERROR(VLOOKUP(E1641,'Inventaire des produits'!$B$4:$K$1001,2,0),"")</f>
        <v/>
      </c>
      <c r="G1641" s="212"/>
      <c r="H1641" s="30" t="str">
        <f>IFERROR(VLOOKUP(E1641,'Inventaire des produits'!$B$4:$K$1001,8,0),"")</f>
        <v/>
      </c>
      <c r="I1641" s="32" t="str">
        <f t="shared" si="48"/>
        <v/>
      </c>
      <c r="K1641" s="127" t="str">
        <f t="shared" si="47"/>
        <v/>
      </c>
    </row>
    <row r="1642" spans="2:11" x14ac:dyDescent="0.3">
      <c r="B1642" s="197"/>
      <c r="C1642" s="198"/>
      <c r="D1642" s="197"/>
      <c r="E1642" s="212"/>
      <c r="F1642" s="29" t="str">
        <f>IFERROR(VLOOKUP(E1642,'Inventaire des produits'!$B$4:$K$1001,2,0),"")</f>
        <v/>
      </c>
      <c r="G1642" s="212"/>
      <c r="H1642" s="30" t="str">
        <f>IFERROR(VLOOKUP(E1642,'Inventaire des produits'!$B$4:$K$1001,8,0),"")</f>
        <v/>
      </c>
      <c r="I1642" s="32" t="str">
        <f t="shared" si="48"/>
        <v/>
      </c>
      <c r="K1642" s="127" t="str">
        <f t="shared" si="47"/>
        <v/>
      </c>
    </row>
    <row r="1643" spans="2:11" x14ac:dyDescent="0.3">
      <c r="B1643" s="197"/>
      <c r="C1643" s="198"/>
      <c r="D1643" s="197"/>
      <c r="E1643" s="212"/>
      <c r="F1643" s="29" t="str">
        <f>IFERROR(VLOOKUP(E1643,'Inventaire des produits'!$B$4:$K$1001,2,0),"")</f>
        <v/>
      </c>
      <c r="G1643" s="212"/>
      <c r="H1643" s="30" t="str">
        <f>IFERROR(VLOOKUP(E1643,'Inventaire des produits'!$B$4:$K$1001,8,0),"")</f>
        <v/>
      </c>
      <c r="I1643" s="32" t="str">
        <f t="shared" si="48"/>
        <v/>
      </c>
      <c r="K1643" s="127" t="str">
        <f t="shared" si="47"/>
        <v/>
      </c>
    </row>
    <row r="1644" spans="2:11" x14ac:dyDescent="0.3">
      <c r="B1644" s="197"/>
      <c r="C1644" s="198"/>
      <c r="D1644" s="197"/>
      <c r="E1644" s="212"/>
      <c r="F1644" s="29" t="str">
        <f>IFERROR(VLOOKUP(E1644,'Inventaire des produits'!$B$4:$K$1001,2,0),"")</f>
        <v/>
      </c>
      <c r="G1644" s="212"/>
      <c r="H1644" s="30" t="str">
        <f>IFERROR(VLOOKUP(E1644,'Inventaire des produits'!$B$4:$K$1001,8,0),"")</f>
        <v/>
      </c>
      <c r="I1644" s="32" t="str">
        <f t="shared" si="48"/>
        <v/>
      </c>
      <c r="K1644" s="127" t="str">
        <f t="shared" si="47"/>
        <v/>
      </c>
    </row>
    <row r="1645" spans="2:11" x14ac:dyDescent="0.3">
      <c r="B1645" s="197"/>
      <c r="C1645" s="198"/>
      <c r="D1645" s="197"/>
      <c r="E1645" s="212"/>
      <c r="F1645" s="29" t="str">
        <f>IFERROR(VLOOKUP(E1645,'Inventaire des produits'!$B$4:$K$1001,2,0),"")</f>
        <v/>
      </c>
      <c r="G1645" s="212"/>
      <c r="H1645" s="30" t="str">
        <f>IFERROR(VLOOKUP(E1645,'Inventaire des produits'!$B$4:$K$1001,8,0),"")</f>
        <v/>
      </c>
      <c r="I1645" s="32" t="str">
        <f t="shared" si="48"/>
        <v/>
      </c>
      <c r="K1645" s="127" t="str">
        <f t="shared" si="47"/>
        <v/>
      </c>
    </row>
    <row r="1646" spans="2:11" x14ac:dyDescent="0.3">
      <c r="B1646" s="197"/>
      <c r="C1646" s="198"/>
      <c r="D1646" s="197"/>
      <c r="E1646" s="212"/>
      <c r="F1646" s="29" t="str">
        <f>IFERROR(VLOOKUP(E1646,'Inventaire des produits'!$B$4:$K$1001,2,0),"")</f>
        <v/>
      </c>
      <c r="G1646" s="212"/>
      <c r="H1646" s="30" t="str">
        <f>IFERROR(VLOOKUP(E1646,'Inventaire des produits'!$B$4:$K$1001,8,0),"")</f>
        <v/>
      </c>
      <c r="I1646" s="32" t="str">
        <f t="shared" si="48"/>
        <v/>
      </c>
      <c r="K1646" s="127" t="str">
        <f t="shared" si="47"/>
        <v/>
      </c>
    </row>
    <row r="1647" spans="2:11" x14ac:dyDescent="0.3">
      <c r="B1647" s="197"/>
      <c r="C1647" s="198"/>
      <c r="D1647" s="197"/>
      <c r="E1647" s="212"/>
      <c r="F1647" s="29" t="str">
        <f>IFERROR(VLOOKUP(E1647,'Inventaire des produits'!$B$4:$K$1001,2,0),"")</f>
        <v/>
      </c>
      <c r="G1647" s="212"/>
      <c r="H1647" s="30" t="str">
        <f>IFERROR(VLOOKUP(E1647,'Inventaire des produits'!$B$4:$K$1001,8,0),"")</f>
        <v/>
      </c>
      <c r="I1647" s="32" t="str">
        <f t="shared" si="48"/>
        <v/>
      </c>
      <c r="K1647" s="127" t="str">
        <f t="shared" si="47"/>
        <v/>
      </c>
    </row>
    <row r="1648" spans="2:11" x14ac:dyDescent="0.3">
      <c r="B1648" s="197"/>
      <c r="C1648" s="198"/>
      <c r="D1648" s="197"/>
      <c r="E1648" s="212"/>
      <c r="F1648" s="29" t="str">
        <f>IFERROR(VLOOKUP(E1648,'Inventaire des produits'!$B$4:$K$1001,2,0),"")</f>
        <v/>
      </c>
      <c r="G1648" s="212"/>
      <c r="H1648" s="30" t="str">
        <f>IFERROR(VLOOKUP(E1648,'Inventaire des produits'!$B$4:$K$1001,8,0),"")</f>
        <v/>
      </c>
      <c r="I1648" s="32" t="str">
        <f t="shared" si="48"/>
        <v/>
      </c>
      <c r="K1648" s="127" t="str">
        <f t="shared" si="47"/>
        <v/>
      </c>
    </row>
    <row r="1649" spans="2:11" x14ac:dyDescent="0.3">
      <c r="B1649" s="197"/>
      <c r="C1649" s="198"/>
      <c r="D1649" s="197"/>
      <c r="E1649" s="212"/>
      <c r="F1649" s="29" t="str">
        <f>IFERROR(VLOOKUP(E1649,'Inventaire des produits'!$B$4:$K$1001,2,0),"")</f>
        <v/>
      </c>
      <c r="G1649" s="212"/>
      <c r="H1649" s="30" t="str">
        <f>IFERROR(VLOOKUP(E1649,'Inventaire des produits'!$B$4:$K$1001,8,0),"")</f>
        <v/>
      </c>
      <c r="I1649" s="32" t="str">
        <f t="shared" si="48"/>
        <v/>
      </c>
      <c r="K1649" s="127" t="str">
        <f t="shared" si="47"/>
        <v/>
      </c>
    </row>
    <row r="1650" spans="2:11" x14ac:dyDescent="0.3">
      <c r="B1650" s="197"/>
      <c r="C1650" s="198"/>
      <c r="D1650" s="197"/>
      <c r="E1650" s="212"/>
      <c r="F1650" s="29" t="str">
        <f>IFERROR(VLOOKUP(E1650,'Inventaire des produits'!$B$4:$K$1001,2,0),"")</f>
        <v/>
      </c>
      <c r="G1650" s="212"/>
      <c r="H1650" s="30" t="str">
        <f>IFERROR(VLOOKUP(E1650,'Inventaire des produits'!$B$4:$K$1001,8,0),"")</f>
        <v/>
      </c>
      <c r="I1650" s="32" t="str">
        <f t="shared" si="48"/>
        <v/>
      </c>
      <c r="K1650" s="127" t="str">
        <f t="shared" si="47"/>
        <v/>
      </c>
    </row>
    <row r="1651" spans="2:11" x14ac:dyDescent="0.3">
      <c r="B1651" s="197"/>
      <c r="C1651" s="198"/>
      <c r="D1651" s="197"/>
      <c r="E1651" s="212"/>
      <c r="F1651" s="29" t="str">
        <f>IFERROR(VLOOKUP(E1651,'Inventaire des produits'!$B$4:$K$1001,2,0),"")</f>
        <v/>
      </c>
      <c r="G1651" s="212"/>
      <c r="H1651" s="30" t="str">
        <f>IFERROR(VLOOKUP(E1651,'Inventaire des produits'!$B$4:$K$1001,8,0),"")</f>
        <v/>
      </c>
      <c r="I1651" s="32" t="str">
        <f t="shared" si="48"/>
        <v/>
      </c>
      <c r="K1651" s="127" t="str">
        <f t="shared" si="47"/>
        <v/>
      </c>
    </row>
    <row r="1652" spans="2:11" x14ac:dyDescent="0.3">
      <c r="B1652" s="197"/>
      <c r="C1652" s="198"/>
      <c r="D1652" s="197"/>
      <c r="E1652" s="212"/>
      <c r="F1652" s="29" t="str">
        <f>IFERROR(VLOOKUP(E1652,'Inventaire des produits'!$B$4:$K$1001,2,0),"")</f>
        <v/>
      </c>
      <c r="G1652" s="212"/>
      <c r="H1652" s="30" t="str">
        <f>IFERROR(VLOOKUP(E1652,'Inventaire des produits'!$B$4:$K$1001,8,0),"")</f>
        <v/>
      </c>
      <c r="I1652" s="32" t="str">
        <f t="shared" si="48"/>
        <v/>
      </c>
      <c r="K1652" s="127" t="str">
        <f t="shared" si="47"/>
        <v/>
      </c>
    </row>
    <row r="1653" spans="2:11" x14ac:dyDescent="0.3">
      <c r="B1653" s="197"/>
      <c r="C1653" s="198"/>
      <c r="D1653" s="197"/>
      <c r="E1653" s="212"/>
      <c r="F1653" s="29" t="str">
        <f>IFERROR(VLOOKUP(E1653,'Inventaire des produits'!$B$4:$K$1001,2,0),"")</f>
        <v/>
      </c>
      <c r="G1653" s="212"/>
      <c r="H1653" s="30" t="str">
        <f>IFERROR(VLOOKUP(E1653,'Inventaire des produits'!$B$4:$K$1001,8,0),"")</f>
        <v/>
      </c>
      <c r="I1653" s="32" t="str">
        <f t="shared" si="48"/>
        <v/>
      </c>
      <c r="K1653" s="127" t="str">
        <f t="shared" si="47"/>
        <v/>
      </c>
    </row>
    <row r="1654" spans="2:11" x14ac:dyDescent="0.3">
      <c r="B1654" s="197"/>
      <c r="C1654" s="198"/>
      <c r="D1654" s="197"/>
      <c r="E1654" s="212"/>
      <c r="F1654" s="29" t="str">
        <f>IFERROR(VLOOKUP(E1654,'Inventaire des produits'!$B$4:$K$1001,2,0),"")</f>
        <v/>
      </c>
      <c r="G1654" s="212"/>
      <c r="H1654" s="30" t="str">
        <f>IFERROR(VLOOKUP(E1654,'Inventaire des produits'!$B$4:$K$1001,8,0),"")</f>
        <v/>
      </c>
      <c r="I1654" s="32" t="str">
        <f t="shared" si="48"/>
        <v/>
      </c>
      <c r="K1654" s="127" t="str">
        <f t="shared" si="47"/>
        <v/>
      </c>
    </row>
    <row r="1655" spans="2:11" x14ac:dyDescent="0.3">
      <c r="B1655" s="197"/>
      <c r="C1655" s="198"/>
      <c r="D1655" s="197"/>
      <c r="E1655" s="212"/>
      <c r="F1655" s="29" t="str">
        <f>IFERROR(VLOOKUP(E1655,'Inventaire des produits'!$B$4:$K$1001,2,0),"")</f>
        <v/>
      </c>
      <c r="G1655" s="212"/>
      <c r="H1655" s="30" t="str">
        <f>IFERROR(VLOOKUP(E1655,'Inventaire des produits'!$B$4:$K$1001,8,0),"")</f>
        <v/>
      </c>
      <c r="I1655" s="32" t="str">
        <f t="shared" si="48"/>
        <v/>
      </c>
      <c r="K1655" s="127" t="str">
        <f t="shared" si="47"/>
        <v/>
      </c>
    </row>
    <row r="1656" spans="2:11" x14ac:dyDescent="0.3">
      <c r="B1656" s="197"/>
      <c r="C1656" s="198"/>
      <c r="D1656" s="197"/>
      <c r="E1656" s="212"/>
      <c r="F1656" s="29" t="str">
        <f>IFERROR(VLOOKUP(E1656,'Inventaire des produits'!$B$4:$K$1001,2,0),"")</f>
        <v/>
      </c>
      <c r="G1656" s="212"/>
      <c r="H1656" s="30" t="str">
        <f>IFERROR(VLOOKUP(E1656,'Inventaire des produits'!$B$4:$K$1001,8,0),"")</f>
        <v/>
      </c>
      <c r="I1656" s="32" t="str">
        <f t="shared" si="48"/>
        <v/>
      </c>
      <c r="K1656" s="127" t="str">
        <f t="shared" si="47"/>
        <v/>
      </c>
    </row>
    <row r="1657" spans="2:11" x14ac:dyDescent="0.3">
      <c r="B1657" s="197"/>
      <c r="C1657" s="198"/>
      <c r="D1657" s="197"/>
      <c r="E1657" s="212"/>
      <c r="F1657" s="29" t="str">
        <f>IFERROR(VLOOKUP(E1657,'Inventaire des produits'!$B$4:$K$1001,2,0),"")</f>
        <v/>
      </c>
      <c r="G1657" s="212"/>
      <c r="H1657" s="30" t="str">
        <f>IFERROR(VLOOKUP(E1657,'Inventaire des produits'!$B$4:$K$1001,8,0),"")</f>
        <v/>
      </c>
      <c r="I1657" s="32" t="str">
        <f t="shared" si="48"/>
        <v/>
      </c>
      <c r="K1657" s="127" t="str">
        <f t="shared" si="47"/>
        <v/>
      </c>
    </row>
    <row r="1658" spans="2:11" x14ac:dyDescent="0.3">
      <c r="B1658" s="197"/>
      <c r="C1658" s="198"/>
      <c r="D1658" s="197"/>
      <c r="E1658" s="212"/>
      <c r="F1658" s="29" t="str">
        <f>IFERROR(VLOOKUP(E1658,'Inventaire des produits'!$B$4:$K$1001,2,0),"")</f>
        <v/>
      </c>
      <c r="G1658" s="212"/>
      <c r="H1658" s="30" t="str">
        <f>IFERROR(VLOOKUP(E1658,'Inventaire des produits'!$B$4:$K$1001,8,0),"")</f>
        <v/>
      </c>
      <c r="I1658" s="32" t="str">
        <f t="shared" si="48"/>
        <v/>
      </c>
      <c r="K1658" s="127" t="str">
        <f t="shared" si="47"/>
        <v/>
      </c>
    </row>
    <row r="1659" spans="2:11" x14ac:dyDescent="0.3">
      <c r="B1659" s="197"/>
      <c r="C1659" s="198"/>
      <c r="D1659" s="197"/>
      <c r="E1659" s="212"/>
      <c r="F1659" s="29" t="str">
        <f>IFERROR(VLOOKUP(E1659,'Inventaire des produits'!$B$4:$K$1001,2,0),"")</f>
        <v/>
      </c>
      <c r="G1659" s="212"/>
      <c r="H1659" s="30" t="str">
        <f>IFERROR(VLOOKUP(E1659,'Inventaire des produits'!$B$4:$K$1001,8,0),"")</f>
        <v/>
      </c>
      <c r="I1659" s="32" t="str">
        <f t="shared" si="48"/>
        <v/>
      </c>
      <c r="K1659" s="127" t="str">
        <f t="shared" si="47"/>
        <v/>
      </c>
    </row>
    <row r="1660" spans="2:11" x14ac:dyDescent="0.3">
      <c r="B1660" s="197"/>
      <c r="C1660" s="198"/>
      <c r="D1660" s="197"/>
      <c r="E1660" s="212"/>
      <c r="F1660" s="29" t="str">
        <f>IFERROR(VLOOKUP(E1660,'Inventaire des produits'!$B$4:$K$1001,2,0),"")</f>
        <v/>
      </c>
      <c r="G1660" s="212"/>
      <c r="H1660" s="30" t="str">
        <f>IFERROR(VLOOKUP(E1660,'Inventaire des produits'!$B$4:$K$1001,8,0),"")</f>
        <v/>
      </c>
      <c r="I1660" s="32" t="str">
        <f t="shared" si="48"/>
        <v/>
      </c>
      <c r="K1660" s="127" t="str">
        <f t="shared" ref="K1660:K1723" si="49">IF(J1660="","",J1660*1.2)</f>
        <v/>
      </c>
    </row>
    <row r="1661" spans="2:11" x14ac:dyDescent="0.3">
      <c r="B1661" s="197"/>
      <c r="C1661" s="198"/>
      <c r="D1661" s="197"/>
      <c r="E1661" s="212"/>
      <c r="F1661" s="29" t="str">
        <f>IFERROR(VLOOKUP(E1661,'Inventaire des produits'!$B$4:$K$1001,2,0),"")</f>
        <v/>
      </c>
      <c r="G1661" s="212"/>
      <c r="H1661" s="30" t="str">
        <f>IFERROR(VLOOKUP(E1661,'Inventaire des produits'!$B$4:$K$1001,8,0),"")</f>
        <v/>
      </c>
      <c r="I1661" s="32" t="str">
        <f t="shared" si="48"/>
        <v/>
      </c>
      <c r="K1661" s="127" t="str">
        <f t="shared" si="49"/>
        <v/>
      </c>
    </row>
    <row r="1662" spans="2:11" x14ac:dyDescent="0.3">
      <c r="B1662" s="197"/>
      <c r="C1662" s="198"/>
      <c r="D1662" s="197"/>
      <c r="E1662" s="212"/>
      <c r="F1662" s="29" t="str">
        <f>IFERROR(VLOOKUP(E1662,'Inventaire des produits'!$B$4:$K$1001,2,0),"")</f>
        <v/>
      </c>
      <c r="G1662" s="212"/>
      <c r="H1662" s="30" t="str">
        <f>IFERROR(VLOOKUP(E1662,'Inventaire des produits'!$B$4:$K$1001,8,0),"")</f>
        <v/>
      </c>
      <c r="I1662" s="32" t="str">
        <f t="shared" si="48"/>
        <v/>
      </c>
      <c r="K1662" s="127" t="str">
        <f t="shared" si="49"/>
        <v/>
      </c>
    </row>
    <row r="1663" spans="2:11" x14ac:dyDescent="0.3">
      <c r="B1663" s="197"/>
      <c r="C1663" s="198"/>
      <c r="D1663" s="197"/>
      <c r="E1663" s="212"/>
      <c r="F1663" s="29" t="str">
        <f>IFERROR(VLOOKUP(E1663,'Inventaire des produits'!$B$4:$K$1001,2,0),"")</f>
        <v/>
      </c>
      <c r="G1663" s="212"/>
      <c r="H1663" s="30" t="str">
        <f>IFERROR(VLOOKUP(E1663,'Inventaire des produits'!$B$4:$K$1001,8,0),"")</f>
        <v/>
      </c>
      <c r="I1663" s="32" t="str">
        <f t="shared" si="48"/>
        <v/>
      </c>
      <c r="K1663" s="127" t="str">
        <f t="shared" si="49"/>
        <v/>
      </c>
    </row>
    <row r="1664" spans="2:11" x14ac:dyDescent="0.3">
      <c r="B1664" s="197"/>
      <c r="C1664" s="198"/>
      <c r="D1664" s="197"/>
      <c r="E1664" s="212"/>
      <c r="F1664" s="29" t="str">
        <f>IFERROR(VLOOKUP(E1664,'Inventaire des produits'!$B$4:$K$1001,2,0),"")</f>
        <v/>
      </c>
      <c r="G1664" s="212"/>
      <c r="H1664" s="30" t="str">
        <f>IFERROR(VLOOKUP(E1664,'Inventaire des produits'!$B$4:$K$1001,8,0),"")</f>
        <v/>
      </c>
      <c r="I1664" s="32" t="str">
        <f t="shared" si="48"/>
        <v/>
      </c>
      <c r="K1664" s="127" t="str">
        <f t="shared" si="49"/>
        <v/>
      </c>
    </row>
    <row r="1665" spans="2:11" x14ac:dyDescent="0.3">
      <c r="B1665" s="197"/>
      <c r="C1665" s="198"/>
      <c r="D1665" s="197"/>
      <c r="E1665" s="212"/>
      <c r="F1665" s="29" t="str">
        <f>IFERROR(VLOOKUP(E1665,'Inventaire des produits'!$B$4:$K$1001,2,0),"")</f>
        <v/>
      </c>
      <c r="G1665" s="212"/>
      <c r="H1665" s="30" t="str">
        <f>IFERROR(VLOOKUP(E1665,'Inventaire des produits'!$B$4:$K$1001,8,0),"")</f>
        <v/>
      </c>
      <c r="I1665" s="32" t="str">
        <f t="shared" si="48"/>
        <v/>
      </c>
      <c r="K1665" s="127" t="str">
        <f t="shared" si="49"/>
        <v/>
      </c>
    </row>
    <row r="1666" spans="2:11" x14ac:dyDescent="0.3">
      <c r="B1666" s="197"/>
      <c r="C1666" s="198"/>
      <c r="D1666" s="197"/>
      <c r="E1666" s="212"/>
      <c r="F1666" s="29" t="str">
        <f>IFERROR(VLOOKUP(E1666,'Inventaire des produits'!$B$4:$K$1001,2,0),"")</f>
        <v/>
      </c>
      <c r="G1666" s="212"/>
      <c r="H1666" s="30" t="str">
        <f>IFERROR(VLOOKUP(E1666,'Inventaire des produits'!$B$4:$K$1001,8,0),"")</f>
        <v/>
      </c>
      <c r="I1666" s="32" t="str">
        <f t="shared" ref="I1666:I1729" si="50">IF(OR(G1666="",H1666=""),"",G1666*H1666)</f>
        <v/>
      </c>
      <c r="K1666" s="127" t="str">
        <f t="shared" si="49"/>
        <v/>
      </c>
    </row>
    <row r="1667" spans="2:11" x14ac:dyDescent="0.3">
      <c r="B1667" s="197"/>
      <c r="C1667" s="198"/>
      <c r="D1667" s="197"/>
      <c r="E1667" s="212"/>
      <c r="F1667" s="29" t="str">
        <f>IFERROR(VLOOKUP(E1667,'Inventaire des produits'!$B$4:$K$1001,2,0),"")</f>
        <v/>
      </c>
      <c r="G1667" s="212"/>
      <c r="H1667" s="30" t="str">
        <f>IFERROR(VLOOKUP(E1667,'Inventaire des produits'!$B$4:$K$1001,8,0),"")</f>
        <v/>
      </c>
      <c r="I1667" s="32" t="str">
        <f t="shared" si="50"/>
        <v/>
      </c>
      <c r="K1667" s="127" t="str">
        <f t="shared" si="49"/>
        <v/>
      </c>
    </row>
    <row r="1668" spans="2:11" x14ac:dyDescent="0.3">
      <c r="B1668" s="197"/>
      <c r="C1668" s="198"/>
      <c r="D1668" s="197"/>
      <c r="E1668" s="212"/>
      <c r="F1668" s="29" t="str">
        <f>IFERROR(VLOOKUP(E1668,'Inventaire des produits'!$B$4:$K$1001,2,0),"")</f>
        <v/>
      </c>
      <c r="G1668" s="212"/>
      <c r="H1668" s="30" t="str">
        <f>IFERROR(VLOOKUP(E1668,'Inventaire des produits'!$B$4:$K$1001,8,0),"")</f>
        <v/>
      </c>
      <c r="I1668" s="32" t="str">
        <f t="shared" si="50"/>
        <v/>
      </c>
      <c r="K1668" s="127" t="str">
        <f t="shared" si="49"/>
        <v/>
      </c>
    </row>
    <row r="1669" spans="2:11" x14ac:dyDescent="0.3">
      <c r="B1669" s="197"/>
      <c r="C1669" s="198"/>
      <c r="D1669" s="197"/>
      <c r="E1669" s="212"/>
      <c r="F1669" s="29" t="str">
        <f>IFERROR(VLOOKUP(E1669,'Inventaire des produits'!$B$4:$K$1001,2,0),"")</f>
        <v/>
      </c>
      <c r="G1669" s="212"/>
      <c r="H1669" s="30" t="str">
        <f>IFERROR(VLOOKUP(E1669,'Inventaire des produits'!$B$4:$K$1001,8,0),"")</f>
        <v/>
      </c>
      <c r="I1669" s="32" t="str">
        <f t="shared" si="50"/>
        <v/>
      </c>
      <c r="K1669" s="127" t="str">
        <f t="shared" si="49"/>
        <v/>
      </c>
    </row>
    <row r="1670" spans="2:11" x14ac:dyDescent="0.3">
      <c r="B1670" s="197"/>
      <c r="C1670" s="198"/>
      <c r="D1670" s="197"/>
      <c r="E1670" s="212"/>
      <c r="F1670" s="29" t="str">
        <f>IFERROR(VLOOKUP(E1670,'Inventaire des produits'!$B$4:$K$1001,2,0),"")</f>
        <v/>
      </c>
      <c r="G1670" s="212"/>
      <c r="H1670" s="30" t="str">
        <f>IFERROR(VLOOKUP(E1670,'Inventaire des produits'!$B$4:$K$1001,8,0),"")</f>
        <v/>
      </c>
      <c r="I1670" s="32" t="str">
        <f t="shared" si="50"/>
        <v/>
      </c>
      <c r="K1670" s="127" t="str">
        <f t="shared" si="49"/>
        <v/>
      </c>
    </row>
    <row r="1671" spans="2:11" x14ac:dyDescent="0.3">
      <c r="B1671" s="197"/>
      <c r="C1671" s="198"/>
      <c r="D1671" s="197"/>
      <c r="E1671" s="212"/>
      <c r="F1671" s="29" t="str">
        <f>IFERROR(VLOOKUP(E1671,'Inventaire des produits'!$B$4:$K$1001,2,0),"")</f>
        <v/>
      </c>
      <c r="G1671" s="212"/>
      <c r="H1671" s="30" t="str">
        <f>IFERROR(VLOOKUP(E1671,'Inventaire des produits'!$B$4:$K$1001,8,0),"")</f>
        <v/>
      </c>
      <c r="I1671" s="32" t="str">
        <f t="shared" si="50"/>
        <v/>
      </c>
      <c r="K1671" s="127" t="str">
        <f t="shared" si="49"/>
        <v/>
      </c>
    </row>
    <row r="1672" spans="2:11" x14ac:dyDescent="0.3">
      <c r="B1672" s="197"/>
      <c r="C1672" s="198"/>
      <c r="D1672" s="197"/>
      <c r="E1672" s="212"/>
      <c r="F1672" s="29" t="str">
        <f>IFERROR(VLOOKUP(E1672,'Inventaire des produits'!$B$4:$K$1001,2,0),"")</f>
        <v/>
      </c>
      <c r="G1672" s="212"/>
      <c r="H1672" s="30" t="str">
        <f>IFERROR(VLOOKUP(E1672,'Inventaire des produits'!$B$4:$K$1001,8,0),"")</f>
        <v/>
      </c>
      <c r="I1672" s="32" t="str">
        <f t="shared" si="50"/>
        <v/>
      </c>
      <c r="K1672" s="127" t="str">
        <f t="shared" si="49"/>
        <v/>
      </c>
    </row>
    <row r="1673" spans="2:11" x14ac:dyDescent="0.3">
      <c r="B1673" s="197"/>
      <c r="C1673" s="198"/>
      <c r="D1673" s="197"/>
      <c r="E1673" s="212"/>
      <c r="F1673" s="29" t="str">
        <f>IFERROR(VLOOKUP(E1673,'Inventaire des produits'!$B$4:$K$1001,2,0),"")</f>
        <v/>
      </c>
      <c r="G1673" s="212"/>
      <c r="H1673" s="30" t="str">
        <f>IFERROR(VLOOKUP(E1673,'Inventaire des produits'!$B$4:$K$1001,8,0),"")</f>
        <v/>
      </c>
      <c r="I1673" s="32" t="str">
        <f t="shared" si="50"/>
        <v/>
      </c>
      <c r="K1673" s="127" t="str">
        <f t="shared" si="49"/>
        <v/>
      </c>
    </row>
    <row r="1674" spans="2:11" x14ac:dyDescent="0.3">
      <c r="B1674" s="197"/>
      <c r="C1674" s="198"/>
      <c r="D1674" s="197"/>
      <c r="E1674" s="212"/>
      <c r="F1674" s="29" t="str">
        <f>IFERROR(VLOOKUP(E1674,'Inventaire des produits'!$B$4:$K$1001,2,0),"")</f>
        <v/>
      </c>
      <c r="G1674" s="212"/>
      <c r="H1674" s="30" t="str">
        <f>IFERROR(VLOOKUP(E1674,'Inventaire des produits'!$B$4:$K$1001,8,0),"")</f>
        <v/>
      </c>
      <c r="I1674" s="32" t="str">
        <f t="shared" si="50"/>
        <v/>
      </c>
      <c r="K1674" s="127" t="str">
        <f t="shared" si="49"/>
        <v/>
      </c>
    </row>
    <row r="1675" spans="2:11" x14ac:dyDescent="0.3">
      <c r="B1675" s="197"/>
      <c r="C1675" s="198"/>
      <c r="D1675" s="197"/>
      <c r="E1675" s="212"/>
      <c r="F1675" s="29" t="str">
        <f>IFERROR(VLOOKUP(E1675,'Inventaire des produits'!$B$4:$K$1001,2,0),"")</f>
        <v/>
      </c>
      <c r="G1675" s="212"/>
      <c r="H1675" s="30" t="str">
        <f>IFERROR(VLOOKUP(E1675,'Inventaire des produits'!$B$4:$K$1001,8,0),"")</f>
        <v/>
      </c>
      <c r="I1675" s="32" t="str">
        <f t="shared" si="50"/>
        <v/>
      </c>
      <c r="K1675" s="127" t="str">
        <f t="shared" si="49"/>
        <v/>
      </c>
    </row>
    <row r="1676" spans="2:11" x14ac:dyDescent="0.3">
      <c r="B1676" s="197"/>
      <c r="C1676" s="198"/>
      <c r="D1676" s="197"/>
      <c r="E1676" s="212"/>
      <c r="F1676" s="29" t="str">
        <f>IFERROR(VLOOKUP(E1676,'Inventaire des produits'!$B$4:$K$1001,2,0),"")</f>
        <v/>
      </c>
      <c r="G1676" s="212"/>
      <c r="H1676" s="30" t="str">
        <f>IFERROR(VLOOKUP(E1676,'Inventaire des produits'!$B$4:$K$1001,8,0),"")</f>
        <v/>
      </c>
      <c r="I1676" s="32" t="str">
        <f t="shared" si="50"/>
        <v/>
      </c>
      <c r="K1676" s="127" t="str">
        <f t="shared" si="49"/>
        <v/>
      </c>
    </row>
    <row r="1677" spans="2:11" x14ac:dyDescent="0.3">
      <c r="B1677" s="197"/>
      <c r="C1677" s="198"/>
      <c r="D1677" s="197"/>
      <c r="E1677" s="212"/>
      <c r="F1677" s="29" t="str">
        <f>IFERROR(VLOOKUP(E1677,'Inventaire des produits'!$B$4:$K$1001,2,0),"")</f>
        <v/>
      </c>
      <c r="G1677" s="212"/>
      <c r="H1677" s="30" t="str">
        <f>IFERROR(VLOOKUP(E1677,'Inventaire des produits'!$B$4:$K$1001,8,0),"")</f>
        <v/>
      </c>
      <c r="I1677" s="32" t="str">
        <f t="shared" si="50"/>
        <v/>
      </c>
      <c r="K1677" s="127" t="str">
        <f t="shared" si="49"/>
        <v/>
      </c>
    </row>
    <row r="1678" spans="2:11" x14ac:dyDescent="0.3">
      <c r="B1678" s="197"/>
      <c r="C1678" s="198"/>
      <c r="D1678" s="197"/>
      <c r="E1678" s="212"/>
      <c r="F1678" s="29" t="str">
        <f>IFERROR(VLOOKUP(E1678,'Inventaire des produits'!$B$4:$K$1001,2,0),"")</f>
        <v/>
      </c>
      <c r="G1678" s="212"/>
      <c r="H1678" s="30" t="str">
        <f>IFERROR(VLOOKUP(E1678,'Inventaire des produits'!$B$4:$K$1001,8,0),"")</f>
        <v/>
      </c>
      <c r="I1678" s="32" t="str">
        <f t="shared" si="50"/>
        <v/>
      </c>
      <c r="K1678" s="127" t="str">
        <f t="shared" si="49"/>
        <v/>
      </c>
    </row>
    <row r="1679" spans="2:11" x14ac:dyDescent="0.3">
      <c r="B1679" s="197"/>
      <c r="C1679" s="198"/>
      <c r="D1679" s="197"/>
      <c r="E1679" s="212"/>
      <c r="F1679" s="29" t="str">
        <f>IFERROR(VLOOKUP(E1679,'Inventaire des produits'!$B$4:$K$1001,2,0),"")</f>
        <v/>
      </c>
      <c r="G1679" s="212"/>
      <c r="H1679" s="30" t="str">
        <f>IFERROR(VLOOKUP(E1679,'Inventaire des produits'!$B$4:$K$1001,8,0),"")</f>
        <v/>
      </c>
      <c r="I1679" s="32" t="str">
        <f t="shared" si="50"/>
        <v/>
      </c>
      <c r="K1679" s="127" t="str">
        <f t="shared" si="49"/>
        <v/>
      </c>
    </row>
    <row r="1680" spans="2:11" x14ac:dyDescent="0.3">
      <c r="B1680" s="197"/>
      <c r="C1680" s="198"/>
      <c r="D1680" s="197"/>
      <c r="E1680" s="212"/>
      <c r="F1680" s="29" t="str">
        <f>IFERROR(VLOOKUP(E1680,'Inventaire des produits'!$B$4:$K$1001,2,0),"")</f>
        <v/>
      </c>
      <c r="G1680" s="212"/>
      <c r="H1680" s="30" t="str">
        <f>IFERROR(VLOOKUP(E1680,'Inventaire des produits'!$B$4:$K$1001,8,0),"")</f>
        <v/>
      </c>
      <c r="I1680" s="32" t="str">
        <f t="shared" si="50"/>
        <v/>
      </c>
      <c r="K1680" s="127" t="str">
        <f t="shared" si="49"/>
        <v/>
      </c>
    </row>
    <row r="1681" spans="2:11" x14ac:dyDescent="0.3">
      <c r="B1681" s="197"/>
      <c r="C1681" s="198"/>
      <c r="D1681" s="197"/>
      <c r="E1681" s="212"/>
      <c r="F1681" s="29" t="str">
        <f>IFERROR(VLOOKUP(E1681,'Inventaire des produits'!$B$4:$K$1001,2,0),"")</f>
        <v/>
      </c>
      <c r="G1681" s="212"/>
      <c r="H1681" s="30" t="str">
        <f>IFERROR(VLOOKUP(E1681,'Inventaire des produits'!$B$4:$K$1001,8,0),"")</f>
        <v/>
      </c>
      <c r="I1681" s="32" t="str">
        <f t="shared" si="50"/>
        <v/>
      </c>
      <c r="K1681" s="127" t="str">
        <f t="shared" si="49"/>
        <v/>
      </c>
    </row>
    <row r="1682" spans="2:11" x14ac:dyDescent="0.3">
      <c r="B1682" s="197"/>
      <c r="C1682" s="198"/>
      <c r="D1682" s="197"/>
      <c r="E1682" s="212"/>
      <c r="F1682" s="29" t="str">
        <f>IFERROR(VLOOKUP(E1682,'Inventaire des produits'!$B$4:$K$1001,2,0),"")</f>
        <v/>
      </c>
      <c r="G1682" s="212"/>
      <c r="H1682" s="30" t="str">
        <f>IFERROR(VLOOKUP(E1682,'Inventaire des produits'!$B$4:$K$1001,8,0),"")</f>
        <v/>
      </c>
      <c r="I1682" s="32" t="str">
        <f t="shared" si="50"/>
        <v/>
      </c>
      <c r="K1682" s="127" t="str">
        <f t="shared" si="49"/>
        <v/>
      </c>
    </row>
    <row r="1683" spans="2:11" x14ac:dyDescent="0.3">
      <c r="B1683" s="197"/>
      <c r="C1683" s="198"/>
      <c r="D1683" s="197"/>
      <c r="E1683" s="212"/>
      <c r="F1683" s="29" t="str">
        <f>IFERROR(VLOOKUP(E1683,'Inventaire des produits'!$B$4:$K$1001,2,0),"")</f>
        <v/>
      </c>
      <c r="G1683" s="212"/>
      <c r="H1683" s="30" t="str">
        <f>IFERROR(VLOOKUP(E1683,'Inventaire des produits'!$B$4:$K$1001,8,0),"")</f>
        <v/>
      </c>
      <c r="I1683" s="32" t="str">
        <f t="shared" si="50"/>
        <v/>
      </c>
      <c r="K1683" s="127" t="str">
        <f t="shared" si="49"/>
        <v/>
      </c>
    </row>
    <row r="1684" spans="2:11" x14ac:dyDescent="0.3">
      <c r="B1684" s="197"/>
      <c r="C1684" s="198"/>
      <c r="D1684" s="197"/>
      <c r="E1684" s="212"/>
      <c r="F1684" s="29" t="str">
        <f>IFERROR(VLOOKUP(E1684,'Inventaire des produits'!$B$4:$K$1001,2,0),"")</f>
        <v/>
      </c>
      <c r="G1684" s="212"/>
      <c r="H1684" s="30" t="str">
        <f>IFERROR(VLOOKUP(E1684,'Inventaire des produits'!$B$4:$K$1001,8,0),"")</f>
        <v/>
      </c>
      <c r="I1684" s="32" t="str">
        <f t="shared" si="50"/>
        <v/>
      </c>
      <c r="K1684" s="127" t="str">
        <f t="shared" si="49"/>
        <v/>
      </c>
    </row>
    <row r="1685" spans="2:11" x14ac:dyDescent="0.3">
      <c r="B1685" s="197"/>
      <c r="C1685" s="198"/>
      <c r="D1685" s="197"/>
      <c r="E1685" s="212"/>
      <c r="F1685" s="29" t="str">
        <f>IFERROR(VLOOKUP(E1685,'Inventaire des produits'!$B$4:$K$1001,2,0),"")</f>
        <v/>
      </c>
      <c r="G1685" s="212"/>
      <c r="H1685" s="30" t="str">
        <f>IFERROR(VLOOKUP(E1685,'Inventaire des produits'!$B$4:$K$1001,8,0),"")</f>
        <v/>
      </c>
      <c r="I1685" s="32" t="str">
        <f t="shared" si="50"/>
        <v/>
      </c>
      <c r="K1685" s="127" t="str">
        <f t="shared" si="49"/>
        <v/>
      </c>
    </row>
    <row r="1686" spans="2:11" x14ac:dyDescent="0.3">
      <c r="B1686" s="197"/>
      <c r="C1686" s="198"/>
      <c r="D1686" s="197"/>
      <c r="E1686" s="212"/>
      <c r="F1686" s="29" t="str">
        <f>IFERROR(VLOOKUP(E1686,'Inventaire des produits'!$B$4:$K$1001,2,0),"")</f>
        <v/>
      </c>
      <c r="G1686" s="212"/>
      <c r="H1686" s="30" t="str">
        <f>IFERROR(VLOOKUP(E1686,'Inventaire des produits'!$B$4:$K$1001,8,0),"")</f>
        <v/>
      </c>
      <c r="I1686" s="32" t="str">
        <f t="shared" si="50"/>
        <v/>
      </c>
      <c r="K1686" s="127" t="str">
        <f t="shared" si="49"/>
        <v/>
      </c>
    </row>
    <row r="1687" spans="2:11" x14ac:dyDescent="0.3">
      <c r="B1687" s="197"/>
      <c r="C1687" s="198"/>
      <c r="D1687" s="197"/>
      <c r="E1687" s="212"/>
      <c r="F1687" s="29" t="str">
        <f>IFERROR(VLOOKUP(E1687,'Inventaire des produits'!$B$4:$K$1001,2,0),"")</f>
        <v/>
      </c>
      <c r="G1687" s="212"/>
      <c r="H1687" s="30" t="str">
        <f>IFERROR(VLOOKUP(E1687,'Inventaire des produits'!$B$4:$K$1001,8,0),"")</f>
        <v/>
      </c>
      <c r="I1687" s="32" t="str">
        <f t="shared" si="50"/>
        <v/>
      </c>
      <c r="K1687" s="127" t="str">
        <f t="shared" si="49"/>
        <v/>
      </c>
    </row>
    <row r="1688" spans="2:11" x14ac:dyDescent="0.3">
      <c r="B1688" s="197"/>
      <c r="C1688" s="198"/>
      <c r="D1688" s="197"/>
      <c r="E1688" s="212"/>
      <c r="F1688" s="29" t="str">
        <f>IFERROR(VLOOKUP(E1688,'Inventaire des produits'!$B$4:$K$1001,2,0),"")</f>
        <v/>
      </c>
      <c r="G1688" s="212"/>
      <c r="H1688" s="30" t="str">
        <f>IFERROR(VLOOKUP(E1688,'Inventaire des produits'!$B$4:$K$1001,8,0),"")</f>
        <v/>
      </c>
      <c r="I1688" s="32" t="str">
        <f t="shared" si="50"/>
        <v/>
      </c>
      <c r="K1688" s="127" t="str">
        <f t="shared" si="49"/>
        <v/>
      </c>
    </row>
    <row r="1689" spans="2:11" x14ac:dyDescent="0.3">
      <c r="B1689" s="197"/>
      <c r="C1689" s="198"/>
      <c r="D1689" s="197"/>
      <c r="E1689" s="212"/>
      <c r="F1689" s="29" t="str">
        <f>IFERROR(VLOOKUP(E1689,'Inventaire des produits'!$B$4:$K$1001,2,0),"")</f>
        <v/>
      </c>
      <c r="G1689" s="212"/>
      <c r="H1689" s="30" t="str">
        <f>IFERROR(VLOOKUP(E1689,'Inventaire des produits'!$B$4:$K$1001,8,0),"")</f>
        <v/>
      </c>
      <c r="I1689" s="32" t="str">
        <f t="shared" si="50"/>
        <v/>
      </c>
      <c r="K1689" s="127" t="str">
        <f t="shared" si="49"/>
        <v/>
      </c>
    </row>
    <row r="1690" spans="2:11" x14ac:dyDescent="0.3">
      <c r="B1690" s="197"/>
      <c r="C1690" s="198"/>
      <c r="D1690" s="197"/>
      <c r="E1690" s="212"/>
      <c r="F1690" s="29" t="str">
        <f>IFERROR(VLOOKUP(E1690,'Inventaire des produits'!$B$4:$K$1001,2,0),"")</f>
        <v/>
      </c>
      <c r="G1690" s="212"/>
      <c r="H1690" s="30" t="str">
        <f>IFERROR(VLOOKUP(E1690,'Inventaire des produits'!$B$4:$K$1001,8,0),"")</f>
        <v/>
      </c>
      <c r="I1690" s="32" t="str">
        <f t="shared" si="50"/>
        <v/>
      </c>
      <c r="K1690" s="127" t="str">
        <f t="shared" si="49"/>
        <v/>
      </c>
    </row>
    <row r="1691" spans="2:11" x14ac:dyDescent="0.3">
      <c r="B1691" s="197"/>
      <c r="C1691" s="198"/>
      <c r="D1691" s="197"/>
      <c r="E1691" s="212"/>
      <c r="F1691" s="29" t="str">
        <f>IFERROR(VLOOKUP(E1691,'Inventaire des produits'!$B$4:$K$1001,2,0),"")</f>
        <v/>
      </c>
      <c r="G1691" s="212"/>
      <c r="H1691" s="30" t="str">
        <f>IFERROR(VLOOKUP(E1691,'Inventaire des produits'!$B$4:$K$1001,8,0),"")</f>
        <v/>
      </c>
      <c r="I1691" s="32" t="str">
        <f t="shared" si="50"/>
        <v/>
      </c>
      <c r="K1691" s="127" t="str">
        <f t="shared" si="49"/>
        <v/>
      </c>
    </row>
    <row r="1692" spans="2:11" x14ac:dyDescent="0.3">
      <c r="B1692" s="197"/>
      <c r="C1692" s="198"/>
      <c r="D1692" s="197"/>
      <c r="E1692" s="212"/>
      <c r="F1692" s="29" t="str">
        <f>IFERROR(VLOOKUP(E1692,'Inventaire des produits'!$B$4:$K$1001,2,0),"")</f>
        <v/>
      </c>
      <c r="G1692" s="212"/>
      <c r="H1692" s="30" t="str">
        <f>IFERROR(VLOOKUP(E1692,'Inventaire des produits'!$B$4:$K$1001,8,0),"")</f>
        <v/>
      </c>
      <c r="I1692" s="32" t="str">
        <f t="shared" si="50"/>
        <v/>
      </c>
      <c r="K1692" s="127" t="str">
        <f t="shared" si="49"/>
        <v/>
      </c>
    </row>
    <row r="1693" spans="2:11" x14ac:dyDescent="0.3">
      <c r="B1693" s="197"/>
      <c r="C1693" s="198"/>
      <c r="D1693" s="197"/>
      <c r="E1693" s="212"/>
      <c r="F1693" s="29" t="str">
        <f>IFERROR(VLOOKUP(E1693,'Inventaire des produits'!$B$4:$K$1001,2,0),"")</f>
        <v/>
      </c>
      <c r="G1693" s="212"/>
      <c r="H1693" s="30" t="str">
        <f>IFERROR(VLOOKUP(E1693,'Inventaire des produits'!$B$4:$K$1001,8,0),"")</f>
        <v/>
      </c>
      <c r="I1693" s="32" t="str">
        <f t="shared" si="50"/>
        <v/>
      </c>
      <c r="K1693" s="127" t="str">
        <f t="shared" si="49"/>
        <v/>
      </c>
    </row>
    <row r="1694" spans="2:11" x14ac:dyDescent="0.3">
      <c r="B1694" s="197"/>
      <c r="C1694" s="198"/>
      <c r="D1694" s="197"/>
      <c r="E1694" s="212"/>
      <c r="F1694" s="29" t="str">
        <f>IFERROR(VLOOKUP(E1694,'Inventaire des produits'!$B$4:$K$1001,2,0),"")</f>
        <v/>
      </c>
      <c r="G1694" s="212"/>
      <c r="H1694" s="30" t="str">
        <f>IFERROR(VLOOKUP(E1694,'Inventaire des produits'!$B$4:$K$1001,8,0),"")</f>
        <v/>
      </c>
      <c r="I1694" s="32" t="str">
        <f t="shared" si="50"/>
        <v/>
      </c>
      <c r="K1694" s="127" t="str">
        <f t="shared" si="49"/>
        <v/>
      </c>
    </row>
    <row r="1695" spans="2:11" x14ac:dyDescent="0.3">
      <c r="B1695" s="197"/>
      <c r="C1695" s="198"/>
      <c r="D1695" s="197"/>
      <c r="E1695" s="212"/>
      <c r="F1695" s="29" t="str">
        <f>IFERROR(VLOOKUP(E1695,'Inventaire des produits'!$B$4:$K$1001,2,0),"")</f>
        <v/>
      </c>
      <c r="G1695" s="212"/>
      <c r="H1695" s="30" t="str">
        <f>IFERROR(VLOOKUP(E1695,'Inventaire des produits'!$B$4:$K$1001,8,0),"")</f>
        <v/>
      </c>
      <c r="I1695" s="32" t="str">
        <f t="shared" si="50"/>
        <v/>
      </c>
      <c r="K1695" s="127" t="str">
        <f t="shared" si="49"/>
        <v/>
      </c>
    </row>
    <row r="1696" spans="2:11" x14ac:dyDescent="0.3">
      <c r="B1696" s="197"/>
      <c r="C1696" s="198"/>
      <c r="D1696" s="197"/>
      <c r="E1696" s="212"/>
      <c r="F1696" s="29" t="str">
        <f>IFERROR(VLOOKUP(E1696,'Inventaire des produits'!$B$4:$K$1001,2,0),"")</f>
        <v/>
      </c>
      <c r="G1696" s="212"/>
      <c r="H1696" s="30" t="str">
        <f>IFERROR(VLOOKUP(E1696,'Inventaire des produits'!$B$4:$K$1001,8,0),"")</f>
        <v/>
      </c>
      <c r="I1696" s="32" t="str">
        <f t="shared" si="50"/>
        <v/>
      </c>
      <c r="K1696" s="127" t="str">
        <f t="shared" si="49"/>
        <v/>
      </c>
    </row>
    <row r="1697" spans="2:11" x14ac:dyDescent="0.3">
      <c r="B1697" s="197"/>
      <c r="C1697" s="198"/>
      <c r="D1697" s="197"/>
      <c r="E1697" s="212"/>
      <c r="F1697" s="29" t="str">
        <f>IFERROR(VLOOKUP(E1697,'Inventaire des produits'!$B$4:$K$1001,2,0),"")</f>
        <v/>
      </c>
      <c r="G1697" s="212"/>
      <c r="H1697" s="30" t="str">
        <f>IFERROR(VLOOKUP(E1697,'Inventaire des produits'!$B$4:$K$1001,8,0),"")</f>
        <v/>
      </c>
      <c r="I1697" s="32" t="str">
        <f t="shared" si="50"/>
        <v/>
      </c>
      <c r="K1697" s="127" t="str">
        <f t="shared" si="49"/>
        <v/>
      </c>
    </row>
    <row r="1698" spans="2:11" x14ac:dyDescent="0.3">
      <c r="B1698" s="197"/>
      <c r="C1698" s="198"/>
      <c r="D1698" s="197"/>
      <c r="E1698" s="212"/>
      <c r="F1698" s="29" t="str">
        <f>IFERROR(VLOOKUP(E1698,'Inventaire des produits'!$B$4:$K$1001,2,0),"")</f>
        <v/>
      </c>
      <c r="G1698" s="212"/>
      <c r="H1698" s="30" t="str">
        <f>IFERROR(VLOOKUP(E1698,'Inventaire des produits'!$B$4:$K$1001,8,0),"")</f>
        <v/>
      </c>
      <c r="I1698" s="32" t="str">
        <f t="shared" si="50"/>
        <v/>
      </c>
      <c r="K1698" s="127" t="str">
        <f t="shared" si="49"/>
        <v/>
      </c>
    </row>
    <row r="1699" spans="2:11" x14ac:dyDescent="0.3">
      <c r="B1699" s="197"/>
      <c r="C1699" s="198"/>
      <c r="D1699" s="197"/>
      <c r="E1699" s="212"/>
      <c r="F1699" s="29" t="str">
        <f>IFERROR(VLOOKUP(E1699,'Inventaire des produits'!$B$4:$K$1001,2,0),"")</f>
        <v/>
      </c>
      <c r="G1699" s="212"/>
      <c r="H1699" s="30" t="str">
        <f>IFERROR(VLOOKUP(E1699,'Inventaire des produits'!$B$4:$K$1001,8,0),"")</f>
        <v/>
      </c>
      <c r="I1699" s="32" t="str">
        <f t="shared" si="50"/>
        <v/>
      </c>
      <c r="K1699" s="127" t="str">
        <f t="shared" si="49"/>
        <v/>
      </c>
    </row>
    <row r="1700" spans="2:11" x14ac:dyDescent="0.3">
      <c r="B1700" s="197"/>
      <c r="C1700" s="198"/>
      <c r="D1700" s="197"/>
      <c r="E1700" s="212"/>
      <c r="F1700" s="29" t="str">
        <f>IFERROR(VLOOKUP(E1700,'Inventaire des produits'!$B$4:$K$1001,2,0),"")</f>
        <v/>
      </c>
      <c r="G1700" s="212"/>
      <c r="H1700" s="30" t="str">
        <f>IFERROR(VLOOKUP(E1700,'Inventaire des produits'!$B$4:$K$1001,8,0),"")</f>
        <v/>
      </c>
      <c r="I1700" s="32" t="str">
        <f t="shared" si="50"/>
        <v/>
      </c>
      <c r="K1700" s="127" t="str">
        <f t="shared" si="49"/>
        <v/>
      </c>
    </row>
    <row r="1701" spans="2:11" x14ac:dyDescent="0.3">
      <c r="B1701" s="197"/>
      <c r="C1701" s="198"/>
      <c r="D1701" s="197"/>
      <c r="E1701" s="212"/>
      <c r="F1701" s="29" t="str">
        <f>IFERROR(VLOOKUP(E1701,'Inventaire des produits'!$B$4:$K$1001,2,0),"")</f>
        <v/>
      </c>
      <c r="G1701" s="212"/>
      <c r="H1701" s="30" t="str">
        <f>IFERROR(VLOOKUP(E1701,'Inventaire des produits'!$B$4:$K$1001,8,0),"")</f>
        <v/>
      </c>
      <c r="I1701" s="32" t="str">
        <f t="shared" si="50"/>
        <v/>
      </c>
      <c r="K1701" s="127" t="str">
        <f t="shared" si="49"/>
        <v/>
      </c>
    </row>
    <row r="1702" spans="2:11" x14ac:dyDescent="0.3">
      <c r="B1702" s="197"/>
      <c r="C1702" s="198"/>
      <c r="D1702" s="197"/>
      <c r="E1702" s="212"/>
      <c r="F1702" s="29" t="str">
        <f>IFERROR(VLOOKUP(E1702,'Inventaire des produits'!$B$4:$K$1001,2,0),"")</f>
        <v/>
      </c>
      <c r="G1702" s="212"/>
      <c r="H1702" s="30" t="str">
        <f>IFERROR(VLOOKUP(E1702,'Inventaire des produits'!$B$4:$K$1001,8,0),"")</f>
        <v/>
      </c>
      <c r="I1702" s="32" t="str">
        <f t="shared" si="50"/>
        <v/>
      </c>
      <c r="K1702" s="127" t="str">
        <f t="shared" si="49"/>
        <v/>
      </c>
    </row>
    <row r="1703" spans="2:11" x14ac:dyDescent="0.3">
      <c r="B1703" s="197"/>
      <c r="C1703" s="198"/>
      <c r="D1703" s="197"/>
      <c r="E1703" s="212"/>
      <c r="F1703" s="29" t="str">
        <f>IFERROR(VLOOKUP(E1703,'Inventaire des produits'!$B$4:$K$1001,2,0),"")</f>
        <v/>
      </c>
      <c r="G1703" s="212"/>
      <c r="H1703" s="30" t="str">
        <f>IFERROR(VLOOKUP(E1703,'Inventaire des produits'!$B$4:$K$1001,8,0),"")</f>
        <v/>
      </c>
      <c r="I1703" s="32" t="str">
        <f t="shared" si="50"/>
        <v/>
      </c>
      <c r="K1703" s="127" t="str">
        <f t="shared" si="49"/>
        <v/>
      </c>
    </row>
    <row r="1704" spans="2:11" x14ac:dyDescent="0.3">
      <c r="B1704" s="197"/>
      <c r="C1704" s="198"/>
      <c r="D1704" s="197"/>
      <c r="E1704" s="212"/>
      <c r="F1704" s="29" t="str">
        <f>IFERROR(VLOOKUP(E1704,'Inventaire des produits'!$B$4:$K$1001,2,0),"")</f>
        <v/>
      </c>
      <c r="G1704" s="212"/>
      <c r="H1704" s="30" t="str">
        <f>IFERROR(VLOOKUP(E1704,'Inventaire des produits'!$B$4:$K$1001,8,0),"")</f>
        <v/>
      </c>
      <c r="I1704" s="32" t="str">
        <f t="shared" si="50"/>
        <v/>
      </c>
      <c r="K1704" s="127" t="str">
        <f t="shared" si="49"/>
        <v/>
      </c>
    </row>
    <row r="1705" spans="2:11" x14ac:dyDescent="0.3">
      <c r="B1705" s="197"/>
      <c r="C1705" s="198"/>
      <c r="D1705" s="197"/>
      <c r="E1705" s="212"/>
      <c r="F1705" s="29" t="str">
        <f>IFERROR(VLOOKUP(E1705,'Inventaire des produits'!$B$4:$K$1001,2,0),"")</f>
        <v/>
      </c>
      <c r="G1705" s="212"/>
      <c r="H1705" s="30" t="str">
        <f>IFERROR(VLOOKUP(E1705,'Inventaire des produits'!$B$4:$K$1001,8,0),"")</f>
        <v/>
      </c>
      <c r="I1705" s="32" t="str">
        <f t="shared" si="50"/>
        <v/>
      </c>
      <c r="K1705" s="127" t="str">
        <f t="shared" si="49"/>
        <v/>
      </c>
    </row>
    <row r="1706" spans="2:11" x14ac:dyDescent="0.3">
      <c r="B1706" s="197"/>
      <c r="C1706" s="198"/>
      <c r="D1706" s="197"/>
      <c r="E1706" s="212"/>
      <c r="F1706" s="29" t="str">
        <f>IFERROR(VLOOKUP(E1706,'Inventaire des produits'!$B$4:$K$1001,2,0),"")</f>
        <v/>
      </c>
      <c r="G1706" s="212"/>
      <c r="H1706" s="30" t="str">
        <f>IFERROR(VLOOKUP(E1706,'Inventaire des produits'!$B$4:$K$1001,8,0),"")</f>
        <v/>
      </c>
      <c r="I1706" s="32" t="str">
        <f t="shared" si="50"/>
        <v/>
      </c>
      <c r="K1706" s="127" t="str">
        <f t="shared" si="49"/>
        <v/>
      </c>
    </row>
    <row r="1707" spans="2:11" x14ac:dyDescent="0.3">
      <c r="B1707" s="197"/>
      <c r="C1707" s="198"/>
      <c r="D1707" s="197"/>
      <c r="E1707" s="212"/>
      <c r="F1707" s="29" t="str">
        <f>IFERROR(VLOOKUP(E1707,'Inventaire des produits'!$B$4:$K$1001,2,0),"")</f>
        <v/>
      </c>
      <c r="G1707" s="212"/>
      <c r="H1707" s="30" t="str">
        <f>IFERROR(VLOOKUP(E1707,'Inventaire des produits'!$B$4:$K$1001,8,0),"")</f>
        <v/>
      </c>
      <c r="I1707" s="32" t="str">
        <f t="shared" si="50"/>
        <v/>
      </c>
      <c r="K1707" s="127" t="str">
        <f t="shared" si="49"/>
        <v/>
      </c>
    </row>
    <row r="1708" spans="2:11" x14ac:dyDescent="0.3">
      <c r="B1708" s="197"/>
      <c r="C1708" s="198"/>
      <c r="D1708" s="197"/>
      <c r="E1708" s="212"/>
      <c r="F1708" s="29" t="str">
        <f>IFERROR(VLOOKUP(E1708,'Inventaire des produits'!$B$4:$K$1001,2,0),"")</f>
        <v/>
      </c>
      <c r="G1708" s="212"/>
      <c r="H1708" s="30" t="str">
        <f>IFERROR(VLOOKUP(E1708,'Inventaire des produits'!$B$4:$K$1001,8,0),"")</f>
        <v/>
      </c>
      <c r="I1708" s="32" t="str">
        <f t="shared" si="50"/>
        <v/>
      </c>
      <c r="K1708" s="127" t="str">
        <f t="shared" si="49"/>
        <v/>
      </c>
    </row>
    <row r="1709" spans="2:11" x14ac:dyDescent="0.3">
      <c r="B1709" s="197"/>
      <c r="C1709" s="198"/>
      <c r="D1709" s="197"/>
      <c r="E1709" s="212"/>
      <c r="F1709" s="29" t="str">
        <f>IFERROR(VLOOKUP(E1709,'Inventaire des produits'!$B$4:$K$1001,2,0),"")</f>
        <v/>
      </c>
      <c r="G1709" s="212"/>
      <c r="H1709" s="30" t="str">
        <f>IFERROR(VLOOKUP(E1709,'Inventaire des produits'!$B$4:$K$1001,8,0),"")</f>
        <v/>
      </c>
      <c r="I1709" s="32" t="str">
        <f t="shared" si="50"/>
        <v/>
      </c>
      <c r="K1709" s="127" t="str">
        <f t="shared" si="49"/>
        <v/>
      </c>
    </row>
    <row r="1710" spans="2:11" x14ac:dyDescent="0.3">
      <c r="B1710" s="197"/>
      <c r="C1710" s="198"/>
      <c r="D1710" s="197"/>
      <c r="E1710" s="212"/>
      <c r="F1710" s="29" t="str">
        <f>IFERROR(VLOOKUP(E1710,'Inventaire des produits'!$B$4:$K$1001,2,0),"")</f>
        <v/>
      </c>
      <c r="G1710" s="212"/>
      <c r="H1710" s="30" t="str">
        <f>IFERROR(VLOOKUP(E1710,'Inventaire des produits'!$B$4:$K$1001,8,0),"")</f>
        <v/>
      </c>
      <c r="I1710" s="32" t="str">
        <f t="shared" si="50"/>
        <v/>
      </c>
      <c r="K1710" s="127" t="str">
        <f t="shared" si="49"/>
        <v/>
      </c>
    </row>
    <row r="1711" spans="2:11" x14ac:dyDescent="0.3">
      <c r="B1711" s="197"/>
      <c r="C1711" s="198"/>
      <c r="D1711" s="197"/>
      <c r="E1711" s="212"/>
      <c r="F1711" s="29" t="str">
        <f>IFERROR(VLOOKUP(E1711,'Inventaire des produits'!$B$4:$K$1001,2,0),"")</f>
        <v/>
      </c>
      <c r="G1711" s="212"/>
      <c r="H1711" s="30" t="str">
        <f>IFERROR(VLOOKUP(E1711,'Inventaire des produits'!$B$4:$K$1001,8,0),"")</f>
        <v/>
      </c>
      <c r="I1711" s="32" t="str">
        <f t="shared" si="50"/>
        <v/>
      </c>
      <c r="K1711" s="127" t="str">
        <f t="shared" si="49"/>
        <v/>
      </c>
    </row>
    <row r="1712" spans="2:11" x14ac:dyDescent="0.3">
      <c r="B1712" s="197"/>
      <c r="C1712" s="198"/>
      <c r="D1712" s="197"/>
      <c r="E1712" s="212"/>
      <c r="F1712" s="29" t="str">
        <f>IFERROR(VLOOKUP(E1712,'Inventaire des produits'!$B$4:$K$1001,2,0),"")</f>
        <v/>
      </c>
      <c r="G1712" s="212"/>
      <c r="H1712" s="30" t="str">
        <f>IFERROR(VLOOKUP(E1712,'Inventaire des produits'!$B$4:$K$1001,8,0),"")</f>
        <v/>
      </c>
      <c r="I1712" s="32" t="str">
        <f t="shared" si="50"/>
        <v/>
      </c>
      <c r="K1712" s="127" t="str">
        <f t="shared" si="49"/>
        <v/>
      </c>
    </row>
    <row r="1713" spans="2:11" x14ac:dyDescent="0.3">
      <c r="B1713" s="197"/>
      <c r="C1713" s="198"/>
      <c r="D1713" s="197"/>
      <c r="E1713" s="212"/>
      <c r="F1713" s="29" t="str">
        <f>IFERROR(VLOOKUP(E1713,'Inventaire des produits'!$B$4:$K$1001,2,0),"")</f>
        <v/>
      </c>
      <c r="G1713" s="212"/>
      <c r="H1713" s="30" t="str">
        <f>IFERROR(VLOOKUP(E1713,'Inventaire des produits'!$B$4:$K$1001,8,0),"")</f>
        <v/>
      </c>
      <c r="I1713" s="32" t="str">
        <f t="shared" si="50"/>
        <v/>
      </c>
      <c r="K1713" s="127" t="str">
        <f t="shared" si="49"/>
        <v/>
      </c>
    </row>
    <row r="1714" spans="2:11" x14ac:dyDescent="0.3">
      <c r="B1714" s="197"/>
      <c r="C1714" s="198"/>
      <c r="D1714" s="197"/>
      <c r="E1714" s="212"/>
      <c r="F1714" s="29" t="str">
        <f>IFERROR(VLOOKUP(E1714,'Inventaire des produits'!$B$4:$K$1001,2,0),"")</f>
        <v/>
      </c>
      <c r="G1714" s="212"/>
      <c r="H1714" s="30" t="str">
        <f>IFERROR(VLOOKUP(E1714,'Inventaire des produits'!$B$4:$K$1001,8,0),"")</f>
        <v/>
      </c>
      <c r="I1714" s="32" t="str">
        <f t="shared" si="50"/>
        <v/>
      </c>
      <c r="K1714" s="127" t="str">
        <f t="shared" si="49"/>
        <v/>
      </c>
    </row>
    <row r="1715" spans="2:11" x14ac:dyDescent="0.3">
      <c r="B1715" s="197"/>
      <c r="C1715" s="198"/>
      <c r="D1715" s="197"/>
      <c r="E1715" s="212"/>
      <c r="F1715" s="29" t="str">
        <f>IFERROR(VLOOKUP(E1715,'Inventaire des produits'!$B$4:$K$1001,2,0),"")</f>
        <v/>
      </c>
      <c r="G1715" s="212"/>
      <c r="H1715" s="30" t="str">
        <f>IFERROR(VLOOKUP(E1715,'Inventaire des produits'!$B$4:$K$1001,8,0),"")</f>
        <v/>
      </c>
      <c r="I1715" s="32" t="str">
        <f t="shared" si="50"/>
        <v/>
      </c>
      <c r="K1715" s="127" t="str">
        <f t="shared" si="49"/>
        <v/>
      </c>
    </row>
    <row r="1716" spans="2:11" x14ac:dyDescent="0.3">
      <c r="B1716" s="197"/>
      <c r="C1716" s="198"/>
      <c r="D1716" s="197"/>
      <c r="E1716" s="212"/>
      <c r="F1716" s="29" t="str">
        <f>IFERROR(VLOOKUP(E1716,'Inventaire des produits'!$B$4:$K$1001,2,0),"")</f>
        <v/>
      </c>
      <c r="G1716" s="212"/>
      <c r="H1716" s="30" t="str">
        <f>IFERROR(VLOOKUP(E1716,'Inventaire des produits'!$B$4:$K$1001,8,0),"")</f>
        <v/>
      </c>
      <c r="I1716" s="32" t="str">
        <f t="shared" si="50"/>
        <v/>
      </c>
      <c r="K1716" s="127" t="str">
        <f t="shared" si="49"/>
        <v/>
      </c>
    </row>
    <row r="1717" spans="2:11" x14ac:dyDescent="0.3">
      <c r="B1717" s="197"/>
      <c r="C1717" s="198"/>
      <c r="D1717" s="197"/>
      <c r="E1717" s="212"/>
      <c r="F1717" s="29" t="str">
        <f>IFERROR(VLOOKUP(E1717,'Inventaire des produits'!$B$4:$K$1001,2,0),"")</f>
        <v/>
      </c>
      <c r="G1717" s="212"/>
      <c r="H1717" s="30" t="str">
        <f>IFERROR(VLOOKUP(E1717,'Inventaire des produits'!$B$4:$K$1001,8,0),"")</f>
        <v/>
      </c>
      <c r="I1717" s="32" t="str">
        <f t="shared" si="50"/>
        <v/>
      </c>
      <c r="K1717" s="127" t="str">
        <f t="shared" si="49"/>
        <v/>
      </c>
    </row>
    <row r="1718" spans="2:11" x14ac:dyDescent="0.3">
      <c r="B1718" s="197"/>
      <c r="C1718" s="198"/>
      <c r="D1718" s="197"/>
      <c r="E1718" s="212"/>
      <c r="F1718" s="29" t="str">
        <f>IFERROR(VLOOKUP(E1718,'Inventaire des produits'!$B$4:$K$1001,2,0),"")</f>
        <v/>
      </c>
      <c r="G1718" s="212"/>
      <c r="H1718" s="30" t="str">
        <f>IFERROR(VLOOKUP(E1718,'Inventaire des produits'!$B$4:$K$1001,8,0),"")</f>
        <v/>
      </c>
      <c r="I1718" s="32" t="str">
        <f t="shared" si="50"/>
        <v/>
      </c>
      <c r="K1718" s="127" t="str">
        <f t="shared" si="49"/>
        <v/>
      </c>
    </row>
    <row r="1719" spans="2:11" x14ac:dyDescent="0.3">
      <c r="B1719" s="197"/>
      <c r="C1719" s="198"/>
      <c r="D1719" s="197"/>
      <c r="E1719" s="212"/>
      <c r="F1719" s="29" t="str">
        <f>IFERROR(VLOOKUP(E1719,'Inventaire des produits'!$B$4:$K$1001,2,0),"")</f>
        <v/>
      </c>
      <c r="G1719" s="212"/>
      <c r="H1719" s="30" t="str">
        <f>IFERROR(VLOOKUP(E1719,'Inventaire des produits'!$B$4:$K$1001,8,0),"")</f>
        <v/>
      </c>
      <c r="I1719" s="32" t="str">
        <f t="shared" si="50"/>
        <v/>
      </c>
      <c r="K1719" s="127" t="str">
        <f t="shared" si="49"/>
        <v/>
      </c>
    </row>
    <row r="1720" spans="2:11" x14ac:dyDescent="0.3">
      <c r="B1720" s="197"/>
      <c r="C1720" s="198"/>
      <c r="D1720" s="197"/>
      <c r="E1720" s="212"/>
      <c r="F1720" s="29" t="str">
        <f>IFERROR(VLOOKUP(E1720,'Inventaire des produits'!$B$4:$K$1001,2,0),"")</f>
        <v/>
      </c>
      <c r="G1720" s="212"/>
      <c r="H1720" s="30" t="str">
        <f>IFERROR(VLOOKUP(E1720,'Inventaire des produits'!$B$4:$K$1001,8,0),"")</f>
        <v/>
      </c>
      <c r="I1720" s="32" t="str">
        <f t="shared" si="50"/>
        <v/>
      </c>
      <c r="K1720" s="127" t="str">
        <f t="shared" si="49"/>
        <v/>
      </c>
    </row>
    <row r="1721" spans="2:11" x14ac:dyDescent="0.3">
      <c r="B1721" s="197"/>
      <c r="C1721" s="198"/>
      <c r="D1721" s="197"/>
      <c r="E1721" s="212"/>
      <c r="F1721" s="29" t="str">
        <f>IFERROR(VLOOKUP(E1721,'Inventaire des produits'!$B$4:$K$1001,2,0),"")</f>
        <v/>
      </c>
      <c r="G1721" s="212"/>
      <c r="H1721" s="30" t="str">
        <f>IFERROR(VLOOKUP(E1721,'Inventaire des produits'!$B$4:$K$1001,8,0),"")</f>
        <v/>
      </c>
      <c r="I1721" s="32" t="str">
        <f t="shared" si="50"/>
        <v/>
      </c>
      <c r="K1721" s="127" t="str">
        <f t="shared" si="49"/>
        <v/>
      </c>
    </row>
    <row r="1722" spans="2:11" x14ac:dyDescent="0.3">
      <c r="B1722" s="197"/>
      <c r="C1722" s="198"/>
      <c r="D1722" s="197"/>
      <c r="E1722" s="212"/>
      <c r="F1722" s="29" t="str">
        <f>IFERROR(VLOOKUP(E1722,'Inventaire des produits'!$B$4:$K$1001,2,0),"")</f>
        <v/>
      </c>
      <c r="G1722" s="212"/>
      <c r="H1722" s="30" t="str">
        <f>IFERROR(VLOOKUP(E1722,'Inventaire des produits'!$B$4:$K$1001,8,0),"")</f>
        <v/>
      </c>
      <c r="I1722" s="32" t="str">
        <f t="shared" si="50"/>
        <v/>
      </c>
      <c r="K1722" s="127" t="str">
        <f t="shared" si="49"/>
        <v/>
      </c>
    </row>
    <row r="1723" spans="2:11" x14ac:dyDescent="0.3">
      <c r="B1723" s="197"/>
      <c r="C1723" s="198"/>
      <c r="D1723" s="197"/>
      <c r="E1723" s="212"/>
      <c r="F1723" s="29" t="str">
        <f>IFERROR(VLOOKUP(E1723,'Inventaire des produits'!$B$4:$K$1001,2,0),"")</f>
        <v/>
      </c>
      <c r="G1723" s="212"/>
      <c r="H1723" s="30" t="str">
        <f>IFERROR(VLOOKUP(E1723,'Inventaire des produits'!$B$4:$K$1001,8,0),"")</f>
        <v/>
      </c>
      <c r="I1723" s="32" t="str">
        <f t="shared" si="50"/>
        <v/>
      </c>
      <c r="K1723" s="127" t="str">
        <f t="shared" si="49"/>
        <v/>
      </c>
    </row>
    <row r="1724" spans="2:11" x14ac:dyDescent="0.3">
      <c r="B1724" s="197"/>
      <c r="C1724" s="198"/>
      <c r="D1724" s="197"/>
      <c r="E1724" s="212"/>
      <c r="F1724" s="29" t="str">
        <f>IFERROR(VLOOKUP(E1724,'Inventaire des produits'!$B$4:$K$1001,2,0),"")</f>
        <v/>
      </c>
      <c r="G1724" s="212"/>
      <c r="H1724" s="30" t="str">
        <f>IFERROR(VLOOKUP(E1724,'Inventaire des produits'!$B$4:$K$1001,8,0),"")</f>
        <v/>
      </c>
      <c r="I1724" s="32" t="str">
        <f t="shared" si="50"/>
        <v/>
      </c>
      <c r="K1724" s="127" t="str">
        <f t="shared" ref="K1724:K1787" si="51">IF(J1724="","",J1724*1.2)</f>
        <v/>
      </c>
    </row>
    <row r="1725" spans="2:11" x14ac:dyDescent="0.3">
      <c r="B1725" s="197"/>
      <c r="C1725" s="198"/>
      <c r="D1725" s="197"/>
      <c r="E1725" s="212"/>
      <c r="F1725" s="29" t="str">
        <f>IFERROR(VLOOKUP(E1725,'Inventaire des produits'!$B$4:$K$1001,2,0),"")</f>
        <v/>
      </c>
      <c r="G1725" s="212"/>
      <c r="H1725" s="30" t="str">
        <f>IFERROR(VLOOKUP(E1725,'Inventaire des produits'!$B$4:$K$1001,8,0),"")</f>
        <v/>
      </c>
      <c r="I1725" s="32" t="str">
        <f t="shared" si="50"/>
        <v/>
      </c>
      <c r="K1725" s="127" t="str">
        <f t="shared" si="51"/>
        <v/>
      </c>
    </row>
    <row r="1726" spans="2:11" x14ac:dyDescent="0.3">
      <c r="B1726" s="197"/>
      <c r="C1726" s="198"/>
      <c r="D1726" s="197"/>
      <c r="E1726" s="212"/>
      <c r="F1726" s="29" t="str">
        <f>IFERROR(VLOOKUP(E1726,'Inventaire des produits'!$B$4:$K$1001,2,0),"")</f>
        <v/>
      </c>
      <c r="G1726" s="212"/>
      <c r="H1726" s="30" t="str">
        <f>IFERROR(VLOOKUP(E1726,'Inventaire des produits'!$B$4:$K$1001,8,0),"")</f>
        <v/>
      </c>
      <c r="I1726" s="32" t="str">
        <f t="shared" si="50"/>
        <v/>
      </c>
      <c r="K1726" s="127" t="str">
        <f t="shared" si="51"/>
        <v/>
      </c>
    </row>
    <row r="1727" spans="2:11" x14ac:dyDescent="0.3">
      <c r="B1727" s="197"/>
      <c r="C1727" s="198"/>
      <c r="D1727" s="197"/>
      <c r="E1727" s="212"/>
      <c r="F1727" s="29" t="str">
        <f>IFERROR(VLOOKUP(E1727,'Inventaire des produits'!$B$4:$K$1001,2,0),"")</f>
        <v/>
      </c>
      <c r="G1727" s="212"/>
      <c r="H1727" s="30" t="str">
        <f>IFERROR(VLOOKUP(E1727,'Inventaire des produits'!$B$4:$K$1001,8,0),"")</f>
        <v/>
      </c>
      <c r="I1727" s="32" t="str">
        <f t="shared" si="50"/>
        <v/>
      </c>
      <c r="K1727" s="127" t="str">
        <f t="shared" si="51"/>
        <v/>
      </c>
    </row>
    <row r="1728" spans="2:11" x14ac:dyDescent="0.3">
      <c r="B1728" s="197"/>
      <c r="C1728" s="198"/>
      <c r="D1728" s="197"/>
      <c r="E1728" s="212"/>
      <c r="F1728" s="29" t="str">
        <f>IFERROR(VLOOKUP(E1728,'Inventaire des produits'!$B$4:$K$1001,2,0),"")</f>
        <v/>
      </c>
      <c r="G1728" s="212"/>
      <c r="H1728" s="30" t="str">
        <f>IFERROR(VLOOKUP(E1728,'Inventaire des produits'!$B$4:$K$1001,8,0),"")</f>
        <v/>
      </c>
      <c r="I1728" s="32" t="str">
        <f t="shared" si="50"/>
        <v/>
      </c>
      <c r="K1728" s="127" t="str">
        <f t="shared" si="51"/>
        <v/>
      </c>
    </row>
    <row r="1729" spans="2:11" x14ac:dyDescent="0.3">
      <c r="B1729" s="197"/>
      <c r="C1729" s="198"/>
      <c r="D1729" s="197"/>
      <c r="E1729" s="212"/>
      <c r="F1729" s="29" t="str">
        <f>IFERROR(VLOOKUP(E1729,'Inventaire des produits'!$B$4:$K$1001,2,0),"")</f>
        <v/>
      </c>
      <c r="G1729" s="212"/>
      <c r="H1729" s="30" t="str">
        <f>IFERROR(VLOOKUP(E1729,'Inventaire des produits'!$B$4:$K$1001,8,0),"")</f>
        <v/>
      </c>
      <c r="I1729" s="32" t="str">
        <f t="shared" si="50"/>
        <v/>
      </c>
      <c r="K1729" s="127" t="str">
        <f t="shared" si="51"/>
        <v/>
      </c>
    </row>
    <row r="1730" spans="2:11" x14ac:dyDescent="0.3">
      <c r="B1730" s="197"/>
      <c r="C1730" s="198"/>
      <c r="D1730" s="197"/>
      <c r="E1730" s="212"/>
      <c r="F1730" s="29" t="str">
        <f>IFERROR(VLOOKUP(E1730,'Inventaire des produits'!$B$4:$K$1001,2,0),"")</f>
        <v/>
      </c>
      <c r="G1730" s="212"/>
      <c r="H1730" s="30" t="str">
        <f>IFERROR(VLOOKUP(E1730,'Inventaire des produits'!$B$4:$K$1001,8,0),"")</f>
        <v/>
      </c>
      <c r="I1730" s="32" t="str">
        <f t="shared" ref="I1730:I1793" si="52">IF(OR(G1730="",H1730=""),"",G1730*H1730)</f>
        <v/>
      </c>
      <c r="K1730" s="127" t="str">
        <f t="shared" si="51"/>
        <v/>
      </c>
    </row>
    <row r="1731" spans="2:11" x14ac:dyDescent="0.3">
      <c r="B1731" s="197"/>
      <c r="C1731" s="198"/>
      <c r="D1731" s="197"/>
      <c r="E1731" s="212"/>
      <c r="F1731" s="29" t="str">
        <f>IFERROR(VLOOKUP(E1731,'Inventaire des produits'!$B$4:$K$1001,2,0),"")</f>
        <v/>
      </c>
      <c r="G1731" s="212"/>
      <c r="H1731" s="30" t="str">
        <f>IFERROR(VLOOKUP(E1731,'Inventaire des produits'!$B$4:$K$1001,8,0),"")</f>
        <v/>
      </c>
      <c r="I1731" s="32" t="str">
        <f t="shared" si="52"/>
        <v/>
      </c>
      <c r="K1731" s="127" t="str">
        <f t="shared" si="51"/>
        <v/>
      </c>
    </row>
    <row r="1732" spans="2:11" x14ac:dyDescent="0.3">
      <c r="B1732" s="197"/>
      <c r="C1732" s="198"/>
      <c r="D1732" s="197"/>
      <c r="E1732" s="212"/>
      <c r="F1732" s="29" t="str">
        <f>IFERROR(VLOOKUP(E1732,'Inventaire des produits'!$B$4:$K$1001,2,0),"")</f>
        <v/>
      </c>
      <c r="G1732" s="212"/>
      <c r="H1732" s="30" t="str">
        <f>IFERROR(VLOOKUP(E1732,'Inventaire des produits'!$B$4:$K$1001,8,0),"")</f>
        <v/>
      </c>
      <c r="I1732" s="32" t="str">
        <f t="shared" si="52"/>
        <v/>
      </c>
      <c r="K1732" s="127" t="str">
        <f t="shared" si="51"/>
        <v/>
      </c>
    </row>
    <row r="1733" spans="2:11" x14ac:dyDescent="0.3">
      <c r="B1733" s="197"/>
      <c r="C1733" s="198"/>
      <c r="D1733" s="197"/>
      <c r="E1733" s="212"/>
      <c r="F1733" s="29" t="str">
        <f>IFERROR(VLOOKUP(E1733,'Inventaire des produits'!$B$4:$K$1001,2,0),"")</f>
        <v/>
      </c>
      <c r="G1733" s="212"/>
      <c r="H1733" s="30" t="str">
        <f>IFERROR(VLOOKUP(E1733,'Inventaire des produits'!$B$4:$K$1001,8,0),"")</f>
        <v/>
      </c>
      <c r="I1733" s="32" t="str">
        <f t="shared" si="52"/>
        <v/>
      </c>
      <c r="K1733" s="127" t="str">
        <f t="shared" si="51"/>
        <v/>
      </c>
    </row>
    <row r="1734" spans="2:11" x14ac:dyDescent="0.3">
      <c r="B1734" s="197"/>
      <c r="C1734" s="198"/>
      <c r="D1734" s="197"/>
      <c r="E1734" s="212"/>
      <c r="F1734" s="29" t="str">
        <f>IFERROR(VLOOKUP(E1734,'Inventaire des produits'!$B$4:$K$1001,2,0),"")</f>
        <v/>
      </c>
      <c r="G1734" s="212"/>
      <c r="H1734" s="30" t="str">
        <f>IFERROR(VLOOKUP(E1734,'Inventaire des produits'!$B$4:$K$1001,8,0),"")</f>
        <v/>
      </c>
      <c r="I1734" s="32" t="str">
        <f t="shared" si="52"/>
        <v/>
      </c>
      <c r="K1734" s="127" t="str">
        <f t="shared" si="51"/>
        <v/>
      </c>
    </row>
    <row r="1735" spans="2:11" x14ac:dyDescent="0.3">
      <c r="B1735" s="197"/>
      <c r="C1735" s="198"/>
      <c r="D1735" s="197"/>
      <c r="E1735" s="212"/>
      <c r="F1735" s="29" t="str">
        <f>IFERROR(VLOOKUP(E1735,'Inventaire des produits'!$B$4:$K$1001,2,0),"")</f>
        <v/>
      </c>
      <c r="G1735" s="212"/>
      <c r="H1735" s="30" t="str">
        <f>IFERROR(VLOOKUP(E1735,'Inventaire des produits'!$B$4:$K$1001,8,0),"")</f>
        <v/>
      </c>
      <c r="I1735" s="32" t="str">
        <f t="shared" si="52"/>
        <v/>
      </c>
      <c r="K1735" s="127" t="str">
        <f t="shared" si="51"/>
        <v/>
      </c>
    </row>
    <row r="1736" spans="2:11" x14ac:dyDescent="0.3">
      <c r="B1736" s="197"/>
      <c r="C1736" s="198"/>
      <c r="D1736" s="197"/>
      <c r="E1736" s="212"/>
      <c r="F1736" s="29" t="str">
        <f>IFERROR(VLOOKUP(E1736,'Inventaire des produits'!$B$4:$K$1001,2,0),"")</f>
        <v/>
      </c>
      <c r="G1736" s="212"/>
      <c r="H1736" s="30" t="str">
        <f>IFERROR(VLOOKUP(E1736,'Inventaire des produits'!$B$4:$K$1001,8,0),"")</f>
        <v/>
      </c>
      <c r="I1736" s="32" t="str">
        <f t="shared" si="52"/>
        <v/>
      </c>
      <c r="K1736" s="127" t="str">
        <f t="shared" si="51"/>
        <v/>
      </c>
    </row>
    <row r="1737" spans="2:11" x14ac:dyDescent="0.3">
      <c r="B1737" s="197"/>
      <c r="C1737" s="198"/>
      <c r="D1737" s="197"/>
      <c r="E1737" s="212"/>
      <c r="F1737" s="29" t="str">
        <f>IFERROR(VLOOKUP(E1737,'Inventaire des produits'!$B$4:$K$1001,2,0),"")</f>
        <v/>
      </c>
      <c r="G1737" s="212"/>
      <c r="H1737" s="30" t="str">
        <f>IFERROR(VLOOKUP(E1737,'Inventaire des produits'!$B$4:$K$1001,8,0),"")</f>
        <v/>
      </c>
      <c r="I1737" s="32" t="str">
        <f t="shared" si="52"/>
        <v/>
      </c>
      <c r="K1737" s="127" t="str">
        <f t="shared" si="51"/>
        <v/>
      </c>
    </row>
    <row r="1738" spans="2:11" x14ac:dyDescent="0.3">
      <c r="B1738" s="197"/>
      <c r="C1738" s="198"/>
      <c r="D1738" s="197"/>
      <c r="E1738" s="212"/>
      <c r="F1738" s="29" t="str">
        <f>IFERROR(VLOOKUP(E1738,'Inventaire des produits'!$B$4:$K$1001,2,0),"")</f>
        <v/>
      </c>
      <c r="G1738" s="212"/>
      <c r="H1738" s="30" t="str">
        <f>IFERROR(VLOOKUP(E1738,'Inventaire des produits'!$B$4:$K$1001,8,0),"")</f>
        <v/>
      </c>
      <c r="I1738" s="32" t="str">
        <f t="shared" si="52"/>
        <v/>
      </c>
      <c r="K1738" s="127" t="str">
        <f t="shared" si="51"/>
        <v/>
      </c>
    </row>
    <row r="1739" spans="2:11" x14ac:dyDescent="0.3">
      <c r="B1739" s="197"/>
      <c r="C1739" s="198"/>
      <c r="D1739" s="197"/>
      <c r="E1739" s="212"/>
      <c r="F1739" s="29" t="str">
        <f>IFERROR(VLOOKUP(E1739,'Inventaire des produits'!$B$4:$K$1001,2,0),"")</f>
        <v/>
      </c>
      <c r="G1739" s="212"/>
      <c r="H1739" s="30" t="str">
        <f>IFERROR(VLOOKUP(E1739,'Inventaire des produits'!$B$4:$K$1001,8,0),"")</f>
        <v/>
      </c>
      <c r="I1739" s="32" t="str">
        <f t="shared" si="52"/>
        <v/>
      </c>
      <c r="K1739" s="127" t="str">
        <f t="shared" si="51"/>
        <v/>
      </c>
    </row>
    <row r="1740" spans="2:11" x14ac:dyDescent="0.3">
      <c r="B1740" s="197"/>
      <c r="C1740" s="198"/>
      <c r="D1740" s="197"/>
      <c r="E1740" s="212"/>
      <c r="F1740" s="29" t="str">
        <f>IFERROR(VLOOKUP(E1740,'Inventaire des produits'!$B$4:$K$1001,2,0),"")</f>
        <v/>
      </c>
      <c r="G1740" s="212"/>
      <c r="H1740" s="30" t="str">
        <f>IFERROR(VLOOKUP(E1740,'Inventaire des produits'!$B$4:$K$1001,8,0),"")</f>
        <v/>
      </c>
      <c r="I1740" s="32" t="str">
        <f t="shared" si="52"/>
        <v/>
      </c>
      <c r="K1740" s="127" t="str">
        <f t="shared" si="51"/>
        <v/>
      </c>
    </row>
    <row r="1741" spans="2:11" x14ac:dyDescent="0.3">
      <c r="B1741" s="197"/>
      <c r="C1741" s="198"/>
      <c r="D1741" s="197"/>
      <c r="E1741" s="212"/>
      <c r="F1741" s="29" t="str">
        <f>IFERROR(VLOOKUP(E1741,'Inventaire des produits'!$B$4:$K$1001,2,0),"")</f>
        <v/>
      </c>
      <c r="G1741" s="212"/>
      <c r="H1741" s="30" t="str">
        <f>IFERROR(VLOOKUP(E1741,'Inventaire des produits'!$B$4:$K$1001,8,0),"")</f>
        <v/>
      </c>
      <c r="I1741" s="32" t="str">
        <f t="shared" si="52"/>
        <v/>
      </c>
      <c r="K1741" s="127" t="str">
        <f t="shared" si="51"/>
        <v/>
      </c>
    </row>
    <row r="1742" spans="2:11" x14ac:dyDescent="0.3">
      <c r="B1742" s="197"/>
      <c r="C1742" s="198"/>
      <c r="D1742" s="197"/>
      <c r="E1742" s="212"/>
      <c r="F1742" s="29" t="str">
        <f>IFERROR(VLOOKUP(E1742,'Inventaire des produits'!$B$4:$K$1001,2,0),"")</f>
        <v/>
      </c>
      <c r="G1742" s="212"/>
      <c r="H1742" s="30" t="str">
        <f>IFERROR(VLOOKUP(E1742,'Inventaire des produits'!$B$4:$K$1001,8,0),"")</f>
        <v/>
      </c>
      <c r="I1742" s="32" t="str">
        <f t="shared" si="52"/>
        <v/>
      </c>
      <c r="K1742" s="127" t="str">
        <f t="shared" si="51"/>
        <v/>
      </c>
    </row>
    <row r="1743" spans="2:11" x14ac:dyDescent="0.3">
      <c r="B1743" s="197"/>
      <c r="C1743" s="198"/>
      <c r="D1743" s="197"/>
      <c r="E1743" s="212"/>
      <c r="F1743" s="29" t="str">
        <f>IFERROR(VLOOKUP(E1743,'Inventaire des produits'!$B$4:$K$1001,2,0),"")</f>
        <v/>
      </c>
      <c r="G1743" s="212"/>
      <c r="H1743" s="30" t="str">
        <f>IFERROR(VLOOKUP(E1743,'Inventaire des produits'!$B$4:$K$1001,8,0),"")</f>
        <v/>
      </c>
      <c r="I1743" s="32" t="str">
        <f t="shared" si="52"/>
        <v/>
      </c>
      <c r="K1743" s="127" t="str">
        <f t="shared" si="51"/>
        <v/>
      </c>
    </row>
    <row r="1744" spans="2:11" x14ac:dyDescent="0.3">
      <c r="B1744" s="197"/>
      <c r="C1744" s="198"/>
      <c r="D1744" s="197"/>
      <c r="E1744" s="212"/>
      <c r="F1744" s="29" t="str">
        <f>IFERROR(VLOOKUP(E1744,'Inventaire des produits'!$B$4:$K$1001,2,0),"")</f>
        <v/>
      </c>
      <c r="G1744" s="212"/>
      <c r="H1744" s="30" t="str">
        <f>IFERROR(VLOOKUP(E1744,'Inventaire des produits'!$B$4:$K$1001,8,0),"")</f>
        <v/>
      </c>
      <c r="I1744" s="32" t="str">
        <f t="shared" si="52"/>
        <v/>
      </c>
      <c r="K1744" s="127" t="str">
        <f t="shared" si="51"/>
        <v/>
      </c>
    </row>
    <row r="1745" spans="2:11" x14ac:dyDescent="0.3">
      <c r="B1745" s="197"/>
      <c r="C1745" s="198"/>
      <c r="D1745" s="197"/>
      <c r="E1745" s="212"/>
      <c r="F1745" s="29" t="str">
        <f>IFERROR(VLOOKUP(E1745,'Inventaire des produits'!$B$4:$K$1001,2,0),"")</f>
        <v/>
      </c>
      <c r="G1745" s="212"/>
      <c r="H1745" s="30" t="str">
        <f>IFERROR(VLOOKUP(E1745,'Inventaire des produits'!$B$4:$K$1001,8,0),"")</f>
        <v/>
      </c>
      <c r="I1745" s="32" t="str">
        <f t="shared" si="52"/>
        <v/>
      </c>
      <c r="K1745" s="127" t="str">
        <f t="shared" si="51"/>
        <v/>
      </c>
    </row>
    <row r="1746" spans="2:11" x14ac:dyDescent="0.3">
      <c r="B1746" s="197"/>
      <c r="C1746" s="198"/>
      <c r="D1746" s="197"/>
      <c r="E1746" s="212"/>
      <c r="F1746" s="29" t="str">
        <f>IFERROR(VLOOKUP(E1746,'Inventaire des produits'!$B$4:$K$1001,2,0),"")</f>
        <v/>
      </c>
      <c r="G1746" s="212"/>
      <c r="H1746" s="30" t="str">
        <f>IFERROR(VLOOKUP(E1746,'Inventaire des produits'!$B$4:$K$1001,8,0),"")</f>
        <v/>
      </c>
      <c r="I1746" s="32" t="str">
        <f t="shared" si="52"/>
        <v/>
      </c>
      <c r="K1746" s="127" t="str">
        <f t="shared" si="51"/>
        <v/>
      </c>
    </row>
    <row r="1747" spans="2:11" x14ac:dyDescent="0.3">
      <c r="B1747" s="197"/>
      <c r="C1747" s="198"/>
      <c r="D1747" s="197"/>
      <c r="E1747" s="212"/>
      <c r="F1747" s="29" t="str">
        <f>IFERROR(VLOOKUP(E1747,'Inventaire des produits'!$B$4:$K$1001,2,0),"")</f>
        <v/>
      </c>
      <c r="G1747" s="212"/>
      <c r="H1747" s="30" t="str">
        <f>IFERROR(VLOOKUP(E1747,'Inventaire des produits'!$B$4:$K$1001,8,0),"")</f>
        <v/>
      </c>
      <c r="I1747" s="32" t="str">
        <f t="shared" si="52"/>
        <v/>
      </c>
      <c r="K1747" s="127" t="str">
        <f t="shared" si="51"/>
        <v/>
      </c>
    </row>
    <row r="1748" spans="2:11" x14ac:dyDescent="0.3">
      <c r="B1748" s="197"/>
      <c r="C1748" s="198"/>
      <c r="D1748" s="197"/>
      <c r="E1748" s="212"/>
      <c r="F1748" s="29" t="str">
        <f>IFERROR(VLOOKUP(E1748,'Inventaire des produits'!$B$4:$K$1001,2,0),"")</f>
        <v/>
      </c>
      <c r="G1748" s="212"/>
      <c r="H1748" s="30" t="str">
        <f>IFERROR(VLOOKUP(E1748,'Inventaire des produits'!$B$4:$K$1001,8,0),"")</f>
        <v/>
      </c>
      <c r="I1748" s="32" t="str">
        <f t="shared" si="52"/>
        <v/>
      </c>
      <c r="K1748" s="127" t="str">
        <f t="shared" si="51"/>
        <v/>
      </c>
    </row>
    <row r="1749" spans="2:11" x14ac:dyDescent="0.3">
      <c r="B1749" s="197"/>
      <c r="C1749" s="198"/>
      <c r="D1749" s="197"/>
      <c r="E1749" s="212"/>
      <c r="F1749" s="29" t="str">
        <f>IFERROR(VLOOKUP(E1749,'Inventaire des produits'!$B$4:$K$1001,2,0),"")</f>
        <v/>
      </c>
      <c r="G1749" s="212"/>
      <c r="H1749" s="30" t="str">
        <f>IFERROR(VLOOKUP(E1749,'Inventaire des produits'!$B$4:$K$1001,8,0),"")</f>
        <v/>
      </c>
      <c r="I1749" s="32" t="str">
        <f t="shared" si="52"/>
        <v/>
      </c>
      <c r="K1749" s="127" t="str">
        <f t="shared" si="51"/>
        <v/>
      </c>
    </row>
    <row r="1750" spans="2:11" x14ac:dyDescent="0.3">
      <c r="B1750" s="197"/>
      <c r="C1750" s="198"/>
      <c r="D1750" s="197"/>
      <c r="E1750" s="212"/>
      <c r="F1750" s="29" t="str">
        <f>IFERROR(VLOOKUP(E1750,'Inventaire des produits'!$B$4:$K$1001,2,0),"")</f>
        <v/>
      </c>
      <c r="G1750" s="212"/>
      <c r="H1750" s="30" t="str">
        <f>IFERROR(VLOOKUP(E1750,'Inventaire des produits'!$B$4:$K$1001,8,0),"")</f>
        <v/>
      </c>
      <c r="I1750" s="32" t="str">
        <f t="shared" si="52"/>
        <v/>
      </c>
      <c r="K1750" s="127" t="str">
        <f t="shared" si="51"/>
        <v/>
      </c>
    </row>
    <row r="1751" spans="2:11" x14ac:dyDescent="0.3">
      <c r="B1751" s="197"/>
      <c r="C1751" s="198"/>
      <c r="D1751" s="197"/>
      <c r="E1751" s="212"/>
      <c r="F1751" s="29" t="str">
        <f>IFERROR(VLOOKUP(E1751,'Inventaire des produits'!$B$4:$K$1001,2,0),"")</f>
        <v/>
      </c>
      <c r="G1751" s="212"/>
      <c r="H1751" s="30" t="str">
        <f>IFERROR(VLOOKUP(E1751,'Inventaire des produits'!$B$4:$K$1001,8,0),"")</f>
        <v/>
      </c>
      <c r="I1751" s="32" t="str">
        <f t="shared" si="52"/>
        <v/>
      </c>
      <c r="K1751" s="127" t="str">
        <f t="shared" si="51"/>
        <v/>
      </c>
    </row>
    <row r="1752" spans="2:11" x14ac:dyDescent="0.3">
      <c r="B1752" s="197"/>
      <c r="C1752" s="198"/>
      <c r="D1752" s="197"/>
      <c r="E1752" s="212"/>
      <c r="F1752" s="29" t="str">
        <f>IFERROR(VLOOKUP(E1752,'Inventaire des produits'!$B$4:$K$1001,2,0),"")</f>
        <v/>
      </c>
      <c r="G1752" s="212"/>
      <c r="H1752" s="30" t="str">
        <f>IFERROR(VLOOKUP(E1752,'Inventaire des produits'!$B$4:$K$1001,8,0),"")</f>
        <v/>
      </c>
      <c r="I1752" s="32" t="str">
        <f t="shared" si="52"/>
        <v/>
      </c>
      <c r="K1752" s="127" t="str">
        <f t="shared" si="51"/>
        <v/>
      </c>
    </row>
    <row r="1753" spans="2:11" x14ac:dyDescent="0.3">
      <c r="B1753" s="197"/>
      <c r="C1753" s="198"/>
      <c r="D1753" s="197"/>
      <c r="E1753" s="212"/>
      <c r="F1753" s="29" t="str">
        <f>IFERROR(VLOOKUP(E1753,'Inventaire des produits'!$B$4:$K$1001,2,0),"")</f>
        <v/>
      </c>
      <c r="G1753" s="212"/>
      <c r="H1753" s="30" t="str">
        <f>IFERROR(VLOOKUP(E1753,'Inventaire des produits'!$B$4:$K$1001,8,0),"")</f>
        <v/>
      </c>
      <c r="I1753" s="32" t="str">
        <f t="shared" si="52"/>
        <v/>
      </c>
      <c r="K1753" s="127" t="str">
        <f t="shared" si="51"/>
        <v/>
      </c>
    </row>
    <row r="1754" spans="2:11" x14ac:dyDescent="0.3">
      <c r="B1754" s="197"/>
      <c r="C1754" s="198"/>
      <c r="D1754" s="197"/>
      <c r="E1754" s="212"/>
      <c r="F1754" s="29" t="str">
        <f>IFERROR(VLOOKUP(E1754,'Inventaire des produits'!$B$4:$K$1001,2,0),"")</f>
        <v/>
      </c>
      <c r="G1754" s="212"/>
      <c r="H1754" s="30" t="str">
        <f>IFERROR(VLOOKUP(E1754,'Inventaire des produits'!$B$4:$K$1001,8,0),"")</f>
        <v/>
      </c>
      <c r="I1754" s="32" t="str">
        <f t="shared" si="52"/>
        <v/>
      </c>
      <c r="K1754" s="127" t="str">
        <f t="shared" si="51"/>
        <v/>
      </c>
    </row>
    <row r="1755" spans="2:11" x14ac:dyDescent="0.3">
      <c r="B1755" s="197"/>
      <c r="C1755" s="198"/>
      <c r="D1755" s="197"/>
      <c r="E1755" s="212"/>
      <c r="F1755" s="29" t="str">
        <f>IFERROR(VLOOKUP(E1755,'Inventaire des produits'!$B$4:$K$1001,2,0),"")</f>
        <v/>
      </c>
      <c r="G1755" s="212"/>
      <c r="H1755" s="30" t="str">
        <f>IFERROR(VLOOKUP(E1755,'Inventaire des produits'!$B$4:$K$1001,8,0),"")</f>
        <v/>
      </c>
      <c r="I1755" s="32" t="str">
        <f t="shared" si="52"/>
        <v/>
      </c>
      <c r="K1755" s="127" t="str">
        <f t="shared" si="51"/>
        <v/>
      </c>
    </row>
    <row r="1756" spans="2:11" x14ac:dyDescent="0.3">
      <c r="B1756" s="197"/>
      <c r="C1756" s="198"/>
      <c r="D1756" s="197"/>
      <c r="E1756" s="212"/>
      <c r="F1756" s="29" t="str">
        <f>IFERROR(VLOOKUP(E1756,'Inventaire des produits'!$B$4:$K$1001,2,0),"")</f>
        <v/>
      </c>
      <c r="G1756" s="212"/>
      <c r="H1756" s="30" t="str">
        <f>IFERROR(VLOOKUP(E1756,'Inventaire des produits'!$B$4:$K$1001,8,0),"")</f>
        <v/>
      </c>
      <c r="I1756" s="32" t="str">
        <f t="shared" si="52"/>
        <v/>
      </c>
      <c r="K1756" s="127" t="str">
        <f t="shared" si="51"/>
        <v/>
      </c>
    </row>
    <row r="1757" spans="2:11" x14ac:dyDescent="0.3">
      <c r="B1757" s="197"/>
      <c r="C1757" s="198"/>
      <c r="D1757" s="197"/>
      <c r="E1757" s="212"/>
      <c r="F1757" s="29" t="str">
        <f>IFERROR(VLOOKUP(E1757,'Inventaire des produits'!$B$4:$K$1001,2,0),"")</f>
        <v/>
      </c>
      <c r="G1757" s="212"/>
      <c r="H1757" s="30" t="str">
        <f>IFERROR(VLOOKUP(E1757,'Inventaire des produits'!$B$4:$K$1001,8,0),"")</f>
        <v/>
      </c>
      <c r="I1757" s="32" t="str">
        <f t="shared" si="52"/>
        <v/>
      </c>
      <c r="K1757" s="127" t="str">
        <f t="shared" si="51"/>
        <v/>
      </c>
    </row>
    <row r="1758" spans="2:11" x14ac:dyDescent="0.3">
      <c r="B1758" s="197"/>
      <c r="C1758" s="198"/>
      <c r="D1758" s="197"/>
      <c r="E1758" s="212"/>
      <c r="F1758" s="29" t="str">
        <f>IFERROR(VLOOKUP(E1758,'Inventaire des produits'!$B$4:$K$1001,2,0),"")</f>
        <v/>
      </c>
      <c r="G1758" s="212"/>
      <c r="H1758" s="30" t="str">
        <f>IFERROR(VLOOKUP(E1758,'Inventaire des produits'!$B$4:$K$1001,8,0),"")</f>
        <v/>
      </c>
      <c r="I1758" s="32" t="str">
        <f t="shared" si="52"/>
        <v/>
      </c>
      <c r="K1758" s="127" t="str">
        <f t="shared" si="51"/>
        <v/>
      </c>
    </row>
    <row r="1759" spans="2:11" x14ac:dyDescent="0.3">
      <c r="B1759" s="197"/>
      <c r="C1759" s="198"/>
      <c r="D1759" s="197"/>
      <c r="E1759" s="212"/>
      <c r="F1759" s="29" t="str">
        <f>IFERROR(VLOOKUP(E1759,'Inventaire des produits'!$B$4:$K$1001,2,0),"")</f>
        <v/>
      </c>
      <c r="G1759" s="212"/>
      <c r="H1759" s="30" t="str">
        <f>IFERROR(VLOOKUP(E1759,'Inventaire des produits'!$B$4:$K$1001,8,0),"")</f>
        <v/>
      </c>
      <c r="I1759" s="32" t="str">
        <f t="shared" si="52"/>
        <v/>
      </c>
      <c r="K1759" s="127" t="str">
        <f t="shared" si="51"/>
        <v/>
      </c>
    </row>
    <row r="1760" spans="2:11" x14ac:dyDescent="0.3">
      <c r="B1760" s="197"/>
      <c r="C1760" s="198"/>
      <c r="D1760" s="197"/>
      <c r="E1760" s="212"/>
      <c r="F1760" s="29" t="str">
        <f>IFERROR(VLOOKUP(E1760,'Inventaire des produits'!$B$4:$K$1001,2,0),"")</f>
        <v/>
      </c>
      <c r="G1760" s="212"/>
      <c r="H1760" s="30" t="str">
        <f>IFERROR(VLOOKUP(E1760,'Inventaire des produits'!$B$4:$K$1001,8,0),"")</f>
        <v/>
      </c>
      <c r="I1760" s="32" t="str">
        <f t="shared" si="52"/>
        <v/>
      </c>
      <c r="K1760" s="127" t="str">
        <f t="shared" si="51"/>
        <v/>
      </c>
    </row>
    <row r="1761" spans="2:11" x14ac:dyDescent="0.3">
      <c r="B1761" s="197"/>
      <c r="C1761" s="198"/>
      <c r="D1761" s="197"/>
      <c r="E1761" s="212"/>
      <c r="F1761" s="29" t="str">
        <f>IFERROR(VLOOKUP(E1761,'Inventaire des produits'!$B$4:$K$1001,2,0),"")</f>
        <v/>
      </c>
      <c r="G1761" s="212"/>
      <c r="H1761" s="30" t="str">
        <f>IFERROR(VLOOKUP(E1761,'Inventaire des produits'!$B$4:$K$1001,8,0),"")</f>
        <v/>
      </c>
      <c r="I1761" s="32" t="str">
        <f t="shared" si="52"/>
        <v/>
      </c>
      <c r="K1761" s="127" t="str">
        <f t="shared" si="51"/>
        <v/>
      </c>
    </row>
    <row r="1762" spans="2:11" x14ac:dyDescent="0.3">
      <c r="B1762" s="197"/>
      <c r="C1762" s="198"/>
      <c r="D1762" s="197"/>
      <c r="E1762" s="212"/>
      <c r="F1762" s="29" t="str">
        <f>IFERROR(VLOOKUP(E1762,'Inventaire des produits'!$B$4:$K$1001,2,0),"")</f>
        <v/>
      </c>
      <c r="G1762" s="212"/>
      <c r="H1762" s="30" t="str">
        <f>IFERROR(VLOOKUP(E1762,'Inventaire des produits'!$B$4:$K$1001,8,0),"")</f>
        <v/>
      </c>
      <c r="I1762" s="32" t="str">
        <f t="shared" si="52"/>
        <v/>
      </c>
      <c r="K1762" s="127" t="str">
        <f t="shared" si="51"/>
        <v/>
      </c>
    </row>
    <row r="1763" spans="2:11" x14ac:dyDescent="0.3">
      <c r="B1763" s="197"/>
      <c r="C1763" s="198"/>
      <c r="D1763" s="197"/>
      <c r="E1763" s="212"/>
      <c r="F1763" s="29" t="str">
        <f>IFERROR(VLOOKUP(E1763,'Inventaire des produits'!$B$4:$K$1001,2,0),"")</f>
        <v/>
      </c>
      <c r="G1763" s="212"/>
      <c r="H1763" s="30" t="str">
        <f>IFERROR(VLOOKUP(E1763,'Inventaire des produits'!$B$4:$K$1001,8,0),"")</f>
        <v/>
      </c>
      <c r="I1763" s="32" t="str">
        <f t="shared" si="52"/>
        <v/>
      </c>
      <c r="K1763" s="127" t="str">
        <f t="shared" si="51"/>
        <v/>
      </c>
    </row>
    <row r="1764" spans="2:11" x14ac:dyDescent="0.3">
      <c r="B1764" s="197"/>
      <c r="C1764" s="198"/>
      <c r="D1764" s="197"/>
      <c r="E1764" s="212"/>
      <c r="F1764" s="29" t="str">
        <f>IFERROR(VLOOKUP(E1764,'Inventaire des produits'!$B$4:$K$1001,2,0),"")</f>
        <v/>
      </c>
      <c r="G1764" s="212"/>
      <c r="H1764" s="30" t="str">
        <f>IFERROR(VLOOKUP(E1764,'Inventaire des produits'!$B$4:$K$1001,8,0),"")</f>
        <v/>
      </c>
      <c r="I1764" s="32" t="str">
        <f t="shared" si="52"/>
        <v/>
      </c>
      <c r="K1764" s="127" t="str">
        <f t="shared" si="51"/>
        <v/>
      </c>
    </row>
    <row r="1765" spans="2:11" x14ac:dyDescent="0.3">
      <c r="B1765" s="197"/>
      <c r="C1765" s="198"/>
      <c r="D1765" s="197"/>
      <c r="E1765" s="212"/>
      <c r="F1765" s="29" t="str">
        <f>IFERROR(VLOOKUP(E1765,'Inventaire des produits'!$B$4:$K$1001,2,0),"")</f>
        <v/>
      </c>
      <c r="G1765" s="212"/>
      <c r="H1765" s="30" t="str">
        <f>IFERROR(VLOOKUP(E1765,'Inventaire des produits'!$B$4:$K$1001,8,0),"")</f>
        <v/>
      </c>
      <c r="I1765" s="32" t="str">
        <f t="shared" si="52"/>
        <v/>
      </c>
      <c r="K1765" s="127" t="str">
        <f t="shared" si="51"/>
        <v/>
      </c>
    </row>
    <row r="1766" spans="2:11" x14ac:dyDescent="0.3">
      <c r="B1766" s="197"/>
      <c r="C1766" s="198"/>
      <c r="D1766" s="197"/>
      <c r="E1766" s="212"/>
      <c r="F1766" s="29" t="str">
        <f>IFERROR(VLOOKUP(E1766,'Inventaire des produits'!$B$4:$K$1001,2,0),"")</f>
        <v/>
      </c>
      <c r="G1766" s="212"/>
      <c r="H1766" s="30" t="str">
        <f>IFERROR(VLOOKUP(E1766,'Inventaire des produits'!$B$4:$K$1001,8,0),"")</f>
        <v/>
      </c>
      <c r="I1766" s="32" t="str">
        <f t="shared" si="52"/>
        <v/>
      </c>
      <c r="K1766" s="127" t="str">
        <f t="shared" si="51"/>
        <v/>
      </c>
    </row>
    <row r="1767" spans="2:11" x14ac:dyDescent="0.3">
      <c r="B1767" s="197"/>
      <c r="C1767" s="198"/>
      <c r="D1767" s="197"/>
      <c r="E1767" s="212"/>
      <c r="F1767" s="29" t="str">
        <f>IFERROR(VLOOKUP(E1767,'Inventaire des produits'!$B$4:$K$1001,2,0),"")</f>
        <v/>
      </c>
      <c r="G1767" s="212"/>
      <c r="H1767" s="30" t="str">
        <f>IFERROR(VLOOKUP(E1767,'Inventaire des produits'!$B$4:$K$1001,8,0),"")</f>
        <v/>
      </c>
      <c r="I1767" s="32" t="str">
        <f t="shared" si="52"/>
        <v/>
      </c>
      <c r="K1767" s="127" t="str">
        <f t="shared" si="51"/>
        <v/>
      </c>
    </row>
    <row r="1768" spans="2:11" x14ac:dyDescent="0.3">
      <c r="B1768" s="197"/>
      <c r="C1768" s="198"/>
      <c r="D1768" s="197"/>
      <c r="E1768" s="212"/>
      <c r="F1768" s="29" t="str">
        <f>IFERROR(VLOOKUP(E1768,'Inventaire des produits'!$B$4:$K$1001,2,0),"")</f>
        <v/>
      </c>
      <c r="G1768" s="212"/>
      <c r="H1768" s="30" t="str">
        <f>IFERROR(VLOOKUP(E1768,'Inventaire des produits'!$B$4:$K$1001,8,0),"")</f>
        <v/>
      </c>
      <c r="I1768" s="32" t="str">
        <f t="shared" si="52"/>
        <v/>
      </c>
      <c r="K1768" s="127" t="str">
        <f t="shared" si="51"/>
        <v/>
      </c>
    </row>
    <row r="1769" spans="2:11" x14ac:dyDescent="0.3">
      <c r="B1769" s="197"/>
      <c r="C1769" s="198"/>
      <c r="D1769" s="197"/>
      <c r="E1769" s="212"/>
      <c r="F1769" s="29" t="str">
        <f>IFERROR(VLOOKUP(E1769,'Inventaire des produits'!$B$4:$K$1001,2,0),"")</f>
        <v/>
      </c>
      <c r="G1769" s="212"/>
      <c r="H1769" s="30" t="str">
        <f>IFERROR(VLOOKUP(E1769,'Inventaire des produits'!$B$4:$K$1001,8,0),"")</f>
        <v/>
      </c>
      <c r="I1769" s="32" t="str">
        <f t="shared" si="52"/>
        <v/>
      </c>
      <c r="K1769" s="127" t="str">
        <f t="shared" si="51"/>
        <v/>
      </c>
    </row>
    <row r="1770" spans="2:11" x14ac:dyDescent="0.3">
      <c r="B1770" s="197"/>
      <c r="C1770" s="198"/>
      <c r="D1770" s="197"/>
      <c r="E1770" s="212"/>
      <c r="F1770" s="29" t="str">
        <f>IFERROR(VLOOKUP(E1770,'Inventaire des produits'!$B$4:$K$1001,2,0),"")</f>
        <v/>
      </c>
      <c r="G1770" s="212"/>
      <c r="H1770" s="30" t="str">
        <f>IFERROR(VLOOKUP(E1770,'Inventaire des produits'!$B$4:$K$1001,8,0),"")</f>
        <v/>
      </c>
      <c r="I1770" s="32" t="str">
        <f t="shared" si="52"/>
        <v/>
      </c>
      <c r="K1770" s="127" t="str">
        <f t="shared" si="51"/>
        <v/>
      </c>
    </row>
    <row r="1771" spans="2:11" x14ac:dyDescent="0.3">
      <c r="B1771" s="197"/>
      <c r="C1771" s="198"/>
      <c r="D1771" s="197"/>
      <c r="E1771" s="212"/>
      <c r="F1771" s="29" t="str">
        <f>IFERROR(VLOOKUP(E1771,'Inventaire des produits'!$B$4:$K$1001,2,0),"")</f>
        <v/>
      </c>
      <c r="G1771" s="212"/>
      <c r="H1771" s="30" t="str">
        <f>IFERROR(VLOOKUP(E1771,'Inventaire des produits'!$B$4:$K$1001,8,0),"")</f>
        <v/>
      </c>
      <c r="I1771" s="32" t="str">
        <f t="shared" si="52"/>
        <v/>
      </c>
      <c r="K1771" s="127" t="str">
        <f t="shared" si="51"/>
        <v/>
      </c>
    </row>
    <row r="1772" spans="2:11" x14ac:dyDescent="0.3">
      <c r="B1772" s="197"/>
      <c r="C1772" s="198"/>
      <c r="D1772" s="197"/>
      <c r="E1772" s="212"/>
      <c r="F1772" s="29" t="str">
        <f>IFERROR(VLOOKUP(E1772,'Inventaire des produits'!$B$4:$K$1001,2,0),"")</f>
        <v/>
      </c>
      <c r="G1772" s="212"/>
      <c r="H1772" s="30" t="str">
        <f>IFERROR(VLOOKUP(E1772,'Inventaire des produits'!$B$4:$K$1001,8,0),"")</f>
        <v/>
      </c>
      <c r="I1772" s="32" t="str">
        <f t="shared" si="52"/>
        <v/>
      </c>
      <c r="K1772" s="127" t="str">
        <f t="shared" si="51"/>
        <v/>
      </c>
    </row>
    <row r="1773" spans="2:11" x14ac:dyDescent="0.3">
      <c r="B1773" s="197"/>
      <c r="C1773" s="198"/>
      <c r="D1773" s="197"/>
      <c r="E1773" s="212"/>
      <c r="F1773" s="29" t="str">
        <f>IFERROR(VLOOKUP(E1773,'Inventaire des produits'!$B$4:$K$1001,2,0),"")</f>
        <v/>
      </c>
      <c r="G1773" s="212"/>
      <c r="H1773" s="30" t="str">
        <f>IFERROR(VLOOKUP(E1773,'Inventaire des produits'!$B$4:$K$1001,8,0),"")</f>
        <v/>
      </c>
      <c r="I1773" s="32" t="str">
        <f t="shared" si="52"/>
        <v/>
      </c>
      <c r="K1773" s="127" t="str">
        <f t="shared" si="51"/>
        <v/>
      </c>
    </row>
    <row r="1774" spans="2:11" x14ac:dyDescent="0.3">
      <c r="B1774" s="197"/>
      <c r="C1774" s="198"/>
      <c r="D1774" s="197"/>
      <c r="E1774" s="212"/>
      <c r="F1774" s="29" t="str">
        <f>IFERROR(VLOOKUP(E1774,'Inventaire des produits'!$B$4:$K$1001,2,0),"")</f>
        <v/>
      </c>
      <c r="G1774" s="212"/>
      <c r="H1774" s="30" t="str">
        <f>IFERROR(VLOOKUP(E1774,'Inventaire des produits'!$B$4:$K$1001,8,0),"")</f>
        <v/>
      </c>
      <c r="I1774" s="32" t="str">
        <f t="shared" si="52"/>
        <v/>
      </c>
      <c r="K1774" s="127" t="str">
        <f t="shared" si="51"/>
        <v/>
      </c>
    </row>
    <row r="1775" spans="2:11" x14ac:dyDescent="0.3">
      <c r="B1775" s="197"/>
      <c r="C1775" s="198"/>
      <c r="D1775" s="197"/>
      <c r="E1775" s="212"/>
      <c r="F1775" s="29" t="str">
        <f>IFERROR(VLOOKUP(E1775,'Inventaire des produits'!$B$4:$K$1001,2,0),"")</f>
        <v/>
      </c>
      <c r="G1775" s="212"/>
      <c r="H1775" s="30" t="str">
        <f>IFERROR(VLOOKUP(E1775,'Inventaire des produits'!$B$4:$K$1001,8,0),"")</f>
        <v/>
      </c>
      <c r="I1775" s="32" t="str">
        <f t="shared" si="52"/>
        <v/>
      </c>
      <c r="K1775" s="127" t="str">
        <f t="shared" si="51"/>
        <v/>
      </c>
    </row>
    <row r="1776" spans="2:11" x14ac:dyDescent="0.3">
      <c r="B1776" s="197"/>
      <c r="C1776" s="198"/>
      <c r="D1776" s="197"/>
      <c r="E1776" s="212"/>
      <c r="F1776" s="29" t="str">
        <f>IFERROR(VLOOKUP(E1776,'Inventaire des produits'!$B$4:$K$1001,2,0),"")</f>
        <v/>
      </c>
      <c r="G1776" s="212"/>
      <c r="H1776" s="30" t="str">
        <f>IFERROR(VLOOKUP(E1776,'Inventaire des produits'!$B$4:$K$1001,8,0),"")</f>
        <v/>
      </c>
      <c r="I1776" s="32" t="str">
        <f t="shared" si="52"/>
        <v/>
      </c>
      <c r="K1776" s="127" t="str">
        <f t="shared" si="51"/>
        <v/>
      </c>
    </row>
    <row r="1777" spans="2:11" x14ac:dyDescent="0.3">
      <c r="B1777" s="197"/>
      <c r="C1777" s="198"/>
      <c r="D1777" s="197"/>
      <c r="E1777" s="212"/>
      <c r="F1777" s="29" t="str">
        <f>IFERROR(VLOOKUP(E1777,'Inventaire des produits'!$B$4:$K$1001,2,0),"")</f>
        <v/>
      </c>
      <c r="G1777" s="212"/>
      <c r="H1777" s="30" t="str">
        <f>IFERROR(VLOOKUP(E1777,'Inventaire des produits'!$B$4:$K$1001,8,0),"")</f>
        <v/>
      </c>
      <c r="I1777" s="32" t="str">
        <f t="shared" si="52"/>
        <v/>
      </c>
      <c r="K1777" s="127" t="str">
        <f t="shared" si="51"/>
        <v/>
      </c>
    </row>
    <row r="1778" spans="2:11" x14ac:dyDescent="0.3">
      <c r="B1778" s="197"/>
      <c r="C1778" s="198"/>
      <c r="D1778" s="197"/>
      <c r="E1778" s="212"/>
      <c r="F1778" s="29" t="str">
        <f>IFERROR(VLOOKUP(E1778,'Inventaire des produits'!$B$4:$K$1001,2,0),"")</f>
        <v/>
      </c>
      <c r="G1778" s="212"/>
      <c r="H1778" s="30" t="str">
        <f>IFERROR(VLOOKUP(E1778,'Inventaire des produits'!$B$4:$K$1001,8,0),"")</f>
        <v/>
      </c>
      <c r="I1778" s="32" t="str">
        <f t="shared" si="52"/>
        <v/>
      </c>
      <c r="K1778" s="127" t="str">
        <f t="shared" si="51"/>
        <v/>
      </c>
    </row>
    <row r="1779" spans="2:11" x14ac:dyDescent="0.3">
      <c r="B1779" s="197"/>
      <c r="C1779" s="198"/>
      <c r="D1779" s="197"/>
      <c r="E1779" s="212"/>
      <c r="F1779" s="29" t="str">
        <f>IFERROR(VLOOKUP(E1779,'Inventaire des produits'!$B$4:$K$1001,2,0),"")</f>
        <v/>
      </c>
      <c r="G1779" s="212"/>
      <c r="H1779" s="30" t="str">
        <f>IFERROR(VLOOKUP(E1779,'Inventaire des produits'!$B$4:$K$1001,8,0),"")</f>
        <v/>
      </c>
      <c r="I1779" s="32" t="str">
        <f t="shared" si="52"/>
        <v/>
      </c>
      <c r="K1779" s="127" t="str">
        <f t="shared" si="51"/>
        <v/>
      </c>
    </row>
    <row r="1780" spans="2:11" x14ac:dyDescent="0.3">
      <c r="B1780" s="197"/>
      <c r="C1780" s="198"/>
      <c r="D1780" s="197"/>
      <c r="E1780" s="212"/>
      <c r="F1780" s="29" t="str">
        <f>IFERROR(VLOOKUP(E1780,'Inventaire des produits'!$B$4:$K$1001,2,0),"")</f>
        <v/>
      </c>
      <c r="G1780" s="212"/>
      <c r="H1780" s="30" t="str">
        <f>IFERROR(VLOOKUP(E1780,'Inventaire des produits'!$B$4:$K$1001,8,0),"")</f>
        <v/>
      </c>
      <c r="I1780" s="32" t="str">
        <f t="shared" si="52"/>
        <v/>
      </c>
      <c r="K1780" s="127" t="str">
        <f t="shared" si="51"/>
        <v/>
      </c>
    </row>
    <row r="1781" spans="2:11" x14ac:dyDescent="0.3">
      <c r="B1781" s="197"/>
      <c r="C1781" s="198"/>
      <c r="D1781" s="197"/>
      <c r="E1781" s="212"/>
      <c r="F1781" s="29" t="str">
        <f>IFERROR(VLOOKUP(E1781,'Inventaire des produits'!$B$4:$K$1001,2,0),"")</f>
        <v/>
      </c>
      <c r="G1781" s="212"/>
      <c r="H1781" s="30" t="str">
        <f>IFERROR(VLOOKUP(E1781,'Inventaire des produits'!$B$4:$K$1001,8,0),"")</f>
        <v/>
      </c>
      <c r="I1781" s="32" t="str">
        <f t="shared" si="52"/>
        <v/>
      </c>
      <c r="K1781" s="127" t="str">
        <f t="shared" si="51"/>
        <v/>
      </c>
    </row>
    <row r="1782" spans="2:11" x14ac:dyDescent="0.3">
      <c r="B1782" s="197"/>
      <c r="C1782" s="198"/>
      <c r="D1782" s="197"/>
      <c r="E1782" s="212"/>
      <c r="F1782" s="29" t="str">
        <f>IFERROR(VLOOKUP(E1782,'Inventaire des produits'!$B$4:$K$1001,2,0),"")</f>
        <v/>
      </c>
      <c r="G1782" s="212"/>
      <c r="H1782" s="30" t="str">
        <f>IFERROR(VLOOKUP(E1782,'Inventaire des produits'!$B$4:$K$1001,8,0),"")</f>
        <v/>
      </c>
      <c r="I1782" s="32" t="str">
        <f t="shared" si="52"/>
        <v/>
      </c>
      <c r="K1782" s="127" t="str">
        <f t="shared" si="51"/>
        <v/>
      </c>
    </row>
    <row r="1783" spans="2:11" x14ac:dyDescent="0.3">
      <c r="B1783" s="197"/>
      <c r="C1783" s="198"/>
      <c r="D1783" s="197"/>
      <c r="E1783" s="212"/>
      <c r="F1783" s="29" t="str">
        <f>IFERROR(VLOOKUP(E1783,'Inventaire des produits'!$B$4:$K$1001,2,0),"")</f>
        <v/>
      </c>
      <c r="G1783" s="212"/>
      <c r="H1783" s="30" t="str">
        <f>IFERROR(VLOOKUP(E1783,'Inventaire des produits'!$B$4:$K$1001,8,0),"")</f>
        <v/>
      </c>
      <c r="I1783" s="32" t="str">
        <f t="shared" si="52"/>
        <v/>
      </c>
      <c r="K1783" s="127" t="str">
        <f t="shared" si="51"/>
        <v/>
      </c>
    </row>
    <row r="1784" spans="2:11" x14ac:dyDescent="0.3">
      <c r="B1784" s="197"/>
      <c r="C1784" s="198"/>
      <c r="D1784" s="197"/>
      <c r="E1784" s="212"/>
      <c r="F1784" s="29" t="str">
        <f>IFERROR(VLOOKUP(E1784,'Inventaire des produits'!$B$4:$K$1001,2,0),"")</f>
        <v/>
      </c>
      <c r="G1784" s="212"/>
      <c r="H1784" s="30" t="str">
        <f>IFERROR(VLOOKUP(E1784,'Inventaire des produits'!$B$4:$K$1001,8,0),"")</f>
        <v/>
      </c>
      <c r="I1784" s="32" t="str">
        <f t="shared" si="52"/>
        <v/>
      </c>
      <c r="K1784" s="127" t="str">
        <f t="shared" si="51"/>
        <v/>
      </c>
    </row>
    <row r="1785" spans="2:11" x14ac:dyDescent="0.3">
      <c r="B1785" s="197"/>
      <c r="C1785" s="198"/>
      <c r="D1785" s="197"/>
      <c r="E1785" s="212"/>
      <c r="F1785" s="29" t="str">
        <f>IFERROR(VLOOKUP(E1785,'Inventaire des produits'!$B$4:$K$1001,2,0),"")</f>
        <v/>
      </c>
      <c r="G1785" s="212"/>
      <c r="H1785" s="30" t="str">
        <f>IFERROR(VLOOKUP(E1785,'Inventaire des produits'!$B$4:$K$1001,8,0),"")</f>
        <v/>
      </c>
      <c r="I1785" s="32" t="str">
        <f t="shared" si="52"/>
        <v/>
      </c>
      <c r="K1785" s="127" t="str">
        <f t="shared" si="51"/>
        <v/>
      </c>
    </row>
    <row r="1786" spans="2:11" x14ac:dyDescent="0.3">
      <c r="B1786" s="197"/>
      <c r="C1786" s="198"/>
      <c r="D1786" s="197"/>
      <c r="E1786" s="212"/>
      <c r="F1786" s="29" t="str">
        <f>IFERROR(VLOOKUP(E1786,'Inventaire des produits'!$B$4:$K$1001,2,0),"")</f>
        <v/>
      </c>
      <c r="G1786" s="212"/>
      <c r="H1786" s="30" t="str">
        <f>IFERROR(VLOOKUP(E1786,'Inventaire des produits'!$B$4:$K$1001,8,0),"")</f>
        <v/>
      </c>
      <c r="I1786" s="32" t="str">
        <f t="shared" si="52"/>
        <v/>
      </c>
      <c r="K1786" s="127" t="str">
        <f t="shared" si="51"/>
        <v/>
      </c>
    </row>
    <row r="1787" spans="2:11" x14ac:dyDescent="0.3">
      <c r="B1787" s="197"/>
      <c r="C1787" s="198"/>
      <c r="D1787" s="197"/>
      <c r="E1787" s="212"/>
      <c r="F1787" s="29" t="str">
        <f>IFERROR(VLOOKUP(E1787,'Inventaire des produits'!$B$4:$K$1001,2,0),"")</f>
        <v/>
      </c>
      <c r="G1787" s="212"/>
      <c r="H1787" s="30" t="str">
        <f>IFERROR(VLOOKUP(E1787,'Inventaire des produits'!$B$4:$K$1001,8,0),"")</f>
        <v/>
      </c>
      <c r="I1787" s="32" t="str">
        <f t="shared" si="52"/>
        <v/>
      </c>
      <c r="K1787" s="127" t="str">
        <f t="shared" si="51"/>
        <v/>
      </c>
    </row>
    <row r="1788" spans="2:11" x14ac:dyDescent="0.3">
      <c r="B1788" s="197"/>
      <c r="C1788" s="198"/>
      <c r="D1788" s="197"/>
      <c r="E1788" s="212"/>
      <c r="F1788" s="29" t="str">
        <f>IFERROR(VLOOKUP(E1788,'Inventaire des produits'!$B$4:$K$1001,2,0),"")</f>
        <v/>
      </c>
      <c r="G1788" s="212"/>
      <c r="H1788" s="30" t="str">
        <f>IFERROR(VLOOKUP(E1788,'Inventaire des produits'!$B$4:$K$1001,8,0),"")</f>
        <v/>
      </c>
      <c r="I1788" s="32" t="str">
        <f t="shared" si="52"/>
        <v/>
      </c>
      <c r="K1788" s="127" t="str">
        <f t="shared" ref="K1788:K1851" si="53">IF(J1788="","",J1788*1.2)</f>
        <v/>
      </c>
    </row>
    <row r="1789" spans="2:11" x14ac:dyDescent="0.3">
      <c r="B1789" s="197"/>
      <c r="C1789" s="198"/>
      <c r="D1789" s="197"/>
      <c r="E1789" s="212"/>
      <c r="F1789" s="29" t="str">
        <f>IFERROR(VLOOKUP(E1789,'Inventaire des produits'!$B$4:$K$1001,2,0),"")</f>
        <v/>
      </c>
      <c r="G1789" s="212"/>
      <c r="H1789" s="30" t="str">
        <f>IFERROR(VLOOKUP(E1789,'Inventaire des produits'!$B$4:$K$1001,8,0),"")</f>
        <v/>
      </c>
      <c r="I1789" s="32" t="str">
        <f t="shared" si="52"/>
        <v/>
      </c>
      <c r="K1789" s="127" t="str">
        <f t="shared" si="53"/>
        <v/>
      </c>
    </row>
    <row r="1790" spans="2:11" x14ac:dyDescent="0.3">
      <c r="B1790" s="197"/>
      <c r="C1790" s="198"/>
      <c r="D1790" s="197"/>
      <c r="E1790" s="212"/>
      <c r="F1790" s="29" t="str">
        <f>IFERROR(VLOOKUP(E1790,'Inventaire des produits'!$B$4:$K$1001,2,0),"")</f>
        <v/>
      </c>
      <c r="G1790" s="212"/>
      <c r="H1790" s="30" t="str">
        <f>IFERROR(VLOOKUP(E1790,'Inventaire des produits'!$B$4:$K$1001,8,0),"")</f>
        <v/>
      </c>
      <c r="I1790" s="32" t="str">
        <f t="shared" si="52"/>
        <v/>
      </c>
      <c r="K1790" s="127" t="str">
        <f t="shared" si="53"/>
        <v/>
      </c>
    </row>
    <row r="1791" spans="2:11" x14ac:dyDescent="0.3">
      <c r="B1791" s="197"/>
      <c r="C1791" s="198"/>
      <c r="D1791" s="197"/>
      <c r="E1791" s="212"/>
      <c r="F1791" s="29" t="str">
        <f>IFERROR(VLOOKUP(E1791,'Inventaire des produits'!$B$4:$K$1001,2,0),"")</f>
        <v/>
      </c>
      <c r="G1791" s="212"/>
      <c r="H1791" s="30" t="str">
        <f>IFERROR(VLOOKUP(E1791,'Inventaire des produits'!$B$4:$K$1001,8,0),"")</f>
        <v/>
      </c>
      <c r="I1791" s="32" t="str">
        <f t="shared" si="52"/>
        <v/>
      </c>
      <c r="K1791" s="127" t="str">
        <f t="shared" si="53"/>
        <v/>
      </c>
    </row>
    <row r="1792" spans="2:11" x14ac:dyDescent="0.3">
      <c r="B1792" s="197"/>
      <c r="C1792" s="198"/>
      <c r="D1792" s="197"/>
      <c r="E1792" s="212"/>
      <c r="F1792" s="29" t="str">
        <f>IFERROR(VLOOKUP(E1792,'Inventaire des produits'!$B$4:$K$1001,2,0),"")</f>
        <v/>
      </c>
      <c r="G1792" s="212"/>
      <c r="H1792" s="30" t="str">
        <f>IFERROR(VLOOKUP(E1792,'Inventaire des produits'!$B$4:$K$1001,8,0),"")</f>
        <v/>
      </c>
      <c r="I1792" s="32" t="str">
        <f t="shared" si="52"/>
        <v/>
      </c>
      <c r="K1792" s="127" t="str">
        <f t="shared" si="53"/>
        <v/>
      </c>
    </row>
    <row r="1793" spans="2:11" x14ac:dyDescent="0.3">
      <c r="B1793" s="197"/>
      <c r="C1793" s="198"/>
      <c r="D1793" s="197"/>
      <c r="E1793" s="212"/>
      <c r="F1793" s="29" t="str">
        <f>IFERROR(VLOOKUP(E1793,'Inventaire des produits'!$B$4:$K$1001,2,0),"")</f>
        <v/>
      </c>
      <c r="G1793" s="212"/>
      <c r="H1793" s="30" t="str">
        <f>IFERROR(VLOOKUP(E1793,'Inventaire des produits'!$B$4:$K$1001,8,0),"")</f>
        <v/>
      </c>
      <c r="I1793" s="32" t="str">
        <f t="shared" si="52"/>
        <v/>
      </c>
      <c r="K1793" s="127" t="str">
        <f t="shared" si="53"/>
        <v/>
      </c>
    </row>
    <row r="1794" spans="2:11" x14ac:dyDescent="0.3">
      <c r="B1794" s="197"/>
      <c r="C1794" s="198"/>
      <c r="D1794" s="197"/>
      <c r="E1794" s="212"/>
      <c r="F1794" s="29" t="str">
        <f>IFERROR(VLOOKUP(E1794,'Inventaire des produits'!$B$4:$K$1001,2,0),"")</f>
        <v/>
      </c>
      <c r="G1794" s="212"/>
      <c r="H1794" s="30" t="str">
        <f>IFERROR(VLOOKUP(E1794,'Inventaire des produits'!$B$4:$K$1001,8,0),"")</f>
        <v/>
      </c>
      <c r="I1794" s="32" t="str">
        <f t="shared" ref="I1794:I1857" si="54">IF(OR(G1794="",H1794=""),"",G1794*H1794)</f>
        <v/>
      </c>
      <c r="K1794" s="127" t="str">
        <f t="shared" si="53"/>
        <v/>
      </c>
    </row>
    <row r="1795" spans="2:11" x14ac:dyDescent="0.3">
      <c r="B1795" s="197"/>
      <c r="C1795" s="198"/>
      <c r="D1795" s="197"/>
      <c r="E1795" s="212"/>
      <c r="F1795" s="29" t="str">
        <f>IFERROR(VLOOKUP(E1795,'Inventaire des produits'!$B$4:$K$1001,2,0),"")</f>
        <v/>
      </c>
      <c r="G1795" s="212"/>
      <c r="H1795" s="30" t="str">
        <f>IFERROR(VLOOKUP(E1795,'Inventaire des produits'!$B$4:$K$1001,8,0),"")</f>
        <v/>
      </c>
      <c r="I1795" s="32" t="str">
        <f t="shared" si="54"/>
        <v/>
      </c>
      <c r="K1795" s="127" t="str">
        <f t="shared" si="53"/>
        <v/>
      </c>
    </row>
    <row r="1796" spans="2:11" x14ac:dyDescent="0.3">
      <c r="B1796" s="197"/>
      <c r="C1796" s="198"/>
      <c r="D1796" s="197"/>
      <c r="E1796" s="212"/>
      <c r="F1796" s="29" t="str">
        <f>IFERROR(VLOOKUP(E1796,'Inventaire des produits'!$B$4:$K$1001,2,0),"")</f>
        <v/>
      </c>
      <c r="G1796" s="212"/>
      <c r="H1796" s="30" t="str">
        <f>IFERROR(VLOOKUP(E1796,'Inventaire des produits'!$B$4:$K$1001,8,0),"")</f>
        <v/>
      </c>
      <c r="I1796" s="32" t="str">
        <f t="shared" si="54"/>
        <v/>
      </c>
      <c r="K1796" s="127" t="str">
        <f t="shared" si="53"/>
        <v/>
      </c>
    </row>
    <row r="1797" spans="2:11" x14ac:dyDescent="0.3">
      <c r="B1797" s="197"/>
      <c r="C1797" s="198"/>
      <c r="D1797" s="197"/>
      <c r="E1797" s="212"/>
      <c r="F1797" s="29" t="str">
        <f>IFERROR(VLOOKUP(E1797,'Inventaire des produits'!$B$4:$K$1001,2,0),"")</f>
        <v/>
      </c>
      <c r="G1797" s="212"/>
      <c r="H1797" s="30" t="str">
        <f>IFERROR(VLOOKUP(E1797,'Inventaire des produits'!$B$4:$K$1001,8,0),"")</f>
        <v/>
      </c>
      <c r="I1797" s="32" t="str">
        <f t="shared" si="54"/>
        <v/>
      </c>
      <c r="K1797" s="127" t="str">
        <f t="shared" si="53"/>
        <v/>
      </c>
    </row>
    <row r="1798" spans="2:11" x14ac:dyDescent="0.3">
      <c r="B1798" s="197"/>
      <c r="C1798" s="198"/>
      <c r="D1798" s="197"/>
      <c r="E1798" s="212"/>
      <c r="F1798" s="29" t="str">
        <f>IFERROR(VLOOKUP(E1798,'Inventaire des produits'!$B$4:$K$1001,2,0),"")</f>
        <v/>
      </c>
      <c r="G1798" s="212"/>
      <c r="H1798" s="30" t="str">
        <f>IFERROR(VLOOKUP(E1798,'Inventaire des produits'!$B$4:$K$1001,8,0),"")</f>
        <v/>
      </c>
      <c r="I1798" s="32" t="str">
        <f t="shared" si="54"/>
        <v/>
      </c>
      <c r="K1798" s="127" t="str">
        <f t="shared" si="53"/>
        <v/>
      </c>
    </row>
    <row r="1799" spans="2:11" x14ac:dyDescent="0.3">
      <c r="B1799" s="197"/>
      <c r="C1799" s="198"/>
      <c r="D1799" s="197"/>
      <c r="E1799" s="212"/>
      <c r="F1799" s="29" t="str">
        <f>IFERROR(VLOOKUP(E1799,'Inventaire des produits'!$B$4:$K$1001,2,0),"")</f>
        <v/>
      </c>
      <c r="G1799" s="212"/>
      <c r="H1799" s="30" t="str">
        <f>IFERROR(VLOOKUP(E1799,'Inventaire des produits'!$B$4:$K$1001,8,0),"")</f>
        <v/>
      </c>
      <c r="I1799" s="32" t="str">
        <f t="shared" si="54"/>
        <v/>
      </c>
      <c r="K1799" s="127" t="str">
        <f t="shared" si="53"/>
        <v/>
      </c>
    </row>
    <row r="1800" spans="2:11" x14ac:dyDescent="0.3">
      <c r="B1800" s="197"/>
      <c r="C1800" s="198"/>
      <c r="D1800" s="197"/>
      <c r="E1800" s="212"/>
      <c r="F1800" s="29" t="str">
        <f>IFERROR(VLOOKUP(E1800,'Inventaire des produits'!$B$4:$K$1001,2,0),"")</f>
        <v/>
      </c>
      <c r="G1800" s="212"/>
      <c r="H1800" s="30" t="str">
        <f>IFERROR(VLOOKUP(E1800,'Inventaire des produits'!$B$4:$K$1001,8,0),"")</f>
        <v/>
      </c>
      <c r="I1800" s="32" t="str">
        <f t="shared" si="54"/>
        <v/>
      </c>
      <c r="K1800" s="127" t="str">
        <f t="shared" si="53"/>
        <v/>
      </c>
    </row>
    <row r="1801" spans="2:11" x14ac:dyDescent="0.3">
      <c r="B1801" s="197"/>
      <c r="C1801" s="198"/>
      <c r="D1801" s="197"/>
      <c r="E1801" s="212"/>
      <c r="F1801" s="29" t="str">
        <f>IFERROR(VLOOKUP(E1801,'Inventaire des produits'!$B$4:$K$1001,2,0),"")</f>
        <v/>
      </c>
      <c r="G1801" s="212"/>
      <c r="H1801" s="30" t="str">
        <f>IFERROR(VLOOKUP(E1801,'Inventaire des produits'!$B$4:$K$1001,8,0),"")</f>
        <v/>
      </c>
      <c r="I1801" s="32" t="str">
        <f t="shared" si="54"/>
        <v/>
      </c>
      <c r="K1801" s="127" t="str">
        <f t="shared" si="53"/>
        <v/>
      </c>
    </row>
    <row r="1802" spans="2:11" x14ac:dyDescent="0.3">
      <c r="B1802" s="197"/>
      <c r="C1802" s="198"/>
      <c r="D1802" s="197"/>
      <c r="E1802" s="212"/>
      <c r="F1802" s="29" t="str">
        <f>IFERROR(VLOOKUP(E1802,'Inventaire des produits'!$B$4:$K$1001,2,0),"")</f>
        <v/>
      </c>
      <c r="G1802" s="212"/>
      <c r="H1802" s="30" t="str">
        <f>IFERROR(VLOOKUP(E1802,'Inventaire des produits'!$B$4:$K$1001,8,0),"")</f>
        <v/>
      </c>
      <c r="I1802" s="32" t="str">
        <f t="shared" si="54"/>
        <v/>
      </c>
      <c r="K1802" s="127" t="str">
        <f t="shared" si="53"/>
        <v/>
      </c>
    </row>
    <row r="1803" spans="2:11" x14ac:dyDescent="0.3">
      <c r="B1803" s="197"/>
      <c r="C1803" s="198"/>
      <c r="D1803" s="197"/>
      <c r="E1803" s="212"/>
      <c r="F1803" s="29" t="str">
        <f>IFERROR(VLOOKUP(E1803,'Inventaire des produits'!$B$4:$K$1001,2,0),"")</f>
        <v/>
      </c>
      <c r="G1803" s="212"/>
      <c r="H1803" s="30" t="str">
        <f>IFERROR(VLOOKUP(E1803,'Inventaire des produits'!$B$4:$K$1001,8,0),"")</f>
        <v/>
      </c>
      <c r="I1803" s="32" t="str">
        <f t="shared" si="54"/>
        <v/>
      </c>
      <c r="K1803" s="127" t="str">
        <f t="shared" si="53"/>
        <v/>
      </c>
    </row>
    <row r="1804" spans="2:11" x14ac:dyDescent="0.3">
      <c r="B1804" s="197"/>
      <c r="C1804" s="198"/>
      <c r="D1804" s="197"/>
      <c r="E1804" s="212"/>
      <c r="F1804" s="29" t="str">
        <f>IFERROR(VLOOKUP(E1804,'Inventaire des produits'!$B$4:$K$1001,2,0),"")</f>
        <v/>
      </c>
      <c r="G1804" s="212"/>
      <c r="H1804" s="30" t="str">
        <f>IFERROR(VLOOKUP(E1804,'Inventaire des produits'!$B$4:$K$1001,8,0),"")</f>
        <v/>
      </c>
      <c r="I1804" s="32" t="str">
        <f t="shared" si="54"/>
        <v/>
      </c>
      <c r="K1804" s="127" t="str">
        <f t="shared" si="53"/>
        <v/>
      </c>
    </row>
    <row r="1805" spans="2:11" x14ac:dyDescent="0.3">
      <c r="B1805" s="197"/>
      <c r="C1805" s="198"/>
      <c r="D1805" s="197"/>
      <c r="E1805" s="212"/>
      <c r="F1805" s="29" t="str">
        <f>IFERROR(VLOOKUP(E1805,'Inventaire des produits'!$B$4:$K$1001,2,0),"")</f>
        <v/>
      </c>
      <c r="G1805" s="212"/>
      <c r="H1805" s="30" t="str">
        <f>IFERROR(VLOOKUP(E1805,'Inventaire des produits'!$B$4:$K$1001,8,0),"")</f>
        <v/>
      </c>
      <c r="I1805" s="32" t="str">
        <f t="shared" si="54"/>
        <v/>
      </c>
      <c r="K1805" s="127" t="str">
        <f t="shared" si="53"/>
        <v/>
      </c>
    </row>
    <row r="1806" spans="2:11" x14ac:dyDescent="0.3">
      <c r="B1806" s="197"/>
      <c r="C1806" s="198"/>
      <c r="D1806" s="197"/>
      <c r="E1806" s="212"/>
      <c r="F1806" s="29" t="str">
        <f>IFERROR(VLOOKUP(E1806,'Inventaire des produits'!$B$4:$K$1001,2,0),"")</f>
        <v/>
      </c>
      <c r="G1806" s="212"/>
      <c r="H1806" s="30" t="str">
        <f>IFERROR(VLOOKUP(E1806,'Inventaire des produits'!$B$4:$K$1001,8,0),"")</f>
        <v/>
      </c>
      <c r="I1806" s="32" t="str">
        <f t="shared" si="54"/>
        <v/>
      </c>
      <c r="K1806" s="127" t="str">
        <f t="shared" si="53"/>
        <v/>
      </c>
    </row>
    <row r="1807" spans="2:11" x14ac:dyDescent="0.3">
      <c r="B1807" s="197"/>
      <c r="C1807" s="198"/>
      <c r="D1807" s="197"/>
      <c r="E1807" s="212"/>
      <c r="F1807" s="29" t="str">
        <f>IFERROR(VLOOKUP(E1807,'Inventaire des produits'!$B$4:$K$1001,2,0),"")</f>
        <v/>
      </c>
      <c r="G1807" s="212"/>
      <c r="H1807" s="30" t="str">
        <f>IFERROR(VLOOKUP(E1807,'Inventaire des produits'!$B$4:$K$1001,8,0),"")</f>
        <v/>
      </c>
      <c r="I1807" s="32" t="str">
        <f t="shared" si="54"/>
        <v/>
      </c>
      <c r="K1807" s="127" t="str">
        <f t="shared" si="53"/>
        <v/>
      </c>
    </row>
    <row r="1808" spans="2:11" x14ac:dyDescent="0.3">
      <c r="B1808" s="197"/>
      <c r="C1808" s="198"/>
      <c r="D1808" s="197"/>
      <c r="E1808" s="212"/>
      <c r="F1808" s="29" t="str">
        <f>IFERROR(VLOOKUP(E1808,'Inventaire des produits'!$B$4:$K$1001,2,0),"")</f>
        <v/>
      </c>
      <c r="G1808" s="212"/>
      <c r="H1808" s="30" t="str">
        <f>IFERROR(VLOOKUP(E1808,'Inventaire des produits'!$B$4:$K$1001,8,0),"")</f>
        <v/>
      </c>
      <c r="I1808" s="32" t="str">
        <f t="shared" si="54"/>
        <v/>
      </c>
      <c r="K1808" s="127" t="str">
        <f t="shared" si="53"/>
        <v/>
      </c>
    </row>
    <row r="1809" spans="2:11" x14ac:dyDescent="0.3">
      <c r="B1809" s="197"/>
      <c r="C1809" s="198"/>
      <c r="D1809" s="197"/>
      <c r="E1809" s="212"/>
      <c r="F1809" s="29" t="str">
        <f>IFERROR(VLOOKUP(E1809,'Inventaire des produits'!$B$4:$K$1001,2,0),"")</f>
        <v/>
      </c>
      <c r="G1809" s="212"/>
      <c r="H1809" s="30" t="str">
        <f>IFERROR(VLOOKUP(E1809,'Inventaire des produits'!$B$4:$K$1001,8,0),"")</f>
        <v/>
      </c>
      <c r="I1809" s="32" t="str">
        <f t="shared" si="54"/>
        <v/>
      </c>
      <c r="K1809" s="127" t="str">
        <f t="shared" si="53"/>
        <v/>
      </c>
    </row>
    <row r="1810" spans="2:11" x14ac:dyDescent="0.3">
      <c r="B1810" s="197"/>
      <c r="C1810" s="198"/>
      <c r="D1810" s="197"/>
      <c r="E1810" s="212"/>
      <c r="F1810" s="29" t="str">
        <f>IFERROR(VLOOKUP(E1810,'Inventaire des produits'!$B$4:$K$1001,2,0),"")</f>
        <v/>
      </c>
      <c r="G1810" s="212"/>
      <c r="H1810" s="30" t="str">
        <f>IFERROR(VLOOKUP(E1810,'Inventaire des produits'!$B$4:$K$1001,8,0),"")</f>
        <v/>
      </c>
      <c r="I1810" s="32" t="str">
        <f t="shared" si="54"/>
        <v/>
      </c>
      <c r="K1810" s="127" t="str">
        <f t="shared" si="53"/>
        <v/>
      </c>
    </row>
    <row r="1811" spans="2:11" x14ac:dyDescent="0.3">
      <c r="B1811" s="197"/>
      <c r="C1811" s="198"/>
      <c r="D1811" s="197"/>
      <c r="E1811" s="212"/>
      <c r="F1811" s="29" t="str">
        <f>IFERROR(VLOOKUP(E1811,'Inventaire des produits'!$B$4:$K$1001,2,0),"")</f>
        <v/>
      </c>
      <c r="G1811" s="212"/>
      <c r="H1811" s="30" t="str">
        <f>IFERROR(VLOOKUP(E1811,'Inventaire des produits'!$B$4:$K$1001,8,0),"")</f>
        <v/>
      </c>
      <c r="I1811" s="32" t="str">
        <f t="shared" si="54"/>
        <v/>
      </c>
      <c r="K1811" s="127" t="str">
        <f t="shared" si="53"/>
        <v/>
      </c>
    </row>
    <row r="1812" spans="2:11" x14ac:dyDescent="0.3">
      <c r="B1812" s="197"/>
      <c r="C1812" s="198"/>
      <c r="D1812" s="197"/>
      <c r="E1812" s="212"/>
      <c r="F1812" s="29" t="str">
        <f>IFERROR(VLOOKUP(E1812,'Inventaire des produits'!$B$4:$K$1001,2,0),"")</f>
        <v/>
      </c>
      <c r="G1812" s="212"/>
      <c r="H1812" s="30" t="str">
        <f>IFERROR(VLOOKUP(E1812,'Inventaire des produits'!$B$4:$K$1001,8,0),"")</f>
        <v/>
      </c>
      <c r="I1812" s="32" t="str">
        <f t="shared" si="54"/>
        <v/>
      </c>
      <c r="K1812" s="127" t="str">
        <f t="shared" si="53"/>
        <v/>
      </c>
    </row>
    <row r="1813" spans="2:11" x14ac:dyDescent="0.3">
      <c r="B1813" s="197"/>
      <c r="C1813" s="198"/>
      <c r="D1813" s="197"/>
      <c r="E1813" s="212"/>
      <c r="F1813" s="29" t="str">
        <f>IFERROR(VLOOKUP(E1813,'Inventaire des produits'!$B$4:$K$1001,2,0),"")</f>
        <v/>
      </c>
      <c r="G1813" s="212"/>
      <c r="H1813" s="30" t="str">
        <f>IFERROR(VLOOKUP(E1813,'Inventaire des produits'!$B$4:$K$1001,8,0),"")</f>
        <v/>
      </c>
      <c r="I1813" s="32" t="str">
        <f t="shared" si="54"/>
        <v/>
      </c>
      <c r="K1813" s="127" t="str">
        <f t="shared" si="53"/>
        <v/>
      </c>
    </row>
    <row r="1814" spans="2:11" x14ac:dyDescent="0.3">
      <c r="B1814" s="197"/>
      <c r="C1814" s="198"/>
      <c r="D1814" s="197"/>
      <c r="E1814" s="212"/>
      <c r="F1814" s="29" t="str">
        <f>IFERROR(VLOOKUP(E1814,'Inventaire des produits'!$B$4:$K$1001,2,0),"")</f>
        <v/>
      </c>
      <c r="G1814" s="212"/>
      <c r="H1814" s="30" t="str">
        <f>IFERROR(VLOOKUP(E1814,'Inventaire des produits'!$B$4:$K$1001,8,0),"")</f>
        <v/>
      </c>
      <c r="I1814" s="32" t="str">
        <f t="shared" si="54"/>
        <v/>
      </c>
      <c r="K1814" s="127" t="str">
        <f t="shared" si="53"/>
        <v/>
      </c>
    </row>
    <row r="1815" spans="2:11" x14ac:dyDescent="0.3">
      <c r="B1815" s="197"/>
      <c r="C1815" s="198"/>
      <c r="D1815" s="197"/>
      <c r="E1815" s="212"/>
      <c r="F1815" s="29" t="str">
        <f>IFERROR(VLOOKUP(E1815,'Inventaire des produits'!$B$4:$K$1001,2,0),"")</f>
        <v/>
      </c>
      <c r="G1815" s="212"/>
      <c r="H1815" s="30" t="str">
        <f>IFERROR(VLOOKUP(E1815,'Inventaire des produits'!$B$4:$K$1001,8,0),"")</f>
        <v/>
      </c>
      <c r="I1815" s="32" t="str">
        <f t="shared" si="54"/>
        <v/>
      </c>
      <c r="K1815" s="127" t="str">
        <f t="shared" si="53"/>
        <v/>
      </c>
    </row>
    <row r="1816" spans="2:11" x14ac:dyDescent="0.3">
      <c r="B1816" s="197"/>
      <c r="C1816" s="198"/>
      <c r="D1816" s="197"/>
      <c r="E1816" s="212"/>
      <c r="F1816" s="29" t="str">
        <f>IFERROR(VLOOKUP(E1816,'Inventaire des produits'!$B$4:$K$1001,2,0),"")</f>
        <v/>
      </c>
      <c r="G1816" s="212"/>
      <c r="H1816" s="30" t="str">
        <f>IFERROR(VLOOKUP(E1816,'Inventaire des produits'!$B$4:$K$1001,8,0),"")</f>
        <v/>
      </c>
      <c r="I1816" s="32" t="str">
        <f t="shared" si="54"/>
        <v/>
      </c>
      <c r="K1816" s="127" t="str">
        <f t="shared" si="53"/>
        <v/>
      </c>
    </row>
    <row r="1817" spans="2:11" x14ac:dyDescent="0.3">
      <c r="B1817" s="197"/>
      <c r="C1817" s="198"/>
      <c r="D1817" s="197"/>
      <c r="E1817" s="212"/>
      <c r="F1817" s="29" t="str">
        <f>IFERROR(VLOOKUP(E1817,'Inventaire des produits'!$B$4:$K$1001,2,0),"")</f>
        <v/>
      </c>
      <c r="G1817" s="212"/>
      <c r="H1817" s="30" t="str">
        <f>IFERROR(VLOOKUP(E1817,'Inventaire des produits'!$B$4:$K$1001,8,0),"")</f>
        <v/>
      </c>
      <c r="I1817" s="32" t="str">
        <f t="shared" si="54"/>
        <v/>
      </c>
      <c r="K1817" s="127" t="str">
        <f t="shared" si="53"/>
        <v/>
      </c>
    </row>
    <row r="1818" spans="2:11" x14ac:dyDescent="0.3">
      <c r="B1818" s="197"/>
      <c r="C1818" s="198"/>
      <c r="D1818" s="197"/>
      <c r="E1818" s="212"/>
      <c r="F1818" s="29" t="str">
        <f>IFERROR(VLOOKUP(E1818,'Inventaire des produits'!$B$4:$K$1001,2,0),"")</f>
        <v/>
      </c>
      <c r="G1818" s="212"/>
      <c r="H1818" s="30" t="str">
        <f>IFERROR(VLOOKUP(E1818,'Inventaire des produits'!$B$4:$K$1001,8,0),"")</f>
        <v/>
      </c>
      <c r="I1818" s="32" t="str">
        <f t="shared" si="54"/>
        <v/>
      </c>
      <c r="K1818" s="127" t="str">
        <f t="shared" si="53"/>
        <v/>
      </c>
    </row>
    <row r="1819" spans="2:11" x14ac:dyDescent="0.3">
      <c r="B1819" s="197"/>
      <c r="C1819" s="198"/>
      <c r="D1819" s="197"/>
      <c r="E1819" s="212"/>
      <c r="F1819" s="29" t="str">
        <f>IFERROR(VLOOKUP(E1819,'Inventaire des produits'!$B$4:$K$1001,2,0),"")</f>
        <v/>
      </c>
      <c r="G1819" s="212"/>
      <c r="H1819" s="30" t="str">
        <f>IFERROR(VLOOKUP(E1819,'Inventaire des produits'!$B$4:$K$1001,8,0),"")</f>
        <v/>
      </c>
      <c r="I1819" s="32" t="str">
        <f t="shared" si="54"/>
        <v/>
      </c>
      <c r="K1819" s="127" t="str">
        <f t="shared" si="53"/>
        <v/>
      </c>
    </row>
    <row r="1820" spans="2:11" x14ac:dyDescent="0.3">
      <c r="B1820" s="197"/>
      <c r="C1820" s="198"/>
      <c r="D1820" s="197"/>
      <c r="E1820" s="212"/>
      <c r="F1820" s="29" t="str">
        <f>IFERROR(VLOOKUP(E1820,'Inventaire des produits'!$B$4:$K$1001,2,0),"")</f>
        <v/>
      </c>
      <c r="G1820" s="212"/>
      <c r="H1820" s="30" t="str">
        <f>IFERROR(VLOOKUP(E1820,'Inventaire des produits'!$B$4:$K$1001,8,0),"")</f>
        <v/>
      </c>
      <c r="I1820" s="32" t="str">
        <f t="shared" si="54"/>
        <v/>
      </c>
      <c r="K1820" s="127" t="str">
        <f t="shared" si="53"/>
        <v/>
      </c>
    </row>
    <row r="1821" spans="2:11" x14ac:dyDescent="0.3">
      <c r="B1821" s="197"/>
      <c r="C1821" s="198"/>
      <c r="D1821" s="197"/>
      <c r="E1821" s="212"/>
      <c r="F1821" s="29" t="str">
        <f>IFERROR(VLOOKUP(E1821,'Inventaire des produits'!$B$4:$K$1001,2,0),"")</f>
        <v/>
      </c>
      <c r="G1821" s="212"/>
      <c r="H1821" s="30" t="str">
        <f>IFERROR(VLOOKUP(E1821,'Inventaire des produits'!$B$4:$K$1001,8,0),"")</f>
        <v/>
      </c>
      <c r="I1821" s="32" t="str">
        <f t="shared" si="54"/>
        <v/>
      </c>
      <c r="K1821" s="127" t="str">
        <f t="shared" si="53"/>
        <v/>
      </c>
    </row>
    <row r="1822" spans="2:11" x14ac:dyDescent="0.3">
      <c r="B1822" s="197"/>
      <c r="C1822" s="198"/>
      <c r="D1822" s="197"/>
      <c r="E1822" s="212"/>
      <c r="F1822" s="29" t="str">
        <f>IFERROR(VLOOKUP(E1822,'Inventaire des produits'!$B$4:$K$1001,2,0),"")</f>
        <v/>
      </c>
      <c r="G1822" s="212"/>
      <c r="H1822" s="30" t="str">
        <f>IFERROR(VLOOKUP(E1822,'Inventaire des produits'!$B$4:$K$1001,8,0),"")</f>
        <v/>
      </c>
      <c r="I1822" s="32" t="str">
        <f t="shared" si="54"/>
        <v/>
      </c>
      <c r="K1822" s="127" t="str">
        <f t="shared" si="53"/>
        <v/>
      </c>
    </row>
    <row r="1823" spans="2:11" x14ac:dyDescent="0.3">
      <c r="B1823" s="197"/>
      <c r="C1823" s="198"/>
      <c r="D1823" s="197"/>
      <c r="E1823" s="212"/>
      <c r="F1823" s="29" t="str">
        <f>IFERROR(VLOOKUP(E1823,'Inventaire des produits'!$B$4:$K$1001,2,0),"")</f>
        <v/>
      </c>
      <c r="G1823" s="212"/>
      <c r="H1823" s="30" t="str">
        <f>IFERROR(VLOOKUP(E1823,'Inventaire des produits'!$B$4:$K$1001,8,0),"")</f>
        <v/>
      </c>
      <c r="I1823" s="32" t="str">
        <f t="shared" si="54"/>
        <v/>
      </c>
      <c r="K1823" s="127" t="str">
        <f t="shared" si="53"/>
        <v/>
      </c>
    </row>
    <row r="1824" spans="2:11" x14ac:dyDescent="0.3">
      <c r="B1824" s="197"/>
      <c r="C1824" s="198"/>
      <c r="D1824" s="197"/>
      <c r="E1824" s="212"/>
      <c r="F1824" s="29" t="str">
        <f>IFERROR(VLOOKUP(E1824,'Inventaire des produits'!$B$4:$K$1001,2,0),"")</f>
        <v/>
      </c>
      <c r="G1824" s="212"/>
      <c r="H1824" s="30" t="str">
        <f>IFERROR(VLOOKUP(E1824,'Inventaire des produits'!$B$4:$K$1001,8,0),"")</f>
        <v/>
      </c>
      <c r="I1824" s="32" t="str">
        <f t="shared" si="54"/>
        <v/>
      </c>
      <c r="K1824" s="127" t="str">
        <f t="shared" si="53"/>
        <v/>
      </c>
    </row>
    <row r="1825" spans="2:11" x14ac:dyDescent="0.3">
      <c r="B1825" s="197"/>
      <c r="C1825" s="198"/>
      <c r="D1825" s="197"/>
      <c r="E1825" s="212"/>
      <c r="F1825" s="29" t="str">
        <f>IFERROR(VLOOKUP(E1825,'Inventaire des produits'!$B$4:$K$1001,2,0),"")</f>
        <v/>
      </c>
      <c r="G1825" s="212"/>
      <c r="H1825" s="30" t="str">
        <f>IFERROR(VLOOKUP(E1825,'Inventaire des produits'!$B$4:$K$1001,8,0),"")</f>
        <v/>
      </c>
      <c r="I1825" s="32" t="str">
        <f t="shared" si="54"/>
        <v/>
      </c>
      <c r="K1825" s="127" t="str">
        <f t="shared" si="53"/>
        <v/>
      </c>
    </row>
    <row r="1826" spans="2:11" x14ac:dyDescent="0.3">
      <c r="B1826" s="197"/>
      <c r="C1826" s="198"/>
      <c r="D1826" s="197"/>
      <c r="E1826" s="212"/>
      <c r="F1826" s="29" t="str">
        <f>IFERROR(VLOOKUP(E1826,'Inventaire des produits'!$B$4:$K$1001,2,0),"")</f>
        <v/>
      </c>
      <c r="G1826" s="212"/>
      <c r="H1826" s="30" t="str">
        <f>IFERROR(VLOOKUP(E1826,'Inventaire des produits'!$B$4:$K$1001,8,0),"")</f>
        <v/>
      </c>
      <c r="I1826" s="32" t="str">
        <f t="shared" si="54"/>
        <v/>
      </c>
      <c r="K1826" s="127" t="str">
        <f t="shared" si="53"/>
        <v/>
      </c>
    </row>
    <row r="1827" spans="2:11" x14ac:dyDescent="0.3">
      <c r="B1827" s="197"/>
      <c r="C1827" s="198"/>
      <c r="D1827" s="197"/>
      <c r="E1827" s="212"/>
      <c r="F1827" s="29" t="str">
        <f>IFERROR(VLOOKUP(E1827,'Inventaire des produits'!$B$4:$K$1001,2,0),"")</f>
        <v/>
      </c>
      <c r="G1827" s="212"/>
      <c r="H1827" s="30" t="str">
        <f>IFERROR(VLOOKUP(E1827,'Inventaire des produits'!$B$4:$K$1001,8,0),"")</f>
        <v/>
      </c>
      <c r="I1827" s="32" t="str">
        <f t="shared" si="54"/>
        <v/>
      </c>
      <c r="K1827" s="127" t="str">
        <f t="shared" si="53"/>
        <v/>
      </c>
    </row>
    <row r="1828" spans="2:11" x14ac:dyDescent="0.3">
      <c r="B1828" s="197"/>
      <c r="C1828" s="198"/>
      <c r="D1828" s="197"/>
      <c r="E1828" s="212"/>
      <c r="F1828" s="29" t="str">
        <f>IFERROR(VLOOKUP(E1828,'Inventaire des produits'!$B$4:$K$1001,2,0),"")</f>
        <v/>
      </c>
      <c r="G1828" s="212"/>
      <c r="H1828" s="30" t="str">
        <f>IFERROR(VLOOKUP(E1828,'Inventaire des produits'!$B$4:$K$1001,8,0),"")</f>
        <v/>
      </c>
      <c r="I1828" s="32" t="str">
        <f t="shared" si="54"/>
        <v/>
      </c>
      <c r="K1828" s="127" t="str">
        <f t="shared" si="53"/>
        <v/>
      </c>
    </row>
    <row r="1829" spans="2:11" x14ac:dyDescent="0.3">
      <c r="B1829" s="197"/>
      <c r="C1829" s="198"/>
      <c r="D1829" s="197"/>
      <c r="E1829" s="212"/>
      <c r="F1829" s="29" t="str">
        <f>IFERROR(VLOOKUP(E1829,'Inventaire des produits'!$B$4:$K$1001,2,0),"")</f>
        <v/>
      </c>
      <c r="G1829" s="212"/>
      <c r="H1829" s="30" t="str">
        <f>IFERROR(VLOOKUP(E1829,'Inventaire des produits'!$B$4:$K$1001,8,0),"")</f>
        <v/>
      </c>
      <c r="I1829" s="32" t="str">
        <f t="shared" si="54"/>
        <v/>
      </c>
      <c r="K1829" s="127" t="str">
        <f t="shared" si="53"/>
        <v/>
      </c>
    </row>
    <row r="1830" spans="2:11" x14ac:dyDescent="0.3">
      <c r="B1830" s="197"/>
      <c r="C1830" s="198"/>
      <c r="D1830" s="197"/>
      <c r="E1830" s="212"/>
      <c r="F1830" s="29" t="str">
        <f>IFERROR(VLOOKUP(E1830,'Inventaire des produits'!$B$4:$K$1001,2,0),"")</f>
        <v/>
      </c>
      <c r="G1830" s="212"/>
      <c r="H1830" s="30" t="str">
        <f>IFERROR(VLOOKUP(E1830,'Inventaire des produits'!$B$4:$K$1001,8,0),"")</f>
        <v/>
      </c>
      <c r="I1830" s="32" t="str">
        <f t="shared" si="54"/>
        <v/>
      </c>
      <c r="K1830" s="127" t="str">
        <f t="shared" si="53"/>
        <v/>
      </c>
    </row>
    <row r="1831" spans="2:11" x14ac:dyDescent="0.3">
      <c r="B1831" s="197"/>
      <c r="C1831" s="198"/>
      <c r="D1831" s="197"/>
      <c r="E1831" s="212"/>
      <c r="F1831" s="29" t="str">
        <f>IFERROR(VLOOKUP(E1831,'Inventaire des produits'!$B$4:$K$1001,2,0),"")</f>
        <v/>
      </c>
      <c r="G1831" s="212"/>
      <c r="H1831" s="30" t="str">
        <f>IFERROR(VLOOKUP(E1831,'Inventaire des produits'!$B$4:$K$1001,8,0),"")</f>
        <v/>
      </c>
      <c r="I1831" s="32" t="str">
        <f t="shared" si="54"/>
        <v/>
      </c>
      <c r="K1831" s="127" t="str">
        <f t="shared" si="53"/>
        <v/>
      </c>
    </row>
    <row r="1832" spans="2:11" x14ac:dyDescent="0.3">
      <c r="B1832" s="197"/>
      <c r="C1832" s="198"/>
      <c r="D1832" s="197"/>
      <c r="E1832" s="212"/>
      <c r="F1832" s="29" t="str">
        <f>IFERROR(VLOOKUP(E1832,'Inventaire des produits'!$B$4:$K$1001,2,0),"")</f>
        <v/>
      </c>
      <c r="G1832" s="212"/>
      <c r="H1832" s="30" t="str">
        <f>IFERROR(VLOOKUP(E1832,'Inventaire des produits'!$B$4:$K$1001,8,0),"")</f>
        <v/>
      </c>
      <c r="I1832" s="32" t="str">
        <f t="shared" si="54"/>
        <v/>
      </c>
      <c r="K1832" s="127" t="str">
        <f t="shared" si="53"/>
        <v/>
      </c>
    </row>
    <row r="1833" spans="2:11" x14ac:dyDescent="0.3">
      <c r="B1833" s="197"/>
      <c r="C1833" s="198"/>
      <c r="D1833" s="197"/>
      <c r="E1833" s="212"/>
      <c r="F1833" s="29" t="str">
        <f>IFERROR(VLOOKUP(E1833,'Inventaire des produits'!$B$4:$K$1001,2,0),"")</f>
        <v/>
      </c>
      <c r="G1833" s="212"/>
      <c r="H1833" s="30" t="str">
        <f>IFERROR(VLOOKUP(E1833,'Inventaire des produits'!$B$4:$K$1001,8,0),"")</f>
        <v/>
      </c>
      <c r="I1833" s="32" t="str">
        <f t="shared" si="54"/>
        <v/>
      </c>
      <c r="K1833" s="127" t="str">
        <f t="shared" si="53"/>
        <v/>
      </c>
    </row>
    <row r="1834" spans="2:11" x14ac:dyDescent="0.3">
      <c r="B1834" s="197"/>
      <c r="C1834" s="198"/>
      <c r="D1834" s="197"/>
      <c r="E1834" s="212"/>
      <c r="F1834" s="29" t="str">
        <f>IFERROR(VLOOKUP(E1834,'Inventaire des produits'!$B$4:$K$1001,2,0),"")</f>
        <v/>
      </c>
      <c r="G1834" s="212"/>
      <c r="H1834" s="30" t="str">
        <f>IFERROR(VLOOKUP(E1834,'Inventaire des produits'!$B$4:$K$1001,8,0),"")</f>
        <v/>
      </c>
      <c r="I1834" s="32" t="str">
        <f t="shared" si="54"/>
        <v/>
      </c>
      <c r="K1834" s="127" t="str">
        <f t="shared" si="53"/>
        <v/>
      </c>
    </row>
    <row r="1835" spans="2:11" x14ac:dyDescent="0.3">
      <c r="B1835" s="197"/>
      <c r="C1835" s="198"/>
      <c r="D1835" s="197"/>
      <c r="E1835" s="212"/>
      <c r="F1835" s="29" t="str">
        <f>IFERROR(VLOOKUP(E1835,'Inventaire des produits'!$B$4:$K$1001,2,0),"")</f>
        <v/>
      </c>
      <c r="G1835" s="212"/>
      <c r="H1835" s="30" t="str">
        <f>IFERROR(VLOOKUP(E1835,'Inventaire des produits'!$B$4:$K$1001,8,0),"")</f>
        <v/>
      </c>
      <c r="I1835" s="32" t="str">
        <f t="shared" si="54"/>
        <v/>
      </c>
      <c r="K1835" s="127" t="str">
        <f t="shared" si="53"/>
        <v/>
      </c>
    </row>
    <row r="1836" spans="2:11" x14ac:dyDescent="0.3">
      <c r="B1836" s="197"/>
      <c r="C1836" s="198"/>
      <c r="D1836" s="197"/>
      <c r="E1836" s="212"/>
      <c r="F1836" s="29" t="str">
        <f>IFERROR(VLOOKUP(E1836,'Inventaire des produits'!$B$4:$K$1001,2,0),"")</f>
        <v/>
      </c>
      <c r="G1836" s="212"/>
      <c r="H1836" s="30" t="str">
        <f>IFERROR(VLOOKUP(E1836,'Inventaire des produits'!$B$4:$K$1001,8,0),"")</f>
        <v/>
      </c>
      <c r="I1836" s="32" t="str">
        <f t="shared" si="54"/>
        <v/>
      </c>
      <c r="K1836" s="127" t="str">
        <f t="shared" si="53"/>
        <v/>
      </c>
    </row>
    <row r="1837" spans="2:11" x14ac:dyDescent="0.3">
      <c r="B1837" s="197"/>
      <c r="C1837" s="198"/>
      <c r="D1837" s="197"/>
      <c r="E1837" s="212"/>
      <c r="F1837" s="29" t="str">
        <f>IFERROR(VLOOKUP(E1837,'Inventaire des produits'!$B$4:$K$1001,2,0),"")</f>
        <v/>
      </c>
      <c r="G1837" s="212"/>
      <c r="H1837" s="30" t="str">
        <f>IFERROR(VLOOKUP(E1837,'Inventaire des produits'!$B$4:$K$1001,8,0),"")</f>
        <v/>
      </c>
      <c r="I1837" s="32" t="str">
        <f t="shared" si="54"/>
        <v/>
      </c>
      <c r="K1837" s="127" t="str">
        <f t="shared" si="53"/>
        <v/>
      </c>
    </row>
    <row r="1838" spans="2:11" x14ac:dyDescent="0.3">
      <c r="B1838" s="197"/>
      <c r="C1838" s="198"/>
      <c r="D1838" s="197"/>
      <c r="E1838" s="212"/>
      <c r="F1838" s="29" t="str">
        <f>IFERROR(VLOOKUP(E1838,'Inventaire des produits'!$B$4:$K$1001,2,0),"")</f>
        <v/>
      </c>
      <c r="G1838" s="212"/>
      <c r="H1838" s="30" t="str">
        <f>IFERROR(VLOOKUP(E1838,'Inventaire des produits'!$B$4:$K$1001,8,0),"")</f>
        <v/>
      </c>
      <c r="I1838" s="32" t="str">
        <f t="shared" si="54"/>
        <v/>
      </c>
      <c r="K1838" s="127" t="str">
        <f t="shared" si="53"/>
        <v/>
      </c>
    </row>
    <row r="1839" spans="2:11" x14ac:dyDescent="0.3">
      <c r="B1839" s="197"/>
      <c r="C1839" s="198"/>
      <c r="D1839" s="197"/>
      <c r="E1839" s="212"/>
      <c r="F1839" s="29" t="str">
        <f>IFERROR(VLOOKUP(E1839,'Inventaire des produits'!$B$4:$K$1001,2,0),"")</f>
        <v/>
      </c>
      <c r="G1839" s="212"/>
      <c r="H1839" s="30" t="str">
        <f>IFERROR(VLOOKUP(E1839,'Inventaire des produits'!$B$4:$K$1001,8,0),"")</f>
        <v/>
      </c>
      <c r="I1839" s="32" t="str">
        <f t="shared" si="54"/>
        <v/>
      </c>
      <c r="K1839" s="127" t="str">
        <f t="shared" si="53"/>
        <v/>
      </c>
    </row>
    <row r="1840" spans="2:11" x14ac:dyDescent="0.3">
      <c r="B1840" s="197"/>
      <c r="C1840" s="198"/>
      <c r="D1840" s="197"/>
      <c r="E1840" s="212"/>
      <c r="F1840" s="29" t="str">
        <f>IFERROR(VLOOKUP(E1840,'Inventaire des produits'!$B$4:$K$1001,2,0),"")</f>
        <v/>
      </c>
      <c r="G1840" s="212"/>
      <c r="H1840" s="30" t="str">
        <f>IFERROR(VLOOKUP(E1840,'Inventaire des produits'!$B$4:$K$1001,8,0),"")</f>
        <v/>
      </c>
      <c r="I1840" s="32" t="str">
        <f t="shared" si="54"/>
        <v/>
      </c>
      <c r="K1840" s="127" t="str">
        <f t="shared" si="53"/>
        <v/>
      </c>
    </row>
    <row r="1841" spans="2:11" x14ac:dyDescent="0.3">
      <c r="B1841" s="197"/>
      <c r="C1841" s="198"/>
      <c r="D1841" s="197"/>
      <c r="E1841" s="212"/>
      <c r="F1841" s="29" t="str">
        <f>IFERROR(VLOOKUP(E1841,'Inventaire des produits'!$B$4:$K$1001,2,0),"")</f>
        <v/>
      </c>
      <c r="G1841" s="212"/>
      <c r="H1841" s="30" t="str">
        <f>IFERROR(VLOOKUP(E1841,'Inventaire des produits'!$B$4:$K$1001,8,0),"")</f>
        <v/>
      </c>
      <c r="I1841" s="32" t="str">
        <f t="shared" si="54"/>
        <v/>
      </c>
      <c r="K1841" s="127" t="str">
        <f t="shared" si="53"/>
        <v/>
      </c>
    </row>
    <row r="1842" spans="2:11" x14ac:dyDescent="0.3">
      <c r="B1842" s="197"/>
      <c r="C1842" s="198"/>
      <c r="D1842" s="197"/>
      <c r="E1842" s="212"/>
      <c r="F1842" s="29" t="str">
        <f>IFERROR(VLOOKUP(E1842,'Inventaire des produits'!$B$4:$K$1001,2,0),"")</f>
        <v/>
      </c>
      <c r="G1842" s="212"/>
      <c r="H1842" s="30" t="str">
        <f>IFERROR(VLOOKUP(E1842,'Inventaire des produits'!$B$4:$K$1001,8,0),"")</f>
        <v/>
      </c>
      <c r="I1842" s="32" t="str">
        <f t="shared" si="54"/>
        <v/>
      </c>
      <c r="K1842" s="127" t="str">
        <f t="shared" si="53"/>
        <v/>
      </c>
    </row>
    <row r="1843" spans="2:11" x14ac:dyDescent="0.3">
      <c r="B1843" s="197"/>
      <c r="C1843" s="198"/>
      <c r="D1843" s="197"/>
      <c r="E1843" s="212"/>
      <c r="F1843" s="29" t="str">
        <f>IFERROR(VLOOKUP(E1843,'Inventaire des produits'!$B$4:$K$1001,2,0),"")</f>
        <v/>
      </c>
      <c r="G1843" s="212"/>
      <c r="H1843" s="30" t="str">
        <f>IFERROR(VLOOKUP(E1843,'Inventaire des produits'!$B$4:$K$1001,8,0),"")</f>
        <v/>
      </c>
      <c r="I1843" s="32" t="str">
        <f t="shared" si="54"/>
        <v/>
      </c>
      <c r="K1843" s="127" t="str">
        <f t="shared" si="53"/>
        <v/>
      </c>
    </row>
    <row r="1844" spans="2:11" x14ac:dyDescent="0.3">
      <c r="B1844" s="197"/>
      <c r="C1844" s="198"/>
      <c r="D1844" s="197"/>
      <c r="E1844" s="212"/>
      <c r="F1844" s="29" t="str">
        <f>IFERROR(VLOOKUP(E1844,'Inventaire des produits'!$B$4:$K$1001,2,0),"")</f>
        <v/>
      </c>
      <c r="G1844" s="212"/>
      <c r="H1844" s="30" t="str">
        <f>IFERROR(VLOOKUP(E1844,'Inventaire des produits'!$B$4:$K$1001,8,0),"")</f>
        <v/>
      </c>
      <c r="I1844" s="32" t="str">
        <f t="shared" si="54"/>
        <v/>
      </c>
      <c r="K1844" s="127" t="str">
        <f t="shared" si="53"/>
        <v/>
      </c>
    </row>
    <row r="1845" spans="2:11" x14ac:dyDescent="0.3">
      <c r="B1845" s="197"/>
      <c r="C1845" s="198"/>
      <c r="D1845" s="197"/>
      <c r="E1845" s="212"/>
      <c r="F1845" s="29" t="str">
        <f>IFERROR(VLOOKUP(E1845,'Inventaire des produits'!$B$4:$K$1001,2,0),"")</f>
        <v/>
      </c>
      <c r="G1845" s="212"/>
      <c r="H1845" s="30" t="str">
        <f>IFERROR(VLOOKUP(E1845,'Inventaire des produits'!$B$4:$K$1001,8,0),"")</f>
        <v/>
      </c>
      <c r="I1845" s="32" t="str">
        <f t="shared" si="54"/>
        <v/>
      </c>
      <c r="K1845" s="127" t="str">
        <f t="shared" si="53"/>
        <v/>
      </c>
    </row>
    <row r="1846" spans="2:11" x14ac:dyDescent="0.3">
      <c r="B1846" s="197"/>
      <c r="C1846" s="198"/>
      <c r="D1846" s="197"/>
      <c r="E1846" s="212"/>
      <c r="F1846" s="29" t="str">
        <f>IFERROR(VLOOKUP(E1846,'Inventaire des produits'!$B$4:$K$1001,2,0),"")</f>
        <v/>
      </c>
      <c r="G1846" s="212"/>
      <c r="H1846" s="30" t="str">
        <f>IFERROR(VLOOKUP(E1846,'Inventaire des produits'!$B$4:$K$1001,8,0),"")</f>
        <v/>
      </c>
      <c r="I1846" s="32" t="str">
        <f t="shared" si="54"/>
        <v/>
      </c>
      <c r="K1846" s="127" t="str">
        <f t="shared" si="53"/>
        <v/>
      </c>
    </row>
    <row r="1847" spans="2:11" x14ac:dyDescent="0.3">
      <c r="B1847" s="197"/>
      <c r="C1847" s="198"/>
      <c r="D1847" s="197"/>
      <c r="E1847" s="212"/>
      <c r="F1847" s="29" t="str">
        <f>IFERROR(VLOOKUP(E1847,'Inventaire des produits'!$B$4:$K$1001,2,0),"")</f>
        <v/>
      </c>
      <c r="G1847" s="212"/>
      <c r="H1847" s="30" t="str">
        <f>IFERROR(VLOOKUP(E1847,'Inventaire des produits'!$B$4:$K$1001,8,0),"")</f>
        <v/>
      </c>
      <c r="I1847" s="32" t="str">
        <f t="shared" si="54"/>
        <v/>
      </c>
      <c r="K1847" s="127" t="str">
        <f t="shared" si="53"/>
        <v/>
      </c>
    </row>
    <row r="1848" spans="2:11" x14ac:dyDescent="0.3">
      <c r="B1848" s="197"/>
      <c r="C1848" s="198"/>
      <c r="D1848" s="197"/>
      <c r="E1848" s="212"/>
      <c r="F1848" s="29" t="str">
        <f>IFERROR(VLOOKUP(E1848,'Inventaire des produits'!$B$4:$K$1001,2,0),"")</f>
        <v/>
      </c>
      <c r="G1848" s="212"/>
      <c r="H1848" s="30" t="str">
        <f>IFERROR(VLOOKUP(E1848,'Inventaire des produits'!$B$4:$K$1001,8,0),"")</f>
        <v/>
      </c>
      <c r="I1848" s="32" t="str">
        <f t="shared" si="54"/>
        <v/>
      </c>
      <c r="K1848" s="127" t="str">
        <f t="shared" si="53"/>
        <v/>
      </c>
    </row>
    <row r="1849" spans="2:11" x14ac:dyDescent="0.3">
      <c r="B1849" s="197"/>
      <c r="C1849" s="198"/>
      <c r="D1849" s="197"/>
      <c r="E1849" s="212"/>
      <c r="F1849" s="29" t="str">
        <f>IFERROR(VLOOKUP(E1849,'Inventaire des produits'!$B$4:$K$1001,2,0),"")</f>
        <v/>
      </c>
      <c r="G1849" s="212"/>
      <c r="H1849" s="30" t="str">
        <f>IFERROR(VLOOKUP(E1849,'Inventaire des produits'!$B$4:$K$1001,8,0),"")</f>
        <v/>
      </c>
      <c r="I1849" s="32" t="str">
        <f t="shared" si="54"/>
        <v/>
      </c>
      <c r="K1849" s="127" t="str">
        <f t="shared" si="53"/>
        <v/>
      </c>
    </row>
    <row r="1850" spans="2:11" x14ac:dyDescent="0.3">
      <c r="B1850" s="197"/>
      <c r="C1850" s="198"/>
      <c r="D1850" s="197"/>
      <c r="E1850" s="212"/>
      <c r="F1850" s="29" t="str">
        <f>IFERROR(VLOOKUP(E1850,'Inventaire des produits'!$B$4:$K$1001,2,0),"")</f>
        <v/>
      </c>
      <c r="G1850" s="212"/>
      <c r="H1850" s="30" t="str">
        <f>IFERROR(VLOOKUP(E1850,'Inventaire des produits'!$B$4:$K$1001,8,0),"")</f>
        <v/>
      </c>
      <c r="I1850" s="32" t="str">
        <f t="shared" si="54"/>
        <v/>
      </c>
      <c r="K1850" s="127" t="str">
        <f t="shared" si="53"/>
        <v/>
      </c>
    </row>
    <row r="1851" spans="2:11" x14ac:dyDescent="0.3">
      <c r="B1851" s="197"/>
      <c r="C1851" s="198"/>
      <c r="D1851" s="197"/>
      <c r="E1851" s="212"/>
      <c r="F1851" s="29" t="str">
        <f>IFERROR(VLOOKUP(E1851,'Inventaire des produits'!$B$4:$K$1001,2,0),"")</f>
        <v/>
      </c>
      <c r="G1851" s="212"/>
      <c r="H1851" s="30" t="str">
        <f>IFERROR(VLOOKUP(E1851,'Inventaire des produits'!$B$4:$K$1001,8,0),"")</f>
        <v/>
      </c>
      <c r="I1851" s="32" t="str">
        <f t="shared" si="54"/>
        <v/>
      </c>
      <c r="K1851" s="127" t="str">
        <f t="shared" si="53"/>
        <v/>
      </c>
    </row>
    <row r="1852" spans="2:11" x14ac:dyDescent="0.3">
      <c r="B1852" s="197"/>
      <c r="C1852" s="198"/>
      <c r="D1852" s="197"/>
      <c r="E1852" s="212"/>
      <c r="F1852" s="29" t="str">
        <f>IFERROR(VLOOKUP(E1852,'Inventaire des produits'!$B$4:$K$1001,2,0),"")</f>
        <v/>
      </c>
      <c r="G1852" s="212"/>
      <c r="H1852" s="30" t="str">
        <f>IFERROR(VLOOKUP(E1852,'Inventaire des produits'!$B$4:$K$1001,8,0),"")</f>
        <v/>
      </c>
      <c r="I1852" s="32" t="str">
        <f t="shared" si="54"/>
        <v/>
      </c>
      <c r="K1852" s="127" t="str">
        <f t="shared" ref="K1852:K1915" si="55">IF(J1852="","",J1852*1.2)</f>
        <v/>
      </c>
    </row>
    <row r="1853" spans="2:11" x14ac:dyDescent="0.3">
      <c r="B1853" s="197"/>
      <c r="C1853" s="198"/>
      <c r="D1853" s="197"/>
      <c r="E1853" s="212"/>
      <c r="F1853" s="29" t="str">
        <f>IFERROR(VLOOKUP(E1853,'Inventaire des produits'!$B$4:$K$1001,2,0),"")</f>
        <v/>
      </c>
      <c r="G1853" s="212"/>
      <c r="H1853" s="30" t="str">
        <f>IFERROR(VLOOKUP(E1853,'Inventaire des produits'!$B$4:$K$1001,8,0),"")</f>
        <v/>
      </c>
      <c r="I1853" s="32" t="str">
        <f t="shared" si="54"/>
        <v/>
      </c>
      <c r="K1853" s="127" t="str">
        <f t="shared" si="55"/>
        <v/>
      </c>
    </row>
    <row r="1854" spans="2:11" x14ac:dyDescent="0.3">
      <c r="B1854" s="197"/>
      <c r="C1854" s="198"/>
      <c r="D1854" s="197"/>
      <c r="E1854" s="212"/>
      <c r="F1854" s="29" t="str">
        <f>IFERROR(VLOOKUP(E1854,'Inventaire des produits'!$B$4:$K$1001,2,0),"")</f>
        <v/>
      </c>
      <c r="G1854" s="212"/>
      <c r="H1854" s="30" t="str">
        <f>IFERROR(VLOOKUP(E1854,'Inventaire des produits'!$B$4:$K$1001,8,0),"")</f>
        <v/>
      </c>
      <c r="I1854" s="32" t="str">
        <f t="shared" si="54"/>
        <v/>
      </c>
      <c r="K1854" s="127" t="str">
        <f t="shared" si="55"/>
        <v/>
      </c>
    </row>
    <row r="1855" spans="2:11" x14ac:dyDescent="0.3">
      <c r="B1855" s="197"/>
      <c r="C1855" s="198"/>
      <c r="D1855" s="197"/>
      <c r="E1855" s="212"/>
      <c r="F1855" s="29" t="str">
        <f>IFERROR(VLOOKUP(E1855,'Inventaire des produits'!$B$4:$K$1001,2,0),"")</f>
        <v/>
      </c>
      <c r="G1855" s="212"/>
      <c r="H1855" s="30" t="str">
        <f>IFERROR(VLOOKUP(E1855,'Inventaire des produits'!$B$4:$K$1001,8,0),"")</f>
        <v/>
      </c>
      <c r="I1855" s="32" t="str">
        <f t="shared" si="54"/>
        <v/>
      </c>
      <c r="K1855" s="127" t="str">
        <f t="shared" si="55"/>
        <v/>
      </c>
    </row>
    <row r="1856" spans="2:11" x14ac:dyDescent="0.3">
      <c r="B1856" s="197"/>
      <c r="C1856" s="198"/>
      <c r="D1856" s="197"/>
      <c r="E1856" s="212"/>
      <c r="F1856" s="29" t="str">
        <f>IFERROR(VLOOKUP(E1856,'Inventaire des produits'!$B$4:$K$1001,2,0),"")</f>
        <v/>
      </c>
      <c r="G1856" s="212"/>
      <c r="H1856" s="30" t="str">
        <f>IFERROR(VLOOKUP(E1856,'Inventaire des produits'!$B$4:$K$1001,8,0),"")</f>
        <v/>
      </c>
      <c r="I1856" s="32" t="str">
        <f t="shared" si="54"/>
        <v/>
      </c>
      <c r="K1856" s="127" t="str">
        <f t="shared" si="55"/>
        <v/>
      </c>
    </row>
    <row r="1857" spans="2:11" x14ac:dyDescent="0.3">
      <c r="B1857" s="197"/>
      <c r="C1857" s="198"/>
      <c r="D1857" s="197"/>
      <c r="E1857" s="212"/>
      <c r="F1857" s="29" t="str">
        <f>IFERROR(VLOOKUP(E1857,'Inventaire des produits'!$B$4:$K$1001,2,0),"")</f>
        <v/>
      </c>
      <c r="G1857" s="212"/>
      <c r="H1857" s="30" t="str">
        <f>IFERROR(VLOOKUP(E1857,'Inventaire des produits'!$B$4:$K$1001,8,0),"")</f>
        <v/>
      </c>
      <c r="I1857" s="32" t="str">
        <f t="shared" si="54"/>
        <v/>
      </c>
      <c r="K1857" s="127" t="str">
        <f t="shared" si="55"/>
        <v/>
      </c>
    </row>
    <row r="1858" spans="2:11" x14ac:dyDescent="0.3">
      <c r="B1858" s="197"/>
      <c r="C1858" s="198"/>
      <c r="D1858" s="197"/>
      <c r="E1858" s="212"/>
      <c r="F1858" s="29" t="str">
        <f>IFERROR(VLOOKUP(E1858,'Inventaire des produits'!$B$4:$K$1001,2,0),"")</f>
        <v/>
      </c>
      <c r="G1858" s="212"/>
      <c r="H1858" s="30" t="str">
        <f>IFERROR(VLOOKUP(E1858,'Inventaire des produits'!$B$4:$K$1001,8,0),"")</f>
        <v/>
      </c>
      <c r="I1858" s="32" t="str">
        <f t="shared" ref="I1858:I1921" si="56">IF(OR(G1858="",H1858=""),"",G1858*H1858)</f>
        <v/>
      </c>
      <c r="K1858" s="127" t="str">
        <f t="shared" si="55"/>
        <v/>
      </c>
    </row>
    <row r="1859" spans="2:11" x14ac:dyDescent="0.3">
      <c r="B1859" s="197"/>
      <c r="C1859" s="198"/>
      <c r="D1859" s="197"/>
      <c r="E1859" s="212"/>
      <c r="F1859" s="29" t="str">
        <f>IFERROR(VLOOKUP(E1859,'Inventaire des produits'!$B$4:$K$1001,2,0),"")</f>
        <v/>
      </c>
      <c r="G1859" s="212"/>
      <c r="H1859" s="30" t="str">
        <f>IFERROR(VLOOKUP(E1859,'Inventaire des produits'!$B$4:$K$1001,8,0),"")</f>
        <v/>
      </c>
      <c r="I1859" s="32" t="str">
        <f t="shared" si="56"/>
        <v/>
      </c>
      <c r="K1859" s="127" t="str">
        <f t="shared" si="55"/>
        <v/>
      </c>
    </row>
    <row r="1860" spans="2:11" x14ac:dyDescent="0.3">
      <c r="B1860" s="197"/>
      <c r="C1860" s="198"/>
      <c r="D1860" s="197"/>
      <c r="E1860" s="212"/>
      <c r="F1860" s="29" t="str">
        <f>IFERROR(VLOOKUP(E1860,'Inventaire des produits'!$B$4:$K$1001,2,0),"")</f>
        <v/>
      </c>
      <c r="G1860" s="212"/>
      <c r="H1860" s="30" t="str">
        <f>IFERROR(VLOOKUP(E1860,'Inventaire des produits'!$B$4:$K$1001,8,0),"")</f>
        <v/>
      </c>
      <c r="I1860" s="32" t="str">
        <f t="shared" si="56"/>
        <v/>
      </c>
      <c r="K1860" s="127" t="str">
        <f t="shared" si="55"/>
        <v/>
      </c>
    </row>
    <row r="1861" spans="2:11" x14ac:dyDescent="0.3">
      <c r="B1861" s="197"/>
      <c r="C1861" s="198"/>
      <c r="D1861" s="197"/>
      <c r="E1861" s="212"/>
      <c r="F1861" s="29" t="str">
        <f>IFERROR(VLOOKUP(E1861,'Inventaire des produits'!$B$4:$K$1001,2,0),"")</f>
        <v/>
      </c>
      <c r="G1861" s="212"/>
      <c r="H1861" s="30" t="str">
        <f>IFERROR(VLOOKUP(E1861,'Inventaire des produits'!$B$4:$K$1001,8,0),"")</f>
        <v/>
      </c>
      <c r="I1861" s="32" t="str">
        <f t="shared" si="56"/>
        <v/>
      </c>
      <c r="K1861" s="127" t="str">
        <f t="shared" si="55"/>
        <v/>
      </c>
    </row>
    <row r="1862" spans="2:11" x14ac:dyDescent="0.3">
      <c r="B1862" s="197"/>
      <c r="C1862" s="198"/>
      <c r="D1862" s="197"/>
      <c r="E1862" s="212"/>
      <c r="F1862" s="29" t="str">
        <f>IFERROR(VLOOKUP(E1862,'Inventaire des produits'!$B$4:$K$1001,2,0),"")</f>
        <v/>
      </c>
      <c r="G1862" s="212"/>
      <c r="H1862" s="30" t="str">
        <f>IFERROR(VLOOKUP(E1862,'Inventaire des produits'!$B$4:$K$1001,8,0),"")</f>
        <v/>
      </c>
      <c r="I1862" s="32" t="str">
        <f t="shared" si="56"/>
        <v/>
      </c>
      <c r="K1862" s="127" t="str">
        <f t="shared" si="55"/>
        <v/>
      </c>
    </row>
    <row r="1863" spans="2:11" x14ac:dyDescent="0.3">
      <c r="B1863" s="197"/>
      <c r="C1863" s="198"/>
      <c r="D1863" s="197"/>
      <c r="E1863" s="212"/>
      <c r="F1863" s="29" t="str">
        <f>IFERROR(VLOOKUP(E1863,'Inventaire des produits'!$B$4:$K$1001,2,0),"")</f>
        <v/>
      </c>
      <c r="G1863" s="212"/>
      <c r="H1863" s="30" t="str">
        <f>IFERROR(VLOOKUP(E1863,'Inventaire des produits'!$B$4:$K$1001,8,0),"")</f>
        <v/>
      </c>
      <c r="I1863" s="32" t="str">
        <f t="shared" si="56"/>
        <v/>
      </c>
      <c r="K1863" s="127" t="str">
        <f t="shared" si="55"/>
        <v/>
      </c>
    </row>
    <row r="1864" spans="2:11" x14ac:dyDescent="0.3">
      <c r="B1864" s="197"/>
      <c r="C1864" s="198"/>
      <c r="D1864" s="197"/>
      <c r="E1864" s="212"/>
      <c r="F1864" s="29" t="str">
        <f>IFERROR(VLOOKUP(E1864,'Inventaire des produits'!$B$4:$K$1001,2,0),"")</f>
        <v/>
      </c>
      <c r="G1864" s="212"/>
      <c r="H1864" s="30" t="str">
        <f>IFERROR(VLOOKUP(E1864,'Inventaire des produits'!$B$4:$K$1001,8,0),"")</f>
        <v/>
      </c>
      <c r="I1864" s="32" t="str">
        <f t="shared" si="56"/>
        <v/>
      </c>
      <c r="K1864" s="127" t="str">
        <f t="shared" si="55"/>
        <v/>
      </c>
    </row>
    <row r="1865" spans="2:11" x14ac:dyDescent="0.3">
      <c r="B1865" s="197"/>
      <c r="C1865" s="198"/>
      <c r="D1865" s="197"/>
      <c r="E1865" s="212"/>
      <c r="F1865" s="29" t="str">
        <f>IFERROR(VLOOKUP(E1865,'Inventaire des produits'!$B$4:$K$1001,2,0),"")</f>
        <v/>
      </c>
      <c r="G1865" s="212"/>
      <c r="H1865" s="30" t="str">
        <f>IFERROR(VLOOKUP(E1865,'Inventaire des produits'!$B$4:$K$1001,8,0),"")</f>
        <v/>
      </c>
      <c r="I1865" s="32" t="str">
        <f t="shared" si="56"/>
        <v/>
      </c>
      <c r="K1865" s="127" t="str">
        <f t="shared" si="55"/>
        <v/>
      </c>
    </row>
    <row r="1866" spans="2:11" x14ac:dyDescent="0.3">
      <c r="B1866" s="197"/>
      <c r="C1866" s="198"/>
      <c r="D1866" s="197"/>
      <c r="E1866" s="212"/>
      <c r="F1866" s="29" t="str">
        <f>IFERROR(VLOOKUP(E1866,'Inventaire des produits'!$B$4:$K$1001,2,0),"")</f>
        <v/>
      </c>
      <c r="G1866" s="212"/>
      <c r="H1866" s="30" t="str">
        <f>IFERROR(VLOOKUP(E1866,'Inventaire des produits'!$B$4:$K$1001,8,0),"")</f>
        <v/>
      </c>
      <c r="I1866" s="32" t="str">
        <f t="shared" si="56"/>
        <v/>
      </c>
      <c r="K1866" s="127" t="str">
        <f t="shared" si="55"/>
        <v/>
      </c>
    </row>
    <row r="1867" spans="2:11" x14ac:dyDescent="0.3">
      <c r="B1867" s="197"/>
      <c r="C1867" s="198"/>
      <c r="D1867" s="197"/>
      <c r="E1867" s="212"/>
      <c r="F1867" s="29" t="str">
        <f>IFERROR(VLOOKUP(E1867,'Inventaire des produits'!$B$4:$K$1001,2,0),"")</f>
        <v/>
      </c>
      <c r="G1867" s="212"/>
      <c r="H1867" s="30" t="str">
        <f>IFERROR(VLOOKUP(E1867,'Inventaire des produits'!$B$4:$K$1001,8,0),"")</f>
        <v/>
      </c>
      <c r="I1867" s="32" t="str">
        <f t="shared" si="56"/>
        <v/>
      </c>
      <c r="K1867" s="127" t="str">
        <f t="shared" si="55"/>
        <v/>
      </c>
    </row>
    <row r="1868" spans="2:11" x14ac:dyDescent="0.3">
      <c r="B1868" s="197"/>
      <c r="C1868" s="198"/>
      <c r="D1868" s="197"/>
      <c r="E1868" s="212"/>
      <c r="F1868" s="29" t="str">
        <f>IFERROR(VLOOKUP(E1868,'Inventaire des produits'!$B$4:$K$1001,2,0),"")</f>
        <v/>
      </c>
      <c r="G1868" s="212"/>
      <c r="H1868" s="30" t="str">
        <f>IFERROR(VLOOKUP(E1868,'Inventaire des produits'!$B$4:$K$1001,8,0),"")</f>
        <v/>
      </c>
      <c r="I1868" s="32" t="str">
        <f t="shared" si="56"/>
        <v/>
      </c>
      <c r="K1868" s="127" t="str">
        <f t="shared" si="55"/>
        <v/>
      </c>
    </row>
    <row r="1869" spans="2:11" x14ac:dyDescent="0.3">
      <c r="B1869" s="197"/>
      <c r="C1869" s="198"/>
      <c r="D1869" s="197"/>
      <c r="E1869" s="212"/>
      <c r="F1869" s="29" t="str">
        <f>IFERROR(VLOOKUP(E1869,'Inventaire des produits'!$B$4:$K$1001,2,0),"")</f>
        <v/>
      </c>
      <c r="G1869" s="212"/>
      <c r="H1869" s="30" t="str">
        <f>IFERROR(VLOOKUP(E1869,'Inventaire des produits'!$B$4:$K$1001,8,0),"")</f>
        <v/>
      </c>
      <c r="I1869" s="32" t="str">
        <f t="shared" si="56"/>
        <v/>
      </c>
      <c r="K1869" s="127" t="str">
        <f t="shared" si="55"/>
        <v/>
      </c>
    </row>
    <row r="1870" spans="2:11" x14ac:dyDescent="0.3">
      <c r="B1870" s="197"/>
      <c r="C1870" s="198"/>
      <c r="D1870" s="197"/>
      <c r="E1870" s="212"/>
      <c r="F1870" s="29" t="str">
        <f>IFERROR(VLOOKUP(E1870,'Inventaire des produits'!$B$4:$K$1001,2,0),"")</f>
        <v/>
      </c>
      <c r="G1870" s="212"/>
      <c r="H1870" s="30" t="str">
        <f>IFERROR(VLOOKUP(E1870,'Inventaire des produits'!$B$4:$K$1001,8,0),"")</f>
        <v/>
      </c>
      <c r="I1870" s="32" t="str">
        <f t="shared" si="56"/>
        <v/>
      </c>
      <c r="K1870" s="127" t="str">
        <f t="shared" si="55"/>
        <v/>
      </c>
    </row>
    <row r="1871" spans="2:11" x14ac:dyDescent="0.3">
      <c r="B1871" s="197"/>
      <c r="C1871" s="198"/>
      <c r="D1871" s="197"/>
      <c r="E1871" s="212"/>
      <c r="F1871" s="29" t="str">
        <f>IFERROR(VLOOKUP(E1871,'Inventaire des produits'!$B$4:$K$1001,2,0),"")</f>
        <v/>
      </c>
      <c r="G1871" s="212"/>
      <c r="H1871" s="30" t="str">
        <f>IFERROR(VLOOKUP(E1871,'Inventaire des produits'!$B$4:$K$1001,8,0),"")</f>
        <v/>
      </c>
      <c r="I1871" s="32" t="str">
        <f t="shared" si="56"/>
        <v/>
      </c>
      <c r="K1871" s="127" t="str">
        <f t="shared" si="55"/>
        <v/>
      </c>
    </row>
    <row r="1872" spans="2:11" x14ac:dyDescent="0.3">
      <c r="B1872" s="197"/>
      <c r="C1872" s="198"/>
      <c r="D1872" s="197"/>
      <c r="E1872" s="212"/>
      <c r="F1872" s="29" t="str">
        <f>IFERROR(VLOOKUP(E1872,'Inventaire des produits'!$B$4:$K$1001,2,0),"")</f>
        <v/>
      </c>
      <c r="G1872" s="212"/>
      <c r="H1872" s="30" t="str">
        <f>IFERROR(VLOOKUP(E1872,'Inventaire des produits'!$B$4:$K$1001,8,0),"")</f>
        <v/>
      </c>
      <c r="I1872" s="32" t="str">
        <f t="shared" si="56"/>
        <v/>
      </c>
      <c r="K1872" s="127" t="str">
        <f t="shared" si="55"/>
        <v/>
      </c>
    </row>
    <row r="1873" spans="2:11" x14ac:dyDescent="0.3">
      <c r="B1873" s="197"/>
      <c r="C1873" s="198"/>
      <c r="D1873" s="197"/>
      <c r="E1873" s="212"/>
      <c r="F1873" s="29" t="str">
        <f>IFERROR(VLOOKUP(E1873,'Inventaire des produits'!$B$4:$K$1001,2,0),"")</f>
        <v/>
      </c>
      <c r="G1873" s="212"/>
      <c r="H1873" s="30" t="str">
        <f>IFERROR(VLOOKUP(E1873,'Inventaire des produits'!$B$4:$K$1001,8,0),"")</f>
        <v/>
      </c>
      <c r="I1873" s="32" t="str">
        <f t="shared" si="56"/>
        <v/>
      </c>
      <c r="K1873" s="127" t="str">
        <f t="shared" si="55"/>
        <v/>
      </c>
    </row>
    <row r="1874" spans="2:11" x14ac:dyDescent="0.3">
      <c r="B1874" s="197"/>
      <c r="C1874" s="198"/>
      <c r="D1874" s="197"/>
      <c r="E1874" s="212"/>
      <c r="F1874" s="29" t="str">
        <f>IFERROR(VLOOKUP(E1874,'Inventaire des produits'!$B$4:$K$1001,2,0),"")</f>
        <v/>
      </c>
      <c r="G1874" s="212"/>
      <c r="H1874" s="30" t="str">
        <f>IFERROR(VLOOKUP(E1874,'Inventaire des produits'!$B$4:$K$1001,8,0),"")</f>
        <v/>
      </c>
      <c r="I1874" s="32" t="str">
        <f t="shared" si="56"/>
        <v/>
      </c>
      <c r="K1874" s="127" t="str">
        <f t="shared" si="55"/>
        <v/>
      </c>
    </row>
    <row r="1875" spans="2:11" x14ac:dyDescent="0.3">
      <c r="B1875" s="197"/>
      <c r="C1875" s="198"/>
      <c r="D1875" s="197"/>
      <c r="E1875" s="212"/>
      <c r="F1875" s="29" t="str">
        <f>IFERROR(VLOOKUP(E1875,'Inventaire des produits'!$B$4:$K$1001,2,0),"")</f>
        <v/>
      </c>
      <c r="G1875" s="212"/>
      <c r="H1875" s="30" t="str">
        <f>IFERROR(VLOOKUP(E1875,'Inventaire des produits'!$B$4:$K$1001,8,0),"")</f>
        <v/>
      </c>
      <c r="I1875" s="32" t="str">
        <f t="shared" si="56"/>
        <v/>
      </c>
      <c r="K1875" s="127" t="str">
        <f t="shared" si="55"/>
        <v/>
      </c>
    </row>
    <row r="1876" spans="2:11" x14ac:dyDescent="0.3">
      <c r="B1876" s="197"/>
      <c r="C1876" s="198"/>
      <c r="D1876" s="197"/>
      <c r="E1876" s="212"/>
      <c r="F1876" s="29" t="str">
        <f>IFERROR(VLOOKUP(E1876,'Inventaire des produits'!$B$4:$K$1001,2,0),"")</f>
        <v/>
      </c>
      <c r="G1876" s="212"/>
      <c r="H1876" s="30" t="str">
        <f>IFERROR(VLOOKUP(E1876,'Inventaire des produits'!$B$4:$K$1001,8,0),"")</f>
        <v/>
      </c>
      <c r="I1876" s="32" t="str">
        <f t="shared" si="56"/>
        <v/>
      </c>
      <c r="K1876" s="127" t="str">
        <f t="shared" si="55"/>
        <v/>
      </c>
    </row>
    <row r="1877" spans="2:11" x14ac:dyDescent="0.3">
      <c r="B1877" s="197"/>
      <c r="C1877" s="198"/>
      <c r="D1877" s="197"/>
      <c r="E1877" s="212"/>
      <c r="F1877" s="29" t="str">
        <f>IFERROR(VLOOKUP(E1877,'Inventaire des produits'!$B$4:$K$1001,2,0),"")</f>
        <v/>
      </c>
      <c r="G1877" s="212"/>
      <c r="H1877" s="30" t="str">
        <f>IFERROR(VLOOKUP(E1877,'Inventaire des produits'!$B$4:$K$1001,8,0),"")</f>
        <v/>
      </c>
      <c r="I1877" s="32" t="str">
        <f t="shared" si="56"/>
        <v/>
      </c>
      <c r="K1877" s="127" t="str">
        <f t="shared" si="55"/>
        <v/>
      </c>
    </row>
    <row r="1878" spans="2:11" x14ac:dyDescent="0.3">
      <c r="B1878" s="197"/>
      <c r="C1878" s="198"/>
      <c r="D1878" s="197"/>
      <c r="E1878" s="212"/>
      <c r="F1878" s="29" t="str">
        <f>IFERROR(VLOOKUP(E1878,'Inventaire des produits'!$B$4:$K$1001,2,0),"")</f>
        <v/>
      </c>
      <c r="G1878" s="212"/>
      <c r="H1878" s="30" t="str">
        <f>IFERROR(VLOOKUP(E1878,'Inventaire des produits'!$B$4:$K$1001,8,0),"")</f>
        <v/>
      </c>
      <c r="I1878" s="32" t="str">
        <f t="shared" si="56"/>
        <v/>
      </c>
      <c r="K1878" s="127" t="str">
        <f t="shared" si="55"/>
        <v/>
      </c>
    </row>
    <row r="1879" spans="2:11" x14ac:dyDescent="0.3">
      <c r="B1879" s="197"/>
      <c r="C1879" s="198"/>
      <c r="D1879" s="197"/>
      <c r="E1879" s="212"/>
      <c r="F1879" s="29" t="str">
        <f>IFERROR(VLOOKUP(E1879,'Inventaire des produits'!$B$4:$K$1001,2,0),"")</f>
        <v/>
      </c>
      <c r="G1879" s="212"/>
      <c r="H1879" s="30" t="str">
        <f>IFERROR(VLOOKUP(E1879,'Inventaire des produits'!$B$4:$K$1001,8,0),"")</f>
        <v/>
      </c>
      <c r="I1879" s="32" t="str">
        <f t="shared" si="56"/>
        <v/>
      </c>
      <c r="K1879" s="127" t="str">
        <f t="shared" si="55"/>
        <v/>
      </c>
    </row>
    <row r="1880" spans="2:11" x14ac:dyDescent="0.3">
      <c r="B1880" s="197"/>
      <c r="C1880" s="198"/>
      <c r="D1880" s="197"/>
      <c r="E1880" s="212"/>
      <c r="F1880" s="29" t="str">
        <f>IFERROR(VLOOKUP(E1880,'Inventaire des produits'!$B$4:$K$1001,2,0),"")</f>
        <v/>
      </c>
      <c r="G1880" s="212"/>
      <c r="H1880" s="30" t="str">
        <f>IFERROR(VLOOKUP(E1880,'Inventaire des produits'!$B$4:$K$1001,8,0),"")</f>
        <v/>
      </c>
      <c r="I1880" s="32" t="str">
        <f t="shared" si="56"/>
        <v/>
      </c>
      <c r="K1880" s="127" t="str">
        <f t="shared" si="55"/>
        <v/>
      </c>
    </row>
    <row r="1881" spans="2:11" x14ac:dyDescent="0.3">
      <c r="B1881" s="197"/>
      <c r="C1881" s="198"/>
      <c r="D1881" s="197"/>
      <c r="E1881" s="212"/>
      <c r="F1881" s="29" t="str">
        <f>IFERROR(VLOOKUP(E1881,'Inventaire des produits'!$B$4:$K$1001,2,0),"")</f>
        <v/>
      </c>
      <c r="G1881" s="212"/>
      <c r="H1881" s="30" t="str">
        <f>IFERROR(VLOOKUP(E1881,'Inventaire des produits'!$B$4:$K$1001,8,0),"")</f>
        <v/>
      </c>
      <c r="I1881" s="32" t="str">
        <f t="shared" si="56"/>
        <v/>
      </c>
      <c r="K1881" s="127" t="str">
        <f t="shared" si="55"/>
        <v/>
      </c>
    </row>
    <row r="1882" spans="2:11" x14ac:dyDescent="0.3">
      <c r="B1882" s="197"/>
      <c r="C1882" s="198"/>
      <c r="D1882" s="197"/>
      <c r="E1882" s="212"/>
      <c r="F1882" s="29" t="str">
        <f>IFERROR(VLOOKUP(E1882,'Inventaire des produits'!$B$4:$K$1001,2,0),"")</f>
        <v/>
      </c>
      <c r="G1882" s="212"/>
      <c r="H1882" s="30" t="str">
        <f>IFERROR(VLOOKUP(E1882,'Inventaire des produits'!$B$4:$K$1001,8,0),"")</f>
        <v/>
      </c>
      <c r="I1882" s="32" t="str">
        <f t="shared" si="56"/>
        <v/>
      </c>
      <c r="K1882" s="127" t="str">
        <f t="shared" si="55"/>
        <v/>
      </c>
    </row>
    <row r="1883" spans="2:11" x14ac:dyDescent="0.3">
      <c r="B1883" s="197"/>
      <c r="C1883" s="198"/>
      <c r="D1883" s="197"/>
      <c r="E1883" s="212"/>
      <c r="F1883" s="29" t="str">
        <f>IFERROR(VLOOKUP(E1883,'Inventaire des produits'!$B$4:$K$1001,2,0),"")</f>
        <v/>
      </c>
      <c r="G1883" s="212"/>
      <c r="H1883" s="30" t="str">
        <f>IFERROR(VLOOKUP(E1883,'Inventaire des produits'!$B$4:$K$1001,8,0),"")</f>
        <v/>
      </c>
      <c r="I1883" s="32" t="str">
        <f t="shared" si="56"/>
        <v/>
      </c>
      <c r="K1883" s="127" t="str">
        <f t="shared" si="55"/>
        <v/>
      </c>
    </row>
    <row r="1884" spans="2:11" x14ac:dyDescent="0.3">
      <c r="B1884" s="197"/>
      <c r="C1884" s="198"/>
      <c r="D1884" s="197"/>
      <c r="E1884" s="212"/>
      <c r="F1884" s="29" t="str">
        <f>IFERROR(VLOOKUP(E1884,'Inventaire des produits'!$B$4:$K$1001,2,0),"")</f>
        <v/>
      </c>
      <c r="G1884" s="212"/>
      <c r="H1884" s="30" t="str">
        <f>IFERROR(VLOOKUP(E1884,'Inventaire des produits'!$B$4:$K$1001,8,0),"")</f>
        <v/>
      </c>
      <c r="I1884" s="32" t="str">
        <f t="shared" si="56"/>
        <v/>
      </c>
      <c r="K1884" s="127" t="str">
        <f t="shared" si="55"/>
        <v/>
      </c>
    </row>
    <row r="1885" spans="2:11" x14ac:dyDescent="0.3">
      <c r="B1885" s="197"/>
      <c r="C1885" s="198"/>
      <c r="D1885" s="197"/>
      <c r="E1885" s="212"/>
      <c r="F1885" s="29" t="str">
        <f>IFERROR(VLOOKUP(E1885,'Inventaire des produits'!$B$4:$K$1001,2,0),"")</f>
        <v/>
      </c>
      <c r="G1885" s="212"/>
      <c r="H1885" s="30" t="str">
        <f>IFERROR(VLOOKUP(E1885,'Inventaire des produits'!$B$4:$K$1001,8,0),"")</f>
        <v/>
      </c>
      <c r="I1885" s="32" t="str">
        <f t="shared" si="56"/>
        <v/>
      </c>
      <c r="K1885" s="127" t="str">
        <f t="shared" si="55"/>
        <v/>
      </c>
    </row>
    <row r="1886" spans="2:11" x14ac:dyDescent="0.3">
      <c r="B1886" s="197"/>
      <c r="C1886" s="198"/>
      <c r="D1886" s="197"/>
      <c r="E1886" s="212"/>
      <c r="F1886" s="29" t="str">
        <f>IFERROR(VLOOKUP(E1886,'Inventaire des produits'!$B$4:$K$1001,2,0),"")</f>
        <v/>
      </c>
      <c r="G1886" s="212"/>
      <c r="H1886" s="30" t="str">
        <f>IFERROR(VLOOKUP(E1886,'Inventaire des produits'!$B$4:$K$1001,8,0),"")</f>
        <v/>
      </c>
      <c r="I1886" s="32" t="str">
        <f t="shared" si="56"/>
        <v/>
      </c>
      <c r="K1886" s="127" t="str">
        <f t="shared" si="55"/>
        <v/>
      </c>
    </row>
    <row r="1887" spans="2:11" x14ac:dyDescent="0.3">
      <c r="B1887" s="197"/>
      <c r="C1887" s="198"/>
      <c r="D1887" s="197"/>
      <c r="E1887" s="212"/>
      <c r="F1887" s="29" t="str">
        <f>IFERROR(VLOOKUP(E1887,'Inventaire des produits'!$B$4:$K$1001,2,0),"")</f>
        <v/>
      </c>
      <c r="G1887" s="212"/>
      <c r="H1887" s="30" t="str">
        <f>IFERROR(VLOOKUP(E1887,'Inventaire des produits'!$B$4:$K$1001,8,0),"")</f>
        <v/>
      </c>
      <c r="I1887" s="32" t="str">
        <f t="shared" si="56"/>
        <v/>
      </c>
      <c r="K1887" s="127" t="str">
        <f t="shared" si="55"/>
        <v/>
      </c>
    </row>
    <row r="1888" spans="2:11" x14ac:dyDescent="0.3">
      <c r="B1888" s="197"/>
      <c r="C1888" s="198"/>
      <c r="D1888" s="197"/>
      <c r="E1888" s="212"/>
      <c r="F1888" s="29" t="str">
        <f>IFERROR(VLOOKUP(E1888,'Inventaire des produits'!$B$4:$K$1001,2,0),"")</f>
        <v/>
      </c>
      <c r="G1888" s="212"/>
      <c r="H1888" s="30" t="str">
        <f>IFERROR(VLOOKUP(E1888,'Inventaire des produits'!$B$4:$K$1001,8,0),"")</f>
        <v/>
      </c>
      <c r="I1888" s="32" t="str">
        <f t="shared" si="56"/>
        <v/>
      </c>
      <c r="K1888" s="127" t="str">
        <f t="shared" si="55"/>
        <v/>
      </c>
    </row>
    <row r="1889" spans="2:11" x14ac:dyDescent="0.3">
      <c r="B1889" s="197"/>
      <c r="C1889" s="198"/>
      <c r="D1889" s="197"/>
      <c r="E1889" s="212"/>
      <c r="F1889" s="29" t="str">
        <f>IFERROR(VLOOKUP(E1889,'Inventaire des produits'!$B$4:$K$1001,2,0),"")</f>
        <v/>
      </c>
      <c r="G1889" s="212"/>
      <c r="H1889" s="30" t="str">
        <f>IFERROR(VLOOKUP(E1889,'Inventaire des produits'!$B$4:$K$1001,8,0),"")</f>
        <v/>
      </c>
      <c r="I1889" s="32" t="str">
        <f t="shared" si="56"/>
        <v/>
      </c>
      <c r="K1889" s="127" t="str">
        <f t="shared" si="55"/>
        <v/>
      </c>
    </row>
    <row r="1890" spans="2:11" x14ac:dyDescent="0.3">
      <c r="B1890" s="197"/>
      <c r="C1890" s="198"/>
      <c r="D1890" s="197"/>
      <c r="E1890" s="212"/>
      <c r="F1890" s="29" t="str">
        <f>IFERROR(VLOOKUP(E1890,'Inventaire des produits'!$B$4:$K$1001,2,0),"")</f>
        <v/>
      </c>
      <c r="G1890" s="212"/>
      <c r="H1890" s="30" t="str">
        <f>IFERROR(VLOOKUP(E1890,'Inventaire des produits'!$B$4:$K$1001,8,0),"")</f>
        <v/>
      </c>
      <c r="I1890" s="32" t="str">
        <f t="shared" si="56"/>
        <v/>
      </c>
      <c r="K1890" s="127" t="str">
        <f t="shared" si="55"/>
        <v/>
      </c>
    </row>
    <row r="1891" spans="2:11" x14ac:dyDescent="0.3">
      <c r="B1891" s="197"/>
      <c r="C1891" s="198"/>
      <c r="D1891" s="197"/>
      <c r="E1891" s="212"/>
      <c r="F1891" s="29" t="str">
        <f>IFERROR(VLOOKUP(E1891,'Inventaire des produits'!$B$4:$K$1001,2,0),"")</f>
        <v/>
      </c>
      <c r="G1891" s="212"/>
      <c r="H1891" s="30" t="str">
        <f>IFERROR(VLOOKUP(E1891,'Inventaire des produits'!$B$4:$K$1001,8,0),"")</f>
        <v/>
      </c>
      <c r="I1891" s="32" t="str">
        <f t="shared" si="56"/>
        <v/>
      </c>
      <c r="K1891" s="127" t="str">
        <f t="shared" si="55"/>
        <v/>
      </c>
    </row>
    <row r="1892" spans="2:11" x14ac:dyDescent="0.3">
      <c r="B1892" s="197"/>
      <c r="C1892" s="198"/>
      <c r="D1892" s="197"/>
      <c r="E1892" s="212"/>
      <c r="F1892" s="29" t="str">
        <f>IFERROR(VLOOKUP(E1892,'Inventaire des produits'!$B$4:$K$1001,2,0),"")</f>
        <v/>
      </c>
      <c r="G1892" s="212"/>
      <c r="H1892" s="30" t="str">
        <f>IFERROR(VLOOKUP(E1892,'Inventaire des produits'!$B$4:$K$1001,8,0),"")</f>
        <v/>
      </c>
      <c r="I1892" s="32" t="str">
        <f t="shared" si="56"/>
        <v/>
      </c>
      <c r="K1892" s="127" t="str">
        <f t="shared" si="55"/>
        <v/>
      </c>
    </row>
    <row r="1893" spans="2:11" x14ac:dyDescent="0.3">
      <c r="B1893" s="197"/>
      <c r="C1893" s="198"/>
      <c r="D1893" s="197"/>
      <c r="E1893" s="212"/>
      <c r="F1893" s="29" t="str">
        <f>IFERROR(VLOOKUP(E1893,'Inventaire des produits'!$B$4:$K$1001,2,0),"")</f>
        <v/>
      </c>
      <c r="G1893" s="212"/>
      <c r="H1893" s="30" t="str">
        <f>IFERROR(VLOOKUP(E1893,'Inventaire des produits'!$B$4:$K$1001,8,0),"")</f>
        <v/>
      </c>
      <c r="I1893" s="32" t="str">
        <f t="shared" si="56"/>
        <v/>
      </c>
      <c r="K1893" s="127" t="str">
        <f t="shared" si="55"/>
        <v/>
      </c>
    </row>
    <row r="1894" spans="2:11" x14ac:dyDescent="0.3">
      <c r="B1894" s="197"/>
      <c r="C1894" s="198"/>
      <c r="D1894" s="197"/>
      <c r="E1894" s="212"/>
      <c r="F1894" s="29" t="str">
        <f>IFERROR(VLOOKUP(E1894,'Inventaire des produits'!$B$4:$K$1001,2,0),"")</f>
        <v/>
      </c>
      <c r="G1894" s="212"/>
      <c r="H1894" s="30" t="str">
        <f>IFERROR(VLOOKUP(E1894,'Inventaire des produits'!$B$4:$K$1001,8,0),"")</f>
        <v/>
      </c>
      <c r="I1894" s="32" t="str">
        <f t="shared" si="56"/>
        <v/>
      </c>
      <c r="K1894" s="127" t="str">
        <f t="shared" si="55"/>
        <v/>
      </c>
    </row>
    <row r="1895" spans="2:11" x14ac:dyDescent="0.3">
      <c r="B1895" s="197"/>
      <c r="C1895" s="198"/>
      <c r="D1895" s="197"/>
      <c r="E1895" s="212"/>
      <c r="F1895" s="29" t="str">
        <f>IFERROR(VLOOKUP(E1895,'Inventaire des produits'!$B$4:$K$1001,2,0),"")</f>
        <v/>
      </c>
      <c r="G1895" s="212"/>
      <c r="H1895" s="30" t="str">
        <f>IFERROR(VLOOKUP(E1895,'Inventaire des produits'!$B$4:$K$1001,8,0),"")</f>
        <v/>
      </c>
      <c r="I1895" s="32" t="str">
        <f t="shared" si="56"/>
        <v/>
      </c>
      <c r="K1895" s="127" t="str">
        <f t="shared" si="55"/>
        <v/>
      </c>
    </row>
    <row r="1896" spans="2:11" x14ac:dyDescent="0.3">
      <c r="B1896" s="197"/>
      <c r="C1896" s="198"/>
      <c r="D1896" s="197"/>
      <c r="E1896" s="212"/>
      <c r="F1896" s="29" t="str">
        <f>IFERROR(VLOOKUP(E1896,'Inventaire des produits'!$B$4:$K$1001,2,0),"")</f>
        <v/>
      </c>
      <c r="G1896" s="212"/>
      <c r="H1896" s="30" t="str">
        <f>IFERROR(VLOOKUP(E1896,'Inventaire des produits'!$B$4:$K$1001,8,0),"")</f>
        <v/>
      </c>
      <c r="I1896" s="32" t="str">
        <f t="shared" si="56"/>
        <v/>
      </c>
      <c r="K1896" s="127" t="str">
        <f t="shared" si="55"/>
        <v/>
      </c>
    </row>
    <row r="1897" spans="2:11" x14ac:dyDescent="0.3">
      <c r="B1897" s="197"/>
      <c r="C1897" s="198"/>
      <c r="D1897" s="197"/>
      <c r="E1897" s="212"/>
      <c r="F1897" s="29" t="str">
        <f>IFERROR(VLOOKUP(E1897,'Inventaire des produits'!$B$4:$K$1001,2,0),"")</f>
        <v/>
      </c>
      <c r="G1897" s="212"/>
      <c r="H1897" s="30" t="str">
        <f>IFERROR(VLOOKUP(E1897,'Inventaire des produits'!$B$4:$K$1001,8,0),"")</f>
        <v/>
      </c>
      <c r="I1897" s="32" t="str">
        <f t="shared" si="56"/>
        <v/>
      </c>
      <c r="K1897" s="127" t="str">
        <f t="shared" si="55"/>
        <v/>
      </c>
    </row>
    <row r="1898" spans="2:11" x14ac:dyDescent="0.3">
      <c r="B1898" s="197"/>
      <c r="C1898" s="198"/>
      <c r="D1898" s="197"/>
      <c r="E1898" s="212"/>
      <c r="F1898" s="29" t="str">
        <f>IFERROR(VLOOKUP(E1898,'Inventaire des produits'!$B$4:$K$1001,2,0),"")</f>
        <v/>
      </c>
      <c r="G1898" s="212"/>
      <c r="H1898" s="30" t="str">
        <f>IFERROR(VLOOKUP(E1898,'Inventaire des produits'!$B$4:$K$1001,8,0),"")</f>
        <v/>
      </c>
      <c r="I1898" s="32" t="str">
        <f t="shared" si="56"/>
        <v/>
      </c>
      <c r="K1898" s="127" t="str">
        <f t="shared" si="55"/>
        <v/>
      </c>
    </row>
    <row r="1899" spans="2:11" x14ac:dyDescent="0.3">
      <c r="B1899" s="197"/>
      <c r="C1899" s="198"/>
      <c r="D1899" s="197"/>
      <c r="E1899" s="212"/>
      <c r="F1899" s="29" t="str">
        <f>IFERROR(VLOOKUP(E1899,'Inventaire des produits'!$B$4:$K$1001,2,0),"")</f>
        <v/>
      </c>
      <c r="G1899" s="212"/>
      <c r="H1899" s="30" t="str">
        <f>IFERROR(VLOOKUP(E1899,'Inventaire des produits'!$B$4:$K$1001,8,0),"")</f>
        <v/>
      </c>
      <c r="I1899" s="32" t="str">
        <f t="shared" si="56"/>
        <v/>
      </c>
      <c r="K1899" s="127" t="str">
        <f t="shared" si="55"/>
        <v/>
      </c>
    </row>
    <row r="1900" spans="2:11" x14ac:dyDescent="0.3">
      <c r="B1900" s="197"/>
      <c r="C1900" s="198"/>
      <c r="D1900" s="197"/>
      <c r="E1900" s="212"/>
      <c r="F1900" s="29" t="str">
        <f>IFERROR(VLOOKUP(E1900,'Inventaire des produits'!$B$4:$K$1001,2,0),"")</f>
        <v/>
      </c>
      <c r="G1900" s="212"/>
      <c r="H1900" s="30" t="str">
        <f>IFERROR(VLOOKUP(E1900,'Inventaire des produits'!$B$4:$K$1001,8,0),"")</f>
        <v/>
      </c>
      <c r="I1900" s="32" t="str">
        <f t="shared" si="56"/>
        <v/>
      </c>
      <c r="K1900" s="127" t="str">
        <f t="shared" si="55"/>
        <v/>
      </c>
    </row>
    <row r="1901" spans="2:11" x14ac:dyDescent="0.3">
      <c r="B1901" s="197"/>
      <c r="C1901" s="198"/>
      <c r="D1901" s="197"/>
      <c r="E1901" s="212"/>
      <c r="F1901" s="29" t="str">
        <f>IFERROR(VLOOKUP(E1901,'Inventaire des produits'!$B$4:$K$1001,2,0),"")</f>
        <v/>
      </c>
      <c r="G1901" s="212"/>
      <c r="H1901" s="30" t="str">
        <f>IFERROR(VLOOKUP(E1901,'Inventaire des produits'!$B$4:$K$1001,8,0),"")</f>
        <v/>
      </c>
      <c r="I1901" s="32" t="str">
        <f t="shared" si="56"/>
        <v/>
      </c>
      <c r="K1901" s="127" t="str">
        <f t="shared" si="55"/>
        <v/>
      </c>
    </row>
    <row r="1902" spans="2:11" x14ac:dyDescent="0.3">
      <c r="B1902" s="197"/>
      <c r="C1902" s="198"/>
      <c r="D1902" s="197"/>
      <c r="E1902" s="212"/>
      <c r="F1902" s="29" t="str">
        <f>IFERROR(VLOOKUP(E1902,'Inventaire des produits'!$B$4:$K$1001,2,0),"")</f>
        <v/>
      </c>
      <c r="G1902" s="212"/>
      <c r="H1902" s="30" t="str">
        <f>IFERROR(VLOOKUP(E1902,'Inventaire des produits'!$B$4:$K$1001,8,0),"")</f>
        <v/>
      </c>
      <c r="I1902" s="32" t="str">
        <f t="shared" si="56"/>
        <v/>
      </c>
      <c r="K1902" s="127" t="str">
        <f t="shared" si="55"/>
        <v/>
      </c>
    </row>
    <row r="1903" spans="2:11" x14ac:dyDescent="0.3">
      <c r="B1903" s="197"/>
      <c r="C1903" s="198"/>
      <c r="D1903" s="197"/>
      <c r="E1903" s="212"/>
      <c r="F1903" s="29" t="str">
        <f>IFERROR(VLOOKUP(E1903,'Inventaire des produits'!$B$4:$K$1001,2,0),"")</f>
        <v/>
      </c>
      <c r="G1903" s="212"/>
      <c r="H1903" s="30" t="str">
        <f>IFERROR(VLOOKUP(E1903,'Inventaire des produits'!$B$4:$K$1001,8,0),"")</f>
        <v/>
      </c>
      <c r="I1903" s="32" t="str">
        <f t="shared" si="56"/>
        <v/>
      </c>
      <c r="K1903" s="127" t="str">
        <f t="shared" si="55"/>
        <v/>
      </c>
    </row>
    <row r="1904" spans="2:11" x14ac:dyDescent="0.3">
      <c r="B1904" s="197"/>
      <c r="C1904" s="198"/>
      <c r="D1904" s="197"/>
      <c r="E1904" s="212"/>
      <c r="F1904" s="29" t="str">
        <f>IFERROR(VLOOKUP(E1904,'Inventaire des produits'!$B$4:$K$1001,2,0),"")</f>
        <v/>
      </c>
      <c r="G1904" s="212"/>
      <c r="H1904" s="30" t="str">
        <f>IFERROR(VLOOKUP(E1904,'Inventaire des produits'!$B$4:$K$1001,8,0),"")</f>
        <v/>
      </c>
      <c r="I1904" s="32" t="str">
        <f t="shared" si="56"/>
        <v/>
      </c>
      <c r="K1904" s="127" t="str">
        <f t="shared" si="55"/>
        <v/>
      </c>
    </row>
    <row r="1905" spans="2:11" x14ac:dyDescent="0.3">
      <c r="B1905" s="197"/>
      <c r="C1905" s="198"/>
      <c r="D1905" s="197"/>
      <c r="E1905" s="212"/>
      <c r="F1905" s="29" t="str">
        <f>IFERROR(VLOOKUP(E1905,'Inventaire des produits'!$B$4:$K$1001,2,0),"")</f>
        <v/>
      </c>
      <c r="G1905" s="212"/>
      <c r="H1905" s="30" t="str">
        <f>IFERROR(VLOOKUP(E1905,'Inventaire des produits'!$B$4:$K$1001,8,0),"")</f>
        <v/>
      </c>
      <c r="I1905" s="32" t="str">
        <f t="shared" si="56"/>
        <v/>
      </c>
      <c r="K1905" s="127" t="str">
        <f t="shared" si="55"/>
        <v/>
      </c>
    </row>
    <row r="1906" spans="2:11" x14ac:dyDescent="0.3">
      <c r="B1906" s="197"/>
      <c r="C1906" s="198"/>
      <c r="D1906" s="197"/>
      <c r="E1906" s="212"/>
      <c r="F1906" s="29" t="str">
        <f>IFERROR(VLOOKUP(E1906,'Inventaire des produits'!$B$4:$K$1001,2,0),"")</f>
        <v/>
      </c>
      <c r="G1906" s="212"/>
      <c r="H1906" s="30" t="str">
        <f>IFERROR(VLOOKUP(E1906,'Inventaire des produits'!$B$4:$K$1001,8,0),"")</f>
        <v/>
      </c>
      <c r="I1906" s="32" t="str">
        <f t="shared" si="56"/>
        <v/>
      </c>
      <c r="K1906" s="127" t="str">
        <f t="shared" si="55"/>
        <v/>
      </c>
    </row>
    <row r="1907" spans="2:11" x14ac:dyDescent="0.3">
      <c r="B1907" s="197"/>
      <c r="C1907" s="198"/>
      <c r="D1907" s="197"/>
      <c r="E1907" s="212"/>
      <c r="F1907" s="29" t="str">
        <f>IFERROR(VLOOKUP(E1907,'Inventaire des produits'!$B$4:$K$1001,2,0),"")</f>
        <v/>
      </c>
      <c r="G1907" s="212"/>
      <c r="H1907" s="30" t="str">
        <f>IFERROR(VLOOKUP(E1907,'Inventaire des produits'!$B$4:$K$1001,8,0),"")</f>
        <v/>
      </c>
      <c r="I1907" s="32" t="str">
        <f t="shared" si="56"/>
        <v/>
      </c>
      <c r="K1907" s="127" t="str">
        <f t="shared" si="55"/>
        <v/>
      </c>
    </row>
    <row r="1908" spans="2:11" x14ac:dyDescent="0.3">
      <c r="B1908" s="197"/>
      <c r="C1908" s="198"/>
      <c r="D1908" s="197"/>
      <c r="E1908" s="212"/>
      <c r="F1908" s="29" t="str">
        <f>IFERROR(VLOOKUP(E1908,'Inventaire des produits'!$B$4:$K$1001,2,0),"")</f>
        <v/>
      </c>
      <c r="G1908" s="212"/>
      <c r="H1908" s="30" t="str">
        <f>IFERROR(VLOOKUP(E1908,'Inventaire des produits'!$B$4:$K$1001,8,0),"")</f>
        <v/>
      </c>
      <c r="I1908" s="32" t="str">
        <f t="shared" si="56"/>
        <v/>
      </c>
      <c r="K1908" s="127" t="str">
        <f t="shared" si="55"/>
        <v/>
      </c>
    </row>
    <row r="1909" spans="2:11" x14ac:dyDescent="0.3">
      <c r="B1909" s="197"/>
      <c r="C1909" s="198"/>
      <c r="D1909" s="197"/>
      <c r="E1909" s="212"/>
      <c r="F1909" s="29" t="str">
        <f>IFERROR(VLOOKUP(E1909,'Inventaire des produits'!$B$4:$K$1001,2,0),"")</f>
        <v/>
      </c>
      <c r="G1909" s="212"/>
      <c r="H1909" s="30" t="str">
        <f>IFERROR(VLOOKUP(E1909,'Inventaire des produits'!$B$4:$K$1001,8,0),"")</f>
        <v/>
      </c>
      <c r="I1909" s="32" t="str">
        <f t="shared" si="56"/>
        <v/>
      </c>
      <c r="K1909" s="127" t="str">
        <f t="shared" si="55"/>
        <v/>
      </c>
    </row>
    <row r="1910" spans="2:11" x14ac:dyDescent="0.3">
      <c r="B1910" s="197"/>
      <c r="C1910" s="198"/>
      <c r="D1910" s="197"/>
      <c r="E1910" s="212"/>
      <c r="F1910" s="29" t="str">
        <f>IFERROR(VLOOKUP(E1910,'Inventaire des produits'!$B$4:$K$1001,2,0),"")</f>
        <v/>
      </c>
      <c r="G1910" s="212"/>
      <c r="H1910" s="30" t="str">
        <f>IFERROR(VLOOKUP(E1910,'Inventaire des produits'!$B$4:$K$1001,8,0),"")</f>
        <v/>
      </c>
      <c r="I1910" s="32" t="str">
        <f t="shared" si="56"/>
        <v/>
      </c>
      <c r="K1910" s="127" t="str">
        <f t="shared" si="55"/>
        <v/>
      </c>
    </row>
    <row r="1911" spans="2:11" x14ac:dyDescent="0.3">
      <c r="B1911" s="197"/>
      <c r="C1911" s="198"/>
      <c r="D1911" s="197"/>
      <c r="E1911" s="212"/>
      <c r="F1911" s="29" t="str">
        <f>IFERROR(VLOOKUP(E1911,'Inventaire des produits'!$B$4:$K$1001,2,0),"")</f>
        <v/>
      </c>
      <c r="G1911" s="212"/>
      <c r="H1911" s="30" t="str">
        <f>IFERROR(VLOOKUP(E1911,'Inventaire des produits'!$B$4:$K$1001,8,0),"")</f>
        <v/>
      </c>
      <c r="I1911" s="32" t="str">
        <f t="shared" si="56"/>
        <v/>
      </c>
      <c r="K1911" s="127" t="str">
        <f t="shared" si="55"/>
        <v/>
      </c>
    </row>
    <row r="1912" spans="2:11" x14ac:dyDescent="0.3">
      <c r="B1912" s="197"/>
      <c r="C1912" s="198"/>
      <c r="D1912" s="197"/>
      <c r="E1912" s="212"/>
      <c r="F1912" s="29" t="str">
        <f>IFERROR(VLOOKUP(E1912,'Inventaire des produits'!$B$4:$K$1001,2,0),"")</f>
        <v/>
      </c>
      <c r="G1912" s="212"/>
      <c r="H1912" s="30" t="str">
        <f>IFERROR(VLOOKUP(E1912,'Inventaire des produits'!$B$4:$K$1001,8,0),"")</f>
        <v/>
      </c>
      <c r="I1912" s="32" t="str">
        <f t="shared" si="56"/>
        <v/>
      </c>
      <c r="K1912" s="127" t="str">
        <f t="shared" si="55"/>
        <v/>
      </c>
    </row>
    <row r="1913" spans="2:11" x14ac:dyDescent="0.3">
      <c r="B1913" s="197"/>
      <c r="C1913" s="198"/>
      <c r="D1913" s="197"/>
      <c r="E1913" s="212"/>
      <c r="F1913" s="29" t="str">
        <f>IFERROR(VLOOKUP(E1913,'Inventaire des produits'!$B$4:$K$1001,2,0),"")</f>
        <v/>
      </c>
      <c r="G1913" s="212"/>
      <c r="H1913" s="30" t="str">
        <f>IFERROR(VLOOKUP(E1913,'Inventaire des produits'!$B$4:$K$1001,8,0),"")</f>
        <v/>
      </c>
      <c r="I1913" s="32" t="str">
        <f t="shared" si="56"/>
        <v/>
      </c>
      <c r="K1913" s="127" t="str">
        <f t="shared" si="55"/>
        <v/>
      </c>
    </row>
    <row r="1914" spans="2:11" x14ac:dyDescent="0.3">
      <c r="B1914" s="197"/>
      <c r="C1914" s="198"/>
      <c r="D1914" s="197"/>
      <c r="E1914" s="212"/>
      <c r="F1914" s="29" t="str">
        <f>IFERROR(VLOOKUP(E1914,'Inventaire des produits'!$B$4:$K$1001,2,0),"")</f>
        <v/>
      </c>
      <c r="G1914" s="212"/>
      <c r="H1914" s="30" t="str">
        <f>IFERROR(VLOOKUP(E1914,'Inventaire des produits'!$B$4:$K$1001,8,0),"")</f>
        <v/>
      </c>
      <c r="I1914" s="32" t="str">
        <f t="shared" si="56"/>
        <v/>
      </c>
      <c r="K1914" s="127" t="str">
        <f t="shared" si="55"/>
        <v/>
      </c>
    </row>
    <row r="1915" spans="2:11" x14ac:dyDescent="0.3">
      <c r="B1915" s="197"/>
      <c r="C1915" s="198"/>
      <c r="D1915" s="197"/>
      <c r="E1915" s="212"/>
      <c r="F1915" s="29" t="str">
        <f>IFERROR(VLOOKUP(E1915,'Inventaire des produits'!$B$4:$K$1001,2,0),"")</f>
        <v/>
      </c>
      <c r="G1915" s="212"/>
      <c r="H1915" s="30" t="str">
        <f>IFERROR(VLOOKUP(E1915,'Inventaire des produits'!$B$4:$K$1001,8,0),"")</f>
        <v/>
      </c>
      <c r="I1915" s="32" t="str">
        <f t="shared" si="56"/>
        <v/>
      </c>
      <c r="K1915" s="127" t="str">
        <f t="shared" si="55"/>
        <v/>
      </c>
    </row>
    <row r="1916" spans="2:11" x14ac:dyDescent="0.3">
      <c r="B1916" s="197"/>
      <c r="C1916" s="198"/>
      <c r="D1916" s="197"/>
      <c r="E1916" s="212"/>
      <c r="F1916" s="29" t="str">
        <f>IFERROR(VLOOKUP(E1916,'Inventaire des produits'!$B$4:$K$1001,2,0),"")</f>
        <v/>
      </c>
      <c r="G1916" s="212"/>
      <c r="H1916" s="30" t="str">
        <f>IFERROR(VLOOKUP(E1916,'Inventaire des produits'!$B$4:$K$1001,8,0),"")</f>
        <v/>
      </c>
      <c r="I1916" s="32" t="str">
        <f t="shared" si="56"/>
        <v/>
      </c>
      <c r="K1916" s="127" t="str">
        <f t="shared" ref="K1916:K1979" si="57">IF(J1916="","",J1916*1.2)</f>
        <v/>
      </c>
    </row>
    <row r="1917" spans="2:11" x14ac:dyDescent="0.3">
      <c r="B1917" s="197"/>
      <c r="C1917" s="198"/>
      <c r="D1917" s="197"/>
      <c r="E1917" s="212"/>
      <c r="F1917" s="29" t="str">
        <f>IFERROR(VLOOKUP(E1917,'Inventaire des produits'!$B$4:$K$1001,2,0),"")</f>
        <v/>
      </c>
      <c r="G1917" s="212"/>
      <c r="H1917" s="30" t="str">
        <f>IFERROR(VLOOKUP(E1917,'Inventaire des produits'!$B$4:$K$1001,8,0),"")</f>
        <v/>
      </c>
      <c r="I1917" s="32" t="str">
        <f t="shared" si="56"/>
        <v/>
      </c>
      <c r="K1917" s="127" t="str">
        <f t="shared" si="57"/>
        <v/>
      </c>
    </row>
    <row r="1918" spans="2:11" x14ac:dyDescent="0.3">
      <c r="B1918" s="197"/>
      <c r="C1918" s="198"/>
      <c r="D1918" s="197"/>
      <c r="E1918" s="212"/>
      <c r="F1918" s="29" t="str">
        <f>IFERROR(VLOOKUP(E1918,'Inventaire des produits'!$B$4:$K$1001,2,0),"")</f>
        <v/>
      </c>
      <c r="G1918" s="212"/>
      <c r="H1918" s="30" t="str">
        <f>IFERROR(VLOOKUP(E1918,'Inventaire des produits'!$B$4:$K$1001,8,0),"")</f>
        <v/>
      </c>
      <c r="I1918" s="32" t="str">
        <f t="shared" si="56"/>
        <v/>
      </c>
      <c r="K1918" s="127" t="str">
        <f t="shared" si="57"/>
        <v/>
      </c>
    </row>
    <row r="1919" spans="2:11" x14ac:dyDescent="0.3">
      <c r="B1919" s="197"/>
      <c r="C1919" s="198"/>
      <c r="D1919" s="197"/>
      <c r="E1919" s="212"/>
      <c r="F1919" s="29" t="str">
        <f>IFERROR(VLOOKUP(E1919,'Inventaire des produits'!$B$4:$K$1001,2,0),"")</f>
        <v/>
      </c>
      <c r="G1919" s="212"/>
      <c r="H1919" s="30" t="str">
        <f>IFERROR(VLOOKUP(E1919,'Inventaire des produits'!$B$4:$K$1001,8,0),"")</f>
        <v/>
      </c>
      <c r="I1919" s="32" t="str">
        <f t="shared" si="56"/>
        <v/>
      </c>
      <c r="K1919" s="127" t="str">
        <f t="shared" si="57"/>
        <v/>
      </c>
    </row>
    <row r="1920" spans="2:11" x14ac:dyDescent="0.3">
      <c r="B1920" s="197"/>
      <c r="C1920" s="198"/>
      <c r="D1920" s="197"/>
      <c r="E1920" s="212"/>
      <c r="F1920" s="29" t="str">
        <f>IFERROR(VLOOKUP(E1920,'Inventaire des produits'!$B$4:$K$1001,2,0),"")</f>
        <v/>
      </c>
      <c r="G1920" s="212"/>
      <c r="H1920" s="30" t="str">
        <f>IFERROR(VLOOKUP(E1920,'Inventaire des produits'!$B$4:$K$1001,8,0),"")</f>
        <v/>
      </c>
      <c r="I1920" s="32" t="str">
        <f t="shared" si="56"/>
        <v/>
      </c>
      <c r="K1920" s="127" t="str">
        <f t="shared" si="57"/>
        <v/>
      </c>
    </row>
    <row r="1921" spans="2:11" x14ac:dyDescent="0.3">
      <c r="B1921" s="197"/>
      <c r="C1921" s="198"/>
      <c r="D1921" s="197"/>
      <c r="E1921" s="212"/>
      <c r="F1921" s="29" t="str">
        <f>IFERROR(VLOOKUP(E1921,'Inventaire des produits'!$B$4:$K$1001,2,0),"")</f>
        <v/>
      </c>
      <c r="G1921" s="212"/>
      <c r="H1921" s="30" t="str">
        <f>IFERROR(VLOOKUP(E1921,'Inventaire des produits'!$B$4:$K$1001,8,0),"")</f>
        <v/>
      </c>
      <c r="I1921" s="32" t="str">
        <f t="shared" si="56"/>
        <v/>
      </c>
      <c r="K1921" s="127" t="str">
        <f t="shared" si="57"/>
        <v/>
      </c>
    </row>
    <row r="1922" spans="2:11" x14ac:dyDescent="0.3">
      <c r="B1922" s="197"/>
      <c r="C1922" s="198"/>
      <c r="D1922" s="197"/>
      <c r="E1922" s="212"/>
      <c r="F1922" s="29" t="str">
        <f>IFERROR(VLOOKUP(E1922,'Inventaire des produits'!$B$4:$K$1001,2,0),"")</f>
        <v/>
      </c>
      <c r="G1922" s="212"/>
      <c r="H1922" s="30" t="str">
        <f>IFERROR(VLOOKUP(E1922,'Inventaire des produits'!$B$4:$K$1001,8,0),"")</f>
        <v/>
      </c>
      <c r="I1922" s="32" t="str">
        <f t="shared" ref="I1922:I1985" si="58">IF(OR(G1922="",H1922=""),"",G1922*H1922)</f>
        <v/>
      </c>
      <c r="K1922" s="127" t="str">
        <f t="shared" si="57"/>
        <v/>
      </c>
    </row>
    <row r="1923" spans="2:11" x14ac:dyDescent="0.3">
      <c r="B1923" s="197"/>
      <c r="C1923" s="198"/>
      <c r="D1923" s="197"/>
      <c r="E1923" s="212"/>
      <c r="F1923" s="29" t="str">
        <f>IFERROR(VLOOKUP(E1923,'Inventaire des produits'!$B$4:$K$1001,2,0),"")</f>
        <v/>
      </c>
      <c r="G1923" s="212"/>
      <c r="H1923" s="30" t="str">
        <f>IFERROR(VLOOKUP(E1923,'Inventaire des produits'!$B$4:$K$1001,8,0),"")</f>
        <v/>
      </c>
      <c r="I1923" s="32" t="str">
        <f t="shared" si="58"/>
        <v/>
      </c>
      <c r="K1923" s="127" t="str">
        <f t="shared" si="57"/>
        <v/>
      </c>
    </row>
    <row r="1924" spans="2:11" x14ac:dyDescent="0.3">
      <c r="B1924" s="197"/>
      <c r="C1924" s="198"/>
      <c r="D1924" s="197"/>
      <c r="E1924" s="212"/>
      <c r="F1924" s="29" t="str">
        <f>IFERROR(VLOOKUP(E1924,'Inventaire des produits'!$B$4:$K$1001,2,0),"")</f>
        <v/>
      </c>
      <c r="G1924" s="212"/>
      <c r="H1924" s="30" t="str">
        <f>IFERROR(VLOOKUP(E1924,'Inventaire des produits'!$B$4:$K$1001,8,0),"")</f>
        <v/>
      </c>
      <c r="I1924" s="32" t="str">
        <f t="shared" si="58"/>
        <v/>
      </c>
      <c r="K1924" s="127" t="str">
        <f t="shared" si="57"/>
        <v/>
      </c>
    </row>
    <row r="1925" spans="2:11" x14ac:dyDescent="0.3">
      <c r="B1925" s="197"/>
      <c r="C1925" s="198"/>
      <c r="D1925" s="197"/>
      <c r="E1925" s="212"/>
      <c r="F1925" s="29" t="str">
        <f>IFERROR(VLOOKUP(E1925,'Inventaire des produits'!$B$4:$K$1001,2,0),"")</f>
        <v/>
      </c>
      <c r="G1925" s="212"/>
      <c r="H1925" s="30" t="str">
        <f>IFERROR(VLOOKUP(E1925,'Inventaire des produits'!$B$4:$K$1001,8,0),"")</f>
        <v/>
      </c>
      <c r="I1925" s="32" t="str">
        <f t="shared" si="58"/>
        <v/>
      </c>
      <c r="K1925" s="127" t="str">
        <f t="shared" si="57"/>
        <v/>
      </c>
    </row>
    <row r="1926" spans="2:11" x14ac:dyDescent="0.3">
      <c r="B1926" s="197"/>
      <c r="C1926" s="198"/>
      <c r="D1926" s="197"/>
      <c r="E1926" s="212"/>
      <c r="F1926" s="29" t="str">
        <f>IFERROR(VLOOKUP(E1926,'Inventaire des produits'!$B$4:$K$1001,2,0),"")</f>
        <v/>
      </c>
      <c r="G1926" s="212"/>
      <c r="H1926" s="30" t="str">
        <f>IFERROR(VLOOKUP(E1926,'Inventaire des produits'!$B$4:$K$1001,8,0),"")</f>
        <v/>
      </c>
      <c r="I1926" s="32" t="str">
        <f t="shared" si="58"/>
        <v/>
      </c>
      <c r="K1926" s="127" t="str">
        <f t="shared" si="57"/>
        <v/>
      </c>
    </row>
    <row r="1927" spans="2:11" x14ac:dyDescent="0.3">
      <c r="B1927" s="197"/>
      <c r="C1927" s="198"/>
      <c r="D1927" s="197"/>
      <c r="E1927" s="212"/>
      <c r="F1927" s="29" t="str">
        <f>IFERROR(VLOOKUP(E1927,'Inventaire des produits'!$B$4:$K$1001,2,0),"")</f>
        <v/>
      </c>
      <c r="G1927" s="212"/>
      <c r="H1927" s="30" t="str">
        <f>IFERROR(VLOOKUP(E1927,'Inventaire des produits'!$B$4:$K$1001,8,0),"")</f>
        <v/>
      </c>
      <c r="I1927" s="32" t="str">
        <f t="shared" si="58"/>
        <v/>
      </c>
      <c r="K1927" s="127" t="str">
        <f t="shared" si="57"/>
        <v/>
      </c>
    </row>
    <row r="1928" spans="2:11" x14ac:dyDescent="0.3">
      <c r="B1928" s="197"/>
      <c r="C1928" s="198"/>
      <c r="D1928" s="197"/>
      <c r="E1928" s="212"/>
      <c r="F1928" s="29" t="str">
        <f>IFERROR(VLOOKUP(E1928,'Inventaire des produits'!$B$4:$K$1001,2,0),"")</f>
        <v/>
      </c>
      <c r="G1928" s="212"/>
      <c r="H1928" s="30" t="str">
        <f>IFERROR(VLOOKUP(E1928,'Inventaire des produits'!$B$4:$K$1001,8,0),"")</f>
        <v/>
      </c>
      <c r="I1928" s="32" t="str">
        <f t="shared" si="58"/>
        <v/>
      </c>
      <c r="K1928" s="127" t="str">
        <f t="shared" si="57"/>
        <v/>
      </c>
    </row>
    <row r="1929" spans="2:11" x14ac:dyDescent="0.3">
      <c r="B1929" s="197"/>
      <c r="C1929" s="198"/>
      <c r="D1929" s="197"/>
      <c r="E1929" s="212"/>
      <c r="F1929" s="29" t="str">
        <f>IFERROR(VLOOKUP(E1929,'Inventaire des produits'!$B$4:$K$1001,2,0),"")</f>
        <v/>
      </c>
      <c r="G1929" s="212"/>
      <c r="H1929" s="30" t="str">
        <f>IFERROR(VLOOKUP(E1929,'Inventaire des produits'!$B$4:$K$1001,8,0),"")</f>
        <v/>
      </c>
      <c r="I1929" s="32" t="str">
        <f t="shared" si="58"/>
        <v/>
      </c>
      <c r="K1929" s="127" t="str">
        <f t="shared" si="57"/>
        <v/>
      </c>
    </row>
    <row r="1930" spans="2:11" x14ac:dyDescent="0.3">
      <c r="B1930" s="197"/>
      <c r="C1930" s="198"/>
      <c r="D1930" s="197"/>
      <c r="E1930" s="212"/>
      <c r="F1930" s="29" t="str">
        <f>IFERROR(VLOOKUP(E1930,'Inventaire des produits'!$B$4:$K$1001,2,0),"")</f>
        <v/>
      </c>
      <c r="G1930" s="212"/>
      <c r="H1930" s="30" t="str">
        <f>IFERROR(VLOOKUP(E1930,'Inventaire des produits'!$B$4:$K$1001,8,0),"")</f>
        <v/>
      </c>
      <c r="I1930" s="32" t="str">
        <f t="shared" si="58"/>
        <v/>
      </c>
      <c r="K1930" s="127" t="str">
        <f t="shared" si="57"/>
        <v/>
      </c>
    </row>
    <row r="1931" spans="2:11" x14ac:dyDescent="0.3">
      <c r="B1931" s="197"/>
      <c r="C1931" s="198"/>
      <c r="D1931" s="197"/>
      <c r="E1931" s="212"/>
      <c r="F1931" s="29" t="str">
        <f>IFERROR(VLOOKUP(E1931,'Inventaire des produits'!$B$4:$K$1001,2,0),"")</f>
        <v/>
      </c>
      <c r="G1931" s="212"/>
      <c r="H1931" s="30" t="str">
        <f>IFERROR(VLOOKUP(E1931,'Inventaire des produits'!$B$4:$K$1001,8,0),"")</f>
        <v/>
      </c>
      <c r="I1931" s="32" t="str">
        <f t="shared" si="58"/>
        <v/>
      </c>
      <c r="K1931" s="127" t="str">
        <f t="shared" si="57"/>
        <v/>
      </c>
    </row>
    <row r="1932" spans="2:11" x14ac:dyDescent="0.3">
      <c r="B1932" s="197"/>
      <c r="C1932" s="198"/>
      <c r="D1932" s="197"/>
      <c r="E1932" s="212"/>
      <c r="F1932" s="29" t="str">
        <f>IFERROR(VLOOKUP(E1932,'Inventaire des produits'!$B$4:$K$1001,2,0),"")</f>
        <v/>
      </c>
      <c r="G1932" s="212"/>
      <c r="H1932" s="30" t="str">
        <f>IFERROR(VLOOKUP(E1932,'Inventaire des produits'!$B$4:$K$1001,8,0),"")</f>
        <v/>
      </c>
      <c r="I1932" s="32" t="str">
        <f t="shared" si="58"/>
        <v/>
      </c>
      <c r="K1932" s="127" t="str">
        <f t="shared" si="57"/>
        <v/>
      </c>
    </row>
    <row r="1933" spans="2:11" x14ac:dyDescent="0.3">
      <c r="B1933" s="197"/>
      <c r="C1933" s="198"/>
      <c r="D1933" s="197"/>
      <c r="E1933" s="212"/>
      <c r="F1933" s="29" t="str">
        <f>IFERROR(VLOOKUP(E1933,'Inventaire des produits'!$B$4:$K$1001,2,0),"")</f>
        <v/>
      </c>
      <c r="G1933" s="212"/>
      <c r="H1933" s="30" t="str">
        <f>IFERROR(VLOOKUP(E1933,'Inventaire des produits'!$B$4:$K$1001,8,0),"")</f>
        <v/>
      </c>
      <c r="I1933" s="32" t="str">
        <f t="shared" si="58"/>
        <v/>
      </c>
      <c r="K1933" s="127" t="str">
        <f t="shared" si="57"/>
        <v/>
      </c>
    </row>
    <row r="1934" spans="2:11" x14ac:dyDescent="0.3">
      <c r="B1934" s="197"/>
      <c r="C1934" s="198"/>
      <c r="D1934" s="197"/>
      <c r="E1934" s="212"/>
      <c r="F1934" s="29" t="str">
        <f>IFERROR(VLOOKUP(E1934,'Inventaire des produits'!$B$4:$K$1001,2,0),"")</f>
        <v/>
      </c>
      <c r="G1934" s="212"/>
      <c r="H1934" s="30" t="str">
        <f>IFERROR(VLOOKUP(E1934,'Inventaire des produits'!$B$4:$K$1001,8,0),"")</f>
        <v/>
      </c>
      <c r="I1934" s="32" t="str">
        <f t="shared" si="58"/>
        <v/>
      </c>
      <c r="K1934" s="127" t="str">
        <f t="shared" si="57"/>
        <v/>
      </c>
    </row>
    <row r="1935" spans="2:11" x14ac:dyDescent="0.3">
      <c r="B1935" s="197"/>
      <c r="C1935" s="198"/>
      <c r="D1935" s="197"/>
      <c r="E1935" s="212"/>
      <c r="F1935" s="29" t="str">
        <f>IFERROR(VLOOKUP(E1935,'Inventaire des produits'!$B$4:$K$1001,2,0),"")</f>
        <v/>
      </c>
      <c r="G1935" s="212"/>
      <c r="H1935" s="30" t="str">
        <f>IFERROR(VLOOKUP(E1935,'Inventaire des produits'!$B$4:$K$1001,8,0),"")</f>
        <v/>
      </c>
      <c r="I1935" s="32" t="str">
        <f t="shared" si="58"/>
        <v/>
      </c>
      <c r="K1935" s="127" t="str">
        <f t="shared" si="57"/>
        <v/>
      </c>
    </row>
    <row r="1936" spans="2:11" x14ac:dyDescent="0.3">
      <c r="B1936" s="197"/>
      <c r="C1936" s="198"/>
      <c r="D1936" s="197"/>
      <c r="E1936" s="212"/>
      <c r="F1936" s="29" t="str">
        <f>IFERROR(VLOOKUP(E1936,'Inventaire des produits'!$B$4:$K$1001,2,0),"")</f>
        <v/>
      </c>
      <c r="G1936" s="212"/>
      <c r="H1936" s="30" t="str">
        <f>IFERROR(VLOOKUP(E1936,'Inventaire des produits'!$B$4:$K$1001,8,0),"")</f>
        <v/>
      </c>
      <c r="I1936" s="32" t="str">
        <f t="shared" si="58"/>
        <v/>
      </c>
      <c r="K1936" s="127" t="str">
        <f t="shared" si="57"/>
        <v/>
      </c>
    </row>
    <row r="1937" spans="2:11" x14ac:dyDescent="0.3">
      <c r="B1937" s="197"/>
      <c r="C1937" s="198"/>
      <c r="D1937" s="197"/>
      <c r="E1937" s="212"/>
      <c r="F1937" s="29" t="str">
        <f>IFERROR(VLOOKUP(E1937,'Inventaire des produits'!$B$4:$K$1001,2,0),"")</f>
        <v/>
      </c>
      <c r="G1937" s="212"/>
      <c r="H1937" s="30" t="str">
        <f>IFERROR(VLOOKUP(E1937,'Inventaire des produits'!$B$4:$K$1001,8,0),"")</f>
        <v/>
      </c>
      <c r="I1937" s="32" t="str">
        <f t="shared" si="58"/>
        <v/>
      </c>
      <c r="K1937" s="127" t="str">
        <f t="shared" si="57"/>
        <v/>
      </c>
    </row>
    <row r="1938" spans="2:11" x14ac:dyDescent="0.3">
      <c r="B1938" s="197"/>
      <c r="C1938" s="198"/>
      <c r="D1938" s="197"/>
      <c r="E1938" s="212"/>
      <c r="F1938" s="29" t="str">
        <f>IFERROR(VLOOKUP(E1938,'Inventaire des produits'!$B$4:$K$1001,2,0),"")</f>
        <v/>
      </c>
      <c r="G1938" s="212"/>
      <c r="H1938" s="30" t="str">
        <f>IFERROR(VLOOKUP(E1938,'Inventaire des produits'!$B$4:$K$1001,8,0),"")</f>
        <v/>
      </c>
      <c r="I1938" s="32" t="str">
        <f t="shared" si="58"/>
        <v/>
      </c>
      <c r="K1938" s="127" t="str">
        <f t="shared" si="57"/>
        <v/>
      </c>
    </row>
    <row r="1939" spans="2:11" x14ac:dyDescent="0.3">
      <c r="B1939" s="197"/>
      <c r="C1939" s="198"/>
      <c r="D1939" s="197"/>
      <c r="E1939" s="212"/>
      <c r="F1939" s="29" t="str">
        <f>IFERROR(VLOOKUP(E1939,'Inventaire des produits'!$B$4:$K$1001,2,0),"")</f>
        <v/>
      </c>
      <c r="G1939" s="212"/>
      <c r="H1939" s="30" t="str">
        <f>IFERROR(VLOOKUP(E1939,'Inventaire des produits'!$B$4:$K$1001,8,0),"")</f>
        <v/>
      </c>
      <c r="I1939" s="32" t="str">
        <f t="shared" si="58"/>
        <v/>
      </c>
      <c r="K1939" s="127" t="str">
        <f t="shared" si="57"/>
        <v/>
      </c>
    </row>
    <row r="1940" spans="2:11" x14ac:dyDescent="0.3">
      <c r="B1940" s="197"/>
      <c r="C1940" s="198"/>
      <c r="D1940" s="197"/>
      <c r="E1940" s="212"/>
      <c r="F1940" s="29" t="str">
        <f>IFERROR(VLOOKUP(E1940,'Inventaire des produits'!$B$4:$K$1001,2,0),"")</f>
        <v/>
      </c>
      <c r="G1940" s="212"/>
      <c r="H1940" s="30" t="str">
        <f>IFERROR(VLOOKUP(E1940,'Inventaire des produits'!$B$4:$K$1001,8,0),"")</f>
        <v/>
      </c>
      <c r="I1940" s="32" t="str">
        <f t="shared" si="58"/>
        <v/>
      </c>
      <c r="K1940" s="127" t="str">
        <f t="shared" si="57"/>
        <v/>
      </c>
    </row>
    <row r="1941" spans="2:11" x14ac:dyDescent="0.3">
      <c r="B1941" s="197"/>
      <c r="C1941" s="198"/>
      <c r="D1941" s="197"/>
      <c r="E1941" s="212"/>
      <c r="F1941" s="29" t="str">
        <f>IFERROR(VLOOKUP(E1941,'Inventaire des produits'!$B$4:$K$1001,2,0),"")</f>
        <v/>
      </c>
      <c r="G1941" s="212"/>
      <c r="H1941" s="30" t="str">
        <f>IFERROR(VLOOKUP(E1941,'Inventaire des produits'!$B$4:$K$1001,8,0),"")</f>
        <v/>
      </c>
      <c r="I1941" s="32" t="str">
        <f t="shared" si="58"/>
        <v/>
      </c>
      <c r="K1941" s="127" t="str">
        <f t="shared" si="57"/>
        <v/>
      </c>
    </row>
    <row r="1942" spans="2:11" x14ac:dyDescent="0.3">
      <c r="B1942" s="197"/>
      <c r="C1942" s="198"/>
      <c r="D1942" s="197"/>
      <c r="E1942" s="212"/>
      <c r="F1942" s="29" t="str">
        <f>IFERROR(VLOOKUP(E1942,'Inventaire des produits'!$B$4:$K$1001,2,0),"")</f>
        <v/>
      </c>
      <c r="G1942" s="212"/>
      <c r="H1942" s="30" t="str">
        <f>IFERROR(VLOOKUP(E1942,'Inventaire des produits'!$B$4:$K$1001,8,0),"")</f>
        <v/>
      </c>
      <c r="I1942" s="32" t="str">
        <f t="shared" si="58"/>
        <v/>
      </c>
      <c r="K1942" s="127" t="str">
        <f t="shared" si="57"/>
        <v/>
      </c>
    </row>
    <row r="1943" spans="2:11" x14ac:dyDescent="0.3">
      <c r="B1943" s="197"/>
      <c r="C1943" s="198"/>
      <c r="D1943" s="197"/>
      <c r="E1943" s="212"/>
      <c r="F1943" s="29" t="str">
        <f>IFERROR(VLOOKUP(E1943,'Inventaire des produits'!$B$4:$K$1001,2,0),"")</f>
        <v/>
      </c>
      <c r="G1943" s="212"/>
      <c r="H1943" s="30" t="str">
        <f>IFERROR(VLOOKUP(E1943,'Inventaire des produits'!$B$4:$K$1001,8,0),"")</f>
        <v/>
      </c>
      <c r="I1943" s="32" t="str">
        <f t="shared" si="58"/>
        <v/>
      </c>
      <c r="K1943" s="127" t="str">
        <f t="shared" si="57"/>
        <v/>
      </c>
    </row>
    <row r="1944" spans="2:11" x14ac:dyDescent="0.3">
      <c r="B1944" s="197"/>
      <c r="C1944" s="198"/>
      <c r="D1944" s="197"/>
      <c r="E1944" s="212"/>
      <c r="F1944" s="29" t="str">
        <f>IFERROR(VLOOKUP(E1944,'Inventaire des produits'!$B$4:$K$1001,2,0),"")</f>
        <v/>
      </c>
      <c r="G1944" s="212"/>
      <c r="H1944" s="30" t="str">
        <f>IFERROR(VLOOKUP(E1944,'Inventaire des produits'!$B$4:$K$1001,8,0),"")</f>
        <v/>
      </c>
      <c r="I1944" s="32" t="str">
        <f t="shared" si="58"/>
        <v/>
      </c>
      <c r="K1944" s="127" t="str">
        <f t="shared" si="57"/>
        <v/>
      </c>
    </row>
    <row r="1945" spans="2:11" x14ac:dyDescent="0.3">
      <c r="B1945" s="197"/>
      <c r="C1945" s="198"/>
      <c r="D1945" s="197"/>
      <c r="E1945" s="212"/>
      <c r="F1945" s="29" t="str">
        <f>IFERROR(VLOOKUP(E1945,'Inventaire des produits'!$B$4:$K$1001,2,0),"")</f>
        <v/>
      </c>
      <c r="G1945" s="212"/>
      <c r="H1945" s="30" t="str">
        <f>IFERROR(VLOOKUP(E1945,'Inventaire des produits'!$B$4:$K$1001,8,0),"")</f>
        <v/>
      </c>
      <c r="I1945" s="32" t="str">
        <f t="shared" si="58"/>
        <v/>
      </c>
      <c r="K1945" s="127" t="str">
        <f t="shared" si="57"/>
        <v/>
      </c>
    </row>
    <row r="1946" spans="2:11" x14ac:dyDescent="0.3">
      <c r="B1946" s="197"/>
      <c r="C1946" s="198"/>
      <c r="D1946" s="197"/>
      <c r="E1946" s="212"/>
      <c r="F1946" s="29" t="str">
        <f>IFERROR(VLOOKUP(E1946,'Inventaire des produits'!$B$4:$K$1001,2,0),"")</f>
        <v/>
      </c>
      <c r="G1946" s="212"/>
      <c r="H1946" s="30" t="str">
        <f>IFERROR(VLOOKUP(E1946,'Inventaire des produits'!$B$4:$K$1001,8,0),"")</f>
        <v/>
      </c>
      <c r="I1946" s="32" t="str">
        <f t="shared" si="58"/>
        <v/>
      </c>
      <c r="K1946" s="127" t="str">
        <f t="shared" si="57"/>
        <v/>
      </c>
    </row>
    <row r="1947" spans="2:11" x14ac:dyDescent="0.3">
      <c r="B1947" s="197"/>
      <c r="C1947" s="198"/>
      <c r="D1947" s="197"/>
      <c r="E1947" s="212"/>
      <c r="F1947" s="29" t="str">
        <f>IFERROR(VLOOKUP(E1947,'Inventaire des produits'!$B$4:$K$1001,2,0),"")</f>
        <v/>
      </c>
      <c r="G1947" s="212"/>
      <c r="H1947" s="30" t="str">
        <f>IFERROR(VLOOKUP(E1947,'Inventaire des produits'!$B$4:$K$1001,8,0),"")</f>
        <v/>
      </c>
      <c r="I1947" s="32" t="str">
        <f t="shared" si="58"/>
        <v/>
      </c>
      <c r="K1947" s="127" t="str">
        <f t="shared" si="57"/>
        <v/>
      </c>
    </row>
    <row r="1948" spans="2:11" x14ac:dyDescent="0.3">
      <c r="B1948" s="197"/>
      <c r="C1948" s="198"/>
      <c r="D1948" s="197"/>
      <c r="E1948" s="212"/>
      <c r="F1948" s="29" t="str">
        <f>IFERROR(VLOOKUP(E1948,'Inventaire des produits'!$B$4:$K$1001,2,0),"")</f>
        <v/>
      </c>
      <c r="G1948" s="212"/>
      <c r="H1948" s="30" t="str">
        <f>IFERROR(VLOOKUP(E1948,'Inventaire des produits'!$B$4:$K$1001,8,0),"")</f>
        <v/>
      </c>
      <c r="I1948" s="32" t="str">
        <f t="shared" si="58"/>
        <v/>
      </c>
      <c r="K1948" s="127" t="str">
        <f t="shared" si="57"/>
        <v/>
      </c>
    </row>
    <row r="1949" spans="2:11" x14ac:dyDescent="0.3">
      <c r="B1949" s="197"/>
      <c r="C1949" s="198"/>
      <c r="D1949" s="197"/>
      <c r="E1949" s="212"/>
      <c r="F1949" s="29" t="str">
        <f>IFERROR(VLOOKUP(E1949,'Inventaire des produits'!$B$4:$K$1001,2,0),"")</f>
        <v/>
      </c>
      <c r="G1949" s="212"/>
      <c r="H1949" s="30" t="str">
        <f>IFERROR(VLOOKUP(E1949,'Inventaire des produits'!$B$4:$K$1001,8,0),"")</f>
        <v/>
      </c>
      <c r="I1949" s="32" t="str">
        <f t="shared" si="58"/>
        <v/>
      </c>
      <c r="K1949" s="127" t="str">
        <f t="shared" si="57"/>
        <v/>
      </c>
    </row>
    <row r="1950" spans="2:11" x14ac:dyDescent="0.3">
      <c r="B1950" s="197"/>
      <c r="C1950" s="198"/>
      <c r="D1950" s="197"/>
      <c r="E1950" s="212"/>
      <c r="F1950" s="29" t="str">
        <f>IFERROR(VLOOKUP(E1950,'Inventaire des produits'!$B$4:$K$1001,2,0),"")</f>
        <v/>
      </c>
      <c r="G1950" s="212"/>
      <c r="H1950" s="30" t="str">
        <f>IFERROR(VLOOKUP(E1950,'Inventaire des produits'!$B$4:$K$1001,8,0),"")</f>
        <v/>
      </c>
      <c r="I1950" s="32" t="str">
        <f t="shared" si="58"/>
        <v/>
      </c>
      <c r="K1950" s="127" t="str">
        <f t="shared" si="57"/>
        <v/>
      </c>
    </row>
    <row r="1951" spans="2:11" x14ac:dyDescent="0.3">
      <c r="B1951" s="197"/>
      <c r="C1951" s="198"/>
      <c r="D1951" s="197"/>
      <c r="E1951" s="212"/>
      <c r="F1951" s="29" t="str">
        <f>IFERROR(VLOOKUP(E1951,'Inventaire des produits'!$B$4:$K$1001,2,0),"")</f>
        <v/>
      </c>
      <c r="G1951" s="212"/>
      <c r="H1951" s="30" t="str">
        <f>IFERROR(VLOOKUP(E1951,'Inventaire des produits'!$B$4:$K$1001,8,0),"")</f>
        <v/>
      </c>
      <c r="I1951" s="32" t="str">
        <f t="shared" si="58"/>
        <v/>
      </c>
      <c r="K1951" s="127" t="str">
        <f t="shared" si="57"/>
        <v/>
      </c>
    </row>
    <row r="1952" spans="2:11" x14ac:dyDescent="0.3">
      <c r="B1952" s="197"/>
      <c r="C1952" s="198"/>
      <c r="D1952" s="197"/>
      <c r="E1952" s="212"/>
      <c r="F1952" s="29" t="str">
        <f>IFERROR(VLOOKUP(E1952,'Inventaire des produits'!$B$4:$K$1001,2,0),"")</f>
        <v/>
      </c>
      <c r="G1952" s="212"/>
      <c r="H1952" s="30" t="str">
        <f>IFERROR(VLOOKUP(E1952,'Inventaire des produits'!$B$4:$K$1001,8,0),"")</f>
        <v/>
      </c>
      <c r="I1952" s="32" t="str">
        <f t="shared" si="58"/>
        <v/>
      </c>
      <c r="K1952" s="127" t="str">
        <f t="shared" si="57"/>
        <v/>
      </c>
    </row>
    <row r="1953" spans="2:11" x14ac:dyDescent="0.3">
      <c r="B1953" s="197"/>
      <c r="C1953" s="198"/>
      <c r="D1953" s="197"/>
      <c r="E1953" s="212"/>
      <c r="F1953" s="29" t="str">
        <f>IFERROR(VLOOKUP(E1953,'Inventaire des produits'!$B$4:$K$1001,2,0),"")</f>
        <v/>
      </c>
      <c r="G1953" s="212"/>
      <c r="H1953" s="30" t="str">
        <f>IFERROR(VLOOKUP(E1953,'Inventaire des produits'!$B$4:$K$1001,8,0),"")</f>
        <v/>
      </c>
      <c r="I1953" s="32" t="str">
        <f t="shared" si="58"/>
        <v/>
      </c>
      <c r="K1953" s="127" t="str">
        <f t="shared" si="57"/>
        <v/>
      </c>
    </row>
    <row r="1954" spans="2:11" x14ac:dyDescent="0.3">
      <c r="B1954" s="197"/>
      <c r="C1954" s="198"/>
      <c r="D1954" s="197"/>
      <c r="E1954" s="212"/>
      <c r="F1954" s="29" t="str">
        <f>IFERROR(VLOOKUP(E1954,'Inventaire des produits'!$B$4:$K$1001,2,0),"")</f>
        <v/>
      </c>
      <c r="G1954" s="212"/>
      <c r="H1954" s="30" t="str">
        <f>IFERROR(VLOOKUP(E1954,'Inventaire des produits'!$B$4:$K$1001,8,0),"")</f>
        <v/>
      </c>
      <c r="I1954" s="32" t="str">
        <f t="shared" si="58"/>
        <v/>
      </c>
      <c r="K1954" s="127" t="str">
        <f t="shared" si="57"/>
        <v/>
      </c>
    </row>
    <row r="1955" spans="2:11" x14ac:dyDescent="0.3">
      <c r="B1955" s="197"/>
      <c r="C1955" s="198"/>
      <c r="D1955" s="197"/>
      <c r="E1955" s="212"/>
      <c r="F1955" s="29" t="str">
        <f>IFERROR(VLOOKUP(E1955,'Inventaire des produits'!$B$4:$K$1001,2,0),"")</f>
        <v/>
      </c>
      <c r="G1955" s="212"/>
      <c r="H1955" s="30" t="str">
        <f>IFERROR(VLOOKUP(E1955,'Inventaire des produits'!$B$4:$K$1001,8,0),"")</f>
        <v/>
      </c>
      <c r="I1955" s="32" t="str">
        <f t="shared" si="58"/>
        <v/>
      </c>
      <c r="K1955" s="127" t="str">
        <f t="shared" si="57"/>
        <v/>
      </c>
    </row>
    <row r="1956" spans="2:11" x14ac:dyDescent="0.3">
      <c r="B1956" s="197"/>
      <c r="C1956" s="198"/>
      <c r="D1956" s="197"/>
      <c r="E1956" s="212"/>
      <c r="F1956" s="29" t="str">
        <f>IFERROR(VLOOKUP(E1956,'Inventaire des produits'!$B$4:$K$1001,2,0),"")</f>
        <v/>
      </c>
      <c r="G1956" s="212"/>
      <c r="H1956" s="30" t="str">
        <f>IFERROR(VLOOKUP(E1956,'Inventaire des produits'!$B$4:$K$1001,8,0),"")</f>
        <v/>
      </c>
      <c r="I1956" s="32" t="str">
        <f t="shared" si="58"/>
        <v/>
      </c>
      <c r="K1956" s="127" t="str">
        <f t="shared" si="57"/>
        <v/>
      </c>
    </row>
    <row r="1957" spans="2:11" x14ac:dyDescent="0.3">
      <c r="B1957" s="197"/>
      <c r="C1957" s="198"/>
      <c r="D1957" s="197"/>
      <c r="E1957" s="212"/>
      <c r="F1957" s="29" t="str">
        <f>IFERROR(VLOOKUP(E1957,'Inventaire des produits'!$B$4:$K$1001,2,0),"")</f>
        <v/>
      </c>
      <c r="G1957" s="212"/>
      <c r="H1957" s="30" t="str">
        <f>IFERROR(VLOOKUP(E1957,'Inventaire des produits'!$B$4:$K$1001,8,0),"")</f>
        <v/>
      </c>
      <c r="I1957" s="32" t="str">
        <f t="shared" si="58"/>
        <v/>
      </c>
      <c r="K1957" s="127" t="str">
        <f t="shared" si="57"/>
        <v/>
      </c>
    </row>
    <row r="1958" spans="2:11" x14ac:dyDescent="0.3">
      <c r="B1958" s="197"/>
      <c r="C1958" s="198"/>
      <c r="D1958" s="197"/>
      <c r="E1958" s="212"/>
      <c r="F1958" s="29" t="str">
        <f>IFERROR(VLOOKUP(E1958,'Inventaire des produits'!$B$4:$K$1001,2,0),"")</f>
        <v/>
      </c>
      <c r="G1958" s="212"/>
      <c r="H1958" s="30" t="str">
        <f>IFERROR(VLOOKUP(E1958,'Inventaire des produits'!$B$4:$K$1001,8,0),"")</f>
        <v/>
      </c>
      <c r="I1958" s="32" t="str">
        <f t="shared" si="58"/>
        <v/>
      </c>
      <c r="K1958" s="127" t="str">
        <f t="shared" si="57"/>
        <v/>
      </c>
    </row>
    <row r="1959" spans="2:11" x14ac:dyDescent="0.3">
      <c r="B1959" s="197"/>
      <c r="C1959" s="198"/>
      <c r="D1959" s="197"/>
      <c r="E1959" s="212"/>
      <c r="F1959" s="29" t="str">
        <f>IFERROR(VLOOKUP(E1959,'Inventaire des produits'!$B$4:$K$1001,2,0),"")</f>
        <v/>
      </c>
      <c r="G1959" s="212"/>
      <c r="H1959" s="30" t="str">
        <f>IFERROR(VLOOKUP(E1959,'Inventaire des produits'!$B$4:$K$1001,8,0),"")</f>
        <v/>
      </c>
      <c r="I1959" s="32" t="str">
        <f t="shared" si="58"/>
        <v/>
      </c>
      <c r="K1959" s="127" t="str">
        <f t="shared" si="57"/>
        <v/>
      </c>
    </row>
    <row r="1960" spans="2:11" x14ac:dyDescent="0.3">
      <c r="B1960" s="197"/>
      <c r="C1960" s="198"/>
      <c r="D1960" s="197"/>
      <c r="E1960" s="212"/>
      <c r="F1960" s="29" t="str">
        <f>IFERROR(VLOOKUP(E1960,'Inventaire des produits'!$B$4:$K$1001,2,0),"")</f>
        <v/>
      </c>
      <c r="G1960" s="212"/>
      <c r="H1960" s="30" t="str">
        <f>IFERROR(VLOOKUP(E1960,'Inventaire des produits'!$B$4:$K$1001,8,0),"")</f>
        <v/>
      </c>
      <c r="I1960" s="32" t="str">
        <f t="shared" si="58"/>
        <v/>
      </c>
      <c r="K1960" s="127" t="str">
        <f t="shared" si="57"/>
        <v/>
      </c>
    </row>
    <row r="1961" spans="2:11" x14ac:dyDescent="0.3">
      <c r="B1961" s="197"/>
      <c r="C1961" s="198"/>
      <c r="D1961" s="197"/>
      <c r="E1961" s="212"/>
      <c r="F1961" s="29" t="str">
        <f>IFERROR(VLOOKUP(E1961,'Inventaire des produits'!$B$4:$K$1001,2,0),"")</f>
        <v/>
      </c>
      <c r="G1961" s="212"/>
      <c r="H1961" s="30" t="str">
        <f>IFERROR(VLOOKUP(E1961,'Inventaire des produits'!$B$4:$K$1001,8,0),"")</f>
        <v/>
      </c>
      <c r="I1961" s="32" t="str">
        <f t="shared" si="58"/>
        <v/>
      </c>
      <c r="K1961" s="127" t="str">
        <f t="shared" si="57"/>
        <v/>
      </c>
    </row>
    <row r="1962" spans="2:11" x14ac:dyDescent="0.3">
      <c r="B1962" s="197"/>
      <c r="C1962" s="198"/>
      <c r="D1962" s="197"/>
      <c r="E1962" s="212"/>
      <c r="F1962" s="29" t="str">
        <f>IFERROR(VLOOKUP(E1962,'Inventaire des produits'!$B$4:$K$1001,2,0),"")</f>
        <v/>
      </c>
      <c r="G1962" s="212"/>
      <c r="H1962" s="30" t="str">
        <f>IFERROR(VLOOKUP(E1962,'Inventaire des produits'!$B$4:$K$1001,8,0),"")</f>
        <v/>
      </c>
      <c r="I1962" s="32" t="str">
        <f t="shared" si="58"/>
        <v/>
      </c>
      <c r="K1962" s="127" t="str">
        <f t="shared" si="57"/>
        <v/>
      </c>
    </row>
    <row r="1963" spans="2:11" x14ac:dyDescent="0.3">
      <c r="B1963" s="197"/>
      <c r="C1963" s="198"/>
      <c r="D1963" s="197"/>
      <c r="E1963" s="212"/>
      <c r="F1963" s="29" t="str">
        <f>IFERROR(VLOOKUP(E1963,'Inventaire des produits'!$B$4:$K$1001,2,0),"")</f>
        <v/>
      </c>
      <c r="G1963" s="212"/>
      <c r="H1963" s="30" t="str">
        <f>IFERROR(VLOOKUP(E1963,'Inventaire des produits'!$B$4:$K$1001,8,0),"")</f>
        <v/>
      </c>
      <c r="I1963" s="32" t="str">
        <f t="shared" si="58"/>
        <v/>
      </c>
      <c r="K1963" s="127" t="str">
        <f t="shared" si="57"/>
        <v/>
      </c>
    </row>
    <row r="1964" spans="2:11" x14ac:dyDescent="0.3">
      <c r="B1964" s="197"/>
      <c r="C1964" s="198"/>
      <c r="D1964" s="197"/>
      <c r="E1964" s="212"/>
      <c r="F1964" s="29" t="str">
        <f>IFERROR(VLOOKUP(E1964,'Inventaire des produits'!$B$4:$K$1001,2,0),"")</f>
        <v/>
      </c>
      <c r="G1964" s="212"/>
      <c r="H1964" s="30" t="str">
        <f>IFERROR(VLOOKUP(E1964,'Inventaire des produits'!$B$4:$K$1001,8,0),"")</f>
        <v/>
      </c>
      <c r="I1964" s="32" t="str">
        <f t="shared" si="58"/>
        <v/>
      </c>
      <c r="K1964" s="127" t="str">
        <f t="shared" si="57"/>
        <v/>
      </c>
    </row>
    <row r="1965" spans="2:11" x14ac:dyDescent="0.3">
      <c r="B1965" s="197"/>
      <c r="C1965" s="198"/>
      <c r="D1965" s="197"/>
      <c r="E1965" s="212"/>
      <c r="F1965" s="29" t="str">
        <f>IFERROR(VLOOKUP(E1965,'Inventaire des produits'!$B$4:$K$1001,2,0),"")</f>
        <v/>
      </c>
      <c r="G1965" s="212"/>
      <c r="H1965" s="30" t="str">
        <f>IFERROR(VLOOKUP(E1965,'Inventaire des produits'!$B$4:$K$1001,8,0),"")</f>
        <v/>
      </c>
      <c r="I1965" s="32" t="str">
        <f t="shared" si="58"/>
        <v/>
      </c>
      <c r="K1965" s="127" t="str">
        <f t="shared" si="57"/>
        <v/>
      </c>
    </row>
    <row r="1966" spans="2:11" x14ac:dyDescent="0.3">
      <c r="B1966" s="197"/>
      <c r="C1966" s="198"/>
      <c r="D1966" s="197"/>
      <c r="E1966" s="212"/>
      <c r="F1966" s="29" t="str">
        <f>IFERROR(VLOOKUP(E1966,'Inventaire des produits'!$B$4:$K$1001,2,0),"")</f>
        <v/>
      </c>
      <c r="G1966" s="212"/>
      <c r="H1966" s="30" t="str">
        <f>IFERROR(VLOOKUP(E1966,'Inventaire des produits'!$B$4:$K$1001,8,0),"")</f>
        <v/>
      </c>
      <c r="I1966" s="32" t="str">
        <f t="shared" si="58"/>
        <v/>
      </c>
      <c r="K1966" s="127" t="str">
        <f t="shared" si="57"/>
        <v/>
      </c>
    </row>
    <row r="1967" spans="2:11" x14ac:dyDescent="0.3">
      <c r="B1967" s="197"/>
      <c r="C1967" s="198"/>
      <c r="D1967" s="197"/>
      <c r="E1967" s="212"/>
      <c r="F1967" s="29" t="str">
        <f>IFERROR(VLOOKUP(E1967,'Inventaire des produits'!$B$4:$K$1001,2,0),"")</f>
        <v/>
      </c>
      <c r="G1967" s="212"/>
      <c r="H1967" s="30" t="str">
        <f>IFERROR(VLOOKUP(E1967,'Inventaire des produits'!$B$4:$K$1001,8,0),"")</f>
        <v/>
      </c>
      <c r="I1967" s="32" t="str">
        <f t="shared" si="58"/>
        <v/>
      </c>
      <c r="K1967" s="127" t="str">
        <f t="shared" si="57"/>
        <v/>
      </c>
    </row>
    <row r="1968" spans="2:11" x14ac:dyDescent="0.3">
      <c r="B1968" s="197"/>
      <c r="C1968" s="198"/>
      <c r="D1968" s="197"/>
      <c r="E1968" s="212"/>
      <c r="F1968" s="29" t="str">
        <f>IFERROR(VLOOKUP(E1968,'Inventaire des produits'!$B$4:$K$1001,2,0),"")</f>
        <v/>
      </c>
      <c r="G1968" s="212"/>
      <c r="H1968" s="30" t="str">
        <f>IFERROR(VLOOKUP(E1968,'Inventaire des produits'!$B$4:$K$1001,8,0),"")</f>
        <v/>
      </c>
      <c r="I1968" s="32" t="str">
        <f t="shared" si="58"/>
        <v/>
      </c>
      <c r="K1968" s="127" t="str">
        <f t="shared" si="57"/>
        <v/>
      </c>
    </row>
    <row r="1969" spans="2:11" x14ac:dyDescent="0.3">
      <c r="B1969" s="197"/>
      <c r="C1969" s="198"/>
      <c r="D1969" s="197"/>
      <c r="E1969" s="212"/>
      <c r="F1969" s="29" t="str">
        <f>IFERROR(VLOOKUP(E1969,'Inventaire des produits'!$B$4:$K$1001,2,0),"")</f>
        <v/>
      </c>
      <c r="G1969" s="212"/>
      <c r="H1969" s="30" t="str">
        <f>IFERROR(VLOOKUP(E1969,'Inventaire des produits'!$B$4:$K$1001,8,0),"")</f>
        <v/>
      </c>
      <c r="I1969" s="32" t="str">
        <f t="shared" si="58"/>
        <v/>
      </c>
      <c r="K1969" s="127" t="str">
        <f t="shared" si="57"/>
        <v/>
      </c>
    </row>
    <row r="1970" spans="2:11" x14ac:dyDescent="0.3">
      <c r="B1970" s="197"/>
      <c r="C1970" s="198"/>
      <c r="D1970" s="197"/>
      <c r="E1970" s="212"/>
      <c r="F1970" s="29" t="str">
        <f>IFERROR(VLOOKUP(E1970,'Inventaire des produits'!$B$4:$K$1001,2,0),"")</f>
        <v/>
      </c>
      <c r="G1970" s="212"/>
      <c r="H1970" s="30" t="str">
        <f>IFERROR(VLOOKUP(E1970,'Inventaire des produits'!$B$4:$K$1001,8,0),"")</f>
        <v/>
      </c>
      <c r="I1970" s="32" t="str">
        <f t="shared" si="58"/>
        <v/>
      </c>
      <c r="K1970" s="127" t="str">
        <f t="shared" si="57"/>
        <v/>
      </c>
    </row>
    <row r="1971" spans="2:11" x14ac:dyDescent="0.3">
      <c r="B1971" s="197"/>
      <c r="C1971" s="198"/>
      <c r="D1971" s="197"/>
      <c r="E1971" s="212"/>
      <c r="F1971" s="29" t="str">
        <f>IFERROR(VLOOKUP(E1971,'Inventaire des produits'!$B$4:$K$1001,2,0),"")</f>
        <v/>
      </c>
      <c r="G1971" s="212"/>
      <c r="H1971" s="30" t="str">
        <f>IFERROR(VLOOKUP(E1971,'Inventaire des produits'!$B$4:$K$1001,8,0),"")</f>
        <v/>
      </c>
      <c r="I1971" s="32" t="str">
        <f t="shared" si="58"/>
        <v/>
      </c>
      <c r="K1971" s="127" t="str">
        <f t="shared" si="57"/>
        <v/>
      </c>
    </row>
    <row r="1972" spans="2:11" x14ac:dyDescent="0.3">
      <c r="B1972" s="197"/>
      <c r="C1972" s="198"/>
      <c r="D1972" s="197"/>
      <c r="E1972" s="212"/>
      <c r="F1972" s="29" t="str">
        <f>IFERROR(VLOOKUP(E1972,'Inventaire des produits'!$B$4:$K$1001,2,0),"")</f>
        <v/>
      </c>
      <c r="G1972" s="212"/>
      <c r="H1972" s="30" t="str">
        <f>IFERROR(VLOOKUP(E1972,'Inventaire des produits'!$B$4:$K$1001,8,0),"")</f>
        <v/>
      </c>
      <c r="I1972" s="32" t="str">
        <f t="shared" si="58"/>
        <v/>
      </c>
      <c r="K1972" s="127" t="str">
        <f t="shared" si="57"/>
        <v/>
      </c>
    </row>
    <row r="1973" spans="2:11" x14ac:dyDescent="0.3">
      <c r="B1973" s="197"/>
      <c r="C1973" s="198"/>
      <c r="D1973" s="197"/>
      <c r="E1973" s="212"/>
      <c r="F1973" s="29" t="str">
        <f>IFERROR(VLOOKUP(E1973,'Inventaire des produits'!$B$4:$K$1001,2,0),"")</f>
        <v/>
      </c>
      <c r="G1973" s="212"/>
      <c r="H1973" s="30" t="str">
        <f>IFERROR(VLOOKUP(E1973,'Inventaire des produits'!$B$4:$K$1001,8,0),"")</f>
        <v/>
      </c>
      <c r="I1973" s="32" t="str">
        <f t="shared" si="58"/>
        <v/>
      </c>
      <c r="K1973" s="127" t="str">
        <f t="shared" si="57"/>
        <v/>
      </c>
    </row>
    <row r="1974" spans="2:11" x14ac:dyDescent="0.3">
      <c r="B1974" s="197"/>
      <c r="C1974" s="198"/>
      <c r="D1974" s="197"/>
      <c r="E1974" s="212"/>
      <c r="F1974" s="29" t="str">
        <f>IFERROR(VLOOKUP(E1974,'Inventaire des produits'!$B$4:$K$1001,2,0),"")</f>
        <v/>
      </c>
      <c r="G1974" s="212"/>
      <c r="H1974" s="30" t="str">
        <f>IFERROR(VLOOKUP(E1974,'Inventaire des produits'!$B$4:$K$1001,8,0),"")</f>
        <v/>
      </c>
      <c r="I1974" s="32" t="str">
        <f t="shared" si="58"/>
        <v/>
      </c>
      <c r="K1974" s="127" t="str">
        <f t="shared" si="57"/>
        <v/>
      </c>
    </row>
    <row r="1975" spans="2:11" x14ac:dyDescent="0.3">
      <c r="B1975" s="197"/>
      <c r="C1975" s="198"/>
      <c r="D1975" s="197"/>
      <c r="E1975" s="212"/>
      <c r="F1975" s="29" t="str">
        <f>IFERROR(VLOOKUP(E1975,'Inventaire des produits'!$B$4:$K$1001,2,0),"")</f>
        <v/>
      </c>
      <c r="G1975" s="212"/>
      <c r="H1975" s="30" t="str">
        <f>IFERROR(VLOOKUP(E1975,'Inventaire des produits'!$B$4:$K$1001,8,0),"")</f>
        <v/>
      </c>
      <c r="I1975" s="32" t="str">
        <f t="shared" si="58"/>
        <v/>
      </c>
      <c r="K1975" s="127" t="str">
        <f t="shared" si="57"/>
        <v/>
      </c>
    </row>
    <row r="1976" spans="2:11" x14ac:dyDescent="0.3">
      <c r="B1976" s="197"/>
      <c r="C1976" s="198"/>
      <c r="D1976" s="197"/>
      <c r="E1976" s="212"/>
      <c r="F1976" s="29" t="str">
        <f>IFERROR(VLOOKUP(E1976,'Inventaire des produits'!$B$4:$K$1001,2,0),"")</f>
        <v/>
      </c>
      <c r="G1976" s="212"/>
      <c r="H1976" s="30" t="str">
        <f>IFERROR(VLOOKUP(E1976,'Inventaire des produits'!$B$4:$K$1001,8,0),"")</f>
        <v/>
      </c>
      <c r="I1976" s="32" t="str">
        <f t="shared" si="58"/>
        <v/>
      </c>
      <c r="K1976" s="127" t="str">
        <f t="shared" si="57"/>
        <v/>
      </c>
    </row>
    <row r="1977" spans="2:11" x14ac:dyDescent="0.3">
      <c r="B1977" s="197"/>
      <c r="C1977" s="198"/>
      <c r="D1977" s="197"/>
      <c r="E1977" s="212"/>
      <c r="F1977" s="29" t="str">
        <f>IFERROR(VLOOKUP(E1977,'Inventaire des produits'!$B$4:$K$1001,2,0),"")</f>
        <v/>
      </c>
      <c r="G1977" s="212"/>
      <c r="H1977" s="30" t="str">
        <f>IFERROR(VLOOKUP(E1977,'Inventaire des produits'!$B$4:$K$1001,8,0),"")</f>
        <v/>
      </c>
      <c r="I1977" s="32" t="str">
        <f t="shared" si="58"/>
        <v/>
      </c>
      <c r="K1977" s="127" t="str">
        <f t="shared" si="57"/>
        <v/>
      </c>
    </row>
    <row r="1978" spans="2:11" x14ac:dyDescent="0.3">
      <c r="B1978" s="197"/>
      <c r="C1978" s="198"/>
      <c r="D1978" s="197"/>
      <c r="E1978" s="212"/>
      <c r="F1978" s="29" t="str">
        <f>IFERROR(VLOOKUP(E1978,'Inventaire des produits'!$B$4:$K$1001,2,0),"")</f>
        <v/>
      </c>
      <c r="G1978" s="212"/>
      <c r="H1978" s="30" t="str">
        <f>IFERROR(VLOOKUP(E1978,'Inventaire des produits'!$B$4:$K$1001,8,0),"")</f>
        <v/>
      </c>
      <c r="I1978" s="32" t="str">
        <f t="shared" si="58"/>
        <v/>
      </c>
      <c r="K1978" s="127" t="str">
        <f t="shared" si="57"/>
        <v/>
      </c>
    </row>
    <row r="1979" spans="2:11" x14ac:dyDescent="0.3">
      <c r="B1979" s="197"/>
      <c r="C1979" s="198"/>
      <c r="D1979" s="197"/>
      <c r="E1979" s="212"/>
      <c r="F1979" s="29" t="str">
        <f>IFERROR(VLOOKUP(E1979,'Inventaire des produits'!$B$4:$K$1001,2,0),"")</f>
        <v/>
      </c>
      <c r="G1979" s="212"/>
      <c r="H1979" s="30" t="str">
        <f>IFERROR(VLOOKUP(E1979,'Inventaire des produits'!$B$4:$K$1001,8,0),"")</f>
        <v/>
      </c>
      <c r="I1979" s="32" t="str">
        <f t="shared" si="58"/>
        <v/>
      </c>
      <c r="K1979" s="127" t="str">
        <f t="shared" si="57"/>
        <v/>
      </c>
    </row>
    <row r="1980" spans="2:11" x14ac:dyDescent="0.3">
      <c r="B1980" s="197"/>
      <c r="C1980" s="198"/>
      <c r="D1980" s="197"/>
      <c r="E1980" s="212"/>
      <c r="F1980" s="29" t="str">
        <f>IFERROR(VLOOKUP(E1980,'Inventaire des produits'!$B$4:$K$1001,2,0),"")</f>
        <v/>
      </c>
      <c r="G1980" s="212"/>
      <c r="H1980" s="30" t="str">
        <f>IFERROR(VLOOKUP(E1980,'Inventaire des produits'!$B$4:$K$1001,8,0),"")</f>
        <v/>
      </c>
      <c r="I1980" s="32" t="str">
        <f t="shared" si="58"/>
        <v/>
      </c>
      <c r="K1980" s="127" t="str">
        <f t="shared" ref="K1980:K2043" si="59">IF(J1980="","",J1980*1.2)</f>
        <v/>
      </c>
    </row>
    <row r="1981" spans="2:11" x14ac:dyDescent="0.3">
      <c r="B1981" s="197"/>
      <c r="C1981" s="198"/>
      <c r="D1981" s="197"/>
      <c r="E1981" s="212"/>
      <c r="F1981" s="29" t="str">
        <f>IFERROR(VLOOKUP(E1981,'Inventaire des produits'!$B$4:$K$1001,2,0),"")</f>
        <v/>
      </c>
      <c r="G1981" s="212"/>
      <c r="H1981" s="30" t="str">
        <f>IFERROR(VLOOKUP(E1981,'Inventaire des produits'!$B$4:$K$1001,8,0),"")</f>
        <v/>
      </c>
      <c r="I1981" s="32" t="str">
        <f t="shared" si="58"/>
        <v/>
      </c>
      <c r="K1981" s="127" t="str">
        <f t="shared" si="59"/>
        <v/>
      </c>
    </row>
    <row r="1982" spans="2:11" x14ac:dyDescent="0.3">
      <c r="B1982" s="197"/>
      <c r="C1982" s="198"/>
      <c r="D1982" s="197"/>
      <c r="E1982" s="212"/>
      <c r="F1982" s="29" t="str">
        <f>IFERROR(VLOOKUP(E1982,'Inventaire des produits'!$B$4:$K$1001,2,0),"")</f>
        <v/>
      </c>
      <c r="G1982" s="212"/>
      <c r="H1982" s="30" t="str">
        <f>IFERROR(VLOOKUP(E1982,'Inventaire des produits'!$B$4:$K$1001,8,0),"")</f>
        <v/>
      </c>
      <c r="I1982" s="32" t="str">
        <f t="shared" si="58"/>
        <v/>
      </c>
      <c r="K1982" s="127" t="str">
        <f t="shared" si="59"/>
        <v/>
      </c>
    </row>
    <row r="1983" spans="2:11" x14ac:dyDescent="0.3">
      <c r="B1983" s="197"/>
      <c r="C1983" s="198"/>
      <c r="D1983" s="197"/>
      <c r="E1983" s="212"/>
      <c r="F1983" s="29" t="str">
        <f>IFERROR(VLOOKUP(E1983,'Inventaire des produits'!$B$4:$K$1001,2,0),"")</f>
        <v/>
      </c>
      <c r="G1983" s="212"/>
      <c r="H1983" s="30" t="str">
        <f>IFERROR(VLOOKUP(E1983,'Inventaire des produits'!$B$4:$K$1001,8,0),"")</f>
        <v/>
      </c>
      <c r="I1983" s="32" t="str">
        <f t="shared" si="58"/>
        <v/>
      </c>
      <c r="K1983" s="127" t="str">
        <f t="shared" si="59"/>
        <v/>
      </c>
    </row>
    <row r="1984" spans="2:11" x14ac:dyDescent="0.3">
      <c r="B1984" s="197"/>
      <c r="C1984" s="198"/>
      <c r="D1984" s="197"/>
      <c r="E1984" s="212"/>
      <c r="F1984" s="29" t="str">
        <f>IFERROR(VLOOKUP(E1984,'Inventaire des produits'!$B$4:$K$1001,2,0),"")</f>
        <v/>
      </c>
      <c r="G1984" s="212"/>
      <c r="H1984" s="30" t="str">
        <f>IFERROR(VLOOKUP(E1984,'Inventaire des produits'!$B$4:$K$1001,8,0),"")</f>
        <v/>
      </c>
      <c r="I1984" s="32" t="str">
        <f t="shared" si="58"/>
        <v/>
      </c>
      <c r="K1984" s="127" t="str">
        <f t="shared" si="59"/>
        <v/>
      </c>
    </row>
    <row r="1985" spans="2:11" x14ac:dyDescent="0.3">
      <c r="B1985" s="197"/>
      <c r="C1985" s="198"/>
      <c r="D1985" s="197"/>
      <c r="E1985" s="212"/>
      <c r="F1985" s="29" t="str">
        <f>IFERROR(VLOOKUP(E1985,'Inventaire des produits'!$B$4:$K$1001,2,0),"")</f>
        <v/>
      </c>
      <c r="G1985" s="212"/>
      <c r="H1985" s="30" t="str">
        <f>IFERROR(VLOOKUP(E1985,'Inventaire des produits'!$B$4:$K$1001,8,0),"")</f>
        <v/>
      </c>
      <c r="I1985" s="32" t="str">
        <f t="shared" si="58"/>
        <v/>
      </c>
      <c r="K1985" s="127" t="str">
        <f t="shared" si="59"/>
        <v/>
      </c>
    </row>
    <row r="1986" spans="2:11" x14ac:dyDescent="0.3">
      <c r="B1986" s="197"/>
      <c r="C1986" s="198"/>
      <c r="D1986" s="197"/>
      <c r="E1986" s="212"/>
      <c r="F1986" s="29" t="str">
        <f>IFERROR(VLOOKUP(E1986,'Inventaire des produits'!$B$4:$K$1001,2,0),"")</f>
        <v/>
      </c>
      <c r="G1986" s="212"/>
      <c r="H1986" s="30" t="str">
        <f>IFERROR(VLOOKUP(E1986,'Inventaire des produits'!$B$4:$K$1001,8,0),"")</f>
        <v/>
      </c>
      <c r="I1986" s="32" t="str">
        <f t="shared" ref="I1986:I2049" si="60">IF(OR(G1986="",H1986=""),"",G1986*H1986)</f>
        <v/>
      </c>
      <c r="K1986" s="127" t="str">
        <f t="shared" si="59"/>
        <v/>
      </c>
    </row>
    <row r="1987" spans="2:11" x14ac:dyDescent="0.3">
      <c r="B1987" s="197"/>
      <c r="C1987" s="198"/>
      <c r="D1987" s="197"/>
      <c r="E1987" s="212"/>
      <c r="F1987" s="29" t="str">
        <f>IFERROR(VLOOKUP(E1987,'Inventaire des produits'!$B$4:$K$1001,2,0),"")</f>
        <v/>
      </c>
      <c r="G1987" s="212"/>
      <c r="H1987" s="30" t="str">
        <f>IFERROR(VLOOKUP(E1987,'Inventaire des produits'!$B$4:$K$1001,8,0),"")</f>
        <v/>
      </c>
      <c r="I1987" s="32" t="str">
        <f t="shared" si="60"/>
        <v/>
      </c>
      <c r="K1987" s="127" t="str">
        <f t="shared" si="59"/>
        <v/>
      </c>
    </row>
    <row r="1988" spans="2:11" x14ac:dyDescent="0.3">
      <c r="B1988" s="197"/>
      <c r="C1988" s="198"/>
      <c r="D1988" s="197"/>
      <c r="E1988" s="212"/>
      <c r="F1988" s="29" t="str">
        <f>IFERROR(VLOOKUP(E1988,'Inventaire des produits'!$B$4:$K$1001,2,0),"")</f>
        <v/>
      </c>
      <c r="G1988" s="212"/>
      <c r="H1988" s="30" t="str">
        <f>IFERROR(VLOOKUP(E1988,'Inventaire des produits'!$B$4:$K$1001,8,0),"")</f>
        <v/>
      </c>
      <c r="I1988" s="32" t="str">
        <f t="shared" si="60"/>
        <v/>
      </c>
      <c r="K1988" s="127" t="str">
        <f t="shared" si="59"/>
        <v/>
      </c>
    </row>
    <row r="1989" spans="2:11" x14ac:dyDescent="0.3">
      <c r="B1989" s="197"/>
      <c r="C1989" s="198"/>
      <c r="D1989" s="197"/>
      <c r="E1989" s="212"/>
      <c r="F1989" s="29" t="str">
        <f>IFERROR(VLOOKUP(E1989,'Inventaire des produits'!$B$4:$K$1001,2,0),"")</f>
        <v/>
      </c>
      <c r="G1989" s="212"/>
      <c r="H1989" s="30" t="str">
        <f>IFERROR(VLOOKUP(E1989,'Inventaire des produits'!$B$4:$K$1001,8,0),"")</f>
        <v/>
      </c>
      <c r="I1989" s="32" t="str">
        <f t="shared" si="60"/>
        <v/>
      </c>
      <c r="K1989" s="127" t="str">
        <f t="shared" si="59"/>
        <v/>
      </c>
    </row>
    <row r="1990" spans="2:11" x14ac:dyDescent="0.3">
      <c r="B1990" s="197"/>
      <c r="C1990" s="198"/>
      <c r="D1990" s="197"/>
      <c r="E1990" s="212"/>
      <c r="F1990" s="29" t="str">
        <f>IFERROR(VLOOKUP(E1990,'Inventaire des produits'!$B$4:$K$1001,2,0),"")</f>
        <v/>
      </c>
      <c r="G1990" s="212"/>
      <c r="H1990" s="30" t="str">
        <f>IFERROR(VLOOKUP(E1990,'Inventaire des produits'!$B$4:$K$1001,8,0),"")</f>
        <v/>
      </c>
      <c r="I1990" s="32" t="str">
        <f t="shared" si="60"/>
        <v/>
      </c>
      <c r="K1990" s="127" t="str">
        <f t="shared" si="59"/>
        <v/>
      </c>
    </row>
    <row r="1991" spans="2:11" x14ac:dyDescent="0.3">
      <c r="B1991" s="197"/>
      <c r="C1991" s="198"/>
      <c r="D1991" s="197"/>
      <c r="E1991" s="212"/>
      <c r="F1991" s="29" t="str">
        <f>IFERROR(VLOOKUP(E1991,'Inventaire des produits'!$B$4:$K$1001,2,0),"")</f>
        <v/>
      </c>
      <c r="G1991" s="212"/>
      <c r="H1991" s="30" t="str">
        <f>IFERROR(VLOOKUP(E1991,'Inventaire des produits'!$B$4:$K$1001,8,0),"")</f>
        <v/>
      </c>
      <c r="I1991" s="32" t="str">
        <f t="shared" si="60"/>
        <v/>
      </c>
      <c r="K1991" s="127" t="str">
        <f t="shared" si="59"/>
        <v/>
      </c>
    </row>
    <row r="1992" spans="2:11" x14ac:dyDescent="0.3">
      <c r="B1992" s="197"/>
      <c r="C1992" s="198"/>
      <c r="D1992" s="197"/>
      <c r="E1992" s="212"/>
      <c r="F1992" s="29" t="str">
        <f>IFERROR(VLOOKUP(E1992,'Inventaire des produits'!$B$4:$K$1001,2,0),"")</f>
        <v/>
      </c>
      <c r="G1992" s="212"/>
      <c r="H1992" s="30" t="str">
        <f>IFERROR(VLOOKUP(E1992,'Inventaire des produits'!$B$4:$K$1001,8,0),"")</f>
        <v/>
      </c>
      <c r="I1992" s="32" t="str">
        <f t="shared" si="60"/>
        <v/>
      </c>
      <c r="K1992" s="127" t="str">
        <f t="shared" si="59"/>
        <v/>
      </c>
    </row>
    <row r="1993" spans="2:11" x14ac:dyDescent="0.3">
      <c r="B1993" s="197"/>
      <c r="C1993" s="198"/>
      <c r="D1993" s="197"/>
      <c r="E1993" s="212"/>
      <c r="F1993" s="29" t="str">
        <f>IFERROR(VLOOKUP(E1993,'Inventaire des produits'!$B$4:$K$1001,2,0),"")</f>
        <v/>
      </c>
      <c r="G1993" s="212"/>
      <c r="H1993" s="30" t="str">
        <f>IFERROR(VLOOKUP(E1993,'Inventaire des produits'!$B$4:$K$1001,8,0),"")</f>
        <v/>
      </c>
      <c r="I1993" s="32" t="str">
        <f t="shared" si="60"/>
        <v/>
      </c>
      <c r="K1993" s="127" t="str">
        <f t="shared" si="59"/>
        <v/>
      </c>
    </row>
    <row r="1994" spans="2:11" x14ac:dyDescent="0.3">
      <c r="B1994" s="197"/>
      <c r="C1994" s="198"/>
      <c r="D1994" s="197"/>
      <c r="E1994" s="212"/>
      <c r="F1994" s="29" t="str">
        <f>IFERROR(VLOOKUP(E1994,'Inventaire des produits'!$B$4:$K$1001,2,0),"")</f>
        <v/>
      </c>
      <c r="G1994" s="212"/>
      <c r="H1994" s="30" t="str">
        <f>IFERROR(VLOOKUP(E1994,'Inventaire des produits'!$B$4:$K$1001,8,0),"")</f>
        <v/>
      </c>
      <c r="I1994" s="32" t="str">
        <f t="shared" si="60"/>
        <v/>
      </c>
      <c r="K1994" s="127" t="str">
        <f t="shared" si="59"/>
        <v/>
      </c>
    </row>
    <row r="1995" spans="2:11" x14ac:dyDescent="0.3">
      <c r="B1995" s="197"/>
      <c r="C1995" s="198"/>
      <c r="D1995" s="197"/>
      <c r="E1995" s="212"/>
      <c r="F1995" s="29" t="str">
        <f>IFERROR(VLOOKUP(E1995,'Inventaire des produits'!$B$4:$K$1001,2,0),"")</f>
        <v/>
      </c>
      <c r="G1995" s="212"/>
      <c r="H1995" s="30" t="str">
        <f>IFERROR(VLOOKUP(E1995,'Inventaire des produits'!$B$4:$K$1001,8,0),"")</f>
        <v/>
      </c>
      <c r="I1995" s="32" t="str">
        <f t="shared" si="60"/>
        <v/>
      </c>
      <c r="K1995" s="127" t="str">
        <f t="shared" si="59"/>
        <v/>
      </c>
    </row>
    <row r="1996" spans="2:11" x14ac:dyDescent="0.3">
      <c r="B1996" s="197"/>
      <c r="C1996" s="198"/>
      <c r="D1996" s="197"/>
      <c r="E1996" s="212"/>
      <c r="F1996" s="29" t="str">
        <f>IFERROR(VLOOKUP(E1996,'Inventaire des produits'!$B$4:$K$1001,2,0),"")</f>
        <v/>
      </c>
      <c r="G1996" s="212"/>
      <c r="H1996" s="30" t="str">
        <f>IFERROR(VLOOKUP(E1996,'Inventaire des produits'!$B$4:$K$1001,8,0),"")</f>
        <v/>
      </c>
      <c r="I1996" s="32" t="str">
        <f t="shared" si="60"/>
        <v/>
      </c>
      <c r="K1996" s="127" t="str">
        <f t="shared" si="59"/>
        <v/>
      </c>
    </row>
    <row r="1997" spans="2:11" x14ac:dyDescent="0.3">
      <c r="B1997" s="197"/>
      <c r="C1997" s="198"/>
      <c r="D1997" s="197"/>
      <c r="E1997" s="212"/>
      <c r="F1997" s="29" t="str">
        <f>IFERROR(VLOOKUP(E1997,'Inventaire des produits'!$B$4:$K$1001,2,0),"")</f>
        <v/>
      </c>
      <c r="G1997" s="212"/>
      <c r="H1997" s="30" t="str">
        <f>IFERROR(VLOOKUP(E1997,'Inventaire des produits'!$B$4:$K$1001,8,0),"")</f>
        <v/>
      </c>
      <c r="I1997" s="32" t="str">
        <f t="shared" si="60"/>
        <v/>
      </c>
      <c r="K1997" s="127" t="str">
        <f t="shared" si="59"/>
        <v/>
      </c>
    </row>
    <row r="1998" spans="2:11" x14ac:dyDescent="0.3">
      <c r="B1998" s="197"/>
      <c r="C1998" s="198"/>
      <c r="D1998" s="197"/>
      <c r="E1998" s="212"/>
      <c r="F1998" s="29" t="str">
        <f>IFERROR(VLOOKUP(E1998,'Inventaire des produits'!$B$4:$K$1001,2,0),"")</f>
        <v/>
      </c>
      <c r="G1998" s="212"/>
      <c r="H1998" s="30" t="str">
        <f>IFERROR(VLOOKUP(E1998,'Inventaire des produits'!$B$4:$K$1001,8,0),"")</f>
        <v/>
      </c>
      <c r="I1998" s="32" t="str">
        <f t="shared" si="60"/>
        <v/>
      </c>
      <c r="K1998" s="127" t="str">
        <f t="shared" si="59"/>
        <v/>
      </c>
    </row>
    <row r="1999" spans="2:11" x14ac:dyDescent="0.3">
      <c r="B1999" s="197"/>
      <c r="C1999" s="198"/>
      <c r="D1999" s="197"/>
      <c r="E1999" s="212"/>
      <c r="F1999" s="29" t="str">
        <f>IFERROR(VLOOKUP(E1999,'Inventaire des produits'!$B$4:$K$1001,2,0),"")</f>
        <v/>
      </c>
      <c r="G1999" s="212"/>
      <c r="H1999" s="30" t="str">
        <f>IFERROR(VLOOKUP(E1999,'Inventaire des produits'!$B$4:$K$1001,8,0),"")</f>
        <v/>
      </c>
      <c r="I1999" s="32" t="str">
        <f t="shared" si="60"/>
        <v/>
      </c>
      <c r="K1999" s="127" t="str">
        <f t="shared" si="59"/>
        <v/>
      </c>
    </row>
    <row r="2000" spans="2:11" x14ac:dyDescent="0.3">
      <c r="B2000" s="197"/>
      <c r="C2000" s="198"/>
      <c r="D2000" s="197"/>
      <c r="E2000" s="212"/>
      <c r="F2000" s="29" t="str">
        <f>IFERROR(VLOOKUP(E2000,'Inventaire des produits'!$B$4:$K$1001,2,0),"")</f>
        <v/>
      </c>
      <c r="G2000" s="212"/>
      <c r="H2000" s="30" t="str">
        <f>IFERROR(VLOOKUP(E2000,'Inventaire des produits'!$B$4:$K$1001,8,0),"")</f>
        <v/>
      </c>
      <c r="I2000" s="32" t="str">
        <f t="shared" si="60"/>
        <v/>
      </c>
      <c r="K2000" s="127" t="str">
        <f t="shared" si="59"/>
        <v/>
      </c>
    </row>
    <row r="2001" spans="2:11" x14ac:dyDescent="0.3">
      <c r="B2001" s="197"/>
      <c r="C2001" s="198"/>
      <c r="D2001" s="197"/>
      <c r="E2001" s="212"/>
      <c r="F2001" s="29" t="str">
        <f>IFERROR(VLOOKUP(E2001,'Inventaire des produits'!$B$4:$K$1001,2,0),"")</f>
        <v/>
      </c>
      <c r="G2001" s="212"/>
      <c r="H2001" s="30" t="str">
        <f>IFERROR(VLOOKUP(E2001,'Inventaire des produits'!$B$4:$K$1001,8,0),"")</f>
        <v/>
      </c>
      <c r="I2001" s="32" t="str">
        <f t="shared" si="60"/>
        <v/>
      </c>
      <c r="K2001" s="127" t="str">
        <f t="shared" si="59"/>
        <v/>
      </c>
    </row>
    <row r="2002" spans="2:11" x14ac:dyDescent="0.3">
      <c r="B2002" s="197"/>
      <c r="C2002" s="198"/>
      <c r="D2002" s="197"/>
      <c r="E2002" s="212"/>
      <c r="F2002" s="29" t="str">
        <f>IFERROR(VLOOKUP(E2002,'Inventaire des produits'!$B$4:$K$1001,2,0),"")</f>
        <v/>
      </c>
      <c r="G2002" s="212"/>
      <c r="H2002" s="30" t="str">
        <f>IFERROR(VLOOKUP(E2002,'Inventaire des produits'!$B$4:$K$1001,8,0),"")</f>
        <v/>
      </c>
      <c r="I2002" s="32" t="str">
        <f t="shared" si="60"/>
        <v/>
      </c>
      <c r="K2002" s="127" t="str">
        <f t="shared" si="59"/>
        <v/>
      </c>
    </row>
    <row r="2003" spans="2:11" x14ac:dyDescent="0.3">
      <c r="B2003" s="197"/>
      <c r="C2003" s="198"/>
      <c r="D2003" s="197"/>
      <c r="E2003" s="212"/>
      <c r="F2003" s="29" t="str">
        <f>IFERROR(VLOOKUP(E2003,'Inventaire des produits'!$B$4:$K$1001,2,0),"")</f>
        <v/>
      </c>
      <c r="G2003" s="212"/>
      <c r="H2003" s="30" t="str">
        <f>IFERROR(VLOOKUP(E2003,'Inventaire des produits'!$B$4:$K$1001,8,0),"")</f>
        <v/>
      </c>
      <c r="I2003" s="32" t="str">
        <f t="shared" si="60"/>
        <v/>
      </c>
      <c r="K2003" s="127" t="str">
        <f t="shared" si="59"/>
        <v/>
      </c>
    </row>
    <row r="2004" spans="2:11" x14ac:dyDescent="0.3">
      <c r="B2004" s="197"/>
      <c r="C2004" s="198"/>
      <c r="D2004" s="197"/>
      <c r="E2004" s="212"/>
      <c r="F2004" s="29" t="str">
        <f>IFERROR(VLOOKUP(E2004,'Inventaire des produits'!$B$4:$K$1001,2,0),"")</f>
        <v/>
      </c>
      <c r="G2004" s="212"/>
      <c r="H2004" s="30" t="str">
        <f>IFERROR(VLOOKUP(E2004,'Inventaire des produits'!$B$4:$K$1001,8,0),"")</f>
        <v/>
      </c>
      <c r="I2004" s="32" t="str">
        <f t="shared" si="60"/>
        <v/>
      </c>
      <c r="K2004" s="127" t="str">
        <f t="shared" si="59"/>
        <v/>
      </c>
    </row>
    <row r="2005" spans="2:11" x14ac:dyDescent="0.3">
      <c r="B2005" s="197"/>
      <c r="C2005" s="198"/>
      <c r="D2005" s="197"/>
      <c r="E2005" s="212"/>
      <c r="F2005" s="29" t="str">
        <f>IFERROR(VLOOKUP(E2005,'Inventaire des produits'!$B$4:$K$1001,2,0),"")</f>
        <v/>
      </c>
      <c r="G2005" s="212"/>
      <c r="H2005" s="30" t="str">
        <f>IFERROR(VLOOKUP(E2005,'Inventaire des produits'!$B$4:$K$1001,8,0),"")</f>
        <v/>
      </c>
      <c r="I2005" s="32" t="str">
        <f t="shared" si="60"/>
        <v/>
      </c>
      <c r="K2005" s="127" t="str">
        <f t="shared" si="59"/>
        <v/>
      </c>
    </row>
    <row r="2006" spans="2:11" x14ac:dyDescent="0.3">
      <c r="B2006" s="197"/>
      <c r="C2006" s="198"/>
      <c r="D2006" s="197"/>
      <c r="E2006" s="212"/>
      <c r="F2006" s="29" t="str">
        <f>IFERROR(VLOOKUP(E2006,'Inventaire des produits'!$B$4:$K$1001,2,0),"")</f>
        <v/>
      </c>
      <c r="G2006" s="212"/>
      <c r="H2006" s="30" t="str">
        <f>IFERROR(VLOOKUP(E2006,'Inventaire des produits'!$B$4:$K$1001,8,0),"")</f>
        <v/>
      </c>
      <c r="I2006" s="32" t="str">
        <f t="shared" si="60"/>
        <v/>
      </c>
      <c r="K2006" s="127" t="str">
        <f t="shared" si="59"/>
        <v/>
      </c>
    </row>
    <row r="2007" spans="2:11" x14ac:dyDescent="0.3">
      <c r="B2007" s="197"/>
      <c r="C2007" s="198"/>
      <c r="D2007" s="197"/>
      <c r="E2007" s="212"/>
      <c r="F2007" s="29" t="str">
        <f>IFERROR(VLOOKUP(E2007,'Inventaire des produits'!$B$4:$K$1001,2,0),"")</f>
        <v/>
      </c>
      <c r="G2007" s="212"/>
      <c r="H2007" s="30" t="str">
        <f>IFERROR(VLOOKUP(E2007,'Inventaire des produits'!$B$4:$K$1001,8,0),"")</f>
        <v/>
      </c>
      <c r="I2007" s="32" t="str">
        <f t="shared" si="60"/>
        <v/>
      </c>
      <c r="K2007" s="127" t="str">
        <f t="shared" si="59"/>
        <v/>
      </c>
    </row>
    <row r="2008" spans="2:11" x14ac:dyDescent="0.3">
      <c r="B2008" s="197"/>
      <c r="C2008" s="198"/>
      <c r="D2008" s="197"/>
      <c r="E2008" s="212"/>
      <c r="F2008" s="29" t="str">
        <f>IFERROR(VLOOKUP(E2008,'Inventaire des produits'!$B$4:$K$1001,2,0),"")</f>
        <v/>
      </c>
      <c r="G2008" s="212"/>
      <c r="H2008" s="30" t="str">
        <f>IFERROR(VLOOKUP(E2008,'Inventaire des produits'!$B$4:$K$1001,8,0),"")</f>
        <v/>
      </c>
      <c r="I2008" s="32" t="str">
        <f t="shared" si="60"/>
        <v/>
      </c>
      <c r="K2008" s="127" t="str">
        <f t="shared" si="59"/>
        <v/>
      </c>
    </row>
    <row r="2009" spans="2:11" x14ac:dyDescent="0.3">
      <c r="B2009" s="197"/>
      <c r="C2009" s="198"/>
      <c r="D2009" s="197"/>
      <c r="E2009" s="212"/>
      <c r="F2009" s="29" t="str">
        <f>IFERROR(VLOOKUP(E2009,'Inventaire des produits'!$B$4:$K$1001,2,0),"")</f>
        <v/>
      </c>
      <c r="G2009" s="212"/>
      <c r="H2009" s="30" t="str">
        <f>IFERROR(VLOOKUP(E2009,'Inventaire des produits'!$B$4:$K$1001,8,0),"")</f>
        <v/>
      </c>
      <c r="I2009" s="32" t="str">
        <f t="shared" si="60"/>
        <v/>
      </c>
      <c r="K2009" s="127" t="str">
        <f t="shared" si="59"/>
        <v/>
      </c>
    </row>
    <row r="2010" spans="2:11" x14ac:dyDescent="0.3">
      <c r="B2010" s="197"/>
      <c r="C2010" s="198"/>
      <c r="D2010" s="197"/>
      <c r="E2010" s="212"/>
      <c r="F2010" s="29" t="str">
        <f>IFERROR(VLOOKUP(E2010,'Inventaire des produits'!$B$4:$K$1001,2,0),"")</f>
        <v/>
      </c>
      <c r="G2010" s="212"/>
      <c r="H2010" s="30" t="str">
        <f>IFERROR(VLOOKUP(E2010,'Inventaire des produits'!$B$4:$K$1001,8,0),"")</f>
        <v/>
      </c>
      <c r="I2010" s="32" t="str">
        <f t="shared" si="60"/>
        <v/>
      </c>
      <c r="K2010" s="127" t="str">
        <f t="shared" si="59"/>
        <v/>
      </c>
    </row>
    <row r="2011" spans="2:11" x14ac:dyDescent="0.3">
      <c r="B2011" s="197"/>
      <c r="C2011" s="198"/>
      <c r="D2011" s="197"/>
      <c r="E2011" s="212"/>
      <c r="F2011" s="29" t="str">
        <f>IFERROR(VLOOKUP(E2011,'Inventaire des produits'!$B$4:$K$1001,2,0),"")</f>
        <v/>
      </c>
      <c r="G2011" s="212"/>
      <c r="H2011" s="30" t="str">
        <f>IFERROR(VLOOKUP(E2011,'Inventaire des produits'!$B$4:$K$1001,8,0),"")</f>
        <v/>
      </c>
      <c r="I2011" s="32" t="str">
        <f t="shared" si="60"/>
        <v/>
      </c>
      <c r="K2011" s="127" t="str">
        <f t="shared" si="59"/>
        <v/>
      </c>
    </row>
    <row r="2012" spans="2:11" x14ac:dyDescent="0.3">
      <c r="B2012" s="197"/>
      <c r="C2012" s="198"/>
      <c r="D2012" s="197"/>
      <c r="E2012" s="212"/>
      <c r="F2012" s="29" t="str">
        <f>IFERROR(VLOOKUP(E2012,'Inventaire des produits'!$B$4:$K$1001,2,0),"")</f>
        <v/>
      </c>
      <c r="G2012" s="212"/>
      <c r="H2012" s="30" t="str">
        <f>IFERROR(VLOOKUP(E2012,'Inventaire des produits'!$B$4:$K$1001,8,0),"")</f>
        <v/>
      </c>
      <c r="I2012" s="32" t="str">
        <f t="shared" si="60"/>
        <v/>
      </c>
      <c r="K2012" s="127" t="str">
        <f t="shared" si="59"/>
        <v/>
      </c>
    </row>
    <row r="2013" spans="2:11" x14ac:dyDescent="0.3">
      <c r="B2013" s="197"/>
      <c r="C2013" s="198"/>
      <c r="D2013" s="197"/>
      <c r="E2013" s="212"/>
      <c r="F2013" s="29" t="str">
        <f>IFERROR(VLOOKUP(E2013,'Inventaire des produits'!$B$4:$K$1001,2,0),"")</f>
        <v/>
      </c>
      <c r="G2013" s="212"/>
      <c r="H2013" s="30" t="str">
        <f>IFERROR(VLOOKUP(E2013,'Inventaire des produits'!$B$4:$K$1001,8,0),"")</f>
        <v/>
      </c>
      <c r="I2013" s="32" t="str">
        <f t="shared" si="60"/>
        <v/>
      </c>
      <c r="K2013" s="127" t="str">
        <f t="shared" si="59"/>
        <v/>
      </c>
    </row>
    <row r="2014" spans="2:11" x14ac:dyDescent="0.3">
      <c r="B2014" s="197"/>
      <c r="C2014" s="198"/>
      <c r="D2014" s="197"/>
      <c r="E2014" s="212"/>
      <c r="F2014" s="29" t="str">
        <f>IFERROR(VLOOKUP(E2014,'Inventaire des produits'!$B$4:$K$1001,2,0),"")</f>
        <v/>
      </c>
      <c r="G2014" s="212"/>
      <c r="H2014" s="30" t="str">
        <f>IFERROR(VLOOKUP(E2014,'Inventaire des produits'!$B$4:$K$1001,8,0),"")</f>
        <v/>
      </c>
      <c r="I2014" s="32" t="str">
        <f t="shared" si="60"/>
        <v/>
      </c>
      <c r="K2014" s="127" t="str">
        <f t="shared" si="59"/>
        <v/>
      </c>
    </row>
    <row r="2015" spans="2:11" x14ac:dyDescent="0.3">
      <c r="B2015" s="197"/>
      <c r="C2015" s="198"/>
      <c r="D2015" s="197"/>
      <c r="E2015" s="212"/>
      <c r="F2015" s="29" t="str">
        <f>IFERROR(VLOOKUP(E2015,'Inventaire des produits'!$B$4:$K$1001,2,0),"")</f>
        <v/>
      </c>
      <c r="G2015" s="212"/>
      <c r="H2015" s="30" t="str">
        <f>IFERROR(VLOOKUP(E2015,'Inventaire des produits'!$B$4:$K$1001,8,0),"")</f>
        <v/>
      </c>
      <c r="I2015" s="32" t="str">
        <f t="shared" si="60"/>
        <v/>
      </c>
      <c r="K2015" s="127" t="str">
        <f t="shared" si="59"/>
        <v/>
      </c>
    </row>
    <row r="2016" spans="2:11" x14ac:dyDescent="0.3">
      <c r="B2016" s="197"/>
      <c r="C2016" s="198"/>
      <c r="D2016" s="197"/>
      <c r="E2016" s="212"/>
      <c r="F2016" s="29" t="str">
        <f>IFERROR(VLOOKUP(E2016,'Inventaire des produits'!$B$4:$K$1001,2,0),"")</f>
        <v/>
      </c>
      <c r="G2016" s="212"/>
      <c r="H2016" s="30" t="str">
        <f>IFERROR(VLOOKUP(E2016,'Inventaire des produits'!$B$4:$K$1001,8,0),"")</f>
        <v/>
      </c>
      <c r="I2016" s="32" t="str">
        <f t="shared" si="60"/>
        <v/>
      </c>
      <c r="K2016" s="127" t="str">
        <f t="shared" si="59"/>
        <v/>
      </c>
    </row>
    <row r="2017" spans="2:11" x14ac:dyDescent="0.3">
      <c r="B2017" s="197"/>
      <c r="C2017" s="198"/>
      <c r="D2017" s="197"/>
      <c r="E2017" s="212"/>
      <c r="F2017" s="29" t="str">
        <f>IFERROR(VLOOKUP(E2017,'Inventaire des produits'!$B$4:$K$1001,2,0),"")</f>
        <v/>
      </c>
      <c r="G2017" s="212"/>
      <c r="H2017" s="30" t="str">
        <f>IFERROR(VLOOKUP(E2017,'Inventaire des produits'!$B$4:$K$1001,8,0),"")</f>
        <v/>
      </c>
      <c r="I2017" s="32" t="str">
        <f t="shared" si="60"/>
        <v/>
      </c>
      <c r="K2017" s="127" t="str">
        <f t="shared" si="59"/>
        <v/>
      </c>
    </row>
    <row r="2018" spans="2:11" x14ac:dyDescent="0.3">
      <c r="B2018" s="197"/>
      <c r="C2018" s="198"/>
      <c r="D2018" s="197"/>
      <c r="E2018" s="212"/>
      <c r="F2018" s="29" t="str">
        <f>IFERROR(VLOOKUP(E2018,'Inventaire des produits'!$B$4:$K$1001,2,0),"")</f>
        <v/>
      </c>
      <c r="G2018" s="212"/>
      <c r="H2018" s="30" t="str">
        <f>IFERROR(VLOOKUP(E2018,'Inventaire des produits'!$B$4:$K$1001,8,0),"")</f>
        <v/>
      </c>
      <c r="I2018" s="32" t="str">
        <f t="shared" si="60"/>
        <v/>
      </c>
      <c r="K2018" s="127" t="str">
        <f t="shared" si="59"/>
        <v/>
      </c>
    </row>
    <row r="2019" spans="2:11" x14ac:dyDescent="0.3">
      <c r="B2019" s="197"/>
      <c r="C2019" s="198"/>
      <c r="D2019" s="197"/>
      <c r="E2019" s="212"/>
      <c r="F2019" s="29" t="str">
        <f>IFERROR(VLOOKUP(E2019,'Inventaire des produits'!$B$4:$K$1001,2,0),"")</f>
        <v/>
      </c>
      <c r="G2019" s="212"/>
      <c r="H2019" s="30" t="str">
        <f>IFERROR(VLOOKUP(E2019,'Inventaire des produits'!$B$4:$K$1001,8,0),"")</f>
        <v/>
      </c>
      <c r="I2019" s="32" t="str">
        <f t="shared" si="60"/>
        <v/>
      </c>
      <c r="K2019" s="127" t="str">
        <f t="shared" si="59"/>
        <v/>
      </c>
    </row>
    <row r="2020" spans="2:11" x14ac:dyDescent="0.3">
      <c r="B2020" s="197"/>
      <c r="C2020" s="198"/>
      <c r="D2020" s="197"/>
      <c r="E2020" s="212"/>
      <c r="F2020" s="29" t="str">
        <f>IFERROR(VLOOKUP(E2020,'Inventaire des produits'!$B$4:$K$1001,2,0),"")</f>
        <v/>
      </c>
      <c r="G2020" s="212"/>
      <c r="H2020" s="30" t="str">
        <f>IFERROR(VLOOKUP(E2020,'Inventaire des produits'!$B$4:$K$1001,8,0),"")</f>
        <v/>
      </c>
      <c r="I2020" s="32" t="str">
        <f t="shared" si="60"/>
        <v/>
      </c>
      <c r="K2020" s="127" t="str">
        <f t="shared" si="59"/>
        <v/>
      </c>
    </row>
    <row r="2021" spans="2:11" x14ac:dyDescent="0.3">
      <c r="B2021" s="197"/>
      <c r="C2021" s="198"/>
      <c r="D2021" s="197"/>
      <c r="E2021" s="212"/>
      <c r="F2021" s="29" t="str">
        <f>IFERROR(VLOOKUP(E2021,'Inventaire des produits'!$B$4:$K$1001,2,0),"")</f>
        <v/>
      </c>
      <c r="G2021" s="212"/>
      <c r="H2021" s="30" t="str">
        <f>IFERROR(VLOOKUP(E2021,'Inventaire des produits'!$B$4:$K$1001,8,0),"")</f>
        <v/>
      </c>
      <c r="I2021" s="32" t="str">
        <f t="shared" si="60"/>
        <v/>
      </c>
      <c r="K2021" s="127" t="str">
        <f t="shared" si="59"/>
        <v/>
      </c>
    </row>
    <row r="2022" spans="2:11" x14ac:dyDescent="0.3">
      <c r="B2022" s="197"/>
      <c r="C2022" s="198"/>
      <c r="D2022" s="197"/>
      <c r="E2022" s="212"/>
      <c r="F2022" s="29" t="str">
        <f>IFERROR(VLOOKUP(E2022,'Inventaire des produits'!$B$4:$K$1001,2,0),"")</f>
        <v/>
      </c>
      <c r="G2022" s="212"/>
      <c r="H2022" s="30" t="str">
        <f>IFERROR(VLOOKUP(E2022,'Inventaire des produits'!$B$4:$K$1001,8,0),"")</f>
        <v/>
      </c>
      <c r="I2022" s="32" t="str">
        <f t="shared" si="60"/>
        <v/>
      </c>
      <c r="K2022" s="127" t="str">
        <f t="shared" si="59"/>
        <v/>
      </c>
    </row>
    <row r="2023" spans="2:11" x14ac:dyDescent="0.3">
      <c r="B2023" s="197"/>
      <c r="C2023" s="198"/>
      <c r="D2023" s="197"/>
      <c r="E2023" s="212"/>
      <c r="F2023" s="29" t="str">
        <f>IFERROR(VLOOKUP(E2023,'Inventaire des produits'!$B$4:$K$1001,2,0),"")</f>
        <v/>
      </c>
      <c r="G2023" s="212"/>
      <c r="H2023" s="30" t="str">
        <f>IFERROR(VLOOKUP(E2023,'Inventaire des produits'!$B$4:$K$1001,8,0),"")</f>
        <v/>
      </c>
      <c r="I2023" s="32" t="str">
        <f t="shared" si="60"/>
        <v/>
      </c>
      <c r="K2023" s="127" t="str">
        <f t="shared" si="59"/>
        <v/>
      </c>
    </row>
    <row r="2024" spans="2:11" x14ac:dyDescent="0.3">
      <c r="B2024" s="197"/>
      <c r="C2024" s="198"/>
      <c r="D2024" s="197"/>
      <c r="E2024" s="212"/>
      <c r="F2024" s="29" t="str">
        <f>IFERROR(VLOOKUP(E2024,'Inventaire des produits'!$B$4:$K$1001,2,0),"")</f>
        <v/>
      </c>
      <c r="G2024" s="212"/>
      <c r="H2024" s="30" t="str">
        <f>IFERROR(VLOOKUP(E2024,'Inventaire des produits'!$B$4:$K$1001,8,0),"")</f>
        <v/>
      </c>
      <c r="I2024" s="32" t="str">
        <f t="shared" si="60"/>
        <v/>
      </c>
      <c r="K2024" s="127" t="str">
        <f t="shared" si="59"/>
        <v/>
      </c>
    </row>
    <row r="2025" spans="2:11" x14ac:dyDescent="0.3">
      <c r="B2025" s="197"/>
      <c r="C2025" s="198"/>
      <c r="D2025" s="197"/>
      <c r="E2025" s="212"/>
      <c r="F2025" s="29" t="str">
        <f>IFERROR(VLOOKUP(E2025,'Inventaire des produits'!$B$4:$K$1001,2,0),"")</f>
        <v/>
      </c>
      <c r="G2025" s="212"/>
      <c r="H2025" s="30" t="str">
        <f>IFERROR(VLOOKUP(E2025,'Inventaire des produits'!$B$4:$K$1001,8,0),"")</f>
        <v/>
      </c>
      <c r="I2025" s="32" t="str">
        <f t="shared" si="60"/>
        <v/>
      </c>
      <c r="K2025" s="127" t="str">
        <f t="shared" si="59"/>
        <v/>
      </c>
    </row>
    <row r="2026" spans="2:11" x14ac:dyDescent="0.3">
      <c r="B2026" s="197"/>
      <c r="C2026" s="198"/>
      <c r="D2026" s="197"/>
      <c r="E2026" s="212"/>
      <c r="F2026" s="29" t="str">
        <f>IFERROR(VLOOKUP(E2026,'Inventaire des produits'!$B$4:$K$1001,2,0),"")</f>
        <v/>
      </c>
      <c r="G2026" s="212"/>
      <c r="H2026" s="30" t="str">
        <f>IFERROR(VLOOKUP(E2026,'Inventaire des produits'!$B$4:$K$1001,8,0),"")</f>
        <v/>
      </c>
      <c r="I2026" s="32" t="str">
        <f t="shared" si="60"/>
        <v/>
      </c>
      <c r="K2026" s="127" t="str">
        <f t="shared" si="59"/>
        <v/>
      </c>
    </row>
    <row r="2027" spans="2:11" x14ac:dyDescent="0.3">
      <c r="B2027" s="197"/>
      <c r="C2027" s="198"/>
      <c r="D2027" s="197"/>
      <c r="E2027" s="212"/>
      <c r="F2027" s="29" t="str">
        <f>IFERROR(VLOOKUP(E2027,'Inventaire des produits'!$B$4:$K$1001,2,0),"")</f>
        <v/>
      </c>
      <c r="G2027" s="212"/>
      <c r="H2027" s="30" t="str">
        <f>IFERROR(VLOOKUP(E2027,'Inventaire des produits'!$B$4:$K$1001,8,0),"")</f>
        <v/>
      </c>
      <c r="I2027" s="32" t="str">
        <f t="shared" si="60"/>
        <v/>
      </c>
      <c r="K2027" s="127" t="str">
        <f t="shared" si="59"/>
        <v/>
      </c>
    </row>
    <row r="2028" spans="2:11" x14ac:dyDescent="0.3">
      <c r="B2028" s="197"/>
      <c r="C2028" s="198"/>
      <c r="D2028" s="197"/>
      <c r="E2028" s="212"/>
      <c r="F2028" s="29" t="str">
        <f>IFERROR(VLOOKUP(E2028,'Inventaire des produits'!$B$4:$K$1001,2,0),"")</f>
        <v/>
      </c>
      <c r="G2028" s="212"/>
      <c r="H2028" s="30" t="str">
        <f>IFERROR(VLOOKUP(E2028,'Inventaire des produits'!$B$4:$K$1001,8,0),"")</f>
        <v/>
      </c>
      <c r="I2028" s="32" t="str">
        <f t="shared" si="60"/>
        <v/>
      </c>
      <c r="K2028" s="127" t="str">
        <f t="shared" si="59"/>
        <v/>
      </c>
    </row>
    <row r="2029" spans="2:11" x14ac:dyDescent="0.3">
      <c r="B2029" s="197"/>
      <c r="C2029" s="198"/>
      <c r="D2029" s="197"/>
      <c r="E2029" s="212"/>
      <c r="F2029" s="29" t="str">
        <f>IFERROR(VLOOKUP(E2029,'Inventaire des produits'!$B$4:$K$1001,2,0),"")</f>
        <v/>
      </c>
      <c r="G2029" s="212"/>
      <c r="H2029" s="30" t="str">
        <f>IFERROR(VLOOKUP(E2029,'Inventaire des produits'!$B$4:$K$1001,8,0),"")</f>
        <v/>
      </c>
      <c r="I2029" s="32" t="str">
        <f t="shared" si="60"/>
        <v/>
      </c>
      <c r="K2029" s="127" t="str">
        <f t="shared" si="59"/>
        <v/>
      </c>
    </row>
    <row r="2030" spans="2:11" x14ac:dyDescent="0.3">
      <c r="B2030" s="197"/>
      <c r="C2030" s="198"/>
      <c r="D2030" s="197"/>
      <c r="E2030" s="212"/>
      <c r="F2030" s="29" t="str">
        <f>IFERROR(VLOOKUP(E2030,'Inventaire des produits'!$B$4:$K$1001,2,0),"")</f>
        <v/>
      </c>
      <c r="G2030" s="212"/>
      <c r="H2030" s="30" t="str">
        <f>IFERROR(VLOOKUP(E2030,'Inventaire des produits'!$B$4:$K$1001,8,0),"")</f>
        <v/>
      </c>
      <c r="I2030" s="32" t="str">
        <f t="shared" si="60"/>
        <v/>
      </c>
      <c r="K2030" s="127" t="str">
        <f t="shared" si="59"/>
        <v/>
      </c>
    </row>
    <row r="2031" spans="2:11" x14ac:dyDescent="0.3">
      <c r="B2031" s="197"/>
      <c r="C2031" s="198"/>
      <c r="D2031" s="197"/>
      <c r="E2031" s="212"/>
      <c r="F2031" s="29" t="str">
        <f>IFERROR(VLOOKUP(E2031,'Inventaire des produits'!$B$4:$K$1001,2,0),"")</f>
        <v/>
      </c>
      <c r="G2031" s="212"/>
      <c r="H2031" s="30" t="str">
        <f>IFERROR(VLOOKUP(E2031,'Inventaire des produits'!$B$4:$K$1001,8,0),"")</f>
        <v/>
      </c>
      <c r="I2031" s="32" t="str">
        <f t="shared" si="60"/>
        <v/>
      </c>
      <c r="K2031" s="127" t="str">
        <f t="shared" si="59"/>
        <v/>
      </c>
    </row>
    <row r="2032" spans="2:11" x14ac:dyDescent="0.3">
      <c r="B2032" s="197"/>
      <c r="C2032" s="198"/>
      <c r="D2032" s="197"/>
      <c r="E2032" s="212"/>
      <c r="F2032" s="29" t="str">
        <f>IFERROR(VLOOKUP(E2032,'Inventaire des produits'!$B$4:$K$1001,2,0),"")</f>
        <v/>
      </c>
      <c r="G2032" s="212"/>
      <c r="H2032" s="30" t="str">
        <f>IFERROR(VLOOKUP(E2032,'Inventaire des produits'!$B$4:$K$1001,8,0),"")</f>
        <v/>
      </c>
      <c r="I2032" s="32" t="str">
        <f t="shared" si="60"/>
        <v/>
      </c>
      <c r="K2032" s="127" t="str">
        <f t="shared" si="59"/>
        <v/>
      </c>
    </row>
    <row r="2033" spans="2:11" x14ac:dyDescent="0.3">
      <c r="B2033" s="197"/>
      <c r="C2033" s="198"/>
      <c r="D2033" s="197"/>
      <c r="E2033" s="212"/>
      <c r="F2033" s="29" t="str">
        <f>IFERROR(VLOOKUP(E2033,'Inventaire des produits'!$B$4:$K$1001,2,0),"")</f>
        <v/>
      </c>
      <c r="G2033" s="212"/>
      <c r="H2033" s="30" t="str">
        <f>IFERROR(VLOOKUP(E2033,'Inventaire des produits'!$B$4:$K$1001,8,0),"")</f>
        <v/>
      </c>
      <c r="I2033" s="32" t="str">
        <f t="shared" si="60"/>
        <v/>
      </c>
      <c r="K2033" s="127" t="str">
        <f t="shared" si="59"/>
        <v/>
      </c>
    </row>
    <row r="2034" spans="2:11" x14ac:dyDescent="0.3">
      <c r="B2034" s="197"/>
      <c r="C2034" s="198"/>
      <c r="D2034" s="197"/>
      <c r="E2034" s="212"/>
      <c r="F2034" s="29" t="str">
        <f>IFERROR(VLOOKUP(E2034,'Inventaire des produits'!$B$4:$K$1001,2,0),"")</f>
        <v/>
      </c>
      <c r="G2034" s="212"/>
      <c r="H2034" s="30" t="str">
        <f>IFERROR(VLOOKUP(E2034,'Inventaire des produits'!$B$4:$K$1001,8,0),"")</f>
        <v/>
      </c>
      <c r="I2034" s="32" t="str">
        <f t="shared" si="60"/>
        <v/>
      </c>
      <c r="K2034" s="127" t="str">
        <f t="shared" si="59"/>
        <v/>
      </c>
    </row>
    <row r="2035" spans="2:11" x14ac:dyDescent="0.3">
      <c r="B2035" s="197"/>
      <c r="C2035" s="198"/>
      <c r="D2035" s="197"/>
      <c r="E2035" s="212"/>
      <c r="F2035" s="29" t="str">
        <f>IFERROR(VLOOKUP(E2035,'Inventaire des produits'!$B$4:$K$1001,2,0),"")</f>
        <v/>
      </c>
      <c r="G2035" s="212"/>
      <c r="H2035" s="30" t="str">
        <f>IFERROR(VLOOKUP(E2035,'Inventaire des produits'!$B$4:$K$1001,8,0),"")</f>
        <v/>
      </c>
      <c r="I2035" s="32" t="str">
        <f t="shared" si="60"/>
        <v/>
      </c>
      <c r="K2035" s="127" t="str">
        <f t="shared" si="59"/>
        <v/>
      </c>
    </row>
    <row r="2036" spans="2:11" x14ac:dyDescent="0.3">
      <c r="B2036" s="197"/>
      <c r="C2036" s="198"/>
      <c r="D2036" s="197"/>
      <c r="E2036" s="212"/>
      <c r="F2036" s="29" t="str">
        <f>IFERROR(VLOOKUP(E2036,'Inventaire des produits'!$B$4:$K$1001,2,0),"")</f>
        <v/>
      </c>
      <c r="G2036" s="212"/>
      <c r="H2036" s="30" t="str">
        <f>IFERROR(VLOOKUP(E2036,'Inventaire des produits'!$B$4:$K$1001,8,0),"")</f>
        <v/>
      </c>
      <c r="I2036" s="32" t="str">
        <f t="shared" si="60"/>
        <v/>
      </c>
      <c r="K2036" s="127" t="str">
        <f t="shared" si="59"/>
        <v/>
      </c>
    </row>
    <row r="2037" spans="2:11" x14ac:dyDescent="0.3">
      <c r="B2037" s="197"/>
      <c r="C2037" s="198"/>
      <c r="D2037" s="197"/>
      <c r="E2037" s="212"/>
      <c r="F2037" s="29" t="str">
        <f>IFERROR(VLOOKUP(E2037,'Inventaire des produits'!$B$4:$K$1001,2,0),"")</f>
        <v/>
      </c>
      <c r="G2037" s="212"/>
      <c r="H2037" s="30" t="str">
        <f>IFERROR(VLOOKUP(E2037,'Inventaire des produits'!$B$4:$K$1001,8,0),"")</f>
        <v/>
      </c>
      <c r="I2037" s="32" t="str">
        <f t="shared" si="60"/>
        <v/>
      </c>
      <c r="K2037" s="127" t="str">
        <f t="shared" si="59"/>
        <v/>
      </c>
    </row>
    <row r="2038" spans="2:11" x14ac:dyDescent="0.3">
      <c r="B2038" s="197"/>
      <c r="C2038" s="198"/>
      <c r="D2038" s="197"/>
      <c r="E2038" s="212"/>
      <c r="F2038" s="29" t="str">
        <f>IFERROR(VLOOKUP(E2038,'Inventaire des produits'!$B$4:$K$1001,2,0),"")</f>
        <v/>
      </c>
      <c r="G2038" s="212"/>
      <c r="H2038" s="30" t="str">
        <f>IFERROR(VLOOKUP(E2038,'Inventaire des produits'!$B$4:$K$1001,8,0),"")</f>
        <v/>
      </c>
      <c r="I2038" s="32" t="str">
        <f t="shared" si="60"/>
        <v/>
      </c>
      <c r="K2038" s="127" t="str">
        <f t="shared" si="59"/>
        <v/>
      </c>
    </row>
    <row r="2039" spans="2:11" x14ac:dyDescent="0.3">
      <c r="B2039" s="197"/>
      <c r="C2039" s="198"/>
      <c r="D2039" s="197"/>
      <c r="E2039" s="212"/>
      <c r="F2039" s="29" t="str">
        <f>IFERROR(VLOOKUP(E2039,'Inventaire des produits'!$B$4:$K$1001,2,0),"")</f>
        <v/>
      </c>
      <c r="G2039" s="212"/>
      <c r="H2039" s="30" t="str">
        <f>IFERROR(VLOOKUP(E2039,'Inventaire des produits'!$B$4:$K$1001,8,0),"")</f>
        <v/>
      </c>
      <c r="I2039" s="32" t="str">
        <f t="shared" si="60"/>
        <v/>
      </c>
      <c r="K2039" s="127" t="str">
        <f t="shared" si="59"/>
        <v/>
      </c>
    </row>
    <row r="2040" spans="2:11" x14ac:dyDescent="0.3">
      <c r="B2040" s="197"/>
      <c r="C2040" s="198"/>
      <c r="D2040" s="197"/>
      <c r="E2040" s="212"/>
      <c r="F2040" s="29" t="str">
        <f>IFERROR(VLOOKUP(E2040,'Inventaire des produits'!$B$4:$K$1001,2,0),"")</f>
        <v/>
      </c>
      <c r="G2040" s="212"/>
      <c r="H2040" s="30" t="str">
        <f>IFERROR(VLOOKUP(E2040,'Inventaire des produits'!$B$4:$K$1001,8,0),"")</f>
        <v/>
      </c>
      <c r="I2040" s="32" t="str">
        <f t="shared" si="60"/>
        <v/>
      </c>
      <c r="K2040" s="127" t="str">
        <f t="shared" si="59"/>
        <v/>
      </c>
    </row>
    <row r="2041" spans="2:11" x14ac:dyDescent="0.3">
      <c r="B2041" s="197"/>
      <c r="C2041" s="198"/>
      <c r="D2041" s="197"/>
      <c r="E2041" s="212"/>
      <c r="F2041" s="29" t="str">
        <f>IFERROR(VLOOKUP(E2041,'Inventaire des produits'!$B$4:$K$1001,2,0),"")</f>
        <v/>
      </c>
      <c r="G2041" s="212"/>
      <c r="H2041" s="30" t="str">
        <f>IFERROR(VLOOKUP(E2041,'Inventaire des produits'!$B$4:$K$1001,8,0),"")</f>
        <v/>
      </c>
      <c r="I2041" s="32" t="str">
        <f t="shared" si="60"/>
        <v/>
      </c>
      <c r="K2041" s="127" t="str">
        <f t="shared" si="59"/>
        <v/>
      </c>
    </row>
    <row r="2042" spans="2:11" x14ac:dyDescent="0.3">
      <c r="B2042" s="197"/>
      <c r="C2042" s="198"/>
      <c r="D2042" s="197"/>
      <c r="E2042" s="212"/>
      <c r="F2042" s="29" t="str">
        <f>IFERROR(VLOOKUP(E2042,'Inventaire des produits'!$B$4:$K$1001,2,0),"")</f>
        <v/>
      </c>
      <c r="G2042" s="212"/>
      <c r="H2042" s="30" t="str">
        <f>IFERROR(VLOOKUP(E2042,'Inventaire des produits'!$B$4:$K$1001,8,0),"")</f>
        <v/>
      </c>
      <c r="I2042" s="32" t="str">
        <f t="shared" si="60"/>
        <v/>
      </c>
      <c r="K2042" s="127" t="str">
        <f t="shared" si="59"/>
        <v/>
      </c>
    </row>
    <row r="2043" spans="2:11" x14ac:dyDescent="0.3">
      <c r="B2043" s="197"/>
      <c r="C2043" s="198"/>
      <c r="D2043" s="197"/>
      <c r="E2043" s="212"/>
      <c r="F2043" s="29" t="str">
        <f>IFERROR(VLOOKUP(E2043,'Inventaire des produits'!$B$4:$K$1001,2,0),"")</f>
        <v/>
      </c>
      <c r="G2043" s="212"/>
      <c r="H2043" s="30" t="str">
        <f>IFERROR(VLOOKUP(E2043,'Inventaire des produits'!$B$4:$K$1001,8,0),"")</f>
        <v/>
      </c>
      <c r="I2043" s="32" t="str">
        <f t="shared" si="60"/>
        <v/>
      </c>
      <c r="K2043" s="127" t="str">
        <f t="shared" si="59"/>
        <v/>
      </c>
    </row>
    <row r="2044" spans="2:11" x14ac:dyDescent="0.3">
      <c r="B2044" s="197"/>
      <c r="C2044" s="198"/>
      <c r="D2044" s="197"/>
      <c r="E2044" s="212"/>
      <c r="F2044" s="29" t="str">
        <f>IFERROR(VLOOKUP(E2044,'Inventaire des produits'!$B$4:$K$1001,2,0),"")</f>
        <v/>
      </c>
      <c r="G2044" s="212"/>
      <c r="H2044" s="30" t="str">
        <f>IFERROR(VLOOKUP(E2044,'Inventaire des produits'!$B$4:$K$1001,8,0),"")</f>
        <v/>
      </c>
      <c r="I2044" s="32" t="str">
        <f t="shared" si="60"/>
        <v/>
      </c>
      <c r="K2044" s="127" t="str">
        <f t="shared" ref="K2044:K2107" si="61">IF(J2044="","",J2044*1.2)</f>
        <v/>
      </c>
    </row>
    <row r="2045" spans="2:11" x14ac:dyDescent="0.3">
      <c r="B2045" s="197"/>
      <c r="C2045" s="198"/>
      <c r="D2045" s="197"/>
      <c r="E2045" s="212"/>
      <c r="F2045" s="29" t="str">
        <f>IFERROR(VLOOKUP(E2045,'Inventaire des produits'!$B$4:$K$1001,2,0),"")</f>
        <v/>
      </c>
      <c r="G2045" s="212"/>
      <c r="H2045" s="30" t="str">
        <f>IFERROR(VLOOKUP(E2045,'Inventaire des produits'!$B$4:$K$1001,8,0),"")</f>
        <v/>
      </c>
      <c r="I2045" s="32" t="str">
        <f t="shared" si="60"/>
        <v/>
      </c>
      <c r="K2045" s="127" t="str">
        <f t="shared" si="61"/>
        <v/>
      </c>
    </row>
    <row r="2046" spans="2:11" x14ac:dyDescent="0.3">
      <c r="B2046" s="197"/>
      <c r="C2046" s="198"/>
      <c r="D2046" s="197"/>
      <c r="E2046" s="212"/>
      <c r="F2046" s="29" t="str">
        <f>IFERROR(VLOOKUP(E2046,'Inventaire des produits'!$B$4:$K$1001,2,0),"")</f>
        <v/>
      </c>
      <c r="G2046" s="212"/>
      <c r="H2046" s="30" t="str">
        <f>IFERROR(VLOOKUP(E2046,'Inventaire des produits'!$B$4:$K$1001,8,0),"")</f>
        <v/>
      </c>
      <c r="I2046" s="32" t="str">
        <f t="shared" si="60"/>
        <v/>
      </c>
      <c r="K2046" s="127" t="str">
        <f t="shared" si="61"/>
        <v/>
      </c>
    </row>
    <row r="2047" spans="2:11" x14ac:dyDescent="0.3">
      <c r="B2047" s="197"/>
      <c r="C2047" s="198"/>
      <c r="D2047" s="197"/>
      <c r="E2047" s="212"/>
      <c r="F2047" s="29" t="str">
        <f>IFERROR(VLOOKUP(E2047,'Inventaire des produits'!$B$4:$K$1001,2,0),"")</f>
        <v/>
      </c>
      <c r="G2047" s="212"/>
      <c r="H2047" s="30" t="str">
        <f>IFERROR(VLOOKUP(E2047,'Inventaire des produits'!$B$4:$K$1001,8,0),"")</f>
        <v/>
      </c>
      <c r="I2047" s="32" t="str">
        <f t="shared" si="60"/>
        <v/>
      </c>
      <c r="K2047" s="127" t="str">
        <f t="shared" si="61"/>
        <v/>
      </c>
    </row>
    <row r="2048" spans="2:11" x14ac:dyDescent="0.3">
      <c r="B2048" s="197"/>
      <c r="C2048" s="198"/>
      <c r="D2048" s="197"/>
      <c r="E2048" s="212"/>
      <c r="F2048" s="29" t="str">
        <f>IFERROR(VLOOKUP(E2048,'Inventaire des produits'!$B$4:$K$1001,2,0),"")</f>
        <v/>
      </c>
      <c r="G2048" s="212"/>
      <c r="H2048" s="30" t="str">
        <f>IFERROR(VLOOKUP(E2048,'Inventaire des produits'!$B$4:$K$1001,8,0),"")</f>
        <v/>
      </c>
      <c r="I2048" s="32" t="str">
        <f t="shared" si="60"/>
        <v/>
      </c>
      <c r="K2048" s="127" t="str">
        <f t="shared" si="61"/>
        <v/>
      </c>
    </row>
    <row r="2049" spans="2:11" x14ac:dyDescent="0.3">
      <c r="B2049" s="197"/>
      <c r="C2049" s="198"/>
      <c r="D2049" s="197"/>
      <c r="E2049" s="212"/>
      <c r="F2049" s="29" t="str">
        <f>IFERROR(VLOOKUP(E2049,'Inventaire des produits'!$B$4:$K$1001,2,0),"")</f>
        <v/>
      </c>
      <c r="G2049" s="212"/>
      <c r="H2049" s="30" t="str">
        <f>IFERROR(VLOOKUP(E2049,'Inventaire des produits'!$B$4:$K$1001,8,0),"")</f>
        <v/>
      </c>
      <c r="I2049" s="32" t="str">
        <f t="shared" si="60"/>
        <v/>
      </c>
      <c r="K2049" s="127" t="str">
        <f t="shared" si="61"/>
        <v/>
      </c>
    </row>
    <row r="2050" spans="2:11" x14ac:dyDescent="0.3">
      <c r="B2050" s="197"/>
      <c r="C2050" s="198"/>
      <c r="D2050" s="197"/>
      <c r="E2050" s="212"/>
      <c r="F2050" s="29" t="str">
        <f>IFERROR(VLOOKUP(E2050,'Inventaire des produits'!$B$4:$K$1001,2,0),"")</f>
        <v/>
      </c>
      <c r="G2050" s="212"/>
      <c r="H2050" s="30" t="str">
        <f>IFERROR(VLOOKUP(E2050,'Inventaire des produits'!$B$4:$K$1001,8,0),"")</f>
        <v/>
      </c>
      <c r="I2050" s="32" t="str">
        <f t="shared" ref="I2050:I2113" si="62">IF(OR(G2050="",H2050=""),"",G2050*H2050)</f>
        <v/>
      </c>
      <c r="K2050" s="127" t="str">
        <f t="shared" si="61"/>
        <v/>
      </c>
    </row>
    <row r="2051" spans="2:11" x14ac:dyDescent="0.3">
      <c r="B2051" s="197"/>
      <c r="C2051" s="198"/>
      <c r="D2051" s="197"/>
      <c r="E2051" s="212"/>
      <c r="F2051" s="29" t="str">
        <f>IFERROR(VLOOKUP(E2051,'Inventaire des produits'!$B$4:$K$1001,2,0),"")</f>
        <v/>
      </c>
      <c r="G2051" s="212"/>
      <c r="H2051" s="30" t="str">
        <f>IFERROR(VLOOKUP(E2051,'Inventaire des produits'!$B$4:$K$1001,8,0),"")</f>
        <v/>
      </c>
      <c r="I2051" s="32" t="str">
        <f t="shared" si="62"/>
        <v/>
      </c>
      <c r="K2051" s="127" t="str">
        <f t="shared" si="61"/>
        <v/>
      </c>
    </row>
    <row r="2052" spans="2:11" x14ac:dyDescent="0.3">
      <c r="B2052" s="197"/>
      <c r="C2052" s="198"/>
      <c r="D2052" s="197"/>
      <c r="E2052" s="212"/>
      <c r="F2052" s="29" t="str">
        <f>IFERROR(VLOOKUP(E2052,'Inventaire des produits'!$B$4:$K$1001,2,0),"")</f>
        <v/>
      </c>
      <c r="G2052" s="212"/>
      <c r="H2052" s="30" t="str">
        <f>IFERROR(VLOOKUP(E2052,'Inventaire des produits'!$B$4:$K$1001,8,0),"")</f>
        <v/>
      </c>
      <c r="I2052" s="32" t="str">
        <f t="shared" si="62"/>
        <v/>
      </c>
      <c r="K2052" s="127" t="str">
        <f t="shared" si="61"/>
        <v/>
      </c>
    </row>
    <row r="2053" spans="2:11" x14ac:dyDescent="0.3">
      <c r="B2053" s="197"/>
      <c r="C2053" s="198"/>
      <c r="D2053" s="197"/>
      <c r="E2053" s="212"/>
      <c r="F2053" s="29" t="str">
        <f>IFERROR(VLOOKUP(E2053,'Inventaire des produits'!$B$4:$K$1001,2,0),"")</f>
        <v/>
      </c>
      <c r="G2053" s="212"/>
      <c r="H2053" s="30" t="str">
        <f>IFERROR(VLOOKUP(E2053,'Inventaire des produits'!$B$4:$K$1001,8,0),"")</f>
        <v/>
      </c>
      <c r="I2053" s="32" t="str">
        <f t="shared" si="62"/>
        <v/>
      </c>
      <c r="K2053" s="127" t="str">
        <f t="shared" si="61"/>
        <v/>
      </c>
    </row>
    <row r="2054" spans="2:11" x14ac:dyDescent="0.3">
      <c r="B2054" s="197"/>
      <c r="C2054" s="198"/>
      <c r="D2054" s="197"/>
      <c r="E2054" s="212"/>
      <c r="F2054" s="29" t="str">
        <f>IFERROR(VLOOKUP(E2054,'Inventaire des produits'!$B$4:$K$1001,2,0),"")</f>
        <v/>
      </c>
      <c r="G2054" s="212"/>
      <c r="H2054" s="30" t="str">
        <f>IFERROR(VLOOKUP(E2054,'Inventaire des produits'!$B$4:$K$1001,8,0),"")</f>
        <v/>
      </c>
      <c r="I2054" s="32" t="str">
        <f t="shared" si="62"/>
        <v/>
      </c>
      <c r="K2054" s="127" t="str">
        <f t="shared" si="61"/>
        <v/>
      </c>
    </row>
    <row r="2055" spans="2:11" x14ac:dyDescent="0.3">
      <c r="B2055" s="197"/>
      <c r="C2055" s="198"/>
      <c r="D2055" s="197"/>
      <c r="E2055" s="212"/>
      <c r="F2055" s="29" t="str">
        <f>IFERROR(VLOOKUP(E2055,'Inventaire des produits'!$B$4:$K$1001,2,0),"")</f>
        <v/>
      </c>
      <c r="G2055" s="212"/>
      <c r="H2055" s="30" t="str">
        <f>IFERROR(VLOOKUP(E2055,'Inventaire des produits'!$B$4:$K$1001,8,0),"")</f>
        <v/>
      </c>
      <c r="I2055" s="32" t="str">
        <f t="shared" si="62"/>
        <v/>
      </c>
      <c r="K2055" s="127" t="str">
        <f t="shared" si="61"/>
        <v/>
      </c>
    </row>
    <row r="2056" spans="2:11" x14ac:dyDescent="0.3">
      <c r="B2056" s="197"/>
      <c r="C2056" s="198"/>
      <c r="D2056" s="197"/>
      <c r="E2056" s="212"/>
      <c r="F2056" s="29" t="str">
        <f>IFERROR(VLOOKUP(E2056,'Inventaire des produits'!$B$4:$K$1001,2,0),"")</f>
        <v/>
      </c>
      <c r="G2056" s="212"/>
      <c r="H2056" s="30" t="str">
        <f>IFERROR(VLOOKUP(E2056,'Inventaire des produits'!$B$4:$K$1001,8,0),"")</f>
        <v/>
      </c>
      <c r="I2056" s="32" t="str">
        <f t="shared" si="62"/>
        <v/>
      </c>
      <c r="K2056" s="127" t="str">
        <f t="shared" si="61"/>
        <v/>
      </c>
    </row>
    <row r="2057" spans="2:11" x14ac:dyDescent="0.3">
      <c r="B2057" s="197"/>
      <c r="C2057" s="198"/>
      <c r="D2057" s="197"/>
      <c r="E2057" s="212"/>
      <c r="F2057" s="29" t="str">
        <f>IFERROR(VLOOKUP(E2057,'Inventaire des produits'!$B$4:$K$1001,2,0),"")</f>
        <v/>
      </c>
      <c r="G2057" s="212"/>
      <c r="H2057" s="30" t="str">
        <f>IFERROR(VLOOKUP(E2057,'Inventaire des produits'!$B$4:$K$1001,8,0),"")</f>
        <v/>
      </c>
      <c r="I2057" s="32" t="str">
        <f t="shared" si="62"/>
        <v/>
      </c>
      <c r="K2057" s="127" t="str">
        <f t="shared" si="61"/>
        <v/>
      </c>
    </row>
    <row r="2058" spans="2:11" x14ac:dyDescent="0.3">
      <c r="B2058" s="197"/>
      <c r="C2058" s="198"/>
      <c r="D2058" s="197"/>
      <c r="E2058" s="212"/>
      <c r="F2058" s="29" t="str">
        <f>IFERROR(VLOOKUP(E2058,'Inventaire des produits'!$B$4:$K$1001,2,0),"")</f>
        <v/>
      </c>
      <c r="G2058" s="212"/>
      <c r="H2058" s="30" t="str">
        <f>IFERROR(VLOOKUP(E2058,'Inventaire des produits'!$B$4:$K$1001,8,0),"")</f>
        <v/>
      </c>
      <c r="I2058" s="32" t="str">
        <f t="shared" si="62"/>
        <v/>
      </c>
      <c r="K2058" s="127" t="str">
        <f t="shared" si="61"/>
        <v/>
      </c>
    </row>
    <row r="2059" spans="2:11" x14ac:dyDescent="0.3">
      <c r="B2059" s="197"/>
      <c r="C2059" s="198"/>
      <c r="D2059" s="197"/>
      <c r="E2059" s="212"/>
      <c r="F2059" s="29" t="str">
        <f>IFERROR(VLOOKUP(E2059,'Inventaire des produits'!$B$4:$K$1001,2,0),"")</f>
        <v/>
      </c>
      <c r="G2059" s="212"/>
      <c r="H2059" s="30" t="str">
        <f>IFERROR(VLOOKUP(E2059,'Inventaire des produits'!$B$4:$K$1001,8,0),"")</f>
        <v/>
      </c>
      <c r="I2059" s="32" t="str">
        <f t="shared" si="62"/>
        <v/>
      </c>
      <c r="K2059" s="127" t="str">
        <f t="shared" si="61"/>
        <v/>
      </c>
    </row>
    <row r="2060" spans="2:11" x14ac:dyDescent="0.3">
      <c r="B2060" s="197"/>
      <c r="C2060" s="199"/>
      <c r="D2060" s="197"/>
      <c r="E2060" s="212"/>
      <c r="F2060" s="29" t="str">
        <f>IFERROR(VLOOKUP(E2060,'Inventaire des produits'!$B$4:$K$1001,2,0),"")</f>
        <v/>
      </c>
      <c r="G2060" s="212"/>
      <c r="H2060" s="30" t="str">
        <f>IFERROR(VLOOKUP(E2060,'Inventaire des produits'!$B$4:$K$1001,8,0),"")</f>
        <v/>
      </c>
      <c r="I2060" s="32" t="str">
        <f t="shared" si="62"/>
        <v/>
      </c>
      <c r="K2060" s="127" t="str">
        <f t="shared" si="61"/>
        <v/>
      </c>
    </row>
    <row r="2061" spans="2:11" x14ac:dyDescent="0.3">
      <c r="B2061" s="197"/>
      <c r="C2061" s="199"/>
      <c r="D2061" s="197"/>
      <c r="E2061" s="212"/>
      <c r="F2061" s="29" t="str">
        <f>IFERROR(VLOOKUP(E2061,'Inventaire des produits'!$B$4:$K$1001,2,0),"")</f>
        <v/>
      </c>
      <c r="G2061" s="212"/>
      <c r="H2061" s="30" t="str">
        <f>IFERROR(VLOOKUP(E2061,'Inventaire des produits'!$B$4:$K$1001,8,0),"")</f>
        <v/>
      </c>
      <c r="I2061" s="32" t="str">
        <f t="shared" si="62"/>
        <v/>
      </c>
      <c r="K2061" s="127" t="str">
        <f t="shared" si="61"/>
        <v/>
      </c>
    </row>
    <row r="2062" spans="2:11" x14ac:dyDescent="0.3">
      <c r="B2062" s="197"/>
      <c r="C2062" s="199"/>
      <c r="D2062" s="197"/>
      <c r="E2062" s="212"/>
      <c r="F2062" s="29" t="str">
        <f>IFERROR(VLOOKUP(E2062,'Inventaire des produits'!$B$4:$K$1001,2,0),"")</f>
        <v/>
      </c>
      <c r="G2062" s="212"/>
      <c r="H2062" s="30" t="str">
        <f>IFERROR(VLOOKUP(E2062,'Inventaire des produits'!$B$4:$K$1001,8,0),"")</f>
        <v/>
      </c>
      <c r="I2062" s="32" t="str">
        <f t="shared" si="62"/>
        <v/>
      </c>
      <c r="K2062" s="127" t="str">
        <f t="shared" si="61"/>
        <v/>
      </c>
    </row>
    <row r="2063" spans="2:11" x14ac:dyDescent="0.3">
      <c r="B2063" s="197"/>
      <c r="C2063" s="199"/>
      <c r="D2063" s="197"/>
      <c r="E2063" s="212"/>
      <c r="F2063" s="29" t="str">
        <f>IFERROR(VLOOKUP(E2063,'Inventaire des produits'!$B$4:$K$1001,2,0),"")</f>
        <v/>
      </c>
      <c r="G2063" s="212"/>
      <c r="H2063" s="30" t="str">
        <f>IFERROR(VLOOKUP(E2063,'Inventaire des produits'!$B$4:$K$1001,8,0),"")</f>
        <v/>
      </c>
      <c r="I2063" s="32" t="str">
        <f t="shared" si="62"/>
        <v/>
      </c>
      <c r="K2063" s="127" t="str">
        <f t="shared" si="61"/>
        <v/>
      </c>
    </row>
    <row r="2064" spans="2:11" x14ac:dyDescent="0.3">
      <c r="B2064" s="197"/>
      <c r="C2064" s="199"/>
      <c r="D2064" s="197"/>
      <c r="E2064" s="212"/>
      <c r="F2064" s="29" t="str">
        <f>IFERROR(VLOOKUP(E2064,'Inventaire des produits'!$B$4:$K$1001,2,0),"")</f>
        <v/>
      </c>
      <c r="G2064" s="212"/>
      <c r="H2064" s="30" t="str">
        <f>IFERROR(VLOOKUP(E2064,'Inventaire des produits'!$B$4:$K$1001,8,0),"")</f>
        <v/>
      </c>
      <c r="I2064" s="32" t="str">
        <f t="shared" si="62"/>
        <v/>
      </c>
      <c r="K2064" s="127" t="str">
        <f t="shared" si="61"/>
        <v/>
      </c>
    </row>
    <row r="2065" spans="2:11" x14ac:dyDescent="0.3">
      <c r="B2065" s="197"/>
      <c r="C2065" s="199"/>
      <c r="D2065" s="197"/>
      <c r="E2065" s="212"/>
      <c r="F2065" s="29" t="str">
        <f>IFERROR(VLOOKUP(E2065,'Inventaire des produits'!$B$4:$K$1001,2,0),"")</f>
        <v/>
      </c>
      <c r="G2065" s="212"/>
      <c r="H2065" s="30" t="str">
        <f>IFERROR(VLOOKUP(E2065,'Inventaire des produits'!$B$4:$K$1001,8,0),"")</f>
        <v/>
      </c>
      <c r="I2065" s="32" t="str">
        <f t="shared" si="62"/>
        <v/>
      </c>
      <c r="K2065" s="127" t="str">
        <f t="shared" si="61"/>
        <v/>
      </c>
    </row>
    <row r="2066" spans="2:11" x14ac:dyDescent="0.3">
      <c r="B2066" s="197"/>
      <c r="C2066" s="199"/>
      <c r="D2066" s="197"/>
      <c r="E2066" s="212"/>
      <c r="F2066" s="29" t="str">
        <f>IFERROR(VLOOKUP(E2066,'Inventaire des produits'!$B$4:$K$1001,2,0),"")</f>
        <v/>
      </c>
      <c r="G2066" s="212"/>
      <c r="H2066" s="30" t="str">
        <f>IFERROR(VLOOKUP(E2066,'Inventaire des produits'!$B$4:$K$1001,8,0),"")</f>
        <v/>
      </c>
      <c r="I2066" s="32" t="str">
        <f t="shared" si="62"/>
        <v/>
      </c>
      <c r="K2066" s="127" t="str">
        <f t="shared" si="61"/>
        <v/>
      </c>
    </row>
    <row r="2067" spans="2:11" x14ac:dyDescent="0.3">
      <c r="B2067" s="197"/>
      <c r="C2067" s="199"/>
      <c r="D2067" s="197"/>
      <c r="E2067" s="212"/>
      <c r="F2067" s="29" t="str">
        <f>IFERROR(VLOOKUP(E2067,'Inventaire des produits'!$B$4:$K$1001,2,0),"")</f>
        <v/>
      </c>
      <c r="G2067" s="212"/>
      <c r="H2067" s="30" t="str">
        <f>IFERROR(VLOOKUP(E2067,'Inventaire des produits'!$B$4:$K$1001,8,0),"")</f>
        <v/>
      </c>
      <c r="I2067" s="32" t="str">
        <f t="shared" si="62"/>
        <v/>
      </c>
      <c r="K2067" s="127" t="str">
        <f t="shared" si="61"/>
        <v/>
      </c>
    </row>
    <row r="2068" spans="2:11" x14ac:dyDescent="0.3">
      <c r="B2068" s="197"/>
      <c r="C2068" s="199"/>
      <c r="D2068" s="197"/>
      <c r="E2068" s="212"/>
      <c r="F2068" s="29" t="str">
        <f>IFERROR(VLOOKUP(E2068,'Inventaire des produits'!$B$4:$K$1001,2,0),"")</f>
        <v/>
      </c>
      <c r="G2068" s="212"/>
      <c r="H2068" s="30" t="str">
        <f>IFERROR(VLOOKUP(E2068,'Inventaire des produits'!$B$4:$K$1001,8,0),"")</f>
        <v/>
      </c>
      <c r="I2068" s="32" t="str">
        <f t="shared" si="62"/>
        <v/>
      </c>
      <c r="K2068" s="127" t="str">
        <f t="shared" si="61"/>
        <v/>
      </c>
    </row>
    <row r="2069" spans="2:11" x14ac:dyDescent="0.3">
      <c r="B2069" s="197"/>
      <c r="C2069" s="199"/>
      <c r="D2069" s="197"/>
      <c r="E2069" s="212"/>
      <c r="F2069" s="29" t="str">
        <f>IFERROR(VLOOKUP(E2069,'Inventaire des produits'!$B$4:$K$1001,2,0),"")</f>
        <v/>
      </c>
      <c r="G2069" s="212"/>
      <c r="H2069" s="30" t="str">
        <f>IFERROR(VLOOKUP(E2069,'Inventaire des produits'!$B$4:$K$1001,8,0),"")</f>
        <v/>
      </c>
      <c r="I2069" s="32" t="str">
        <f t="shared" si="62"/>
        <v/>
      </c>
      <c r="K2069" s="127" t="str">
        <f t="shared" si="61"/>
        <v/>
      </c>
    </row>
    <row r="2070" spans="2:11" x14ac:dyDescent="0.3">
      <c r="B2070" s="197"/>
      <c r="C2070" s="199"/>
      <c r="D2070" s="197"/>
      <c r="E2070" s="212"/>
      <c r="F2070" s="29" t="str">
        <f>IFERROR(VLOOKUP(E2070,'Inventaire des produits'!$B$4:$K$1001,2,0),"")</f>
        <v/>
      </c>
      <c r="G2070" s="212"/>
      <c r="H2070" s="30" t="str">
        <f>IFERROR(VLOOKUP(E2070,'Inventaire des produits'!$B$4:$K$1001,8,0),"")</f>
        <v/>
      </c>
      <c r="I2070" s="32" t="str">
        <f t="shared" si="62"/>
        <v/>
      </c>
      <c r="K2070" s="127" t="str">
        <f t="shared" si="61"/>
        <v/>
      </c>
    </row>
    <row r="2071" spans="2:11" x14ac:dyDescent="0.3">
      <c r="B2071" s="197"/>
      <c r="C2071" s="199"/>
      <c r="D2071" s="197"/>
      <c r="E2071" s="212"/>
      <c r="F2071" s="29" t="str">
        <f>IFERROR(VLOOKUP(E2071,'Inventaire des produits'!$B$4:$K$1001,2,0),"")</f>
        <v/>
      </c>
      <c r="G2071" s="212"/>
      <c r="H2071" s="30" t="str">
        <f>IFERROR(VLOOKUP(E2071,'Inventaire des produits'!$B$4:$K$1001,8,0),"")</f>
        <v/>
      </c>
      <c r="I2071" s="32" t="str">
        <f t="shared" si="62"/>
        <v/>
      </c>
      <c r="K2071" s="127" t="str">
        <f t="shared" si="61"/>
        <v/>
      </c>
    </row>
    <row r="2072" spans="2:11" x14ac:dyDescent="0.3">
      <c r="B2072" s="197"/>
      <c r="C2072" s="199"/>
      <c r="D2072" s="197"/>
      <c r="E2072" s="212"/>
      <c r="F2072" s="29" t="str">
        <f>IFERROR(VLOOKUP(E2072,'Inventaire des produits'!$B$4:$K$1001,2,0),"")</f>
        <v/>
      </c>
      <c r="G2072" s="212"/>
      <c r="H2072" s="30" t="str">
        <f>IFERROR(VLOOKUP(E2072,'Inventaire des produits'!$B$4:$K$1001,8,0),"")</f>
        <v/>
      </c>
      <c r="I2072" s="32" t="str">
        <f t="shared" si="62"/>
        <v/>
      </c>
      <c r="K2072" s="127" t="str">
        <f t="shared" si="61"/>
        <v/>
      </c>
    </row>
    <row r="2073" spans="2:11" x14ac:dyDescent="0.3">
      <c r="B2073" s="197"/>
      <c r="C2073" s="199"/>
      <c r="D2073" s="197"/>
      <c r="E2073" s="212"/>
      <c r="F2073" s="29" t="str">
        <f>IFERROR(VLOOKUP(E2073,'Inventaire des produits'!$B$4:$K$1001,2,0),"")</f>
        <v/>
      </c>
      <c r="G2073" s="212"/>
      <c r="H2073" s="30" t="str">
        <f>IFERROR(VLOOKUP(E2073,'Inventaire des produits'!$B$4:$K$1001,8,0),"")</f>
        <v/>
      </c>
      <c r="I2073" s="32" t="str">
        <f t="shared" si="62"/>
        <v/>
      </c>
      <c r="K2073" s="127" t="str">
        <f t="shared" si="61"/>
        <v/>
      </c>
    </row>
    <row r="2074" spans="2:11" x14ac:dyDescent="0.3">
      <c r="B2074" s="197"/>
      <c r="C2074" s="199"/>
      <c r="D2074" s="197"/>
      <c r="E2074" s="212"/>
      <c r="F2074" s="29" t="str">
        <f>IFERROR(VLOOKUP(E2074,'Inventaire des produits'!$B$4:$K$1001,2,0),"")</f>
        <v/>
      </c>
      <c r="G2074" s="212"/>
      <c r="H2074" s="30" t="str">
        <f>IFERROR(VLOOKUP(E2074,'Inventaire des produits'!$B$4:$K$1001,8,0),"")</f>
        <v/>
      </c>
      <c r="I2074" s="32" t="str">
        <f t="shared" si="62"/>
        <v/>
      </c>
      <c r="K2074" s="127" t="str">
        <f t="shared" si="61"/>
        <v/>
      </c>
    </row>
    <row r="2075" spans="2:11" x14ac:dyDescent="0.3">
      <c r="B2075" s="197"/>
      <c r="C2075" s="199"/>
      <c r="D2075" s="197"/>
      <c r="E2075" s="212"/>
      <c r="F2075" s="29" t="str">
        <f>IFERROR(VLOOKUP(E2075,'Inventaire des produits'!$B$4:$K$1001,2,0),"")</f>
        <v/>
      </c>
      <c r="G2075" s="212"/>
      <c r="H2075" s="30" t="str">
        <f>IFERROR(VLOOKUP(E2075,'Inventaire des produits'!$B$4:$K$1001,8,0),"")</f>
        <v/>
      </c>
      <c r="I2075" s="32" t="str">
        <f t="shared" si="62"/>
        <v/>
      </c>
      <c r="K2075" s="127" t="str">
        <f t="shared" si="61"/>
        <v/>
      </c>
    </row>
    <row r="2076" spans="2:11" x14ac:dyDescent="0.3">
      <c r="B2076" s="197"/>
      <c r="C2076" s="199"/>
      <c r="D2076" s="197"/>
      <c r="E2076" s="212"/>
      <c r="F2076" s="29" t="str">
        <f>IFERROR(VLOOKUP(E2076,'Inventaire des produits'!$B$4:$K$1001,2,0),"")</f>
        <v/>
      </c>
      <c r="G2076" s="212"/>
      <c r="H2076" s="30" t="str">
        <f>IFERROR(VLOOKUP(E2076,'Inventaire des produits'!$B$4:$K$1001,8,0),"")</f>
        <v/>
      </c>
      <c r="I2076" s="32" t="str">
        <f t="shared" si="62"/>
        <v/>
      </c>
      <c r="K2076" s="127" t="str">
        <f t="shared" si="61"/>
        <v/>
      </c>
    </row>
    <row r="2077" spans="2:11" x14ac:dyDescent="0.3">
      <c r="B2077" s="197"/>
      <c r="C2077" s="199"/>
      <c r="D2077" s="197"/>
      <c r="E2077" s="212"/>
      <c r="F2077" s="29" t="str">
        <f>IFERROR(VLOOKUP(E2077,'Inventaire des produits'!$B$4:$K$1001,2,0),"")</f>
        <v/>
      </c>
      <c r="G2077" s="212"/>
      <c r="H2077" s="30" t="str">
        <f>IFERROR(VLOOKUP(E2077,'Inventaire des produits'!$B$4:$K$1001,8,0),"")</f>
        <v/>
      </c>
      <c r="I2077" s="32" t="str">
        <f t="shared" si="62"/>
        <v/>
      </c>
      <c r="K2077" s="127" t="str">
        <f t="shared" si="61"/>
        <v/>
      </c>
    </row>
    <row r="2078" spans="2:11" x14ac:dyDescent="0.3">
      <c r="B2078" s="197"/>
      <c r="C2078" s="199"/>
      <c r="D2078" s="197"/>
      <c r="E2078" s="212"/>
      <c r="F2078" s="29" t="str">
        <f>IFERROR(VLOOKUP(E2078,'Inventaire des produits'!$B$4:$K$1001,2,0),"")</f>
        <v/>
      </c>
      <c r="G2078" s="212"/>
      <c r="H2078" s="30" t="str">
        <f>IFERROR(VLOOKUP(E2078,'Inventaire des produits'!$B$4:$K$1001,8,0),"")</f>
        <v/>
      </c>
      <c r="I2078" s="32" t="str">
        <f t="shared" si="62"/>
        <v/>
      </c>
      <c r="K2078" s="127" t="str">
        <f t="shared" si="61"/>
        <v/>
      </c>
    </row>
    <row r="2079" spans="2:11" x14ac:dyDescent="0.3">
      <c r="B2079" s="197"/>
      <c r="C2079" s="199"/>
      <c r="D2079" s="197"/>
      <c r="E2079" s="212"/>
      <c r="F2079" s="29" t="str">
        <f>IFERROR(VLOOKUP(E2079,'Inventaire des produits'!$B$4:$K$1001,2,0),"")</f>
        <v/>
      </c>
      <c r="G2079" s="212"/>
      <c r="H2079" s="30" t="str">
        <f>IFERROR(VLOOKUP(E2079,'Inventaire des produits'!$B$4:$K$1001,8,0),"")</f>
        <v/>
      </c>
      <c r="I2079" s="32" t="str">
        <f t="shared" si="62"/>
        <v/>
      </c>
      <c r="K2079" s="127" t="str">
        <f t="shared" si="61"/>
        <v/>
      </c>
    </row>
    <row r="2080" spans="2:11" x14ac:dyDescent="0.3">
      <c r="B2080" s="197"/>
      <c r="C2080" s="199"/>
      <c r="D2080" s="197"/>
      <c r="E2080" s="212"/>
      <c r="F2080" s="29" t="str">
        <f>IFERROR(VLOOKUP(E2080,'Inventaire des produits'!$B$4:$K$1001,2,0),"")</f>
        <v/>
      </c>
      <c r="G2080" s="212"/>
      <c r="H2080" s="30" t="str">
        <f>IFERROR(VLOOKUP(E2080,'Inventaire des produits'!$B$4:$K$1001,8,0),"")</f>
        <v/>
      </c>
      <c r="I2080" s="32" t="str">
        <f t="shared" si="62"/>
        <v/>
      </c>
      <c r="K2080" s="127" t="str">
        <f t="shared" si="61"/>
        <v/>
      </c>
    </row>
    <row r="2081" spans="2:11" x14ac:dyDescent="0.3">
      <c r="B2081" s="197"/>
      <c r="C2081" s="199"/>
      <c r="D2081" s="197"/>
      <c r="E2081" s="212"/>
      <c r="F2081" s="29" t="str">
        <f>IFERROR(VLOOKUP(E2081,'Inventaire des produits'!$B$4:$K$1001,2,0),"")</f>
        <v/>
      </c>
      <c r="G2081" s="212"/>
      <c r="H2081" s="30" t="str">
        <f>IFERROR(VLOOKUP(E2081,'Inventaire des produits'!$B$4:$K$1001,8,0),"")</f>
        <v/>
      </c>
      <c r="I2081" s="32" t="str">
        <f t="shared" si="62"/>
        <v/>
      </c>
      <c r="K2081" s="127" t="str">
        <f t="shared" si="61"/>
        <v/>
      </c>
    </row>
    <row r="2082" spans="2:11" x14ac:dyDescent="0.3">
      <c r="B2082" s="197"/>
      <c r="C2082" s="199"/>
      <c r="D2082" s="197"/>
      <c r="E2082" s="212"/>
      <c r="F2082" s="29" t="str">
        <f>IFERROR(VLOOKUP(E2082,'Inventaire des produits'!$B$4:$K$1001,2,0),"")</f>
        <v/>
      </c>
      <c r="G2082" s="212"/>
      <c r="H2082" s="30" t="str">
        <f>IFERROR(VLOOKUP(E2082,'Inventaire des produits'!$B$4:$K$1001,8,0),"")</f>
        <v/>
      </c>
      <c r="I2082" s="32" t="str">
        <f t="shared" si="62"/>
        <v/>
      </c>
      <c r="K2082" s="127" t="str">
        <f t="shared" si="61"/>
        <v/>
      </c>
    </row>
    <row r="2083" spans="2:11" x14ac:dyDescent="0.3">
      <c r="B2083" s="197"/>
      <c r="C2083" s="199"/>
      <c r="D2083" s="197"/>
      <c r="E2083" s="212"/>
      <c r="F2083" s="29" t="str">
        <f>IFERROR(VLOOKUP(E2083,'Inventaire des produits'!$B$4:$K$1001,2,0),"")</f>
        <v/>
      </c>
      <c r="G2083" s="212"/>
      <c r="H2083" s="30" t="str">
        <f>IFERROR(VLOOKUP(E2083,'Inventaire des produits'!$B$4:$K$1001,8,0),"")</f>
        <v/>
      </c>
      <c r="I2083" s="32" t="str">
        <f t="shared" si="62"/>
        <v/>
      </c>
      <c r="K2083" s="127" t="str">
        <f t="shared" si="61"/>
        <v/>
      </c>
    </row>
    <row r="2084" spans="2:11" x14ac:dyDescent="0.3">
      <c r="B2084" s="197"/>
      <c r="C2084" s="199"/>
      <c r="D2084" s="197"/>
      <c r="E2084" s="212"/>
      <c r="F2084" s="29" t="str">
        <f>IFERROR(VLOOKUP(E2084,'Inventaire des produits'!$B$4:$K$1001,2,0),"")</f>
        <v/>
      </c>
      <c r="G2084" s="212"/>
      <c r="H2084" s="30" t="str">
        <f>IFERROR(VLOOKUP(E2084,'Inventaire des produits'!$B$4:$K$1001,8,0),"")</f>
        <v/>
      </c>
      <c r="I2084" s="32" t="str">
        <f t="shared" si="62"/>
        <v/>
      </c>
      <c r="K2084" s="127" t="str">
        <f t="shared" si="61"/>
        <v/>
      </c>
    </row>
    <row r="2085" spans="2:11" x14ac:dyDescent="0.3">
      <c r="B2085" s="197"/>
      <c r="C2085" s="199"/>
      <c r="D2085" s="197"/>
      <c r="E2085" s="212"/>
      <c r="F2085" s="29" t="str">
        <f>IFERROR(VLOOKUP(E2085,'Inventaire des produits'!$B$4:$K$1001,2,0),"")</f>
        <v/>
      </c>
      <c r="G2085" s="212"/>
      <c r="H2085" s="30" t="str">
        <f>IFERROR(VLOOKUP(E2085,'Inventaire des produits'!$B$4:$K$1001,8,0),"")</f>
        <v/>
      </c>
      <c r="I2085" s="32" t="str">
        <f t="shared" si="62"/>
        <v/>
      </c>
      <c r="K2085" s="127" t="str">
        <f t="shared" si="61"/>
        <v/>
      </c>
    </row>
    <row r="2086" spans="2:11" x14ac:dyDescent="0.3">
      <c r="B2086" s="197"/>
      <c r="C2086" s="199"/>
      <c r="D2086" s="197"/>
      <c r="E2086" s="212"/>
      <c r="F2086" s="29" t="str">
        <f>IFERROR(VLOOKUP(E2086,'Inventaire des produits'!$B$4:$K$1001,2,0),"")</f>
        <v/>
      </c>
      <c r="G2086" s="212"/>
      <c r="H2086" s="30" t="str">
        <f>IFERROR(VLOOKUP(E2086,'Inventaire des produits'!$B$4:$K$1001,8,0),"")</f>
        <v/>
      </c>
      <c r="I2086" s="32" t="str">
        <f t="shared" si="62"/>
        <v/>
      </c>
      <c r="K2086" s="127" t="str">
        <f t="shared" si="61"/>
        <v/>
      </c>
    </row>
    <row r="2087" spans="2:11" x14ac:dyDescent="0.3">
      <c r="B2087" s="197"/>
      <c r="C2087" s="199"/>
      <c r="D2087" s="197"/>
      <c r="E2087" s="212"/>
      <c r="F2087" s="29" t="str">
        <f>IFERROR(VLOOKUP(E2087,'Inventaire des produits'!$B$4:$K$1001,2,0),"")</f>
        <v/>
      </c>
      <c r="G2087" s="212"/>
      <c r="H2087" s="30" t="str">
        <f>IFERROR(VLOOKUP(E2087,'Inventaire des produits'!$B$4:$K$1001,8,0),"")</f>
        <v/>
      </c>
      <c r="I2087" s="32" t="str">
        <f t="shared" si="62"/>
        <v/>
      </c>
      <c r="K2087" s="127" t="str">
        <f t="shared" si="61"/>
        <v/>
      </c>
    </row>
    <row r="2088" spans="2:11" x14ac:dyDescent="0.3">
      <c r="B2088" s="197"/>
      <c r="C2088" s="199"/>
      <c r="D2088" s="197"/>
      <c r="E2088" s="212"/>
      <c r="F2088" s="29" t="str">
        <f>IFERROR(VLOOKUP(E2088,'Inventaire des produits'!$B$4:$K$1001,2,0),"")</f>
        <v/>
      </c>
      <c r="G2088" s="212"/>
      <c r="H2088" s="30" t="str">
        <f>IFERROR(VLOOKUP(E2088,'Inventaire des produits'!$B$4:$K$1001,8,0),"")</f>
        <v/>
      </c>
      <c r="I2088" s="32" t="str">
        <f t="shared" si="62"/>
        <v/>
      </c>
      <c r="K2088" s="127" t="str">
        <f t="shared" si="61"/>
        <v/>
      </c>
    </row>
    <row r="2089" spans="2:11" x14ac:dyDescent="0.3">
      <c r="B2089" s="197"/>
      <c r="C2089" s="199"/>
      <c r="D2089" s="197"/>
      <c r="E2089" s="212"/>
      <c r="F2089" s="29" t="str">
        <f>IFERROR(VLOOKUP(E2089,'Inventaire des produits'!$B$4:$K$1001,2,0),"")</f>
        <v/>
      </c>
      <c r="G2089" s="212"/>
      <c r="H2089" s="30" t="str">
        <f>IFERROR(VLOOKUP(E2089,'Inventaire des produits'!$B$4:$K$1001,8,0),"")</f>
        <v/>
      </c>
      <c r="I2089" s="32" t="str">
        <f t="shared" si="62"/>
        <v/>
      </c>
      <c r="K2089" s="127" t="str">
        <f t="shared" si="61"/>
        <v/>
      </c>
    </row>
    <row r="2090" spans="2:11" x14ac:dyDescent="0.3">
      <c r="B2090" s="197"/>
      <c r="C2090" s="199"/>
      <c r="D2090" s="197"/>
      <c r="E2090" s="212"/>
      <c r="F2090" s="29" t="str">
        <f>IFERROR(VLOOKUP(E2090,'Inventaire des produits'!$B$4:$K$1001,2,0),"")</f>
        <v/>
      </c>
      <c r="G2090" s="212"/>
      <c r="H2090" s="30" t="str">
        <f>IFERROR(VLOOKUP(E2090,'Inventaire des produits'!$B$4:$K$1001,8,0),"")</f>
        <v/>
      </c>
      <c r="I2090" s="32" t="str">
        <f t="shared" si="62"/>
        <v/>
      </c>
      <c r="K2090" s="127" t="str">
        <f t="shared" si="61"/>
        <v/>
      </c>
    </row>
    <row r="2091" spans="2:11" x14ac:dyDescent="0.3">
      <c r="B2091" s="197"/>
      <c r="C2091" s="199"/>
      <c r="D2091" s="197"/>
      <c r="E2091" s="212"/>
      <c r="F2091" s="29" t="str">
        <f>IFERROR(VLOOKUP(E2091,'Inventaire des produits'!$B$4:$K$1001,2,0),"")</f>
        <v/>
      </c>
      <c r="G2091" s="212"/>
      <c r="H2091" s="30" t="str">
        <f>IFERROR(VLOOKUP(E2091,'Inventaire des produits'!$B$4:$K$1001,8,0),"")</f>
        <v/>
      </c>
      <c r="I2091" s="32" t="str">
        <f t="shared" si="62"/>
        <v/>
      </c>
      <c r="K2091" s="127" t="str">
        <f t="shared" si="61"/>
        <v/>
      </c>
    </row>
    <row r="2092" spans="2:11" x14ac:dyDescent="0.3">
      <c r="B2092" s="197"/>
      <c r="C2092" s="199"/>
      <c r="D2092" s="197"/>
      <c r="E2092" s="212"/>
      <c r="F2092" s="29" t="str">
        <f>IFERROR(VLOOKUP(E2092,'Inventaire des produits'!$B$4:$K$1001,2,0),"")</f>
        <v/>
      </c>
      <c r="G2092" s="212"/>
      <c r="H2092" s="30" t="str">
        <f>IFERROR(VLOOKUP(E2092,'Inventaire des produits'!$B$4:$K$1001,8,0),"")</f>
        <v/>
      </c>
      <c r="I2092" s="32" t="str">
        <f t="shared" si="62"/>
        <v/>
      </c>
      <c r="K2092" s="127" t="str">
        <f t="shared" si="61"/>
        <v/>
      </c>
    </row>
    <row r="2093" spans="2:11" x14ac:dyDescent="0.3">
      <c r="B2093" s="197"/>
      <c r="C2093" s="199"/>
      <c r="D2093" s="197"/>
      <c r="E2093" s="212"/>
      <c r="F2093" s="29" t="str">
        <f>IFERROR(VLOOKUP(E2093,'Inventaire des produits'!$B$4:$K$1001,2,0),"")</f>
        <v/>
      </c>
      <c r="G2093" s="212"/>
      <c r="H2093" s="30" t="str">
        <f>IFERROR(VLOOKUP(E2093,'Inventaire des produits'!$B$4:$K$1001,8,0),"")</f>
        <v/>
      </c>
      <c r="I2093" s="32" t="str">
        <f t="shared" si="62"/>
        <v/>
      </c>
      <c r="K2093" s="127" t="str">
        <f t="shared" si="61"/>
        <v/>
      </c>
    </row>
    <row r="2094" spans="2:11" x14ac:dyDescent="0.3">
      <c r="B2094" s="197"/>
      <c r="C2094" s="199"/>
      <c r="D2094" s="197"/>
      <c r="E2094" s="212"/>
      <c r="F2094" s="29" t="str">
        <f>IFERROR(VLOOKUP(E2094,'Inventaire des produits'!$B$4:$K$1001,2,0),"")</f>
        <v/>
      </c>
      <c r="G2094" s="212"/>
      <c r="H2094" s="30" t="str">
        <f>IFERROR(VLOOKUP(E2094,'Inventaire des produits'!$B$4:$K$1001,8,0),"")</f>
        <v/>
      </c>
      <c r="I2094" s="32" t="str">
        <f t="shared" si="62"/>
        <v/>
      </c>
      <c r="K2094" s="127" t="str">
        <f t="shared" si="61"/>
        <v/>
      </c>
    </row>
    <row r="2095" spans="2:11" x14ac:dyDescent="0.3">
      <c r="B2095" s="197"/>
      <c r="C2095" s="199"/>
      <c r="D2095" s="197"/>
      <c r="E2095" s="212"/>
      <c r="F2095" s="29" t="str">
        <f>IFERROR(VLOOKUP(E2095,'Inventaire des produits'!$B$4:$K$1001,2,0),"")</f>
        <v/>
      </c>
      <c r="G2095" s="212"/>
      <c r="H2095" s="30" t="str">
        <f>IFERROR(VLOOKUP(E2095,'Inventaire des produits'!$B$4:$K$1001,8,0),"")</f>
        <v/>
      </c>
      <c r="I2095" s="32" t="str">
        <f t="shared" si="62"/>
        <v/>
      </c>
      <c r="K2095" s="127" t="str">
        <f t="shared" si="61"/>
        <v/>
      </c>
    </row>
    <row r="2096" spans="2:11" x14ac:dyDescent="0.3">
      <c r="B2096" s="197"/>
      <c r="C2096" s="199"/>
      <c r="D2096" s="197"/>
      <c r="E2096" s="212"/>
      <c r="F2096" s="29" t="str">
        <f>IFERROR(VLOOKUP(E2096,'Inventaire des produits'!$B$4:$K$1001,2,0),"")</f>
        <v/>
      </c>
      <c r="G2096" s="212"/>
      <c r="H2096" s="30" t="str">
        <f>IFERROR(VLOOKUP(E2096,'Inventaire des produits'!$B$4:$K$1001,8,0),"")</f>
        <v/>
      </c>
      <c r="I2096" s="32" t="str">
        <f t="shared" si="62"/>
        <v/>
      </c>
      <c r="K2096" s="127" t="str">
        <f t="shared" si="61"/>
        <v/>
      </c>
    </row>
    <row r="2097" spans="2:11" x14ac:dyDescent="0.3">
      <c r="B2097" s="197"/>
      <c r="C2097" s="199"/>
      <c r="D2097" s="197"/>
      <c r="E2097" s="212"/>
      <c r="F2097" s="29" t="str">
        <f>IFERROR(VLOOKUP(E2097,'Inventaire des produits'!$B$4:$K$1001,2,0),"")</f>
        <v/>
      </c>
      <c r="G2097" s="212"/>
      <c r="H2097" s="30" t="str">
        <f>IFERROR(VLOOKUP(E2097,'Inventaire des produits'!$B$4:$K$1001,8,0),"")</f>
        <v/>
      </c>
      <c r="I2097" s="32" t="str">
        <f t="shared" si="62"/>
        <v/>
      </c>
      <c r="K2097" s="127" t="str">
        <f t="shared" si="61"/>
        <v/>
      </c>
    </row>
    <row r="2098" spans="2:11" x14ac:dyDescent="0.3">
      <c r="B2098" s="197"/>
      <c r="C2098" s="199"/>
      <c r="D2098" s="197"/>
      <c r="E2098" s="212"/>
      <c r="F2098" s="29" t="str">
        <f>IFERROR(VLOOKUP(E2098,'Inventaire des produits'!$B$4:$K$1001,2,0),"")</f>
        <v/>
      </c>
      <c r="G2098" s="212"/>
      <c r="H2098" s="30" t="str">
        <f>IFERROR(VLOOKUP(E2098,'Inventaire des produits'!$B$4:$K$1001,8,0),"")</f>
        <v/>
      </c>
      <c r="I2098" s="32" t="str">
        <f t="shared" si="62"/>
        <v/>
      </c>
      <c r="K2098" s="127" t="str">
        <f t="shared" si="61"/>
        <v/>
      </c>
    </row>
    <row r="2099" spans="2:11" x14ac:dyDescent="0.3">
      <c r="B2099" s="197"/>
      <c r="C2099" s="199"/>
      <c r="D2099" s="197"/>
      <c r="E2099" s="212"/>
      <c r="F2099" s="29" t="str">
        <f>IFERROR(VLOOKUP(E2099,'Inventaire des produits'!$B$4:$K$1001,2,0),"")</f>
        <v/>
      </c>
      <c r="G2099" s="212"/>
      <c r="H2099" s="30" t="str">
        <f>IFERROR(VLOOKUP(E2099,'Inventaire des produits'!$B$4:$K$1001,8,0),"")</f>
        <v/>
      </c>
      <c r="I2099" s="32" t="str">
        <f t="shared" si="62"/>
        <v/>
      </c>
      <c r="K2099" s="127" t="str">
        <f t="shared" si="61"/>
        <v/>
      </c>
    </row>
    <row r="2100" spans="2:11" x14ac:dyDescent="0.3">
      <c r="B2100" s="197"/>
      <c r="C2100" s="199"/>
      <c r="D2100" s="197"/>
      <c r="E2100" s="212"/>
      <c r="F2100" s="29" t="str">
        <f>IFERROR(VLOOKUP(E2100,'Inventaire des produits'!$B$4:$K$1001,2,0),"")</f>
        <v/>
      </c>
      <c r="G2100" s="212"/>
      <c r="H2100" s="30" t="str">
        <f>IFERROR(VLOOKUP(E2100,'Inventaire des produits'!$B$4:$K$1001,8,0),"")</f>
        <v/>
      </c>
      <c r="I2100" s="32" t="str">
        <f t="shared" si="62"/>
        <v/>
      </c>
      <c r="K2100" s="127" t="str">
        <f t="shared" si="61"/>
        <v/>
      </c>
    </row>
    <row r="2101" spans="2:11" x14ac:dyDescent="0.3">
      <c r="B2101" s="197"/>
      <c r="C2101" s="199"/>
      <c r="D2101" s="197"/>
      <c r="E2101" s="212"/>
      <c r="F2101" s="29" t="str">
        <f>IFERROR(VLOOKUP(E2101,'Inventaire des produits'!$B$4:$K$1001,2,0),"")</f>
        <v/>
      </c>
      <c r="G2101" s="212"/>
      <c r="H2101" s="30" t="str">
        <f>IFERROR(VLOOKUP(E2101,'Inventaire des produits'!$B$4:$K$1001,8,0),"")</f>
        <v/>
      </c>
      <c r="I2101" s="32" t="str">
        <f t="shared" si="62"/>
        <v/>
      </c>
      <c r="K2101" s="127" t="str">
        <f t="shared" si="61"/>
        <v/>
      </c>
    </row>
    <row r="2102" spans="2:11" x14ac:dyDescent="0.3">
      <c r="B2102" s="197"/>
      <c r="C2102" s="199"/>
      <c r="D2102" s="197"/>
      <c r="E2102" s="212"/>
      <c r="F2102" s="29" t="str">
        <f>IFERROR(VLOOKUP(E2102,'Inventaire des produits'!$B$4:$K$1001,2,0),"")</f>
        <v/>
      </c>
      <c r="G2102" s="212"/>
      <c r="H2102" s="30" t="str">
        <f>IFERROR(VLOOKUP(E2102,'Inventaire des produits'!$B$4:$K$1001,8,0),"")</f>
        <v/>
      </c>
      <c r="I2102" s="32" t="str">
        <f t="shared" si="62"/>
        <v/>
      </c>
      <c r="K2102" s="127" t="str">
        <f t="shared" si="61"/>
        <v/>
      </c>
    </row>
    <row r="2103" spans="2:11" x14ac:dyDescent="0.3">
      <c r="B2103" s="197"/>
      <c r="C2103" s="199"/>
      <c r="D2103" s="197"/>
      <c r="E2103" s="212"/>
      <c r="F2103" s="29" t="str">
        <f>IFERROR(VLOOKUP(E2103,'Inventaire des produits'!$B$4:$K$1001,2,0),"")</f>
        <v/>
      </c>
      <c r="G2103" s="212"/>
      <c r="H2103" s="30" t="str">
        <f>IFERROR(VLOOKUP(E2103,'Inventaire des produits'!$B$4:$K$1001,8,0),"")</f>
        <v/>
      </c>
      <c r="I2103" s="32" t="str">
        <f t="shared" si="62"/>
        <v/>
      </c>
      <c r="K2103" s="127" t="str">
        <f t="shared" si="61"/>
        <v/>
      </c>
    </row>
    <row r="2104" spans="2:11" x14ac:dyDescent="0.3">
      <c r="B2104" s="197"/>
      <c r="C2104" s="199"/>
      <c r="D2104" s="197"/>
      <c r="E2104" s="212"/>
      <c r="F2104" s="29" t="str">
        <f>IFERROR(VLOOKUP(E2104,'Inventaire des produits'!$B$4:$K$1001,2,0),"")</f>
        <v/>
      </c>
      <c r="G2104" s="212"/>
      <c r="H2104" s="30" t="str">
        <f>IFERROR(VLOOKUP(E2104,'Inventaire des produits'!$B$4:$K$1001,8,0),"")</f>
        <v/>
      </c>
      <c r="I2104" s="32" t="str">
        <f t="shared" si="62"/>
        <v/>
      </c>
      <c r="K2104" s="127" t="str">
        <f t="shared" si="61"/>
        <v/>
      </c>
    </row>
    <row r="2105" spans="2:11" x14ac:dyDescent="0.3">
      <c r="B2105" s="197"/>
      <c r="C2105" s="199"/>
      <c r="D2105" s="197"/>
      <c r="E2105" s="212"/>
      <c r="F2105" s="29" t="str">
        <f>IFERROR(VLOOKUP(E2105,'Inventaire des produits'!$B$4:$K$1001,2,0),"")</f>
        <v/>
      </c>
      <c r="G2105" s="212"/>
      <c r="H2105" s="30" t="str">
        <f>IFERROR(VLOOKUP(E2105,'Inventaire des produits'!$B$4:$K$1001,8,0),"")</f>
        <v/>
      </c>
      <c r="I2105" s="32" t="str">
        <f t="shared" si="62"/>
        <v/>
      </c>
      <c r="K2105" s="127" t="str">
        <f t="shared" si="61"/>
        <v/>
      </c>
    </row>
    <row r="2106" spans="2:11" x14ac:dyDescent="0.3">
      <c r="B2106" s="197"/>
      <c r="C2106" s="199"/>
      <c r="D2106" s="197"/>
      <c r="E2106" s="212"/>
      <c r="F2106" s="29" t="str">
        <f>IFERROR(VLOOKUP(E2106,'Inventaire des produits'!$B$4:$K$1001,2,0),"")</f>
        <v/>
      </c>
      <c r="G2106" s="212"/>
      <c r="H2106" s="30" t="str">
        <f>IFERROR(VLOOKUP(E2106,'Inventaire des produits'!$B$4:$K$1001,8,0),"")</f>
        <v/>
      </c>
      <c r="I2106" s="32" t="str">
        <f t="shared" si="62"/>
        <v/>
      </c>
      <c r="K2106" s="127" t="str">
        <f t="shared" si="61"/>
        <v/>
      </c>
    </row>
    <row r="2107" spans="2:11" x14ac:dyDescent="0.3">
      <c r="B2107" s="197"/>
      <c r="C2107" s="199"/>
      <c r="D2107" s="197"/>
      <c r="E2107" s="212"/>
      <c r="F2107" s="29" t="str">
        <f>IFERROR(VLOOKUP(E2107,'Inventaire des produits'!$B$4:$K$1001,2,0),"")</f>
        <v/>
      </c>
      <c r="G2107" s="212"/>
      <c r="H2107" s="30" t="str">
        <f>IFERROR(VLOOKUP(E2107,'Inventaire des produits'!$B$4:$K$1001,8,0),"")</f>
        <v/>
      </c>
      <c r="I2107" s="32" t="str">
        <f t="shared" si="62"/>
        <v/>
      </c>
      <c r="K2107" s="127" t="str">
        <f t="shared" si="61"/>
        <v/>
      </c>
    </row>
    <row r="2108" spans="2:11" x14ac:dyDescent="0.3">
      <c r="B2108" s="197"/>
      <c r="C2108" s="199"/>
      <c r="D2108" s="197"/>
      <c r="E2108" s="212"/>
      <c r="F2108" s="29" t="str">
        <f>IFERROR(VLOOKUP(E2108,'Inventaire des produits'!$B$4:$K$1001,2,0),"")</f>
        <v/>
      </c>
      <c r="G2108" s="212"/>
      <c r="H2108" s="30" t="str">
        <f>IFERROR(VLOOKUP(E2108,'Inventaire des produits'!$B$4:$K$1001,8,0),"")</f>
        <v/>
      </c>
      <c r="I2108" s="32" t="str">
        <f t="shared" si="62"/>
        <v/>
      </c>
      <c r="K2108" s="127" t="str">
        <f t="shared" ref="K2108:K2171" si="63">IF(J2108="","",J2108*1.2)</f>
        <v/>
      </c>
    </row>
    <row r="2109" spans="2:11" x14ac:dyDescent="0.3">
      <c r="B2109" s="197"/>
      <c r="C2109" s="199"/>
      <c r="D2109" s="197"/>
      <c r="E2109" s="212"/>
      <c r="F2109" s="29" t="str">
        <f>IFERROR(VLOOKUP(E2109,'Inventaire des produits'!$B$4:$K$1001,2,0),"")</f>
        <v/>
      </c>
      <c r="G2109" s="212"/>
      <c r="H2109" s="30" t="str">
        <f>IFERROR(VLOOKUP(E2109,'Inventaire des produits'!$B$4:$K$1001,8,0),"")</f>
        <v/>
      </c>
      <c r="I2109" s="32" t="str">
        <f t="shared" si="62"/>
        <v/>
      </c>
      <c r="K2109" s="127" t="str">
        <f t="shared" si="63"/>
        <v/>
      </c>
    </row>
    <row r="2110" spans="2:11" x14ac:dyDescent="0.3">
      <c r="B2110" s="197"/>
      <c r="C2110" s="199"/>
      <c r="D2110" s="197"/>
      <c r="E2110" s="212"/>
      <c r="F2110" s="29" t="str">
        <f>IFERROR(VLOOKUP(E2110,'Inventaire des produits'!$B$4:$K$1001,2,0),"")</f>
        <v/>
      </c>
      <c r="G2110" s="212"/>
      <c r="H2110" s="30" t="str">
        <f>IFERROR(VLOOKUP(E2110,'Inventaire des produits'!$B$4:$K$1001,8,0),"")</f>
        <v/>
      </c>
      <c r="I2110" s="32" t="str">
        <f t="shared" si="62"/>
        <v/>
      </c>
      <c r="K2110" s="127" t="str">
        <f t="shared" si="63"/>
        <v/>
      </c>
    </row>
    <row r="2111" spans="2:11" x14ac:dyDescent="0.3">
      <c r="B2111" s="197"/>
      <c r="C2111" s="199"/>
      <c r="D2111" s="197"/>
      <c r="E2111" s="212"/>
      <c r="F2111" s="29" t="str">
        <f>IFERROR(VLOOKUP(E2111,'Inventaire des produits'!$B$4:$K$1001,2,0),"")</f>
        <v/>
      </c>
      <c r="G2111" s="212"/>
      <c r="H2111" s="30" t="str">
        <f>IFERROR(VLOOKUP(E2111,'Inventaire des produits'!$B$4:$K$1001,8,0),"")</f>
        <v/>
      </c>
      <c r="I2111" s="32" t="str">
        <f t="shared" si="62"/>
        <v/>
      </c>
      <c r="K2111" s="127" t="str">
        <f t="shared" si="63"/>
        <v/>
      </c>
    </row>
    <row r="2112" spans="2:11" x14ac:dyDescent="0.3">
      <c r="B2112" s="197"/>
      <c r="C2112" s="199"/>
      <c r="D2112" s="197"/>
      <c r="E2112" s="212"/>
      <c r="F2112" s="29" t="str">
        <f>IFERROR(VLOOKUP(E2112,'Inventaire des produits'!$B$4:$K$1001,2,0),"")</f>
        <v/>
      </c>
      <c r="G2112" s="212"/>
      <c r="H2112" s="30" t="str">
        <f>IFERROR(VLOOKUP(E2112,'Inventaire des produits'!$B$4:$K$1001,8,0),"")</f>
        <v/>
      </c>
      <c r="I2112" s="32" t="str">
        <f t="shared" si="62"/>
        <v/>
      </c>
      <c r="K2112" s="127" t="str">
        <f t="shared" si="63"/>
        <v/>
      </c>
    </row>
    <row r="2113" spans="2:11" x14ac:dyDescent="0.3">
      <c r="B2113" s="197"/>
      <c r="C2113" s="199"/>
      <c r="D2113" s="197"/>
      <c r="E2113" s="212"/>
      <c r="F2113" s="29" t="str">
        <f>IFERROR(VLOOKUP(E2113,'Inventaire des produits'!$B$4:$K$1001,2,0),"")</f>
        <v/>
      </c>
      <c r="G2113" s="212"/>
      <c r="H2113" s="30" t="str">
        <f>IFERROR(VLOOKUP(E2113,'Inventaire des produits'!$B$4:$K$1001,8,0),"")</f>
        <v/>
      </c>
      <c r="I2113" s="32" t="str">
        <f t="shared" si="62"/>
        <v/>
      </c>
      <c r="K2113" s="127" t="str">
        <f t="shared" si="63"/>
        <v/>
      </c>
    </row>
    <row r="2114" spans="2:11" x14ac:dyDescent="0.3">
      <c r="B2114" s="197"/>
      <c r="C2114" s="199"/>
      <c r="D2114" s="197"/>
      <c r="E2114" s="212"/>
      <c r="F2114" s="29" t="str">
        <f>IFERROR(VLOOKUP(E2114,'Inventaire des produits'!$B$4:$K$1001,2,0),"")</f>
        <v/>
      </c>
      <c r="G2114" s="212"/>
      <c r="H2114" s="30" t="str">
        <f>IFERROR(VLOOKUP(E2114,'Inventaire des produits'!$B$4:$K$1001,8,0),"")</f>
        <v/>
      </c>
      <c r="I2114" s="32" t="str">
        <f t="shared" ref="I2114:I2177" si="64">IF(OR(G2114="",H2114=""),"",G2114*H2114)</f>
        <v/>
      </c>
      <c r="K2114" s="127" t="str">
        <f t="shared" si="63"/>
        <v/>
      </c>
    </row>
    <row r="2115" spans="2:11" x14ac:dyDescent="0.3">
      <c r="B2115" s="197"/>
      <c r="C2115" s="199"/>
      <c r="D2115" s="197"/>
      <c r="E2115" s="212"/>
      <c r="F2115" s="29" t="str">
        <f>IFERROR(VLOOKUP(E2115,'Inventaire des produits'!$B$4:$K$1001,2,0),"")</f>
        <v/>
      </c>
      <c r="G2115" s="212"/>
      <c r="H2115" s="30" t="str">
        <f>IFERROR(VLOOKUP(E2115,'Inventaire des produits'!$B$4:$K$1001,8,0),"")</f>
        <v/>
      </c>
      <c r="I2115" s="32" t="str">
        <f t="shared" si="64"/>
        <v/>
      </c>
      <c r="K2115" s="127" t="str">
        <f t="shared" si="63"/>
        <v/>
      </c>
    </row>
    <row r="2116" spans="2:11" x14ac:dyDescent="0.3">
      <c r="B2116" s="197"/>
      <c r="C2116" s="199"/>
      <c r="D2116" s="197"/>
      <c r="E2116" s="212"/>
      <c r="F2116" s="29" t="str">
        <f>IFERROR(VLOOKUP(E2116,'Inventaire des produits'!$B$4:$K$1001,2,0),"")</f>
        <v/>
      </c>
      <c r="G2116" s="212"/>
      <c r="H2116" s="30" t="str">
        <f>IFERROR(VLOOKUP(E2116,'Inventaire des produits'!$B$4:$K$1001,8,0),"")</f>
        <v/>
      </c>
      <c r="I2116" s="32" t="str">
        <f t="shared" si="64"/>
        <v/>
      </c>
      <c r="K2116" s="127" t="str">
        <f t="shared" si="63"/>
        <v/>
      </c>
    </row>
    <row r="2117" spans="2:11" x14ac:dyDescent="0.3">
      <c r="B2117" s="197"/>
      <c r="C2117" s="199"/>
      <c r="D2117" s="197"/>
      <c r="E2117" s="212"/>
      <c r="F2117" s="29" t="str">
        <f>IFERROR(VLOOKUP(E2117,'Inventaire des produits'!$B$4:$K$1001,2,0),"")</f>
        <v/>
      </c>
      <c r="G2117" s="212"/>
      <c r="H2117" s="30" t="str">
        <f>IFERROR(VLOOKUP(E2117,'Inventaire des produits'!$B$4:$K$1001,8,0),"")</f>
        <v/>
      </c>
      <c r="I2117" s="32" t="str">
        <f t="shared" si="64"/>
        <v/>
      </c>
      <c r="K2117" s="127" t="str">
        <f t="shared" si="63"/>
        <v/>
      </c>
    </row>
    <row r="2118" spans="2:11" x14ac:dyDescent="0.3">
      <c r="B2118" s="197"/>
      <c r="C2118" s="199"/>
      <c r="D2118" s="197"/>
      <c r="E2118" s="212"/>
      <c r="F2118" s="29" t="str">
        <f>IFERROR(VLOOKUP(E2118,'Inventaire des produits'!$B$4:$K$1001,2,0),"")</f>
        <v/>
      </c>
      <c r="G2118" s="212"/>
      <c r="H2118" s="30" t="str">
        <f>IFERROR(VLOOKUP(E2118,'Inventaire des produits'!$B$4:$K$1001,8,0),"")</f>
        <v/>
      </c>
      <c r="I2118" s="32" t="str">
        <f t="shared" si="64"/>
        <v/>
      </c>
      <c r="K2118" s="127" t="str">
        <f t="shared" si="63"/>
        <v/>
      </c>
    </row>
    <row r="2119" spans="2:11" x14ac:dyDescent="0.3">
      <c r="B2119" s="197"/>
      <c r="C2119" s="199"/>
      <c r="D2119" s="197"/>
      <c r="E2119" s="212"/>
      <c r="F2119" s="29" t="str">
        <f>IFERROR(VLOOKUP(E2119,'Inventaire des produits'!$B$4:$K$1001,2,0),"")</f>
        <v/>
      </c>
      <c r="G2119" s="212"/>
      <c r="H2119" s="30" t="str">
        <f>IFERROR(VLOOKUP(E2119,'Inventaire des produits'!$B$4:$K$1001,8,0),"")</f>
        <v/>
      </c>
      <c r="I2119" s="32" t="str">
        <f t="shared" si="64"/>
        <v/>
      </c>
      <c r="K2119" s="127" t="str">
        <f t="shared" si="63"/>
        <v/>
      </c>
    </row>
    <row r="2120" spans="2:11" x14ac:dyDescent="0.3">
      <c r="B2120" s="197"/>
      <c r="C2120" s="199"/>
      <c r="D2120" s="197"/>
      <c r="E2120" s="212"/>
      <c r="F2120" s="29" t="str">
        <f>IFERROR(VLOOKUP(E2120,'Inventaire des produits'!$B$4:$K$1001,2,0),"")</f>
        <v/>
      </c>
      <c r="G2120" s="212"/>
      <c r="H2120" s="30" t="str">
        <f>IFERROR(VLOOKUP(E2120,'Inventaire des produits'!$B$4:$K$1001,8,0),"")</f>
        <v/>
      </c>
      <c r="I2120" s="32" t="str">
        <f t="shared" si="64"/>
        <v/>
      </c>
      <c r="K2120" s="127" t="str">
        <f t="shared" si="63"/>
        <v/>
      </c>
    </row>
    <row r="2121" spans="2:11" x14ac:dyDescent="0.3">
      <c r="B2121" s="197"/>
      <c r="C2121" s="199"/>
      <c r="D2121" s="197"/>
      <c r="E2121" s="212"/>
      <c r="F2121" s="29" t="str">
        <f>IFERROR(VLOOKUP(E2121,'Inventaire des produits'!$B$4:$K$1001,2,0),"")</f>
        <v/>
      </c>
      <c r="G2121" s="212"/>
      <c r="H2121" s="30" t="str">
        <f>IFERROR(VLOOKUP(E2121,'Inventaire des produits'!$B$4:$K$1001,8,0),"")</f>
        <v/>
      </c>
      <c r="I2121" s="32" t="str">
        <f t="shared" si="64"/>
        <v/>
      </c>
      <c r="K2121" s="127" t="str">
        <f t="shared" si="63"/>
        <v/>
      </c>
    </row>
    <row r="2122" spans="2:11" x14ac:dyDescent="0.3">
      <c r="B2122" s="197"/>
      <c r="C2122" s="199"/>
      <c r="D2122" s="197"/>
      <c r="E2122" s="212"/>
      <c r="F2122" s="29" t="str">
        <f>IFERROR(VLOOKUP(E2122,'Inventaire des produits'!$B$4:$K$1001,2,0),"")</f>
        <v/>
      </c>
      <c r="G2122" s="212"/>
      <c r="H2122" s="30" t="str">
        <f>IFERROR(VLOOKUP(E2122,'Inventaire des produits'!$B$4:$K$1001,8,0),"")</f>
        <v/>
      </c>
      <c r="I2122" s="32" t="str">
        <f t="shared" si="64"/>
        <v/>
      </c>
      <c r="K2122" s="127" t="str">
        <f t="shared" si="63"/>
        <v/>
      </c>
    </row>
    <row r="2123" spans="2:11" x14ac:dyDescent="0.3">
      <c r="B2123" s="197"/>
      <c r="C2123" s="199"/>
      <c r="D2123" s="197"/>
      <c r="E2123" s="212"/>
      <c r="F2123" s="29" t="str">
        <f>IFERROR(VLOOKUP(E2123,'Inventaire des produits'!$B$4:$K$1001,2,0),"")</f>
        <v/>
      </c>
      <c r="G2123" s="212"/>
      <c r="H2123" s="30" t="str">
        <f>IFERROR(VLOOKUP(E2123,'Inventaire des produits'!$B$4:$K$1001,8,0),"")</f>
        <v/>
      </c>
      <c r="I2123" s="32" t="str">
        <f t="shared" si="64"/>
        <v/>
      </c>
      <c r="K2123" s="127" t="str">
        <f t="shared" si="63"/>
        <v/>
      </c>
    </row>
    <row r="2124" spans="2:11" x14ac:dyDescent="0.3">
      <c r="B2124" s="197"/>
      <c r="C2124" s="199"/>
      <c r="D2124" s="197"/>
      <c r="E2124" s="212"/>
      <c r="F2124" s="29" t="str">
        <f>IFERROR(VLOOKUP(E2124,'Inventaire des produits'!$B$4:$K$1001,2,0),"")</f>
        <v/>
      </c>
      <c r="G2124" s="212"/>
      <c r="H2124" s="30" t="str">
        <f>IFERROR(VLOOKUP(E2124,'Inventaire des produits'!$B$4:$K$1001,8,0),"")</f>
        <v/>
      </c>
      <c r="I2124" s="32" t="str">
        <f t="shared" si="64"/>
        <v/>
      </c>
      <c r="K2124" s="127" t="str">
        <f t="shared" si="63"/>
        <v/>
      </c>
    </row>
    <row r="2125" spans="2:11" x14ac:dyDescent="0.3">
      <c r="B2125" s="197"/>
      <c r="C2125" s="199"/>
      <c r="D2125" s="197"/>
      <c r="E2125" s="212"/>
      <c r="F2125" s="29" t="str">
        <f>IFERROR(VLOOKUP(E2125,'Inventaire des produits'!$B$4:$K$1001,2,0),"")</f>
        <v/>
      </c>
      <c r="G2125" s="212"/>
      <c r="H2125" s="30" t="str">
        <f>IFERROR(VLOOKUP(E2125,'Inventaire des produits'!$B$4:$K$1001,8,0),"")</f>
        <v/>
      </c>
      <c r="I2125" s="32" t="str">
        <f t="shared" si="64"/>
        <v/>
      </c>
      <c r="K2125" s="127" t="str">
        <f t="shared" si="63"/>
        <v/>
      </c>
    </row>
    <row r="2126" spans="2:11" x14ac:dyDescent="0.3">
      <c r="B2126" s="197"/>
      <c r="C2126" s="199"/>
      <c r="D2126" s="197"/>
      <c r="E2126" s="212"/>
      <c r="F2126" s="29" t="str">
        <f>IFERROR(VLOOKUP(E2126,'Inventaire des produits'!$B$4:$K$1001,2,0),"")</f>
        <v/>
      </c>
      <c r="G2126" s="212"/>
      <c r="H2126" s="30" t="str">
        <f>IFERROR(VLOOKUP(E2126,'Inventaire des produits'!$B$4:$K$1001,8,0),"")</f>
        <v/>
      </c>
      <c r="I2126" s="32" t="str">
        <f t="shared" si="64"/>
        <v/>
      </c>
      <c r="K2126" s="127" t="str">
        <f t="shared" si="63"/>
        <v/>
      </c>
    </row>
    <row r="2127" spans="2:11" x14ac:dyDescent="0.3">
      <c r="B2127" s="197"/>
      <c r="C2127" s="199"/>
      <c r="D2127" s="197"/>
      <c r="E2127" s="212"/>
      <c r="F2127" s="29" t="str">
        <f>IFERROR(VLOOKUP(E2127,'Inventaire des produits'!$B$4:$K$1001,2,0),"")</f>
        <v/>
      </c>
      <c r="G2127" s="212"/>
      <c r="H2127" s="30" t="str">
        <f>IFERROR(VLOOKUP(E2127,'Inventaire des produits'!$B$4:$K$1001,8,0),"")</f>
        <v/>
      </c>
      <c r="I2127" s="32" t="str">
        <f t="shared" si="64"/>
        <v/>
      </c>
      <c r="K2127" s="127" t="str">
        <f t="shared" si="63"/>
        <v/>
      </c>
    </row>
    <row r="2128" spans="2:11" x14ac:dyDescent="0.3">
      <c r="B2128" s="197"/>
      <c r="C2128" s="199"/>
      <c r="D2128" s="197"/>
      <c r="E2128" s="212"/>
      <c r="F2128" s="29" t="str">
        <f>IFERROR(VLOOKUP(E2128,'Inventaire des produits'!$B$4:$K$1001,2,0),"")</f>
        <v/>
      </c>
      <c r="G2128" s="212"/>
      <c r="H2128" s="30" t="str">
        <f>IFERROR(VLOOKUP(E2128,'Inventaire des produits'!$B$4:$K$1001,8,0),"")</f>
        <v/>
      </c>
      <c r="I2128" s="32" t="str">
        <f t="shared" si="64"/>
        <v/>
      </c>
      <c r="K2128" s="127" t="str">
        <f t="shared" si="63"/>
        <v/>
      </c>
    </row>
    <row r="2129" spans="2:11" x14ac:dyDescent="0.3">
      <c r="B2129" s="197"/>
      <c r="C2129" s="199"/>
      <c r="D2129" s="197"/>
      <c r="E2129" s="212"/>
      <c r="F2129" s="29" t="str">
        <f>IFERROR(VLOOKUP(E2129,'Inventaire des produits'!$B$4:$K$1001,2,0),"")</f>
        <v/>
      </c>
      <c r="G2129" s="212"/>
      <c r="H2129" s="30" t="str">
        <f>IFERROR(VLOOKUP(E2129,'Inventaire des produits'!$B$4:$K$1001,8,0),"")</f>
        <v/>
      </c>
      <c r="I2129" s="32" t="str">
        <f t="shared" si="64"/>
        <v/>
      </c>
      <c r="K2129" s="127" t="str">
        <f t="shared" si="63"/>
        <v/>
      </c>
    </row>
    <row r="2130" spans="2:11" x14ac:dyDescent="0.3">
      <c r="B2130" s="197"/>
      <c r="C2130" s="199"/>
      <c r="D2130" s="197"/>
      <c r="E2130" s="212"/>
      <c r="F2130" s="29" t="str">
        <f>IFERROR(VLOOKUP(E2130,'Inventaire des produits'!$B$4:$K$1001,2,0),"")</f>
        <v/>
      </c>
      <c r="G2130" s="212"/>
      <c r="H2130" s="30" t="str">
        <f>IFERROR(VLOOKUP(E2130,'Inventaire des produits'!$B$4:$K$1001,8,0),"")</f>
        <v/>
      </c>
      <c r="I2130" s="32" t="str">
        <f t="shared" si="64"/>
        <v/>
      </c>
      <c r="K2130" s="127" t="str">
        <f t="shared" si="63"/>
        <v/>
      </c>
    </row>
    <row r="2131" spans="2:11" x14ac:dyDescent="0.3">
      <c r="B2131" s="197"/>
      <c r="C2131" s="199"/>
      <c r="D2131" s="197"/>
      <c r="E2131" s="212"/>
      <c r="F2131" s="29" t="str">
        <f>IFERROR(VLOOKUP(E2131,'Inventaire des produits'!$B$4:$K$1001,2,0),"")</f>
        <v/>
      </c>
      <c r="G2131" s="212"/>
      <c r="H2131" s="30" t="str">
        <f>IFERROR(VLOOKUP(E2131,'Inventaire des produits'!$B$4:$K$1001,8,0),"")</f>
        <v/>
      </c>
      <c r="I2131" s="32" t="str">
        <f t="shared" si="64"/>
        <v/>
      </c>
      <c r="K2131" s="127" t="str">
        <f t="shared" si="63"/>
        <v/>
      </c>
    </row>
    <row r="2132" spans="2:11" x14ac:dyDescent="0.3">
      <c r="B2132" s="197"/>
      <c r="C2132" s="199"/>
      <c r="D2132" s="197"/>
      <c r="E2132" s="212"/>
      <c r="F2132" s="29" t="str">
        <f>IFERROR(VLOOKUP(E2132,'Inventaire des produits'!$B$4:$K$1001,2,0),"")</f>
        <v/>
      </c>
      <c r="G2132" s="212"/>
      <c r="H2132" s="30" t="str">
        <f>IFERROR(VLOOKUP(E2132,'Inventaire des produits'!$B$4:$K$1001,8,0),"")</f>
        <v/>
      </c>
      <c r="I2132" s="32" t="str">
        <f t="shared" si="64"/>
        <v/>
      </c>
      <c r="K2132" s="127" t="str">
        <f t="shared" si="63"/>
        <v/>
      </c>
    </row>
    <row r="2133" spans="2:11" x14ac:dyDescent="0.3">
      <c r="B2133" s="197"/>
      <c r="C2133" s="199"/>
      <c r="D2133" s="197"/>
      <c r="E2133" s="212"/>
      <c r="F2133" s="29" t="str">
        <f>IFERROR(VLOOKUP(E2133,'Inventaire des produits'!$B$4:$K$1001,2,0),"")</f>
        <v/>
      </c>
      <c r="G2133" s="212"/>
      <c r="H2133" s="30" t="str">
        <f>IFERROR(VLOOKUP(E2133,'Inventaire des produits'!$B$4:$K$1001,8,0),"")</f>
        <v/>
      </c>
      <c r="I2133" s="32" t="str">
        <f t="shared" si="64"/>
        <v/>
      </c>
      <c r="K2133" s="127" t="str">
        <f t="shared" si="63"/>
        <v/>
      </c>
    </row>
    <row r="2134" spans="2:11" x14ac:dyDescent="0.3">
      <c r="B2134" s="197"/>
      <c r="C2134" s="199"/>
      <c r="D2134" s="197"/>
      <c r="E2134" s="212"/>
      <c r="F2134" s="29" t="str">
        <f>IFERROR(VLOOKUP(E2134,'Inventaire des produits'!$B$4:$K$1001,2,0),"")</f>
        <v/>
      </c>
      <c r="G2134" s="212"/>
      <c r="H2134" s="30" t="str">
        <f>IFERROR(VLOOKUP(E2134,'Inventaire des produits'!$B$4:$K$1001,8,0),"")</f>
        <v/>
      </c>
      <c r="I2134" s="32" t="str">
        <f t="shared" si="64"/>
        <v/>
      </c>
      <c r="K2134" s="127" t="str">
        <f t="shared" si="63"/>
        <v/>
      </c>
    </row>
    <row r="2135" spans="2:11" x14ac:dyDescent="0.3">
      <c r="B2135" s="197"/>
      <c r="C2135" s="199"/>
      <c r="D2135" s="197"/>
      <c r="E2135" s="212"/>
      <c r="F2135" s="29" t="str">
        <f>IFERROR(VLOOKUP(E2135,'Inventaire des produits'!$B$4:$K$1001,2,0),"")</f>
        <v/>
      </c>
      <c r="G2135" s="212"/>
      <c r="H2135" s="30" t="str">
        <f>IFERROR(VLOOKUP(E2135,'Inventaire des produits'!$B$4:$K$1001,8,0),"")</f>
        <v/>
      </c>
      <c r="I2135" s="32" t="str">
        <f t="shared" si="64"/>
        <v/>
      </c>
      <c r="K2135" s="127" t="str">
        <f t="shared" si="63"/>
        <v/>
      </c>
    </row>
    <row r="2136" spans="2:11" x14ac:dyDescent="0.3">
      <c r="B2136" s="197"/>
      <c r="C2136" s="199"/>
      <c r="D2136" s="197"/>
      <c r="E2136" s="212"/>
      <c r="F2136" s="29" t="str">
        <f>IFERROR(VLOOKUP(E2136,'Inventaire des produits'!$B$4:$K$1001,2,0),"")</f>
        <v/>
      </c>
      <c r="G2136" s="212"/>
      <c r="H2136" s="30" t="str">
        <f>IFERROR(VLOOKUP(E2136,'Inventaire des produits'!$B$4:$K$1001,8,0),"")</f>
        <v/>
      </c>
      <c r="I2136" s="32" t="str">
        <f t="shared" si="64"/>
        <v/>
      </c>
      <c r="K2136" s="127" t="str">
        <f t="shared" si="63"/>
        <v/>
      </c>
    </row>
    <row r="2137" spans="2:11" x14ac:dyDescent="0.3">
      <c r="B2137" s="197"/>
      <c r="C2137" s="199"/>
      <c r="D2137" s="197"/>
      <c r="E2137" s="212"/>
      <c r="F2137" s="29" t="str">
        <f>IFERROR(VLOOKUP(E2137,'Inventaire des produits'!$B$4:$K$1001,2,0),"")</f>
        <v/>
      </c>
      <c r="G2137" s="212"/>
      <c r="H2137" s="30" t="str">
        <f>IFERROR(VLOOKUP(E2137,'Inventaire des produits'!$B$4:$K$1001,8,0),"")</f>
        <v/>
      </c>
      <c r="I2137" s="32" t="str">
        <f t="shared" si="64"/>
        <v/>
      </c>
      <c r="K2137" s="127" t="str">
        <f t="shared" si="63"/>
        <v/>
      </c>
    </row>
    <row r="2138" spans="2:11" x14ac:dyDescent="0.3">
      <c r="B2138" s="197"/>
      <c r="C2138" s="199"/>
      <c r="D2138" s="197"/>
      <c r="E2138" s="212"/>
      <c r="F2138" s="29" t="str">
        <f>IFERROR(VLOOKUP(E2138,'Inventaire des produits'!$B$4:$K$1001,2,0),"")</f>
        <v/>
      </c>
      <c r="G2138" s="212"/>
      <c r="H2138" s="30" t="str">
        <f>IFERROR(VLOOKUP(E2138,'Inventaire des produits'!$B$4:$K$1001,8,0),"")</f>
        <v/>
      </c>
      <c r="I2138" s="32" t="str">
        <f t="shared" si="64"/>
        <v/>
      </c>
      <c r="K2138" s="127" t="str">
        <f t="shared" si="63"/>
        <v/>
      </c>
    </row>
    <row r="2139" spans="2:11" x14ac:dyDescent="0.3">
      <c r="B2139" s="197"/>
      <c r="C2139" s="199"/>
      <c r="D2139" s="197"/>
      <c r="E2139" s="212"/>
      <c r="F2139" s="29" t="str">
        <f>IFERROR(VLOOKUP(E2139,'Inventaire des produits'!$B$4:$K$1001,2,0),"")</f>
        <v/>
      </c>
      <c r="G2139" s="212"/>
      <c r="H2139" s="30" t="str">
        <f>IFERROR(VLOOKUP(E2139,'Inventaire des produits'!$B$4:$K$1001,8,0),"")</f>
        <v/>
      </c>
      <c r="I2139" s="32" t="str">
        <f t="shared" si="64"/>
        <v/>
      </c>
      <c r="K2139" s="127" t="str">
        <f t="shared" si="63"/>
        <v/>
      </c>
    </row>
    <row r="2140" spans="2:11" x14ac:dyDescent="0.3">
      <c r="B2140" s="197"/>
      <c r="C2140" s="199"/>
      <c r="D2140" s="197"/>
      <c r="E2140" s="212"/>
      <c r="F2140" s="29" t="str">
        <f>IFERROR(VLOOKUP(E2140,'Inventaire des produits'!$B$4:$K$1001,2,0),"")</f>
        <v/>
      </c>
      <c r="G2140" s="212"/>
      <c r="H2140" s="30" t="str">
        <f>IFERROR(VLOOKUP(E2140,'Inventaire des produits'!$B$4:$K$1001,8,0),"")</f>
        <v/>
      </c>
      <c r="I2140" s="32" t="str">
        <f t="shared" si="64"/>
        <v/>
      </c>
      <c r="K2140" s="127" t="str">
        <f t="shared" si="63"/>
        <v/>
      </c>
    </row>
    <row r="2141" spans="2:11" x14ac:dyDescent="0.3">
      <c r="B2141" s="197"/>
      <c r="C2141" s="199"/>
      <c r="D2141" s="197"/>
      <c r="E2141" s="212"/>
      <c r="F2141" s="29" t="str">
        <f>IFERROR(VLOOKUP(E2141,'Inventaire des produits'!$B$4:$K$1001,2,0),"")</f>
        <v/>
      </c>
      <c r="G2141" s="212"/>
      <c r="H2141" s="30" t="str">
        <f>IFERROR(VLOOKUP(E2141,'Inventaire des produits'!$B$4:$K$1001,8,0),"")</f>
        <v/>
      </c>
      <c r="I2141" s="32" t="str">
        <f t="shared" si="64"/>
        <v/>
      </c>
      <c r="K2141" s="127" t="str">
        <f t="shared" si="63"/>
        <v/>
      </c>
    </row>
    <row r="2142" spans="2:11" x14ac:dyDescent="0.3">
      <c r="B2142" s="197"/>
      <c r="C2142" s="199"/>
      <c r="D2142" s="197"/>
      <c r="E2142" s="212"/>
      <c r="F2142" s="29" t="str">
        <f>IFERROR(VLOOKUP(E2142,'Inventaire des produits'!$B$4:$K$1001,2,0),"")</f>
        <v/>
      </c>
      <c r="G2142" s="212"/>
      <c r="H2142" s="30" t="str">
        <f>IFERROR(VLOOKUP(E2142,'Inventaire des produits'!$B$4:$K$1001,8,0),"")</f>
        <v/>
      </c>
      <c r="I2142" s="32" t="str">
        <f t="shared" si="64"/>
        <v/>
      </c>
      <c r="K2142" s="127" t="str">
        <f t="shared" si="63"/>
        <v/>
      </c>
    </row>
    <row r="2143" spans="2:11" x14ac:dyDescent="0.3">
      <c r="B2143" s="197"/>
      <c r="C2143" s="199"/>
      <c r="D2143" s="197"/>
      <c r="E2143" s="212"/>
      <c r="F2143" s="29" t="str">
        <f>IFERROR(VLOOKUP(E2143,'Inventaire des produits'!$B$4:$K$1001,2,0),"")</f>
        <v/>
      </c>
      <c r="G2143" s="212"/>
      <c r="H2143" s="30" t="str">
        <f>IFERROR(VLOOKUP(E2143,'Inventaire des produits'!$B$4:$K$1001,8,0),"")</f>
        <v/>
      </c>
      <c r="I2143" s="32" t="str">
        <f t="shared" si="64"/>
        <v/>
      </c>
      <c r="K2143" s="127" t="str">
        <f t="shared" si="63"/>
        <v/>
      </c>
    </row>
    <row r="2144" spans="2:11" x14ac:dyDescent="0.3">
      <c r="B2144" s="197"/>
      <c r="C2144" s="199"/>
      <c r="D2144" s="197"/>
      <c r="E2144" s="212"/>
      <c r="F2144" s="29" t="str">
        <f>IFERROR(VLOOKUP(E2144,'Inventaire des produits'!$B$4:$K$1001,2,0),"")</f>
        <v/>
      </c>
      <c r="G2144" s="212"/>
      <c r="H2144" s="30" t="str">
        <f>IFERROR(VLOOKUP(E2144,'Inventaire des produits'!$B$4:$K$1001,8,0),"")</f>
        <v/>
      </c>
      <c r="I2144" s="32" t="str">
        <f t="shared" si="64"/>
        <v/>
      </c>
      <c r="K2144" s="127" t="str">
        <f t="shared" si="63"/>
        <v/>
      </c>
    </row>
    <row r="2145" spans="2:11" x14ac:dyDescent="0.3">
      <c r="B2145" s="197"/>
      <c r="C2145" s="199"/>
      <c r="D2145" s="197"/>
      <c r="E2145" s="212"/>
      <c r="F2145" s="29" t="str">
        <f>IFERROR(VLOOKUP(E2145,'Inventaire des produits'!$B$4:$K$1001,2,0),"")</f>
        <v/>
      </c>
      <c r="G2145" s="212"/>
      <c r="H2145" s="30" t="str">
        <f>IFERROR(VLOOKUP(E2145,'Inventaire des produits'!$B$4:$K$1001,8,0),"")</f>
        <v/>
      </c>
      <c r="I2145" s="32" t="str">
        <f t="shared" si="64"/>
        <v/>
      </c>
      <c r="K2145" s="127" t="str">
        <f t="shared" si="63"/>
        <v/>
      </c>
    </row>
    <row r="2146" spans="2:11" x14ac:dyDescent="0.3">
      <c r="B2146" s="197"/>
      <c r="C2146" s="199"/>
      <c r="D2146" s="197"/>
      <c r="E2146" s="212"/>
      <c r="F2146" s="29" t="str">
        <f>IFERROR(VLOOKUP(E2146,'Inventaire des produits'!$B$4:$K$1001,2,0),"")</f>
        <v/>
      </c>
      <c r="G2146" s="212"/>
      <c r="H2146" s="30" t="str">
        <f>IFERROR(VLOOKUP(E2146,'Inventaire des produits'!$B$4:$K$1001,8,0),"")</f>
        <v/>
      </c>
      <c r="I2146" s="32" t="str">
        <f t="shared" si="64"/>
        <v/>
      </c>
      <c r="K2146" s="127" t="str">
        <f t="shared" si="63"/>
        <v/>
      </c>
    </row>
    <row r="2147" spans="2:11" x14ac:dyDescent="0.3">
      <c r="B2147" s="197"/>
      <c r="C2147" s="199"/>
      <c r="D2147" s="197"/>
      <c r="E2147" s="212"/>
      <c r="F2147" s="29" t="str">
        <f>IFERROR(VLOOKUP(E2147,'Inventaire des produits'!$B$4:$K$1001,2,0),"")</f>
        <v/>
      </c>
      <c r="G2147" s="212"/>
      <c r="H2147" s="30" t="str">
        <f>IFERROR(VLOOKUP(E2147,'Inventaire des produits'!$B$4:$K$1001,8,0),"")</f>
        <v/>
      </c>
      <c r="I2147" s="32" t="str">
        <f t="shared" si="64"/>
        <v/>
      </c>
      <c r="K2147" s="127" t="str">
        <f t="shared" si="63"/>
        <v/>
      </c>
    </row>
    <row r="2148" spans="2:11" x14ac:dyDescent="0.3">
      <c r="B2148" s="197"/>
      <c r="C2148" s="199"/>
      <c r="D2148" s="197"/>
      <c r="E2148" s="212"/>
      <c r="F2148" s="29" t="str">
        <f>IFERROR(VLOOKUP(E2148,'Inventaire des produits'!$B$4:$K$1001,2,0),"")</f>
        <v/>
      </c>
      <c r="G2148" s="212"/>
      <c r="H2148" s="30" t="str">
        <f>IFERROR(VLOOKUP(E2148,'Inventaire des produits'!$B$4:$K$1001,8,0),"")</f>
        <v/>
      </c>
      <c r="I2148" s="32" t="str">
        <f t="shared" si="64"/>
        <v/>
      </c>
      <c r="K2148" s="127" t="str">
        <f t="shared" si="63"/>
        <v/>
      </c>
    </row>
    <row r="2149" spans="2:11" x14ac:dyDescent="0.3">
      <c r="B2149" s="197"/>
      <c r="C2149" s="199"/>
      <c r="D2149" s="197"/>
      <c r="E2149" s="212"/>
      <c r="F2149" s="29" t="str">
        <f>IFERROR(VLOOKUP(E2149,'Inventaire des produits'!$B$4:$K$1001,2,0),"")</f>
        <v/>
      </c>
      <c r="G2149" s="212"/>
      <c r="H2149" s="30" t="str">
        <f>IFERROR(VLOOKUP(E2149,'Inventaire des produits'!$B$4:$K$1001,8,0),"")</f>
        <v/>
      </c>
      <c r="I2149" s="32" t="str">
        <f t="shared" si="64"/>
        <v/>
      </c>
      <c r="K2149" s="127" t="str">
        <f t="shared" si="63"/>
        <v/>
      </c>
    </row>
    <row r="2150" spans="2:11" x14ac:dyDescent="0.3">
      <c r="B2150" s="197"/>
      <c r="C2150" s="199"/>
      <c r="D2150" s="197"/>
      <c r="E2150" s="212"/>
      <c r="F2150" s="29" t="str">
        <f>IFERROR(VLOOKUP(E2150,'Inventaire des produits'!$B$4:$K$1001,2,0),"")</f>
        <v/>
      </c>
      <c r="G2150" s="212"/>
      <c r="H2150" s="30" t="str">
        <f>IFERROR(VLOOKUP(E2150,'Inventaire des produits'!$B$4:$K$1001,8,0),"")</f>
        <v/>
      </c>
      <c r="I2150" s="32" t="str">
        <f t="shared" si="64"/>
        <v/>
      </c>
      <c r="K2150" s="127" t="str">
        <f t="shared" si="63"/>
        <v/>
      </c>
    </row>
    <row r="2151" spans="2:11" x14ac:dyDescent="0.3">
      <c r="B2151" s="197"/>
      <c r="C2151" s="199"/>
      <c r="D2151" s="197"/>
      <c r="E2151" s="212"/>
      <c r="F2151" s="29" t="str">
        <f>IFERROR(VLOOKUP(E2151,'Inventaire des produits'!$B$4:$K$1001,2,0),"")</f>
        <v/>
      </c>
      <c r="G2151" s="212"/>
      <c r="H2151" s="30" t="str">
        <f>IFERROR(VLOOKUP(E2151,'Inventaire des produits'!$B$4:$K$1001,8,0),"")</f>
        <v/>
      </c>
      <c r="I2151" s="32" t="str">
        <f t="shared" si="64"/>
        <v/>
      </c>
      <c r="K2151" s="127" t="str">
        <f t="shared" si="63"/>
        <v/>
      </c>
    </row>
    <row r="2152" spans="2:11" x14ac:dyDescent="0.3">
      <c r="B2152" s="197"/>
      <c r="C2152" s="199"/>
      <c r="D2152" s="197"/>
      <c r="E2152" s="212"/>
      <c r="F2152" s="29" t="str">
        <f>IFERROR(VLOOKUP(E2152,'Inventaire des produits'!$B$4:$K$1001,2,0),"")</f>
        <v/>
      </c>
      <c r="G2152" s="212"/>
      <c r="H2152" s="30" t="str">
        <f>IFERROR(VLOOKUP(E2152,'Inventaire des produits'!$B$4:$K$1001,8,0),"")</f>
        <v/>
      </c>
      <c r="I2152" s="32" t="str">
        <f t="shared" si="64"/>
        <v/>
      </c>
      <c r="K2152" s="127" t="str">
        <f t="shared" si="63"/>
        <v/>
      </c>
    </row>
    <row r="2153" spans="2:11" x14ac:dyDescent="0.3">
      <c r="B2153" s="197"/>
      <c r="C2153" s="199"/>
      <c r="D2153" s="197"/>
      <c r="E2153" s="212"/>
      <c r="F2153" s="29" t="str">
        <f>IFERROR(VLOOKUP(E2153,'Inventaire des produits'!$B$4:$K$1001,2,0),"")</f>
        <v/>
      </c>
      <c r="G2153" s="212"/>
      <c r="H2153" s="30" t="str">
        <f>IFERROR(VLOOKUP(E2153,'Inventaire des produits'!$B$4:$K$1001,8,0),"")</f>
        <v/>
      </c>
      <c r="I2153" s="32" t="str">
        <f t="shared" si="64"/>
        <v/>
      </c>
      <c r="K2153" s="127" t="str">
        <f t="shared" si="63"/>
        <v/>
      </c>
    </row>
    <row r="2154" spans="2:11" x14ac:dyDescent="0.3">
      <c r="B2154" s="197"/>
      <c r="C2154" s="199"/>
      <c r="D2154" s="197"/>
      <c r="E2154" s="212"/>
      <c r="F2154" s="29" t="str">
        <f>IFERROR(VLOOKUP(E2154,'Inventaire des produits'!$B$4:$K$1001,2,0),"")</f>
        <v/>
      </c>
      <c r="G2154" s="212"/>
      <c r="H2154" s="30" t="str">
        <f>IFERROR(VLOOKUP(E2154,'Inventaire des produits'!$B$4:$K$1001,8,0),"")</f>
        <v/>
      </c>
      <c r="I2154" s="32" t="str">
        <f t="shared" si="64"/>
        <v/>
      </c>
      <c r="K2154" s="127" t="str">
        <f t="shared" si="63"/>
        <v/>
      </c>
    </row>
    <row r="2155" spans="2:11" x14ac:dyDescent="0.3">
      <c r="B2155" s="197"/>
      <c r="C2155" s="199"/>
      <c r="D2155" s="197"/>
      <c r="E2155" s="212"/>
      <c r="F2155" s="29" t="str">
        <f>IFERROR(VLOOKUP(E2155,'Inventaire des produits'!$B$4:$K$1001,2,0),"")</f>
        <v/>
      </c>
      <c r="G2155" s="212"/>
      <c r="H2155" s="30" t="str">
        <f>IFERROR(VLOOKUP(E2155,'Inventaire des produits'!$B$4:$K$1001,8,0),"")</f>
        <v/>
      </c>
      <c r="I2155" s="32" t="str">
        <f t="shared" si="64"/>
        <v/>
      </c>
      <c r="K2155" s="127" t="str">
        <f t="shared" si="63"/>
        <v/>
      </c>
    </row>
    <row r="2156" spans="2:11" x14ac:dyDescent="0.3">
      <c r="B2156" s="197"/>
      <c r="C2156" s="199"/>
      <c r="D2156" s="197"/>
      <c r="E2156" s="212"/>
      <c r="F2156" s="29" t="str">
        <f>IFERROR(VLOOKUP(E2156,'Inventaire des produits'!$B$4:$K$1001,2,0),"")</f>
        <v/>
      </c>
      <c r="G2156" s="212"/>
      <c r="H2156" s="30" t="str">
        <f>IFERROR(VLOOKUP(E2156,'Inventaire des produits'!$B$4:$K$1001,8,0),"")</f>
        <v/>
      </c>
      <c r="I2156" s="32" t="str">
        <f t="shared" si="64"/>
        <v/>
      </c>
      <c r="K2156" s="127" t="str">
        <f t="shared" si="63"/>
        <v/>
      </c>
    </row>
    <row r="2157" spans="2:11" x14ac:dyDescent="0.3">
      <c r="B2157" s="197"/>
      <c r="C2157" s="199"/>
      <c r="D2157" s="197"/>
      <c r="E2157" s="212"/>
      <c r="F2157" s="29" t="str">
        <f>IFERROR(VLOOKUP(E2157,'Inventaire des produits'!$B$4:$K$1001,2,0),"")</f>
        <v/>
      </c>
      <c r="G2157" s="212"/>
      <c r="H2157" s="30" t="str">
        <f>IFERROR(VLOOKUP(E2157,'Inventaire des produits'!$B$4:$K$1001,8,0),"")</f>
        <v/>
      </c>
      <c r="I2157" s="32" t="str">
        <f t="shared" si="64"/>
        <v/>
      </c>
      <c r="K2157" s="127" t="str">
        <f t="shared" si="63"/>
        <v/>
      </c>
    </row>
    <row r="2158" spans="2:11" x14ac:dyDescent="0.3">
      <c r="B2158" s="197"/>
      <c r="C2158" s="199"/>
      <c r="D2158" s="197"/>
      <c r="E2158" s="212"/>
      <c r="F2158" s="29" t="str">
        <f>IFERROR(VLOOKUP(E2158,'Inventaire des produits'!$B$4:$K$1001,2,0),"")</f>
        <v/>
      </c>
      <c r="G2158" s="212"/>
      <c r="H2158" s="30" t="str">
        <f>IFERROR(VLOOKUP(E2158,'Inventaire des produits'!$B$4:$K$1001,8,0),"")</f>
        <v/>
      </c>
      <c r="I2158" s="32" t="str">
        <f t="shared" si="64"/>
        <v/>
      </c>
      <c r="K2158" s="127" t="str">
        <f t="shared" si="63"/>
        <v/>
      </c>
    </row>
    <row r="2159" spans="2:11" x14ac:dyDescent="0.3">
      <c r="B2159" s="197"/>
      <c r="C2159" s="199"/>
      <c r="D2159" s="197"/>
      <c r="E2159" s="212"/>
      <c r="F2159" s="29" t="str">
        <f>IFERROR(VLOOKUP(E2159,'Inventaire des produits'!$B$4:$K$1001,2,0),"")</f>
        <v/>
      </c>
      <c r="G2159" s="212"/>
      <c r="H2159" s="30" t="str">
        <f>IFERROR(VLOOKUP(E2159,'Inventaire des produits'!$B$4:$K$1001,8,0),"")</f>
        <v/>
      </c>
      <c r="I2159" s="32" t="str">
        <f t="shared" si="64"/>
        <v/>
      </c>
      <c r="K2159" s="127" t="str">
        <f t="shared" si="63"/>
        <v/>
      </c>
    </row>
    <row r="2160" spans="2:11" x14ac:dyDescent="0.3">
      <c r="B2160" s="197"/>
      <c r="C2160" s="199"/>
      <c r="D2160" s="197"/>
      <c r="E2160" s="212"/>
      <c r="F2160" s="29" t="str">
        <f>IFERROR(VLOOKUP(E2160,'Inventaire des produits'!$B$4:$K$1001,2,0),"")</f>
        <v/>
      </c>
      <c r="G2160" s="212"/>
      <c r="H2160" s="30" t="str">
        <f>IFERROR(VLOOKUP(E2160,'Inventaire des produits'!$B$4:$K$1001,8,0),"")</f>
        <v/>
      </c>
      <c r="I2160" s="32" t="str">
        <f t="shared" si="64"/>
        <v/>
      </c>
      <c r="K2160" s="127" t="str">
        <f t="shared" si="63"/>
        <v/>
      </c>
    </row>
    <row r="2161" spans="2:11" x14ac:dyDescent="0.3">
      <c r="B2161" s="197"/>
      <c r="C2161" s="199"/>
      <c r="D2161" s="197"/>
      <c r="E2161" s="212"/>
      <c r="F2161" s="29" t="str">
        <f>IFERROR(VLOOKUP(E2161,'Inventaire des produits'!$B$4:$K$1001,2,0),"")</f>
        <v/>
      </c>
      <c r="G2161" s="212"/>
      <c r="H2161" s="30" t="str">
        <f>IFERROR(VLOOKUP(E2161,'Inventaire des produits'!$B$4:$K$1001,8,0),"")</f>
        <v/>
      </c>
      <c r="I2161" s="32" t="str">
        <f t="shared" si="64"/>
        <v/>
      </c>
      <c r="K2161" s="127" t="str">
        <f t="shared" si="63"/>
        <v/>
      </c>
    </row>
    <row r="2162" spans="2:11" x14ac:dyDescent="0.3">
      <c r="B2162" s="197"/>
      <c r="C2162" s="199"/>
      <c r="D2162" s="197"/>
      <c r="E2162" s="212"/>
      <c r="F2162" s="29" t="str">
        <f>IFERROR(VLOOKUP(E2162,'Inventaire des produits'!$B$4:$K$1001,2,0),"")</f>
        <v/>
      </c>
      <c r="G2162" s="212"/>
      <c r="H2162" s="30" t="str">
        <f>IFERROR(VLOOKUP(E2162,'Inventaire des produits'!$B$4:$K$1001,8,0),"")</f>
        <v/>
      </c>
      <c r="I2162" s="32" t="str">
        <f t="shared" si="64"/>
        <v/>
      </c>
      <c r="K2162" s="127" t="str">
        <f t="shared" si="63"/>
        <v/>
      </c>
    </row>
    <row r="2163" spans="2:11" x14ac:dyDescent="0.3">
      <c r="B2163" s="197"/>
      <c r="C2163" s="199"/>
      <c r="D2163" s="197"/>
      <c r="E2163" s="212"/>
      <c r="F2163" s="29" t="str">
        <f>IFERROR(VLOOKUP(E2163,'Inventaire des produits'!$B$4:$K$1001,2,0),"")</f>
        <v/>
      </c>
      <c r="G2163" s="212"/>
      <c r="H2163" s="30" t="str">
        <f>IFERROR(VLOOKUP(E2163,'Inventaire des produits'!$B$4:$K$1001,8,0),"")</f>
        <v/>
      </c>
      <c r="I2163" s="32" t="str">
        <f t="shared" si="64"/>
        <v/>
      </c>
      <c r="K2163" s="127" t="str">
        <f t="shared" si="63"/>
        <v/>
      </c>
    </row>
    <row r="2164" spans="2:11" x14ac:dyDescent="0.3">
      <c r="B2164" s="197"/>
      <c r="C2164" s="199"/>
      <c r="D2164" s="197"/>
      <c r="E2164" s="212"/>
      <c r="F2164" s="29" t="str">
        <f>IFERROR(VLOOKUP(E2164,'Inventaire des produits'!$B$4:$K$1001,2,0),"")</f>
        <v/>
      </c>
      <c r="G2164" s="212"/>
      <c r="H2164" s="30" t="str">
        <f>IFERROR(VLOOKUP(E2164,'Inventaire des produits'!$B$4:$K$1001,8,0),"")</f>
        <v/>
      </c>
      <c r="I2164" s="32" t="str">
        <f t="shared" si="64"/>
        <v/>
      </c>
      <c r="K2164" s="127" t="str">
        <f t="shared" si="63"/>
        <v/>
      </c>
    </row>
    <row r="2165" spans="2:11" x14ac:dyDescent="0.3">
      <c r="B2165" s="197"/>
      <c r="C2165" s="199"/>
      <c r="D2165" s="197"/>
      <c r="E2165" s="212"/>
      <c r="F2165" s="29" t="str">
        <f>IFERROR(VLOOKUP(E2165,'Inventaire des produits'!$B$4:$K$1001,2,0),"")</f>
        <v/>
      </c>
      <c r="G2165" s="212"/>
      <c r="H2165" s="30" t="str">
        <f>IFERROR(VLOOKUP(E2165,'Inventaire des produits'!$B$4:$K$1001,8,0),"")</f>
        <v/>
      </c>
      <c r="I2165" s="32" t="str">
        <f t="shared" si="64"/>
        <v/>
      </c>
      <c r="K2165" s="127" t="str">
        <f t="shared" si="63"/>
        <v/>
      </c>
    </row>
    <row r="2166" spans="2:11" x14ac:dyDescent="0.3">
      <c r="B2166" s="197"/>
      <c r="C2166" s="199"/>
      <c r="D2166" s="197"/>
      <c r="E2166" s="212"/>
      <c r="F2166" s="29" t="str">
        <f>IFERROR(VLOOKUP(E2166,'Inventaire des produits'!$B$4:$K$1001,2,0),"")</f>
        <v/>
      </c>
      <c r="G2166" s="212"/>
      <c r="H2166" s="30" t="str">
        <f>IFERROR(VLOOKUP(E2166,'Inventaire des produits'!$B$4:$K$1001,8,0),"")</f>
        <v/>
      </c>
      <c r="I2166" s="32" t="str">
        <f t="shared" si="64"/>
        <v/>
      </c>
      <c r="K2166" s="127" t="str">
        <f t="shared" si="63"/>
        <v/>
      </c>
    </row>
    <row r="2167" spans="2:11" x14ac:dyDescent="0.3">
      <c r="B2167" s="197"/>
      <c r="C2167" s="199"/>
      <c r="D2167" s="197"/>
      <c r="E2167" s="212"/>
      <c r="F2167" s="29" t="str">
        <f>IFERROR(VLOOKUP(E2167,'Inventaire des produits'!$B$4:$K$1001,2,0),"")</f>
        <v/>
      </c>
      <c r="G2167" s="212"/>
      <c r="H2167" s="30" t="str">
        <f>IFERROR(VLOOKUP(E2167,'Inventaire des produits'!$B$4:$K$1001,8,0),"")</f>
        <v/>
      </c>
      <c r="I2167" s="32" t="str">
        <f t="shared" si="64"/>
        <v/>
      </c>
      <c r="K2167" s="127" t="str">
        <f t="shared" si="63"/>
        <v/>
      </c>
    </row>
    <row r="2168" spans="2:11" x14ac:dyDescent="0.3">
      <c r="B2168" s="197"/>
      <c r="C2168" s="199"/>
      <c r="D2168" s="197"/>
      <c r="E2168" s="212"/>
      <c r="F2168" s="29" t="str">
        <f>IFERROR(VLOOKUP(E2168,'Inventaire des produits'!$B$4:$K$1001,2,0),"")</f>
        <v/>
      </c>
      <c r="G2168" s="212"/>
      <c r="H2168" s="30" t="str">
        <f>IFERROR(VLOOKUP(E2168,'Inventaire des produits'!$B$4:$K$1001,8,0),"")</f>
        <v/>
      </c>
      <c r="I2168" s="32" t="str">
        <f t="shared" si="64"/>
        <v/>
      </c>
      <c r="K2168" s="127" t="str">
        <f t="shared" si="63"/>
        <v/>
      </c>
    </row>
    <row r="2169" spans="2:11" x14ac:dyDescent="0.3">
      <c r="B2169" s="197"/>
      <c r="C2169" s="199"/>
      <c r="D2169" s="197"/>
      <c r="E2169" s="212"/>
      <c r="F2169" s="29" t="str">
        <f>IFERROR(VLOOKUP(E2169,'Inventaire des produits'!$B$4:$K$1001,2,0),"")</f>
        <v/>
      </c>
      <c r="G2169" s="212"/>
      <c r="H2169" s="30" t="str">
        <f>IFERROR(VLOOKUP(E2169,'Inventaire des produits'!$B$4:$K$1001,8,0),"")</f>
        <v/>
      </c>
      <c r="I2169" s="32" t="str">
        <f t="shared" si="64"/>
        <v/>
      </c>
      <c r="K2169" s="127" t="str">
        <f t="shared" si="63"/>
        <v/>
      </c>
    </row>
    <row r="2170" spans="2:11" x14ac:dyDescent="0.3">
      <c r="B2170" s="197"/>
      <c r="C2170" s="199"/>
      <c r="D2170" s="197"/>
      <c r="E2170" s="212"/>
      <c r="F2170" s="29" t="str">
        <f>IFERROR(VLOOKUP(E2170,'Inventaire des produits'!$B$4:$K$1001,2,0),"")</f>
        <v/>
      </c>
      <c r="G2170" s="212"/>
      <c r="H2170" s="30" t="str">
        <f>IFERROR(VLOOKUP(E2170,'Inventaire des produits'!$B$4:$K$1001,8,0),"")</f>
        <v/>
      </c>
      <c r="I2170" s="32" t="str">
        <f t="shared" si="64"/>
        <v/>
      </c>
      <c r="K2170" s="127" t="str">
        <f t="shared" si="63"/>
        <v/>
      </c>
    </row>
    <row r="2171" spans="2:11" x14ac:dyDescent="0.3">
      <c r="B2171" s="197"/>
      <c r="C2171" s="199"/>
      <c r="D2171" s="197"/>
      <c r="E2171" s="212"/>
      <c r="F2171" s="29" t="str">
        <f>IFERROR(VLOOKUP(E2171,'Inventaire des produits'!$B$4:$K$1001,2,0),"")</f>
        <v/>
      </c>
      <c r="G2171" s="212"/>
      <c r="H2171" s="30" t="str">
        <f>IFERROR(VLOOKUP(E2171,'Inventaire des produits'!$B$4:$K$1001,8,0),"")</f>
        <v/>
      </c>
      <c r="I2171" s="32" t="str">
        <f t="shared" si="64"/>
        <v/>
      </c>
      <c r="K2171" s="127" t="str">
        <f t="shared" si="63"/>
        <v/>
      </c>
    </row>
    <row r="2172" spans="2:11" x14ac:dyDescent="0.3">
      <c r="B2172" s="197"/>
      <c r="C2172" s="199"/>
      <c r="D2172" s="197"/>
      <c r="E2172" s="212"/>
      <c r="F2172" s="29" t="str">
        <f>IFERROR(VLOOKUP(E2172,'Inventaire des produits'!$B$4:$K$1001,2,0),"")</f>
        <v/>
      </c>
      <c r="G2172" s="212"/>
      <c r="H2172" s="30" t="str">
        <f>IFERROR(VLOOKUP(E2172,'Inventaire des produits'!$B$4:$K$1001,8,0),"")</f>
        <v/>
      </c>
      <c r="I2172" s="32" t="str">
        <f t="shared" si="64"/>
        <v/>
      </c>
      <c r="K2172" s="127" t="str">
        <f t="shared" ref="K2172:K2235" si="65">IF(J2172="","",J2172*1.2)</f>
        <v/>
      </c>
    </row>
    <row r="2173" spans="2:11" x14ac:dyDescent="0.3">
      <c r="B2173" s="197"/>
      <c r="C2173" s="199"/>
      <c r="D2173" s="197"/>
      <c r="E2173" s="212"/>
      <c r="F2173" s="29" t="str">
        <f>IFERROR(VLOOKUP(E2173,'Inventaire des produits'!$B$4:$K$1001,2,0),"")</f>
        <v/>
      </c>
      <c r="G2173" s="212"/>
      <c r="H2173" s="30" t="str">
        <f>IFERROR(VLOOKUP(E2173,'Inventaire des produits'!$B$4:$K$1001,8,0),"")</f>
        <v/>
      </c>
      <c r="I2173" s="32" t="str">
        <f t="shared" si="64"/>
        <v/>
      </c>
      <c r="K2173" s="127" t="str">
        <f t="shared" si="65"/>
        <v/>
      </c>
    </row>
    <row r="2174" spans="2:11" x14ac:dyDescent="0.3">
      <c r="B2174" s="197"/>
      <c r="C2174" s="199"/>
      <c r="D2174" s="197"/>
      <c r="E2174" s="212"/>
      <c r="F2174" s="29" t="str">
        <f>IFERROR(VLOOKUP(E2174,'Inventaire des produits'!$B$4:$K$1001,2,0),"")</f>
        <v/>
      </c>
      <c r="G2174" s="212"/>
      <c r="H2174" s="30" t="str">
        <f>IFERROR(VLOOKUP(E2174,'Inventaire des produits'!$B$4:$K$1001,8,0),"")</f>
        <v/>
      </c>
      <c r="I2174" s="32" t="str">
        <f t="shared" si="64"/>
        <v/>
      </c>
      <c r="K2174" s="127" t="str">
        <f t="shared" si="65"/>
        <v/>
      </c>
    </row>
    <row r="2175" spans="2:11" x14ac:dyDescent="0.3">
      <c r="B2175" s="197"/>
      <c r="C2175" s="199"/>
      <c r="D2175" s="197"/>
      <c r="E2175" s="212"/>
      <c r="F2175" s="29" t="str">
        <f>IFERROR(VLOOKUP(E2175,'Inventaire des produits'!$B$4:$K$1001,2,0),"")</f>
        <v/>
      </c>
      <c r="G2175" s="212"/>
      <c r="H2175" s="30" t="str">
        <f>IFERROR(VLOOKUP(E2175,'Inventaire des produits'!$B$4:$K$1001,8,0),"")</f>
        <v/>
      </c>
      <c r="I2175" s="32" t="str">
        <f t="shared" si="64"/>
        <v/>
      </c>
      <c r="K2175" s="127" t="str">
        <f t="shared" si="65"/>
        <v/>
      </c>
    </row>
    <row r="2176" spans="2:11" x14ac:dyDescent="0.3">
      <c r="B2176" s="197"/>
      <c r="C2176" s="199"/>
      <c r="D2176" s="197"/>
      <c r="E2176" s="212"/>
      <c r="F2176" s="29" t="str">
        <f>IFERROR(VLOOKUP(E2176,'Inventaire des produits'!$B$4:$K$1001,2,0),"")</f>
        <v/>
      </c>
      <c r="G2176" s="212"/>
      <c r="H2176" s="30" t="str">
        <f>IFERROR(VLOOKUP(E2176,'Inventaire des produits'!$B$4:$K$1001,8,0),"")</f>
        <v/>
      </c>
      <c r="I2176" s="32" t="str">
        <f t="shared" si="64"/>
        <v/>
      </c>
      <c r="K2176" s="127" t="str">
        <f t="shared" si="65"/>
        <v/>
      </c>
    </row>
    <row r="2177" spans="2:11" x14ac:dyDescent="0.3">
      <c r="B2177" s="197"/>
      <c r="C2177" s="199"/>
      <c r="D2177" s="197"/>
      <c r="E2177" s="212"/>
      <c r="F2177" s="29" t="str">
        <f>IFERROR(VLOOKUP(E2177,'Inventaire des produits'!$B$4:$K$1001,2,0),"")</f>
        <v/>
      </c>
      <c r="G2177" s="212"/>
      <c r="H2177" s="30" t="str">
        <f>IFERROR(VLOOKUP(E2177,'Inventaire des produits'!$B$4:$K$1001,8,0),"")</f>
        <v/>
      </c>
      <c r="I2177" s="32" t="str">
        <f t="shared" si="64"/>
        <v/>
      </c>
      <c r="K2177" s="127" t="str">
        <f t="shared" si="65"/>
        <v/>
      </c>
    </row>
    <row r="2178" spans="2:11" x14ac:dyDescent="0.3">
      <c r="B2178" s="197"/>
      <c r="C2178" s="199"/>
      <c r="D2178" s="197"/>
      <c r="E2178" s="212"/>
      <c r="F2178" s="29" t="str">
        <f>IFERROR(VLOOKUP(E2178,'Inventaire des produits'!$B$4:$K$1001,2,0),"")</f>
        <v/>
      </c>
      <c r="G2178" s="212"/>
      <c r="H2178" s="30" t="str">
        <f>IFERROR(VLOOKUP(E2178,'Inventaire des produits'!$B$4:$K$1001,8,0),"")</f>
        <v/>
      </c>
      <c r="I2178" s="32" t="str">
        <f t="shared" ref="I2178:I2241" si="66">IF(OR(G2178="",H2178=""),"",G2178*H2178)</f>
        <v/>
      </c>
      <c r="K2178" s="127" t="str">
        <f t="shared" si="65"/>
        <v/>
      </c>
    </row>
    <row r="2179" spans="2:11" x14ac:dyDescent="0.3">
      <c r="B2179" s="197"/>
      <c r="C2179" s="199"/>
      <c r="D2179" s="197"/>
      <c r="E2179" s="212"/>
      <c r="F2179" s="29" t="str">
        <f>IFERROR(VLOOKUP(E2179,'Inventaire des produits'!$B$4:$K$1001,2,0),"")</f>
        <v/>
      </c>
      <c r="G2179" s="212"/>
      <c r="H2179" s="30" t="str">
        <f>IFERROR(VLOOKUP(E2179,'Inventaire des produits'!$B$4:$K$1001,8,0),"")</f>
        <v/>
      </c>
      <c r="I2179" s="32" t="str">
        <f t="shared" si="66"/>
        <v/>
      </c>
      <c r="K2179" s="127" t="str">
        <f t="shared" si="65"/>
        <v/>
      </c>
    </row>
    <row r="2180" spans="2:11" x14ac:dyDescent="0.3">
      <c r="B2180" s="197"/>
      <c r="C2180" s="199"/>
      <c r="D2180" s="197"/>
      <c r="E2180" s="212"/>
      <c r="F2180" s="29" t="str">
        <f>IFERROR(VLOOKUP(E2180,'Inventaire des produits'!$B$4:$K$1001,2,0),"")</f>
        <v/>
      </c>
      <c r="G2180" s="212"/>
      <c r="H2180" s="30" t="str">
        <f>IFERROR(VLOOKUP(E2180,'Inventaire des produits'!$B$4:$K$1001,8,0),"")</f>
        <v/>
      </c>
      <c r="I2180" s="32" t="str">
        <f t="shared" si="66"/>
        <v/>
      </c>
      <c r="K2180" s="127" t="str">
        <f t="shared" si="65"/>
        <v/>
      </c>
    </row>
    <row r="2181" spans="2:11" x14ac:dyDescent="0.3">
      <c r="B2181" s="197"/>
      <c r="C2181" s="199"/>
      <c r="D2181" s="197"/>
      <c r="E2181" s="212"/>
      <c r="F2181" s="29" t="str">
        <f>IFERROR(VLOOKUP(E2181,'Inventaire des produits'!$B$4:$K$1001,2,0),"")</f>
        <v/>
      </c>
      <c r="G2181" s="212"/>
      <c r="H2181" s="30" t="str">
        <f>IFERROR(VLOOKUP(E2181,'Inventaire des produits'!$B$4:$K$1001,8,0),"")</f>
        <v/>
      </c>
      <c r="I2181" s="32" t="str">
        <f t="shared" si="66"/>
        <v/>
      </c>
      <c r="K2181" s="127" t="str">
        <f t="shared" si="65"/>
        <v/>
      </c>
    </row>
    <row r="2182" spans="2:11" x14ac:dyDescent="0.3">
      <c r="B2182" s="197"/>
      <c r="C2182" s="199"/>
      <c r="D2182" s="197"/>
      <c r="E2182" s="212"/>
      <c r="F2182" s="29" t="str">
        <f>IFERROR(VLOOKUP(E2182,'Inventaire des produits'!$B$4:$K$1001,2,0),"")</f>
        <v/>
      </c>
      <c r="G2182" s="212"/>
      <c r="H2182" s="30" t="str">
        <f>IFERROR(VLOOKUP(E2182,'Inventaire des produits'!$B$4:$K$1001,8,0),"")</f>
        <v/>
      </c>
      <c r="I2182" s="32" t="str">
        <f t="shared" si="66"/>
        <v/>
      </c>
      <c r="K2182" s="127" t="str">
        <f t="shared" si="65"/>
        <v/>
      </c>
    </row>
    <row r="2183" spans="2:11" x14ac:dyDescent="0.3">
      <c r="B2183" s="197"/>
      <c r="C2183" s="199"/>
      <c r="D2183" s="197"/>
      <c r="E2183" s="212"/>
      <c r="F2183" s="29" t="str">
        <f>IFERROR(VLOOKUP(E2183,'Inventaire des produits'!$B$4:$K$1001,2,0),"")</f>
        <v/>
      </c>
      <c r="G2183" s="212"/>
      <c r="H2183" s="30" t="str">
        <f>IFERROR(VLOOKUP(E2183,'Inventaire des produits'!$B$4:$K$1001,8,0),"")</f>
        <v/>
      </c>
      <c r="I2183" s="32" t="str">
        <f t="shared" si="66"/>
        <v/>
      </c>
      <c r="K2183" s="127" t="str">
        <f t="shared" si="65"/>
        <v/>
      </c>
    </row>
    <row r="2184" spans="2:11" x14ac:dyDescent="0.3">
      <c r="B2184" s="197"/>
      <c r="C2184" s="199"/>
      <c r="D2184" s="197"/>
      <c r="E2184" s="212"/>
      <c r="F2184" s="29" t="str">
        <f>IFERROR(VLOOKUP(E2184,'Inventaire des produits'!$B$4:$K$1001,2,0),"")</f>
        <v/>
      </c>
      <c r="G2184" s="212"/>
      <c r="H2184" s="30" t="str">
        <f>IFERROR(VLOOKUP(E2184,'Inventaire des produits'!$B$4:$K$1001,8,0),"")</f>
        <v/>
      </c>
      <c r="I2184" s="32" t="str">
        <f t="shared" si="66"/>
        <v/>
      </c>
      <c r="K2184" s="127" t="str">
        <f t="shared" si="65"/>
        <v/>
      </c>
    </row>
    <row r="2185" spans="2:11" x14ac:dyDescent="0.3">
      <c r="B2185" s="197"/>
      <c r="C2185" s="199"/>
      <c r="D2185" s="197"/>
      <c r="E2185" s="212"/>
      <c r="F2185" s="29" t="str">
        <f>IFERROR(VLOOKUP(E2185,'Inventaire des produits'!$B$4:$K$1001,2,0),"")</f>
        <v/>
      </c>
      <c r="G2185" s="212"/>
      <c r="H2185" s="30" t="str">
        <f>IFERROR(VLOOKUP(E2185,'Inventaire des produits'!$B$4:$K$1001,8,0),"")</f>
        <v/>
      </c>
      <c r="I2185" s="32" t="str">
        <f t="shared" si="66"/>
        <v/>
      </c>
      <c r="K2185" s="127" t="str">
        <f t="shared" si="65"/>
        <v/>
      </c>
    </row>
    <row r="2186" spans="2:11" x14ac:dyDescent="0.3">
      <c r="B2186" s="197"/>
      <c r="C2186" s="199"/>
      <c r="D2186" s="197"/>
      <c r="E2186" s="212"/>
      <c r="F2186" s="29" t="str">
        <f>IFERROR(VLOOKUP(E2186,'Inventaire des produits'!$B$4:$K$1001,2,0),"")</f>
        <v/>
      </c>
      <c r="G2186" s="212"/>
      <c r="H2186" s="30" t="str">
        <f>IFERROR(VLOOKUP(E2186,'Inventaire des produits'!$B$4:$K$1001,8,0),"")</f>
        <v/>
      </c>
      <c r="I2186" s="32" t="str">
        <f t="shared" si="66"/>
        <v/>
      </c>
      <c r="K2186" s="127" t="str">
        <f t="shared" si="65"/>
        <v/>
      </c>
    </row>
    <row r="2187" spans="2:11" x14ac:dyDescent="0.3">
      <c r="B2187" s="197"/>
      <c r="C2187" s="199"/>
      <c r="D2187" s="197"/>
      <c r="E2187" s="212"/>
      <c r="F2187" s="29" t="str">
        <f>IFERROR(VLOOKUP(E2187,'Inventaire des produits'!$B$4:$K$1001,2,0),"")</f>
        <v/>
      </c>
      <c r="G2187" s="212"/>
      <c r="H2187" s="30" t="str">
        <f>IFERROR(VLOOKUP(E2187,'Inventaire des produits'!$B$4:$K$1001,8,0),"")</f>
        <v/>
      </c>
      <c r="I2187" s="32" t="str">
        <f t="shared" si="66"/>
        <v/>
      </c>
      <c r="K2187" s="127" t="str">
        <f t="shared" si="65"/>
        <v/>
      </c>
    </row>
    <row r="2188" spans="2:11" x14ac:dyDescent="0.3">
      <c r="B2188" s="197"/>
      <c r="C2188" s="199"/>
      <c r="D2188" s="197"/>
      <c r="E2188" s="212"/>
      <c r="F2188" s="29" t="str">
        <f>IFERROR(VLOOKUP(E2188,'Inventaire des produits'!$B$4:$K$1001,2,0),"")</f>
        <v/>
      </c>
      <c r="G2188" s="212"/>
      <c r="H2188" s="30" t="str">
        <f>IFERROR(VLOOKUP(E2188,'Inventaire des produits'!$B$4:$K$1001,8,0),"")</f>
        <v/>
      </c>
      <c r="I2188" s="32" t="str">
        <f t="shared" si="66"/>
        <v/>
      </c>
      <c r="K2188" s="127" t="str">
        <f t="shared" si="65"/>
        <v/>
      </c>
    </row>
    <row r="2189" spans="2:11" x14ac:dyDescent="0.3">
      <c r="B2189" s="197"/>
      <c r="C2189" s="199"/>
      <c r="D2189" s="197"/>
      <c r="E2189" s="212"/>
      <c r="F2189" s="29" t="str">
        <f>IFERROR(VLOOKUP(E2189,'Inventaire des produits'!$B$4:$K$1001,2,0),"")</f>
        <v/>
      </c>
      <c r="G2189" s="212"/>
      <c r="H2189" s="30" t="str">
        <f>IFERROR(VLOOKUP(E2189,'Inventaire des produits'!$B$4:$K$1001,8,0),"")</f>
        <v/>
      </c>
      <c r="I2189" s="32" t="str">
        <f t="shared" si="66"/>
        <v/>
      </c>
      <c r="K2189" s="127" t="str">
        <f t="shared" si="65"/>
        <v/>
      </c>
    </row>
    <row r="2190" spans="2:11" x14ac:dyDescent="0.3">
      <c r="B2190" s="197"/>
      <c r="C2190" s="199"/>
      <c r="D2190" s="197"/>
      <c r="E2190" s="212"/>
      <c r="F2190" s="29" t="str">
        <f>IFERROR(VLOOKUP(E2190,'Inventaire des produits'!$B$4:$K$1001,2,0),"")</f>
        <v/>
      </c>
      <c r="G2190" s="212"/>
      <c r="H2190" s="30" t="str">
        <f>IFERROR(VLOOKUP(E2190,'Inventaire des produits'!$B$4:$K$1001,8,0),"")</f>
        <v/>
      </c>
      <c r="I2190" s="32" t="str">
        <f t="shared" si="66"/>
        <v/>
      </c>
      <c r="K2190" s="127" t="str">
        <f t="shared" si="65"/>
        <v/>
      </c>
    </row>
    <row r="2191" spans="2:11" x14ac:dyDescent="0.3">
      <c r="B2191" s="197"/>
      <c r="C2191" s="199"/>
      <c r="D2191" s="197"/>
      <c r="E2191" s="212"/>
      <c r="F2191" s="29" t="str">
        <f>IFERROR(VLOOKUP(E2191,'Inventaire des produits'!$B$4:$K$1001,2,0),"")</f>
        <v/>
      </c>
      <c r="G2191" s="212"/>
      <c r="H2191" s="30" t="str">
        <f>IFERROR(VLOOKUP(E2191,'Inventaire des produits'!$B$4:$K$1001,8,0),"")</f>
        <v/>
      </c>
      <c r="I2191" s="32" t="str">
        <f t="shared" si="66"/>
        <v/>
      </c>
      <c r="K2191" s="127" t="str">
        <f t="shared" si="65"/>
        <v/>
      </c>
    </row>
    <row r="2192" spans="2:11" x14ac:dyDescent="0.3">
      <c r="B2192" s="197"/>
      <c r="C2192" s="199"/>
      <c r="D2192" s="197"/>
      <c r="E2192" s="212"/>
      <c r="F2192" s="29" t="str">
        <f>IFERROR(VLOOKUP(E2192,'Inventaire des produits'!$B$4:$K$1001,2,0),"")</f>
        <v/>
      </c>
      <c r="G2192" s="212"/>
      <c r="H2192" s="30" t="str">
        <f>IFERROR(VLOOKUP(E2192,'Inventaire des produits'!$B$4:$K$1001,8,0),"")</f>
        <v/>
      </c>
      <c r="I2192" s="32" t="str">
        <f t="shared" si="66"/>
        <v/>
      </c>
      <c r="K2192" s="127" t="str">
        <f t="shared" si="65"/>
        <v/>
      </c>
    </row>
    <row r="2193" spans="2:11" x14ac:dyDescent="0.3">
      <c r="B2193" s="197"/>
      <c r="C2193" s="199"/>
      <c r="D2193" s="197"/>
      <c r="E2193" s="212"/>
      <c r="F2193" s="29" t="str">
        <f>IFERROR(VLOOKUP(E2193,'Inventaire des produits'!$B$4:$K$1001,2,0),"")</f>
        <v/>
      </c>
      <c r="G2193" s="212"/>
      <c r="H2193" s="30" t="str">
        <f>IFERROR(VLOOKUP(E2193,'Inventaire des produits'!$B$4:$K$1001,8,0),"")</f>
        <v/>
      </c>
      <c r="I2193" s="32" t="str">
        <f t="shared" si="66"/>
        <v/>
      </c>
      <c r="K2193" s="127" t="str">
        <f t="shared" si="65"/>
        <v/>
      </c>
    </row>
    <row r="2194" spans="2:11" x14ac:dyDescent="0.3">
      <c r="B2194" s="197"/>
      <c r="C2194" s="199"/>
      <c r="D2194" s="197"/>
      <c r="E2194" s="212"/>
      <c r="F2194" s="29" t="str">
        <f>IFERROR(VLOOKUP(E2194,'Inventaire des produits'!$B$4:$K$1001,2,0),"")</f>
        <v/>
      </c>
      <c r="G2194" s="212"/>
      <c r="H2194" s="30" t="str">
        <f>IFERROR(VLOOKUP(E2194,'Inventaire des produits'!$B$4:$K$1001,8,0),"")</f>
        <v/>
      </c>
      <c r="I2194" s="32" t="str">
        <f t="shared" si="66"/>
        <v/>
      </c>
      <c r="K2194" s="127" t="str">
        <f t="shared" si="65"/>
        <v/>
      </c>
    </row>
    <row r="2195" spans="2:11" x14ac:dyDescent="0.3">
      <c r="B2195" s="197"/>
      <c r="C2195" s="199"/>
      <c r="D2195" s="197"/>
      <c r="E2195" s="212"/>
      <c r="F2195" s="29" t="str">
        <f>IFERROR(VLOOKUP(E2195,'Inventaire des produits'!$B$4:$K$1001,2,0),"")</f>
        <v/>
      </c>
      <c r="G2195" s="212"/>
      <c r="H2195" s="30" t="str">
        <f>IFERROR(VLOOKUP(E2195,'Inventaire des produits'!$B$4:$K$1001,8,0),"")</f>
        <v/>
      </c>
      <c r="I2195" s="32" t="str">
        <f t="shared" si="66"/>
        <v/>
      </c>
      <c r="K2195" s="127" t="str">
        <f t="shared" si="65"/>
        <v/>
      </c>
    </row>
    <row r="2196" spans="2:11" x14ac:dyDescent="0.3">
      <c r="B2196" s="197"/>
      <c r="C2196" s="199"/>
      <c r="D2196" s="197"/>
      <c r="E2196" s="212"/>
      <c r="F2196" s="29" t="str">
        <f>IFERROR(VLOOKUP(E2196,'Inventaire des produits'!$B$4:$K$1001,2,0),"")</f>
        <v/>
      </c>
      <c r="G2196" s="212"/>
      <c r="H2196" s="30" t="str">
        <f>IFERROR(VLOOKUP(E2196,'Inventaire des produits'!$B$4:$K$1001,8,0),"")</f>
        <v/>
      </c>
      <c r="I2196" s="32" t="str">
        <f t="shared" si="66"/>
        <v/>
      </c>
      <c r="K2196" s="127" t="str">
        <f t="shared" si="65"/>
        <v/>
      </c>
    </row>
    <row r="2197" spans="2:11" x14ac:dyDescent="0.3">
      <c r="B2197" s="197"/>
      <c r="C2197" s="199"/>
      <c r="D2197" s="197"/>
      <c r="E2197" s="212"/>
      <c r="F2197" s="29" t="str">
        <f>IFERROR(VLOOKUP(E2197,'Inventaire des produits'!$B$4:$K$1001,2,0),"")</f>
        <v/>
      </c>
      <c r="G2197" s="212"/>
      <c r="H2197" s="30" t="str">
        <f>IFERROR(VLOOKUP(E2197,'Inventaire des produits'!$B$4:$K$1001,8,0),"")</f>
        <v/>
      </c>
      <c r="I2197" s="32" t="str">
        <f t="shared" si="66"/>
        <v/>
      </c>
      <c r="K2197" s="127" t="str">
        <f t="shared" si="65"/>
        <v/>
      </c>
    </row>
    <row r="2198" spans="2:11" x14ac:dyDescent="0.3">
      <c r="B2198" s="197"/>
      <c r="C2198" s="199"/>
      <c r="D2198" s="197"/>
      <c r="E2198" s="212"/>
      <c r="F2198" s="29" t="str">
        <f>IFERROR(VLOOKUP(E2198,'Inventaire des produits'!$B$4:$K$1001,2,0),"")</f>
        <v/>
      </c>
      <c r="G2198" s="212"/>
      <c r="H2198" s="30" t="str">
        <f>IFERROR(VLOOKUP(E2198,'Inventaire des produits'!$B$4:$K$1001,8,0),"")</f>
        <v/>
      </c>
      <c r="I2198" s="32" t="str">
        <f t="shared" si="66"/>
        <v/>
      </c>
      <c r="K2198" s="127" t="str">
        <f t="shared" si="65"/>
        <v/>
      </c>
    </row>
    <row r="2199" spans="2:11" x14ac:dyDescent="0.3">
      <c r="B2199" s="197"/>
      <c r="C2199" s="199"/>
      <c r="D2199" s="197"/>
      <c r="E2199" s="212"/>
      <c r="F2199" s="29" t="str">
        <f>IFERROR(VLOOKUP(E2199,'Inventaire des produits'!$B$4:$K$1001,2,0),"")</f>
        <v/>
      </c>
      <c r="G2199" s="212"/>
      <c r="H2199" s="30" t="str">
        <f>IFERROR(VLOOKUP(E2199,'Inventaire des produits'!$B$4:$K$1001,8,0),"")</f>
        <v/>
      </c>
      <c r="I2199" s="32" t="str">
        <f t="shared" si="66"/>
        <v/>
      </c>
      <c r="K2199" s="127" t="str">
        <f t="shared" si="65"/>
        <v/>
      </c>
    </row>
    <row r="2200" spans="2:11" x14ac:dyDescent="0.3">
      <c r="B2200" s="197"/>
      <c r="C2200" s="199"/>
      <c r="D2200" s="197"/>
      <c r="E2200" s="212"/>
      <c r="F2200" s="29" t="str">
        <f>IFERROR(VLOOKUP(E2200,'Inventaire des produits'!$B$4:$K$1001,2,0),"")</f>
        <v/>
      </c>
      <c r="G2200" s="212"/>
      <c r="H2200" s="30" t="str">
        <f>IFERROR(VLOOKUP(E2200,'Inventaire des produits'!$B$4:$K$1001,8,0),"")</f>
        <v/>
      </c>
      <c r="I2200" s="32" t="str">
        <f t="shared" si="66"/>
        <v/>
      </c>
      <c r="K2200" s="127" t="str">
        <f t="shared" si="65"/>
        <v/>
      </c>
    </row>
    <row r="2201" spans="2:11" x14ac:dyDescent="0.3">
      <c r="B2201" s="197"/>
      <c r="C2201" s="199"/>
      <c r="D2201" s="197"/>
      <c r="E2201" s="212"/>
      <c r="F2201" s="29" t="str">
        <f>IFERROR(VLOOKUP(E2201,'Inventaire des produits'!$B$4:$K$1001,2,0),"")</f>
        <v/>
      </c>
      <c r="G2201" s="212"/>
      <c r="H2201" s="30" t="str">
        <f>IFERROR(VLOOKUP(E2201,'Inventaire des produits'!$B$4:$K$1001,8,0),"")</f>
        <v/>
      </c>
      <c r="I2201" s="32" t="str">
        <f t="shared" si="66"/>
        <v/>
      </c>
      <c r="K2201" s="127" t="str">
        <f t="shared" si="65"/>
        <v/>
      </c>
    </row>
    <row r="2202" spans="2:11" x14ac:dyDescent="0.3">
      <c r="B2202" s="197"/>
      <c r="C2202" s="199"/>
      <c r="D2202" s="197"/>
      <c r="E2202" s="212"/>
      <c r="F2202" s="29" t="str">
        <f>IFERROR(VLOOKUP(E2202,'Inventaire des produits'!$B$4:$K$1001,2,0),"")</f>
        <v/>
      </c>
      <c r="G2202" s="212"/>
      <c r="H2202" s="30" t="str">
        <f>IFERROR(VLOOKUP(E2202,'Inventaire des produits'!$B$4:$K$1001,8,0),"")</f>
        <v/>
      </c>
      <c r="I2202" s="32" t="str">
        <f t="shared" si="66"/>
        <v/>
      </c>
      <c r="K2202" s="127" t="str">
        <f t="shared" si="65"/>
        <v/>
      </c>
    </row>
    <row r="2203" spans="2:11" x14ac:dyDescent="0.3">
      <c r="B2203" s="197"/>
      <c r="C2203" s="199"/>
      <c r="D2203" s="197"/>
      <c r="E2203" s="212"/>
      <c r="F2203" s="29" t="str">
        <f>IFERROR(VLOOKUP(E2203,'Inventaire des produits'!$B$4:$K$1001,2,0),"")</f>
        <v/>
      </c>
      <c r="G2203" s="212"/>
      <c r="H2203" s="30" t="str">
        <f>IFERROR(VLOOKUP(E2203,'Inventaire des produits'!$B$4:$K$1001,8,0),"")</f>
        <v/>
      </c>
      <c r="I2203" s="32" t="str">
        <f t="shared" si="66"/>
        <v/>
      </c>
      <c r="K2203" s="127" t="str">
        <f t="shared" si="65"/>
        <v/>
      </c>
    </row>
    <row r="2204" spans="2:11" x14ac:dyDescent="0.3">
      <c r="B2204" s="197"/>
      <c r="C2204" s="199"/>
      <c r="D2204" s="197"/>
      <c r="E2204" s="212"/>
      <c r="F2204" s="29" t="str">
        <f>IFERROR(VLOOKUP(E2204,'Inventaire des produits'!$B$4:$K$1001,2,0),"")</f>
        <v/>
      </c>
      <c r="G2204" s="212"/>
      <c r="H2204" s="30" t="str">
        <f>IFERROR(VLOOKUP(E2204,'Inventaire des produits'!$B$4:$K$1001,8,0),"")</f>
        <v/>
      </c>
      <c r="I2204" s="32" t="str">
        <f t="shared" si="66"/>
        <v/>
      </c>
      <c r="K2204" s="127" t="str">
        <f t="shared" si="65"/>
        <v/>
      </c>
    </row>
    <row r="2205" spans="2:11" x14ac:dyDescent="0.3">
      <c r="B2205" s="197"/>
      <c r="C2205" s="199"/>
      <c r="D2205" s="197"/>
      <c r="E2205" s="212"/>
      <c r="F2205" s="29" t="str">
        <f>IFERROR(VLOOKUP(E2205,'Inventaire des produits'!$B$4:$K$1001,2,0),"")</f>
        <v/>
      </c>
      <c r="G2205" s="212"/>
      <c r="H2205" s="30" t="str">
        <f>IFERROR(VLOOKUP(E2205,'Inventaire des produits'!$B$4:$K$1001,8,0),"")</f>
        <v/>
      </c>
      <c r="I2205" s="32" t="str">
        <f t="shared" si="66"/>
        <v/>
      </c>
      <c r="K2205" s="127" t="str">
        <f t="shared" si="65"/>
        <v/>
      </c>
    </row>
    <row r="2206" spans="2:11" x14ac:dyDescent="0.3">
      <c r="B2206" s="197"/>
      <c r="C2206" s="199"/>
      <c r="D2206" s="197"/>
      <c r="E2206" s="212"/>
      <c r="F2206" s="29" t="str">
        <f>IFERROR(VLOOKUP(E2206,'Inventaire des produits'!$B$4:$K$1001,2,0),"")</f>
        <v/>
      </c>
      <c r="G2206" s="212"/>
      <c r="H2206" s="30" t="str">
        <f>IFERROR(VLOOKUP(E2206,'Inventaire des produits'!$B$4:$K$1001,8,0),"")</f>
        <v/>
      </c>
      <c r="I2206" s="32" t="str">
        <f t="shared" si="66"/>
        <v/>
      </c>
      <c r="K2206" s="127" t="str">
        <f t="shared" si="65"/>
        <v/>
      </c>
    </row>
    <row r="2207" spans="2:11" x14ac:dyDescent="0.3">
      <c r="B2207" s="197"/>
      <c r="C2207" s="199"/>
      <c r="D2207" s="197"/>
      <c r="E2207" s="212"/>
      <c r="F2207" s="29" t="str">
        <f>IFERROR(VLOOKUP(E2207,'Inventaire des produits'!$B$4:$K$1001,2,0),"")</f>
        <v/>
      </c>
      <c r="G2207" s="212"/>
      <c r="H2207" s="30" t="str">
        <f>IFERROR(VLOOKUP(E2207,'Inventaire des produits'!$B$4:$K$1001,8,0),"")</f>
        <v/>
      </c>
      <c r="I2207" s="32" t="str">
        <f t="shared" si="66"/>
        <v/>
      </c>
      <c r="K2207" s="127" t="str">
        <f t="shared" si="65"/>
        <v/>
      </c>
    </row>
    <row r="2208" spans="2:11" x14ac:dyDescent="0.3">
      <c r="B2208" s="197"/>
      <c r="C2208" s="199"/>
      <c r="D2208" s="197"/>
      <c r="E2208" s="212"/>
      <c r="F2208" s="29" t="str">
        <f>IFERROR(VLOOKUP(E2208,'Inventaire des produits'!$B$4:$K$1001,2,0),"")</f>
        <v/>
      </c>
      <c r="G2208" s="212"/>
      <c r="H2208" s="30" t="str">
        <f>IFERROR(VLOOKUP(E2208,'Inventaire des produits'!$B$4:$K$1001,8,0),"")</f>
        <v/>
      </c>
      <c r="I2208" s="32" t="str">
        <f t="shared" si="66"/>
        <v/>
      </c>
      <c r="K2208" s="127" t="str">
        <f t="shared" si="65"/>
        <v/>
      </c>
    </row>
    <row r="2209" spans="2:11" x14ac:dyDescent="0.3">
      <c r="B2209" s="197"/>
      <c r="C2209" s="199"/>
      <c r="D2209" s="197"/>
      <c r="E2209" s="212"/>
      <c r="F2209" s="29" t="str">
        <f>IFERROR(VLOOKUP(E2209,'Inventaire des produits'!$B$4:$K$1001,2,0),"")</f>
        <v/>
      </c>
      <c r="G2209" s="212"/>
      <c r="H2209" s="30" t="str">
        <f>IFERROR(VLOOKUP(E2209,'Inventaire des produits'!$B$4:$K$1001,8,0),"")</f>
        <v/>
      </c>
      <c r="I2209" s="32" t="str">
        <f t="shared" si="66"/>
        <v/>
      </c>
      <c r="K2209" s="127" t="str">
        <f t="shared" si="65"/>
        <v/>
      </c>
    </row>
    <row r="2210" spans="2:11" x14ac:dyDescent="0.3">
      <c r="B2210" s="197"/>
      <c r="C2210" s="199"/>
      <c r="D2210" s="197"/>
      <c r="E2210" s="212"/>
      <c r="F2210" s="29" t="str">
        <f>IFERROR(VLOOKUP(E2210,'Inventaire des produits'!$B$4:$K$1001,2,0),"")</f>
        <v/>
      </c>
      <c r="G2210" s="212"/>
      <c r="H2210" s="30" t="str">
        <f>IFERROR(VLOOKUP(E2210,'Inventaire des produits'!$B$4:$K$1001,8,0),"")</f>
        <v/>
      </c>
      <c r="I2210" s="32" t="str">
        <f t="shared" si="66"/>
        <v/>
      </c>
      <c r="K2210" s="127" t="str">
        <f t="shared" si="65"/>
        <v/>
      </c>
    </row>
    <row r="2211" spans="2:11" x14ac:dyDescent="0.3">
      <c r="B2211" s="197"/>
      <c r="C2211" s="199"/>
      <c r="D2211" s="197"/>
      <c r="E2211" s="212"/>
      <c r="F2211" s="29" t="str">
        <f>IFERROR(VLOOKUP(E2211,'Inventaire des produits'!$B$4:$K$1001,2,0),"")</f>
        <v/>
      </c>
      <c r="G2211" s="212"/>
      <c r="H2211" s="30" t="str">
        <f>IFERROR(VLOOKUP(E2211,'Inventaire des produits'!$B$4:$K$1001,8,0),"")</f>
        <v/>
      </c>
      <c r="I2211" s="32" t="str">
        <f t="shared" si="66"/>
        <v/>
      </c>
      <c r="K2211" s="127" t="str">
        <f t="shared" si="65"/>
        <v/>
      </c>
    </row>
    <row r="2212" spans="2:11" x14ac:dyDescent="0.3">
      <c r="B2212" s="197"/>
      <c r="C2212" s="199"/>
      <c r="D2212" s="197"/>
      <c r="E2212" s="212"/>
      <c r="F2212" s="29" t="str">
        <f>IFERROR(VLOOKUP(E2212,'Inventaire des produits'!$B$4:$K$1001,2,0),"")</f>
        <v/>
      </c>
      <c r="G2212" s="212"/>
      <c r="H2212" s="30" t="str">
        <f>IFERROR(VLOOKUP(E2212,'Inventaire des produits'!$B$4:$K$1001,8,0),"")</f>
        <v/>
      </c>
      <c r="I2212" s="32" t="str">
        <f t="shared" si="66"/>
        <v/>
      </c>
      <c r="K2212" s="127" t="str">
        <f t="shared" si="65"/>
        <v/>
      </c>
    </row>
    <row r="2213" spans="2:11" x14ac:dyDescent="0.3">
      <c r="B2213" s="197"/>
      <c r="C2213" s="199"/>
      <c r="D2213" s="197"/>
      <c r="E2213" s="212"/>
      <c r="F2213" s="29" t="str">
        <f>IFERROR(VLOOKUP(E2213,'Inventaire des produits'!$B$4:$K$1001,2,0),"")</f>
        <v/>
      </c>
      <c r="G2213" s="212"/>
      <c r="H2213" s="30" t="str">
        <f>IFERROR(VLOOKUP(E2213,'Inventaire des produits'!$B$4:$K$1001,8,0),"")</f>
        <v/>
      </c>
      <c r="I2213" s="32" t="str">
        <f t="shared" si="66"/>
        <v/>
      </c>
      <c r="K2213" s="127" t="str">
        <f t="shared" si="65"/>
        <v/>
      </c>
    </row>
    <row r="2214" spans="2:11" x14ac:dyDescent="0.3">
      <c r="B2214" s="197"/>
      <c r="C2214" s="199"/>
      <c r="D2214" s="197"/>
      <c r="E2214" s="212"/>
      <c r="F2214" s="29" t="str">
        <f>IFERROR(VLOOKUP(E2214,'Inventaire des produits'!$B$4:$K$1001,2,0),"")</f>
        <v/>
      </c>
      <c r="G2214" s="212"/>
      <c r="H2214" s="30" t="str">
        <f>IFERROR(VLOOKUP(E2214,'Inventaire des produits'!$B$4:$K$1001,8,0),"")</f>
        <v/>
      </c>
      <c r="I2214" s="32" t="str">
        <f t="shared" si="66"/>
        <v/>
      </c>
      <c r="K2214" s="127" t="str">
        <f t="shared" si="65"/>
        <v/>
      </c>
    </row>
    <row r="2215" spans="2:11" x14ac:dyDescent="0.3">
      <c r="B2215" s="197"/>
      <c r="C2215" s="199"/>
      <c r="D2215" s="197"/>
      <c r="E2215" s="212"/>
      <c r="F2215" s="29" t="str">
        <f>IFERROR(VLOOKUP(E2215,'Inventaire des produits'!$B$4:$K$1001,2,0),"")</f>
        <v/>
      </c>
      <c r="G2215" s="212"/>
      <c r="H2215" s="30" t="str">
        <f>IFERROR(VLOOKUP(E2215,'Inventaire des produits'!$B$4:$K$1001,8,0),"")</f>
        <v/>
      </c>
      <c r="I2215" s="32" t="str">
        <f t="shared" si="66"/>
        <v/>
      </c>
      <c r="K2215" s="127" t="str">
        <f t="shared" si="65"/>
        <v/>
      </c>
    </row>
    <row r="2216" spans="2:11" x14ac:dyDescent="0.3">
      <c r="B2216" s="197"/>
      <c r="C2216" s="199"/>
      <c r="D2216" s="197"/>
      <c r="E2216" s="212"/>
      <c r="F2216" s="29" t="str">
        <f>IFERROR(VLOOKUP(E2216,'Inventaire des produits'!$B$4:$K$1001,2,0),"")</f>
        <v/>
      </c>
      <c r="G2216" s="212"/>
      <c r="H2216" s="30" t="str">
        <f>IFERROR(VLOOKUP(E2216,'Inventaire des produits'!$B$4:$K$1001,8,0),"")</f>
        <v/>
      </c>
      <c r="I2216" s="32" t="str">
        <f t="shared" si="66"/>
        <v/>
      </c>
      <c r="K2216" s="127" t="str">
        <f t="shared" si="65"/>
        <v/>
      </c>
    </row>
    <row r="2217" spans="2:11" x14ac:dyDescent="0.3">
      <c r="B2217" s="197"/>
      <c r="C2217" s="199"/>
      <c r="D2217" s="197"/>
      <c r="E2217" s="212"/>
      <c r="F2217" s="29" t="str">
        <f>IFERROR(VLOOKUP(E2217,'Inventaire des produits'!$B$4:$K$1001,2,0),"")</f>
        <v/>
      </c>
      <c r="G2217" s="212"/>
      <c r="H2217" s="30" t="str">
        <f>IFERROR(VLOOKUP(E2217,'Inventaire des produits'!$B$4:$K$1001,8,0),"")</f>
        <v/>
      </c>
      <c r="I2217" s="32" t="str">
        <f t="shared" si="66"/>
        <v/>
      </c>
      <c r="K2217" s="127" t="str">
        <f t="shared" si="65"/>
        <v/>
      </c>
    </row>
    <row r="2218" spans="2:11" x14ac:dyDescent="0.3">
      <c r="B2218" s="197"/>
      <c r="C2218" s="199"/>
      <c r="D2218" s="197"/>
      <c r="E2218" s="212"/>
      <c r="F2218" s="29" t="str">
        <f>IFERROR(VLOOKUP(E2218,'Inventaire des produits'!$B$4:$K$1001,2,0),"")</f>
        <v/>
      </c>
      <c r="G2218" s="212"/>
      <c r="H2218" s="30" t="str">
        <f>IFERROR(VLOOKUP(E2218,'Inventaire des produits'!$B$4:$K$1001,8,0),"")</f>
        <v/>
      </c>
      <c r="I2218" s="32" t="str">
        <f t="shared" si="66"/>
        <v/>
      </c>
      <c r="K2218" s="127" t="str">
        <f t="shared" si="65"/>
        <v/>
      </c>
    </row>
    <row r="2219" spans="2:11" x14ac:dyDescent="0.3">
      <c r="B2219" s="197"/>
      <c r="C2219" s="199"/>
      <c r="D2219" s="197"/>
      <c r="E2219" s="212"/>
      <c r="F2219" s="29" t="str">
        <f>IFERROR(VLOOKUP(E2219,'Inventaire des produits'!$B$4:$K$1001,2,0),"")</f>
        <v/>
      </c>
      <c r="G2219" s="212"/>
      <c r="H2219" s="30" t="str">
        <f>IFERROR(VLOOKUP(E2219,'Inventaire des produits'!$B$4:$K$1001,8,0),"")</f>
        <v/>
      </c>
      <c r="I2219" s="32" t="str">
        <f t="shared" si="66"/>
        <v/>
      </c>
      <c r="K2219" s="127" t="str">
        <f t="shared" si="65"/>
        <v/>
      </c>
    </row>
    <row r="2220" spans="2:11" x14ac:dyDescent="0.3">
      <c r="B2220" s="197"/>
      <c r="C2220" s="199"/>
      <c r="D2220" s="197"/>
      <c r="E2220" s="212"/>
      <c r="F2220" s="29" t="str">
        <f>IFERROR(VLOOKUP(E2220,'Inventaire des produits'!$B$4:$K$1001,2,0),"")</f>
        <v/>
      </c>
      <c r="G2220" s="212"/>
      <c r="H2220" s="30" t="str">
        <f>IFERROR(VLOOKUP(E2220,'Inventaire des produits'!$B$4:$K$1001,8,0),"")</f>
        <v/>
      </c>
      <c r="I2220" s="32" t="str">
        <f t="shared" si="66"/>
        <v/>
      </c>
      <c r="K2220" s="127" t="str">
        <f t="shared" si="65"/>
        <v/>
      </c>
    </row>
    <row r="2221" spans="2:11" x14ac:dyDescent="0.3">
      <c r="B2221" s="197"/>
      <c r="C2221" s="199"/>
      <c r="D2221" s="197"/>
      <c r="E2221" s="212"/>
      <c r="F2221" s="29" t="str">
        <f>IFERROR(VLOOKUP(E2221,'Inventaire des produits'!$B$4:$K$1001,2,0),"")</f>
        <v/>
      </c>
      <c r="G2221" s="212"/>
      <c r="H2221" s="30" t="str">
        <f>IFERROR(VLOOKUP(E2221,'Inventaire des produits'!$B$4:$K$1001,8,0),"")</f>
        <v/>
      </c>
      <c r="I2221" s="32" t="str">
        <f t="shared" si="66"/>
        <v/>
      </c>
      <c r="K2221" s="127" t="str">
        <f t="shared" si="65"/>
        <v/>
      </c>
    </row>
    <row r="2222" spans="2:11" x14ac:dyDescent="0.3">
      <c r="B2222" s="197"/>
      <c r="C2222" s="199"/>
      <c r="D2222" s="197"/>
      <c r="E2222" s="212"/>
      <c r="F2222" s="29" t="str">
        <f>IFERROR(VLOOKUP(E2222,'Inventaire des produits'!$B$4:$K$1001,2,0),"")</f>
        <v/>
      </c>
      <c r="G2222" s="212"/>
      <c r="H2222" s="30" t="str">
        <f>IFERROR(VLOOKUP(E2222,'Inventaire des produits'!$B$4:$K$1001,8,0),"")</f>
        <v/>
      </c>
      <c r="I2222" s="32" t="str">
        <f t="shared" si="66"/>
        <v/>
      </c>
      <c r="K2222" s="127" t="str">
        <f t="shared" si="65"/>
        <v/>
      </c>
    </row>
    <row r="2223" spans="2:11" x14ac:dyDescent="0.3">
      <c r="B2223" s="197"/>
      <c r="C2223" s="199"/>
      <c r="D2223" s="197"/>
      <c r="E2223" s="212"/>
      <c r="F2223" s="29" t="str">
        <f>IFERROR(VLOOKUP(E2223,'Inventaire des produits'!$B$4:$K$1001,2,0),"")</f>
        <v/>
      </c>
      <c r="G2223" s="212"/>
      <c r="H2223" s="30" t="str">
        <f>IFERROR(VLOOKUP(E2223,'Inventaire des produits'!$B$4:$K$1001,8,0),"")</f>
        <v/>
      </c>
      <c r="I2223" s="32" t="str">
        <f t="shared" si="66"/>
        <v/>
      </c>
      <c r="K2223" s="127" t="str">
        <f t="shared" si="65"/>
        <v/>
      </c>
    </row>
    <row r="2224" spans="2:11" x14ac:dyDescent="0.3">
      <c r="B2224" s="197"/>
      <c r="C2224" s="199"/>
      <c r="D2224" s="197"/>
      <c r="E2224" s="212"/>
      <c r="F2224" s="29" t="str">
        <f>IFERROR(VLOOKUP(E2224,'Inventaire des produits'!$B$4:$K$1001,2,0),"")</f>
        <v/>
      </c>
      <c r="G2224" s="212"/>
      <c r="H2224" s="30" t="str">
        <f>IFERROR(VLOOKUP(E2224,'Inventaire des produits'!$B$4:$K$1001,8,0),"")</f>
        <v/>
      </c>
      <c r="I2224" s="32" t="str">
        <f t="shared" si="66"/>
        <v/>
      </c>
      <c r="K2224" s="127" t="str">
        <f t="shared" si="65"/>
        <v/>
      </c>
    </row>
    <row r="2225" spans="2:11" x14ac:dyDescent="0.3">
      <c r="B2225" s="197"/>
      <c r="C2225" s="199"/>
      <c r="D2225" s="197"/>
      <c r="E2225" s="212"/>
      <c r="F2225" s="29" t="str">
        <f>IFERROR(VLOOKUP(E2225,'Inventaire des produits'!$B$4:$K$1001,2,0),"")</f>
        <v/>
      </c>
      <c r="G2225" s="212"/>
      <c r="H2225" s="30" t="str">
        <f>IFERROR(VLOOKUP(E2225,'Inventaire des produits'!$B$4:$K$1001,8,0),"")</f>
        <v/>
      </c>
      <c r="I2225" s="32" t="str">
        <f t="shared" si="66"/>
        <v/>
      </c>
      <c r="K2225" s="127" t="str">
        <f t="shared" si="65"/>
        <v/>
      </c>
    </row>
    <row r="2226" spans="2:11" x14ac:dyDescent="0.3">
      <c r="B2226" s="197"/>
      <c r="C2226" s="199"/>
      <c r="D2226" s="197"/>
      <c r="E2226" s="212"/>
      <c r="F2226" s="29" t="str">
        <f>IFERROR(VLOOKUP(E2226,'Inventaire des produits'!$B$4:$K$1001,2,0),"")</f>
        <v/>
      </c>
      <c r="G2226" s="212"/>
      <c r="H2226" s="30" t="str">
        <f>IFERROR(VLOOKUP(E2226,'Inventaire des produits'!$B$4:$K$1001,8,0),"")</f>
        <v/>
      </c>
      <c r="I2226" s="32" t="str">
        <f t="shared" si="66"/>
        <v/>
      </c>
      <c r="K2226" s="127" t="str">
        <f t="shared" si="65"/>
        <v/>
      </c>
    </row>
    <row r="2227" spans="2:11" x14ac:dyDescent="0.3">
      <c r="B2227" s="197"/>
      <c r="C2227" s="199"/>
      <c r="D2227" s="197"/>
      <c r="E2227" s="212"/>
      <c r="F2227" s="29" t="str">
        <f>IFERROR(VLOOKUP(E2227,'Inventaire des produits'!$B$4:$K$1001,2,0),"")</f>
        <v/>
      </c>
      <c r="G2227" s="212"/>
      <c r="H2227" s="30" t="str">
        <f>IFERROR(VLOOKUP(E2227,'Inventaire des produits'!$B$4:$K$1001,8,0),"")</f>
        <v/>
      </c>
      <c r="I2227" s="32" t="str">
        <f t="shared" si="66"/>
        <v/>
      </c>
      <c r="K2227" s="127" t="str">
        <f t="shared" si="65"/>
        <v/>
      </c>
    </row>
    <row r="2228" spans="2:11" x14ac:dyDescent="0.3">
      <c r="B2228" s="197"/>
      <c r="C2228" s="199"/>
      <c r="D2228" s="197"/>
      <c r="E2228" s="212"/>
      <c r="F2228" s="29" t="str">
        <f>IFERROR(VLOOKUP(E2228,'Inventaire des produits'!$B$4:$K$1001,2,0),"")</f>
        <v/>
      </c>
      <c r="G2228" s="212"/>
      <c r="H2228" s="30" t="str">
        <f>IFERROR(VLOOKUP(E2228,'Inventaire des produits'!$B$4:$K$1001,8,0),"")</f>
        <v/>
      </c>
      <c r="I2228" s="32" t="str">
        <f t="shared" si="66"/>
        <v/>
      </c>
      <c r="K2228" s="127" t="str">
        <f t="shared" si="65"/>
        <v/>
      </c>
    </row>
    <row r="2229" spans="2:11" x14ac:dyDescent="0.3">
      <c r="B2229" s="197"/>
      <c r="C2229" s="199"/>
      <c r="D2229" s="197"/>
      <c r="E2229" s="212"/>
      <c r="F2229" s="29" t="str">
        <f>IFERROR(VLOOKUP(E2229,'Inventaire des produits'!$B$4:$K$1001,2,0),"")</f>
        <v/>
      </c>
      <c r="G2229" s="212"/>
      <c r="H2229" s="30" t="str">
        <f>IFERROR(VLOOKUP(E2229,'Inventaire des produits'!$B$4:$K$1001,8,0),"")</f>
        <v/>
      </c>
      <c r="I2229" s="32" t="str">
        <f t="shared" si="66"/>
        <v/>
      </c>
      <c r="K2229" s="127" t="str">
        <f t="shared" si="65"/>
        <v/>
      </c>
    </row>
    <row r="2230" spans="2:11" x14ac:dyDescent="0.3">
      <c r="B2230" s="197"/>
      <c r="C2230" s="199"/>
      <c r="D2230" s="197"/>
      <c r="E2230" s="212"/>
      <c r="F2230" s="29" t="str">
        <f>IFERROR(VLOOKUP(E2230,'Inventaire des produits'!$B$4:$K$1001,2,0),"")</f>
        <v/>
      </c>
      <c r="G2230" s="212"/>
      <c r="H2230" s="30" t="str">
        <f>IFERROR(VLOOKUP(E2230,'Inventaire des produits'!$B$4:$K$1001,8,0),"")</f>
        <v/>
      </c>
      <c r="I2230" s="32" t="str">
        <f t="shared" si="66"/>
        <v/>
      </c>
      <c r="K2230" s="127" t="str">
        <f t="shared" si="65"/>
        <v/>
      </c>
    </row>
    <row r="2231" spans="2:11" x14ac:dyDescent="0.3">
      <c r="B2231" s="197"/>
      <c r="C2231" s="199"/>
      <c r="D2231" s="197"/>
      <c r="E2231" s="212"/>
      <c r="F2231" s="29" t="str">
        <f>IFERROR(VLOOKUP(E2231,'Inventaire des produits'!$B$4:$K$1001,2,0),"")</f>
        <v/>
      </c>
      <c r="G2231" s="212"/>
      <c r="H2231" s="30" t="str">
        <f>IFERROR(VLOOKUP(E2231,'Inventaire des produits'!$B$4:$K$1001,8,0),"")</f>
        <v/>
      </c>
      <c r="I2231" s="32" t="str">
        <f t="shared" si="66"/>
        <v/>
      </c>
      <c r="K2231" s="127" t="str">
        <f t="shared" si="65"/>
        <v/>
      </c>
    </row>
    <row r="2232" spans="2:11" x14ac:dyDescent="0.3">
      <c r="B2232" s="197"/>
      <c r="C2232" s="199"/>
      <c r="D2232" s="197"/>
      <c r="E2232" s="212"/>
      <c r="F2232" s="29" t="str">
        <f>IFERROR(VLOOKUP(E2232,'Inventaire des produits'!$B$4:$K$1001,2,0),"")</f>
        <v/>
      </c>
      <c r="G2232" s="212"/>
      <c r="H2232" s="30" t="str">
        <f>IFERROR(VLOOKUP(E2232,'Inventaire des produits'!$B$4:$K$1001,8,0),"")</f>
        <v/>
      </c>
      <c r="I2232" s="32" t="str">
        <f t="shared" si="66"/>
        <v/>
      </c>
      <c r="K2232" s="127" t="str">
        <f t="shared" si="65"/>
        <v/>
      </c>
    </row>
    <row r="2233" spans="2:11" x14ac:dyDescent="0.3">
      <c r="B2233" s="197"/>
      <c r="C2233" s="199"/>
      <c r="D2233" s="197"/>
      <c r="E2233" s="212"/>
      <c r="F2233" s="29" t="str">
        <f>IFERROR(VLOOKUP(E2233,'Inventaire des produits'!$B$4:$K$1001,2,0),"")</f>
        <v/>
      </c>
      <c r="G2233" s="212"/>
      <c r="H2233" s="30" t="str">
        <f>IFERROR(VLOOKUP(E2233,'Inventaire des produits'!$B$4:$K$1001,8,0),"")</f>
        <v/>
      </c>
      <c r="I2233" s="32" t="str">
        <f t="shared" si="66"/>
        <v/>
      </c>
      <c r="K2233" s="127" t="str">
        <f t="shared" si="65"/>
        <v/>
      </c>
    </row>
    <row r="2234" spans="2:11" x14ac:dyDescent="0.3">
      <c r="B2234" s="197"/>
      <c r="C2234" s="199"/>
      <c r="D2234" s="197"/>
      <c r="E2234" s="212"/>
      <c r="F2234" s="29" t="str">
        <f>IFERROR(VLOOKUP(E2234,'Inventaire des produits'!$B$4:$K$1001,2,0),"")</f>
        <v/>
      </c>
      <c r="G2234" s="212"/>
      <c r="H2234" s="30" t="str">
        <f>IFERROR(VLOOKUP(E2234,'Inventaire des produits'!$B$4:$K$1001,8,0),"")</f>
        <v/>
      </c>
      <c r="I2234" s="32" t="str">
        <f t="shared" si="66"/>
        <v/>
      </c>
      <c r="K2234" s="127" t="str">
        <f t="shared" si="65"/>
        <v/>
      </c>
    </row>
    <row r="2235" spans="2:11" x14ac:dyDescent="0.3">
      <c r="B2235" s="197"/>
      <c r="C2235" s="199"/>
      <c r="D2235" s="197"/>
      <c r="E2235" s="212"/>
      <c r="F2235" s="29" t="str">
        <f>IFERROR(VLOOKUP(E2235,'Inventaire des produits'!$B$4:$K$1001,2,0),"")</f>
        <v/>
      </c>
      <c r="G2235" s="212"/>
      <c r="H2235" s="30" t="str">
        <f>IFERROR(VLOOKUP(E2235,'Inventaire des produits'!$B$4:$K$1001,8,0),"")</f>
        <v/>
      </c>
      <c r="I2235" s="32" t="str">
        <f t="shared" si="66"/>
        <v/>
      </c>
      <c r="K2235" s="127" t="str">
        <f t="shared" si="65"/>
        <v/>
      </c>
    </row>
    <row r="2236" spans="2:11" x14ac:dyDescent="0.3">
      <c r="B2236" s="197"/>
      <c r="C2236" s="199"/>
      <c r="D2236" s="197"/>
      <c r="E2236" s="212"/>
      <c r="F2236" s="29" t="str">
        <f>IFERROR(VLOOKUP(E2236,'Inventaire des produits'!$B$4:$K$1001,2,0),"")</f>
        <v/>
      </c>
      <c r="G2236" s="212"/>
      <c r="H2236" s="30" t="str">
        <f>IFERROR(VLOOKUP(E2236,'Inventaire des produits'!$B$4:$K$1001,8,0),"")</f>
        <v/>
      </c>
      <c r="I2236" s="32" t="str">
        <f t="shared" si="66"/>
        <v/>
      </c>
      <c r="K2236" s="127" t="str">
        <f t="shared" ref="K2236:K2299" si="67">IF(J2236="","",J2236*1.2)</f>
        <v/>
      </c>
    </row>
    <row r="2237" spans="2:11" x14ac:dyDescent="0.3">
      <c r="B2237" s="197"/>
      <c r="C2237" s="199"/>
      <c r="D2237" s="197"/>
      <c r="E2237" s="212"/>
      <c r="F2237" s="29" t="str">
        <f>IFERROR(VLOOKUP(E2237,'Inventaire des produits'!$B$4:$K$1001,2,0),"")</f>
        <v/>
      </c>
      <c r="G2237" s="212"/>
      <c r="H2237" s="30" t="str">
        <f>IFERROR(VLOOKUP(E2237,'Inventaire des produits'!$B$4:$K$1001,8,0),"")</f>
        <v/>
      </c>
      <c r="I2237" s="32" t="str">
        <f t="shared" si="66"/>
        <v/>
      </c>
      <c r="K2237" s="127" t="str">
        <f t="shared" si="67"/>
        <v/>
      </c>
    </row>
    <row r="2238" spans="2:11" x14ac:dyDescent="0.3">
      <c r="B2238" s="197"/>
      <c r="C2238" s="199"/>
      <c r="D2238" s="197"/>
      <c r="E2238" s="212"/>
      <c r="F2238" s="29" t="str">
        <f>IFERROR(VLOOKUP(E2238,'Inventaire des produits'!$B$4:$K$1001,2,0),"")</f>
        <v/>
      </c>
      <c r="G2238" s="212"/>
      <c r="H2238" s="30" t="str">
        <f>IFERROR(VLOOKUP(E2238,'Inventaire des produits'!$B$4:$K$1001,8,0),"")</f>
        <v/>
      </c>
      <c r="I2238" s="32" t="str">
        <f t="shared" si="66"/>
        <v/>
      </c>
      <c r="K2238" s="127" t="str">
        <f t="shared" si="67"/>
        <v/>
      </c>
    </row>
    <row r="2239" spans="2:11" x14ac:dyDescent="0.3">
      <c r="B2239" s="197"/>
      <c r="C2239" s="199"/>
      <c r="D2239" s="197"/>
      <c r="E2239" s="212"/>
      <c r="F2239" s="29" t="str">
        <f>IFERROR(VLOOKUP(E2239,'Inventaire des produits'!$B$4:$K$1001,2,0),"")</f>
        <v/>
      </c>
      <c r="G2239" s="212"/>
      <c r="H2239" s="30" t="str">
        <f>IFERROR(VLOOKUP(E2239,'Inventaire des produits'!$B$4:$K$1001,8,0),"")</f>
        <v/>
      </c>
      <c r="I2239" s="32" t="str">
        <f t="shared" si="66"/>
        <v/>
      </c>
      <c r="K2239" s="127" t="str">
        <f t="shared" si="67"/>
        <v/>
      </c>
    </row>
    <row r="2240" spans="2:11" x14ac:dyDescent="0.3">
      <c r="B2240" s="197"/>
      <c r="C2240" s="199"/>
      <c r="D2240" s="197"/>
      <c r="E2240" s="212"/>
      <c r="F2240" s="29" t="str">
        <f>IFERROR(VLOOKUP(E2240,'Inventaire des produits'!$B$4:$K$1001,2,0),"")</f>
        <v/>
      </c>
      <c r="G2240" s="212"/>
      <c r="H2240" s="30" t="str">
        <f>IFERROR(VLOOKUP(E2240,'Inventaire des produits'!$B$4:$K$1001,8,0),"")</f>
        <v/>
      </c>
      <c r="I2240" s="32" t="str">
        <f t="shared" si="66"/>
        <v/>
      </c>
      <c r="K2240" s="127" t="str">
        <f t="shared" si="67"/>
        <v/>
      </c>
    </row>
    <row r="2241" spans="2:11" x14ac:dyDescent="0.3">
      <c r="B2241" s="197"/>
      <c r="C2241" s="199"/>
      <c r="D2241" s="197"/>
      <c r="E2241" s="212"/>
      <c r="F2241" s="29" t="str">
        <f>IFERROR(VLOOKUP(E2241,'Inventaire des produits'!$B$4:$K$1001,2,0),"")</f>
        <v/>
      </c>
      <c r="G2241" s="212"/>
      <c r="H2241" s="30" t="str">
        <f>IFERROR(VLOOKUP(E2241,'Inventaire des produits'!$B$4:$K$1001,8,0),"")</f>
        <v/>
      </c>
      <c r="I2241" s="32" t="str">
        <f t="shared" si="66"/>
        <v/>
      </c>
      <c r="K2241" s="127" t="str">
        <f t="shared" si="67"/>
        <v/>
      </c>
    </row>
    <row r="2242" spans="2:11" x14ac:dyDescent="0.3">
      <c r="B2242" s="197"/>
      <c r="C2242" s="199"/>
      <c r="D2242" s="197"/>
      <c r="E2242" s="212"/>
      <c r="F2242" s="29" t="str">
        <f>IFERROR(VLOOKUP(E2242,'Inventaire des produits'!$B$4:$K$1001,2,0),"")</f>
        <v/>
      </c>
      <c r="G2242" s="212"/>
      <c r="H2242" s="30" t="str">
        <f>IFERROR(VLOOKUP(E2242,'Inventaire des produits'!$B$4:$K$1001,8,0),"")</f>
        <v/>
      </c>
      <c r="I2242" s="32" t="str">
        <f t="shared" ref="I2242:I2305" si="68">IF(OR(G2242="",H2242=""),"",G2242*H2242)</f>
        <v/>
      </c>
      <c r="K2242" s="127" t="str">
        <f t="shared" si="67"/>
        <v/>
      </c>
    </row>
    <row r="2243" spans="2:11" x14ac:dyDescent="0.3">
      <c r="B2243" s="197"/>
      <c r="C2243" s="199"/>
      <c r="D2243" s="197"/>
      <c r="E2243" s="212"/>
      <c r="F2243" s="29" t="str">
        <f>IFERROR(VLOOKUP(E2243,'Inventaire des produits'!$B$4:$K$1001,2,0),"")</f>
        <v/>
      </c>
      <c r="G2243" s="212"/>
      <c r="H2243" s="30" t="str">
        <f>IFERROR(VLOOKUP(E2243,'Inventaire des produits'!$B$4:$K$1001,8,0),"")</f>
        <v/>
      </c>
      <c r="I2243" s="32" t="str">
        <f t="shared" si="68"/>
        <v/>
      </c>
      <c r="K2243" s="127" t="str">
        <f t="shared" si="67"/>
        <v/>
      </c>
    </row>
    <row r="2244" spans="2:11" x14ac:dyDescent="0.3">
      <c r="B2244" s="197"/>
      <c r="C2244" s="199"/>
      <c r="D2244" s="197"/>
      <c r="E2244" s="212"/>
      <c r="F2244" s="29" t="str">
        <f>IFERROR(VLOOKUP(E2244,'Inventaire des produits'!$B$4:$K$1001,2,0),"")</f>
        <v/>
      </c>
      <c r="G2244" s="212"/>
      <c r="H2244" s="30" t="str">
        <f>IFERROR(VLOOKUP(E2244,'Inventaire des produits'!$B$4:$K$1001,8,0),"")</f>
        <v/>
      </c>
      <c r="I2244" s="32" t="str">
        <f t="shared" si="68"/>
        <v/>
      </c>
      <c r="K2244" s="127" t="str">
        <f t="shared" si="67"/>
        <v/>
      </c>
    </row>
    <row r="2245" spans="2:11" x14ac:dyDescent="0.3">
      <c r="B2245" s="197"/>
      <c r="C2245" s="199"/>
      <c r="D2245" s="197"/>
      <c r="E2245" s="212"/>
      <c r="F2245" s="29" t="str">
        <f>IFERROR(VLOOKUP(E2245,'Inventaire des produits'!$B$4:$K$1001,2,0),"")</f>
        <v/>
      </c>
      <c r="G2245" s="212"/>
      <c r="H2245" s="30" t="str">
        <f>IFERROR(VLOOKUP(E2245,'Inventaire des produits'!$B$4:$K$1001,8,0),"")</f>
        <v/>
      </c>
      <c r="I2245" s="32" t="str">
        <f t="shared" si="68"/>
        <v/>
      </c>
      <c r="K2245" s="127" t="str">
        <f t="shared" si="67"/>
        <v/>
      </c>
    </row>
    <row r="2246" spans="2:11" x14ac:dyDescent="0.3">
      <c r="B2246" s="197"/>
      <c r="C2246" s="199"/>
      <c r="D2246" s="197"/>
      <c r="E2246" s="212"/>
      <c r="F2246" s="29" t="str">
        <f>IFERROR(VLOOKUP(E2246,'Inventaire des produits'!$B$4:$K$1001,2,0),"")</f>
        <v/>
      </c>
      <c r="G2246" s="212"/>
      <c r="H2246" s="30" t="str">
        <f>IFERROR(VLOOKUP(E2246,'Inventaire des produits'!$B$4:$K$1001,8,0),"")</f>
        <v/>
      </c>
      <c r="I2246" s="32" t="str">
        <f t="shared" si="68"/>
        <v/>
      </c>
      <c r="K2246" s="127" t="str">
        <f t="shared" si="67"/>
        <v/>
      </c>
    </row>
    <row r="2247" spans="2:11" x14ac:dyDescent="0.3">
      <c r="B2247" s="197"/>
      <c r="C2247" s="199"/>
      <c r="D2247" s="197"/>
      <c r="E2247" s="212"/>
      <c r="F2247" s="29" t="str">
        <f>IFERROR(VLOOKUP(E2247,'Inventaire des produits'!$B$4:$K$1001,2,0),"")</f>
        <v/>
      </c>
      <c r="G2247" s="212"/>
      <c r="H2247" s="30" t="str">
        <f>IFERROR(VLOOKUP(E2247,'Inventaire des produits'!$B$4:$K$1001,8,0),"")</f>
        <v/>
      </c>
      <c r="I2247" s="32" t="str">
        <f t="shared" si="68"/>
        <v/>
      </c>
      <c r="K2247" s="127" t="str">
        <f t="shared" si="67"/>
        <v/>
      </c>
    </row>
    <row r="2248" spans="2:11" x14ac:dyDescent="0.3">
      <c r="B2248" s="197"/>
      <c r="C2248" s="199"/>
      <c r="D2248" s="197"/>
      <c r="E2248" s="212"/>
      <c r="F2248" s="29" t="str">
        <f>IFERROR(VLOOKUP(E2248,'Inventaire des produits'!$B$4:$K$1001,2,0),"")</f>
        <v/>
      </c>
      <c r="G2248" s="212"/>
      <c r="H2248" s="30" t="str">
        <f>IFERROR(VLOOKUP(E2248,'Inventaire des produits'!$B$4:$K$1001,8,0),"")</f>
        <v/>
      </c>
      <c r="I2248" s="32" t="str">
        <f t="shared" si="68"/>
        <v/>
      </c>
      <c r="K2248" s="127" t="str">
        <f t="shared" si="67"/>
        <v/>
      </c>
    </row>
    <row r="2249" spans="2:11" x14ac:dyDescent="0.3">
      <c r="B2249" s="197"/>
      <c r="C2249" s="199"/>
      <c r="D2249" s="197"/>
      <c r="E2249" s="212"/>
      <c r="F2249" s="29" t="str">
        <f>IFERROR(VLOOKUP(E2249,'Inventaire des produits'!$B$4:$K$1001,2,0),"")</f>
        <v/>
      </c>
      <c r="G2249" s="212"/>
      <c r="H2249" s="30" t="str">
        <f>IFERROR(VLOOKUP(E2249,'Inventaire des produits'!$B$4:$K$1001,8,0),"")</f>
        <v/>
      </c>
      <c r="I2249" s="32" t="str">
        <f t="shared" si="68"/>
        <v/>
      </c>
      <c r="K2249" s="127" t="str">
        <f t="shared" si="67"/>
        <v/>
      </c>
    </row>
    <row r="2250" spans="2:11" x14ac:dyDescent="0.3">
      <c r="B2250" s="197"/>
      <c r="C2250" s="199"/>
      <c r="D2250" s="197"/>
      <c r="E2250" s="212"/>
      <c r="F2250" s="29" t="str">
        <f>IFERROR(VLOOKUP(E2250,'Inventaire des produits'!$B$4:$K$1001,2,0),"")</f>
        <v/>
      </c>
      <c r="G2250" s="212"/>
      <c r="H2250" s="30" t="str">
        <f>IFERROR(VLOOKUP(E2250,'Inventaire des produits'!$B$4:$K$1001,8,0),"")</f>
        <v/>
      </c>
      <c r="I2250" s="32" t="str">
        <f t="shared" si="68"/>
        <v/>
      </c>
      <c r="K2250" s="127" t="str">
        <f t="shared" si="67"/>
        <v/>
      </c>
    </row>
    <row r="2251" spans="2:11" x14ac:dyDescent="0.3">
      <c r="B2251" s="197"/>
      <c r="C2251" s="199"/>
      <c r="D2251" s="197"/>
      <c r="E2251" s="212"/>
      <c r="F2251" s="29" t="str">
        <f>IFERROR(VLOOKUP(E2251,'Inventaire des produits'!$B$4:$K$1001,2,0),"")</f>
        <v/>
      </c>
      <c r="G2251" s="212"/>
      <c r="H2251" s="30" t="str">
        <f>IFERROR(VLOOKUP(E2251,'Inventaire des produits'!$B$4:$K$1001,8,0),"")</f>
        <v/>
      </c>
      <c r="I2251" s="32" t="str">
        <f t="shared" si="68"/>
        <v/>
      </c>
      <c r="K2251" s="127" t="str">
        <f t="shared" si="67"/>
        <v/>
      </c>
    </row>
    <row r="2252" spans="2:11" x14ac:dyDescent="0.3">
      <c r="B2252" s="197"/>
      <c r="C2252" s="199"/>
      <c r="D2252" s="197"/>
      <c r="E2252" s="212"/>
      <c r="F2252" s="29" t="str">
        <f>IFERROR(VLOOKUP(E2252,'Inventaire des produits'!$B$4:$K$1001,2,0),"")</f>
        <v/>
      </c>
      <c r="G2252" s="212"/>
      <c r="H2252" s="30" t="str">
        <f>IFERROR(VLOOKUP(E2252,'Inventaire des produits'!$B$4:$K$1001,8,0),"")</f>
        <v/>
      </c>
      <c r="I2252" s="32" t="str">
        <f t="shared" si="68"/>
        <v/>
      </c>
      <c r="K2252" s="127" t="str">
        <f t="shared" si="67"/>
        <v/>
      </c>
    </row>
    <row r="2253" spans="2:11" x14ac:dyDescent="0.3">
      <c r="B2253" s="197"/>
      <c r="C2253" s="199"/>
      <c r="D2253" s="197"/>
      <c r="E2253" s="212"/>
      <c r="F2253" s="29" t="str">
        <f>IFERROR(VLOOKUP(E2253,'Inventaire des produits'!$B$4:$K$1001,2,0),"")</f>
        <v/>
      </c>
      <c r="G2253" s="212"/>
      <c r="H2253" s="30" t="str">
        <f>IFERROR(VLOOKUP(E2253,'Inventaire des produits'!$B$4:$K$1001,8,0),"")</f>
        <v/>
      </c>
      <c r="I2253" s="32" t="str">
        <f t="shared" si="68"/>
        <v/>
      </c>
      <c r="K2253" s="127" t="str">
        <f t="shared" si="67"/>
        <v/>
      </c>
    </row>
    <row r="2254" spans="2:11" x14ac:dyDescent="0.3">
      <c r="B2254" s="197"/>
      <c r="C2254" s="199"/>
      <c r="D2254" s="197"/>
      <c r="E2254" s="212"/>
      <c r="F2254" s="29" t="str">
        <f>IFERROR(VLOOKUP(E2254,'Inventaire des produits'!$B$4:$K$1001,2,0),"")</f>
        <v/>
      </c>
      <c r="G2254" s="212"/>
      <c r="H2254" s="30" t="str">
        <f>IFERROR(VLOOKUP(E2254,'Inventaire des produits'!$B$4:$K$1001,8,0),"")</f>
        <v/>
      </c>
      <c r="I2254" s="32" t="str">
        <f t="shared" si="68"/>
        <v/>
      </c>
      <c r="K2254" s="127" t="str">
        <f t="shared" si="67"/>
        <v/>
      </c>
    </row>
    <row r="2255" spans="2:11" x14ac:dyDescent="0.3">
      <c r="B2255" s="197"/>
      <c r="C2255" s="199"/>
      <c r="D2255" s="197"/>
      <c r="E2255" s="212"/>
      <c r="F2255" s="29" t="str">
        <f>IFERROR(VLOOKUP(E2255,'Inventaire des produits'!$B$4:$K$1001,2,0),"")</f>
        <v/>
      </c>
      <c r="G2255" s="212"/>
      <c r="H2255" s="30" t="str">
        <f>IFERROR(VLOOKUP(E2255,'Inventaire des produits'!$B$4:$K$1001,8,0),"")</f>
        <v/>
      </c>
      <c r="I2255" s="32" t="str">
        <f t="shared" si="68"/>
        <v/>
      </c>
      <c r="K2255" s="127" t="str">
        <f t="shared" si="67"/>
        <v/>
      </c>
    </row>
    <row r="2256" spans="2:11" x14ac:dyDescent="0.3">
      <c r="B2256" s="197"/>
      <c r="C2256" s="199"/>
      <c r="D2256" s="197"/>
      <c r="E2256" s="212"/>
      <c r="F2256" s="29" t="str">
        <f>IFERROR(VLOOKUP(E2256,'Inventaire des produits'!$B$4:$K$1001,2,0),"")</f>
        <v/>
      </c>
      <c r="G2256" s="212"/>
      <c r="H2256" s="30" t="str">
        <f>IFERROR(VLOOKUP(E2256,'Inventaire des produits'!$B$4:$K$1001,8,0),"")</f>
        <v/>
      </c>
      <c r="I2256" s="32" t="str">
        <f t="shared" si="68"/>
        <v/>
      </c>
      <c r="K2256" s="127" t="str">
        <f t="shared" si="67"/>
        <v/>
      </c>
    </row>
    <row r="2257" spans="2:11" x14ac:dyDescent="0.3">
      <c r="B2257" s="197"/>
      <c r="C2257" s="199"/>
      <c r="D2257" s="197"/>
      <c r="E2257" s="212"/>
      <c r="F2257" s="29" t="str">
        <f>IFERROR(VLOOKUP(E2257,'Inventaire des produits'!$B$4:$K$1001,2,0),"")</f>
        <v/>
      </c>
      <c r="G2257" s="212"/>
      <c r="H2257" s="30" t="str">
        <f>IFERROR(VLOOKUP(E2257,'Inventaire des produits'!$B$4:$K$1001,8,0),"")</f>
        <v/>
      </c>
      <c r="I2257" s="32" t="str">
        <f t="shared" si="68"/>
        <v/>
      </c>
      <c r="K2257" s="127" t="str">
        <f t="shared" si="67"/>
        <v/>
      </c>
    </row>
    <row r="2258" spans="2:11" x14ac:dyDescent="0.3">
      <c r="B2258" s="197"/>
      <c r="C2258" s="199"/>
      <c r="D2258" s="197"/>
      <c r="E2258" s="212"/>
      <c r="F2258" s="29" t="str">
        <f>IFERROR(VLOOKUP(E2258,'Inventaire des produits'!$B$4:$K$1001,2,0),"")</f>
        <v/>
      </c>
      <c r="G2258" s="212"/>
      <c r="H2258" s="30" t="str">
        <f>IFERROR(VLOOKUP(E2258,'Inventaire des produits'!$B$4:$K$1001,8,0),"")</f>
        <v/>
      </c>
      <c r="I2258" s="32" t="str">
        <f t="shared" si="68"/>
        <v/>
      </c>
      <c r="K2258" s="127" t="str">
        <f t="shared" si="67"/>
        <v/>
      </c>
    </row>
    <row r="2259" spans="2:11" x14ac:dyDescent="0.3">
      <c r="B2259" s="197"/>
      <c r="C2259" s="199"/>
      <c r="D2259" s="197"/>
      <c r="E2259" s="212"/>
      <c r="F2259" s="29" t="str">
        <f>IFERROR(VLOOKUP(E2259,'Inventaire des produits'!$B$4:$K$1001,2,0),"")</f>
        <v/>
      </c>
      <c r="G2259" s="212"/>
      <c r="H2259" s="30" t="str">
        <f>IFERROR(VLOOKUP(E2259,'Inventaire des produits'!$B$4:$K$1001,8,0),"")</f>
        <v/>
      </c>
      <c r="I2259" s="32" t="str">
        <f t="shared" si="68"/>
        <v/>
      </c>
      <c r="K2259" s="127" t="str">
        <f t="shared" si="67"/>
        <v/>
      </c>
    </row>
    <row r="2260" spans="2:11" x14ac:dyDescent="0.3">
      <c r="B2260" s="197"/>
      <c r="C2260" s="199"/>
      <c r="D2260" s="197"/>
      <c r="E2260" s="212"/>
      <c r="F2260" s="29" t="str">
        <f>IFERROR(VLOOKUP(E2260,'Inventaire des produits'!$B$4:$K$1001,2,0),"")</f>
        <v/>
      </c>
      <c r="G2260" s="212"/>
      <c r="H2260" s="30" t="str">
        <f>IFERROR(VLOOKUP(E2260,'Inventaire des produits'!$B$4:$K$1001,8,0),"")</f>
        <v/>
      </c>
      <c r="I2260" s="32" t="str">
        <f t="shared" si="68"/>
        <v/>
      </c>
      <c r="K2260" s="127" t="str">
        <f t="shared" si="67"/>
        <v/>
      </c>
    </row>
    <row r="2261" spans="2:11" x14ac:dyDescent="0.3">
      <c r="B2261" s="197"/>
      <c r="C2261" s="199"/>
      <c r="D2261" s="197"/>
      <c r="E2261" s="212"/>
      <c r="F2261" s="29" t="str">
        <f>IFERROR(VLOOKUP(E2261,'Inventaire des produits'!$B$4:$K$1001,2,0),"")</f>
        <v/>
      </c>
      <c r="G2261" s="212"/>
      <c r="H2261" s="30" t="str">
        <f>IFERROR(VLOOKUP(E2261,'Inventaire des produits'!$B$4:$K$1001,8,0),"")</f>
        <v/>
      </c>
      <c r="I2261" s="32" t="str">
        <f t="shared" si="68"/>
        <v/>
      </c>
      <c r="K2261" s="127" t="str">
        <f t="shared" si="67"/>
        <v/>
      </c>
    </row>
    <row r="2262" spans="2:11" x14ac:dyDescent="0.3">
      <c r="B2262" s="197"/>
      <c r="C2262" s="199"/>
      <c r="D2262" s="197"/>
      <c r="E2262" s="212"/>
      <c r="F2262" s="29" t="str">
        <f>IFERROR(VLOOKUP(E2262,'Inventaire des produits'!$B$4:$K$1001,2,0),"")</f>
        <v/>
      </c>
      <c r="G2262" s="212"/>
      <c r="H2262" s="30" t="str">
        <f>IFERROR(VLOOKUP(E2262,'Inventaire des produits'!$B$4:$K$1001,8,0),"")</f>
        <v/>
      </c>
      <c r="I2262" s="32" t="str">
        <f t="shared" si="68"/>
        <v/>
      </c>
      <c r="K2262" s="127" t="str">
        <f t="shared" si="67"/>
        <v/>
      </c>
    </row>
    <row r="2263" spans="2:11" x14ac:dyDescent="0.3">
      <c r="B2263" s="197"/>
      <c r="C2263" s="199"/>
      <c r="D2263" s="197"/>
      <c r="E2263" s="212"/>
      <c r="F2263" s="29" t="str">
        <f>IFERROR(VLOOKUP(E2263,'Inventaire des produits'!$B$4:$K$1001,2,0),"")</f>
        <v/>
      </c>
      <c r="G2263" s="212"/>
      <c r="H2263" s="30" t="str">
        <f>IFERROR(VLOOKUP(E2263,'Inventaire des produits'!$B$4:$K$1001,8,0),"")</f>
        <v/>
      </c>
      <c r="I2263" s="32" t="str">
        <f t="shared" si="68"/>
        <v/>
      </c>
      <c r="K2263" s="127" t="str">
        <f t="shared" si="67"/>
        <v/>
      </c>
    </row>
    <row r="2264" spans="2:11" x14ac:dyDescent="0.3">
      <c r="B2264" s="197"/>
      <c r="C2264" s="199"/>
      <c r="D2264" s="197"/>
      <c r="E2264" s="212"/>
      <c r="F2264" s="29" t="str">
        <f>IFERROR(VLOOKUP(E2264,'Inventaire des produits'!$B$4:$K$1001,2,0),"")</f>
        <v/>
      </c>
      <c r="G2264" s="212"/>
      <c r="H2264" s="30" t="str">
        <f>IFERROR(VLOOKUP(E2264,'Inventaire des produits'!$B$4:$K$1001,8,0),"")</f>
        <v/>
      </c>
      <c r="I2264" s="32" t="str">
        <f t="shared" si="68"/>
        <v/>
      </c>
      <c r="K2264" s="127" t="str">
        <f t="shared" si="67"/>
        <v/>
      </c>
    </row>
    <row r="2265" spans="2:11" x14ac:dyDescent="0.3">
      <c r="B2265" s="197"/>
      <c r="C2265" s="199"/>
      <c r="D2265" s="197"/>
      <c r="E2265" s="212"/>
      <c r="F2265" s="29" t="str">
        <f>IFERROR(VLOOKUP(E2265,'Inventaire des produits'!$B$4:$K$1001,2,0),"")</f>
        <v/>
      </c>
      <c r="G2265" s="212"/>
      <c r="H2265" s="30" t="str">
        <f>IFERROR(VLOOKUP(E2265,'Inventaire des produits'!$B$4:$K$1001,8,0),"")</f>
        <v/>
      </c>
      <c r="I2265" s="32" t="str">
        <f t="shared" si="68"/>
        <v/>
      </c>
      <c r="K2265" s="127" t="str">
        <f t="shared" si="67"/>
        <v/>
      </c>
    </row>
    <row r="2266" spans="2:11" x14ac:dyDescent="0.3">
      <c r="B2266" s="197"/>
      <c r="C2266" s="199"/>
      <c r="D2266" s="197"/>
      <c r="E2266" s="212"/>
      <c r="F2266" s="29" t="str">
        <f>IFERROR(VLOOKUP(E2266,'Inventaire des produits'!$B$4:$K$1001,2,0),"")</f>
        <v/>
      </c>
      <c r="G2266" s="212"/>
      <c r="H2266" s="30" t="str">
        <f>IFERROR(VLOOKUP(E2266,'Inventaire des produits'!$B$4:$K$1001,8,0),"")</f>
        <v/>
      </c>
      <c r="I2266" s="32" t="str">
        <f t="shared" si="68"/>
        <v/>
      </c>
      <c r="K2266" s="127" t="str">
        <f t="shared" si="67"/>
        <v/>
      </c>
    </row>
    <row r="2267" spans="2:11" x14ac:dyDescent="0.3">
      <c r="B2267" s="197"/>
      <c r="C2267" s="199"/>
      <c r="D2267" s="197"/>
      <c r="E2267" s="212"/>
      <c r="F2267" s="29" t="str">
        <f>IFERROR(VLOOKUP(E2267,'Inventaire des produits'!$B$4:$K$1001,2,0),"")</f>
        <v/>
      </c>
      <c r="G2267" s="212"/>
      <c r="H2267" s="30" t="str">
        <f>IFERROR(VLOOKUP(E2267,'Inventaire des produits'!$B$4:$K$1001,8,0),"")</f>
        <v/>
      </c>
      <c r="I2267" s="32" t="str">
        <f t="shared" si="68"/>
        <v/>
      </c>
      <c r="K2267" s="127" t="str">
        <f t="shared" si="67"/>
        <v/>
      </c>
    </row>
    <row r="2268" spans="2:11" x14ac:dyDescent="0.3">
      <c r="B2268" s="197"/>
      <c r="C2268" s="199"/>
      <c r="D2268" s="197"/>
      <c r="E2268" s="212"/>
      <c r="F2268" s="29" t="str">
        <f>IFERROR(VLOOKUP(E2268,'Inventaire des produits'!$B$4:$K$1001,2,0),"")</f>
        <v/>
      </c>
      <c r="G2268" s="212"/>
      <c r="H2268" s="30" t="str">
        <f>IFERROR(VLOOKUP(E2268,'Inventaire des produits'!$B$4:$K$1001,8,0),"")</f>
        <v/>
      </c>
      <c r="I2268" s="32" t="str">
        <f t="shared" si="68"/>
        <v/>
      </c>
      <c r="K2268" s="127" t="str">
        <f t="shared" si="67"/>
        <v/>
      </c>
    </row>
    <row r="2269" spans="2:11" x14ac:dyDescent="0.3">
      <c r="B2269" s="197"/>
      <c r="C2269" s="199"/>
      <c r="D2269" s="197"/>
      <c r="E2269" s="212"/>
      <c r="F2269" s="29" t="str">
        <f>IFERROR(VLOOKUP(E2269,'Inventaire des produits'!$B$4:$K$1001,2,0),"")</f>
        <v/>
      </c>
      <c r="G2269" s="212"/>
      <c r="H2269" s="30" t="str">
        <f>IFERROR(VLOOKUP(E2269,'Inventaire des produits'!$B$4:$K$1001,8,0),"")</f>
        <v/>
      </c>
      <c r="I2269" s="32" t="str">
        <f t="shared" si="68"/>
        <v/>
      </c>
      <c r="K2269" s="127" t="str">
        <f t="shared" si="67"/>
        <v/>
      </c>
    </row>
    <row r="2270" spans="2:11" x14ac:dyDescent="0.3">
      <c r="B2270" s="197"/>
      <c r="C2270" s="199"/>
      <c r="D2270" s="197"/>
      <c r="E2270" s="212"/>
      <c r="F2270" s="29" t="str">
        <f>IFERROR(VLOOKUP(E2270,'Inventaire des produits'!$B$4:$K$1001,2,0),"")</f>
        <v/>
      </c>
      <c r="G2270" s="212"/>
      <c r="H2270" s="30" t="str">
        <f>IFERROR(VLOOKUP(E2270,'Inventaire des produits'!$B$4:$K$1001,8,0),"")</f>
        <v/>
      </c>
      <c r="I2270" s="32" t="str">
        <f t="shared" si="68"/>
        <v/>
      </c>
      <c r="K2270" s="127" t="str">
        <f t="shared" si="67"/>
        <v/>
      </c>
    </row>
    <row r="2271" spans="2:11" x14ac:dyDescent="0.3">
      <c r="B2271" s="197"/>
      <c r="C2271" s="199"/>
      <c r="D2271" s="197"/>
      <c r="E2271" s="212"/>
      <c r="F2271" s="29" t="str">
        <f>IFERROR(VLOOKUP(E2271,'Inventaire des produits'!$B$4:$K$1001,2,0),"")</f>
        <v/>
      </c>
      <c r="G2271" s="212"/>
      <c r="H2271" s="30" t="str">
        <f>IFERROR(VLOOKUP(E2271,'Inventaire des produits'!$B$4:$K$1001,8,0),"")</f>
        <v/>
      </c>
      <c r="I2271" s="32" t="str">
        <f t="shared" si="68"/>
        <v/>
      </c>
      <c r="K2271" s="127" t="str">
        <f t="shared" si="67"/>
        <v/>
      </c>
    </row>
    <row r="2272" spans="2:11" x14ac:dyDescent="0.3">
      <c r="B2272" s="197"/>
      <c r="C2272" s="199"/>
      <c r="D2272" s="197"/>
      <c r="E2272" s="212"/>
      <c r="F2272" s="29" t="str">
        <f>IFERROR(VLOOKUP(E2272,'Inventaire des produits'!$B$4:$K$1001,2,0),"")</f>
        <v/>
      </c>
      <c r="G2272" s="212"/>
      <c r="H2272" s="30" t="str">
        <f>IFERROR(VLOOKUP(E2272,'Inventaire des produits'!$B$4:$K$1001,8,0),"")</f>
        <v/>
      </c>
      <c r="I2272" s="32" t="str">
        <f t="shared" si="68"/>
        <v/>
      </c>
      <c r="K2272" s="127" t="str">
        <f t="shared" si="67"/>
        <v/>
      </c>
    </row>
    <row r="2273" spans="2:11" x14ac:dyDescent="0.3">
      <c r="B2273" s="197"/>
      <c r="C2273" s="199"/>
      <c r="D2273" s="197"/>
      <c r="E2273" s="212"/>
      <c r="F2273" s="29" t="str">
        <f>IFERROR(VLOOKUP(E2273,'Inventaire des produits'!$B$4:$K$1001,2,0),"")</f>
        <v/>
      </c>
      <c r="G2273" s="212"/>
      <c r="H2273" s="30" t="str">
        <f>IFERROR(VLOOKUP(E2273,'Inventaire des produits'!$B$4:$K$1001,8,0),"")</f>
        <v/>
      </c>
      <c r="I2273" s="32" t="str">
        <f t="shared" si="68"/>
        <v/>
      </c>
      <c r="K2273" s="127" t="str">
        <f t="shared" si="67"/>
        <v/>
      </c>
    </row>
    <row r="2274" spans="2:11" x14ac:dyDescent="0.3">
      <c r="B2274" s="197"/>
      <c r="C2274" s="199"/>
      <c r="D2274" s="197"/>
      <c r="E2274" s="212"/>
      <c r="F2274" s="29" t="str">
        <f>IFERROR(VLOOKUP(E2274,'Inventaire des produits'!$B$4:$K$1001,2,0),"")</f>
        <v/>
      </c>
      <c r="G2274" s="212"/>
      <c r="H2274" s="30" t="str">
        <f>IFERROR(VLOOKUP(E2274,'Inventaire des produits'!$B$4:$K$1001,8,0),"")</f>
        <v/>
      </c>
      <c r="I2274" s="32" t="str">
        <f t="shared" si="68"/>
        <v/>
      </c>
      <c r="K2274" s="127" t="str">
        <f t="shared" si="67"/>
        <v/>
      </c>
    </row>
    <row r="2275" spans="2:11" x14ac:dyDescent="0.3">
      <c r="B2275" s="197"/>
      <c r="C2275" s="199"/>
      <c r="D2275" s="197"/>
      <c r="E2275" s="212"/>
      <c r="F2275" s="29" t="str">
        <f>IFERROR(VLOOKUP(E2275,'Inventaire des produits'!$B$4:$K$1001,2,0),"")</f>
        <v/>
      </c>
      <c r="G2275" s="212"/>
      <c r="H2275" s="30" t="str">
        <f>IFERROR(VLOOKUP(E2275,'Inventaire des produits'!$B$4:$K$1001,8,0),"")</f>
        <v/>
      </c>
      <c r="I2275" s="32" t="str">
        <f t="shared" si="68"/>
        <v/>
      </c>
      <c r="K2275" s="127" t="str">
        <f t="shared" si="67"/>
        <v/>
      </c>
    </row>
    <row r="2276" spans="2:11" x14ac:dyDescent="0.3">
      <c r="B2276" s="197"/>
      <c r="C2276" s="199"/>
      <c r="D2276" s="197"/>
      <c r="E2276" s="212"/>
      <c r="F2276" s="29" t="str">
        <f>IFERROR(VLOOKUP(E2276,'Inventaire des produits'!$B$4:$K$1001,2,0),"")</f>
        <v/>
      </c>
      <c r="G2276" s="212"/>
      <c r="H2276" s="30" t="str">
        <f>IFERROR(VLOOKUP(E2276,'Inventaire des produits'!$B$4:$K$1001,8,0),"")</f>
        <v/>
      </c>
      <c r="I2276" s="32" t="str">
        <f t="shared" si="68"/>
        <v/>
      </c>
      <c r="K2276" s="127" t="str">
        <f t="shared" si="67"/>
        <v/>
      </c>
    </row>
    <row r="2277" spans="2:11" x14ac:dyDescent="0.3">
      <c r="B2277" s="197"/>
      <c r="C2277" s="199"/>
      <c r="D2277" s="197"/>
      <c r="E2277" s="212"/>
      <c r="F2277" s="29" t="str">
        <f>IFERROR(VLOOKUP(E2277,'Inventaire des produits'!$B$4:$K$1001,2,0),"")</f>
        <v/>
      </c>
      <c r="G2277" s="212"/>
      <c r="H2277" s="30" t="str">
        <f>IFERROR(VLOOKUP(E2277,'Inventaire des produits'!$B$4:$K$1001,8,0),"")</f>
        <v/>
      </c>
      <c r="I2277" s="32" t="str">
        <f t="shared" si="68"/>
        <v/>
      </c>
      <c r="K2277" s="127" t="str">
        <f t="shared" si="67"/>
        <v/>
      </c>
    </row>
    <row r="2278" spans="2:11" x14ac:dyDescent="0.3">
      <c r="B2278" s="197"/>
      <c r="C2278" s="199"/>
      <c r="D2278" s="197"/>
      <c r="E2278" s="212"/>
      <c r="F2278" s="29" t="str">
        <f>IFERROR(VLOOKUP(E2278,'Inventaire des produits'!$B$4:$K$1001,2,0),"")</f>
        <v/>
      </c>
      <c r="G2278" s="212"/>
      <c r="H2278" s="30" t="str">
        <f>IFERROR(VLOOKUP(E2278,'Inventaire des produits'!$B$4:$K$1001,8,0),"")</f>
        <v/>
      </c>
      <c r="I2278" s="32" t="str">
        <f t="shared" si="68"/>
        <v/>
      </c>
      <c r="K2278" s="127" t="str">
        <f t="shared" si="67"/>
        <v/>
      </c>
    </row>
    <row r="2279" spans="2:11" x14ac:dyDescent="0.3">
      <c r="B2279" s="197"/>
      <c r="C2279" s="199"/>
      <c r="D2279" s="197"/>
      <c r="E2279" s="212"/>
      <c r="F2279" s="29" t="str">
        <f>IFERROR(VLOOKUP(E2279,'Inventaire des produits'!$B$4:$K$1001,2,0),"")</f>
        <v/>
      </c>
      <c r="G2279" s="212"/>
      <c r="H2279" s="30" t="str">
        <f>IFERROR(VLOOKUP(E2279,'Inventaire des produits'!$B$4:$K$1001,8,0),"")</f>
        <v/>
      </c>
      <c r="I2279" s="32" t="str">
        <f t="shared" si="68"/>
        <v/>
      </c>
      <c r="K2279" s="127" t="str">
        <f t="shared" si="67"/>
        <v/>
      </c>
    </row>
    <row r="2280" spans="2:11" x14ac:dyDescent="0.3">
      <c r="B2280" s="197"/>
      <c r="C2280" s="199"/>
      <c r="D2280" s="197"/>
      <c r="E2280" s="212"/>
      <c r="F2280" s="29" t="str">
        <f>IFERROR(VLOOKUP(E2280,'Inventaire des produits'!$B$4:$K$1001,2,0),"")</f>
        <v/>
      </c>
      <c r="G2280" s="212"/>
      <c r="H2280" s="30" t="str">
        <f>IFERROR(VLOOKUP(E2280,'Inventaire des produits'!$B$4:$K$1001,8,0),"")</f>
        <v/>
      </c>
      <c r="I2280" s="32" t="str">
        <f t="shared" si="68"/>
        <v/>
      </c>
      <c r="K2280" s="127" t="str">
        <f t="shared" si="67"/>
        <v/>
      </c>
    </row>
    <row r="2281" spans="2:11" x14ac:dyDescent="0.3">
      <c r="B2281" s="197"/>
      <c r="C2281" s="199"/>
      <c r="D2281" s="197"/>
      <c r="E2281" s="212"/>
      <c r="F2281" s="29" t="str">
        <f>IFERROR(VLOOKUP(E2281,'Inventaire des produits'!$B$4:$K$1001,2,0),"")</f>
        <v/>
      </c>
      <c r="G2281" s="212"/>
      <c r="H2281" s="30" t="str">
        <f>IFERROR(VLOOKUP(E2281,'Inventaire des produits'!$B$4:$K$1001,8,0),"")</f>
        <v/>
      </c>
      <c r="I2281" s="32" t="str">
        <f t="shared" si="68"/>
        <v/>
      </c>
      <c r="K2281" s="127" t="str">
        <f t="shared" si="67"/>
        <v/>
      </c>
    </row>
    <row r="2282" spans="2:11" x14ac:dyDescent="0.3">
      <c r="B2282" s="197"/>
      <c r="C2282" s="199"/>
      <c r="D2282" s="197"/>
      <c r="E2282" s="212"/>
      <c r="F2282" s="29" t="str">
        <f>IFERROR(VLOOKUP(E2282,'Inventaire des produits'!$B$4:$K$1001,2,0),"")</f>
        <v/>
      </c>
      <c r="G2282" s="212"/>
      <c r="H2282" s="30" t="str">
        <f>IFERROR(VLOOKUP(E2282,'Inventaire des produits'!$B$4:$K$1001,8,0),"")</f>
        <v/>
      </c>
      <c r="I2282" s="32" t="str">
        <f t="shared" si="68"/>
        <v/>
      </c>
      <c r="K2282" s="127" t="str">
        <f t="shared" si="67"/>
        <v/>
      </c>
    </row>
    <row r="2283" spans="2:11" x14ac:dyDescent="0.3">
      <c r="B2283" s="197"/>
      <c r="C2283" s="199"/>
      <c r="D2283" s="197"/>
      <c r="E2283" s="212"/>
      <c r="F2283" s="29" t="str">
        <f>IFERROR(VLOOKUP(E2283,'Inventaire des produits'!$B$4:$K$1001,2,0),"")</f>
        <v/>
      </c>
      <c r="G2283" s="212"/>
      <c r="H2283" s="30" t="str">
        <f>IFERROR(VLOOKUP(E2283,'Inventaire des produits'!$B$4:$K$1001,8,0),"")</f>
        <v/>
      </c>
      <c r="I2283" s="32" t="str">
        <f t="shared" si="68"/>
        <v/>
      </c>
      <c r="K2283" s="127" t="str">
        <f t="shared" si="67"/>
        <v/>
      </c>
    </row>
    <row r="2284" spans="2:11" x14ac:dyDescent="0.3">
      <c r="B2284" s="197"/>
      <c r="C2284" s="199"/>
      <c r="D2284" s="197"/>
      <c r="E2284" s="212"/>
      <c r="F2284" s="29" t="str">
        <f>IFERROR(VLOOKUP(E2284,'Inventaire des produits'!$B$4:$K$1001,2,0),"")</f>
        <v/>
      </c>
      <c r="G2284" s="212"/>
      <c r="H2284" s="30" t="str">
        <f>IFERROR(VLOOKUP(E2284,'Inventaire des produits'!$B$4:$K$1001,8,0),"")</f>
        <v/>
      </c>
      <c r="I2284" s="32" t="str">
        <f t="shared" si="68"/>
        <v/>
      </c>
      <c r="K2284" s="127" t="str">
        <f t="shared" si="67"/>
        <v/>
      </c>
    </row>
    <row r="2285" spans="2:11" x14ac:dyDescent="0.3">
      <c r="B2285" s="197"/>
      <c r="C2285" s="199"/>
      <c r="D2285" s="197"/>
      <c r="E2285" s="212"/>
      <c r="F2285" s="29" t="str">
        <f>IFERROR(VLOOKUP(E2285,'Inventaire des produits'!$B$4:$K$1001,2,0),"")</f>
        <v/>
      </c>
      <c r="G2285" s="212"/>
      <c r="H2285" s="30" t="str">
        <f>IFERROR(VLOOKUP(E2285,'Inventaire des produits'!$B$4:$K$1001,8,0),"")</f>
        <v/>
      </c>
      <c r="I2285" s="32" t="str">
        <f t="shared" si="68"/>
        <v/>
      </c>
      <c r="K2285" s="127" t="str">
        <f t="shared" si="67"/>
        <v/>
      </c>
    </row>
    <row r="2286" spans="2:11" x14ac:dyDescent="0.3">
      <c r="B2286" s="197"/>
      <c r="C2286" s="199"/>
      <c r="D2286" s="197"/>
      <c r="E2286" s="212"/>
      <c r="F2286" s="29" t="str">
        <f>IFERROR(VLOOKUP(E2286,'Inventaire des produits'!$B$4:$K$1001,2,0),"")</f>
        <v/>
      </c>
      <c r="G2286" s="212"/>
      <c r="H2286" s="30" t="str">
        <f>IFERROR(VLOOKUP(E2286,'Inventaire des produits'!$B$4:$K$1001,8,0),"")</f>
        <v/>
      </c>
      <c r="I2286" s="32" t="str">
        <f t="shared" si="68"/>
        <v/>
      </c>
      <c r="K2286" s="127" t="str">
        <f t="shared" si="67"/>
        <v/>
      </c>
    </row>
    <row r="2287" spans="2:11" x14ac:dyDescent="0.3">
      <c r="B2287" s="197"/>
      <c r="C2287" s="199"/>
      <c r="D2287" s="197"/>
      <c r="E2287" s="212"/>
      <c r="F2287" s="29" t="str">
        <f>IFERROR(VLOOKUP(E2287,'Inventaire des produits'!$B$4:$K$1001,2,0),"")</f>
        <v/>
      </c>
      <c r="G2287" s="212"/>
      <c r="H2287" s="30" t="str">
        <f>IFERROR(VLOOKUP(E2287,'Inventaire des produits'!$B$4:$K$1001,8,0),"")</f>
        <v/>
      </c>
      <c r="I2287" s="32" t="str">
        <f t="shared" si="68"/>
        <v/>
      </c>
      <c r="K2287" s="127" t="str">
        <f t="shared" si="67"/>
        <v/>
      </c>
    </row>
    <row r="2288" spans="2:11" x14ac:dyDescent="0.3">
      <c r="B2288" s="197"/>
      <c r="C2288" s="199"/>
      <c r="D2288" s="197"/>
      <c r="E2288" s="212"/>
      <c r="F2288" s="29" t="str">
        <f>IFERROR(VLOOKUP(E2288,'Inventaire des produits'!$B$4:$K$1001,2,0),"")</f>
        <v/>
      </c>
      <c r="G2288" s="212"/>
      <c r="H2288" s="30" t="str">
        <f>IFERROR(VLOOKUP(E2288,'Inventaire des produits'!$B$4:$K$1001,8,0),"")</f>
        <v/>
      </c>
      <c r="I2288" s="32" t="str">
        <f t="shared" si="68"/>
        <v/>
      </c>
      <c r="K2288" s="127" t="str">
        <f t="shared" si="67"/>
        <v/>
      </c>
    </row>
    <row r="2289" spans="2:11" x14ac:dyDescent="0.3">
      <c r="B2289" s="197"/>
      <c r="C2289" s="199"/>
      <c r="D2289" s="197"/>
      <c r="E2289" s="212"/>
      <c r="F2289" s="29" t="str">
        <f>IFERROR(VLOOKUP(E2289,'Inventaire des produits'!$B$4:$K$1001,2,0),"")</f>
        <v/>
      </c>
      <c r="G2289" s="212"/>
      <c r="H2289" s="30" t="str">
        <f>IFERROR(VLOOKUP(E2289,'Inventaire des produits'!$B$4:$K$1001,8,0),"")</f>
        <v/>
      </c>
      <c r="I2289" s="32" t="str">
        <f t="shared" si="68"/>
        <v/>
      </c>
      <c r="K2289" s="127" t="str">
        <f t="shared" si="67"/>
        <v/>
      </c>
    </row>
    <row r="2290" spans="2:11" x14ac:dyDescent="0.3">
      <c r="B2290" s="197"/>
      <c r="C2290" s="199"/>
      <c r="D2290" s="197"/>
      <c r="E2290" s="212"/>
      <c r="F2290" s="29" t="str">
        <f>IFERROR(VLOOKUP(E2290,'Inventaire des produits'!$B$4:$K$1001,2,0),"")</f>
        <v/>
      </c>
      <c r="G2290" s="212"/>
      <c r="H2290" s="30" t="str">
        <f>IFERROR(VLOOKUP(E2290,'Inventaire des produits'!$B$4:$K$1001,8,0),"")</f>
        <v/>
      </c>
      <c r="I2290" s="32" t="str">
        <f t="shared" si="68"/>
        <v/>
      </c>
      <c r="K2290" s="127" t="str">
        <f t="shared" si="67"/>
        <v/>
      </c>
    </row>
    <row r="2291" spans="2:11" x14ac:dyDescent="0.3">
      <c r="B2291" s="197"/>
      <c r="C2291" s="199"/>
      <c r="D2291" s="197"/>
      <c r="E2291" s="212"/>
      <c r="F2291" s="29" t="str">
        <f>IFERROR(VLOOKUP(E2291,'Inventaire des produits'!$B$4:$K$1001,2,0),"")</f>
        <v/>
      </c>
      <c r="G2291" s="212"/>
      <c r="H2291" s="30" t="str">
        <f>IFERROR(VLOOKUP(E2291,'Inventaire des produits'!$B$4:$K$1001,8,0),"")</f>
        <v/>
      </c>
      <c r="I2291" s="32" t="str">
        <f t="shared" si="68"/>
        <v/>
      </c>
      <c r="K2291" s="127" t="str">
        <f t="shared" si="67"/>
        <v/>
      </c>
    </row>
    <row r="2292" spans="2:11" x14ac:dyDescent="0.3">
      <c r="B2292" s="197"/>
      <c r="C2292" s="199"/>
      <c r="D2292" s="197"/>
      <c r="E2292" s="212"/>
      <c r="F2292" s="29" t="str">
        <f>IFERROR(VLOOKUP(E2292,'Inventaire des produits'!$B$4:$K$1001,2,0),"")</f>
        <v/>
      </c>
      <c r="G2292" s="212"/>
      <c r="H2292" s="30" t="str">
        <f>IFERROR(VLOOKUP(E2292,'Inventaire des produits'!$B$4:$K$1001,8,0),"")</f>
        <v/>
      </c>
      <c r="I2292" s="32" t="str">
        <f t="shared" si="68"/>
        <v/>
      </c>
      <c r="K2292" s="127" t="str">
        <f t="shared" si="67"/>
        <v/>
      </c>
    </row>
    <row r="2293" spans="2:11" x14ac:dyDescent="0.3">
      <c r="B2293" s="197"/>
      <c r="C2293" s="199"/>
      <c r="D2293" s="197"/>
      <c r="E2293" s="212"/>
      <c r="F2293" s="29" t="str">
        <f>IFERROR(VLOOKUP(E2293,'Inventaire des produits'!$B$4:$K$1001,2,0),"")</f>
        <v/>
      </c>
      <c r="G2293" s="212"/>
      <c r="H2293" s="30" t="str">
        <f>IFERROR(VLOOKUP(E2293,'Inventaire des produits'!$B$4:$K$1001,8,0),"")</f>
        <v/>
      </c>
      <c r="I2293" s="32" t="str">
        <f t="shared" si="68"/>
        <v/>
      </c>
      <c r="K2293" s="127" t="str">
        <f t="shared" si="67"/>
        <v/>
      </c>
    </row>
    <row r="2294" spans="2:11" x14ac:dyDescent="0.3">
      <c r="B2294" s="197"/>
      <c r="C2294" s="199"/>
      <c r="D2294" s="197"/>
      <c r="E2294" s="212"/>
      <c r="F2294" s="29" t="str">
        <f>IFERROR(VLOOKUP(E2294,'Inventaire des produits'!$B$4:$K$1001,2,0),"")</f>
        <v/>
      </c>
      <c r="G2294" s="212"/>
      <c r="H2294" s="30" t="str">
        <f>IFERROR(VLOOKUP(E2294,'Inventaire des produits'!$B$4:$K$1001,8,0),"")</f>
        <v/>
      </c>
      <c r="I2294" s="32" t="str">
        <f t="shared" si="68"/>
        <v/>
      </c>
      <c r="K2294" s="127" t="str">
        <f t="shared" si="67"/>
        <v/>
      </c>
    </row>
    <row r="2295" spans="2:11" x14ac:dyDescent="0.3">
      <c r="B2295" s="197"/>
      <c r="C2295" s="199"/>
      <c r="D2295" s="197"/>
      <c r="E2295" s="212"/>
      <c r="F2295" s="29" t="str">
        <f>IFERROR(VLOOKUP(E2295,'Inventaire des produits'!$B$4:$K$1001,2,0),"")</f>
        <v/>
      </c>
      <c r="G2295" s="212"/>
      <c r="H2295" s="30" t="str">
        <f>IFERROR(VLOOKUP(E2295,'Inventaire des produits'!$B$4:$K$1001,8,0),"")</f>
        <v/>
      </c>
      <c r="I2295" s="32" t="str">
        <f t="shared" si="68"/>
        <v/>
      </c>
      <c r="K2295" s="127" t="str">
        <f t="shared" si="67"/>
        <v/>
      </c>
    </row>
    <row r="2296" spans="2:11" x14ac:dyDescent="0.3">
      <c r="B2296" s="197"/>
      <c r="C2296" s="199"/>
      <c r="D2296" s="197"/>
      <c r="E2296" s="212"/>
      <c r="F2296" s="29" t="str">
        <f>IFERROR(VLOOKUP(E2296,'Inventaire des produits'!$B$4:$K$1001,2,0),"")</f>
        <v/>
      </c>
      <c r="G2296" s="212"/>
      <c r="H2296" s="30" t="str">
        <f>IFERROR(VLOOKUP(E2296,'Inventaire des produits'!$B$4:$K$1001,8,0),"")</f>
        <v/>
      </c>
      <c r="I2296" s="32" t="str">
        <f t="shared" si="68"/>
        <v/>
      </c>
      <c r="K2296" s="127" t="str">
        <f t="shared" si="67"/>
        <v/>
      </c>
    </row>
    <row r="2297" spans="2:11" x14ac:dyDescent="0.3">
      <c r="B2297" s="197"/>
      <c r="C2297" s="199"/>
      <c r="D2297" s="197"/>
      <c r="E2297" s="212"/>
      <c r="F2297" s="29" t="str">
        <f>IFERROR(VLOOKUP(E2297,'Inventaire des produits'!$B$4:$K$1001,2,0),"")</f>
        <v/>
      </c>
      <c r="G2297" s="212"/>
      <c r="H2297" s="30" t="str">
        <f>IFERROR(VLOOKUP(E2297,'Inventaire des produits'!$B$4:$K$1001,8,0),"")</f>
        <v/>
      </c>
      <c r="I2297" s="32" t="str">
        <f t="shared" si="68"/>
        <v/>
      </c>
      <c r="K2297" s="127" t="str">
        <f t="shared" si="67"/>
        <v/>
      </c>
    </row>
    <row r="2298" spans="2:11" x14ac:dyDescent="0.3">
      <c r="B2298" s="197"/>
      <c r="C2298" s="199"/>
      <c r="D2298" s="197"/>
      <c r="E2298" s="212"/>
      <c r="F2298" s="29" t="str">
        <f>IFERROR(VLOOKUP(E2298,'Inventaire des produits'!$B$4:$K$1001,2,0),"")</f>
        <v/>
      </c>
      <c r="G2298" s="212"/>
      <c r="H2298" s="30" t="str">
        <f>IFERROR(VLOOKUP(E2298,'Inventaire des produits'!$B$4:$K$1001,8,0),"")</f>
        <v/>
      </c>
      <c r="I2298" s="32" t="str">
        <f t="shared" si="68"/>
        <v/>
      </c>
      <c r="K2298" s="127" t="str">
        <f t="shared" si="67"/>
        <v/>
      </c>
    </row>
    <row r="2299" spans="2:11" x14ac:dyDescent="0.3">
      <c r="B2299" s="197"/>
      <c r="C2299" s="199"/>
      <c r="D2299" s="197"/>
      <c r="E2299" s="212"/>
      <c r="F2299" s="29" t="str">
        <f>IFERROR(VLOOKUP(E2299,'Inventaire des produits'!$B$4:$K$1001,2,0),"")</f>
        <v/>
      </c>
      <c r="G2299" s="212"/>
      <c r="H2299" s="30" t="str">
        <f>IFERROR(VLOOKUP(E2299,'Inventaire des produits'!$B$4:$K$1001,8,0),"")</f>
        <v/>
      </c>
      <c r="I2299" s="32" t="str">
        <f t="shared" si="68"/>
        <v/>
      </c>
      <c r="K2299" s="127" t="str">
        <f t="shared" si="67"/>
        <v/>
      </c>
    </row>
    <row r="2300" spans="2:11" x14ac:dyDescent="0.3">
      <c r="B2300" s="197"/>
      <c r="C2300" s="199"/>
      <c r="D2300" s="197"/>
      <c r="E2300" s="212"/>
      <c r="F2300" s="29" t="str">
        <f>IFERROR(VLOOKUP(E2300,'Inventaire des produits'!$B$4:$K$1001,2,0),"")</f>
        <v/>
      </c>
      <c r="G2300" s="212"/>
      <c r="H2300" s="30" t="str">
        <f>IFERROR(VLOOKUP(E2300,'Inventaire des produits'!$B$4:$K$1001,8,0),"")</f>
        <v/>
      </c>
      <c r="I2300" s="32" t="str">
        <f t="shared" si="68"/>
        <v/>
      </c>
      <c r="K2300" s="127" t="str">
        <f t="shared" ref="K2300:K2363" si="69">IF(J2300="","",J2300*1.2)</f>
        <v/>
      </c>
    </row>
    <row r="2301" spans="2:11" x14ac:dyDescent="0.3">
      <c r="B2301" s="197"/>
      <c r="C2301" s="199"/>
      <c r="D2301" s="197"/>
      <c r="E2301" s="212"/>
      <c r="F2301" s="29" t="str">
        <f>IFERROR(VLOOKUP(E2301,'Inventaire des produits'!$B$4:$K$1001,2,0),"")</f>
        <v/>
      </c>
      <c r="G2301" s="212"/>
      <c r="H2301" s="30" t="str">
        <f>IFERROR(VLOOKUP(E2301,'Inventaire des produits'!$B$4:$K$1001,8,0),"")</f>
        <v/>
      </c>
      <c r="I2301" s="32" t="str">
        <f t="shared" si="68"/>
        <v/>
      </c>
      <c r="K2301" s="127" t="str">
        <f t="shared" si="69"/>
        <v/>
      </c>
    </row>
    <row r="2302" spans="2:11" x14ac:dyDescent="0.3">
      <c r="B2302" s="197"/>
      <c r="C2302" s="199"/>
      <c r="D2302" s="197"/>
      <c r="E2302" s="212"/>
      <c r="F2302" s="29" t="str">
        <f>IFERROR(VLOOKUP(E2302,'Inventaire des produits'!$B$4:$K$1001,2,0),"")</f>
        <v/>
      </c>
      <c r="G2302" s="212"/>
      <c r="H2302" s="30" t="str">
        <f>IFERROR(VLOOKUP(E2302,'Inventaire des produits'!$B$4:$K$1001,8,0),"")</f>
        <v/>
      </c>
      <c r="I2302" s="32" t="str">
        <f t="shared" si="68"/>
        <v/>
      </c>
      <c r="K2302" s="127" t="str">
        <f t="shared" si="69"/>
        <v/>
      </c>
    </row>
    <row r="2303" spans="2:11" x14ac:dyDescent="0.3">
      <c r="B2303" s="197"/>
      <c r="C2303" s="199"/>
      <c r="D2303" s="197"/>
      <c r="E2303" s="212"/>
      <c r="F2303" s="29" t="str">
        <f>IFERROR(VLOOKUP(E2303,'Inventaire des produits'!$B$4:$K$1001,2,0),"")</f>
        <v/>
      </c>
      <c r="G2303" s="212"/>
      <c r="H2303" s="30" t="str">
        <f>IFERROR(VLOOKUP(E2303,'Inventaire des produits'!$B$4:$K$1001,8,0),"")</f>
        <v/>
      </c>
      <c r="I2303" s="32" t="str">
        <f t="shared" si="68"/>
        <v/>
      </c>
      <c r="K2303" s="127" t="str">
        <f t="shared" si="69"/>
        <v/>
      </c>
    </row>
    <row r="2304" spans="2:11" x14ac:dyDescent="0.3">
      <c r="B2304" s="197"/>
      <c r="C2304" s="199"/>
      <c r="D2304" s="197"/>
      <c r="E2304" s="212"/>
      <c r="F2304" s="29" t="str">
        <f>IFERROR(VLOOKUP(E2304,'Inventaire des produits'!$B$4:$K$1001,2,0),"")</f>
        <v/>
      </c>
      <c r="G2304" s="212"/>
      <c r="H2304" s="30" t="str">
        <f>IFERROR(VLOOKUP(E2304,'Inventaire des produits'!$B$4:$K$1001,8,0),"")</f>
        <v/>
      </c>
      <c r="I2304" s="32" t="str">
        <f t="shared" si="68"/>
        <v/>
      </c>
      <c r="K2304" s="127" t="str">
        <f t="shared" si="69"/>
        <v/>
      </c>
    </row>
    <row r="2305" spans="2:11" x14ac:dyDescent="0.3">
      <c r="B2305" s="197"/>
      <c r="C2305" s="199"/>
      <c r="D2305" s="197"/>
      <c r="E2305" s="212"/>
      <c r="F2305" s="29" t="str">
        <f>IFERROR(VLOOKUP(E2305,'Inventaire des produits'!$B$4:$K$1001,2,0),"")</f>
        <v/>
      </c>
      <c r="G2305" s="212"/>
      <c r="H2305" s="30" t="str">
        <f>IFERROR(VLOOKUP(E2305,'Inventaire des produits'!$B$4:$K$1001,8,0),"")</f>
        <v/>
      </c>
      <c r="I2305" s="32" t="str">
        <f t="shared" si="68"/>
        <v/>
      </c>
      <c r="K2305" s="127" t="str">
        <f t="shared" si="69"/>
        <v/>
      </c>
    </row>
    <row r="2306" spans="2:11" x14ac:dyDescent="0.3">
      <c r="B2306" s="197"/>
      <c r="C2306" s="199"/>
      <c r="D2306" s="197"/>
      <c r="E2306" s="212"/>
      <c r="F2306" s="29" t="str">
        <f>IFERROR(VLOOKUP(E2306,'Inventaire des produits'!$B$4:$K$1001,2,0),"")</f>
        <v/>
      </c>
      <c r="G2306" s="212"/>
      <c r="H2306" s="30" t="str">
        <f>IFERROR(VLOOKUP(E2306,'Inventaire des produits'!$B$4:$K$1001,8,0),"")</f>
        <v/>
      </c>
      <c r="I2306" s="32" t="str">
        <f t="shared" ref="I2306:I2369" si="70">IF(OR(G2306="",H2306=""),"",G2306*H2306)</f>
        <v/>
      </c>
      <c r="K2306" s="127" t="str">
        <f t="shared" si="69"/>
        <v/>
      </c>
    </row>
    <row r="2307" spans="2:11" x14ac:dyDescent="0.3">
      <c r="B2307" s="197"/>
      <c r="C2307" s="199"/>
      <c r="D2307" s="197"/>
      <c r="E2307" s="212"/>
      <c r="F2307" s="29" t="str">
        <f>IFERROR(VLOOKUP(E2307,'Inventaire des produits'!$B$4:$K$1001,2,0),"")</f>
        <v/>
      </c>
      <c r="G2307" s="212"/>
      <c r="H2307" s="30" t="str">
        <f>IFERROR(VLOOKUP(E2307,'Inventaire des produits'!$B$4:$K$1001,8,0),"")</f>
        <v/>
      </c>
      <c r="I2307" s="32" t="str">
        <f t="shared" si="70"/>
        <v/>
      </c>
      <c r="K2307" s="127" t="str">
        <f t="shared" si="69"/>
        <v/>
      </c>
    </row>
    <row r="2308" spans="2:11" x14ac:dyDescent="0.3">
      <c r="B2308" s="197"/>
      <c r="C2308" s="199"/>
      <c r="D2308" s="197"/>
      <c r="E2308" s="212"/>
      <c r="F2308" s="29" t="str">
        <f>IFERROR(VLOOKUP(E2308,'Inventaire des produits'!$B$4:$K$1001,2,0),"")</f>
        <v/>
      </c>
      <c r="G2308" s="212"/>
      <c r="H2308" s="30" t="str">
        <f>IFERROR(VLOOKUP(E2308,'Inventaire des produits'!$B$4:$K$1001,8,0),"")</f>
        <v/>
      </c>
      <c r="I2308" s="32" t="str">
        <f t="shared" si="70"/>
        <v/>
      </c>
      <c r="K2308" s="127" t="str">
        <f t="shared" si="69"/>
        <v/>
      </c>
    </row>
    <row r="2309" spans="2:11" x14ac:dyDescent="0.3">
      <c r="B2309" s="197"/>
      <c r="C2309" s="199"/>
      <c r="D2309" s="197"/>
      <c r="E2309" s="212"/>
      <c r="F2309" s="29" t="str">
        <f>IFERROR(VLOOKUP(E2309,'Inventaire des produits'!$B$4:$K$1001,2,0),"")</f>
        <v/>
      </c>
      <c r="G2309" s="212"/>
      <c r="H2309" s="30" t="str">
        <f>IFERROR(VLOOKUP(E2309,'Inventaire des produits'!$B$4:$K$1001,8,0),"")</f>
        <v/>
      </c>
      <c r="I2309" s="32" t="str">
        <f t="shared" si="70"/>
        <v/>
      </c>
      <c r="K2309" s="127" t="str">
        <f t="shared" si="69"/>
        <v/>
      </c>
    </row>
    <row r="2310" spans="2:11" x14ac:dyDescent="0.3">
      <c r="B2310" s="197"/>
      <c r="C2310" s="199"/>
      <c r="D2310" s="197"/>
      <c r="E2310" s="212"/>
      <c r="F2310" s="29" t="str">
        <f>IFERROR(VLOOKUP(E2310,'Inventaire des produits'!$B$4:$K$1001,2,0),"")</f>
        <v/>
      </c>
      <c r="G2310" s="212"/>
      <c r="H2310" s="30" t="str">
        <f>IFERROR(VLOOKUP(E2310,'Inventaire des produits'!$B$4:$K$1001,8,0),"")</f>
        <v/>
      </c>
      <c r="I2310" s="32" t="str">
        <f t="shared" si="70"/>
        <v/>
      </c>
      <c r="K2310" s="127" t="str">
        <f t="shared" si="69"/>
        <v/>
      </c>
    </row>
    <row r="2311" spans="2:11" x14ac:dyDescent="0.3">
      <c r="B2311" s="197"/>
      <c r="C2311" s="199"/>
      <c r="D2311" s="197"/>
      <c r="E2311" s="212"/>
      <c r="F2311" s="29" t="str">
        <f>IFERROR(VLOOKUP(E2311,'Inventaire des produits'!$B$4:$K$1001,2,0),"")</f>
        <v/>
      </c>
      <c r="G2311" s="212"/>
      <c r="H2311" s="30" t="str">
        <f>IFERROR(VLOOKUP(E2311,'Inventaire des produits'!$B$4:$K$1001,8,0),"")</f>
        <v/>
      </c>
      <c r="I2311" s="32" t="str">
        <f t="shared" si="70"/>
        <v/>
      </c>
      <c r="K2311" s="127" t="str">
        <f t="shared" si="69"/>
        <v/>
      </c>
    </row>
    <row r="2312" spans="2:11" x14ac:dyDescent="0.3">
      <c r="B2312" s="197"/>
      <c r="C2312" s="199"/>
      <c r="D2312" s="197"/>
      <c r="E2312" s="212"/>
      <c r="F2312" s="29" t="str">
        <f>IFERROR(VLOOKUP(E2312,'Inventaire des produits'!$B$4:$K$1001,2,0),"")</f>
        <v/>
      </c>
      <c r="G2312" s="212"/>
      <c r="H2312" s="30" t="str">
        <f>IFERROR(VLOOKUP(E2312,'Inventaire des produits'!$B$4:$K$1001,8,0),"")</f>
        <v/>
      </c>
      <c r="I2312" s="32" t="str">
        <f t="shared" si="70"/>
        <v/>
      </c>
      <c r="K2312" s="127" t="str">
        <f t="shared" si="69"/>
        <v/>
      </c>
    </row>
    <row r="2313" spans="2:11" x14ac:dyDescent="0.3">
      <c r="B2313" s="197"/>
      <c r="C2313" s="199"/>
      <c r="D2313" s="197"/>
      <c r="E2313" s="212"/>
      <c r="F2313" s="29" t="str">
        <f>IFERROR(VLOOKUP(E2313,'Inventaire des produits'!$B$4:$K$1001,2,0),"")</f>
        <v/>
      </c>
      <c r="G2313" s="212"/>
      <c r="H2313" s="30" t="str">
        <f>IFERROR(VLOOKUP(E2313,'Inventaire des produits'!$B$4:$K$1001,8,0),"")</f>
        <v/>
      </c>
      <c r="I2313" s="32" t="str">
        <f t="shared" si="70"/>
        <v/>
      </c>
      <c r="K2313" s="127" t="str">
        <f t="shared" si="69"/>
        <v/>
      </c>
    </row>
    <row r="2314" spans="2:11" x14ac:dyDescent="0.3">
      <c r="B2314" s="197"/>
      <c r="C2314" s="199"/>
      <c r="D2314" s="197"/>
      <c r="E2314" s="212"/>
      <c r="F2314" s="29" t="str">
        <f>IFERROR(VLOOKUP(E2314,'Inventaire des produits'!$B$4:$K$1001,2,0),"")</f>
        <v/>
      </c>
      <c r="G2314" s="212"/>
      <c r="H2314" s="30" t="str">
        <f>IFERROR(VLOOKUP(E2314,'Inventaire des produits'!$B$4:$K$1001,8,0),"")</f>
        <v/>
      </c>
      <c r="I2314" s="32" t="str">
        <f t="shared" si="70"/>
        <v/>
      </c>
      <c r="K2314" s="127" t="str">
        <f t="shared" si="69"/>
        <v/>
      </c>
    </row>
    <row r="2315" spans="2:11" x14ac:dyDescent="0.3">
      <c r="B2315" s="197"/>
      <c r="C2315" s="199"/>
      <c r="D2315" s="197"/>
      <c r="E2315" s="212"/>
      <c r="F2315" s="29" t="str">
        <f>IFERROR(VLOOKUP(E2315,'Inventaire des produits'!$B$4:$K$1001,2,0),"")</f>
        <v/>
      </c>
      <c r="G2315" s="212"/>
      <c r="H2315" s="30" t="str">
        <f>IFERROR(VLOOKUP(E2315,'Inventaire des produits'!$B$4:$K$1001,8,0),"")</f>
        <v/>
      </c>
      <c r="I2315" s="32" t="str">
        <f t="shared" si="70"/>
        <v/>
      </c>
      <c r="K2315" s="127" t="str">
        <f t="shared" si="69"/>
        <v/>
      </c>
    </row>
    <row r="2316" spans="2:11" x14ac:dyDescent="0.3">
      <c r="B2316" s="197"/>
      <c r="C2316" s="199"/>
      <c r="D2316" s="197"/>
      <c r="E2316" s="212"/>
      <c r="F2316" s="29" t="str">
        <f>IFERROR(VLOOKUP(E2316,'Inventaire des produits'!$B$4:$K$1001,2,0),"")</f>
        <v/>
      </c>
      <c r="G2316" s="212"/>
      <c r="H2316" s="30" t="str">
        <f>IFERROR(VLOOKUP(E2316,'Inventaire des produits'!$B$4:$K$1001,8,0),"")</f>
        <v/>
      </c>
      <c r="I2316" s="32" t="str">
        <f t="shared" si="70"/>
        <v/>
      </c>
      <c r="K2316" s="127" t="str">
        <f t="shared" si="69"/>
        <v/>
      </c>
    </row>
    <row r="2317" spans="2:11" x14ac:dyDescent="0.3">
      <c r="B2317" s="197"/>
      <c r="C2317" s="199"/>
      <c r="D2317" s="197"/>
      <c r="E2317" s="212"/>
      <c r="F2317" s="29" t="str">
        <f>IFERROR(VLOOKUP(E2317,'Inventaire des produits'!$B$4:$K$1001,2,0),"")</f>
        <v/>
      </c>
      <c r="G2317" s="212"/>
      <c r="H2317" s="30" t="str">
        <f>IFERROR(VLOOKUP(E2317,'Inventaire des produits'!$B$4:$K$1001,8,0),"")</f>
        <v/>
      </c>
      <c r="I2317" s="32" t="str">
        <f t="shared" si="70"/>
        <v/>
      </c>
      <c r="K2317" s="127" t="str">
        <f t="shared" si="69"/>
        <v/>
      </c>
    </row>
    <row r="2318" spans="2:11" x14ac:dyDescent="0.3">
      <c r="B2318" s="197"/>
      <c r="C2318" s="199"/>
      <c r="D2318" s="197"/>
      <c r="E2318" s="212"/>
      <c r="F2318" s="29" t="str">
        <f>IFERROR(VLOOKUP(E2318,'Inventaire des produits'!$B$4:$K$1001,2,0),"")</f>
        <v/>
      </c>
      <c r="G2318" s="212"/>
      <c r="H2318" s="30" t="str">
        <f>IFERROR(VLOOKUP(E2318,'Inventaire des produits'!$B$4:$K$1001,8,0),"")</f>
        <v/>
      </c>
      <c r="I2318" s="32" t="str">
        <f t="shared" si="70"/>
        <v/>
      </c>
      <c r="K2318" s="127" t="str">
        <f t="shared" si="69"/>
        <v/>
      </c>
    </row>
    <row r="2319" spans="2:11" x14ac:dyDescent="0.3">
      <c r="B2319" s="197"/>
      <c r="C2319" s="199"/>
      <c r="D2319" s="197"/>
      <c r="E2319" s="212"/>
      <c r="F2319" s="29" t="str">
        <f>IFERROR(VLOOKUP(E2319,'Inventaire des produits'!$B$4:$K$1001,2,0),"")</f>
        <v/>
      </c>
      <c r="G2319" s="212"/>
      <c r="H2319" s="30" t="str">
        <f>IFERROR(VLOOKUP(E2319,'Inventaire des produits'!$B$4:$K$1001,8,0),"")</f>
        <v/>
      </c>
      <c r="I2319" s="32" t="str">
        <f t="shared" si="70"/>
        <v/>
      </c>
      <c r="K2319" s="127" t="str">
        <f t="shared" si="69"/>
        <v/>
      </c>
    </row>
    <row r="2320" spans="2:11" x14ac:dyDescent="0.3">
      <c r="B2320" s="197"/>
      <c r="C2320" s="199"/>
      <c r="D2320" s="197"/>
      <c r="E2320" s="212"/>
      <c r="F2320" s="29" t="str">
        <f>IFERROR(VLOOKUP(E2320,'Inventaire des produits'!$B$4:$K$1001,2,0),"")</f>
        <v/>
      </c>
      <c r="G2320" s="212"/>
      <c r="H2320" s="30" t="str">
        <f>IFERROR(VLOOKUP(E2320,'Inventaire des produits'!$B$4:$K$1001,8,0),"")</f>
        <v/>
      </c>
      <c r="I2320" s="32" t="str">
        <f t="shared" si="70"/>
        <v/>
      </c>
      <c r="K2320" s="127" t="str">
        <f t="shared" si="69"/>
        <v/>
      </c>
    </row>
    <row r="2321" spans="2:11" x14ac:dyDescent="0.3">
      <c r="B2321" s="197"/>
      <c r="C2321" s="199"/>
      <c r="D2321" s="197"/>
      <c r="E2321" s="212"/>
      <c r="F2321" s="29" t="str">
        <f>IFERROR(VLOOKUP(E2321,'Inventaire des produits'!$B$4:$K$1001,2,0),"")</f>
        <v/>
      </c>
      <c r="G2321" s="212"/>
      <c r="H2321" s="30" t="str">
        <f>IFERROR(VLOOKUP(E2321,'Inventaire des produits'!$B$4:$K$1001,8,0),"")</f>
        <v/>
      </c>
      <c r="I2321" s="32" t="str">
        <f t="shared" si="70"/>
        <v/>
      </c>
      <c r="K2321" s="127" t="str">
        <f t="shared" si="69"/>
        <v/>
      </c>
    </row>
    <row r="2322" spans="2:11" x14ac:dyDescent="0.3">
      <c r="B2322" s="197"/>
      <c r="C2322" s="199"/>
      <c r="D2322" s="197"/>
      <c r="E2322" s="212"/>
      <c r="F2322" s="29" t="str">
        <f>IFERROR(VLOOKUP(E2322,'Inventaire des produits'!$B$4:$K$1001,2,0),"")</f>
        <v/>
      </c>
      <c r="G2322" s="212"/>
      <c r="H2322" s="30" t="str">
        <f>IFERROR(VLOOKUP(E2322,'Inventaire des produits'!$B$4:$K$1001,8,0),"")</f>
        <v/>
      </c>
      <c r="I2322" s="32" t="str">
        <f t="shared" si="70"/>
        <v/>
      </c>
      <c r="K2322" s="127" t="str">
        <f t="shared" si="69"/>
        <v/>
      </c>
    </row>
    <row r="2323" spans="2:11" x14ac:dyDescent="0.3">
      <c r="B2323" s="197"/>
      <c r="C2323" s="199"/>
      <c r="D2323" s="197"/>
      <c r="E2323" s="212"/>
      <c r="F2323" s="29" t="str">
        <f>IFERROR(VLOOKUP(E2323,'Inventaire des produits'!$B$4:$K$1001,2,0),"")</f>
        <v/>
      </c>
      <c r="G2323" s="212"/>
      <c r="H2323" s="30" t="str">
        <f>IFERROR(VLOOKUP(E2323,'Inventaire des produits'!$B$4:$K$1001,8,0),"")</f>
        <v/>
      </c>
      <c r="I2323" s="32" t="str">
        <f t="shared" si="70"/>
        <v/>
      </c>
      <c r="K2323" s="127" t="str">
        <f t="shared" si="69"/>
        <v/>
      </c>
    </row>
    <row r="2324" spans="2:11" x14ac:dyDescent="0.3">
      <c r="B2324" s="197"/>
      <c r="C2324" s="199"/>
      <c r="D2324" s="197"/>
      <c r="E2324" s="212"/>
      <c r="F2324" s="29" t="str">
        <f>IFERROR(VLOOKUP(E2324,'Inventaire des produits'!$B$4:$K$1001,2,0),"")</f>
        <v/>
      </c>
      <c r="G2324" s="212"/>
      <c r="H2324" s="30" t="str">
        <f>IFERROR(VLOOKUP(E2324,'Inventaire des produits'!$B$4:$K$1001,8,0),"")</f>
        <v/>
      </c>
      <c r="I2324" s="32" t="str">
        <f t="shared" si="70"/>
        <v/>
      </c>
      <c r="K2324" s="127" t="str">
        <f t="shared" si="69"/>
        <v/>
      </c>
    </row>
    <row r="2325" spans="2:11" x14ac:dyDescent="0.3">
      <c r="B2325" s="197"/>
      <c r="C2325" s="199"/>
      <c r="D2325" s="197"/>
      <c r="E2325" s="212"/>
      <c r="F2325" s="29" t="str">
        <f>IFERROR(VLOOKUP(E2325,'Inventaire des produits'!$B$4:$K$1001,2,0),"")</f>
        <v/>
      </c>
      <c r="G2325" s="212"/>
      <c r="H2325" s="30" t="str">
        <f>IFERROR(VLOOKUP(E2325,'Inventaire des produits'!$B$4:$K$1001,8,0),"")</f>
        <v/>
      </c>
      <c r="I2325" s="32" t="str">
        <f t="shared" si="70"/>
        <v/>
      </c>
      <c r="K2325" s="127" t="str">
        <f t="shared" si="69"/>
        <v/>
      </c>
    </row>
    <row r="2326" spans="2:11" x14ac:dyDescent="0.3">
      <c r="B2326" s="197"/>
      <c r="C2326" s="199"/>
      <c r="D2326" s="197"/>
      <c r="E2326" s="212"/>
      <c r="F2326" s="29" t="str">
        <f>IFERROR(VLOOKUP(E2326,'Inventaire des produits'!$B$4:$K$1001,2,0),"")</f>
        <v/>
      </c>
      <c r="G2326" s="212"/>
      <c r="H2326" s="30" t="str">
        <f>IFERROR(VLOOKUP(E2326,'Inventaire des produits'!$B$4:$K$1001,8,0),"")</f>
        <v/>
      </c>
      <c r="I2326" s="32" t="str">
        <f t="shared" si="70"/>
        <v/>
      </c>
      <c r="K2326" s="127" t="str">
        <f t="shared" si="69"/>
        <v/>
      </c>
    </row>
    <row r="2327" spans="2:11" x14ac:dyDescent="0.3">
      <c r="B2327" s="197"/>
      <c r="C2327" s="199"/>
      <c r="D2327" s="197"/>
      <c r="E2327" s="212"/>
      <c r="F2327" s="29" t="str">
        <f>IFERROR(VLOOKUP(E2327,'Inventaire des produits'!$B$4:$K$1001,2,0),"")</f>
        <v/>
      </c>
      <c r="G2327" s="212"/>
      <c r="H2327" s="30" t="str">
        <f>IFERROR(VLOOKUP(E2327,'Inventaire des produits'!$B$4:$K$1001,8,0),"")</f>
        <v/>
      </c>
      <c r="I2327" s="32" t="str">
        <f t="shared" si="70"/>
        <v/>
      </c>
      <c r="K2327" s="127" t="str">
        <f t="shared" si="69"/>
        <v/>
      </c>
    </row>
    <row r="2328" spans="2:11" x14ac:dyDescent="0.3">
      <c r="B2328" s="197"/>
      <c r="C2328" s="199"/>
      <c r="D2328" s="197"/>
      <c r="E2328" s="212"/>
      <c r="F2328" s="29" t="str">
        <f>IFERROR(VLOOKUP(E2328,'Inventaire des produits'!$B$4:$K$1001,2,0),"")</f>
        <v/>
      </c>
      <c r="G2328" s="212"/>
      <c r="H2328" s="30" t="str">
        <f>IFERROR(VLOOKUP(E2328,'Inventaire des produits'!$B$4:$K$1001,8,0),"")</f>
        <v/>
      </c>
      <c r="I2328" s="32" t="str">
        <f t="shared" si="70"/>
        <v/>
      </c>
      <c r="K2328" s="127" t="str">
        <f t="shared" si="69"/>
        <v/>
      </c>
    </row>
    <row r="2329" spans="2:11" x14ac:dyDescent="0.3">
      <c r="B2329" s="197"/>
      <c r="C2329" s="199"/>
      <c r="D2329" s="197"/>
      <c r="E2329" s="212"/>
      <c r="F2329" s="29" t="str">
        <f>IFERROR(VLOOKUP(E2329,'Inventaire des produits'!$B$4:$K$1001,2,0),"")</f>
        <v/>
      </c>
      <c r="G2329" s="212"/>
      <c r="H2329" s="30" t="str">
        <f>IFERROR(VLOOKUP(E2329,'Inventaire des produits'!$B$4:$K$1001,8,0),"")</f>
        <v/>
      </c>
      <c r="I2329" s="32" t="str">
        <f t="shared" si="70"/>
        <v/>
      </c>
      <c r="K2329" s="127" t="str">
        <f t="shared" si="69"/>
        <v/>
      </c>
    </row>
    <row r="2330" spans="2:11" x14ac:dyDescent="0.3">
      <c r="B2330" s="197"/>
      <c r="C2330" s="199"/>
      <c r="D2330" s="197"/>
      <c r="E2330" s="212"/>
      <c r="F2330" s="29" t="str">
        <f>IFERROR(VLOOKUP(E2330,'Inventaire des produits'!$B$4:$K$1001,2,0),"")</f>
        <v/>
      </c>
      <c r="G2330" s="212"/>
      <c r="H2330" s="30" t="str">
        <f>IFERROR(VLOOKUP(E2330,'Inventaire des produits'!$B$4:$K$1001,8,0),"")</f>
        <v/>
      </c>
      <c r="I2330" s="32" t="str">
        <f t="shared" si="70"/>
        <v/>
      </c>
      <c r="K2330" s="127" t="str">
        <f t="shared" si="69"/>
        <v/>
      </c>
    </row>
    <row r="2331" spans="2:11" x14ac:dyDescent="0.3">
      <c r="B2331" s="197"/>
      <c r="C2331" s="199"/>
      <c r="D2331" s="197"/>
      <c r="E2331" s="212"/>
      <c r="F2331" s="29" t="str">
        <f>IFERROR(VLOOKUP(E2331,'Inventaire des produits'!$B$4:$K$1001,2,0),"")</f>
        <v/>
      </c>
      <c r="G2331" s="212"/>
      <c r="H2331" s="30" t="str">
        <f>IFERROR(VLOOKUP(E2331,'Inventaire des produits'!$B$4:$K$1001,8,0),"")</f>
        <v/>
      </c>
      <c r="I2331" s="32" t="str">
        <f t="shared" si="70"/>
        <v/>
      </c>
      <c r="K2331" s="127" t="str">
        <f t="shared" si="69"/>
        <v/>
      </c>
    </row>
    <row r="2332" spans="2:11" x14ac:dyDescent="0.3">
      <c r="B2332" s="197"/>
      <c r="C2332" s="199"/>
      <c r="D2332" s="197"/>
      <c r="E2332" s="212"/>
      <c r="F2332" s="29" t="str">
        <f>IFERROR(VLOOKUP(E2332,'Inventaire des produits'!$B$4:$K$1001,2,0),"")</f>
        <v/>
      </c>
      <c r="G2332" s="212"/>
      <c r="H2332" s="30" t="str">
        <f>IFERROR(VLOOKUP(E2332,'Inventaire des produits'!$B$4:$K$1001,8,0),"")</f>
        <v/>
      </c>
      <c r="I2332" s="32" t="str">
        <f t="shared" si="70"/>
        <v/>
      </c>
      <c r="K2332" s="127" t="str">
        <f t="shared" si="69"/>
        <v/>
      </c>
    </row>
    <row r="2333" spans="2:11" x14ac:dyDescent="0.3">
      <c r="B2333" s="197"/>
      <c r="C2333" s="199"/>
      <c r="D2333" s="197"/>
      <c r="E2333" s="212"/>
      <c r="F2333" s="29" t="str">
        <f>IFERROR(VLOOKUP(E2333,'Inventaire des produits'!$B$4:$K$1001,2,0),"")</f>
        <v/>
      </c>
      <c r="G2333" s="212"/>
      <c r="H2333" s="30" t="str">
        <f>IFERROR(VLOOKUP(E2333,'Inventaire des produits'!$B$4:$K$1001,8,0),"")</f>
        <v/>
      </c>
      <c r="I2333" s="32" t="str">
        <f t="shared" si="70"/>
        <v/>
      </c>
      <c r="K2333" s="127" t="str">
        <f t="shared" si="69"/>
        <v/>
      </c>
    </row>
    <row r="2334" spans="2:11" x14ac:dyDescent="0.3">
      <c r="B2334" s="197"/>
      <c r="C2334" s="199"/>
      <c r="D2334" s="197"/>
      <c r="E2334" s="212"/>
      <c r="F2334" s="29" t="str">
        <f>IFERROR(VLOOKUP(E2334,'Inventaire des produits'!$B$4:$K$1001,2,0),"")</f>
        <v/>
      </c>
      <c r="G2334" s="212"/>
      <c r="H2334" s="30" t="str">
        <f>IFERROR(VLOOKUP(E2334,'Inventaire des produits'!$B$4:$K$1001,8,0),"")</f>
        <v/>
      </c>
      <c r="I2334" s="32" t="str">
        <f t="shared" si="70"/>
        <v/>
      </c>
      <c r="K2334" s="127" t="str">
        <f t="shared" si="69"/>
        <v/>
      </c>
    </row>
    <row r="2335" spans="2:11" x14ac:dyDescent="0.3">
      <c r="B2335" s="197"/>
      <c r="C2335" s="199"/>
      <c r="D2335" s="197"/>
      <c r="E2335" s="212"/>
      <c r="F2335" s="29" t="str">
        <f>IFERROR(VLOOKUP(E2335,'Inventaire des produits'!$B$4:$K$1001,2,0),"")</f>
        <v/>
      </c>
      <c r="G2335" s="212"/>
      <c r="H2335" s="30" t="str">
        <f>IFERROR(VLOOKUP(E2335,'Inventaire des produits'!$B$4:$K$1001,8,0),"")</f>
        <v/>
      </c>
      <c r="I2335" s="32" t="str">
        <f t="shared" si="70"/>
        <v/>
      </c>
      <c r="K2335" s="127" t="str">
        <f t="shared" si="69"/>
        <v/>
      </c>
    </row>
    <row r="2336" spans="2:11" x14ac:dyDescent="0.3">
      <c r="B2336" s="197"/>
      <c r="C2336" s="199"/>
      <c r="D2336" s="197"/>
      <c r="E2336" s="212"/>
      <c r="F2336" s="29" t="str">
        <f>IFERROR(VLOOKUP(E2336,'Inventaire des produits'!$B$4:$K$1001,2,0),"")</f>
        <v/>
      </c>
      <c r="G2336" s="212"/>
      <c r="H2336" s="30" t="str">
        <f>IFERROR(VLOOKUP(E2336,'Inventaire des produits'!$B$4:$K$1001,8,0),"")</f>
        <v/>
      </c>
      <c r="I2336" s="32" t="str">
        <f t="shared" si="70"/>
        <v/>
      </c>
      <c r="K2336" s="127" t="str">
        <f t="shared" si="69"/>
        <v/>
      </c>
    </row>
    <row r="2337" spans="2:11" x14ac:dyDescent="0.3">
      <c r="B2337" s="197"/>
      <c r="C2337" s="199"/>
      <c r="D2337" s="197"/>
      <c r="E2337" s="212"/>
      <c r="F2337" s="29" t="str">
        <f>IFERROR(VLOOKUP(E2337,'Inventaire des produits'!$B$4:$K$1001,2,0),"")</f>
        <v/>
      </c>
      <c r="G2337" s="212"/>
      <c r="H2337" s="30" t="str">
        <f>IFERROR(VLOOKUP(E2337,'Inventaire des produits'!$B$4:$K$1001,8,0),"")</f>
        <v/>
      </c>
      <c r="I2337" s="32" t="str">
        <f t="shared" si="70"/>
        <v/>
      </c>
      <c r="K2337" s="127" t="str">
        <f t="shared" si="69"/>
        <v/>
      </c>
    </row>
    <row r="2338" spans="2:11" x14ac:dyDescent="0.3">
      <c r="B2338" s="197"/>
      <c r="C2338" s="199"/>
      <c r="D2338" s="197"/>
      <c r="E2338" s="212"/>
      <c r="F2338" s="29" t="str">
        <f>IFERROR(VLOOKUP(E2338,'Inventaire des produits'!$B$4:$K$1001,2,0),"")</f>
        <v/>
      </c>
      <c r="G2338" s="212"/>
      <c r="H2338" s="30" t="str">
        <f>IFERROR(VLOOKUP(E2338,'Inventaire des produits'!$B$4:$K$1001,8,0),"")</f>
        <v/>
      </c>
      <c r="I2338" s="32" t="str">
        <f t="shared" si="70"/>
        <v/>
      </c>
      <c r="K2338" s="127" t="str">
        <f t="shared" si="69"/>
        <v/>
      </c>
    </row>
    <row r="2339" spans="2:11" x14ac:dyDescent="0.3">
      <c r="B2339" s="197"/>
      <c r="C2339" s="199"/>
      <c r="D2339" s="197"/>
      <c r="E2339" s="212"/>
      <c r="F2339" s="29" t="str">
        <f>IFERROR(VLOOKUP(E2339,'Inventaire des produits'!$B$4:$K$1001,2,0),"")</f>
        <v/>
      </c>
      <c r="G2339" s="212"/>
      <c r="H2339" s="30" t="str">
        <f>IFERROR(VLOOKUP(E2339,'Inventaire des produits'!$B$4:$K$1001,8,0),"")</f>
        <v/>
      </c>
      <c r="I2339" s="32" t="str">
        <f t="shared" si="70"/>
        <v/>
      </c>
      <c r="K2339" s="127" t="str">
        <f t="shared" si="69"/>
        <v/>
      </c>
    </row>
    <row r="2340" spans="2:11" x14ac:dyDescent="0.3">
      <c r="B2340" s="197"/>
      <c r="C2340" s="199"/>
      <c r="D2340" s="197"/>
      <c r="E2340" s="212"/>
      <c r="F2340" s="29" t="str">
        <f>IFERROR(VLOOKUP(E2340,'Inventaire des produits'!$B$4:$K$1001,2,0),"")</f>
        <v/>
      </c>
      <c r="G2340" s="212"/>
      <c r="H2340" s="30" t="str">
        <f>IFERROR(VLOOKUP(E2340,'Inventaire des produits'!$B$4:$K$1001,8,0),"")</f>
        <v/>
      </c>
      <c r="I2340" s="32" t="str">
        <f t="shared" si="70"/>
        <v/>
      </c>
      <c r="K2340" s="127" t="str">
        <f t="shared" si="69"/>
        <v/>
      </c>
    </row>
    <row r="2341" spans="2:11" x14ac:dyDescent="0.3">
      <c r="B2341" s="197"/>
      <c r="C2341" s="199"/>
      <c r="D2341" s="197"/>
      <c r="E2341" s="212"/>
      <c r="F2341" s="29" t="str">
        <f>IFERROR(VLOOKUP(E2341,'Inventaire des produits'!$B$4:$K$1001,2,0),"")</f>
        <v/>
      </c>
      <c r="G2341" s="212"/>
      <c r="H2341" s="30" t="str">
        <f>IFERROR(VLOOKUP(E2341,'Inventaire des produits'!$B$4:$K$1001,8,0),"")</f>
        <v/>
      </c>
      <c r="I2341" s="32" t="str">
        <f t="shared" si="70"/>
        <v/>
      </c>
      <c r="K2341" s="127" t="str">
        <f t="shared" si="69"/>
        <v/>
      </c>
    </row>
    <row r="2342" spans="2:11" x14ac:dyDescent="0.3">
      <c r="B2342" s="197"/>
      <c r="C2342" s="199"/>
      <c r="D2342" s="197"/>
      <c r="E2342" s="212"/>
      <c r="F2342" s="29" t="str">
        <f>IFERROR(VLOOKUP(E2342,'Inventaire des produits'!$B$4:$K$1001,2,0),"")</f>
        <v/>
      </c>
      <c r="G2342" s="212"/>
      <c r="H2342" s="30" t="str">
        <f>IFERROR(VLOOKUP(E2342,'Inventaire des produits'!$B$4:$K$1001,8,0),"")</f>
        <v/>
      </c>
      <c r="I2342" s="32" t="str">
        <f t="shared" si="70"/>
        <v/>
      </c>
      <c r="K2342" s="127" t="str">
        <f t="shared" si="69"/>
        <v/>
      </c>
    </row>
    <row r="2343" spans="2:11" x14ac:dyDescent="0.3">
      <c r="B2343" s="197"/>
      <c r="C2343" s="199"/>
      <c r="D2343" s="197"/>
      <c r="E2343" s="212"/>
      <c r="F2343" s="29" t="str">
        <f>IFERROR(VLOOKUP(E2343,'Inventaire des produits'!$B$4:$K$1001,2,0),"")</f>
        <v/>
      </c>
      <c r="G2343" s="212"/>
      <c r="H2343" s="30" t="str">
        <f>IFERROR(VLOOKUP(E2343,'Inventaire des produits'!$B$4:$K$1001,8,0),"")</f>
        <v/>
      </c>
      <c r="I2343" s="32" t="str">
        <f t="shared" si="70"/>
        <v/>
      </c>
      <c r="K2343" s="127" t="str">
        <f t="shared" si="69"/>
        <v/>
      </c>
    </row>
    <row r="2344" spans="2:11" x14ac:dyDescent="0.3">
      <c r="B2344" s="197"/>
      <c r="C2344" s="199"/>
      <c r="D2344" s="197"/>
      <c r="E2344" s="212"/>
      <c r="F2344" s="29" t="str">
        <f>IFERROR(VLOOKUP(E2344,'Inventaire des produits'!$B$4:$K$1001,2,0),"")</f>
        <v/>
      </c>
      <c r="G2344" s="212"/>
      <c r="H2344" s="30" t="str">
        <f>IFERROR(VLOOKUP(E2344,'Inventaire des produits'!$B$4:$K$1001,8,0),"")</f>
        <v/>
      </c>
      <c r="I2344" s="32" t="str">
        <f t="shared" si="70"/>
        <v/>
      </c>
      <c r="K2344" s="127" t="str">
        <f t="shared" si="69"/>
        <v/>
      </c>
    </row>
    <row r="2345" spans="2:11" x14ac:dyDescent="0.3">
      <c r="B2345" s="197"/>
      <c r="C2345" s="199"/>
      <c r="D2345" s="197"/>
      <c r="E2345" s="212"/>
      <c r="F2345" s="29" t="str">
        <f>IFERROR(VLOOKUP(E2345,'Inventaire des produits'!$B$4:$K$1001,2,0),"")</f>
        <v/>
      </c>
      <c r="G2345" s="212"/>
      <c r="H2345" s="30" t="str">
        <f>IFERROR(VLOOKUP(E2345,'Inventaire des produits'!$B$4:$K$1001,8,0),"")</f>
        <v/>
      </c>
      <c r="I2345" s="32" t="str">
        <f t="shared" si="70"/>
        <v/>
      </c>
      <c r="K2345" s="127" t="str">
        <f t="shared" si="69"/>
        <v/>
      </c>
    </row>
    <row r="2346" spans="2:11" x14ac:dyDescent="0.3">
      <c r="B2346" s="197"/>
      <c r="C2346" s="199"/>
      <c r="D2346" s="197"/>
      <c r="E2346" s="212"/>
      <c r="F2346" s="29" t="str">
        <f>IFERROR(VLOOKUP(E2346,'Inventaire des produits'!$B$4:$K$1001,2,0),"")</f>
        <v/>
      </c>
      <c r="G2346" s="212"/>
      <c r="H2346" s="30" t="str">
        <f>IFERROR(VLOOKUP(E2346,'Inventaire des produits'!$B$4:$K$1001,8,0),"")</f>
        <v/>
      </c>
      <c r="I2346" s="32" t="str">
        <f t="shared" si="70"/>
        <v/>
      </c>
      <c r="K2346" s="127" t="str">
        <f t="shared" si="69"/>
        <v/>
      </c>
    </row>
    <row r="2347" spans="2:11" x14ac:dyDescent="0.3">
      <c r="B2347" s="197"/>
      <c r="C2347" s="199"/>
      <c r="D2347" s="197"/>
      <c r="E2347" s="212"/>
      <c r="F2347" s="29" t="str">
        <f>IFERROR(VLOOKUP(E2347,'Inventaire des produits'!$B$4:$K$1001,2,0),"")</f>
        <v/>
      </c>
      <c r="G2347" s="212"/>
      <c r="H2347" s="30" t="str">
        <f>IFERROR(VLOOKUP(E2347,'Inventaire des produits'!$B$4:$K$1001,8,0),"")</f>
        <v/>
      </c>
      <c r="I2347" s="32" t="str">
        <f t="shared" si="70"/>
        <v/>
      </c>
      <c r="K2347" s="127" t="str">
        <f t="shared" si="69"/>
        <v/>
      </c>
    </row>
    <row r="2348" spans="2:11" x14ac:dyDescent="0.3">
      <c r="B2348" s="197"/>
      <c r="C2348" s="199"/>
      <c r="D2348" s="197"/>
      <c r="E2348" s="212"/>
      <c r="F2348" s="29" t="str">
        <f>IFERROR(VLOOKUP(E2348,'Inventaire des produits'!$B$4:$K$1001,2,0),"")</f>
        <v/>
      </c>
      <c r="G2348" s="212"/>
      <c r="H2348" s="30" t="str">
        <f>IFERROR(VLOOKUP(E2348,'Inventaire des produits'!$B$4:$K$1001,8,0),"")</f>
        <v/>
      </c>
      <c r="I2348" s="32" t="str">
        <f t="shared" si="70"/>
        <v/>
      </c>
      <c r="K2348" s="127" t="str">
        <f t="shared" si="69"/>
        <v/>
      </c>
    </row>
    <row r="2349" spans="2:11" x14ac:dyDescent="0.3">
      <c r="B2349" s="197"/>
      <c r="C2349" s="199"/>
      <c r="D2349" s="197"/>
      <c r="E2349" s="212"/>
      <c r="F2349" s="29" t="str">
        <f>IFERROR(VLOOKUP(E2349,'Inventaire des produits'!$B$4:$K$1001,2,0),"")</f>
        <v/>
      </c>
      <c r="G2349" s="212"/>
      <c r="H2349" s="30" t="str">
        <f>IFERROR(VLOOKUP(E2349,'Inventaire des produits'!$B$4:$K$1001,8,0),"")</f>
        <v/>
      </c>
      <c r="I2349" s="32" t="str">
        <f t="shared" si="70"/>
        <v/>
      </c>
      <c r="K2349" s="127" t="str">
        <f t="shared" si="69"/>
        <v/>
      </c>
    </row>
    <row r="2350" spans="2:11" x14ac:dyDescent="0.3">
      <c r="B2350" s="197"/>
      <c r="C2350" s="199"/>
      <c r="D2350" s="197"/>
      <c r="E2350" s="212"/>
      <c r="F2350" s="29" t="str">
        <f>IFERROR(VLOOKUP(E2350,'Inventaire des produits'!$B$4:$K$1001,2,0),"")</f>
        <v/>
      </c>
      <c r="G2350" s="212"/>
      <c r="H2350" s="30" t="str">
        <f>IFERROR(VLOOKUP(E2350,'Inventaire des produits'!$B$4:$K$1001,8,0),"")</f>
        <v/>
      </c>
      <c r="I2350" s="32" t="str">
        <f t="shared" si="70"/>
        <v/>
      </c>
      <c r="K2350" s="127" t="str">
        <f t="shared" si="69"/>
        <v/>
      </c>
    </row>
    <row r="2351" spans="2:11" x14ac:dyDescent="0.3">
      <c r="B2351" s="197"/>
      <c r="C2351" s="199"/>
      <c r="D2351" s="197"/>
      <c r="E2351" s="212"/>
      <c r="F2351" s="29" t="str">
        <f>IFERROR(VLOOKUP(E2351,'Inventaire des produits'!$B$4:$K$1001,2,0),"")</f>
        <v/>
      </c>
      <c r="G2351" s="212"/>
      <c r="H2351" s="30" t="str">
        <f>IFERROR(VLOOKUP(E2351,'Inventaire des produits'!$B$4:$K$1001,8,0),"")</f>
        <v/>
      </c>
      <c r="I2351" s="32" t="str">
        <f t="shared" si="70"/>
        <v/>
      </c>
      <c r="K2351" s="127" t="str">
        <f t="shared" si="69"/>
        <v/>
      </c>
    </row>
    <row r="2352" spans="2:11" x14ac:dyDescent="0.3">
      <c r="B2352" s="197"/>
      <c r="C2352" s="199"/>
      <c r="D2352" s="197"/>
      <c r="E2352" s="212"/>
      <c r="F2352" s="29" t="str">
        <f>IFERROR(VLOOKUP(E2352,'Inventaire des produits'!$B$4:$K$1001,2,0),"")</f>
        <v/>
      </c>
      <c r="G2352" s="212"/>
      <c r="H2352" s="30" t="str">
        <f>IFERROR(VLOOKUP(E2352,'Inventaire des produits'!$B$4:$K$1001,8,0),"")</f>
        <v/>
      </c>
      <c r="I2352" s="32" t="str">
        <f t="shared" si="70"/>
        <v/>
      </c>
      <c r="K2352" s="127" t="str">
        <f t="shared" si="69"/>
        <v/>
      </c>
    </row>
    <row r="2353" spans="2:11" x14ac:dyDescent="0.3">
      <c r="B2353" s="197"/>
      <c r="C2353" s="199"/>
      <c r="D2353" s="197"/>
      <c r="E2353" s="212"/>
      <c r="F2353" s="29" t="str">
        <f>IFERROR(VLOOKUP(E2353,'Inventaire des produits'!$B$4:$K$1001,2,0),"")</f>
        <v/>
      </c>
      <c r="G2353" s="212"/>
      <c r="H2353" s="30" t="str">
        <f>IFERROR(VLOOKUP(E2353,'Inventaire des produits'!$B$4:$K$1001,8,0),"")</f>
        <v/>
      </c>
      <c r="I2353" s="32" t="str">
        <f t="shared" si="70"/>
        <v/>
      </c>
      <c r="K2353" s="127" t="str">
        <f t="shared" si="69"/>
        <v/>
      </c>
    </row>
    <row r="2354" spans="2:11" x14ac:dyDescent="0.3">
      <c r="B2354" s="197"/>
      <c r="C2354" s="199"/>
      <c r="D2354" s="197"/>
      <c r="E2354" s="212"/>
      <c r="F2354" s="29" t="str">
        <f>IFERROR(VLOOKUP(E2354,'Inventaire des produits'!$B$4:$K$1001,2,0),"")</f>
        <v/>
      </c>
      <c r="G2354" s="212"/>
      <c r="H2354" s="30" t="str">
        <f>IFERROR(VLOOKUP(E2354,'Inventaire des produits'!$B$4:$K$1001,8,0),"")</f>
        <v/>
      </c>
      <c r="I2354" s="32" t="str">
        <f t="shared" si="70"/>
        <v/>
      </c>
      <c r="K2354" s="127" t="str">
        <f t="shared" si="69"/>
        <v/>
      </c>
    </row>
    <row r="2355" spans="2:11" x14ac:dyDescent="0.3">
      <c r="B2355" s="197"/>
      <c r="C2355" s="199"/>
      <c r="D2355" s="197"/>
      <c r="E2355" s="212"/>
      <c r="F2355" s="29" t="str">
        <f>IFERROR(VLOOKUP(E2355,'Inventaire des produits'!$B$4:$K$1001,2,0),"")</f>
        <v/>
      </c>
      <c r="G2355" s="212"/>
      <c r="H2355" s="30" t="str">
        <f>IFERROR(VLOOKUP(E2355,'Inventaire des produits'!$B$4:$K$1001,8,0),"")</f>
        <v/>
      </c>
      <c r="I2355" s="32" t="str">
        <f t="shared" si="70"/>
        <v/>
      </c>
      <c r="K2355" s="127" t="str">
        <f t="shared" si="69"/>
        <v/>
      </c>
    </row>
    <row r="2356" spans="2:11" x14ac:dyDescent="0.3">
      <c r="B2356" s="197"/>
      <c r="C2356" s="199"/>
      <c r="D2356" s="197"/>
      <c r="E2356" s="212"/>
      <c r="F2356" s="29" t="str">
        <f>IFERROR(VLOOKUP(E2356,'Inventaire des produits'!$B$4:$K$1001,2,0),"")</f>
        <v/>
      </c>
      <c r="G2356" s="212"/>
      <c r="H2356" s="30" t="str">
        <f>IFERROR(VLOOKUP(E2356,'Inventaire des produits'!$B$4:$K$1001,8,0),"")</f>
        <v/>
      </c>
      <c r="I2356" s="32" t="str">
        <f t="shared" si="70"/>
        <v/>
      </c>
      <c r="K2356" s="127" t="str">
        <f t="shared" si="69"/>
        <v/>
      </c>
    </row>
    <row r="2357" spans="2:11" x14ac:dyDescent="0.3">
      <c r="B2357" s="197"/>
      <c r="C2357" s="199"/>
      <c r="D2357" s="197"/>
      <c r="E2357" s="212"/>
      <c r="F2357" s="29" t="str">
        <f>IFERROR(VLOOKUP(E2357,'Inventaire des produits'!$B$4:$K$1001,2,0),"")</f>
        <v/>
      </c>
      <c r="G2357" s="212"/>
      <c r="H2357" s="30" t="str">
        <f>IFERROR(VLOOKUP(E2357,'Inventaire des produits'!$B$4:$K$1001,8,0),"")</f>
        <v/>
      </c>
      <c r="I2357" s="32" t="str">
        <f t="shared" si="70"/>
        <v/>
      </c>
      <c r="K2357" s="127" t="str">
        <f t="shared" si="69"/>
        <v/>
      </c>
    </row>
    <row r="2358" spans="2:11" x14ac:dyDescent="0.3">
      <c r="B2358" s="197"/>
      <c r="C2358" s="199"/>
      <c r="D2358" s="197"/>
      <c r="E2358" s="212"/>
      <c r="F2358" s="29" t="str">
        <f>IFERROR(VLOOKUP(E2358,'Inventaire des produits'!$B$4:$K$1001,2,0),"")</f>
        <v/>
      </c>
      <c r="G2358" s="212"/>
      <c r="H2358" s="30" t="str">
        <f>IFERROR(VLOOKUP(E2358,'Inventaire des produits'!$B$4:$K$1001,8,0),"")</f>
        <v/>
      </c>
      <c r="I2358" s="32" t="str">
        <f t="shared" si="70"/>
        <v/>
      </c>
      <c r="K2358" s="127" t="str">
        <f t="shared" si="69"/>
        <v/>
      </c>
    </row>
    <row r="2359" spans="2:11" x14ac:dyDescent="0.3">
      <c r="B2359" s="197"/>
      <c r="C2359" s="199"/>
      <c r="D2359" s="197"/>
      <c r="E2359" s="212"/>
      <c r="F2359" s="29" t="str">
        <f>IFERROR(VLOOKUP(E2359,'Inventaire des produits'!$B$4:$K$1001,2,0),"")</f>
        <v/>
      </c>
      <c r="G2359" s="212"/>
      <c r="H2359" s="30" t="str">
        <f>IFERROR(VLOOKUP(E2359,'Inventaire des produits'!$B$4:$K$1001,8,0),"")</f>
        <v/>
      </c>
      <c r="I2359" s="32" t="str">
        <f t="shared" si="70"/>
        <v/>
      </c>
      <c r="K2359" s="127" t="str">
        <f t="shared" si="69"/>
        <v/>
      </c>
    </row>
    <row r="2360" spans="2:11" x14ac:dyDescent="0.3">
      <c r="B2360" s="197"/>
      <c r="C2360" s="199"/>
      <c r="D2360" s="197"/>
      <c r="E2360" s="212"/>
      <c r="F2360" s="29" t="str">
        <f>IFERROR(VLOOKUP(E2360,'Inventaire des produits'!$B$4:$K$1001,2,0),"")</f>
        <v/>
      </c>
      <c r="G2360" s="212"/>
      <c r="H2360" s="30" t="str">
        <f>IFERROR(VLOOKUP(E2360,'Inventaire des produits'!$B$4:$K$1001,8,0),"")</f>
        <v/>
      </c>
      <c r="I2360" s="32" t="str">
        <f t="shared" si="70"/>
        <v/>
      </c>
      <c r="K2360" s="127" t="str">
        <f t="shared" si="69"/>
        <v/>
      </c>
    </row>
    <row r="2361" spans="2:11" x14ac:dyDescent="0.3">
      <c r="B2361" s="197"/>
      <c r="C2361" s="199"/>
      <c r="D2361" s="197"/>
      <c r="E2361" s="212"/>
      <c r="F2361" s="29" t="str">
        <f>IFERROR(VLOOKUP(E2361,'Inventaire des produits'!$B$4:$K$1001,2,0),"")</f>
        <v/>
      </c>
      <c r="G2361" s="212"/>
      <c r="H2361" s="30" t="str">
        <f>IFERROR(VLOOKUP(E2361,'Inventaire des produits'!$B$4:$K$1001,8,0),"")</f>
        <v/>
      </c>
      <c r="I2361" s="32" t="str">
        <f t="shared" si="70"/>
        <v/>
      </c>
      <c r="K2361" s="127" t="str">
        <f t="shared" si="69"/>
        <v/>
      </c>
    </row>
    <row r="2362" spans="2:11" x14ac:dyDescent="0.3">
      <c r="B2362" s="197"/>
      <c r="C2362" s="199"/>
      <c r="D2362" s="197"/>
      <c r="E2362" s="212"/>
      <c r="F2362" s="29" t="str">
        <f>IFERROR(VLOOKUP(E2362,'Inventaire des produits'!$B$4:$K$1001,2,0),"")</f>
        <v/>
      </c>
      <c r="G2362" s="212"/>
      <c r="H2362" s="30" t="str">
        <f>IFERROR(VLOOKUP(E2362,'Inventaire des produits'!$B$4:$K$1001,8,0),"")</f>
        <v/>
      </c>
      <c r="I2362" s="32" t="str">
        <f t="shared" si="70"/>
        <v/>
      </c>
      <c r="K2362" s="127" t="str">
        <f t="shared" si="69"/>
        <v/>
      </c>
    </row>
    <row r="2363" spans="2:11" x14ac:dyDescent="0.3">
      <c r="B2363" s="197"/>
      <c r="C2363" s="199"/>
      <c r="D2363" s="197"/>
      <c r="E2363" s="212"/>
      <c r="F2363" s="29" t="str">
        <f>IFERROR(VLOOKUP(E2363,'Inventaire des produits'!$B$4:$K$1001,2,0),"")</f>
        <v/>
      </c>
      <c r="G2363" s="212"/>
      <c r="H2363" s="30" t="str">
        <f>IFERROR(VLOOKUP(E2363,'Inventaire des produits'!$B$4:$K$1001,8,0),"")</f>
        <v/>
      </c>
      <c r="I2363" s="32" t="str">
        <f t="shared" si="70"/>
        <v/>
      </c>
      <c r="K2363" s="127" t="str">
        <f t="shared" si="69"/>
        <v/>
      </c>
    </row>
    <row r="2364" spans="2:11" x14ac:dyDescent="0.3">
      <c r="B2364" s="197"/>
      <c r="C2364" s="199"/>
      <c r="D2364" s="197"/>
      <c r="E2364" s="212"/>
      <c r="F2364" s="29" t="str">
        <f>IFERROR(VLOOKUP(E2364,'Inventaire des produits'!$B$4:$K$1001,2,0),"")</f>
        <v/>
      </c>
      <c r="G2364" s="212"/>
      <c r="H2364" s="30" t="str">
        <f>IFERROR(VLOOKUP(E2364,'Inventaire des produits'!$B$4:$K$1001,8,0),"")</f>
        <v/>
      </c>
      <c r="I2364" s="32" t="str">
        <f t="shared" si="70"/>
        <v/>
      </c>
      <c r="K2364" s="127" t="str">
        <f t="shared" ref="K2364:K2427" si="71">IF(J2364="","",J2364*1.2)</f>
        <v/>
      </c>
    </row>
    <row r="2365" spans="2:11" x14ac:dyDescent="0.3">
      <c r="B2365" s="197"/>
      <c r="C2365" s="199"/>
      <c r="D2365" s="197"/>
      <c r="E2365" s="212"/>
      <c r="F2365" s="29" t="str">
        <f>IFERROR(VLOOKUP(E2365,'Inventaire des produits'!$B$4:$K$1001,2,0),"")</f>
        <v/>
      </c>
      <c r="G2365" s="212"/>
      <c r="H2365" s="30" t="str">
        <f>IFERROR(VLOOKUP(E2365,'Inventaire des produits'!$B$4:$K$1001,8,0),"")</f>
        <v/>
      </c>
      <c r="I2365" s="32" t="str">
        <f t="shared" si="70"/>
        <v/>
      </c>
      <c r="K2365" s="127" t="str">
        <f t="shared" si="71"/>
        <v/>
      </c>
    </row>
    <row r="2366" spans="2:11" x14ac:dyDescent="0.3">
      <c r="B2366" s="197"/>
      <c r="C2366" s="199"/>
      <c r="D2366" s="197"/>
      <c r="E2366" s="212"/>
      <c r="F2366" s="29" t="str">
        <f>IFERROR(VLOOKUP(E2366,'Inventaire des produits'!$B$4:$K$1001,2,0),"")</f>
        <v/>
      </c>
      <c r="G2366" s="212"/>
      <c r="H2366" s="30" t="str">
        <f>IFERROR(VLOOKUP(E2366,'Inventaire des produits'!$B$4:$K$1001,8,0),"")</f>
        <v/>
      </c>
      <c r="I2366" s="32" t="str">
        <f t="shared" si="70"/>
        <v/>
      </c>
      <c r="K2366" s="127" t="str">
        <f t="shared" si="71"/>
        <v/>
      </c>
    </row>
    <row r="2367" spans="2:11" x14ac:dyDescent="0.3">
      <c r="B2367" s="197"/>
      <c r="C2367" s="199"/>
      <c r="D2367" s="197"/>
      <c r="E2367" s="212"/>
      <c r="F2367" s="29" t="str">
        <f>IFERROR(VLOOKUP(E2367,'Inventaire des produits'!$B$4:$K$1001,2,0),"")</f>
        <v/>
      </c>
      <c r="G2367" s="212"/>
      <c r="H2367" s="30" t="str">
        <f>IFERROR(VLOOKUP(E2367,'Inventaire des produits'!$B$4:$K$1001,8,0),"")</f>
        <v/>
      </c>
      <c r="I2367" s="32" t="str">
        <f t="shared" si="70"/>
        <v/>
      </c>
      <c r="K2367" s="127" t="str">
        <f t="shared" si="71"/>
        <v/>
      </c>
    </row>
    <row r="2368" spans="2:11" x14ac:dyDescent="0.3">
      <c r="B2368" s="197"/>
      <c r="C2368" s="199"/>
      <c r="D2368" s="197"/>
      <c r="E2368" s="212"/>
      <c r="F2368" s="29" t="str">
        <f>IFERROR(VLOOKUP(E2368,'Inventaire des produits'!$B$4:$K$1001,2,0),"")</f>
        <v/>
      </c>
      <c r="G2368" s="212"/>
      <c r="H2368" s="30" t="str">
        <f>IFERROR(VLOOKUP(E2368,'Inventaire des produits'!$B$4:$K$1001,8,0),"")</f>
        <v/>
      </c>
      <c r="I2368" s="32" t="str">
        <f t="shared" si="70"/>
        <v/>
      </c>
      <c r="K2368" s="127" t="str">
        <f t="shared" si="71"/>
        <v/>
      </c>
    </row>
    <row r="2369" spans="2:11" x14ac:dyDescent="0.3">
      <c r="B2369" s="197"/>
      <c r="C2369" s="199"/>
      <c r="D2369" s="197"/>
      <c r="E2369" s="212"/>
      <c r="F2369" s="29" t="str">
        <f>IFERROR(VLOOKUP(E2369,'Inventaire des produits'!$B$4:$K$1001,2,0),"")</f>
        <v/>
      </c>
      <c r="G2369" s="212"/>
      <c r="H2369" s="30" t="str">
        <f>IFERROR(VLOOKUP(E2369,'Inventaire des produits'!$B$4:$K$1001,8,0),"")</f>
        <v/>
      </c>
      <c r="I2369" s="32" t="str">
        <f t="shared" si="70"/>
        <v/>
      </c>
      <c r="K2369" s="127" t="str">
        <f t="shared" si="71"/>
        <v/>
      </c>
    </row>
    <row r="2370" spans="2:11" x14ac:dyDescent="0.3">
      <c r="B2370" s="197"/>
      <c r="C2370" s="199"/>
      <c r="D2370" s="197"/>
      <c r="E2370" s="212"/>
      <c r="F2370" s="29" t="str">
        <f>IFERROR(VLOOKUP(E2370,'Inventaire des produits'!$B$4:$K$1001,2,0),"")</f>
        <v/>
      </c>
      <c r="G2370" s="212"/>
      <c r="H2370" s="30" t="str">
        <f>IFERROR(VLOOKUP(E2370,'Inventaire des produits'!$B$4:$K$1001,8,0),"")</f>
        <v/>
      </c>
      <c r="I2370" s="32" t="str">
        <f t="shared" ref="I2370:I2433" si="72">IF(OR(G2370="",H2370=""),"",G2370*H2370)</f>
        <v/>
      </c>
      <c r="K2370" s="127" t="str">
        <f t="shared" si="71"/>
        <v/>
      </c>
    </row>
    <row r="2371" spans="2:11" x14ac:dyDescent="0.3">
      <c r="B2371" s="197"/>
      <c r="C2371" s="199"/>
      <c r="D2371" s="197"/>
      <c r="E2371" s="212"/>
      <c r="F2371" s="29" t="str">
        <f>IFERROR(VLOOKUP(E2371,'Inventaire des produits'!$B$4:$K$1001,2,0),"")</f>
        <v/>
      </c>
      <c r="G2371" s="212"/>
      <c r="H2371" s="30" t="str">
        <f>IFERROR(VLOOKUP(E2371,'Inventaire des produits'!$B$4:$K$1001,8,0),"")</f>
        <v/>
      </c>
      <c r="I2371" s="32" t="str">
        <f t="shared" si="72"/>
        <v/>
      </c>
      <c r="K2371" s="127" t="str">
        <f t="shared" si="71"/>
        <v/>
      </c>
    </row>
    <row r="2372" spans="2:11" x14ac:dyDescent="0.3">
      <c r="B2372" s="197"/>
      <c r="C2372" s="199"/>
      <c r="D2372" s="197"/>
      <c r="E2372" s="212"/>
      <c r="F2372" s="29" t="str">
        <f>IFERROR(VLOOKUP(E2372,'Inventaire des produits'!$B$4:$K$1001,2,0),"")</f>
        <v/>
      </c>
      <c r="G2372" s="212"/>
      <c r="H2372" s="30" t="str">
        <f>IFERROR(VLOOKUP(E2372,'Inventaire des produits'!$B$4:$K$1001,8,0),"")</f>
        <v/>
      </c>
      <c r="I2372" s="32" t="str">
        <f t="shared" si="72"/>
        <v/>
      </c>
      <c r="K2372" s="127" t="str">
        <f t="shared" si="71"/>
        <v/>
      </c>
    </row>
    <row r="2373" spans="2:11" x14ac:dyDescent="0.3">
      <c r="B2373" s="197"/>
      <c r="C2373" s="199"/>
      <c r="D2373" s="197"/>
      <c r="E2373" s="212"/>
      <c r="F2373" s="29" t="str">
        <f>IFERROR(VLOOKUP(E2373,'Inventaire des produits'!$B$4:$K$1001,2,0),"")</f>
        <v/>
      </c>
      <c r="G2373" s="212"/>
      <c r="H2373" s="30" t="str">
        <f>IFERROR(VLOOKUP(E2373,'Inventaire des produits'!$B$4:$K$1001,8,0),"")</f>
        <v/>
      </c>
      <c r="I2373" s="32" t="str">
        <f t="shared" si="72"/>
        <v/>
      </c>
      <c r="K2373" s="127" t="str">
        <f t="shared" si="71"/>
        <v/>
      </c>
    </row>
    <row r="2374" spans="2:11" x14ac:dyDescent="0.3">
      <c r="B2374" s="197"/>
      <c r="C2374" s="199"/>
      <c r="D2374" s="197"/>
      <c r="E2374" s="212"/>
      <c r="F2374" s="29" t="str">
        <f>IFERROR(VLOOKUP(E2374,'Inventaire des produits'!$B$4:$K$1001,2,0),"")</f>
        <v/>
      </c>
      <c r="G2374" s="212"/>
      <c r="H2374" s="30" t="str">
        <f>IFERROR(VLOOKUP(E2374,'Inventaire des produits'!$B$4:$K$1001,8,0),"")</f>
        <v/>
      </c>
      <c r="I2374" s="32" t="str">
        <f t="shared" si="72"/>
        <v/>
      </c>
      <c r="K2374" s="127" t="str">
        <f t="shared" si="71"/>
        <v/>
      </c>
    </row>
    <row r="2375" spans="2:11" x14ac:dyDescent="0.3">
      <c r="B2375" s="197"/>
      <c r="C2375" s="199"/>
      <c r="D2375" s="197"/>
      <c r="E2375" s="212"/>
      <c r="F2375" s="29" t="str">
        <f>IFERROR(VLOOKUP(E2375,'Inventaire des produits'!$B$4:$K$1001,2,0),"")</f>
        <v/>
      </c>
      <c r="G2375" s="212"/>
      <c r="H2375" s="30" t="str">
        <f>IFERROR(VLOOKUP(E2375,'Inventaire des produits'!$B$4:$K$1001,8,0),"")</f>
        <v/>
      </c>
      <c r="I2375" s="32" t="str">
        <f t="shared" si="72"/>
        <v/>
      </c>
      <c r="K2375" s="127" t="str">
        <f t="shared" si="71"/>
        <v/>
      </c>
    </row>
    <row r="2376" spans="2:11" x14ac:dyDescent="0.3">
      <c r="B2376" s="197"/>
      <c r="C2376" s="199"/>
      <c r="D2376" s="197"/>
      <c r="E2376" s="212"/>
      <c r="F2376" s="29" t="str">
        <f>IFERROR(VLOOKUP(E2376,'Inventaire des produits'!$B$4:$K$1001,2,0),"")</f>
        <v/>
      </c>
      <c r="G2376" s="212"/>
      <c r="H2376" s="30" t="str">
        <f>IFERROR(VLOOKUP(E2376,'Inventaire des produits'!$B$4:$K$1001,8,0),"")</f>
        <v/>
      </c>
      <c r="I2376" s="32" t="str">
        <f t="shared" si="72"/>
        <v/>
      </c>
      <c r="K2376" s="127" t="str">
        <f t="shared" si="71"/>
        <v/>
      </c>
    </row>
    <row r="2377" spans="2:11" x14ac:dyDescent="0.3">
      <c r="B2377" s="197"/>
      <c r="C2377" s="199"/>
      <c r="D2377" s="197"/>
      <c r="E2377" s="212"/>
      <c r="F2377" s="29" t="str">
        <f>IFERROR(VLOOKUP(E2377,'Inventaire des produits'!$B$4:$K$1001,2,0),"")</f>
        <v/>
      </c>
      <c r="G2377" s="212"/>
      <c r="H2377" s="30" t="str">
        <f>IFERROR(VLOOKUP(E2377,'Inventaire des produits'!$B$4:$K$1001,8,0),"")</f>
        <v/>
      </c>
      <c r="I2377" s="32" t="str">
        <f t="shared" si="72"/>
        <v/>
      </c>
      <c r="K2377" s="127" t="str">
        <f t="shared" si="71"/>
        <v/>
      </c>
    </row>
    <row r="2378" spans="2:11" x14ac:dyDescent="0.3">
      <c r="B2378" s="197"/>
      <c r="C2378" s="199"/>
      <c r="D2378" s="197"/>
      <c r="E2378" s="212"/>
      <c r="F2378" s="29" t="str">
        <f>IFERROR(VLOOKUP(E2378,'Inventaire des produits'!$B$4:$K$1001,2,0),"")</f>
        <v/>
      </c>
      <c r="G2378" s="212"/>
      <c r="H2378" s="30" t="str">
        <f>IFERROR(VLOOKUP(E2378,'Inventaire des produits'!$B$4:$K$1001,8,0),"")</f>
        <v/>
      </c>
      <c r="I2378" s="32" t="str">
        <f t="shared" si="72"/>
        <v/>
      </c>
      <c r="K2378" s="127" t="str">
        <f t="shared" si="71"/>
        <v/>
      </c>
    </row>
    <row r="2379" spans="2:11" x14ac:dyDescent="0.3">
      <c r="B2379" s="197"/>
      <c r="C2379" s="199"/>
      <c r="D2379" s="197"/>
      <c r="E2379" s="212"/>
      <c r="F2379" s="29" t="str">
        <f>IFERROR(VLOOKUP(E2379,'Inventaire des produits'!$B$4:$K$1001,2,0),"")</f>
        <v/>
      </c>
      <c r="G2379" s="212"/>
      <c r="H2379" s="30" t="str">
        <f>IFERROR(VLOOKUP(E2379,'Inventaire des produits'!$B$4:$K$1001,8,0),"")</f>
        <v/>
      </c>
      <c r="I2379" s="32" t="str">
        <f t="shared" si="72"/>
        <v/>
      </c>
      <c r="K2379" s="127" t="str">
        <f t="shared" si="71"/>
        <v/>
      </c>
    </row>
    <row r="2380" spans="2:11" x14ac:dyDescent="0.3">
      <c r="B2380" s="197"/>
      <c r="C2380" s="199"/>
      <c r="D2380" s="197"/>
      <c r="E2380" s="212"/>
      <c r="F2380" s="29" t="str">
        <f>IFERROR(VLOOKUP(E2380,'Inventaire des produits'!$B$4:$K$1001,2,0),"")</f>
        <v/>
      </c>
      <c r="G2380" s="212"/>
      <c r="H2380" s="30" t="str">
        <f>IFERROR(VLOOKUP(E2380,'Inventaire des produits'!$B$4:$K$1001,8,0),"")</f>
        <v/>
      </c>
      <c r="I2380" s="32" t="str">
        <f t="shared" si="72"/>
        <v/>
      </c>
      <c r="K2380" s="127" t="str">
        <f t="shared" si="71"/>
        <v/>
      </c>
    </row>
    <row r="2381" spans="2:11" x14ac:dyDescent="0.3">
      <c r="B2381" s="197"/>
      <c r="C2381" s="199"/>
      <c r="D2381" s="197"/>
      <c r="E2381" s="212"/>
      <c r="F2381" s="29" t="str">
        <f>IFERROR(VLOOKUP(E2381,'Inventaire des produits'!$B$4:$K$1001,2,0),"")</f>
        <v/>
      </c>
      <c r="G2381" s="212"/>
      <c r="H2381" s="30" t="str">
        <f>IFERROR(VLOOKUP(E2381,'Inventaire des produits'!$B$4:$K$1001,8,0),"")</f>
        <v/>
      </c>
      <c r="I2381" s="32" t="str">
        <f t="shared" si="72"/>
        <v/>
      </c>
      <c r="K2381" s="127" t="str">
        <f t="shared" si="71"/>
        <v/>
      </c>
    </row>
    <row r="2382" spans="2:11" x14ac:dyDescent="0.3">
      <c r="B2382" s="197"/>
      <c r="C2382" s="199"/>
      <c r="D2382" s="197"/>
      <c r="E2382" s="212"/>
      <c r="F2382" s="29" t="str">
        <f>IFERROR(VLOOKUP(E2382,'Inventaire des produits'!$B$4:$K$1001,2,0),"")</f>
        <v/>
      </c>
      <c r="G2382" s="212"/>
      <c r="H2382" s="30" t="str">
        <f>IFERROR(VLOOKUP(E2382,'Inventaire des produits'!$B$4:$K$1001,8,0),"")</f>
        <v/>
      </c>
      <c r="I2382" s="32" t="str">
        <f t="shared" si="72"/>
        <v/>
      </c>
      <c r="K2382" s="127" t="str">
        <f t="shared" si="71"/>
        <v/>
      </c>
    </row>
    <row r="2383" spans="2:11" x14ac:dyDescent="0.3">
      <c r="B2383" s="197"/>
      <c r="C2383" s="199"/>
      <c r="D2383" s="197"/>
      <c r="E2383" s="212"/>
      <c r="F2383" s="29" t="str">
        <f>IFERROR(VLOOKUP(E2383,'Inventaire des produits'!$B$4:$K$1001,2,0),"")</f>
        <v/>
      </c>
      <c r="G2383" s="212"/>
      <c r="H2383" s="30" t="str">
        <f>IFERROR(VLOOKUP(E2383,'Inventaire des produits'!$B$4:$K$1001,8,0),"")</f>
        <v/>
      </c>
      <c r="I2383" s="32" t="str">
        <f t="shared" si="72"/>
        <v/>
      </c>
      <c r="K2383" s="127" t="str">
        <f t="shared" si="71"/>
        <v/>
      </c>
    </row>
    <row r="2384" spans="2:11" x14ac:dyDescent="0.3">
      <c r="B2384" s="197"/>
      <c r="C2384" s="199"/>
      <c r="D2384" s="197"/>
      <c r="E2384" s="212"/>
      <c r="F2384" s="29" t="str">
        <f>IFERROR(VLOOKUP(E2384,'Inventaire des produits'!$B$4:$K$1001,2,0),"")</f>
        <v/>
      </c>
      <c r="G2384" s="212"/>
      <c r="H2384" s="30" t="str">
        <f>IFERROR(VLOOKUP(E2384,'Inventaire des produits'!$B$4:$K$1001,8,0),"")</f>
        <v/>
      </c>
      <c r="I2384" s="32" t="str">
        <f t="shared" si="72"/>
        <v/>
      </c>
      <c r="K2384" s="127" t="str">
        <f t="shared" si="71"/>
        <v/>
      </c>
    </row>
    <row r="2385" spans="2:11" x14ac:dyDescent="0.3">
      <c r="B2385" s="197"/>
      <c r="C2385" s="199"/>
      <c r="D2385" s="197"/>
      <c r="E2385" s="212"/>
      <c r="F2385" s="29" t="str">
        <f>IFERROR(VLOOKUP(E2385,'Inventaire des produits'!$B$4:$K$1001,2,0),"")</f>
        <v/>
      </c>
      <c r="G2385" s="212"/>
      <c r="H2385" s="30" t="str">
        <f>IFERROR(VLOOKUP(E2385,'Inventaire des produits'!$B$4:$K$1001,8,0),"")</f>
        <v/>
      </c>
      <c r="I2385" s="32" t="str">
        <f t="shared" si="72"/>
        <v/>
      </c>
      <c r="K2385" s="127" t="str">
        <f t="shared" si="71"/>
        <v/>
      </c>
    </row>
    <row r="2386" spans="2:11" x14ac:dyDescent="0.3">
      <c r="B2386" s="197"/>
      <c r="C2386" s="199"/>
      <c r="D2386" s="197"/>
      <c r="E2386" s="212"/>
      <c r="F2386" s="29" t="str">
        <f>IFERROR(VLOOKUP(E2386,'Inventaire des produits'!$B$4:$K$1001,2,0),"")</f>
        <v/>
      </c>
      <c r="G2386" s="212"/>
      <c r="H2386" s="30" t="str">
        <f>IFERROR(VLOOKUP(E2386,'Inventaire des produits'!$B$4:$K$1001,8,0),"")</f>
        <v/>
      </c>
      <c r="I2386" s="32" t="str">
        <f t="shared" si="72"/>
        <v/>
      </c>
      <c r="K2386" s="127" t="str">
        <f t="shared" si="71"/>
        <v/>
      </c>
    </row>
    <row r="2387" spans="2:11" x14ac:dyDescent="0.3">
      <c r="B2387" s="197"/>
      <c r="C2387" s="199"/>
      <c r="D2387" s="197"/>
      <c r="E2387" s="212"/>
      <c r="F2387" s="29" t="str">
        <f>IFERROR(VLOOKUP(E2387,'Inventaire des produits'!$B$4:$K$1001,2,0),"")</f>
        <v/>
      </c>
      <c r="G2387" s="212"/>
      <c r="H2387" s="30" t="str">
        <f>IFERROR(VLOOKUP(E2387,'Inventaire des produits'!$B$4:$K$1001,8,0),"")</f>
        <v/>
      </c>
      <c r="I2387" s="32" t="str">
        <f t="shared" si="72"/>
        <v/>
      </c>
      <c r="K2387" s="127" t="str">
        <f t="shared" si="71"/>
        <v/>
      </c>
    </row>
    <row r="2388" spans="2:11" x14ac:dyDescent="0.3">
      <c r="B2388" s="197"/>
      <c r="C2388" s="199"/>
      <c r="D2388" s="197"/>
      <c r="E2388" s="212"/>
      <c r="F2388" s="29" t="str">
        <f>IFERROR(VLOOKUP(E2388,'Inventaire des produits'!$B$4:$K$1001,2,0),"")</f>
        <v/>
      </c>
      <c r="G2388" s="212"/>
      <c r="H2388" s="30" t="str">
        <f>IFERROR(VLOOKUP(E2388,'Inventaire des produits'!$B$4:$K$1001,8,0),"")</f>
        <v/>
      </c>
      <c r="I2388" s="32" t="str">
        <f t="shared" si="72"/>
        <v/>
      </c>
      <c r="K2388" s="127" t="str">
        <f t="shared" si="71"/>
        <v/>
      </c>
    </row>
    <row r="2389" spans="2:11" x14ac:dyDescent="0.3">
      <c r="B2389" s="197"/>
      <c r="C2389" s="199"/>
      <c r="D2389" s="197"/>
      <c r="E2389" s="212"/>
      <c r="F2389" s="29" t="str">
        <f>IFERROR(VLOOKUP(E2389,'Inventaire des produits'!$B$4:$K$1001,2,0),"")</f>
        <v/>
      </c>
      <c r="G2389" s="212"/>
      <c r="H2389" s="30" t="str">
        <f>IFERROR(VLOOKUP(E2389,'Inventaire des produits'!$B$4:$K$1001,8,0),"")</f>
        <v/>
      </c>
      <c r="I2389" s="32" t="str">
        <f t="shared" si="72"/>
        <v/>
      </c>
      <c r="K2389" s="127" t="str">
        <f t="shared" si="71"/>
        <v/>
      </c>
    </row>
    <row r="2390" spans="2:11" x14ac:dyDescent="0.3">
      <c r="B2390" s="197"/>
      <c r="C2390" s="199"/>
      <c r="D2390" s="197"/>
      <c r="E2390" s="212"/>
      <c r="F2390" s="29" t="str">
        <f>IFERROR(VLOOKUP(E2390,'Inventaire des produits'!$B$4:$K$1001,2,0),"")</f>
        <v/>
      </c>
      <c r="G2390" s="212"/>
      <c r="H2390" s="30" t="str">
        <f>IFERROR(VLOOKUP(E2390,'Inventaire des produits'!$B$4:$K$1001,8,0),"")</f>
        <v/>
      </c>
      <c r="I2390" s="32" t="str">
        <f t="shared" si="72"/>
        <v/>
      </c>
      <c r="K2390" s="127" t="str">
        <f t="shared" si="71"/>
        <v/>
      </c>
    </row>
    <row r="2391" spans="2:11" x14ac:dyDescent="0.3">
      <c r="B2391" s="197"/>
      <c r="C2391" s="199"/>
      <c r="D2391" s="197"/>
      <c r="E2391" s="212"/>
      <c r="F2391" s="29" t="str">
        <f>IFERROR(VLOOKUP(E2391,'Inventaire des produits'!$B$4:$K$1001,2,0),"")</f>
        <v/>
      </c>
      <c r="G2391" s="212"/>
      <c r="H2391" s="30" t="str">
        <f>IFERROR(VLOOKUP(E2391,'Inventaire des produits'!$B$4:$K$1001,8,0),"")</f>
        <v/>
      </c>
      <c r="I2391" s="32" t="str">
        <f t="shared" si="72"/>
        <v/>
      </c>
      <c r="K2391" s="127" t="str">
        <f t="shared" si="71"/>
        <v/>
      </c>
    </row>
    <row r="2392" spans="2:11" x14ac:dyDescent="0.3">
      <c r="B2392" s="197"/>
      <c r="C2392" s="199"/>
      <c r="D2392" s="197"/>
      <c r="E2392" s="212"/>
      <c r="F2392" s="29" t="str">
        <f>IFERROR(VLOOKUP(E2392,'Inventaire des produits'!$B$4:$K$1001,2,0),"")</f>
        <v/>
      </c>
      <c r="G2392" s="212"/>
      <c r="H2392" s="30" t="str">
        <f>IFERROR(VLOOKUP(E2392,'Inventaire des produits'!$B$4:$K$1001,8,0),"")</f>
        <v/>
      </c>
      <c r="I2392" s="32" t="str">
        <f t="shared" si="72"/>
        <v/>
      </c>
      <c r="K2392" s="127" t="str">
        <f t="shared" si="71"/>
        <v/>
      </c>
    </row>
    <row r="2393" spans="2:11" x14ac:dyDescent="0.3">
      <c r="B2393" s="197"/>
      <c r="C2393" s="199"/>
      <c r="D2393" s="197"/>
      <c r="E2393" s="212"/>
      <c r="F2393" s="29" t="str">
        <f>IFERROR(VLOOKUP(E2393,'Inventaire des produits'!$B$4:$K$1001,2,0),"")</f>
        <v/>
      </c>
      <c r="G2393" s="212"/>
      <c r="H2393" s="30" t="str">
        <f>IFERROR(VLOOKUP(E2393,'Inventaire des produits'!$B$4:$K$1001,8,0),"")</f>
        <v/>
      </c>
      <c r="I2393" s="32" t="str">
        <f t="shared" si="72"/>
        <v/>
      </c>
      <c r="K2393" s="127" t="str">
        <f t="shared" si="71"/>
        <v/>
      </c>
    </row>
    <row r="2394" spans="2:11" x14ac:dyDescent="0.3">
      <c r="B2394" s="197"/>
      <c r="C2394" s="199"/>
      <c r="D2394" s="197"/>
      <c r="E2394" s="212"/>
      <c r="F2394" s="29" t="str">
        <f>IFERROR(VLOOKUP(E2394,'Inventaire des produits'!$B$4:$K$1001,2,0),"")</f>
        <v/>
      </c>
      <c r="G2394" s="212"/>
      <c r="H2394" s="30" t="str">
        <f>IFERROR(VLOOKUP(E2394,'Inventaire des produits'!$B$4:$K$1001,8,0),"")</f>
        <v/>
      </c>
      <c r="I2394" s="32" t="str">
        <f t="shared" si="72"/>
        <v/>
      </c>
      <c r="K2394" s="127" t="str">
        <f t="shared" si="71"/>
        <v/>
      </c>
    </row>
    <row r="2395" spans="2:11" x14ac:dyDescent="0.3">
      <c r="B2395" s="197"/>
      <c r="C2395" s="199"/>
      <c r="D2395" s="197"/>
      <c r="E2395" s="212"/>
      <c r="F2395" s="29" t="str">
        <f>IFERROR(VLOOKUP(E2395,'Inventaire des produits'!$B$4:$K$1001,2,0),"")</f>
        <v/>
      </c>
      <c r="G2395" s="212"/>
      <c r="H2395" s="30" t="str">
        <f>IFERROR(VLOOKUP(E2395,'Inventaire des produits'!$B$4:$K$1001,8,0),"")</f>
        <v/>
      </c>
      <c r="I2395" s="32" t="str">
        <f t="shared" si="72"/>
        <v/>
      </c>
      <c r="K2395" s="127" t="str">
        <f t="shared" si="71"/>
        <v/>
      </c>
    </row>
    <row r="2396" spans="2:11" x14ac:dyDescent="0.3">
      <c r="B2396" s="197"/>
      <c r="C2396" s="199"/>
      <c r="D2396" s="197"/>
      <c r="E2396" s="212"/>
      <c r="F2396" s="29" t="str">
        <f>IFERROR(VLOOKUP(E2396,'Inventaire des produits'!$B$4:$K$1001,2,0),"")</f>
        <v/>
      </c>
      <c r="G2396" s="212"/>
      <c r="H2396" s="30" t="str">
        <f>IFERROR(VLOOKUP(E2396,'Inventaire des produits'!$B$4:$K$1001,8,0),"")</f>
        <v/>
      </c>
      <c r="I2396" s="32" t="str">
        <f t="shared" si="72"/>
        <v/>
      </c>
      <c r="K2396" s="127" t="str">
        <f t="shared" si="71"/>
        <v/>
      </c>
    </row>
    <row r="2397" spans="2:11" x14ac:dyDescent="0.3">
      <c r="B2397" s="197"/>
      <c r="C2397" s="199"/>
      <c r="D2397" s="197"/>
      <c r="E2397" s="212"/>
      <c r="F2397" s="29" t="str">
        <f>IFERROR(VLOOKUP(E2397,'Inventaire des produits'!$B$4:$K$1001,2,0),"")</f>
        <v/>
      </c>
      <c r="G2397" s="212"/>
      <c r="H2397" s="30" t="str">
        <f>IFERROR(VLOOKUP(E2397,'Inventaire des produits'!$B$4:$K$1001,8,0),"")</f>
        <v/>
      </c>
      <c r="I2397" s="32" t="str">
        <f t="shared" si="72"/>
        <v/>
      </c>
      <c r="K2397" s="127" t="str">
        <f t="shared" si="71"/>
        <v/>
      </c>
    </row>
    <row r="2398" spans="2:11" x14ac:dyDescent="0.3">
      <c r="B2398" s="197"/>
      <c r="C2398" s="199"/>
      <c r="D2398" s="197"/>
      <c r="E2398" s="212"/>
      <c r="F2398" s="29" t="str">
        <f>IFERROR(VLOOKUP(E2398,'Inventaire des produits'!$B$4:$K$1001,2,0),"")</f>
        <v/>
      </c>
      <c r="G2398" s="212"/>
      <c r="H2398" s="30" t="str">
        <f>IFERROR(VLOOKUP(E2398,'Inventaire des produits'!$B$4:$K$1001,8,0),"")</f>
        <v/>
      </c>
      <c r="I2398" s="32" t="str">
        <f t="shared" si="72"/>
        <v/>
      </c>
      <c r="K2398" s="127" t="str">
        <f t="shared" si="71"/>
        <v/>
      </c>
    </row>
    <row r="2399" spans="2:11" x14ac:dyDescent="0.3">
      <c r="B2399" s="197"/>
      <c r="C2399" s="199"/>
      <c r="D2399" s="197"/>
      <c r="E2399" s="212"/>
      <c r="F2399" s="29" t="str">
        <f>IFERROR(VLOOKUP(E2399,'Inventaire des produits'!$B$4:$K$1001,2,0),"")</f>
        <v/>
      </c>
      <c r="G2399" s="212"/>
      <c r="H2399" s="30" t="str">
        <f>IFERROR(VLOOKUP(E2399,'Inventaire des produits'!$B$4:$K$1001,8,0),"")</f>
        <v/>
      </c>
      <c r="I2399" s="32" t="str">
        <f t="shared" si="72"/>
        <v/>
      </c>
      <c r="K2399" s="127" t="str">
        <f t="shared" si="71"/>
        <v/>
      </c>
    </row>
    <row r="2400" spans="2:11" x14ac:dyDescent="0.3">
      <c r="B2400" s="197"/>
      <c r="C2400" s="199"/>
      <c r="D2400" s="197"/>
      <c r="E2400" s="212"/>
      <c r="F2400" s="29" t="str">
        <f>IFERROR(VLOOKUP(E2400,'Inventaire des produits'!$B$4:$K$1001,2,0),"")</f>
        <v/>
      </c>
      <c r="G2400" s="212"/>
      <c r="H2400" s="30" t="str">
        <f>IFERROR(VLOOKUP(E2400,'Inventaire des produits'!$B$4:$K$1001,8,0),"")</f>
        <v/>
      </c>
      <c r="I2400" s="32" t="str">
        <f t="shared" si="72"/>
        <v/>
      </c>
      <c r="K2400" s="127" t="str">
        <f t="shared" si="71"/>
        <v/>
      </c>
    </row>
    <row r="2401" spans="2:11" x14ac:dyDescent="0.3">
      <c r="B2401" s="197"/>
      <c r="C2401" s="199"/>
      <c r="D2401" s="197"/>
      <c r="E2401" s="212"/>
      <c r="F2401" s="29" t="str">
        <f>IFERROR(VLOOKUP(E2401,'Inventaire des produits'!$B$4:$K$1001,2,0),"")</f>
        <v/>
      </c>
      <c r="G2401" s="212"/>
      <c r="H2401" s="30" t="str">
        <f>IFERROR(VLOOKUP(E2401,'Inventaire des produits'!$B$4:$K$1001,8,0),"")</f>
        <v/>
      </c>
      <c r="I2401" s="32" t="str">
        <f t="shared" si="72"/>
        <v/>
      </c>
      <c r="K2401" s="127" t="str">
        <f t="shared" si="71"/>
        <v/>
      </c>
    </row>
    <row r="2402" spans="2:11" x14ac:dyDescent="0.3">
      <c r="B2402" s="197"/>
      <c r="C2402" s="199"/>
      <c r="D2402" s="197"/>
      <c r="E2402" s="212"/>
      <c r="F2402" s="29" t="str">
        <f>IFERROR(VLOOKUP(E2402,'Inventaire des produits'!$B$4:$K$1001,2,0),"")</f>
        <v/>
      </c>
      <c r="G2402" s="212"/>
      <c r="H2402" s="30" t="str">
        <f>IFERROR(VLOOKUP(E2402,'Inventaire des produits'!$B$4:$K$1001,8,0),"")</f>
        <v/>
      </c>
      <c r="I2402" s="32" t="str">
        <f t="shared" si="72"/>
        <v/>
      </c>
      <c r="K2402" s="127" t="str">
        <f t="shared" si="71"/>
        <v/>
      </c>
    </row>
    <row r="2403" spans="2:11" x14ac:dyDescent="0.3">
      <c r="B2403" s="197"/>
      <c r="C2403" s="199"/>
      <c r="D2403" s="197"/>
      <c r="E2403" s="212"/>
      <c r="F2403" s="29" t="str">
        <f>IFERROR(VLOOKUP(E2403,'Inventaire des produits'!$B$4:$K$1001,2,0),"")</f>
        <v/>
      </c>
      <c r="G2403" s="212"/>
      <c r="H2403" s="30" t="str">
        <f>IFERROR(VLOOKUP(E2403,'Inventaire des produits'!$B$4:$K$1001,8,0),"")</f>
        <v/>
      </c>
      <c r="I2403" s="32" t="str">
        <f t="shared" si="72"/>
        <v/>
      </c>
      <c r="K2403" s="127" t="str">
        <f t="shared" si="71"/>
        <v/>
      </c>
    </row>
    <row r="2404" spans="2:11" x14ac:dyDescent="0.3">
      <c r="B2404" s="197"/>
      <c r="C2404" s="199"/>
      <c r="D2404" s="197"/>
      <c r="E2404" s="212"/>
      <c r="F2404" s="29" t="str">
        <f>IFERROR(VLOOKUP(E2404,'Inventaire des produits'!$B$4:$K$1001,2,0),"")</f>
        <v/>
      </c>
      <c r="G2404" s="212"/>
      <c r="H2404" s="30" t="str">
        <f>IFERROR(VLOOKUP(E2404,'Inventaire des produits'!$B$4:$K$1001,8,0),"")</f>
        <v/>
      </c>
      <c r="I2404" s="32" t="str">
        <f t="shared" si="72"/>
        <v/>
      </c>
      <c r="K2404" s="127" t="str">
        <f t="shared" si="71"/>
        <v/>
      </c>
    </row>
    <row r="2405" spans="2:11" x14ac:dyDescent="0.3">
      <c r="B2405" s="197"/>
      <c r="C2405" s="199"/>
      <c r="D2405" s="197"/>
      <c r="E2405" s="212"/>
      <c r="F2405" s="29" t="str">
        <f>IFERROR(VLOOKUP(E2405,'Inventaire des produits'!$B$4:$K$1001,2,0),"")</f>
        <v/>
      </c>
      <c r="G2405" s="212"/>
      <c r="H2405" s="30" t="str">
        <f>IFERROR(VLOOKUP(E2405,'Inventaire des produits'!$B$4:$K$1001,8,0),"")</f>
        <v/>
      </c>
      <c r="I2405" s="32" t="str">
        <f t="shared" si="72"/>
        <v/>
      </c>
      <c r="K2405" s="127" t="str">
        <f t="shared" si="71"/>
        <v/>
      </c>
    </row>
    <row r="2406" spans="2:11" x14ac:dyDescent="0.3">
      <c r="B2406" s="197"/>
      <c r="C2406" s="199"/>
      <c r="D2406" s="197"/>
      <c r="E2406" s="212"/>
      <c r="F2406" s="29" t="str">
        <f>IFERROR(VLOOKUP(E2406,'Inventaire des produits'!$B$4:$K$1001,2,0),"")</f>
        <v/>
      </c>
      <c r="G2406" s="212"/>
      <c r="H2406" s="30" t="str">
        <f>IFERROR(VLOOKUP(E2406,'Inventaire des produits'!$B$4:$K$1001,8,0),"")</f>
        <v/>
      </c>
      <c r="I2406" s="32" t="str">
        <f t="shared" si="72"/>
        <v/>
      </c>
      <c r="K2406" s="127" t="str">
        <f t="shared" si="71"/>
        <v/>
      </c>
    </row>
    <row r="2407" spans="2:11" x14ac:dyDescent="0.3">
      <c r="B2407" s="197"/>
      <c r="C2407" s="199"/>
      <c r="D2407" s="197"/>
      <c r="E2407" s="212"/>
      <c r="F2407" s="29" t="str">
        <f>IFERROR(VLOOKUP(E2407,'Inventaire des produits'!$B$4:$K$1001,2,0),"")</f>
        <v/>
      </c>
      <c r="G2407" s="212"/>
      <c r="H2407" s="30" t="str">
        <f>IFERROR(VLOOKUP(E2407,'Inventaire des produits'!$B$4:$K$1001,8,0),"")</f>
        <v/>
      </c>
      <c r="I2407" s="32" t="str">
        <f t="shared" si="72"/>
        <v/>
      </c>
      <c r="K2407" s="127" t="str">
        <f t="shared" si="71"/>
        <v/>
      </c>
    </row>
    <row r="2408" spans="2:11" x14ac:dyDescent="0.3">
      <c r="B2408" s="197"/>
      <c r="C2408" s="199"/>
      <c r="D2408" s="197"/>
      <c r="E2408" s="212"/>
      <c r="F2408" s="29" t="str">
        <f>IFERROR(VLOOKUP(E2408,'Inventaire des produits'!$B$4:$K$1001,2,0),"")</f>
        <v/>
      </c>
      <c r="G2408" s="212"/>
      <c r="H2408" s="30" t="str">
        <f>IFERROR(VLOOKUP(E2408,'Inventaire des produits'!$B$4:$K$1001,8,0),"")</f>
        <v/>
      </c>
      <c r="I2408" s="32" t="str">
        <f t="shared" si="72"/>
        <v/>
      </c>
      <c r="K2408" s="127" t="str">
        <f t="shared" si="71"/>
        <v/>
      </c>
    </row>
    <row r="2409" spans="2:11" x14ac:dyDescent="0.3">
      <c r="B2409" s="197"/>
      <c r="C2409" s="199"/>
      <c r="D2409" s="197"/>
      <c r="E2409" s="212"/>
      <c r="F2409" s="29" t="str">
        <f>IFERROR(VLOOKUP(E2409,'Inventaire des produits'!$B$4:$K$1001,2,0),"")</f>
        <v/>
      </c>
      <c r="G2409" s="212"/>
      <c r="H2409" s="30" t="str">
        <f>IFERROR(VLOOKUP(E2409,'Inventaire des produits'!$B$4:$K$1001,8,0),"")</f>
        <v/>
      </c>
      <c r="I2409" s="32" t="str">
        <f t="shared" si="72"/>
        <v/>
      </c>
      <c r="K2409" s="127" t="str">
        <f t="shared" si="71"/>
        <v/>
      </c>
    </row>
    <row r="2410" spans="2:11" x14ac:dyDescent="0.3">
      <c r="B2410" s="197"/>
      <c r="C2410" s="199"/>
      <c r="D2410" s="197"/>
      <c r="E2410" s="212"/>
      <c r="F2410" s="29" t="str">
        <f>IFERROR(VLOOKUP(E2410,'Inventaire des produits'!$B$4:$K$1001,2,0),"")</f>
        <v/>
      </c>
      <c r="G2410" s="212"/>
      <c r="H2410" s="30" t="str">
        <f>IFERROR(VLOOKUP(E2410,'Inventaire des produits'!$B$4:$K$1001,8,0),"")</f>
        <v/>
      </c>
      <c r="I2410" s="32" t="str">
        <f t="shared" si="72"/>
        <v/>
      </c>
      <c r="K2410" s="127" t="str">
        <f t="shared" si="71"/>
        <v/>
      </c>
    </row>
    <row r="2411" spans="2:11" x14ac:dyDescent="0.3">
      <c r="B2411" s="197"/>
      <c r="C2411" s="199"/>
      <c r="D2411" s="197"/>
      <c r="E2411" s="212"/>
      <c r="F2411" s="29" t="str">
        <f>IFERROR(VLOOKUP(E2411,'Inventaire des produits'!$B$4:$K$1001,2,0),"")</f>
        <v/>
      </c>
      <c r="G2411" s="212"/>
      <c r="H2411" s="30" t="str">
        <f>IFERROR(VLOOKUP(E2411,'Inventaire des produits'!$B$4:$K$1001,8,0),"")</f>
        <v/>
      </c>
      <c r="I2411" s="32" t="str">
        <f t="shared" si="72"/>
        <v/>
      </c>
      <c r="K2411" s="127" t="str">
        <f t="shared" si="71"/>
        <v/>
      </c>
    </row>
    <row r="2412" spans="2:11" x14ac:dyDescent="0.3">
      <c r="B2412" s="197"/>
      <c r="C2412" s="199"/>
      <c r="D2412" s="197"/>
      <c r="E2412" s="212"/>
      <c r="F2412" s="29" t="str">
        <f>IFERROR(VLOOKUP(E2412,'Inventaire des produits'!$B$4:$K$1001,2,0),"")</f>
        <v/>
      </c>
      <c r="G2412" s="212"/>
      <c r="H2412" s="30" t="str">
        <f>IFERROR(VLOOKUP(E2412,'Inventaire des produits'!$B$4:$K$1001,8,0),"")</f>
        <v/>
      </c>
      <c r="I2412" s="32" t="str">
        <f t="shared" si="72"/>
        <v/>
      </c>
      <c r="K2412" s="127" t="str">
        <f t="shared" si="71"/>
        <v/>
      </c>
    </row>
    <row r="2413" spans="2:11" x14ac:dyDescent="0.3">
      <c r="B2413" s="197"/>
      <c r="C2413" s="199"/>
      <c r="D2413" s="197"/>
      <c r="E2413" s="212"/>
      <c r="F2413" s="29" t="str">
        <f>IFERROR(VLOOKUP(E2413,'Inventaire des produits'!$B$4:$K$1001,2,0),"")</f>
        <v/>
      </c>
      <c r="G2413" s="212"/>
      <c r="H2413" s="30" t="str">
        <f>IFERROR(VLOOKUP(E2413,'Inventaire des produits'!$B$4:$K$1001,8,0),"")</f>
        <v/>
      </c>
      <c r="I2413" s="32" t="str">
        <f t="shared" si="72"/>
        <v/>
      </c>
      <c r="K2413" s="127" t="str">
        <f t="shared" si="71"/>
        <v/>
      </c>
    </row>
    <row r="2414" spans="2:11" x14ac:dyDescent="0.3">
      <c r="B2414" s="197"/>
      <c r="C2414" s="199"/>
      <c r="D2414" s="197"/>
      <c r="E2414" s="212"/>
      <c r="F2414" s="29" t="str">
        <f>IFERROR(VLOOKUP(E2414,'Inventaire des produits'!$B$4:$K$1001,2,0),"")</f>
        <v/>
      </c>
      <c r="G2414" s="212"/>
      <c r="H2414" s="30" t="str">
        <f>IFERROR(VLOOKUP(E2414,'Inventaire des produits'!$B$4:$K$1001,8,0),"")</f>
        <v/>
      </c>
      <c r="I2414" s="32" t="str">
        <f t="shared" si="72"/>
        <v/>
      </c>
      <c r="K2414" s="127" t="str">
        <f t="shared" si="71"/>
        <v/>
      </c>
    </row>
    <row r="2415" spans="2:11" x14ac:dyDescent="0.3">
      <c r="B2415" s="197"/>
      <c r="C2415" s="199"/>
      <c r="D2415" s="197"/>
      <c r="E2415" s="212"/>
      <c r="F2415" s="29" t="str">
        <f>IFERROR(VLOOKUP(E2415,'Inventaire des produits'!$B$4:$K$1001,2,0),"")</f>
        <v/>
      </c>
      <c r="G2415" s="212"/>
      <c r="H2415" s="30" t="str">
        <f>IFERROR(VLOOKUP(E2415,'Inventaire des produits'!$B$4:$K$1001,8,0),"")</f>
        <v/>
      </c>
      <c r="I2415" s="32" t="str">
        <f t="shared" si="72"/>
        <v/>
      </c>
      <c r="K2415" s="127" t="str">
        <f t="shared" si="71"/>
        <v/>
      </c>
    </row>
    <row r="2416" spans="2:11" x14ac:dyDescent="0.3">
      <c r="B2416" s="197"/>
      <c r="C2416" s="199"/>
      <c r="D2416" s="197"/>
      <c r="E2416" s="212"/>
      <c r="F2416" s="29" t="str">
        <f>IFERROR(VLOOKUP(E2416,'Inventaire des produits'!$B$4:$K$1001,2,0),"")</f>
        <v/>
      </c>
      <c r="G2416" s="212"/>
      <c r="H2416" s="30" t="str">
        <f>IFERROR(VLOOKUP(E2416,'Inventaire des produits'!$B$4:$K$1001,8,0),"")</f>
        <v/>
      </c>
      <c r="I2416" s="32" t="str">
        <f t="shared" si="72"/>
        <v/>
      </c>
      <c r="K2416" s="127" t="str">
        <f t="shared" si="71"/>
        <v/>
      </c>
    </row>
    <row r="2417" spans="2:11" x14ac:dyDescent="0.3">
      <c r="B2417" s="197"/>
      <c r="C2417" s="199"/>
      <c r="D2417" s="197"/>
      <c r="E2417" s="212"/>
      <c r="F2417" s="29" t="str">
        <f>IFERROR(VLOOKUP(E2417,'Inventaire des produits'!$B$4:$K$1001,2,0),"")</f>
        <v/>
      </c>
      <c r="G2417" s="212"/>
      <c r="H2417" s="30" t="str">
        <f>IFERROR(VLOOKUP(E2417,'Inventaire des produits'!$B$4:$K$1001,8,0),"")</f>
        <v/>
      </c>
      <c r="I2417" s="32" t="str">
        <f t="shared" si="72"/>
        <v/>
      </c>
      <c r="K2417" s="127" t="str">
        <f t="shared" si="71"/>
        <v/>
      </c>
    </row>
    <row r="2418" spans="2:11" x14ac:dyDescent="0.3">
      <c r="B2418" s="197"/>
      <c r="C2418" s="199"/>
      <c r="D2418" s="197"/>
      <c r="E2418" s="212"/>
      <c r="F2418" s="29" t="str">
        <f>IFERROR(VLOOKUP(E2418,'Inventaire des produits'!$B$4:$K$1001,2,0),"")</f>
        <v/>
      </c>
      <c r="G2418" s="212"/>
      <c r="H2418" s="30" t="str">
        <f>IFERROR(VLOOKUP(E2418,'Inventaire des produits'!$B$4:$K$1001,8,0),"")</f>
        <v/>
      </c>
      <c r="I2418" s="32" t="str">
        <f t="shared" si="72"/>
        <v/>
      </c>
      <c r="K2418" s="127" t="str">
        <f t="shared" si="71"/>
        <v/>
      </c>
    </row>
    <row r="2419" spans="2:11" x14ac:dyDescent="0.3">
      <c r="B2419" s="197"/>
      <c r="C2419" s="199"/>
      <c r="D2419" s="197"/>
      <c r="E2419" s="212"/>
      <c r="F2419" s="29" t="str">
        <f>IFERROR(VLOOKUP(E2419,'Inventaire des produits'!$B$4:$K$1001,2,0),"")</f>
        <v/>
      </c>
      <c r="G2419" s="212"/>
      <c r="H2419" s="30" t="str">
        <f>IFERROR(VLOOKUP(E2419,'Inventaire des produits'!$B$4:$K$1001,8,0),"")</f>
        <v/>
      </c>
      <c r="I2419" s="32" t="str">
        <f t="shared" si="72"/>
        <v/>
      </c>
      <c r="K2419" s="127" t="str">
        <f t="shared" si="71"/>
        <v/>
      </c>
    </row>
    <row r="2420" spans="2:11" x14ac:dyDescent="0.3">
      <c r="B2420" s="197"/>
      <c r="C2420" s="199"/>
      <c r="D2420" s="197"/>
      <c r="E2420" s="212"/>
      <c r="F2420" s="29" t="str">
        <f>IFERROR(VLOOKUP(E2420,'Inventaire des produits'!$B$4:$K$1001,2,0),"")</f>
        <v/>
      </c>
      <c r="G2420" s="212"/>
      <c r="H2420" s="30" t="str">
        <f>IFERROR(VLOOKUP(E2420,'Inventaire des produits'!$B$4:$K$1001,8,0),"")</f>
        <v/>
      </c>
      <c r="I2420" s="32" t="str">
        <f t="shared" si="72"/>
        <v/>
      </c>
      <c r="K2420" s="127" t="str">
        <f t="shared" si="71"/>
        <v/>
      </c>
    </row>
    <row r="2421" spans="2:11" x14ac:dyDescent="0.3">
      <c r="B2421" s="197"/>
      <c r="C2421" s="199"/>
      <c r="D2421" s="197"/>
      <c r="E2421" s="212"/>
      <c r="F2421" s="29" t="str">
        <f>IFERROR(VLOOKUP(E2421,'Inventaire des produits'!$B$4:$K$1001,2,0),"")</f>
        <v/>
      </c>
      <c r="G2421" s="212"/>
      <c r="H2421" s="30" t="str">
        <f>IFERROR(VLOOKUP(E2421,'Inventaire des produits'!$B$4:$K$1001,8,0),"")</f>
        <v/>
      </c>
      <c r="I2421" s="32" t="str">
        <f t="shared" si="72"/>
        <v/>
      </c>
      <c r="K2421" s="127" t="str">
        <f t="shared" si="71"/>
        <v/>
      </c>
    </row>
    <row r="2422" spans="2:11" x14ac:dyDescent="0.3">
      <c r="B2422" s="197"/>
      <c r="C2422" s="199"/>
      <c r="D2422" s="197"/>
      <c r="E2422" s="212"/>
      <c r="F2422" s="29" t="str">
        <f>IFERROR(VLOOKUP(E2422,'Inventaire des produits'!$B$4:$K$1001,2,0),"")</f>
        <v/>
      </c>
      <c r="G2422" s="212"/>
      <c r="H2422" s="30" t="str">
        <f>IFERROR(VLOOKUP(E2422,'Inventaire des produits'!$B$4:$K$1001,8,0),"")</f>
        <v/>
      </c>
      <c r="I2422" s="32" t="str">
        <f t="shared" si="72"/>
        <v/>
      </c>
      <c r="K2422" s="127" t="str">
        <f t="shared" si="71"/>
        <v/>
      </c>
    </row>
    <row r="2423" spans="2:11" x14ac:dyDescent="0.3">
      <c r="B2423" s="197"/>
      <c r="C2423" s="199"/>
      <c r="D2423" s="197"/>
      <c r="E2423" s="212"/>
      <c r="F2423" s="29" t="str">
        <f>IFERROR(VLOOKUP(E2423,'Inventaire des produits'!$B$4:$K$1001,2,0),"")</f>
        <v/>
      </c>
      <c r="G2423" s="212"/>
      <c r="H2423" s="30" t="str">
        <f>IFERROR(VLOOKUP(E2423,'Inventaire des produits'!$B$4:$K$1001,8,0),"")</f>
        <v/>
      </c>
      <c r="I2423" s="32" t="str">
        <f t="shared" si="72"/>
        <v/>
      </c>
      <c r="K2423" s="127" t="str">
        <f t="shared" si="71"/>
        <v/>
      </c>
    </row>
    <row r="2424" spans="2:11" x14ac:dyDescent="0.3">
      <c r="B2424" s="197"/>
      <c r="C2424" s="199"/>
      <c r="D2424" s="197"/>
      <c r="E2424" s="212"/>
      <c r="F2424" s="29" t="str">
        <f>IFERROR(VLOOKUP(E2424,'Inventaire des produits'!$B$4:$K$1001,2,0),"")</f>
        <v/>
      </c>
      <c r="G2424" s="212"/>
      <c r="H2424" s="30" t="str">
        <f>IFERROR(VLOOKUP(E2424,'Inventaire des produits'!$B$4:$K$1001,8,0),"")</f>
        <v/>
      </c>
      <c r="I2424" s="32" t="str">
        <f t="shared" si="72"/>
        <v/>
      </c>
      <c r="K2424" s="127" t="str">
        <f t="shared" si="71"/>
        <v/>
      </c>
    </row>
    <row r="2425" spans="2:11" x14ac:dyDescent="0.3">
      <c r="B2425" s="197"/>
      <c r="C2425" s="199"/>
      <c r="D2425" s="197"/>
      <c r="E2425" s="212"/>
      <c r="F2425" s="29" t="str">
        <f>IFERROR(VLOOKUP(E2425,'Inventaire des produits'!$B$4:$K$1001,2,0),"")</f>
        <v/>
      </c>
      <c r="G2425" s="212"/>
      <c r="H2425" s="30" t="str">
        <f>IFERROR(VLOOKUP(E2425,'Inventaire des produits'!$B$4:$K$1001,8,0),"")</f>
        <v/>
      </c>
      <c r="I2425" s="32" t="str">
        <f t="shared" si="72"/>
        <v/>
      </c>
      <c r="K2425" s="127" t="str">
        <f t="shared" si="71"/>
        <v/>
      </c>
    </row>
    <row r="2426" spans="2:11" x14ac:dyDescent="0.3">
      <c r="B2426" s="197"/>
      <c r="C2426" s="199"/>
      <c r="D2426" s="197"/>
      <c r="E2426" s="212"/>
      <c r="F2426" s="29" t="str">
        <f>IFERROR(VLOOKUP(E2426,'Inventaire des produits'!$B$4:$K$1001,2,0),"")</f>
        <v/>
      </c>
      <c r="G2426" s="212"/>
      <c r="H2426" s="30" t="str">
        <f>IFERROR(VLOOKUP(E2426,'Inventaire des produits'!$B$4:$K$1001,8,0),"")</f>
        <v/>
      </c>
      <c r="I2426" s="32" t="str">
        <f t="shared" si="72"/>
        <v/>
      </c>
      <c r="K2426" s="127" t="str">
        <f t="shared" si="71"/>
        <v/>
      </c>
    </row>
    <row r="2427" spans="2:11" x14ac:dyDescent="0.3">
      <c r="B2427" s="197"/>
      <c r="C2427" s="199"/>
      <c r="D2427" s="197"/>
      <c r="E2427" s="212"/>
      <c r="F2427" s="29" t="str">
        <f>IFERROR(VLOOKUP(E2427,'Inventaire des produits'!$B$4:$K$1001,2,0),"")</f>
        <v/>
      </c>
      <c r="G2427" s="212"/>
      <c r="H2427" s="30" t="str">
        <f>IFERROR(VLOOKUP(E2427,'Inventaire des produits'!$B$4:$K$1001,8,0),"")</f>
        <v/>
      </c>
      <c r="I2427" s="32" t="str">
        <f t="shared" si="72"/>
        <v/>
      </c>
      <c r="K2427" s="127" t="str">
        <f t="shared" si="71"/>
        <v/>
      </c>
    </row>
    <row r="2428" spans="2:11" x14ac:dyDescent="0.3">
      <c r="B2428" s="197"/>
      <c r="C2428" s="199"/>
      <c r="D2428" s="197"/>
      <c r="E2428" s="212"/>
      <c r="F2428" s="29" t="str">
        <f>IFERROR(VLOOKUP(E2428,'Inventaire des produits'!$B$4:$K$1001,2,0),"")</f>
        <v/>
      </c>
      <c r="G2428" s="212"/>
      <c r="H2428" s="30" t="str">
        <f>IFERROR(VLOOKUP(E2428,'Inventaire des produits'!$B$4:$K$1001,8,0),"")</f>
        <v/>
      </c>
      <c r="I2428" s="32" t="str">
        <f t="shared" si="72"/>
        <v/>
      </c>
      <c r="K2428" s="127" t="str">
        <f t="shared" ref="K2428:K2447" si="73">IF(J2428="","",J2428*1.2)</f>
        <v/>
      </c>
    </row>
    <row r="2429" spans="2:11" x14ac:dyDescent="0.3">
      <c r="B2429" s="197"/>
      <c r="C2429" s="199"/>
      <c r="D2429" s="197"/>
      <c r="E2429" s="212"/>
      <c r="F2429" s="29" t="str">
        <f>IFERROR(VLOOKUP(E2429,'Inventaire des produits'!$B$4:$K$1001,2,0),"")</f>
        <v/>
      </c>
      <c r="G2429" s="212"/>
      <c r="H2429" s="30" t="str">
        <f>IFERROR(VLOOKUP(E2429,'Inventaire des produits'!$B$4:$K$1001,8,0),"")</f>
        <v/>
      </c>
      <c r="I2429" s="32" t="str">
        <f t="shared" si="72"/>
        <v/>
      </c>
      <c r="K2429" s="127" t="str">
        <f t="shared" si="73"/>
        <v/>
      </c>
    </row>
    <row r="2430" spans="2:11" x14ac:dyDescent="0.3">
      <c r="B2430" s="197"/>
      <c r="C2430" s="199"/>
      <c r="D2430" s="197"/>
      <c r="E2430" s="212"/>
      <c r="F2430" s="29" t="str">
        <f>IFERROR(VLOOKUP(E2430,'Inventaire des produits'!$B$4:$K$1001,2,0),"")</f>
        <v/>
      </c>
      <c r="G2430" s="212"/>
      <c r="H2430" s="30" t="str">
        <f>IFERROR(VLOOKUP(E2430,'Inventaire des produits'!$B$4:$K$1001,8,0),"")</f>
        <v/>
      </c>
      <c r="I2430" s="32" t="str">
        <f t="shared" si="72"/>
        <v/>
      </c>
      <c r="K2430" s="127" t="str">
        <f t="shared" si="73"/>
        <v/>
      </c>
    </row>
    <row r="2431" spans="2:11" x14ac:dyDescent="0.3">
      <c r="B2431" s="197"/>
      <c r="C2431" s="199"/>
      <c r="D2431" s="197"/>
      <c r="E2431" s="212"/>
      <c r="F2431" s="29" t="str">
        <f>IFERROR(VLOOKUP(E2431,'Inventaire des produits'!$B$4:$K$1001,2,0),"")</f>
        <v/>
      </c>
      <c r="G2431" s="212"/>
      <c r="H2431" s="30" t="str">
        <f>IFERROR(VLOOKUP(E2431,'Inventaire des produits'!$B$4:$K$1001,8,0),"")</f>
        <v/>
      </c>
      <c r="I2431" s="32" t="str">
        <f t="shared" si="72"/>
        <v/>
      </c>
      <c r="K2431" s="127" t="str">
        <f t="shared" si="73"/>
        <v/>
      </c>
    </row>
    <row r="2432" spans="2:11" x14ac:dyDescent="0.3">
      <c r="B2432" s="197"/>
      <c r="C2432" s="199"/>
      <c r="D2432" s="197"/>
      <c r="E2432" s="212"/>
      <c r="F2432" s="29" t="str">
        <f>IFERROR(VLOOKUP(E2432,'Inventaire des produits'!$B$4:$K$1001,2,0),"")</f>
        <v/>
      </c>
      <c r="G2432" s="212"/>
      <c r="H2432" s="30" t="str">
        <f>IFERROR(VLOOKUP(E2432,'Inventaire des produits'!$B$4:$K$1001,8,0),"")</f>
        <v/>
      </c>
      <c r="I2432" s="32" t="str">
        <f t="shared" si="72"/>
        <v/>
      </c>
      <c r="K2432" s="127" t="str">
        <f t="shared" si="73"/>
        <v/>
      </c>
    </row>
    <row r="2433" spans="2:11" x14ac:dyDescent="0.3">
      <c r="B2433" s="197"/>
      <c r="C2433" s="199"/>
      <c r="D2433" s="197"/>
      <c r="E2433" s="212"/>
      <c r="F2433" s="29" t="str">
        <f>IFERROR(VLOOKUP(E2433,'Inventaire des produits'!$B$4:$K$1001,2,0),"")</f>
        <v/>
      </c>
      <c r="G2433" s="212"/>
      <c r="H2433" s="30" t="str">
        <f>IFERROR(VLOOKUP(E2433,'Inventaire des produits'!$B$4:$K$1001,8,0),"")</f>
        <v/>
      </c>
      <c r="I2433" s="32" t="str">
        <f t="shared" si="72"/>
        <v/>
      </c>
      <c r="K2433" s="127" t="str">
        <f t="shared" si="73"/>
        <v/>
      </c>
    </row>
    <row r="2434" spans="2:11" x14ac:dyDescent="0.3">
      <c r="B2434" s="197"/>
      <c r="C2434" s="199"/>
      <c r="D2434" s="197"/>
      <c r="E2434" s="212"/>
      <c r="F2434" s="29" t="str">
        <f>IFERROR(VLOOKUP(E2434,'Inventaire des produits'!$B$4:$K$1001,2,0),"")</f>
        <v/>
      </c>
      <c r="G2434" s="212"/>
      <c r="H2434" s="30" t="str">
        <f>IFERROR(VLOOKUP(E2434,'Inventaire des produits'!$B$4:$K$1001,8,0),"")</f>
        <v/>
      </c>
      <c r="I2434" s="32" t="str">
        <f t="shared" ref="I2434:I2447" si="74">IF(OR(G2434="",H2434=""),"",G2434*H2434)</f>
        <v/>
      </c>
      <c r="K2434" s="127" t="str">
        <f t="shared" si="73"/>
        <v/>
      </c>
    </row>
    <row r="2435" spans="2:11" x14ac:dyDescent="0.3">
      <c r="B2435" s="197"/>
      <c r="C2435" s="199"/>
      <c r="D2435" s="197"/>
      <c r="E2435" s="212"/>
      <c r="F2435" s="29" t="str">
        <f>IFERROR(VLOOKUP(E2435,'Inventaire des produits'!$B$4:$K$1001,2,0),"")</f>
        <v/>
      </c>
      <c r="G2435" s="212"/>
      <c r="H2435" s="30" t="str">
        <f>IFERROR(VLOOKUP(E2435,'Inventaire des produits'!$B$4:$K$1001,8,0),"")</f>
        <v/>
      </c>
      <c r="I2435" s="32" t="str">
        <f t="shared" si="74"/>
        <v/>
      </c>
      <c r="K2435" s="127" t="str">
        <f t="shared" si="73"/>
        <v/>
      </c>
    </row>
    <row r="2436" spans="2:11" x14ac:dyDescent="0.3">
      <c r="B2436" s="197"/>
      <c r="C2436" s="199"/>
      <c r="D2436" s="197"/>
      <c r="E2436" s="212"/>
      <c r="F2436" s="29" t="str">
        <f>IFERROR(VLOOKUP(E2436,'Inventaire des produits'!$B$4:$K$1001,2,0),"")</f>
        <v/>
      </c>
      <c r="G2436" s="212"/>
      <c r="H2436" s="30" t="str">
        <f>IFERROR(VLOOKUP(E2436,'Inventaire des produits'!$B$4:$K$1001,8,0),"")</f>
        <v/>
      </c>
      <c r="I2436" s="32" t="str">
        <f t="shared" si="74"/>
        <v/>
      </c>
      <c r="K2436" s="127" t="str">
        <f t="shared" si="73"/>
        <v/>
      </c>
    </row>
    <row r="2437" spans="2:11" x14ac:dyDescent="0.3">
      <c r="B2437" s="197"/>
      <c r="C2437" s="199"/>
      <c r="D2437" s="197"/>
      <c r="E2437" s="212"/>
      <c r="F2437" s="29" t="str">
        <f>IFERROR(VLOOKUP(E2437,'Inventaire des produits'!$B$4:$K$1001,2,0),"")</f>
        <v/>
      </c>
      <c r="G2437" s="212"/>
      <c r="H2437" s="30" t="str">
        <f>IFERROR(VLOOKUP(E2437,'Inventaire des produits'!$B$4:$K$1001,8,0),"")</f>
        <v/>
      </c>
      <c r="I2437" s="32" t="str">
        <f t="shared" si="74"/>
        <v/>
      </c>
      <c r="K2437" s="127" t="str">
        <f t="shared" si="73"/>
        <v/>
      </c>
    </row>
    <row r="2438" spans="2:11" x14ac:dyDescent="0.3">
      <c r="B2438" s="197"/>
      <c r="C2438" s="199"/>
      <c r="D2438" s="197"/>
      <c r="E2438" s="212"/>
      <c r="F2438" s="29" t="str">
        <f>IFERROR(VLOOKUP(E2438,'Inventaire des produits'!$B$4:$K$1001,2,0),"")</f>
        <v/>
      </c>
      <c r="G2438" s="212"/>
      <c r="H2438" s="30" t="str">
        <f>IFERROR(VLOOKUP(E2438,'Inventaire des produits'!$B$4:$K$1001,8,0),"")</f>
        <v/>
      </c>
      <c r="I2438" s="32" t="str">
        <f t="shared" si="74"/>
        <v/>
      </c>
      <c r="K2438" s="127" t="str">
        <f t="shared" si="73"/>
        <v/>
      </c>
    </row>
    <row r="2439" spans="2:11" x14ac:dyDescent="0.3">
      <c r="B2439" s="197"/>
      <c r="C2439" s="199"/>
      <c r="D2439" s="197"/>
      <c r="E2439" s="212"/>
      <c r="F2439" s="29" t="str">
        <f>IFERROR(VLOOKUP(E2439,'Inventaire des produits'!$B$4:$K$1001,2,0),"")</f>
        <v/>
      </c>
      <c r="G2439" s="212"/>
      <c r="H2439" s="30" t="str">
        <f>IFERROR(VLOOKUP(E2439,'Inventaire des produits'!$B$4:$K$1001,8,0),"")</f>
        <v/>
      </c>
      <c r="I2439" s="32" t="str">
        <f t="shared" si="74"/>
        <v/>
      </c>
      <c r="K2439" s="127" t="str">
        <f t="shared" si="73"/>
        <v/>
      </c>
    </row>
    <row r="2440" spans="2:11" x14ac:dyDescent="0.3">
      <c r="B2440" s="197"/>
      <c r="C2440" s="199"/>
      <c r="D2440" s="197"/>
      <c r="E2440" s="212"/>
      <c r="F2440" s="29" t="str">
        <f>IFERROR(VLOOKUP(E2440,'Inventaire des produits'!$B$4:$K$1001,2,0),"")</f>
        <v/>
      </c>
      <c r="G2440" s="212"/>
      <c r="H2440" s="30" t="str">
        <f>IFERROR(VLOOKUP(E2440,'Inventaire des produits'!$B$4:$K$1001,8,0),"")</f>
        <v/>
      </c>
      <c r="I2440" s="32" t="str">
        <f t="shared" si="74"/>
        <v/>
      </c>
      <c r="K2440" s="127" t="str">
        <f t="shared" si="73"/>
        <v/>
      </c>
    </row>
    <row r="2441" spans="2:11" x14ac:dyDescent="0.3">
      <c r="B2441" s="197"/>
      <c r="C2441" s="199"/>
      <c r="D2441" s="197"/>
      <c r="E2441" s="212"/>
      <c r="F2441" s="29" t="str">
        <f>IFERROR(VLOOKUP(E2441,'Inventaire des produits'!$B$4:$K$1001,2,0),"")</f>
        <v/>
      </c>
      <c r="G2441" s="212"/>
      <c r="H2441" s="30" t="str">
        <f>IFERROR(VLOOKUP(E2441,'Inventaire des produits'!$B$4:$K$1001,8,0),"")</f>
        <v/>
      </c>
      <c r="I2441" s="32" t="str">
        <f t="shared" si="74"/>
        <v/>
      </c>
      <c r="K2441" s="127" t="str">
        <f t="shared" si="73"/>
        <v/>
      </c>
    </row>
    <row r="2442" spans="2:11" x14ac:dyDescent="0.3">
      <c r="B2442" s="197"/>
      <c r="C2442" s="199"/>
      <c r="D2442" s="197"/>
      <c r="E2442" s="212"/>
      <c r="F2442" s="29" t="str">
        <f>IFERROR(VLOOKUP(E2442,'Inventaire des produits'!$B$4:$K$1001,2,0),"")</f>
        <v/>
      </c>
      <c r="G2442" s="212"/>
      <c r="H2442" s="30" t="str">
        <f>IFERROR(VLOOKUP(E2442,'Inventaire des produits'!$B$4:$K$1001,8,0),"")</f>
        <v/>
      </c>
      <c r="I2442" s="32" t="str">
        <f t="shared" si="74"/>
        <v/>
      </c>
      <c r="K2442" s="127" t="str">
        <f t="shared" si="73"/>
        <v/>
      </c>
    </row>
    <row r="2443" spans="2:11" x14ac:dyDescent="0.3">
      <c r="B2443" s="197"/>
      <c r="C2443" s="199"/>
      <c r="D2443" s="197"/>
      <c r="E2443" s="212"/>
      <c r="F2443" s="29" t="str">
        <f>IFERROR(VLOOKUP(E2443,'Inventaire des produits'!$B$4:$K$1001,2,0),"")</f>
        <v/>
      </c>
      <c r="G2443" s="212"/>
      <c r="H2443" s="30" t="str">
        <f>IFERROR(VLOOKUP(E2443,'Inventaire des produits'!$B$4:$K$1001,8,0),"")</f>
        <v/>
      </c>
      <c r="I2443" s="32" t="str">
        <f t="shared" si="74"/>
        <v/>
      </c>
      <c r="K2443" s="127" t="str">
        <f t="shared" si="73"/>
        <v/>
      </c>
    </row>
    <row r="2444" spans="2:11" x14ac:dyDescent="0.3">
      <c r="B2444" s="197"/>
      <c r="C2444" s="199"/>
      <c r="D2444" s="197"/>
      <c r="E2444" s="212"/>
      <c r="F2444" s="29" t="str">
        <f>IFERROR(VLOOKUP(E2444,'Inventaire des produits'!$B$4:$K$1001,2,0),"")</f>
        <v/>
      </c>
      <c r="G2444" s="212"/>
      <c r="H2444" s="30" t="str">
        <f>IFERROR(VLOOKUP(E2444,'Inventaire des produits'!$B$4:$K$1001,8,0),"")</f>
        <v/>
      </c>
      <c r="I2444" s="32" t="str">
        <f t="shared" si="74"/>
        <v/>
      </c>
      <c r="K2444" s="127" t="str">
        <f t="shared" si="73"/>
        <v/>
      </c>
    </row>
    <row r="2445" spans="2:11" x14ac:dyDescent="0.3">
      <c r="B2445" s="197"/>
      <c r="C2445" s="199"/>
      <c r="D2445" s="197"/>
      <c r="E2445" s="212"/>
      <c r="F2445" s="29" t="str">
        <f>IFERROR(VLOOKUP(E2445,'Inventaire des produits'!$B$4:$K$1001,2,0),"")</f>
        <v/>
      </c>
      <c r="G2445" s="212"/>
      <c r="H2445" s="30" t="str">
        <f>IFERROR(VLOOKUP(E2445,'Inventaire des produits'!$B$4:$K$1001,8,0),"")</f>
        <v/>
      </c>
      <c r="I2445" s="32" t="str">
        <f t="shared" si="74"/>
        <v/>
      </c>
      <c r="K2445" s="127" t="str">
        <f t="shared" si="73"/>
        <v/>
      </c>
    </row>
    <row r="2446" spans="2:11" x14ac:dyDescent="0.3">
      <c r="B2446" s="197"/>
      <c r="C2446" s="199"/>
      <c r="D2446" s="197"/>
      <c r="E2446" s="212"/>
      <c r="F2446" s="29" t="str">
        <f>IFERROR(VLOOKUP(E2446,'Inventaire des produits'!$B$4:$K$1001,2,0),"")</f>
        <v/>
      </c>
      <c r="G2446" s="212"/>
      <c r="H2446" s="30" t="str">
        <f>IFERROR(VLOOKUP(E2446,'Inventaire des produits'!$B$4:$K$1001,8,0),"")</f>
        <v/>
      </c>
      <c r="I2446" s="32" t="str">
        <f t="shared" si="74"/>
        <v/>
      </c>
      <c r="K2446" s="127" t="str">
        <f t="shared" si="73"/>
        <v/>
      </c>
    </row>
    <row r="2447" spans="2:11" ht="15" thickBot="1" x14ac:dyDescent="0.35">
      <c r="B2447" s="200"/>
      <c r="C2447" s="201"/>
      <c r="D2447" s="200"/>
      <c r="E2447" s="213"/>
      <c r="F2447" s="29" t="str">
        <f>IFERROR(VLOOKUP(E2447,'Inventaire des produits'!$B$4:$K$1001,2,0),"")</f>
        <v/>
      </c>
      <c r="G2447" s="213"/>
      <c r="H2447" s="30" t="str">
        <f>IFERROR(VLOOKUP(E2447,'Inventaire des produits'!$B$4:$K$1001,8,0),"")</f>
        <v/>
      </c>
      <c r="I2447" s="32" t="str">
        <f t="shared" si="74"/>
        <v/>
      </c>
      <c r="K2447" s="127" t="str">
        <f t="shared" si="73"/>
        <v/>
      </c>
    </row>
  </sheetData>
  <sheetProtection formatCells="0" formatColumns="0" formatRows="0" insertColumns="0" insertRows="0" insertHyperlinks="0" deleteColumns="0" deleteRows="0" sort="0" autoFilter="0" pivotTables="0"/>
  <mergeCells count="240">
    <mergeCell ref="D653:D655"/>
    <mergeCell ref="C653:C655"/>
    <mergeCell ref="D671:D675"/>
    <mergeCell ref="C671:C675"/>
    <mergeCell ref="D691:D696"/>
    <mergeCell ref="C691:C696"/>
    <mergeCell ref="D686:D690"/>
    <mergeCell ref="C686:C690"/>
    <mergeCell ref="D658:D659"/>
    <mergeCell ref="C658:C659"/>
    <mergeCell ref="D660:D661"/>
    <mergeCell ref="C660:C661"/>
    <mergeCell ref="D666:D668"/>
    <mergeCell ref="C666:C668"/>
    <mergeCell ref="D663:D665"/>
    <mergeCell ref="C663:C665"/>
    <mergeCell ref="D635:D636"/>
    <mergeCell ref="C635:C636"/>
    <mergeCell ref="D639:D640"/>
    <mergeCell ref="C639:C640"/>
    <mergeCell ref="D646:D651"/>
    <mergeCell ref="C646:C651"/>
    <mergeCell ref="D644:D645"/>
    <mergeCell ref="C644:C645"/>
    <mergeCell ref="D579:D581"/>
    <mergeCell ref="C579:C581"/>
    <mergeCell ref="D549:D552"/>
    <mergeCell ref="C549:C552"/>
    <mergeCell ref="D420:D421"/>
    <mergeCell ref="C420:C421"/>
    <mergeCell ref="D562:D565"/>
    <mergeCell ref="C562:C565"/>
    <mergeCell ref="D566:D569"/>
    <mergeCell ref="C566:C569"/>
    <mergeCell ref="D396:D397"/>
    <mergeCell ref="C396:C397"/>
    <mergeCell ref="D410:D413"/>
    <mergeCell ref="C410:C413"/>
    <mergeCell ref="C339:C340"/>
    <mergeCell ref="D389:D390"/>
    <mergeCell ref="C389:C390"/>
    <mergeCell ref="D382:D386"/>
    <mergeCell ref="C382:C386"/>
    <mergeCell ref="D369:D370"/>
    <mergeCell ref="C369:C370"/>
    <mergeCell ref="D376:D380"/>
    <mergeCell ref="C376:C380"/>
    <mergeCell ref="D371:D375"/>
    <mergeCell ref="D342:D347"/>
    <mergeCell ref="C342:C347"/>
    <mergeCell ref="D255:D256"/>
    <mergeCell ref="C255:C256"/>
    <mergeCell ref="D258:D259"/>
    <mergeCell ref="C258:C259"/>
    <mergeCell ref="D277:D278"/>
    <mergeCell ref="C277:C278"/>
    <mergeCell ref="D266:D267"/>
    <mergeCell ref="C266:C267"/>
    <mergeCell ref="D273:D274"/>
    <mergeCell ref="C273:C274"/>
    <mergeCell ref="D247:D248"/>
    <mergeCell ref="C247:C248"/>
    <mergeCell ref="B4:D188"/>
    <mergeCell ref="B2:J2"/>
    <mergeCell ref="D217:D218"/>
    <mergeCell ref="C217:C218"/>
    <mergeCell ref="D210:D213"/>
    <mergeCell ref="C210:C213"/>
    <mergeCell ref="D189:D192"/>
    <mergeCell ref="C189:C192"/>
    <mergeCell ref="D205:D206"/>
    <mergeCell ref="C205:C206"/>
    <mergeCell ref="D196:D199"/>
    <mergeCell ref="C196:C199"/>
    <mergeCell ref="D202:D203"/>
    <mergeCell ref="C202:C203"/>
    <mergeCell ref="D219:D220"/>
    <mergeCell ref="C219:C220"/>
    <mergeCell ref="D222:D227"/>
    <mergeCell ref="C222:C227"/>
    <mergeCell ref="D238:D244"/>
    <mergeCell ref="C238:C244"/>
    <mergeCell ref="D228:D232"/>
    <mergeCell ref="C228:C232"/>
    <mergeCell ref="D234:D235"/>
    <mergeCell ref="C234:C235"/>
    <mergeCell ref="D319:D320"/>
    <mergeCell ref="C319:C320"/>
    <mergeCell ref="D297:D299"/>
    <mergeCell ref="C297:C299"/>
    <mergeCell ref="D292:D295"/>
    <mergeCell ref="C287:C288"/>
    <mergeCell ref="D306:D308"/>
    <mergeCell ref="C306:C308"/>
    <mergeCell ref="D310:D311"/>
    <mergeCell ref="C310:C311"/>
    <mergeCell ref="D312:D313"/>
    <mergeCell ref="C312:C313"/>
    <mergeCell ref="D315:D316"/>
    <mergeCell ref="C315:C316"/>
    <mergeCell ref="D284:D286"/>
    <mergeCell ref="C284:C286"/>
    <mergeCell ref="C292:C295"/>
    <mergeCell ref="D300:D302"/>
    <mergeCell ref="C300:C302"/>
    <mergeCell ref="D287:D288"/>
    <mergeCell ref="D427:D429"/>
    <mergeCell ref="C427:C429"/>
    <mergeCell ref="D416:D417"/>
    <mergeCell ref="C416:C417"/>
    <mergeCell ref="D422:D423"/>
    <mergeCell ref="C422:C423"/>
    <mergeCell ref="D323:D324"/>
    <mergeCell ref="C323:C324"/>
    <mergeCell ref="D328:D337"/>
    <mergeCell ref="C328:C337"/>
    <mergeCell ref="D367:D368"/>
    <mergeCell ref="C367:C368"/>
    <mergeCell ref="D325:D326"/>
    <mergeCell ref="C325:C326"/>
    <mergeCell ref="D348:D351"/>
    <mergeCell ref="C348:C351"/>
    <mergeCell ref="D339:D340"/>
    <mergeCell ref="D404:D407"/>
    <mergeCell ref="C404:C407"/>
    <mergeCell ref="D398:D400"/>
    <mergeCell ref="C398:C400"/>
    <mergeCell ref="D401:D403"/>
    <mergeCell ref="C401:C403"/>
    <mergeCell ref="J356:J357"/>
    <mergeCell ref="D356:D357"/>
    <mergeCell ref="C356:C357"/>
    <mergeCell ref="D359:D360"/>
    <mergeCell ref="C359:C360"/>
    <mergeCell ref="D363:D364"/>
    <mergeCell ref="C363:C364"/>
    <mergeCell ref="D472:D473"/>
    <mergeCell ref="C472:C473"/>
    <mergeCell ref="D465:D466"/>
    <mergeCell ref="C465:C466"/>
    <mergeCell ref="J367:J368"/>
    <mergeCell ref="J363:J364"/>
    <mergeCell ref="J359:J360"/>
    <mergeCell ref="D391:D393"/>
    <mergeCell ref="C391:C393"/>
    <mergeCell ref="C371:C375"/>
    <mergeCell ref="D431:D435"/>
    <mergeCell ref="C431:C435"/>
    <mergeCell ref="D418:D419"/>
    <mergeCell ref="C418:C419"/>
    <mergeCell ref="D408:D409"/>
    <mergeCell ref="C408:C409"/>
    <mergeCell ref="D506:D510"/>
    <mergeCell ref="C506:C510"/>
    <mergeCell ref="D437:D438"/>
    <mergeCell ref="C437:C438"/>
    <mergeCell ref="D443:D445"/>
    <mergeCell ref="C443:C445"/>
    <mergeCell ref="D455:D456"/>
    <mergeCell ref="C455:C456"/>
    <mergeCell ref="D452:D453"/>
    <mergeCell ref="C452:C453"/>
    <mergeCell ref="D446:D447"/>
    <mergeCell ref="C446:C447"/>
    <mergeCell ref="D474:D477"/>
    <mergeCell ref="C474:C477"/>
    <mergeCell ref="D459:D460"/>
    <mergeCell ref="C459:C460"/>
    <mergeCell ref="D480:D482"/>
    <mergeCell ref="C480:C482"/>
    <mergeCell ref="D498:D499"/>
    <mergeCell ref="C498:C499"/>
    <mergeCell ref="D504:D505"/>
    <mergeCell ref="C504:C505"/>
    <mergeCell ref="D573:D574"/>
    <mergeCell ref="C573:C574"/>
    <mergeCell ref="D511:D514"/>
    <mergeCell ref="C511:C514"/>
    <mergeCell ref="D523:D525"/>
    <mergeCell ref="C523:C525"/>
    <mergeCell ref="D570:D572"/>
    <mergeCell ref="C570:C572"/>
    <mergeCell ref="D526:D527"/>
    <mergeCell ref="C526:C527"/>
    <mergeCell ref="D532:D535"/>
    <mergeCell ref="C532:C535"/>
    <mergeCell ref="D553:D561"/>
    <mergeCell ref="C553:C561"/>
    <mergeCell ref="D597:D599"/>
    <mergeCell ref="C597:C599"/>
    <mergeCell ref="D600:D601"/>
    <mergeCell ref="C600:C601"/>
    <mergeCell ref="D575:D576"/>
    <mergeCell ref="C575:C576"/>
    <mergeCell ref="D582:D583"/>
    <mergeCell ref="C582:C583"/>
    <mergeCell ref="D577:D578"/>
    <mergeCell ref="C577:C578"/>
    <mergeCell ref="D584:D592"/>
    <mergeCell ref="C584:C592"/>
    <mergeCell ref="D603:D604"/>
    <mergeCell ref="C603:C604"/>
    <mergeCell ref="D623:D624"/>
    <mergeCell ref="C623:C624"/>
    <mergeCell ref="D629:D630"/>
    <mergeCell ref="C629:C630"/>
    <mergeCell ref="D607:D608"/>
    <mergeCell ref="C607:C608"/>
    <mergeCell ref="D617:D619"/>
    <mergeCell ref="C617:C619"/>
    <mergeCell ref="D609:D610"/>
    <mergeCell ref="C609:C610"/>
    <mergeCell ref="D611:D614"/>
    <mergeCell ref="C611:C614"/>
    <mergeCell ref="D679:D682"/>
    <mergeCell ref="C679:C682"/>
    <mergeCell ref="D710:D712"/>
    <mergeCell ref="C710:C712"/>
    <mergeCell ref="D683:D684"/>
    <mergeCell ref="C683:C684"/>
    <mergeCell ref="D704:D705"/>
    <mergeCell ref="C704:C705"/>
    <mergeCell ref="D706:D708"/>
    <mergeCell ref="C706:C708"/>
    <mergeCell ref="D700:D701"/>
    <mergeCell ref="C700:C701"/>
    <mergeCell ref="D697:D698"/>
    <mergeCell ref="C697:C698"/>
    <mergeCell ref="D721:D722"/>
    <mergeCell ref="C721:C722"/>
    <mergeCell ref="D724:D727"/>
    <mergeCell ref="C724:C727"/>
    <mergeCell ref="D730:D731"/>
    <mergeCell ref="C730:C731"/>
    <mergeCell ref="D743:D749"/>
    <mergeCell ref="C743:C749"/>
    <mergeCell ref="D750:D753"/>
    <mergeCell ref="C750:C753"/>
    <mergeCell ref="D739:D740"/>
    <mergeCell ref="C739:C740"/>
  </mergeCells>
  <conditionalFormatting sqref="D536:D549 D189:D255 D257:D258 D260:D266 D268:D273 D275:D277 D279:D284 D287 D289:D292 D296:D297 D300 D303:D306 D309:D310 D312 D314:D315 D317:D319 D321:D323 D325 D327:D328 D338:D339 D341:D342 D348 D352:D356 D358:D359 D361:D363 D365:D367 D369 D371 D376 D381:D382 D387:D389 D391 D394:D396 D398 D401 D404 D408 D410 D414:D416 D418 D420 D422 D424:D427 D430:D431 D436:D437 D439:D441 D446 D448:D452 D454:D455 D457:D459 D461:D465 D467:D472 D474 D478:D480 D483:D498 D500:D504 D506 D511 D515:D523 D526 D528:D532 D553 D562 D566 D570 D573 D575 D577 D579 D582 D584 D593:D597 D600 D602:D603 D605:D607 D609 D611 D615:D617 D620:D623 D625:D629 D631:D635 D637:D639 D641:D644 D646 D652:D653 D656:D658 D660 D662:D663 D666 D669:D671 D676:D679 D683 D685:D686 D691 D697 D699:D700 D702:D704 D706 D709:D710 D713:D721 D723:D724 D728:D730 D732:D739 D741:D742 D750 D754:D2447">
    <cfRule type="duplicateValues" dxfId="104" priority="21"/>
  </conditionalFormatting>
  <conditionalFormatting sqref="E396:E397">
    <cfRule type="duplicateValues" dxfId="103" priority="8"/>
  </conditionalFormatting>
  <conditionalFormatting sqref="E398:E399">
    <cfRule type="duplicateValues" dxfId="102" priority="7"/>
  </conditionalFormatting>
  <conditionalFormatting sqref="E401:E403">
    <cfRule type="duplicateValues" dxfId="101" priority="6"/>
  </conditionalFormatting>
  <conditionalFormatting sqref="E442:E444">
    <cfRule type="duplicateValues" dxfId="100" priority="5"/>
  </conditionalFormatting>
  <conditionalFormatting sqref="E446:E447">
    <cfRule type="duplicateValues" dxfId="99" priority="4"/>
  </conditionalFormatting>
  <conditionalFormatting sqref="E498:E499">
    <cfRule type="duplicateValues" dxfId="98" priority="3"/>
  </conditionalFormatting>
  <conditionalFormatting sqref="E504:E505">
    <cfRule type="duplicateValues" dxfId="97" priority="2"/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00B050"/>
  </sheetPr>
  <dimension ref="B1:N2598"/>
  <sheetViews>
    <sheetView topLeftCell="A2063" zoomScale="98" zoomScaleNormal="98" workbookViewId="0">
      <selection activeCell="B4" sqref="B4:B2161"/>
    </sheetView>
  </sheetViews>
  <sheetFormatPr defaultColWidth="10.6640625" defaultRowHeight="15.6" x14ac:dyDescent="0.3"/>
  <cols>
    <col min="1" max="1" width="3.44140625" style="39" customWidth="1"/>
    <col min="2" max="2" width="30.44140625" style="39" customWidth="1"/>
    <col min="3" max="3" width="12.6640625" style="39" customWidth="1"/>
    <col min="4" max="4" width="11.109375" style="39" customWidth="1"/>
    <col min="5" max="5" width="13.6640625" style="40" customWidth="1"/>
    <col min="6" max="6" width="49.5546875" style="39" customWidth="1"/>
    <col min="7" max="7" width="11.5546875" style="40" customWidth="1"/>
    <col min="8" max="8" width="12.5546875" style="41" customWidth="1"/>
    <col min="9" max="9" width="12.88671875" style="42" customWidth="1"/>
    <col min="10" max="10" width="14" style="42" customWidth="1"/>
    <col min="11" max="11" width="14" style="71" customWidth="1"/>
    <col min="12" max="12" width="14" style="72" customWidth="1"/>
    <col min="13" max="13" width="13.6640625" style="40" customWidth="1"/>
    <col min="14" max="14" width="11.88671875" style="52" customWidth="1"/>
    <col min="15" max="16384" width="10.6640625" style="39"/>
  </cols>
  <sheetData>
    <row r="1" spans="2:14" ht="21" customHeight="1" x14ac:dyDescent="0.3">
      <c r="K1" s="151" t="s">
        <v>1250</v>
      </c>
      <c r="L1" s="167">
        <f>SUMIF(K4:K2595,"&lt;0")</f>
        <v>0</v>
      </c>
      <c r="M1"/>
      <c r="N1"/>
    </row>
    <row r="2" spans="2:14" ht="21.6" thickBot="1" x14ac:dyDescent="0.35">
      <c r="B2" s="362" t="s">
        <v>12</v>
      </c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152"/>
    </row>
    <row r="3" spans="2:14" ht="24.75" customHeight="1" x14ac:dyDescent="0.3">
      <c r="B3" s="43" t="s">
        <v>13</v>
      </c>
      <c r="C3" s="43" t="s">
        <v>14</v>
      </c>
      <c r="D3" s="43" t="s">
        <v>15</v>
      </c>
      <c r="E3" s="43" t="s">
        <v>7</v>
      </c>
      <c r="F3" s="43" t="s">
        <v>8</v>
      </c>
      <c r="G3" s="43" t="s">
        <v>9</v>
      </c>
      <c r="H3" s="44" t="s">
        <v>11</v>
      </c>
      <c r="I3" s="94" t="s">
        <v>5</v>
      </c>
      <c r="J3" s="45" t="s">
        <v>18</v>
      </c>
      <c r="K3" s="46" t="s">
        <v>807</v>
      </c>
      <c r="L3" s="47" t="s">
        <v>808</v>
      </c>
      <c r="M3" s="48" t="s">
        <v>144</v>
      </c>
      <c r="N3" s="49" t="s">
        <v>471</v>
      </c>
    </row>
    <row r="4" spans="2:14" x14ac:dyDescent="0.3">
      <c r="B4" s="378" t="s">
        <v>1704</v>
      </c>
      <c r="C4" s="340">
        <v>45295</v>
      </c>
      <c r="D4" s="337" t="s">
        <v>311</v>
      </c>
      <c r="E4" s="234" t="s">
        <v>246</v>
      </c>
      <c r="F4" s="271" t="str">
        <f>IFERROR(VLOOKUP(E4,'Inventaire des produits'!$B$4:$K$1000,2,0),"")</f>
        <v>GOBLET 4OZ AVEC CVL</v>
      </c>
      <c r="G4" s="50">
        <v>1000</v>
      </c>
      <c r="H4" s="76">
        <v>0.39</v>
      </c>
      <c r="I4" s="95">
        <f>IF(OR(G4="",H4=""),"",G4*H4)</f>
        <v>390</v>
      </c>
      <c r="J4" s="95">
        <f>IF(OR(I4=""),"",I4*1.2)</f>
        <v>468</v>
      </c>
      <c r="K4" s="93">
        <f>IFERROR(VLOOKUP(E4,'Inventaire des produits'!$B$4:$J$1000,5,FALSE),"")</f>
        <v>0</v>
      </c>
      <c r="L4" s="301">
        <f>IFERROR(VLOOKUP(E4,'Inventaire des produits'!$B$4:$J$1000,6,FALSE),"")</f>
        <v>0.2</v>
      </c>
      <c r="M4" s="51">
        <v>1993</v>
      </c>
    </row>
    <row r="5" spans="2:14" x14ac:dyDescent="0.3">
      <c r="B5" s="378" t="s">
        <v>1704</v>
      </c>
      <c r="C5" s="341"/>
      <c r="D5" s="338"/>
      <c r="E5" s="234" t="s">
        <v>250</v>
      </c>
      <c r="F5" s="271" t="str">
        <f>IFERROR(VLOOKUP(E5,'Inventaire des produits'!$B$4:$K$1000,2,0),"")</f>
        <v>FOURCHETTE ECOLUXE</v>
      </c>
      <c r="G5" s="53">
        <v>8</v>
      </c>
      <c r="H5" s="77">
        <v>25.001999999999999</v>
      </c>
      <c r="I5" s="95">
        <f t="shared" ref="I5:I68" si="0">IF(OR(G5="",H5=""),"",G5*H5)</f>
        <v>200.01599999999999</v>
      </c>
      <c r="J5" s="95">
        <f t="shared" ref="J5:J68" si="1">IF(OR(I5=""),"",I5*1.2)</f>
        <v>240.01919999999998</v>
      </c>
      <c r="K5" s="93">
        <f>IFERROR(VLOOKUP(E5,'Inventaire des produits'!$B$4:$J$1000,5,FALSE),"")</f>
        <v>0</v>
      </c>
      <c r="L5" s="301">
        <f>IFERROR(VLOOKUP(E5,'Inventaire des produits'!$B$4:$J$1000,6,FALSE),"")</f>
        <v>15.84</v>
      </c>
      <c r="M5" s="51"/>
    </row>
    <row r="6" spans="2:14" x14ac:dyDescent="0.3">
      <c r="B6" s="378" t="s">
        <v>1704</v>
      </c>
      <c r="C6" s="341"/>
      <c r="D6" s="338"/>
      <c r="E6" s="235" t="s">
        <v>251</v>
      </c>
      <c r="F6" s="271" t="str">
        <f>IFERROR(VLOOKUP(E6,'Inventaire des produits'!$B$4:$K$1000,2,0),"")</f>
        <v>COUTEAU ECOLUXE</v>
      </c>
      <c r="G6" s="53">
        <v>8</v>
      </c>
      <c r="H6" s="77">
        <v>25.001999999999999</v>
      </c>
      <c r="I6" s="95">
        <f t="shared" si="0"/>
        <v>200.01599999999999</v>
      </c>
      <c r="J6" s="95">
        <f t="shared" si="1"/>
        <v>240.01919999999998</v>
      </c>
      <c r="K6" s="93">
        <f>IFERROR(VLOOKUP(E6,'Inventaire des produits'!$B$4:$J$1000,5,FALSE),"")</f>
        <v>0</v>
      </c>
      <c r="L6" s="301">
        <f>IFERROR(VLOOKUP(E6,'Inventaire des produits'!$B$4:$J$1000,6,FALSE),"")</f>
        <v>15.84</v>
      </c>
      <c r="M6" s="51"/>
    </row>
    <row r="7" spans="2:14" x14ac:dyDescent="0.3">
      <c r="B7" s="378" t="s">
        <v>1704</v>
      </c>
      <c r="C7" s="341"/>
      <c r="D7" s="338"/>
      <c r="E7" s="235" t="s">
        <v>258</v>
      </c>
      <c r="F7" s="271" t="str">
        <f>IFERROR(VLOOKUP(E7,'Inventaire des produits'!$B$4:$K$1000,2,0),"")</f>
        <v>BARQUETTE ST5</v>
      </c>
      <c r="G7" s="53">
        <v>200</v>
      </c>
      <c r="H7" s="77">
        <v>1.554</v>
      </c>
      <c r="I7" s="95">
        <f t="shared" si="0"/>
        <v>310.8</v>
      </c>
      <c r="J7" s="95">
        <f t="shared" si="1"/>
        <v>372.96</v>
      </c>
      <c r="K7" s="93">
        <f>IFERROR(VLOOKUP(E7,'Inventaire des produits'!$B$4:$J$1000,5,FALSE),"")</f>
        <v>0</v>
      </c>
      <c r="L7" s="301">
        <f>IFERROR(VLOOKUP(E7,'Inventaire des produits'!$B$4:$J$1000,6,FALSE),"")</f>
        <v>1.3333333332999999</v>
      </c>
      <c r="M7" s="51"/>
    </row>
    <row r="8" spans="2:14" x14ac:dyDescent="0.3">
      <c r="B8" s="378" t="s">
        <v>1704</v>
      </c>
      <c r="C8" s="341"/>
      <c r="D8" s="338"/>
      <c r="E8" s="235" t="s">
        <v>63</v>
      </c>
      <c r="F8" s="271" t="str">
        <f>IFERROR(VLOOKUP(E8,'Inventaire des produits'!$B$4:$K$1000,2,0),"")</f>
        <v>SERVIETTE</v>
      </c>
      <c r="G8" s="53">
        <v>100</v>
      </c>
      <c r="H8" s="77">
        <v>4</v>
      </c>
      <c r="I8" s="95">
        <f t="shared" si="0"/>
        <v>400</v>
      </c>
      <c r="J8" s="95">
        <f t="shared" si="1"/>
        <v>480</v>
      </c>
      <c r="K8" s="93">
        <f>IFERROR(VLOOKUP(E8,'Inventaire des produits'!$B$4:$J$1000,5,FALSE),"")</f>
        <v>0</v>
      </c>
      <c r="L8" s="301">
        <f>IFERROR(VLOOKUP(E8,'Inventaire des produits'!$B$4:$J$1000,6,FALSE),"")</f>
        <v>2.4166666666999999</v>
      </c>
      <c r="M8" s="51"/>
    </row>
    <row r="9" spans="2:14" x14ac:dyDescent="0.3">
      <c r="B9" s="378" t="s">
        <v>1704</v>
      </c>
      <c r="C9" s="342"/>
      <c r="D9" s="339"/>
      <c r="E9" s="235" t="s">
        <v>254</v>
      </c>
      <c r="F9" s="271" t="str">
        <f>IFERROR(VLOOKUP(E9,'Inventaire des produits'!$B$4:$K$1000,2,0),"")</f>
        <v>POT DE SAUCE 1OZ 30ML</v>
      </c>
      <c r="G9" s="53">
        <v>1000</v>
      </c>
      <c r="H9" s="77">
        <v>0.16</v>
      </c>
      <c r="I9" s="95">
        <f t="shared" si="0"/>
        <v>160</v>
      </c>
      <c r="J9" s="95">
        <f t="shared" si="1"/>
        <v>192</v>
      </c>
      <c r="K9" s="93">
        <f>IFERROR(VLOOKUP(E9,'Inventaire des produits'!$B$4:$J$1000,5,FALSE),"")</f>
        <v>0</v>
      </c>
      <c r="L9" s="301">
        <f>IFERROR(VLOOKUP(E9,'Inventaire des produits'!$B$4:$J$1000,6,FALSE),"")</f>
        <v>0.13500000000000001</v>
      </c>
      <c r="M9" s="51"/>
    </row>
    <row r="10" spans="2:14" x14ac:dyDescent="0.3">
      <c r="B10" s="378" t="s">
        <v>1704</v>
      </c>
      <c r="C10" s="55">
        <v>45296</v>
      </c>
      <c r="D10" s="54" t="s">
        <v>312</v>
      </c>
      <c r="E10" s="235" t="s">
        <v>486</v>
      </c>
      <c r="F10" s="271" t="str">
        <f>IFERROR(VLOOKUP(E10,'Inventaire des produits'!$B$4:$K$1000,2,0),"")</f>
        <v xml:space="preserve">COUPE DESSERT ARISSA ET CVL 230CC </v>
      </c>
      <c r="G10" s="50">
        <v>600</v>
      </c>
      <c r="H10" s="76">
        <v>1.375</v>
      </c>
      <c r="I10" s="95">
        <f t="shared" si="0"/>
        <v>825</v>
      </c>
      <c r="J10" s="95">
        <f t="shared" si="1"/>
        <v>990</v>
      </c>
      <c r="K10" s="93">
        <f>IFERROR(VLOOKUP(E10,'Inventaire des produits'!$B$4:$J$1000,5,FALSE),"")</f>
        <v>0</v>
      </c>
      <c r="L10" s="301">
        <f>IFERROR(VLOOKUP(E10,'Inventaire des produits'!$B$4:$J$1000,6,FALSE),"")</f>
        <v>1.25</v>
      </c>
      <c r="M10" s="51">
        <v>990</v>
      </c>
    </row>
    <row r="11" spans="2:14" x14ac:dyDescent="0.3">
      <c r="B11" s="378" t="s">
        <v>1704</v>
      </c>
      <c r="C11" s="340">
        <v>45296</v>
      </c>
      <c r="D11" s="337" t="s">
        <v>313</v>
      </c>
      <c r="E11" s="235" t="s">
        <v>250</v>
      </c>
      <c r="F11" s="271" t="str">
        <f>IFERROR(VLOOKUP(E11,'Inventaire des produits'!$B$4:$K$1000,2,0),"")</f>
        <v>FOURCHETTE ECOLUXE</v>
      </c>
      <c r="G11" s="50">
        <v>5</v>
      </c>
      <c r="H11" s="76">
        <v>23.067</v>
      </c>
      <c r="I11" s="95">
        <f t="shared" si="0"/>
        <v>115.33500000000001</v>
      </c>
      <c r="J11" s="95">
        <f t="shared" si="1"/>
        <v>138.40200000000002</v>
      </c>
      <c r="K11" s="93">
        <f>IFERROR(VLOOKUP(E11,'Inventaire des produits'!$B$4:$J$1000,5,FALSE),"")</f>
        <v>0</v>
      </c>
      <c r="L11" s="301">
        <f>IFERROR(VLOOKUP(E11,'Inventaire des produits'!$B$4:$J$1000,6,FALSE),"")</f>
        <v>15.84</v>
      </c>
      <c r="M11" s="51">
        <v>824</v>
      </c>
    </row>
    <row r="12" spans="2:14" x14ac:dyDescent="0.3">
      <c r="B12" s="378" t="s">
        <v>1704</v>
      </c>
      <c r="C12" s="341"/>
      <c r="D12" s="338"/>
      <c r="E12" s="235" t="s">
        <v>251</v>
      </c>
      <c r="F12" s="271" t="str">
        <f>IFERROR(VLOOKUP(E12,'Inventaire des produits'!$B$4:$K$1000,2,0),"")</f>
        <v>COUTEAU ECOLUXE</v>
      </c>
      <c r="G12" s="53">
        <v>5</v>
      </c>
      <c r="H12" s="77">
        <v>23.067</v>
      </c>
      <c r="I12" s="95">
        <f t="shared" si="0"/>
        <v>115.33500000000001</v>
      </c>
      <c r="J12" s="95">
        <f t="shared" si="1"/>
        <v>138.40200000000002</v>
      </c>
      <c r="K12" s="93">
        <f>IFERROR(VLOOKUP(E12,'Inventaire des produits'!$B$4:$J$1000,5,FALSE),"")</f>
        <v>0</v>
      </c>
      <c r="L12" s="301">
        <f>IFERROR(VLOOKUP(E12,'Inventaire des produits'!$B$4:$J$1000,6,FALSE),"")</f>
        <v>15.84</v>
      </c>
      <c r="M12" s="51"/>
    </row>
    <row r="13" spans="2:14" x14ac:dyDescent="0.3">
      <c r="B13" s="378" t="s">
        <v>1704</v>
      </c>
      <c r="C13" s="341"/>
      <c r="D13" s="338"/>
      <c r="E13" s="235" t="s">
        <v>275</v>
      </c>
      <c r="F13" s="271" t="str">
        <f>IFERROR(VLOOKUP(E13,'Inventaire des produits'!$B$4:$K$1000,2,0),"")</f>
        <v>GOBLET 8OZ A CAFE EN CARTON KRAFT</v>
      </c>
      <c r="G13" s="53">
        <v>300</v>
      </c>
      <c r="H13" s="77">
        <v>0.52</v>
      </c>
      <c r="I13" s="95">
        <f t="shared" si="0"/>
        <v>156</v>
      </c>
      <c r="J13" s="95">
        <f t="shared" si="1"/>
        <v>187.2</v>
      </c>
      <c r="K13" s="93">
        <f>IFERROR(VLOOKUP(E13,'Inventaire des produits'!$B$4:$J$1000,5,FALSE),"")</f>
        <v>0</v>
      </c>
      <c r="L13" s="301">
        <f>IFERROR(VLOOKUP(E13,'Inventaire des produits'!$B$4:$J$1000,6,FALSE),"")</f>
        <v>0.6</v>
      </c>
      <c r="M13" s="51"/>
    </row>
    <row r="14" spans="2:14" x14ac:dyDescent="0.3">
      <c r="B14" s="378" t="s">
        <v>1704</v>
      </c>
      <c r="C14" s="342"/>
      <c r="D14" s="339"/>
      <c r="E14" s="235" t="s">
        <v>127</v>
      </c>
      <c r="F14" s="271" t="str">
        <f>IFERROR(VLOOKUP(E14,'Inventaire des produits'!$B$4:$K$1000,2,0),"")</f>
        <v>SERVIETTE DE TABLE SEVAN 1PLI</v>
      </c>
      <c r="G14" s="53">
        <v>75</v>
      </c>
      <c r="H14" s="77">
        <v>4</v>
      </c>
      <c r="I14" s="95">
        <f t="shared" si="0"/>
        <v>300</v>
      </c>
      <c r="J14" s="95">
        <f t="shared" si="1"/>
        <v>360</v>
      </c>
      <c r="K14" s="93">
        <f>IFERROR(VLOOKUP(E14,'Inventaire des produits'!$B$4:$J$1000,5,FALSE),"")</f>
        <v>0</v>
      </c>
      <c r="L14" s="301">
        <f>IFERROR(VLOOKUP(E14,'Inventaire des produits'!$B$4:$J$1000,6,FALSE),"")</f>
        <v>2.9169999999999998</v>
      </c>
      <c r="M14" s="51"/>
    </row>
    <row r="15" spans="2:14" x14ac:dyDescent="0.3">
      <c r="B15" s="378" t="s">
        <v>1704</v>
      </c>
      <c r="C15" s="55">
        <v>45296</v>
      </c>
      <c r="D15" s="54" t="s">
        <v>314</v>
      </c>
      <c r="E15" s="235" t="s">
        <v>137</v>
      </c>
      <c r="F15" s="271" t="str">
        <f>IFERROR(VLOOKUP(E15,'Inventaire des produits'!$B$4:$K$1000,2,0),"")</f>
        <v>GOBLET 14OZ TRANSP SMART +CVBB</v>
      </c>
      <c r="G15" s="50">
        <v>5000</v>
      </c>
      <c r="H15" s="76">
        <v>0.65</v>
      </c>
      <c r="I15" s="95">
        <f t="shared" si="0"/>
        <v>3250</v>
      </c>
      <c r="J15" s="95">
        <f t="shared" si="1"/>
        <v>3900</v>
      </c>
      <c r="K15" s="93">
        <f>IFERROR(VLOOKUP(E15,'Inventaire des produits'!$B$4:$J$1000,5,FALSE),"")</f>
        <v>0</v>
      </c>
      <c r="L15" s="301">
        <f>IFERROR(VLOOKUP(E15,'Inventaire des produits'!$B$4:$J$1000,6,FALSE),"")</f>
        <v>0.53</v>
      </c>
      <c r="M15" s="51">
        <v>3900</v>
      </c>
    </row>
    <row r="16" spans="2:14" x14ac:dyDescent="0.3">
      <c r="B16" s="378" t="s">
        <v>1704</v>
      </c>
      <c r="C16" s="55">
        <v>45296</v>
      </c>
      <c r="D16" s="54" t="s">
        <v>315</v>
      </c>
      <c r="E16" s="235" t="s">
        <v>66</v>
      </c>
      <c r="F16" s="271" t="str">
        <f>IFERROR(VLOOKUP(E16,'Inventaire des produits'!$B$4:$K$1000,2,0),"")</f>
        <v>TRIPOD PIZZA EN PLASTIQUE</v>
      </c>
      <c r="G16" s="50">
        <v>2000</v>
      </c>
      <c r="H16" s="76">
        <v>0.5</v>
      </c>
      <c r="I16" s="95">
        <f t="shared" si="0"/>
        <v>1000</v>
      </c>
      <c r="J16" s="95">
        <f t="shared" si="1"/>
        <v>1200</v>
      </c>
      <c r="K16" s="93">
        <f>IFERROR(VLOOKUP(E16,'Inventaire des produits'!$B$4:$J$1000,5,FALSE),"")</f>
        <v>0</v>
      </c>
      <c r="L16" s="301">
        <f>IFERROR(VLOOKUP(E16,'Inventaire des produits'!$B$4:$J$1000,6,FALSE),"")</f>
        <v>0.32</v>
      </c>
      <c r="M16" s="51">
        <v>1200</v>
      </c>
    </row>
    <row r="17" spans="2:13" x14ac:dyDescent="0.3">
      <c r="B17" s="378" t="s">
        <v>1704</v>
      </c>
      <c r="C17" s="55">
        <v>45299</v>
      </c>
      <c r="D17" s="54" t="s">
        <v>698</v>
      </c>
      <c r="E17" s="235" t="s">
        <v>459</v>
      </c>
      <c r="F17" s="271" t="str">
        <f>IFERROR(VLOOKUP(E17,'Inventaire des produits'!$B$4:$K$1000,2,0),"")</f>
        <v>SAC FOND CARRE POIGNE PLAT 26*17*28 70G</v>
      </c>
      <c r="G17" s="50">
        <v>5000</v>
      </c>
      <c r="H17" s="76">
        <v>1.1666666667000001</v>
      </c>
      <c r="I17" s="95">
        <f t="shared" si="0"/>
        <v>5833.3333335000007</v>
      </c>
      <c r="J17" s="95">
        <f t="shared" si="1"/>
        <v>7000.0000002000006</v>
      </c>
      <c r="K17" s="93">
        <f>IFERROR(VLOOKUP(E17,'Inventaire des produits'!$B$4:$J$1000,5,FALSE),"")</f>
        <v>0</v>
      </c>
      <c r="L17" s="301">
        <f>IFERROR(VLOOKUP(E17,'Inventaire des produits'!$B$4:$J$1000,6,FALSE),"")</f>
        <v>0.75</v>
      </c>
      <c r="M17" s="51">
        <v>7000</v>
      </c>
    </row>
    <row r="18" spans="2:13" x14ac:dyDescent="0.3">
      <c r="B18" s="378" t="s">
        <v>1704</v>
      </c>
      <c r="C18" s="340">
        <v>45300</v>
      </c>
      <c r="D18" s="337" t="s">
        <v>325</v>
      </c>
      <c r="E18" s="235" t="s">
        <v>128</v>
      </c>
      <c r="F18" s="271" t="str">
        <f>IFERROR(VLOOKUP(E18,'Inventaire des produits'!$B$4:$K$1000,2,0),"")</f>
        <v>ESSUIE MAIN PROF</v>
      </c>
      <c r="G18" s="50">
        <v>6</v>
      </c>
      <c r="H18" s="76">
        <v>29.166666666699999</v>
      </c>
      <c r="I18" s="95">
        <f t="shared" si="0"/>
        <v>175.0000000002</v>
      </c>
      <c r="J18" s="95">
        <f t="shared" si="1"/>
        <v>210.00000000023999</v>
      </c>
      <c r="K18" s="93">
        <f>IFERROR(VLOOKUP(E18,'Inventaire des produits'!$B$4:$J$1000,5,FALSE),"")</f>
        <v>0</v>
      </c>
      <c r="L18" s="301">
        <f>IFERROR(VLOOKUP(E18,'Inventaire des produits'!$B$4:$J$1000,6,FALSE),"")</f>
        <v>20.832999999999998</v>
      </c>
      <c r="M18" s="51">
        <v>810</v>
      </c>
    </row>
    <row r="19" spans="2:13" x14ac:dyDescent="0.3">
      <c r="B19" s="378" t="s">
        <v>1704</v>
      </c>
      <c r="C19" s="341"/>
      <c r="D19" s="338"/>
      <c r="E19" s="235" t="s">
        <v>254</v>
      </c>
      <c r="F19" s="271" t="str">
        <f>IFERROR(VLOOKUP(E19,'Inventaire des produits'!$B$4:$K$1000,2,0),"")</f>
        <v>POT DE SAUCE 1OZ 30ML</v>
      </c>
      <c r="G19" s="53">
        <v>1000</v>
      </c>
      <c r="H19" s="77">
        <v>0.16666666669999999</v>
      </c>
      <c r="I19" s="95">
        <f t="shared" si="0"/>
        <v>166.66666670000001</v>
      </c>
      <c r="J19" s="95">
        <f t="shared" si="1"/>
        <v>200.00000004</v>
      </c>
      <c r="K19" s="93">
        <f>IFERROR(VLOOKUP(E19,'Inventaire des produits'!$B$4:$J$1000,5,FALSE),"")</f>
        <v>0</v>
      </c>
      <c r="L19" s="301">
        <f>IFERROR(VLOOKUP(E19,'Inventaire des produits'!$B$4:$J$1000,6,FALSE),"")</f>
        <v>0.13500000000000001</v>
      </c>
      <c r="M19" s="51"/>
    </row>
    <row r="20" spans="2:13" x14ac:dyDescent="0.3">
      <c r="B20" s="378" t="s">
        <v>1704</v>
      </c>
      <c r="C20" s="342"/>
      <c r="D20" s="339"/>
      <c r="E20" s="235" t="s">
        <v>53</v>
      </c>
      <c r="F20" s="271" t="str">
        <f>IFERROR(VLOOKUP(E20,'Inventaire des produits'!$B$4:$K$1000,2,0),"")</f>
        <v>GANT VINYL EXTRA PREMIUM GLOVE MEDIUM</v>
      </c>
      <c r="G20" s="53">
        <v>10</v>
      </c>
      <c r="H20" s="77">
        <v>33.333333333299997</v>
      </c>
      <c r="I20" s="95">
        <f t="shared" si="0"/>
        <v>333.33333333299998</v>
      </c>
      <c r="J20" s="95">
        <f t="shared" si="1"/>
        <v>399.99999999959999</v>
      </c>
      <c r="K20" s="93">
        <f>IFERROR(VLOOKUP(E20,'Inventaire des produits'!$B$4:$J$1000,5,FALSE),"")</f>
        <v>0</v>
      </c>
      <c r="L20" s="301">
        <f>IFERROR(VLOOKUP(E20,'Inventaire des produits'!$B$4:$J$1000,6,FALSE),"")</f>
        <v>24.593333333299999</v>
      </c>
      <c r="M20" s="51"/>
    </row>
    <row r="21" spans="2:13" x14ac:dyDescent="0.3">
      <c r="B21" s="378" t="s">
        <v>1704</v>
      </c>
      <c r="C21" s="340">
        <v>45302</v>
      </c>
      <c r="D21" s="337" t="s">
        <v>326</v>
      </c>
      <c r="E21" s="235" t="s">
        <v>63</v>
      </c>
      <c r="F21" s="271" t="str">
        <f>IFERROR(VLOOKUP(E21,'Inventaire des produits'!$B$4:$K$1000,2,0),"")</f>
        <v>SERVIETTE</v>
      </c>
      <c r="G21" s="50">
        <v>300</v>
      </c>
      <c r="H21" s="76">
        <v>3.52</v>
      </c>
      <c r="I21" s="95">
        <f t="shared" si="0"/>
        <v>1056</v>
      </c>
      <c r="J21" s="95">
        <f t="shared" si="1"/>
        <v>1267.2</v>
      </c>
      <c r="K21" s="93">
        <f>IFERROR(VLOOKUP(E21,'Inventaire des produits'!$B$4:$J$1000,5,FALSE),"")</f>
        <v>0</v>
      </c>
      <c r="L21" s="301">
        <f>IFERROR(VLOOKUP(E21,'Inventaire des produits'!$B$4:$J$1000,6,FALSE),"")</f>
        <v>2.4166666666999999</v>
      </c>
      <c r="M21" s="51">
        <v>6322</v>
      </c>
    </row>
    <row r="22" spans="2:13" x14ac:dyDescent="0.3">
      <c r="B22" s="378" t="s">
        <v>1704</v>
      </c>
      <c r="C22" s="341"/>
      <c r="D22" s="338"/>
      <c r="E22" s="235" t="s">
        <v>240</v>
      </c>
      <c r="F22" s="271" t="str">
        <f>IFERROR(VLOOKUP(E22,'Inventaire des produits'!$B$4:$K$1000,2,0),"")</f>
        <v>BARQUETTE ALUMINIUM 83420</v>
      </c>
      <c r="G22" s="53">
        <v>1100</v>
      </c>
      <c r="H22" s="77">
        <v>0.56000000000000005</v>
      </c>
      <c r="I22" s="95">
        <f t="shared" si="0"/>
        <v>616.00000000000011</v>
      </c>
      <c r="J22" s="95">
        <f t="shared" si="1"/>
        <v>739.20000000000016</v>
      </c>
      <c r="K22" s="93">
        <f>IFERROR(VLOOKUP(E22,'Inventaire des produits'!$B$4:$J$1000,5,FALSE),"")</f>
        <v>0</v>
      </c>
      <c r="L22" s="301">
        <f>IFERROR(VLOOKUP(E22,'Inventaire des produits'!$B$4:$J$1000,6,FALSE),"")</f>
        <v>0.32</v>
      </c>
      <c r="M22" s="51"/>
    </row>
    <row r="23" spans="2:13" x14ac:dyDescent="0.3">
      <c r="B23" s="378" t="s">
        <v>1704</v>
      </c>
      <c r="C23" s="341"/>
      <c r="D23" s="338"/>
      <c r="E23" s="235" t="s">
        <v>79</v>
      </c>
      <c r="F23" s="271" t="str">
        <f>IFERROR(VLOOKUP(E23,'Inventaire des produits'!$B$4:$K$1000,2,0),"")</f>
        <v>FILM PVC ETIRABLE 300*30 ECO</v>
      </c>
      <c r="G23" s="53">
        <v>35</v>
      </c>
      <c r="H23" s="77">
        <v>27.71</v>
      </c>
      <c r="I23" s="95">
        <f t="shared" si="0"/>
        <v>969.85</v>
      </c>
      <c r="J23" s="95">
        <f t="shared" si="1"/>
        <v>1163.82</v>
      </c>
      <c r="K23" s="93">
        <f>IFERROR(VLOOKUP(E23,'Inventaire des produits'!$B$4:$J$1000,5,FALSE),"")</f>
        <v>0</v>
      </c>
      <c r="L23" s="301">
        <f>IFERROR(VLOOKUP(E23,'Inventaire des produits'!$B$4:$J$1000,6,FALSE),"")</f>
        <v>12.0275</v>
      </c>
      <c r="M23" s="51"/>
    </row>
    <row r="24" spans="2:13" x14ac:dyDescent="0.3">
      <c r="B24" s="378" t="s">
        <v>1704</v>
      </c>
      <c r="C24" s="341"/>
      <c r="D24" s="338"/>
      <c r="E24" s="235" t="s">
        <v>248</v>
      </c>
      <c r="F24" s="271" t="str">
        <f>IFERROR(VLOOKUP(E24,'Inventaire des produits'!$B$4:$K$1000,2,0),"")</f>
        <v>BARQUETTE SUSHI ST5 216*136*20+CVRCL</v>
      </c>
      <c r="G24" s="53">
        <v>400</v>
      </c>
      <c r="H24" s="77">
        <v>1.65</v>
      </c>
      <c r="I24" s="95">
        <f t="shared" si="0"/>
        <v>660</v>
      </c>
      <c r="J24" s="95">
        <f t="shared" si="1"/>
        <v>792</v>
      </c>
      <c r="K24" s="93">
        <f>IFERROR(VLOOKUP(E24,'Inventaire des produits'!$B$4:$J$1000,5,FALSE),"")</f>
        <v>0</v>
      </c>
      <c r="L24" s="301">
        <f>IFERROR(VLOOKUP(E24,'Inventaire des produits'!$B$4:$J$1000,6,FALSE),"")</f>
        <v>1.3166666667</v>
      </c>
      <c r="M24" s="51"/>
    </row>
    <row r="25" spans="2:13" x14ac:dyDescent="0.3">
      <c r="B25" s="378" t="s">
        <v>1704</v>
      </c>
      <c r="C25" s="341"/>
      <c r="D25" s="338"/>
      <c r="E25" s="235" t="s">
        <v>168</v>
      </c>
      <c r="F25" s="271" t="str">
        <f>IFERROR(VLOOKUP(E25,'Inventaire des produits'!$B$4:$K$1000,2,0),"")</f>
        <v>ESSUIE MAIN GKEM1KG</v>
      </c>
      <c r="G25" s="53">
        <v>40</v>
      </c>
      <c r="H25" s="77">
        <v>29</v>
      </c>
      <c r="I25" s="95">
        <f t="shared" si="0"/>
        <v>1160</v>
      </c>
      <c r="J25" s="95">
        <f t="shared" si="1"/>
        <v>1392</v>
      </c>
      <c r="K25" s="93">
        <f>IFERROR(VLOOKUP(E25,'Inventaire des produits'!$B$4:$J$1000,5,FALSE),"")</f>
        <v>0</v>
      </c>
      <c r="L25" s="301">
        <f>IFERROR(VLOOKUP(E25,'Inventaire des produits'!$B$4:$J$1000,6,FALSE),"")</f>
        <v>20.83</v>
      </c>
      <c r="M25" s="51"/>
    </row>
    <row r="26" spans="2:13" x14ac:dyDescent="0.3">
      <c r="B26" s="378" t="s">
        <v>1704</v>
      </c>
      <c r="C26" s="342"/>
      <c r="D26" s="339"/>
      <c r="E26" s="235" t="s">
        <v>259</v>
      </c>
      <c r="F26" s="271" t="str">
        <f>IFERROR(VLOOKUP(E26,'Inventaire des produits'!$B$4:$K$1000,2,0),"")</f>
        <v>ROULEAU ALUMINIUM GOLDEN 200M</v>
      </c>
      <c r="G26" s="231">
        <v>11</v>
      </c>
      <c r="H26" s="77">
        <v>73.316999999999993</v>
      </c>
      <c r="I26" s="95">
        <f t="shared" si="0"/>
        <v>806.48699999999997</v>
      </c>
      <c r="J26" s="95">
        <f t="shared" si="1"/>
        <v>967.78439999999989</v>
      </c>
      <c r="K26" s="93">
        <f>IFERROR(VLOOKUP(E26,'Inventaire des produits'!$B$4:$J$1000,5,FALSE),"")</f>
        <v>0</v>
      </c>
      <c r="L26" s="301">
        <f>IFERROR(VLOOKUP(E26,'Inventaire des produits'!$B$4:$J$1000,6,FALSE),"")</f>
        <v>58.333333333299997</v>
      </c>
      <c r="M26" s="51"/>
    </row>
    <row r="27" spans="2:13" x14ac:dyDescent="0.3">
      <c r="B27" s="378" t="s">
        <v>1704</v>
      </c>
      <c r="C27" s="340">
        <v>45302</v>
      </c>
      <c r="D27" s="337" t="s">
        <v>327</v>
      </c>
      <c r="E27" s="235" t="s">
        <v>63</v>
      </c>
      <c r="F27" s="271" t="str">
        <f>IFERROR(VLOOKUP(E27,'Inventaire des produits'!$B$4:$K$1000,2,0),"")</f>
        <v>SERVIETTE</v>
      </c>
      <c r="G27" s="50">
        <v>400</v>
      </c>
      <c r="H27" s="76">
        <v>3.17</v>
      </c>
      <c r="I27" s="95">
        <f t="shared" si="0"/>
        <v>1268</v>
      </c>
      <c r="J27" s="95">
        <f t="shared" si="1"/>
        <v>1521.6</v>
      </c>
      <c r="K27" s="93">
        <f>IFERROR(VLOOKUP(E27,'Inventaire des produits'!$B$4:$J$1000,5,FALSE),"")</f>
        <v>0</v>
      </c>
      <c r="L27" s="301">
        <f>IFERROR(VLOOKUP(E27,'Inventaire des produits'!$B$4:$J$1000,6,FALSE),"")</f>
        <v>2.4166666666999999</v>
      </c>
      <c r="M27" s="51">
        <v>15100.01</v>
      </c>
    </row>
    <row r="28" spans="2:13" x14ac:dyDescent="0.3">
      <c r="B28" s="378" t="s">
        <v>1704</v>
      </c>
      <c r="C28" s="341"/>
      <c r="D28" s="338"/>
      <c r="E28" s="235" t="s">
        <v>328</v>
      </c>
      <c r="F28" s="271" t="str">
        <f>IFERROR(VLOOKUP(E28,'Inventaire des produits'!$B$4:$K$1000,2,0),"")</f>
        <v>BARQUETTE VITAPACK 750ML AVEC CVL</v>
      </c>
      <c r="G28" s="53">
        <v>750</v>
      </c>
      <c r="H28" s="77">
        <v>1.54</v>
      </c>
      <c r="I28" s="95">
        <f t="shared" si="0"/>
        <v>1155</v>
      </c>
      <c r="J28" s="95">
        <f t="shared" si="1"/>
        <v>1386</v>
      </c>
      <c r="K28" s="93">
        <f>IFERROR(VLOOKUP(E28,'Inventaire des produits'!$B$4:$J$1000,5,FALSE),"")</f>
        <v>0</v>
      </c>
      <c r="L28" s="301">
        <f>IFERROR(VLOOKUP(E28,'Inventaire des produits'!$B$4:$J$1000,6,FALSE),"")</f>
        <v>1.34</v>
      </c>
      <c r="M28" s="51"/>
    </row>
    <row r="29" spans="2:13" x14ac:dyDescent="0.3">
      <c r="B29" s="378" t="s">
        <v>1704</v>
      </c>
      <c r="C29" s="341"/>
      <c r="D29" s="338"/>
      <c r="E29" s="235" t="s">
        <v>27</v>
      </c>
      <c r="F29" s="271" t="str">
        <f>IFERROR(VLOOKUP(E29,'Inventaire des produits'!$B$4:$K$1000,2,0),"")</f>
        <v>BARQUETTE VITA PACK 500ML AVEC CVL</v>
      </c>
      <c r="G29" s="53">
        <v>500</v>
      </c>
      <c r="H29" s="77">
        <v>1.54</v>
      </c>
      <c r="I29" s="95">
        <f t="shared" si="0"/>
        <v>770</v>
      </c>
      <c r="J29" s="95">
        <f t="shared" si="1"/>
        <v>924</v>
      </c>
      <c r="K29" s="93">
        <f>IFERROR(VLOOKUP(E29,'Inventaire des produits'!$B$4:$J$1000,5,FALSE),"")</f>
        <v>0</v>
      </c>
      <c r="L29" s="301">
        <f>IFERROR(VLOOKUP(E29,'Inventaire des produits'!$B$4:$J$1000,6,FALSE),"")</f>
        <v>1.38</v>
      </c>
      <c r="M29" s="51"/>
    </row>
    <row r="30" spans="2:13" x14ac:dyDescent="0.3">
      <c r="B30" s="378" t="s">
        <v>1704</v>
      </c>
      <c r="C30" s="341"/>
      <c r="D30" s="338"/>
      <c r="E30" s="235" t="s">
        <v>181</v>
      </c>
      <c r="F30" s="271" t="str">
        <f>IFERROR(VLOOKUP(E30,'Inventaire des produits'!$B$4:$K$1000,2,0),"")</f>
        <v>FILM ALIMENTAIRE 900GR</v>
      </c>
      <c r="G30" s="53">
        <v>60</v>
      </c>
      <c r="H30" s="77">
        <v>25</v>
      </c>
      <c r="I30" s="95">
        <f t="shared" si="0"/>
        <v>1500</v>
      </c>
      <c r="J30" s="95">
        <f t="shared" si="1"/>
        <v>1800</v>
      </c>
      <c r="K30" s="93">
        <f>IFERROR(VLOOKUP(E30,'Inventaire des produits'!$B$4:$J$1000,5,FALSE),"")</f>
        <v>0</v>
      </c>
      <c r="L30" s="301">
        <f>IFERROR(VLOOKUP(E30,'Inventaire des produits'!$B$4:$J$1000,6,FALSE),"")</f>
        <v>22.5</v>
      </c>
      <c r="M30" s="51"/>
    </row>
    <row r="31" spans="2:13" x14ac:dyDescent="0.3">
      <c r="B31" s="378" t="s">
        <v>1704</v>
      </c>
      <c r="C31" s="341"/>
      <c r="D31" s="338"/>
      <c r="E31" s="235" t="s">
        <v>254</v>
      </c>
      <c r="F31" s="271" t="str">
        <f>IFERROR(VLOOKUP(E31,'Inventaire des produits'!$B$4:$K$1000,2,0),"")</f>
        <v>POT DE SAUCE 1OZ 30ML</v>
      </c>
      <c r="G31" s="53">
        <v>10000</v>
      </c>
      <c r="H31" s="77">
        <v>0.14599999999999999</v>
      </c>
      <c r="I31" s="95">
        <f t="shared" si="0"/>
        <v>1460</v>
      </c>
      <c r="J31" s="95">
        <f t="shared" si="1"/>
        <v>1752</v>
      </c>
      <c r="K31" s="93">
        <f>IFERROR(VLOOKUP(E31,'Inventaire des produits'!$B$4:$J$1000,5,FALSE),"")</f>
        <v>0</v>
      </c>
      <c r="L31" s="301">
        <f>IFERROR(VLOOKUP(E31,'Inventaire des produits'!$B$4:$J$1000,6,FALSE),"")</f>
        <v>0.13500000000000001</v>
      </c>
      <c r="M31" s="51"/>
    </row>
    <row r="32" spans="2:13" x14ac:dyDescent="0.3">
      <c r="B32" s="378" t="s">
        <v>1704</v>
      </c>
      <c r="C32" s="341"/>
      <c r="D32" s="338"/>
      <c r="E32" s="235" t="s">
        <v>369</v>
      </c>
      <c r="F32" s="271" t="str">
        <f>IFERROR(VLOOKUP(E32,'Inventaire des produits'!$B$4:$K$1000,2,0),"")</f>
        <v>ROULEAU DE CAISSE THERMIQUE 70X80 CT 50RLX</v>
      </c>
      <c r="G32" s="231">
        <v>250</v>
      </c>
      <c r="H32" s="77">
        <v>8.7512000000000008</v>
      </c>
      <c r="I32" s="95">
        <f t="shared" si="0"/>
        <v>2187.8000000000002</v>
      </c>
      <c r="J32" s="95">
        <f t="shared" si="1"/>
        <v>2625.36</v>
      </c>
      <c r="K32" s="93">
        <f>IFERROR(VLOOKUP(E32,'Inventaire des produits'!$B$4:$J$1000,5,FALSE),"")</f>
        <v>0</v>
      </c>
      <c r="L32" s="301">
        <f>IFERROR(VLOOKUP(E32,'Inventaire des produits'!$B$4:$J$1000,6,FALSE),"")</f>
        <v>8.5</v>
      </c>
      <c r="M32" s="51"/>
    </row>
    <row r="33" spans="2:13" x14ac:dyDescent="0.3">
      <c r="B33" s="378" t="s">
        <v>1704</v>
      </c>
      <c r="C33" s="341"/>
      <c r="D33" s="338"/>
      <c r="E33" s="235" t="s">
        <v>317</v>
      </c>
      <c r="F33" s="271" t="str">
        <f>IFERROR(VLOOKUP(E33,'Inventaire des produits'!$B$4:$K$1000,2,0),"")</f>
        <v>BARQUETTE VITA PACK 750ML AVEC CVL</v>
      </c>
      <c r="G33" s="231">
        <v>1250</v>
      </c>
      <c r="H33" s="77">
        <v>1.55</v>
      </c>
      <c r="I33" s="95">
        <f t="shared" si="0"/>
        <v>1937.5</v>
      </c>
      <c r="J33" s="95">
        <f t="shared" si="1"/>
        <v>2325</v>
      </c>
      <c r="K33" s="93">
        <f>IFERROR(VLOOKUP(E33,'Inventaire des produits'!$B$4:$J$1000,5,FALSE),"")</f>
        <v>0</v>
      </c>
      <c r="L33" s="301">
        <f>IFERROR(VLOOKUP(E33,'Inventaire des produits'!$B$4:$J$1000,6,FALSE),"")</f>
        <v>1.38</v>
      </c>
      <c r="M33" s="51"/>
    </row>
    <row r="34" spans="2:13" x14ac:dyDescent="0.3">
      <c r="B34" s="378" t="s">
        <v>1704</v>
      </c>
      <c r="C34" s="341"/>
      <c r="D34" s="338"/>
      <c r="E34" s="235" t="s">
        <v>148</v>
      </c>
      <c r="F34" s="271" t="str">
        <f>IFERROR(VLOOKUP(E34,'Inventaire des produits'!$B$4:$K$1000,2,0),"")</f>
        <v>BARQUETTE SUSHI ST1 160*91*20</v>
      </c>
      <c r="G34" s="231">
        <v>800</v>
      </c>
      <c r="H34" s="77">
        <v>0.88129999999999997</v>
      </c>
      <c r="I34" s="95">
        <f t="shared" si="0"/>
        <v>705.04</v>
      </c>
      <c r="J34" s="95">
        <f t="shared" si="1"/>
        <v>846.04799999999989</v>
      </c>
      <c r="K34" s="93">
        <f>IFERROR(VLOOKUP(E34,'Inventaire des produits'!$B$4:$J$1000,5,FALSE),"")</f>
        <v>0</v>
      </c>
      <c r="L34" s="301">
        <f>IFERROR(VLOOKUP(E34,'Inventaire des produits'!$B$4:$J$1000,6,FALSE),"")</f>
        <v>0.75833333329999997</v>
      </c>
      <c r="M34" s="51"/>
    </row>
    <row r="35" spans="2:13" x14ac:dyDescent="0.3">
      <c r="B35" s="378" t="s">
        <v>1704</v>
      </c>
      <c r="C35" s="341"/>
      <c r="D35" s="338"/>
      <c r="E35" s="235" t="s">
        <v>19</v>
      </c>
      <c r="F35" s="271" t="str">
        <f>IFERROR(VLOOKUP(E35,'Inventaire des produits'!$B$4:$K$1000,2,0),"")</f>
        <v>SAC FOND CARRE POIGNE PLAT 26*17*28 70G</v>
      </c>
      <c r="G35" s="57">
        <v>2000</v>
      </c>
      <c r="H35" s="78">
        <v>0.8</v>
      </c>
      <c r="I35" s="95">
        <f t="shared" si="0"/>
        <v>1600</v>
      </c>
      <c r="J35" s="95">
        <f t="shared" si="1"/>
        <v>1920</v>
      </c>
      <c r="K35" s="93">
        <f>IFERROR(VLOOKUP(E35,'Inventaire des produits'!$B$4:$J$1000,5,FALSE),"")</f>
        <v>0</v>
      </c>
      <c r="L35" s="301">
        <f>IFERROR(VLOOKUP(E35,'Inventaire des produits'!$B$4:$J$1000,6,FALSE),"")</f>
        <v>0.81</v>
      </c>
      <c r="M35" s="51"/>
    </row>
    <row r="36" spans="2:13" x14ac:dyDescent="0.3">
      <c r="B36" s="378" t="s">
        <v>1704</v>
      </c>
      <c r="C36" s="340">
        <v>45304</v>
      </c>
      <c r="D36" s="337" t="s">
        <v>351</v>
      </c>
      <c r="E36" s="235" t="s">
        <v>339</v>
      </c>
      <c r="F36" s="271" t="str">
        <f>IFERROR(VLOOKUP(E36,'Inventaire des produits'!$B$4:$K$1000,2,0),"")</f>
        <v>BARQUETTE ALUMINIUM 81890 AVEC CVL</v>
      </c>
      <c r="G36" s="58">
        <v>2000</v>
      </c>
      <c r="H36" s="77">
        <v>0.84</v>
      </c>
      <c r="I36" s="95">
        <f t="shared" si="0"/>
        <v>1680</v>
      </c>
      <c r="J36" s="95">
        <f t="shared" si="1"/>
        <v>2016</v>
      </c>
      <c r="K36" s="93">
        <f>IFERROR(VLOOKUP(E36,'Inventaire des produits'!$B$4:$J$1000,5,FALSE),"")</f>
        <v>0</v>
      </c>
      <c r="L36" s="301">
        <f>IFERROR(VLOOKUP(E36,'Inventaire des produits'!$B$4:$J$1000,6,FALSE),"")</f>
        <v>0.61666666670000003</v>
      </c>
      <c r="M36" s="51">
        <v>6900</v>
      </c>
    </row>
    <row r="37" spans="2:13" x14ac:dyDescent="0.3">
      <c r="B37" s="378" t="s">
        <v>1704</v>
      </c>
      <c r="C37" s="341"/>
      <c r="D37" s="338"/>
      <c r="E37" s="235" t="s">
        <v>301</v>
      </c>
      <c r="F37" s="271" t="str">
        <f>IFERROR(VLOOKUP(E37,'Inventaire des produits'!$B$4:$K$1000,2,0),"")</f>
        <v>POT DE SAUCE 20CC</v>
      </c>
      <c r="G37" s="53">
        <v>4000</v>
      </c>
      <c r="H37" s="77">
        <v>9.5000000000000001E-2</v>
      </c>
      <c r="I37" s="95">
        <f t="shared" si="0"/>
        <v>380</v>
      </c>
      <c r="J37" s="95">
        <f t="shared" si="1"/>
        <v>456</v>
      </c>
      <c r="K37" s="93">
        <f>IFERROR(VLOOKUP(E37,'Inventaire des produits'!$B$4:$J$1000,5,FALSE),"")</f>
        <v>0</v>
      </c>
      <c r="L37" s="301">
        <f>IFERROR(VLOOKUP(E37,'Inventaire des produits'!$B$4:$J$1000,6,FALSE),"")</f>
        <v>0.05</v>
      </c>
      <c r="M37" s="51"/>
    </row>
    <row r="38" spans="2:13" x14ac:dyDescent="0.3">
      <c r="B38" s="378" t="s">
        <v>1704</v>
      </c>
      <c r="C38" s="341"/>
      <c r="D38" s="338"/>
      <c r="E38" s="235" t="s">
        <v>127</v>
      </c>
      <c r="F38" s="271" t="str">
        <f>IFERROR(VLOOKUP(E38,'Inventaire des produits'!$B$4:$K$1000,2,0),"")</f>
        <v>SERVIETTE DE TABLE SEVAN 1PLI</v>
      </c>
      <c r="G38" s="53">
        <v>120</v>
      </c>
      <c r="H38" s="77">
        <v>3.9670000000000001</v>
      </c>
      <c r="I38" s="95">
        <f t="shared" si="0"/>
        <v>476.04</v>
      </c>
      <c r="J38" s="95">
        <f t="shared" si="1"/>
        <v>571.24800000000005</v>
      </c>
      <c r="K38" s="93">
        <f>IFERROR(VLOOKUP(E38,'Inventaire des produits'!$B$4:$J$1000,5,FALSE),"")</f>
        <v>0</v>
      </c>
      <c r="L38" s="301">
        <f>IFERROR(VLOOKUP(E38,'Inventaire des produits'!$B$4:$J$1000,6,FALSE),"")</f>
        <v>2.9169999999999998</v>
      </c>
      <c r="M38" s="51"/>
    </row>
    <row r="39" spans="2:13" x14ac:dyDescent="0.3">
      <c r="B39" s="378" t="s">
        <v>1704</v>
      </c>
      <c r="C39" s="341"/>
      <c r="D39" s="338"/>
      <c r="E39" s="235" t="s">
        <v>260</v>
      </c>
      <c r="F39" s="271" t="str">
        <f>IFERROR(VLOOKUP(E39,'Inventaire des produits'!$B$4:$K$1000,2,0),"")</f>
        <v>ROULEAU ALUMINIUM EXTRA PACK 200M</v>
      </c>
      <c r="G39" s="53">
        <v>17</v>
      </c>
      <c r="H39" s="77">
        <v>75.174000000000007</v>
      </c>
      <c r="I39" s="95">
        <f t="shared" si="0"/>
        <v>1277.9580000000001</v>
      </c>
      <c r="J39" s="95">
        <f t="shared" si="1"/>
        <v>1533.5496000000001</v>
      </c>
      <c r="K39" s="93">
        <f>IFERROR(VLOOKUP(E39,'Inventaire des produits'!$B$4:$J$1000,5,FALSE),"")</f>
        <v>0</v>
      </c>
      <c r="L39" s="301">
        <f>IFERROR(VLOOKUP(E39,'Inventaire des produits'!$B$4:$J$1000,6,FALSE),"")</f>
        <v>48.631666666699999</v>
      </c>
      <c r="M39" s="51"/>
    </row>
    <row r="40" spans="2:13" x14ac:dyDescent="0.3">
      <c r="B40" s="378" t="s">
        <v>1704</v>
      </c>
      <c r="C40" s="342"/>
      <c r="D40" s="339"/>
      <c r="E40" s="235" t="s">
        <v>133</v>
      </c>
      <c r="F40" s="271" t="str">
        <f>IFERROR(VLOOKUP(E40,'Inventaire des produits'!$B$4:$K$1000,2,0),"")</f>
        <v>BOL EN CARTON BLANC AVEC CVL 12OZ</v>
      </c>
      <c r="G40" s="53">
        <v>800</v>
      </c>
      <c r="H40" s="77">
        <v>2.42</v>
      </c>
      <c r="I40" s="95">
        <f t="shared" si="0"/>
        <v>1936</v>
      </c>
      <c r="J40" s="95">
        <f t="shared" si="1"/>
        <v>2323.1999999999998</v>
      </c>
      <c r="K40" s="93">
        <f>IFERROR(VLOOKUP(E40,'Inventaire des produits'!$B$4:$J$1000,5,FALSE),"")</f>
        <v>0</v>
      </c>
      <c r="L40" s="301">
        <f>IFERROR(VLOOKUP(E40,'Inventaire des produits'!$B$4:$J$1000,6,FALSE),"")</f>
        <v>1.7090000000000001</v>
      </c>
      <c r="M40" s="51"/>
    </row>
    <row r="41" spans="2:13" x14ac:dyDescent="0.3">
      <c r="B41" s="378" t="s">
        <v>1704</v>
      </c>
      <c r="C41" s="55">
        <v>45306</v>
      </c>
      <c r="D41" s="54" t="s">
        <v>352</v>
      </c>
      <c r="E41" s="235" t="s">
        <v>63</v>
      </c>
      <c r="F41" s="271" t="str">
        <f>IFERROR(VLOOKUP(E41,'Inventaire des produits'!$B$4:$K$1000,2,0),"")</f>
        <v>SERVIETTE</v>
      </c>
      <c r="G41" s="50">
        <v>100</v>
      </c>
      <c r="H41" s="76">
        <v>4</v>
      </c>
      <c r="I41" s="95">
        <f t="shared" si="0"/>
        <v>400</v>
      </c>
      <c r="J41" s="95">
        <f t="shared" si="1"/>
        <v>480</v>
      </c>
      <c r="K41" s="93">
        <f>IFERROR(VLOOKUP(E41,'Inventaire des produits'!$B$4:$J$1000,5,FALSE),"")</f>
        <v>0</v>
      </c>
      <c r="L41" s="301">
        <f>IFERROR(VLOOKUP(E41,'Inventaire des produits'!$B$4:$J$1000,6,FALSE),"")</f>
        <v>2.4166666666999999</v>
      </c>
      <c r="M41" s="51">
        <v>480</v>
      </c>
    </row>
    <row r="42" spans="2:13" x14ac:dyDescent="0.3">
      <c r="B42" s="378" t="s">
        <v>1704</v>
      </c>
      <c r="C42" s="340">
        <v>45306</v>
      </c>
      <c r="D42" s="337" t="s">
        <v>353</v>
      </c>
      <c r="E42" s="235" t="s">
        <v>222</v>
      </c>
      <c r="F42" s="271" t="str">
        <f>IFERROR(VLOOKUP(E42,'Inventaire des produits'!$B$4:$K$1000,2,0),"")</f>
        <v>FILM ALIMENTAIRE ELEGENCE</v>
      </c>
      <c r="G42" s="50">
        <v>69</v>
      </c>
      <c r="H42" s="76">
        <v>29.167000000000002</v>
      </c>
      <c r="I42" s="95">
        <f t="shared" si="0"/>
        <v>2012.5230000000001</v>
      </c>
      <c r="J42" s="95">
        <f t="shared" si="1"/>
        <v>2415.0275999999999</v>
      </c>
      <c r="K42" s="93">
        <f>IFERROR(VLOOKUP(E42,'Inventaire des produits'!$B$4:$J$1000,5,FALSE),"")</f>
        <v>0</v>
      </c>
      <c r="L42" s="301">
        <f>IFERROR(VLOOKUP(E42,'Inventaire des produits'!$B$4:$J$1000,6,FALSE),"")</f>
        <v>20</v>
      </c>
      <c r="M42" s="51">
        <v>15111.97</v>
      </c>
    </row>
    <row r="43" spans="2:13" x14ac:dyDescent="0.3">
      <c r="B43" s="378" t="s">
        <v>1704</v>
      </c>
      <c r="C43" s="341"/>
      <c r="D43" s="338"/>
      <c r="E43" s="235" t="s">
        <v>252</v>
      </c>
      <c r="F43" s="271" t="str">
        <f>IFERROR(VLOOKUP(E43,'Inventaire des produits'!$B$4:$K$1000,2,0),"")</f>
        <v>ESSUIE MAIN GKEM1KG</v>
      </c>
      <c r="G43" s="53">
        <v>50</v>
      </c>
      <c r="H43" s="77">
        <v>30</v>
      </c>
      <c r="I43" s="95">
        <f t="shared" si="0"/>
        <v>1500</v>
      </c>
      <c r="J43" s="95">
        <f t="shared" si="1"/>
        <v>1800</v>
      </c>
      <c r="K43" s="93">
        <f>IFERROR(VLOOKUP(E43,'Inventaire des produits'!$B$4:$J$1000,5,FALSE),"")</f>
        <v>0</v>
      </c>
      <c r="L43" s="301">
        <f>IFERROR(VLOOKUP(E43,'Inventaire des produits'!$B$4:$J$1000,6,FALSE),"")</f>
        <v>20.83</v>
      </c>
      <c r="M43" s="51"/>
    </row>
    <row r="44" spans="2:13" x14ac:dyDescent="0.3">
      <c r="B44" s="378" t="s">
        <v>1704</v>
      </c>
      <c r="C44" s="341"/>
      <c r="D44" s="338"/>
      <c r="E44" s="235" t="s">
        <v>344</v>
      </c>
      <c r="F44" s="271" t="str">
        <f>IFERROR(VLOOKUP(E44,'Inventaire des produits'!$B$4:$K$1000,2,0),"")</f>
        <v>GANT VINYL EXTRA PREMIUM GLOVE LARGE</v>
      </c>
      <c r="G44" s="53">
        <v>50</v>
      </c>
      <c r="H44" s="77">
        <v>41.679000000000002</v>
      </c>
      <c r="I44" s="95">
        <f t="shared" si="0"/>
        <v>2083.9500000000003</v>
      </c>
      <c r="J44" s="95">
        <f t="shared" si="1"/>
        <v>2500.7400000000002</v>
      </c>
      <c r="K44" s="93">
        <f>IFERROR(VLOOKUP(E44,'Inventaire des produits'!$B$4:$J$1000,5,FALSE),"")</f>
        <v>0</v>
      </c>
      <c r="L44" s="301">
        <f>IFERROR(VLOOKUP(E44,'Inventaire des produits'!$B$4:$J$1000,6,FALSE),"")</f>
        <v>20.833333333300001</v>
      </c>
      <c r="M44" s="51"/>
    </row>
    <row r="45" spans="2:13" x14ac:dyDescent="0.3">
      <c r="B45" s="378" t="s">
        <v>1704</v>
      </c>
      <c r="C45" s="341"/>
      <c r="D45" s="338"/>
      <c r="E45" s="235" t="s">
        <v>280</v>
      </c>
      <c r="F45" s="271" t="str">
        <f>IFERROR(VLOOKUP(E45,'Inventaire des produits'!$B$4:$K$1000,2,0),"")</f>
        <v>BARQUETTE ALUMINIUM 250</v>
      </c>
      <c r="G45" s="53">
        <v>1000</v>
      </c>
      <c r="H45" s="77">
        <v>0.5</v>
      </c>
      <c r="I45" s="95">
        <f t="shared" si="0"/>
        <v>500</v>
      </c>
      <c r="J45" s="95">
        <f t="shared" si="1"/>
        <v>600</v>
      </c>
      <c r="K45" s="93">
        <f>IFERROR(VLOOKUP(E45,'Inventaire des produits'!$B$4:$J$1000,5,FALSE),"")</f>
        <v>0</v>
      </c>
      <c r="L45" s="301">
        <f>IFERROR(VLOOKUP(E45,'Inventaire des produits'!$B$4:$J$1000,6,FALSE),"")</f>
        <v>0.24167</v>
      </c>
      <c r="M45" s="51"/>
    </row>
    <row r="46" spans="2:13" x14ac:dyDescent="0.3">
      <c r="B46" s="378" t="s">
        <v>1704</v>
      </c>
      <c r="C46" s="341"/>
      <c r="D46" s="338"/>
      <c r="E46" s="235" t="s">
        <v>254</v>
      </c>
      <c r="F46" s="271" t="str">
        <f>IFERROR(VLOOKUP(E46,'Inventaire des produits'!$B$4:$K$1000,2,0),"")</f>
        <v>POT DE SAUCE 1OZ 30ML</v>
      </c>
      <c r="G46" s="53">
        <v>10200</v>
      </c>
      <c r="H46" s="77">
        <v>0.17699999999999999</v>
      </c>
      <c r="I46" s="95">
        <f t="shared" si="0"/>
        <v>1805.3999999999999</v>
      </c>
      <c r="J46" s="95">
        <f t="shared" si="1"/>
        <v>2166.4799999999996</v>
      </c>
      <c r="K46" s="93">
        <f>IFERROR(VLOOKUP(E46,'Inventaire des produits'!$B$4:$J$1000,5,FALSE),"")</f>
        <v>0</v>
      </c>
      <c r="L46" s="301">
        <f>IFERROR(VLOOKUP(E46,'Inventaire des produits'!$B$4:$J$1000,6,FALSE),"")</f>
        <v>0.13500000000000001</v>
      </c>
      <c r="M46" s="51"/>
    </row>
    <row r="47" spans="2:13" x14ac:dyDescent="0.3">
      <c r="B47" s="378" t="s">
        <v>1704</v>
      </c>
      <c r="C47" s="341"/>
      <c r="D47" s="338"/>
      <c r="E47" s="235" t="s">
        <v>319</v>
      </c>
      <c r="F47" s="271" t="str">
        <f>IFERROR(VLOOKUP(E47,'Inventaire des produits'!$B$4:$K$1000,2,0),"")</f>
        <v>FOURCHETTE ECOLUXE TRANSPARENTE</v>
      </c>
      <c r="G47" s="53">
        <v>60</v>
      </c>
      <c r="H47" s="77">
        <v>21.52</v>
      </c>
      <c r="I47" s="95">
        <f t="shared" si="0"/>
        <v>1291.2</v>
      </c>
      <c r="J47" s="95">
        <f t="shared" si="1"/>
        <v>1549.44</v>
      </c>
      <c r="K47" s="93">
        <f>IFERROR(VLOOKUP(E47,'Inventaire des produits'!$B$4:$J$1000,5,FALSE),"")</f>
        <v>0</v>
      </c>
      <c r="L47" s="301">
        <f>IFERROR(VLOOKUP(E47,'Inventaire des produits'!$B$4:$J$1000,6,FALSE),"")</f>
        <v>17.5</v>
      </c>
      <c r="M47" s="51"/>
    </row>
    <row r="48" spans="2:13" x14ac:dyDescent="0.3">
      <c r="B48" s="378" t="s">
        <v>1704</v>
      </c>
      <c r="C48" s="341"/>
      <c r="D48" s="338"/>
      <c r="E48" s="235" t="s">
        <v>341</v>
      </c>
      <c r="F48" s="271" t="str">
        <f>IFERROR(VLOOKUP(E48,'Inventaire des produits'!$B$4:$K$1000,2,0),"")</f>
        <v>ROULEAU ALUMINIUM GOLDEN 200M</v>
      </c>
      <c r="G48" s="53">
        <v>30</v>
      </c>
      <c r="H48" s="77">
        <v>73.341300000000004</v>
      </c>
      <c r="I48" s="95">
        <f t="shared" si="0"/>
        <v>2200.239</v>
      </c>
      <c r="J48" s="95">
        <f t="shared" si="1"/>
        <v>2640.2867999999999</v>
      </c>
      <c r="K48" s="93">
        <f>IFERROR(VLOOKUP(E48,'Inventaire des produits'!$B$4:$J$1000,5,FALSE),"")</f>
        <v>0</v>
      </c>
      <c r="L48" s="301">
        <f>IFERROR(VLOOKUP(E48,'Inventaire des produits'!$B$4:$J$1000,6,FALSE),"")</f>
        <v>57.5</v>
      </c>
      <c r="M48" s="51"/>
    </row>
    <row r="49" spans="2:13" x14ac:dyDescent="0.3">
      <c r="B49" s="378" t="s">
        <v>1704</v>
      </c>
      <c r="C49" s="342"/>
      <c r="D49" s="339"/>
      <c r="E49" s="235" t="s">
        <v>127</v>
      </c>
      <c r="F49" s="271" t="str">
        <f>IFERROR(VLOOKUP(E49,'Inventaire des produits'!$B$4:$K$1000,2,0),"")</f>
        <v>SERVIETTE DE TABLE SEVAN 1PLI</v>
      </c>
      <c r="G49" s="53">
        <v>300</v>
      </c>
      <c r="H49" s="77">
        <v>4</v>
      </c>
      <c r="I49" s="95">
        <f t="shared" si="0"/>
        <v>1200</v>
      </c>
      <c r="J49" s="95">
        <f t="shared" si="1"/>
        <v>1440</v>
      </c>
      <c r="K49" s="93">
        <f>IFERROR(VLOOKUP(E49,'Inventaire des produits'!$B$4:$J$1000,5,FALSE),"")</f>
        <v>0</v>
      </c>
      <c r="L49" s="301">
        <f>IFERROR(VLOOKUP(E49,'Inventaire des produits'!$B$4:$J$1000,6,FALSE),"")</f>
        <v>2.9169999999999998</v>
      </c>
      <c r="M49" s="51"/>
    </row>
    <row r="50" spans="2:13" x14ac:dyDescent="0.3">
      <c r="B50" s="378" t="s">
        <v>1704</v>
      </c>
      <c r="C50" s="340">
        <v>45306</v>
      </c>
      <c r="D50" s="337" t="s">
        <v>354</v>
      </c>
      <c r="E50" s="235" t="s">
        <v>222</v>
      </c>
      <c r="F50" s="271" t="str">
        <f>IFERROR(VLOOKUP(E50,'Inventaire des produits'!$B$4:$K$1000,2,0),"")</f>
        <v>FILM ALIMENTAIRE ELEGENCE</v>
      </c>
      <c r="G50" s="50">
        <v>69</v>
      </c>
      <c r="H50" s="76">
        <v>29.167000000000002</v>
      </c>
      <c r="I50" s="95">
        <f t="shared" si="0"/>
        <v>2012.5230000000001</v>
      </c>
      <c r="J50" s="95">
        <f t="shared" si="1"/>
        <v>2415.0275999999999</v>
      </c>
      <c r="K50" s="93">
        <f>IFERROR(VLOOKUP(E50,'Inventaire des produits'!$B$4:$J$1000,5,FALSE),"")</f>
        <v>0</v>
      </c>
      <c r="L50" s="301">
        <f>IFERROR(VLOOKUP(E50,'Inventaire des produits'!$B$4:$J$1000,6,FALSE),"")</f>
        <v>20</v>
      </c>
      <c r="M50" s="51">
        <v>15110</v>
      </c>
    </row>
    <row r="51" spans="2:13" x14ac:dyDescent="0.3">
      <c r="B51" s="378" t="s">
        <v>1704</v>
      </c>
      <c r="C51" s="341"/>
      <c r="D51" s="338"/>
      <c r="E51" s="235" t="s">
        <v>252</v>
      </c>
      <c r="F51" s="271" t="str">
        <f>IFERROR(VLOOKUP(E51,'Inventaire des produits'!$B$4:$K$1000,2,0),"")</f>
        <v>ESSUIE MAIN GKEM1KG</v>
      </c>
      <c r="G51" s="53">
        <v>50</v>
      </c>
      <c r="H51" s="77">
        <v>30</v>
      </c>
      <c r="I51" s="95">
        <f t="shared" si="0"/>
        <v>1500</v>
      </c>
      <c r="J51" s="95">
        <f t="shared" si="1"/>
        <v>1800</v>
      </c>
      <c r="K51" s="93">
        <f>IFERROR(VLOOKUP(E51,'Inventaire des produits'!$B$4:$J$1000,5,FALSE),"")</f>
        <v>0</v>
      </c>
      <c r="L51" s="301">
        <f>IFERROR(VLOOKUP(E51,'Inventaire des produits'!$B$4:$J$1000,6,FALSE),"")</f>
        <v>20.83</v>
      </c>
      <c r="M51" s="51"/>
    </row>
    <row r="52" spans="2:13" x14ac:dyDescent="0.3">
      <c r="B52" s="378" t="s">
        <v>1704</v>
      </c>
      <c r="C52" s="341"/>
      <c r="D52" s="338"/>
      <c r="E52" s="235" t="s">
        <v>344</v>
      </c>
      <c r="F52" s="271" t="str">
        <f>IFERROR(VLOOKUP(E52,'Inventaire des produits'!$B$4:$K$1000,2,0),"")</f>
        <v>GANT VINYL EXTRA PREMIUM GLOVE LARGE</v>
      </c>
      <c r="G52" s="53">
        <v>50</v>
      </c>
      <c r="H52" s="77">
        <v>41.679000000000002</v>
      </c>
      <c r="I52" s="95">
        <f t="shared" si="0"/>
        <v>2083.9500000000003</v>
      </c>
      <c r="J52" s="95">
        <f t="shared" si="1"/>
        <v>2500.7400000000002</v>
      </c>
      <c r="K52" s="93">
        <f>IFERROR(VLOOKUP(E52,'Inventaire des produits'!$B$4:$J$1000,5,FALSE),"")</f>
        <v>0</v>
      </c>
      <c r="L52" s="301">
        <f>IFERROR(VLOOKUP(E52,'Inventaire des produits'!$B$4:$J$1000,6,FALSE),"")</f>
        <v>20.833333333300001</v>
      </c>
      <c r="M52" s="51"/>
    </row>
    <row r="53" spans="2:13" x14ac:dyDescent="0.3">
      <c r="B53" s="378" t="s">
        <v>1704</v>
      </c>
      <c r="C53" s="341"/>
      <c r="D53" s="338"/>
      <c r="E53" s="235" t="s">
        <v>280</v>
      </c>
      <c r="F53" s="271" t="str">
        <f>IFERROR(VLOOKUP(E53,'Inventaire des produits'!$B$4:$K$1000,2,0),"")</f>
        <v>BARQUETTE ALUMINIUM 250</v>
      </c>
      <c r="G53" s="53">
        <v>1000</v>
      </c>
      <c r="H53" s="77">
        <v>0.5</v>
      </c>
      <c r="I53" s="95">
        <f t="shared" si="0"/>
        <v>500</v>
      </c>
      <c r="J53" s="95">
        <f t="shared" si="1"/>
        <v>600</v>
      </c>
      <c r="K53" s="93">
        <f>IFERROR(VLOOKUP(E53,'Inventaire des produits'!$B$4:$J$1000,5,FALSE),"")</f>
        <v>0</v>
      </c>
      <c r="L53" s="301">
        <f>IFERROR(VLOOKUP(E53,'Inventaire des produits'!$B$4:$J$1000,6,FALSE),"")</f>
        <v>0.24167</v>
      </c>
      <c r="M53" s="51"/>
    </row>
    <row r="54" spans="2:13" x14ac:dyDescent="0.3">
      <c r="B54" s="378" t="s">
        <v>1704</v>
      </c>
      <c r="C54" s="341"/>
      <c r="D54" s="338"/>
      <c r="E54" s="235" t="s">
        <v>254</v>
      </c>
      <c r="F54" s="271" t="str">
        <f>IFERROR(VLOOKUP(E54,'Inventaire des produits'!$B$4:$K$1000,2,0),"")</f>
        <v>POT DE SAUCE 1OZ 30ML</v>
      </c>
      <c r="G54" s="53">
        <v>10200</v>
      </c>
      <c r="H54" s="77">
        <v>0.17699999999999999</v>
      </c>
      <c r="I54" s="95">
        <f t="shared" si="0"/>
        <v>1805.3999999999999</v>
      </c>
      <c r="J54" s="95">
        <f t="shared" si="1"/>
        <v>2166.4799999999996</v>
      </c>
      <c r="K54" s="93">
        <f>IFERROR(VLOOKUP(E54,'Inventaire des produits'!$B$4:$J$1000,5,FALSE),"")</f>
        <v>0</v>
      </c>
      <c r="L54" s="301">
        <f>IFERROR(VLOOKUP(E54,'Inventaire des produits'!$B$4:$J$1000,6,FALSE),"")</f>
        <v>0.13500000000000001</v>
      </c>
      <c r="M54" s="51"/>
    </row>
    <row r="55" spans="2:13" x14ac:dyDescent="0.3">
      <c r="B55" s="378" t="s">
        <v>1704</v>
      </c>
      <c r="C55" s="341"/>
      <c r="D55" s="338"/>
      <c r="E55" s="235" t="s">
        <v>319</v>
      </c>
      <c r="F55" s="271" t="str">
        <f>IFERROR(VLOOKUP(E55,'Inventaire des produits'!$B$4:$K$1000,2,0),"")</f>
        <v>FOURCHETTE ECOLUXE TRANSPARENTE</v>
      </c>
      <c r="G55" s="53">
        <v>60</v>
      </c>
      <c r="H55" s="77">
        <v>21.488199999999999</v>
      </c>
      <c r="I55" s="95">
        <f t="shared" si="0"/>
        <v>1289.2919999999999</v>
      </c>
      <c r="J55" s="95">
        <f t="shared" si="1"/>
        <v>1547.1503999999998</v>
      </c>
      <c r="K55" s="93">
        <f>IFERROR(VLOOKUP(E55,'Inventaire des produits'!$B$4:$J$1000,5,FALSE),"")</f>
        <v>0</v>
      </c>
      <c r="L55" s="301">
        <f>IFERROR(VLOOKUP(E55,'Inventaire des produits'!$B$4:$J$1000,6,FALSE),"")</f>
        <v>17.5</v>
      </c>
      <c r="M55" s="51"/>
    </row>
    <row r="56" spans="2:13" x14ac:dyDescent="0.3">
      <c r="B56" s="378" t="s">
        <v>1704</v>
      </c>
      <c r="C56" s="341"/>
      <c r="D56" s="338"/>
      <c r="E56" s="235" t="s">
        <v>341</v>
      </c>
      <c r="F56" s="271" t="str">
        <f>IFERROR(VLOOKUP(E56,'Inventaire des produits'!$B$4:$K$1000,2,0),"")</f>
        <v>ROULEAU ALUMINIUM GOLDEN 200M</v>
      </c>
      <c r="G56" s="53">
        <v>30</v>
      </c>
      <c r="H56" s="77">
        <v>73.349999999999994</v>
      </c>
      <c r="I56" s="95">
        <f t="shared" si="0"/>
        <v>2200.5</v>
      </c>
      <c r="J56" s="95">
        <f t="shared" si="1"/>
        <v>2640.6</v>
      </c>
      <c r="K56" s="93">
        <f>IFERROR(VLOOKUP(E56,'Inventaire des produits'!$B$4:$J$1000,5,FALSE),"")</f>
        <v>0</v>
      </c>
      <c r="L56" s="301">
        <f>IFERROR(VLOOKUP(E56,'Inventaire des produits'!$B$4:$J$1000,6,FALSE),"")</f>
        <v>57.5</v>
      </c>
      <c r="M56" s="51"/>
    </row>
    <row r="57" spans="2:13" x14ac:dyDescent="0.3">
      <c r="B57" s="378" t="s">
        <v>1704</v>
      </c>
      <c r="C57" s="342"/>
      <c r="D57" s="339"/>
      <c r="E57" s="235" t="s">
        <v>127</v>
      </c>
      <c r="F57" s="271" t="str">
        <f>IFERROR(VLOOKUP(E57,'Inventaire des produits'!$B$4:$K$1000,2,0),"")</f>
        <v>SERVIETTE DE TABLE SEVAN 1PLI</v>
      </c>
      <c r="G57" s="53">
        <v>300</v>
      </c>
      <c r="H57" s="77">
        <v>4</v>
      </c>
      <c r="I57" s="95">
        <f t="shared" si="0"/>
        <v>1200</v>
      </c>
      <c r="J57" s="95">
        <f t="shared" si="1"/>
        <v>1440</v>
      </c>
      <c r="K57" s="93">
        <f>IFERROR(VLOOKUP(E57,'Inventaire des produits'!$B$4:$J$1000,5,FALSE),"")</f>
        <v>0</v>
      </c>
      <c r="L57" s="301">
        <f>IFERROR(VLOOKUP(E57,'Inventaire des produits'!$B$4:$J$1000,6,FALSE),"")</f>
        <v>2.9169999999999998</v>
      </c>
      <c r="M57" s="51"/>
    </row>
    <row r="58" spans="2:13" x14ac:dyDescent="0.3">
      <c r="B58" s="378" t="s">
        <v>1704</v>
      </c>
      <c r="C58" s="340">
        <v>45306</v>
      </c>
      <c r="D58" s="337" t="s">
        <v>355</v>
      </c>
      <c r="E58" s="235" t="s">
        <v>222</v>
      </c>
      <c r="F58" s="271" t="str">
        <f>IFERROR(VLOOKUP(E58,'Inventaire des produits'!$B$4:$K$1000,2,0),"")</f>
        <v>FILM ALIMENTAIRE ELEGENCE</v>
      </c>
      <c r="G58" s="50">
        <v>15</v>
      </c>
      <c r="H58" s="76">
        <v>29.222000000000001</v>
      </c>
      <c r="I58" s="95">
        <f t="shared" si="0"/>
        <v>438.33000000000004</v>
      </c>
      <c r="J58" s="95">
        <f t="shared" si="1"/>
        <v>525.99599999999998</v>
      </c>
      <c r="K58" s="93">
        <f>IFERROR(VLOOKUP(E58,'Inventaire des produits'!$B$4:$J$1000,5,FALSE),"")</f>
        <v>0</v>
      </c>
      <c r="L58" s="301">
        <f>IFERROR(VLOOKUP(E58,'Inventaire des produits'!$B$4:$J$1000,6,FALSE),"")</f>
        <v>20</v>
      </c>
      <c r="M58" s="51">
        <v>1504</v>
      </c>
    </row>
    <row r="59" spans="2:13" x14ac:dyDescent="0.3">
      <c r="B59" s="378" t="s">
        <v>1704</v>
      </c>
      <c r="C59" s="341"/>
      <c r="D59" s="338"/>
      <c r="E59" s="235" t="s">
        <v>252</v>
      </c>
      <c r="F59" s="271" t="str">
        <f>IFERROR(VLOOKUP(E59,'Inventaire des produits'!$B$4:$K$1000,2,0),"")</f>
        <v>ESSUIE MAIN GKEM1KG</v>
      </c>
      <c r="G59" s="53">
        <v>13</v>
      </c>
      <c r="H59" s="77">
        <v>30</v>
      </c>
      <c r="I59" s="95">
        <f t="shared" si="0"/>
        <v>390</v>
      </c>
      <c r="J59" s="95">
        <f t="shared" si="1"/>
        <v>468</v>
      </c>
      <c r="K59" s="93">
        <f>IFERROR(VLOOKUP(E59,'Inventaire des produits'!$B$4:$J$1000,5,FALSE),"")</f>
        <v>0</v>
      </c>
      <c r="L59" s="301">
        <f>IFERROR(VLOOKUP(E59,'Inventaire des produits'!$B$4:$J$1000,6,FALSE),"")</f>
        <v>20.83</v>
      </c>
      <c r="M59" s="51"/>
    </row>
    <row r="60" spans="2:13" x14ac:dyDescent="0.3">
      <c r="B60" s="378" t="s">
        <v>1704</v>
      </c>
      <c r="C60" s="342"/>
      <c r="D60" s="339"/>
      <c r="E60" s="235" t="s">
        <v>53</v>
      </c>
      <c r="F60" s="271" t="str">
        <f>IFERROR(VLOOKUP(E60,'Inventaire des produits'!$B$4:$K$1000,2,0),"")</f>
        <v>GANT VINYL EXTRA PREMIUM GLOVE MEDIUM</v>
      </c>
      <c r="G60" s="53">
        <v>10</v>
      </c>
      <c r="H60" s="77">
        <v>42.5</v>
      </c>
      <c r="I60" s="95">
        <f t="shared" si="0"/>
        <v>425</v>
      </c>
      <c r="J60" s="95">
        <f t="shared" si="1"/>
        <v>510</v>
      </c>
      <c r="K60" s="93">
        <f>IFERROR(VLOOKUP(E60,'Inventaire des produits'!$B$4:$J$1000,5,FALSE),"")</f>
        <v>0</v>
      </c>
      <c r="L60" s="301">
        <f>IFERROR(VLOOKUP(E60,'Inventaire des produits'!$B$4:$J$1000,6,FALSE),"")</f>
        <v>24.593333333299999</v>
      </c>
      <c r="M60" s="51"/>
    </row>
    <row r="61" spans="2:13" x14ac:dyDescent="0.3">
      <c r="B61" s="378" t="s">
        <v>1704</v>
      </c>
      <c r="C61" s="340">
        <v>45306</v>
      </c>
      <c r="D61" s="337" t="s">
        <v>356</v>
      </c>
      <c r="E61" s="235" t="s">
        <v>342</v>
      </c>
      <c r="F61" s="271" t="str">
        <f>IFERROR(VLOOKUP(E61,'Inventaire des produits'!$B$4:$K$1000,2,0),"")</f>
        <v>GANT VINYL NOIR EXTRA PREMIUM GLOVE MEDIUM</v>
      </c>
      <c r="G61" s="50">
        <v>20</v>
      </c>
      <c r="H61" s="76">
        <v>33.332999999999998</v>
      </c>
      <c r="I61" s="95">
        <f t="shared" si="0"/>
        <v>666.66</v>
      </c>
      <c r="J61" s="95">
        <f t="shared" si="1"/>
        <v>799.99199999999996</v>
      </c>
      <c r="K61" s="93">
        <f>IFERROR(VLOOKUP(E61,'Inventaire des produits'!$B$4:$J$1000,5,FALSE),"")</f>
        <v>0</v>
      </c>
      <c r="L61" s="301">
        <f>IFERROR(VLOOKUP(E61,'Inventaire des produits'!$B$4:$J$1000,6,FALSE),"")</f>
        <v>22.5</v>
      </c>
      <c r="M61" s="51">
        <v>11144.36</v>
      </c>
    </row>
    <row r="62" spans="2:13" x14ac:dyDescent="0.3">
      <c r="B62" s="378" t="s">
        <v>1704</v>
      </c>
      <c r="C62" s="341"/>
      <c r="D62" s="338"/>
      <c r="E62" s="235" t="s">
        <v>322</v>
      </c>
      <c r="F62" s="271" t="str">
        <f>IFERROR(VLOOKUP(E62,'Inventaire des produits'!$B$4:$K$1000,2,0),"")</f>
        <v>POT DE SAUCE 1OZ 30ML HP</v>
      </c>
      <c r="G62" s="53">
        <v>8000</v>
      </c>
      <c r="H62" s="77">
        <v>0.159</v>
      </c>
      <c r="I62" s="95">
        <f t="shared" si="0"/>
        <v>1272</v>
      </c>
      <c r="J62" s="95">
        <f t="shared" si="1"/>
        <v>1526.3999999999999</v>
      </c>
      <c r="K62" s="93">
        <f>IFERROR(VLOOKUP(E62,'Inventaire des produits'!$B$4:$J$1000,5,FALSE),"")</f>
        <v>0</v>
      </c>
      <c r="L62" s="301">
        <f>IFERROR(VLOOKUP(E62,'Inventaire des produits'!$B$4:$J$1000,6,FALSE),"")</f>
        <v>0.13500000000000001</v>
      </c>
      <c r="M62" s="51"/>
    </row>
    <row r="63" spans="2:13" x14ac:dyDescent="0.3">
      <c r="B63" s="378" t="s">
        <v>1704</v>
      </c>
      <c r="C63" s="341"/>
      <c r="D63" s="338"/>
      <c r="E63" s="235" t="s">
        <v>240</v>
      </c>
      <c r="F63" s="271" t="str">
        <f>IFERROR(VLOOKUP(E63,'Inventaire des produits'!$B$4:$K$1000,2,0),"")</f>
        <v>BARQUETTE ALUMINIUM 83420</v>
      </c>
      <c r="G63" s="53">
        <v>2000</v>
      </c>
      <c r="H63" s="77">
        <v>0.45</v>
      </c>
      <c r="I63" s="95">
        <f t="shared" si="0"/>
        <v>900</v>
      </c>
      <c r="J63" s="95">
        <f t="shared" si="1"/>
        <v>1080</v>
      </c>
      <c r="K63" s="93">
        <f>IFERROR(VLOOKUP(E63,'Inventaire des produits'!$B$4:$J$1000,5,FALSE),"")</f>
        <v>0</v>
      </c>
      <c r="L63" s="301">
        <f>IFERROR(VLOOKUP(E63,'Inventaire des produits'!$B$4:$J$1000,6,FALSE),"")</f>
        <v>0.32</v>
      </c>
      <c r="M63" s="51"/>
    </row>
    <row r="64" spans="2:13" x14ac:dyDescent="0.3">
      <c r="B64" s="378" t="s">
        <v>1704</v>
      </c>
      <c r="C64" s="341"/>
      <c r="D64" s="338"/>
      <c r="E64" s="235" t="s">
        <v>286</v>
      </c>
      <c r="F64" s="271" t="str">
        <f>IFERROR(VLOOKUP(E64,'Inventaire des produits'!$B$4:$K$1000,2,0),"")</f>
        <v>ROULEAU ALUMINIUM 200</v>
      </c>
      <c r="G64" s="53">
        <v>36</v>
      </c>
      <c r="H64" s="77">
        <v>66.2</v>
      </c>
      <c r="I64" s="95">
        <f t="shared" si="0"/>
        <v>2383.2000000000003</v>
      </c>
      <c r="J64" s="95">
        <f t="shared" si="1"/>
        <v>2859.84</v>
      </c>
      <c r="K64" s="93">
        <f>IFERROR(VLOOKUP(E64,'Inventaire des produits'!$B$4:$J$1000,5,FALSE),"")</f>
        <v>0</v>
      </c>
      <c r="L64" s="301">
        <f>IFERROR(VLOOKUP(E64,'Inventaire des produits'!$B$4:$J$1000,6,FALSE),"")</f>
        <v>60</v>
      </c>
      <c r="M64" s="51"/>
    </row>
    <row r="65" spans="2:13" x14ac:dyDescent="0.3">
      <c r="B65" s="378" t="s">
        <v>1704</v>
      </c>
      <c r="C65" s="341"/>
      <c r="D65" s="338"/>
      <c r="E65" s="235" t="s">
        <v>203</v>
      </c>
      <c r="F65" s="271" t="str">
        <f>IFERROR(VLOOKUP(E65,'Inventaire des produits'!$B$4:$K$1000,2,0),"")</f>
        <v>BARQUETTE ALUMINIUM 81200</v>
      </c>
      <c r="G65" s="53">
        <v>800</v>
      </c>
      <c r="H65" s="77">
        <v>0.93</v>
      </c>
      <c r="I65" s="95">
        <f t="shared" si="0"/>
        <v>744</v>
      </c>
      <c r="J65" s="95">
        <f t="shared" si="1"/>
        <v>892.8</v>
      </c>
      <c r="K65" s="93">
        <f>IFERROR(VLOOKUP(E65,'Inventaire des produits'!$B$4:$J$1000,5,FALSE),"")</f>
        <v>0</v>
      </c>
      <c r="L65" s="301">
        <f>IFERROR(VLOOKUP(E65,'Inventaire des produits'!$B$4:$J$1000,6,FALSE),"")</f>
        <v>1</v>
      </c>
      <c r="M65" s="51"/>
    </row>
    <row r="66" spans="2:13" x14ac:dyDescent="0.3">
      <c r="B66" s="378" t="s">
        <v>1704</v>
      </c>
      <c r="C66" s="341"/>
      <c r="D66" s="338"/>
      <c r="E66" s="235" t="s">
        <v>222</v>
      </c>
      <c r="F66" s="271" t="str">
        <f>IFERROR(VLOOKUP(E66,'Inventaire des produits'!$B$4:$K$1000,2,0),"")</f>
        <v>FILM ALIMENTAIRE ELEGENCE</v>
      </c>
      <c r="G66" s="53">
        <v>36</v>
      </c>
      <c r="H66" s="77">
        <v>25</v>
      </c>
      <c r="I66" s="95">
        <f t="shared" si="0"/>
        <v>900</v>
      </c>
      <c r="J66" s="95">
        <f t="shared" si="1"/>
        <v>1080</v>
      </c>
      <c r="K66" s="93">
        <f>IFERROR(VLOOKUP(E66,'Inventaire des produits'!$B$4:$J$1000,5,FALSE),"")</f>
        <v>0</v>
      </c>
      <c r="L66" s="301">
        <f>IFERROR(VLOOKUP(E66,'Inventaire des produits'!$B$4:$J$1000,6,FALSE),"")</f>
        <v>20</v>
      </c>
      <c r="M66" s="51"/>
    </row>
    <row r="67" spans="2:13" x14ac:dyDescent="0.3">
      <c r="B67" s="378" t="s">
        <v>1704</v>
      </c>
      <c r="C67" s="341"/>
      <c r="D67" s="338"/>
      <c r="E67" s="235" t="s">
        <v>276</v>
      </c>
      <c r="F67" s="271" t="str">
        <f>IFERROR(VLOOKUP(E67,'Inventaire des produits'!$B$4:$K$1000,2,0),"")</f>
        <v xml:space="preserve">GOBLET 12OZ EN PLAST TRANS SMART+CV </v>
      </c>
      <c r="G67" s="53">
        <v>1</v>
      </c>
      <c r="H67" s="77">
        <v>483.11</v>
      </c>
      <c r="I67" s="95">
        <f t="shared" si="0"/>
        <v>483.11</v>
      </c>
      <c r="J67" s="95">
        <f t="shared" si="1"/>
        <v>579.73199999999997</v>
      </c>
      <c r="K67" s="93">
        <f>IFERROR(VLOOKUP(E67,'Inventaire des produits'!$B$4:$J$1000,5,FALSE),"")</f>
        <v>0</v>
      </c>
      <c r="L67" s="301">
        <f>IFERROR(VLOOKUP(E67,'Inventaire des produits'!$B$4:$J$1000,6,FALSE),"")</f>
        <v>408.33749999999998</v>
      </c>
      <c r="M67" s="51"/>
    </row>
    <row r="68" spans="2:13" x14ac:dyDescent="0.3">
      <c r="B68" s="378" t="s">
        <v>1704</v>
      </c>
      <c r="C68" s="341"/>
      <c r="D68" s="338"/>
      <c r="E68" s="235" t="s">
        <v>224</v>
      </c>
      <c r="F68" s="271" t="str">
        <f>IFERROR(VLOOKUP(E68,'Inventaire des produits'!$B$4:$K$1000,2,0),"")</f>
        <v>FOURCHETTE LUX</v>
      </c>
      <c r="G68" s="53">
        <v>20</v>
      </c>
      <c r="H68" s="77">
        <v>20.100000000000001</v>
      </c>
      <c r="I68" s="95">
        <f t="shared" si="0"/>
        <v>402</v>
      </c>
      <c r="J68" s="95">
        <f t="shared" si="1"/>
        <v>482.4</v>
      </c>
      <c r="K68" s="93">
        <f>IFERROR(VLOOKUP(E68,'Inventaire des produits'!$B$4:$J$1000,5,FALSE),"")</f>
        <v>0</v>
      </c>
      <c r="L68" s="301">
        <f>IFERROR(VLOOKUP(E68,'Inventaire des produits'!$B$4:$J$1000,6,FALSE),"")</f>
        <v>14.382</v>
      </c>
      <c r="M68" s="51"/>
    </row>
    <row r="69" spans="2:13" x14ac:dyDescent="0.3">
      <c r="B69" s="378" t="s">
        <v>1704</v>
      </c>
      <c r="C69" s="341"/>
      <c r="D69" s="338"/>
      <c r="E69" s="235" t="s">
        <v>226</v>
      </c>
      <c r="F69" s="271" t="str">
        <f>IFERROR(VLOOKUP(E69,'Inventaire des produits'!$B$4:$K$1000,2,0),"")</f>
        <v>CUILLERE LUX</v>
      </c>
      <c r="G69" s="53">
        <v>20</v>
      </c>
      <c r="H69" s="77">
        <v>20.100000000000001</v>
      </c>
      <c r="I69" s="95">
        <f t="shared" ref="I69:I132" si="2">IF(OR(G69="",H69=""),"",G69*H69)</f>
        <v>402</v>
      </c>
      <c r="J69" s="95">
        <f t="shared" ref="J69:J132" si="3">IF(OR(I69=""),"",I69*1.2)</f>
        <v>482.4</v>
      </c>
      <c r="K69" s="93">
        <f>IFERROR(VLOOKUP(E69,'Inventaire des produits'!$B$4:$J$1000,5,FALSE),"")</f>
        <v>0</v>
      </c>
      <c r="L69" s="301">
        <f>IFERROR(VLOOKUP(E69,'Inventaire des produits'!$B$4:$J$1000,6,FALSE),"")</f>
        <v>14.4</v>
      </c>
      <c r="M69" s="51"/>
    </row>
    <row r="70" spans="2:13" x14ac:dyDescent="0.3">
      <c r="B70" s="378" t="s">
        <v>1704</v>
      </c>
      <c r="C70" s="341"/>
      <c r="D70" s="338"/>
      <c r="E70" s="235" t="s">
        <v>339</v>
      </c>
      <c r="F70" s="271" t="str">
        <f>IFERROR(VLOOKUP(E70,'Inventaire des produits'!$B$4:$K$1000,2,0),"")</f>
        <v>BARQUETTE ALUMINIUM 81890 AVEC CVL</v>
      </c>
      <c r="G70" s="64">
        <v>1400</v>
      </c>
      <c r="H70" s="77">
        <v>0.81</v>
      </c>
      <c r="I70" s="95">
        <f t="shared" si="2"/>
        <v>1134</v>
      </c>
      <c r="J70" s="95">
        <f t="shared" si="3"/>
        <v>1360.8</v>
      </c>
      <c r="K70" s="93">
        <f>IFERROR(VLOOKUP(E70,'Inventaire des produits'!$B$4:$J$1000,5,FALSE),"")</f>
        <v>0</v>
      </c>
      <c r="L70" s="301">
        <f>IFERROR(VLOOKUP(E70,'Inventaire des produits'!$B$4:$J$1000,6,FALSE),"")</f>
        <v>0.61666666670000003</v>
      </c>
      <c r="M70" s="51"/>
    </row>
    <row r="71" spans="2:13" x14ac:dyDescent="0.3">
      <c r="B71" s="378" t="s">
        <v>1704</v>
      </c>
      <c r="C71" s="340">
        <v>41656</v>
      </c>
      <c r="D71" s="337" t="s">
        <v>358</v>
      </c>
      <c r="E71" s="235" t="s">
        <v>283</v>
      </c>
      <c r="F71" s="271" t="str">
        <f>IFERROR(VLOOKUP(E71,'Inventaire des produits'!$B$4:$K$1000,2,0),"")</f>
        <v>FILM ALIMENTAIRE 900G PET</v>
      </c>
      <c r="G71" s="50">
        <v>11</v>
      </c>
      <c r="H71" s="76">
        <v>30.129000000000001</v>
      </c>
      <c r="I71" s="95">
        <f t="shared" si="2"/>
        <v>331.41900000000004</v>
      </c>
      <c r="J71" s="95">
        <f t="shared" si="3"/>
        <v>397.70280000000002</v>
      </c>
      <c r="K71" s="93">
        <f>IFERROR(VLOOKUP(E71,'Inventaire des produits'!$B$4:$J$1000,5,FALSE),"")</f>
        <v>0</v>
      </c>
      <c r="L71" s="301">
        <f>IFERROR(VLOOKUP(E71,'Inventaire des produits'!$B$4:$J$1000,6,FALSE),"")</f>
        <v>21.84</v>
      </c>
      <c r="M71" s="51">
        <v>2355</v>
      </c>
    </row>
    <row r="72" spans="2:13" x14ac:dyDescent="0.3">
      <c r="B72" s="378" t="s">
        <v>1704</v>
      </c>
      <c r="C72" s="341"/>
      <c r="D72" s="338"/>
      <c r="E72" s="235" t="s">
        <v>161</v>
      </c>
      <c r="F72" s="271" t="str">
        <f>IFERROR(VLOOKUP(E72,'Inventaire des produits'!$B$4:$K$1000,2,0),"")</f>
        <v>COQUILLE MEAL BOX 2 COMP BLANC</v>
      </c>
      <c r="G72" s="53">
        <v>600</v>
      </c>
      <c r="H72" s="77">
        <v>1.258</v>
      </c>
      <c r="I72" s="95">
        <f t="shared" si="2"/>
        <v>754.8</v>
      </c>
      <c r="J72" s="95">
        <f t="shared" si="3"/>
        <v>905.75999999999988</v>
      </c>
      <c r="K72" s="93">
        <f>IFERROR(VLOOKUP(E72,'Inventaire des produits'!$B$4:$J$1000,5,FALSE),"")</f>
        <v>0</v>
      </c>
      <c r="L72" s="301">
        <f>IFERROR(VLOOKUP(E72,'Inventaire des produits'!$B$4:$J$1000,6,FALSE),"")</f>
        <v>1</v>
      </c>
      <c r="M72" s="51"/>
    </row>
    <row r="73" spans="2:13" x14ac:dyDescent="0.3">
      <c r="B73" s="378" t="s">
        <v>1704</v>
      </c>
      <c r="C73" s="341"/>
      <c r="D73" s="338"/>
      <c r="E73" s="235" t="s">
        <v>53</v>
      </c>
      <c r="F73" s="271" t="str">
        <f>IFERROR(VLOOKUP(E73,'Inventaire des produits'!$B$4:$K$1000,2,0),"")</f>
        <v>GANT VINYL EXTRA PREMIUM GLOVE MEDIUM</v>
      </c>
      <c r="G73" s="53">
        <v>13</v>
      </c>
      <c r="H73" s="77">
        <v>30.0215</v>
      </c>
      <c r="I73" s="95">
        <f t="shared" si="2"/>
        <v>390.27949999999998</v>
      </c>
      <c r="J73" s="95">
        <f t="shared" si="3"/>
        <v>468.33539999999994</v>
      </c>
      <c r="K73" s="93">
        <f>IFERROR(VLOOKUP(E73,'Inventaire des produits'!$B$4:$J$1000,5,FALSE),"")</f>
        <v>0</v>
      </c>
      <c r="L73" s="301">
        <f>IFERROR(VLOOKUP(E73,'Inventaire des produits'!$B$4:$J$1000,6,FALSE),"")</f>
        <v>24.593333333299999</v>
      </c>
      <c r="M73" s="51"/>
    </row>
    <row r="74" spans="2:13" x14ac:dyDescent="0.3">
      <c r="B74" s="378" t="s">
        <v>1704</v>
      </c>
      <c r="C74" s="342"/>
      <c r="D74" s="339"/>
      <c r="E74" s="235" t="s">
        <v>99</v>
      </c>
      <c r="F74" s="271" t="str">
        <f>IFERROR(VLOOKUP(E74,'Inventaire des produits'!$B$4:$K$1000,2,0),"")</f>
        <v>BARQUETTE ALUMINIUM RECT 1200ML AVEC CVL</v>
      </c>
      <c r="G74" s="64">
        <v>500</v>
      </c>
      <c r="H74" s="77">
        <v>0.97199999999999998</v>
      </c>
      <c r="I74" s="95">
        <f t="shared" si="2"/>
        <v>486</v>
      </c>
      <c r="J74" s="95">
        <f t="shared" si="3"/>
        <v>583.19999999999993</v>
      </c>
      <c r="K74" s="93">
        <f>IFERROR(VLOOKUP(E74,'Inventaire des produits'!$B$4:$J$1000,5,FALSE),"")</f>
        <v>0</v>
      </c>
      <c r="L74" s="301">
        <f>IFERROR(VLOOKUP(E74,'Inventaire des produits'!$B$4:$J$1000,6,FALSE),"")</f>
        <v>0.75007000000000001</v>
      </c>
      <c r="M74" s="51"/>
    </row>
    <row r="75" spans="2:13" x14ac:dyDescent="0.3">
      <c r="B75" s="378" t="s">
        <v>1704</v>
      </c>
      <c r="C75" s="340">
        <v>45308</v>
      </c>
      <c r="D75" s="337" t="s">
        <v>360</v>
      </c>
      <c r="E75" s="235" t="s">
        <v>250</v>
      </c>
      <c r="F75" s="271" t="str">
        <f>IFERROR(VLOOKUP(E75,'Inventaire des produits'!$B$4:$K$1000,2,0),"")</f>
        <v>FOURCHETTE ECOLUXE</v>
      </c>
      <c r="G75" s="50">
        <v>5</v>
      </c>
      <c r="H75" s="76">
        <v>23</v>
      </c>
      <c r="I75" s="95">
        <f t="shared" si="2"/>
        <v>115</v>
      </c>
      <c r="J75" s="95">
        <f t="shared" si="3"/>
        <v>138</v>
      </c>
      <c r="K75" s="93">
        <f>IFERROR(VLOOKUP(E75,'Inventaire des produits'!$B$4:$J$1000,5,FALSE),"")</f>
        <v>0</v>
      </c>
      <c r="L75" s="301">
        <f>IFERROR(VLOOKUP(E75,'Inventaire des produits'!$B$4:$J$1000,6,FALSE),"")</f>
        <v>15.84</v>
      </c>
      <c r="M75" s="51">
        <v>1135</v>
      </c>
    </row>
    <row r="76" spans="2:13" x14ac:dyDescent="0.3">
      <c r="B76" s="378" t="s">
        <v>1704</v>
      </c>
      <c r="C76" s="341"/>
      <c r="D76" s="338"/>
      <c r="E76" s="235" t="s">
        <v>251</v>
      </c>
      <c r="F76" s="271" t="str">
        <f>IFERROR(VLOOKUP(E76,'Inventaire des produits'!$B$4:$K$1000,2,0),"")</f>
        <v>COUTEAU ECOLUXE</v>
      </c>
      <c r="G76" s="53">
        <v>5</v>
      </c>
      <c r="H76" s="77">
        <v>23</v>
      </c>
      <c r="I76" s="95">
        <f t="shared" si="2"/>
        <v>115</v>
      </c>
      <c r="J76" s="95">
        <f t="shared" si="3"/>
        <v>138</v>
      </c>
      <c r="K76" s="93">
        <f>IFERROR(VLOOKUP(E76,'Inventaire des produits'!$B$4:$J$1000,5,FALSE),"")</f>
        <v>0</v>
      </c>
      <c r="L76" s="301">
        <f>IFERROR(VLOOKUP(E76,'Inventaire des produits'!$B$4:$J$1000,6,FALSE),"")</f>
        <v>15.84</v>
      </c>
      <c r="M76" s="51"/>
    </row>
    <row r="77" spans="2:13" x14ac:dyDescent="0.3">
      <c r="B77" s="378" t="s">
        <v>1704</v>
      </c>
      <c r="C77" s="341"/>
      <c r="D77" s="338"/>
      <c r="E77" s="235" t="s">
        <v>334</v>
      </c>
      <c r="F77" s="271" t="str">
        <f>IFERROR(VLOOKUP(E77,'Inventaire des produits'!$B$4:$K$1000,2,0),"")</f>
        <v>GOBLET 6OZ</v>
      </c>
      <c r="G77" s="53">
        <v>500</v>
      </c>
      <c r="H77" s="77">
        <v>0.45</v>
      </c>
      <c r="I77" s="95">
        <f t="shared" si="2"/>
        <v>225</v>
      </c>
      <c r="J77" s="95">
        <f t="shared" si="3"/>
        <v>270</v>
      </c>
      <c r="K77" s="93">
        <f>IFERROR(VLOOKUP(E77,'Inventaire des produits'!$B$4:$J$1000,5,FALSE),"")</f>
        <v>0</v>
      </c>
      <c r="L77" s="301">
        <f>IFERROR(VLOOKUP(E77,'Inventaire des produits'!$B$4:$J$1000,6,FALSE),"")</f>
        <v>0.34</v>
      </c>
      <c r="M77" s="51"/>
    </row>
    <row r="78" spans="2:13" x14ac:dyDescent="0.3">
      <c r="B78" s="378" t="s">
        <v>1704</v>
      </c>
      <c r="C78" s="341"/>
      <c r="D78" s="338"/>
      <c r="E78" s="235" t="s">
        <v>336</v>
      </c>
      <c r="F78" s="271" t="str">
        <f>IFERROR(VLOOKUP(E78,'Inventaire des produits'!$B$4:$K$1000,2,0),"")</f>
        <v>ASSIETTE BLANC</v>
      </c>
      <c r="G78" s="64">
        <v>800</v>
      </c>
      <c r="H78" s="77">
        <v>0.58299999999999996</v>
      </c>
      <c r="I78" s="95">
        <f t="shared" si="2"/>
        <v>466.4</v>
      </c>
      <c r="J78" s="95">
        <f t="shared" si="3"/>
        <v>559.67999999999995</v>
      </c>
      <c r="K78" s="93">
        <f>IFERROR(VLOOKUP(E78,'Inventaire des produits'!$B$4:$J$1000,5,FALSE),"")</f>
        <v>0</v>
      </c>
      <c r="L78" s="301">
        <f>IFERROR(VLOOKUP(E78,'Inventaire des produits'!$B$4:$J$1000,6,FALSE),"")</f>
        <v>0.57999999999999996</v>
      </c>
      <c r="M78" s="51"/>
    </row>
    <row r="79" spans="2:13" x14ac:dyDescent="0.3">
      <c r="B79" s="378" t="s">
        <v>1704</v>
      </c>
      <c r="C79" s="342"/>
      <c r="D79" s="339"/>
      <c r="E79" s="235" t="s">
        <v>79</v>
      </c>
      <c r="F79" s="271" t="str">
        <f>IFERROR(VLOOKUP(E79,'Inventaire des produits'!$B$4:$K$1000,2,0),"")</f>
        <v>FILM PVC ETIRABLE 300*30 ECO</v>
      </c>
      <c r="G79" s="64">
        <v>1</v>
      </c>
      <c r="H79" s="77">
        <v>24.43</v>
      </c>
      <c r="I79" s="95">
        <f t="shared" si="2"/>
        <v>24.43</v>
      </c>
      <c r="J79" s="95">
        <f t="shared" si="3"/>
        <v>29.315999999999999</v>
      </c>
      <c r="K79" s="93">
        <f>IFERROR(VLOOKUP(E79,'Inventaire des produits'!$B$4:$J$1000,5,FALSE),"")</f>
        <v>0</v>
      </c>
      <c r="L79" s="301">
        <f>IFERROR(VLOOKUP(E79,'Inventaire des produits'!$B$4:$J$1000,6,FALSE),"")</f>
        <v>12.0275</v>
      </c>
      <c r="M79" s="51"/>
    </row>
    <row r="80" spans="2:13" x14ac:dyDescent="0.3">
      <c r="B80" s="378" t="s">
        <v>1704</v>
      </c>
      <c r="C80" s="340">
        <v>45309</v>
      </c>
      <c r="D80" s="337" t="s">
        <v>364</v>
      </c>
      <c r="E80" s="235" t="s">
        <v>19</v>
      </c>
      <c r="F80" s="271" t="str">
        <f>IFERROR(VLOOKUP(E80,'Inventaire des produits'!$B$4:$K$1000,2,0),"")</f>
        <v>SAC FOND CARRE POIGNE PLAT 26*17*28 70G</v>
      </c>
      <c r="G80" s="230">
        <v>500</v>
      </c>
      <c r="H80" s="76">
        <v>1.095</v>
      </c>
      <c r="I80" s="95">
        <f t="shared" si="2"/>
        <v>547.5</v>
      </c>
      <c r="J80" s="95">
        <f t="shared" si="3"/>
        <v>657</v>
      </c>
      <c r="K80" s="93">
        <f>IFERROR(VLOOKUP(E80,'Inventaire des produits'!$B$4:$J$1000,5,FALSE),"")</f>
        <v>0</v>
      </c>
      <c r="L80" s="301">
        <f>IFERROR(VLOOKUP(E80,'Inventaire des produits'!$B$4:$J$1000,6,FALSE),"")</f>
        <v>0.81</v>
      </c>
      <c r="M80" s="51">
        <v>2100</v>
      </c>
    </row>
    <row r="81" spans="2:13" x14ac:dyDescent="0.3">
      <c r="B81" s="378" t="s">
        <v>1704</v>
      </c>
      <c r="C81" s="341"/>
      <c r="D81" s="338"/>
      <c r="E81" s="235" t="s">
        <v>345</v>
      </c>
      <c r="F81" s="271" t="str">
        <f>IFERROR(VLOOKUP(E81,'Inventaire des produits'!$B$4:$K$1000,2,0),"")</f>
        <v>POT DE SAUCE EN PLAST TRANSP 20ML</v>
      </c>
      <c r="G81" s="231">
        <v>7000</v>
      </c>
      <c r="H81" s="77">
        <v>0.1075</v>
      </c>
      <c r="I81" s="95">
        <f t="shared" si="2"/>
        <v>752.5</v>
      </c>
      <c r="J81" s="95">
        <f t="shared" si="3"/>
        <v>903</v>
      </c>
      <c r="K81" s="93">
        <f>IFERROR(VLOOKUP(E81,'Inventaire des produits'!$B$4:$J$1000,5,FALSE),"")</f>
        <v>0</v>
      </c>
      <c r="L81" s="301">
        <f>IFERROR(VLOOKUP(E81,'Inventaire des produits'!$B$4:$J$1000,6,FALSE),"")</f>
        <v>8.3333333300000006E-2</v>
      </c>
      <c r="M81" s="51"/>
    </row>
    <row r="82" spans="2:13" x14ac:dyDescent="0.3">
      <c r="B82" s="378" t="s">
        <v>1704</v>
      </c>
      <c r="C82" s="342"/>
      <c r="D82" s="339"/>
      <c r="E82" s="235" t="s">
        <v>63</v>
      </c>
      <c r="F82" s="271" t="str">
        <f>IFERROR(VLOOKUP(E82,'Inventaire des produits'!$B$4:$K$1000,2,0),"")</f>
        <v>SERVIETTE</v>
      </c>
      <c r="G82" s="231">
        <v>120</v>
      </c>
      <c r="H82" s="77">
        <v>3.75</v>
      </c>
      <c r="I82" s="95">
        <f t="shared" si="2"/>
        <v>450</v>
      </c>
      <c r="J82" s="95">
        <f t="shared" si="3"/>
        <v>540</v>
      </c>
      <c r="K82" s="93">
        <f>IFERROR(VLOOKUP(E82,'Inventaire des produits'!$B$4:$J$1000,5,FALSE),"")</f>
        <v>0</v>
      </c>
      <c r="L82" s="301">
        <f>IFERROR(VLOOKUP(E82,'Inventaire des produits'!$B$4:$J$1000,6,FALSE),"")</f>
        <v>2.4166666666999999</v>
      </c>
      <c r="M82" s="51"/>
    </row>
    <row r="83" spans="2:13" x14ac:dyDescent="0.3">
      <c r="B83" s="378" t="s">
        <v>1704</v>
      </c>
      <c r="C83" s="340">
        <v>45310</v>
      </c>
      <c r="D83" s="337" t="s">
        <v>375</v>
      </c>
      <c r="E83" s="235" t="s">
        <v>63</v>
      </c>
      <c r="F83" s="271" t="str">
        <f>IFERROR(VLOOKUP(E83,'Inventaire des produits'!$B$4:$K$1000,2,0),"")</f>
        <v>SERVIETTE</v>
      </c>
      <c r="G83" s="230">
        <v>220</v>
      </c>
      <c r="H83" s="76">
        <v>3.93</v>
      </c>
      <c r="I83" s="95">
        <f t="shared" si="2"/>
        <v>864.6</v>
      </c>
      <c r="J83" s="95">
        <f t="shared" si="3"/>
        <v>1037.52</v>
      </c>
      <c r="K83" s="93">
        <f>IFERROR(VLOOKUP(E83,'Inventaire des produits'!$B$4:$J$1000,5,FALSE),"")</f>
        <v>0</v>
      </c>
      <c r="L83" s="301">
        <f>IFERROR(VLOOKUP(E83,'Inventaire des produits'!$B$4:$J$1000,6,FALSE),"")</f>
        <v>2.4166666666999999</v>
      </c>
      <c r="M83" s="51">
        <v>3430</v>
      </c>
    </row>
    <row r="84" spans="2:13" x14ac:dyDescent="0.3">
      <c r="B84" s="378" t="s">
        <v>1704</v>
      </c>
      <c r="C84" s="341"/>
      <c r="D84" s="338"/>
      <c r="E84" s="235" t="s">
        <v>94</v>
      </c>
      <c r="F84" s="271" t="str">
        <f>IFERROR(VLOOKUP(E84,'Inventaire des produits'!$B$4:$K$1000,2,0),"")</f>
        <v>BOL SALADE ET CVL KRAFT 750CC CARTON 400PCS</v>
      </c>
      <c r="G84" s="231">
        <v>1</v>
      </c>
      <c r="H84" s="77">
        <v>840</v>
      </c>
      <c r="I84" s="95">
        <f t="shared" si="2"/>
        <v>840</v>
      </c>
      <c r="J84" s="95">
        <f t="shared" si="3"/>
        <v>1008</v>
      </c>
      <c r="K84" s="93">
        <f>IFERROR(VLOOKUP(E84,'Inventaire des produits'!$B$4:$J$1000,5,FALSE),"")</f>
        <v>0</v>
      </c>
      <c r="L84" s="301">
        <f>IFERROR(VLOOKUP(E84,'Inventaire des produits'!$B$4:$J$1000,6,FALSE),"")</f>
        <v>759.16666666670005</v>
      </c>
      <c r="M84" s="51"/>
    </row>
    <row r="85" spans="2:13" x14ac:dyDescent="0.3">
      <c r="B85" s="378" t="s">
        <v>1704</v>
      </c>
      <c r="C85" s="341"/>
      <c r="D85" s="338"/>
      <c r="E85" s="235" t="s">
        <v>320</v>
      </c>
      <c r="F85" s="271" t="str">
        <f>IFERROR(VLOOKUP(E85,'Inventaire des produits'!$B$4:$K$1000,2,0),"")</f>
        <v>POT DE SAUCE 20CC</v>
      </c>
      <c r="G85" s="231">
        <v>4000</v>
      </c>
      <c r="H85" s="77">
        <v>9.4E-2</v>
      </c>
      <c r="I85" s="95">
        <f t="shared" si="2"/>
        <v>376</v>
      </c>
      <c r="J85" s="95">
        <f t="shared" si="3"/>
        <v>451.2</v>
      </c>
      <c r="K85" s="93">
        <f>IFERROR(VLOOKUP(E85,'Inventaire des produits'!$B$4:$J$1000,5,FALSE),"")</f>
        <v>0</v>
      </c>
      <c r="L85" s="301">
        <f>IFERROR(VLOOKUP(E85,'Inventaire des produits'!$B$4:$J$1000,6,FALSE),"")</f>
        <v>4.5999999999999999E-2</v>
      </c>
      <c r="M85" s="51"/>
    </row>
    <row r="86" spans="2:13" x14ac:dyDescent="0.3">
      <c r="B86" s="378" t="s">
        <v>1704</v>
      </c>
      <c r="C86" s="342"/>
      <c r="D86" s="339"/>
      <c r="E86" s="235" t="s">
        <v>283</v>
      </c>
      <c r="F86" s="271" t="str">
        <f>IFERROR(VLOOKUP(E86,'Inventaire des produits'!$B$4:$K$1000,2,0),"")</f>
        <v>FILM ALIMENTAIRE 900G PET</v>
      </c>
      <c r="G86" s="64">
        <v>25</v>
      </c>
      <c r="H86" s="77">
        <v>31.109400000000001</v>
      </c>
      <c r="I86" s="95">
        <f t="shared" si="2"/>
        <v>777.73500000000001</v>
      </c>
      <c r="J86" s="95">
        <f t="shared" si="3"/>
        <v>933.28199999999993</v>
      </c>
      <c r="K86" s="93">
        <f>IFERROR(VLOOKUP(E86,'Inventaire des produits'!$B$4:$J$1000,5,FALSE),"")</f>
        <v>0</v>
      </c>
      <c r="L86" s="301">
        <f>IFERROR(VLOOKUP(E86,'Inventaire des produits'!$B$4:$J$1000,6,FALSE),"")</f>
        <v>21.84</v>
      </c>
      <c r="M86" s="51"/>
    </row>
    <row r="87" spans="2:13" x14ac:dyDescent="0.3">
      <c r="B87" s="378" t="s">
        <v>1704</v>
      </c>
      <c r="C87" s="340">
        <v>41659</v>
      </c>
      <c r="D87" s="337" t="s">
        <v>376</v>
      </c>
      <c r="E87" s="235" t="s">
        <v>283</v>
      </c>
      <c r="F87" s="271" t="str">
        <f>IFERROR(VLOOKUP(E87,'Inventaire des produits'!$B$4:$K$1000,2,0),"")</f>
        <v>FILM ALIMENTAIRE 900G PET</v>
      </c>
      <c r="G87" s="230">
        <v>11</v>
      </c>
      <c r="H87" s="76">
        <v>30.1</v>
      </c>
      <c r="I87" s="95">
        <f t="shared" si="2"/>
        <v>331.1</v>
      </c>
      <c r="J87" s="95">
        <f t="shared" si="3"/>
        <v>397.32</v>
      </c>
      <c r="K87" s="93">
        <f>IFERROR(VLOOKUP(E87,'Inventaire des produits'!$B$4:$J$1000,5,FALSE),"")</f>
        <v>0</v>
      </c>
      <c r="L87" s="301">
        <f>IFERROR(VLOOKUP(E87,'Inventaire des produits'!$B$4:$J$1000,6,FALSE),"")</f>
        <v>21.84</v>
      </c>
      <c r="M87" s="51">
        <v>1415</v>
      </c>
    </row>
    <row r="88" spans="2:13" x14ac:dyDescent="0.3">
      <c r="B88" s="378" t="s">
        <v>1704</v>
      </c>
      <c r="C88" s="341"/>
      <c r="D88" s="338"/>
      <c r="E88" s="235" t="s">
        <v>236</v>
      </c>
      <c r="F88" s="271" t="str">
        <f>IFERROR(VLOOKUP(E88,'Inventaire des produits'!$B$4:$K$1000,2,0),"")</f>
        <v>COQUILLE MEAL BOX 2 COMP BLANC</v>
      </c>
      <c r="G88" s="231">
        <v>200</v>
      </c>
      <c r="H88" s="77">
        <v>1.2589999999999999</v>
      </c>
      <c r="I88" s="95">
        <f t="shared" si="2"/>
        <v>251.79999999999998</v>
      </c>
      <c r="J88" s="95">
        <f t="shared" si="3"/>
        <v>302.15999999999997</v>
      </c>
      <c r="K88" s="93">
        <f>IFERROR(VLOOKUP(E88,'Inventaire des produits'!$B$4:$J$1000,5,FALSE),"")</f>
        <v>0</v>
      </c>
      <c r="L88" s="301">
        <f>IFERROR(VLOOKUP(E88,'Inventaire des produits'!$B$4:$J$1000,6,FALSE),"")</f>
        <v>0.91666666669999997</v>
      </c>
      <c r="M88" s="51"/>
    </row>
    <row r="89" spans="2:13" x14ac:dyDescent="0.3">
      <c r="B89" s="378" t="s">
        <v>1704</v>
      </c>
      <c r="C89" s="341"/>
      <c r="D89" s="338"/>
      <c r="E89" s="235" t="s">
        <v>53</v>
      </c>
      <c r="F89" s="271" t="str">
        <f>IFERROR(VLOOKUP(E89,'Inventaire des produits'!$B$4:$K$1000,2,0),"")</f>
        <v>GANT VINYL EXTRA PREMIUM GLOVE MEDIUM</v>
      </c>
      <c r="G89" s="231">
        <v>12</v>
      </c>
      <c r="H89" s="77">
        <v>30.521999999999998</v>
      </c>
      <c r="I89" s="95">
        <f t="shared" si="2"/>
        <v>366.26400000000001</v>
      </c>
      <c r="J89" s="95">
        <f t="shared" si="3"/>
        <v>439.51679999999999</v>
      </c>
      <c r="K89" s="93">
        <f>IFERROR(VLOOKUP(E89,'Inventaire des produits'!$B$4:$J$1000,5,FALSE),"")</f>
        <v>0</v>
      </c>
      <c r="L89" s="301">
        <f>IFERROR(VLOOKUP(E89,'Inventaire des produits'!$B$4:$J$1000,6,FALSE),"")</f>
        <v>24.593333333299999</v>
      </c>
      <c r="M89" s="51"/>
    </row>
    <row r="90" spans="2:13" x14ac:dyDescent="0.3">
      <c r="B90" s="378" t="s">
        <v>1704</v>
      </c>
      <c r="C90" s="342"/>
      <c r="D90" s="339"/>
      <c r="E90" s="235" t="s">
        <v>203</v>
      </c>
      <c r="F90" s="271" t="str">
        <f>IFERROR(VLOOKUP(E90,'Inventaire des produits'!$B$4:$K$1000,2,0),"")</f>
        <v>BARQUETTE ALUMINIUM 81200</v>
      </c>
      <c r="G90" s="64">
        <v>200</v>
      </c>
      <c r="H90" s="77">
        <v>1.1499999999999999</v>
      </c>
      <c r="I90" s="95">
        <f t="shared" si="2"/>
        <v>229.99999999999997</v>
      </c>
      <c r="J90" s="95">
        <f t="shared" si="3"/>
        <v>275.99999999999994</v>
      </c>
      <c r="K90" s="93">
        <f>IFERROR(VLOOKUP(E90,'Inventaire des produits'!$B$4:$J$1000,5,FALSE),"")</f>
        <v>0</v>
      </c>
      <c r="L90" s="301">
        <f>IFERROR(VLOOKUP(E90,'Inventaire des produits'!$B$4:$J$1000,6,FALSE),"")</f>
        <v>1</v>
      </c>
      <c r="M90" s="51"/>
    </row>
    <row r="91" spans="2:13" x14ac:dyDescent="0.3">
      <c r="B91" s="378" t="s">
        <v>1704</v>
      </c>
      <c r="C91" s="55">
        <v>45311</v>
      </c>
      <c r="D91" s="54" t="s">
        <v>377</v>
      </c>
      <c r="E91" s="235" t="s">
        <v>283</v>
      </c>
      <c r="F91" s="271" t="str">
        <f>IFERROR(VLOOKUP(E91,'Inventaire des produits'!$B$4:$K$1000,2,0),"")</f>
        <v>FILM ALIMENTAIRE 900G PET</v>
      </c>
      <c r="G91" s="230">
        <v>27</v>
      </c>
      <c r="H91" s="76">
        <v>29.629619999999999</v>
      </c>
      <c r="I91" s="95">
        <f t="shared" si="2"/>
        <v>799.99973999999997</v>
      </c>
      <c r="J91" s="95">
        <f t="shared" si="3"/>
        <v>959.99968799999988</v>
      </c>
      <c r="K91" s="93">
        <f>IFERROR(VLOOKUP(E91,'Inventaire des produits'!$B$4:$J$1000,5,FALSE),"")</f>
        <v>0</v>
      </c>
      <c r="L91" s="301">
        <f>IFERROR(VLOOKUP(E91,'Inventaire des produits'!$B$4:$J$1000,6,FALSE),"")</f>
        <v>21.84</v>
      </c>
      <c r="M91" s="51">
        <v>960</v>
      </c>
    </row>
    <row r="92" spans="2:13" ht="15" customHeight="1" x14ac:dyDescent="0.3">
      <c r="B92" s="378" t="s">
        <v>1704</v>
      </c>
      <c r="C92" s="354">
        <v>45312</v>
      </c>
      <c r="D92" s="337" t="s">
        <v>477</v>
      </c>
      <c r="E92" s="235" t="s">
        <v>260</v>
      </c>
      <c r="F92" s="271" t="str">
        <f>IFERROR(VLOOKUP(E92,'Inventaire des produits'!$B$4:$K$1000,2,0),"")</f>
        <v>ROULEAU ALUMINIUM EXTRA PACK 200M</v>
      </c>
      <c r="G92" s="230">
        <v>10</v>
      </c>
      <c r="H92" s="76">
        <v>66.599999999999994</v>
      </c>
      <c r="I92" s="95">
        <f t="shared" si="2"/>
        <v>666</v>
      </c>
      <c r="J92" s="95">
        <f t="shared" si="3"/>
        <v>799.19999999999993</v>
      </c>
      <c r="K92" s="93">
        <f>IFERROR(VLOOKUP(E92,'Inventaire des produits'!$B$4:$J$1000,5,FALSE),"")</f>
        <v>0</v>
      </c>
      <c r="L92" s="301">
        <f>IFERROR(VLOOKUP(E92,'Inventaire des produits'!$B$4:$J$1000,6,FALSE),"")</f>
        <v>48.631666666699999</v>
      </c>
      <c r="M92" s="51">
        <v>1920</v>
      </c>
    </row>
    <row r="93" spans="2:13" x14ac:dyDescent="0.3">
      <c r="B93" s="378" t="s">
        <v>1704</v>
      </c>
      <c r="C93" s="355"/>
      <c r="D93" s="338"/>
      <c r="E93" s="235" t="s">
        <v>127</v>
      </c>
      <c r="F93" s="271" t="str">
        <f>IFERROR(VLOOKUP(E93,'Inventaire des produits'!$B$4:$K$1000,2,0),"")</f>
        <v>SERVIETTE DE TABLE SEVAN 1PLI</v>
      </c>
      <c r="G93" s="231">
        <v>120</v>
      </c>
      <c r="H93" s="77">
        <v>3.7166999999999999</v>
      </c>
      <c r="I93" s="95">
        <f t="shared" si="2"/>
        <v>446.00399999999996</v>
      </c>
      <c r="J93" s="95">
        <f t="shared" si="3"/>
        <v>535.20479999999998</v>
      </c>
      <c r="K93" s="93">
        <f>IFERROR(VLOOKUP(E93,'Inventaire des produits'!$B$4:$J$1000,5,FALSE),"")</f>
        <v>0</v>
      </c>
      <c r="L93" s="301">
        <f>IFERROR(VLOOKUP(E93,'Inventaire des produits'!$B$4:$J$1000,6,FALSE),"")</f>
        <v>2.9169999999999998</v>
      </c>
      <c r="M93" s="51"/>
    </row>
    <row r="94" spans="2:13" x14ac:dyDescent="0.3">
      <c r="B94" s="378" t="s">
        <v>1704</v>
      </c>
      <c r="C94" s="355"/>
      <c r="D94" s="338"/>
      <c r="E94" s="235" t="s">
        <v>345</v>
      </c>
      <c r="F94" s="271" t="str">
        <f>IFERROR(VLOOKUP(E94,'Inventaire des produits'!$B$4:$K$1000,2,0),"")</f>
        <v>POT DE SAUCE EN PLAST TRANSP 20ML</v>
      </c>
      <c r="G94" s="231">
        <v>4000</v>
      </c>
      <c r="H94" s="77">
        <v>0.122</v>
      </c>
      <c r="I94" s="95">
        <f t="shared" si="2"/>
        <v>488</v>
      </c>
      <c r="J94" s="95">
        <f t="shared" si="3"/>
        <v>585.6</v>
      </c>
      <c r="K94" s="93">
        <f>IFERROR(VLOOKUP(E94,'Inventaire des produits'!$B$4:$J$1000,5,FALSE),"")</f>
        <v>0</v>
      </c>
      <c r="L94" s="301">
        <f>IFERROR(VLOOKUP(E94,'Inventaire des produits'!$B$4:$J$1000,6,FALSE),"")</f>
        <v>8.3333333300000006E-2</v>
      </c>
      <c r="M94" s="51"/>
    </row>
    <row r="95" spans="2:13" x14ac:dyDescent="0.3">
      <c r="B95" s="378" t="s">
        <v>1704</v>
      </c>
      <c r="C95" s="55">
        <v>45316</v>
      </c>
      <c r="D95" s="54" t="s">
        <v>380</v>
      </c>
      <c r="E95" s="235" t="s">
        <v>66</v>
      </c>
      <c r="F95" s="271" t="str">
        <f>IFERROR(VLOOKUP(E95,'Inventaire des produits'!$B$4:$K$1000,2,0),"")</f>
        <v>TRIPOD PIZZA EN PLASTIQUE</v>
      </c>
      <c r="G95" s="50">
        <v>2000</v>
      </c>
      <c r="H95" s="76">
        <v>0.5</v>
      </c>
      <c r="I95" s="95">
        <f t="shared" si="2"/>
        <v>1000</v>
      </c>
      <c r="J95" s="95">
        <f t="shared" si="3"/>
        <v>1200</v>
      </c>
      <c r="K95" s="93">
        <f>IFERROR(VLOOKUP(E95,'Inventaire des produits'!$B$4:$J$1000,5,FALSE),"")</f>
        <v>0</v>
      </c>
      <c r="L95" s="301">
        <f>IFERROR(VLOOKUP(E95,'Inventaire des produits'!$B$4:$J$1000,6,FALSE),"")</f>
        <v>0.32</v>
      </c>
      <c r="M95" s="51">
        <v>1200</v>
      </c>
    </row>
    <row r="96" spans="2:13" x14ac:dyDescent="0.3">
      <c r="B96" s="378" t="s">
        <v>1704</v>
      </c>
      <c r="C96" s="340">
        <v>45317</v>
      </c>
      <c r="D96" s="337" t="s">
        <v>383</v>
      </c>
      <c r="E96" s="235" t="s">
        <v>203</v>
      </c>
      <c r="F96" s="271" t="str">
        <f>IFERROR(VLOOKUP(E96,'Inventaire des produits'!$B$4:$K$1000,2,0),"")</f>
        <v>BARQUETTE ALUMINIUM 81200</v>
      </c>
      <c r="G96" s="230">
        <v>1900</v>
      </c>
      <c r="H96" s="76">
        <v>1.0780000000000001</v>
      </c>
      <c r="I96" s="95">
        <f t="shared" si="2"/>
        <v>2048.2000000000003</v>
      </c>
      <c r="J96" s="95">
        <f t="shared" si="3"/>
        <v>2457.84</v>
      </c>
      <c r="K96" s="93">
        <f>IFERROR(VLOOKUP(E96,'Inventaire des produits'!$B$4:$J$1000,5,FALSE),"")</f>
        <v>0</v>
      </c>
      <c r="L96" s="301">
        <f>IFERROR(VLOOKUP(E96,'Inventaire des produits'!$B$4:$J$1000,6,FALSE),"")</f>
        <v>1</v>
      </c>
      <c r="M96" s="51">
        <v>4580</v>
      </c>
    </row>
    <row r="97" spans="2:13" x14ac:dyDescent="0.3">
      <c r="B97" s="378" t="s">
        <v>1704</v>
      </c>
      <c r="C97" s="341"/>
      <c r="D97" s="338"/>
      <c r="E97" s="235" t="s">
        <v>320</v>
      </c>
      <c r="F97" s="271" t="str">
        <f>IFERROR(VLOOKUP(E97,'Inventaire des produits'!$B$4:$K$1000,2,0),"")</f>
        <v>POT DE SAUCE 20CC</v>
      </c>
      <c r="G97" s="231">
        <v>6000</v>
      </c>
      <c r="H97" s="77">
        <v>9.3100000000000002E-2</v>
      </c>
      <c r="I97" s="95">
        <f t="shared" si="2"/>
        <v>558.6</v>
      </c>
      <c r="J97" s="95">
        <f t="shared" si="3"/>
        <v>670.32</v>
      </c>
      <c r="K97" s="93">
        <f>IFERROR(VLOOKUP(E97,'Inventaire des produits'!$B$4:$J$1000,5,FALSE),"")</f>
        <v>0</v>
      </c>
      <c r="L97" s="301">
        <f>IFERROR(VLOOKUP(E97,'Inventaire des produits'!$B$4:$J$1000,6,FALSE),"")</f>
        <v>4.5999999999999999E-2</v>
      </c>
      <c r="M97" s="51"/>
    </row>
    <row r="98" spans="2:13" x14ac:dyDescent="0.3">
      <c r="B98" s="378" t="s">
        <v>1704</v>
      </c>
      <c r="C98" s="341"/>
      <c r="D98" s="338"/>
      <c r="E98" s="235" t="s">
        <v>278</v>
      </c>
      <c r="F98" s="271" t="str">
        <f>IFERROR(VLOOKUP(E98,'Inventaire des produits'!$B$4:$K$1000,2,0),"")</f>
        <v>BARQUETTE ALUMINIUM 890</v>
      </c>
      <c r="G98" s="231">
        <v>1</v>
      </c>
      <c r="H98" s="77">
        <v>375.87</v>
      </c>
      <c r="I98" s="95">
        <f t="shared" si="2"/>
        <v>375.87</v>
      </c>
      <c r="J98" s="95">
        <f t="shared" si="3"/>
        <v>451.04399999999998</v>
      </c>
      <c r="K98" s="93">
        <f>IFERROR(VLOOKUP(E98,'Inventaire des produits'!$B$4:$J$1000,5,FALSE),"")</f>
        <v>0</v>
      </c>
      <c r="L98" s="301">
        <f>IFERROR(VLOOKUP(E98,'Inventaire des produits'!$B$4:$J$1000,6,FALSE),"")</f>
        <v>300</v>
      </c>
      <c r="M98" s="51"/>
    </row>
    <row r="99" spans="2:13" x14ac:dyDescent="0.3">
      <c r="B99" s="378" t="s">
        <v>1704</v>
      </c>
      <c r="C99" s="342"/>
      <c r="D99" s="339"/>
      <c r="E99" s="235" t="s">
        <v>271</v>
      </c>
      <c r="F99" s="271" t="str">
        <f>IFERROR(VLOOKUP(E99,'Inventaire des produits'!$B$4:$K$1000,2,0),"")</f>
        <v>PAILLE ENVELOPPE NOIR 100/50PCS</v>
      </c>
      <c r="G99" s="53">
        <v>2</v>
      </c>
      <c r="H99" s="77">
        <v>417</v>
      </c>
      <c r="I99" s="95">
        <f t="shared" si="2"/>
        <v>834</v>
      </c>
      <c r="J99" s="95">
        <f t="shared" si="3"/>
        <v>1000.8</v>
      </c>
      <c r="K99" s="93">
        <f>IFERROR(VLOOKUP(E99,'Inventaire des produits'!$B$4:$J$1000,5,FALSE),"")</f>
        <v>0</v>
      </c>
      <c r="L99" s="301">
        <f>IFERROR(VLOOKUP(E99,'Inventaire des produits'!$B$4:$J$1000,6,FALSE),"")</f>
        <v>220.8333333333</v>
      </c>
      <c r="M99" s="51"/>
    </row>
    <row r="100" spans="2:13" x14ac:dyDescent="0.3">
      <c r="B100" s="378" t="s">
        <v>1704</v>
      </c>
      <c r="C100" s="340">
        <v>45318</v>
      </c>
      <c r="D100" s="337" t="s">
        <v>384</v>
      </c>
      <c r="E100" s="235" t="s">
        <v>127</v>
      </c>
      <c r="F100" s="271" t="str">
        <f>IFERROR(VLOOKUP(E100,'Inventaire des produits'!$B$4:$K$1000,2,0),"")</f>
        <v>SERVIETTE DE TABLE SEVAN 1PLI</v>
      </c>
      <c r="G100" s="230">
        <v>280</v>
      </c>
      <c r="H100" s="76">
        <v>3.9318</v>
      </c>
      <c r="I100" s="95">
        <f t="shared" si="2"/>
        <v>1100.904</v>
      </c>
      <c r="J100" s="95">
        <f t="shared" si="3"/>
        <v>1321.0847999999999</v>
      </c>
      <c r="K100" s="93">
        <f>IFERROR(VLOOKUP(E100,'Inventaire des produits'!$B$4:$J$1000,5,FALSE),"")</f>
        <v>0</v>
      </c>
      <c r="L100" s="301">
        <f>IFERROR(VLOOKUP(E100,'Inventaire des produits'!$B$4:$J$1000,6,FALSE),"")</f>
        <v>2.9169999999999998</v>
      </c>
      <c r="M100" s="51">
        <v>3780</v>
      </c>
    </row>
    <row r="101" spans="2:13" x14ac:dyDescent="0.3">
      <c r="B101" s="378" t="s">
        <v>1704</v>
      </c>
      <c r="C101" s="341"/>
      <c r="D101" s="338"/>
      <c r="E101" s="235" t="s">
        <v>51</v>
      </c>
      <c r="F101" s="271" t="str">
        <f>IFERROR(VLOOKUP(E101,'Inventaire des produits'!$B$4:$K$1000,2,0),"")</f>
        <v>BOL SALADE ET CVL KRAFT 750CC CARTON 400PCS</v>
      </c>
      <c r="G101" s="231">
        <v>1</v>
      </c>
      <c r="H101" s="77">
        <v>840.1</v>
      </c>
      <c r="I101" s="95">
        <f t="shared" si="2"/>
        <v>840.1</v>
      </c>
      <c r="J101" s="95">
        <f t="shared" si="3"/>
        <v>1008.12</v>
      </c>
      <c r="K101" s="93">
        <f>IFERROR(VLOOKUP(E101,'Inventaire des produits'!$B$4:$J$1000,5,FALSE),"")</f>
        <v>0</v>
      </c>
      <c r="L101" s="301">
        <f>IFERROR(VLOOKUP(E101,'Inventaire des produits'!$B$4:$J$1000,6,FALSE),"")</f>
        <v>700</v>
      </c>
      <c r="M101" s="51"/>
    </row>
    <row r="102" spans="2:13" x14ac:dyDescent="0.3">
      <c r="B102" s="378" t="s">
        <v>1704</v>
      </c>
      <c r="C102" s="341"/>
      <c r="D102" s="338"/>
      <c r="E102" s="235" t="s">
        <v>320</v>
      </c>
      <c r="F102" s="271" t="str">
        <f>IFERROR(VLOOKUP(E102,'Inventaire des produits'!$B$4:$K$1000,2,0),"")</f>
        <v>POT DE SAUCE 20CC</v>
      </c>
      <c r="G102" s="231">
        <v>4000</v>
      </c>
      <c r="H102" s="77">
        <v>9.2999999999999999E-2</v>
      </c>
      <c r="I102" s="95">
        <f t="shared" si="2"/>
        <v>372</v>
      </c>
      <c r="J102" s="95">
        <f t="shared" si="3"/>
        <v>446.4</v>
      </c>
      <c r="K102" s="93">
        <f>IFERROR(VLOOKUP(E102,'Inventaire des produits'!$B$4:$J$1000,5,FALSE),"")</f>
        <v>0</v>
      </c>
      <c r="L102" s="301">
        <f>IFERROR(VLOOKUP(E102,'Inventaire des produits'!$B$4:$J$1000,6,FALSE),"")</f>
        <v>4.5999999999999999E-2</v>
      </c>
      <c r="M102" s="51"/>
    </row>
    <row r="103" spans="2:13" x14ac:dyDescent="0.3">
      <c r="B103" s="378" t="s">
        <v>1704</v>
      </c>
      <c r="C103" s="342"/>
      <c r="D103" s="339"/>
      <c r="E103" s="235" t="s">
        <v>222</v>
      </c>
      <c r="F103" s="271" t="str">
        <f>IFERROR(VLOOKUP(E103,'Inventaire des produits'!$B$4:$K$1000,2,0),"")</f>
        <v>FILM ALIMENTAIRE ELEGENCE</v>
      </c>
      <c r="G103" s="64">
        <v>27</v>
      </c>
      <c r="H103" s="77">
        <v>31</v>
      </c>
      <c r="I103" s="95">
        <f t="shared" si="2"/>
        <v>837</v>
      </c>
      <c r="J103" s="95">
        <f t="shared" si="3"/>
        <v>1004.4</v>
      </c>
      <c r="K103" s="93">
        <f>IFERROR(VLOOKUP(E103,'Inventaire des produits'!$B$4:$J$1000,5,FALSE),"")</f>
        <v>0</v>
      </c>
      <c r="L103" s="301">
        <f>IFERROR(VLOOKUP(E103,'Inventaire des produits'!$B$4:$J$1000,6,FALSE),"")</f>
        <v>20</v>
      </c>
      <c r="M103" s="51"/>
    </row>
    <row r="104" spans="2:13" x14ac:dyDescent="0.3">
      <c r="B104" s="378" t="s">
        <v>1704</v>
      </c>
      <c r="C104" s="354">
        <v>45319</v>
      </c>
      <c r="D104" s="337" t="s">
        <v>478</v>
      </c>
      <c r="E104" s="235" t="s">
        <v>260</v>
      </c>
      <c r="F104" s="271" t="str">
        <f>IFERROR(VLOOKUP(E104,'Inventaire des produits'!$B$4:$K$1000,2,0),"")</f>
        <v>ROULEAU ALUMINIUM EXTRA PACK 200M</v>
      </c>
      <c r="G104" s="230">
        <v>4</v>
      </c>
      <c r="H104" s="76">
        <v>66.415999999999997</v>
      </c>
      <c r="I104" s="95">
        <f t="shared" si="2"/>
        <v>265.66399999999999</v>
      </c>
      <c r="J104" s="95">
        <f t="shared" si="3"/>
        <v>318.79679999999996</v>
      </c>
      <c r="K104" s="93">
        <f>IFERROR(VLOOKUP(E104,'Inventaire des produits'!$B$4:$J$1000,5,FALSE),"")</f>
        <v>0</v>
      </c>
      <c r="L104" s="301">
        <f>IFERROR(VLOOKUP(E104,'Inventaire des produits'!$B$4:$J$1000,6,FALSE),"")</f>
        <v>48.631666666699999</v>
      </c>
      <c r="M104" s="51">
        <v>806</v>
      </c>
    </row>
    <row r="105" spans="2:13" x14ac:dyDescent="0.3">
      <c r="B105" s="378" t="s">
        <v>1704</v>
      </c>
      <c r="C105" s="355"/>
      <c r="D105" s="338"/>
      <c r="E105" s="235" t="s">
        <v>127</v>
      </c>
      <c r="F105" s="271" t="str">
        <f>IFERROR(VLOOKUP(E105,'Inventaire des produits'!$B$4:$K$1000,2,0),"")</f>
        <v>SERVIETTE DE TABLE SEVAN 1PLI</v>
      </c>
      <c r="G105" s="231">
        <v>40</v>
      </c>
      <c r="H105" s="77">
        <v>3.75</v>
      </c>
      <c r="I105" s="95">
        <f t="shared" si="2"/>
        <v>150</v>
      </c>
      <c r="J105" s="95">
        <f t="shared" si="3"/>
        <v>180</v>
      </c>
      <c r="K105" s="93">
        <f>IFERROR(VLOOKUP(E105,'Inventaire des produits'!$B$4:$J$1000,5,FALSE),"")</f>
        <v>0</v>
      </c>
      <c r="L105" s="301">
        <f>IFERROR(VLOOKUP(E105,'Inventaire des produits'!$B$4:$J$1000,6,FALSE),"")</f>
        <v>2.9169999999999998</v>
      </c>
      <c r="M105" s="51"/>
    </row>
    <row r="106" spans="2:13" x14ac:dyDescent="0.3">
      <c r="B106" s="378" t="s">
        <v>1704</v>
      </c>
      <c r="C106" s="356"/>
      <c r="D106" s="339"/>
      <c r="E106" s="235" t="s">
        <v>345</v>
      </c>
      <c r="F106" s="271" t="str">
        <f>IFERROR(VLOOKUP(E106,'Inventaire des produits'!$B$4:$K$1000,2,0),"")</f>
        <v>POT DE SAUCE EN PLAST TRANSP 20ML</v>
      </c>
      <c r="G106" s="231">
        <v>2000</v>
      </c>
      <c r="H106" s="77">
        <v>0.128</v>
      </c>
      <c r="I106" s="95">
        <f t="shared" si="2"/>
        <v>256</v>
      </c>
      <c r="J106" s="95">
        <f t="shared" si="3"/>
        <v>307.2</v>
      </c>
      <c r="K106" s="93">
        <f>IFERROR(VLOOKUP(E106,'Inventaire des produits'!$B$4:$J$1000,5,FALSE),"")</f>
        <v>0</v>
      </c>
      <c r="L106" s="301">
        <f>IFERROR(VLOOKUP(E106,'Inventaire des produits'!$B$4:$J$1000,6,FALSE),"")</f>
        <v>8.3333333300000006E-2</v>
      </c>
      <c r="M106" s="51"/>
    </row>
    <row r="107" spans="2:13" x14ac:dyDescent="0.3">
      <c r="B107" s="378" t="s">
        <v>1704</v>
      </c>
      <c r="C107" s="340">
        <v>45320</v>
      </c>
      <c r="D107" s="337" t="s">
        <v>385</v>
      </c>
      <c r="E107" s="235" t="s">
        <v>114</v>
      </c>
      <c r="F107" s="271" t="str">
        <f>IFERROR(VLOOKUP(E107,'Inventaire des produits'!$B$4:$K$1000,2,0),"")</f>
        <v>BARQUETTE MICRON ONDABLE 2 COMP AVEC CVL 300PCS</v>
      </c>
      <c r="G107" s="50">
        <v>5</v>
      </c>
      <c r="H107" s="76">
        <v>525</v>
      </c>
      <c r="I107" s="95">
        <f t="shared" si="2"/>
        <v>2625</v>
      </c>
      <c r="J107" s="95">
        <f t="shared" si="3"/>
        <v>3150</v>
      </c>
      <c r="K107" s="93">
        <f>IFERROR(VLOOKUP(E107,'Inventaire des produits'!$B$4:$J$1000,5,FALSE),"")</f>
        <v>0</v>
      </c>
      <c r="L107" s="301">
        <f>IFERROR(VLOOKUP(E107,'Inventaire des produits'!$B$4:$J$1000,6,FALSE),"")</f>
        <v>593.75</v>
      </c>
      <c r="M107" s="51">
        <v>16906.599999999999</v>
      </c>
    </row>
    <row r="108" spans="2:13" x14ac:dyDescent="0.3">
      <c r="B108" s="378" t="s">
        <v>1704</v>
      </c>
      <c r="C108" s="341"/>
      <c r="D108" s="338"/>
      <c r="E108" s="235" t="s">
        <v>322</v>
      </c>
      <c r="F108" s="271" t="str">
        <f>IFERROR(VLOOKUP(E108,'Inventaire des produits'!$B$4:$K$1000,2,0),"")</f>
        <v>POT DE SAUCE 1OZ 30ML HP</v>
      </c>
      <c r="G108" s="64">
        <v>8000</v>
      </c>
      <c r="H108" s="77">
        <v>0.14599999999999999</v>
      </c>
      <c r="I108" s="95">
        <f t="shared" si="2"/>
        <v>1168</v>
      </c>
      <c r="J108" s="95">
        <f t="shared" si="3"/>
        <v>1401.6</v>
      </c>
      <c r="K108" s="93">
        <f>IFERROR(VLOOKUP(E108,'Inventaire des produits'!$B$4:$J$1000,5,FALSE),"")</f>
        <v>0</v>
      </c>
      <c r="L108" s="301">
        <f>IFERROR(VLOOKUP(E108,'Inventaire des produits'!$B$4:$J$1000,6,FALSE),"")</f>
        <v>0.13500000000000001</v>
      </c>
      <c r="M108" s="51"/>
    </row>
    <row r="109" spans="2:13" x14ac:dyDescent="0.3">
      <c r="B109" s="378" t="s">
        <v>1704</v>
      </c>
      <c r="C109" s="341"/>
      <c r="D109" s="338"/>
      <c r="E109" s="235" t="s">
        <v>248</v>
      </c>
      <c r="F109" s="271" t="str">
        <f>IFERROR(VLOOKUP(E109,'Inventaire des produits'!$B$4:$K$1000,2,0),"")</f>
        <v>BARQUETTE SUSHI ST5 216*136*20+CVRCL</v>
      </c>
      <c r="G109" s="64">
        <v>2000</v>
      </c>
      <c r="H109" s="77">
        <v>1.5416666667000001</v>
      </c>
      <c r="I109" s="95">
        <f t="shared" si="2"/>
        <v>3083.3333334000004</v>
      </c>
      <c r="J109" s="95">
        <f t="shared" si="3"/>
        <v>3700.0000000800001</v>
      </c>
      <c r="K109" s="93">
        <f>IFERROR(VLOOKUP(E109,'Inventaire des produits'!$B$4:$J$1000,5,FALSE),"")</f>
        <v>0</v>
      </c>
      <c r="L109" s="301">
        <f>IFERROR(VLOOKUP(E109,'Inventaire des produits'!$B$4:$J$1000,6,FALSE),"")</f>
        <v>1.3166666667</v>
      </c>
      <c r="M109" s="51"/>
    </row>
    <row r="110" spans="2:13" x14ac:dyDescent="0.3">
      <c r="B110" s="378" t="s">
        <v>1704</v>
      </c>
      <c r="C110" s="341"/>
      <c r="D110" s="338"/>
      <c r="E110" s="235" t="s">
        <v>127</v>
      </c>
      <c r="F110" s="271" t="str">
        <f>IFERROR(VLOOKUP(E110,'Inventaire des produits'!$B$4:$K$1000,2,0),"")</f>
        <v>SERVIETTE DE TABLE SEVAN 1PLI</v>
      </c>
      <c r="G110" s="64">
        <v>400</v>
      </c>
      <c r="H110" s="77">
        <v>3.0833330000000001</v>
      </c>
      <c r="I110" s="95">
        <f t="shared" si="2"/>
        <v>1233.3332</v>
      </c>
      <c r="J110" s="95">
        <f t="shared" si="3"/>
        <v>1479.9998399999999</v>
      </c>
      <c r="K110" s="93">
        <f>IFERROR(VLOOKUP(E110,'Inventaire des produits'!$B$4:$J$1000,5,FALSE),"")</f>
        <v>0</v>
      </c>
      <c r="L110" s="301">
        <f>IFERROR(VLOOKUP(E110,'Inventaire des produits'!$B$4:$J$1000,6,FALSE),"")</f>
        <v>2.9169999999999998</v>
      </c>
      <c r="M110" s="51"/>
    </row>
    <row r="111" spans="2:13" x14ac:dyDescent="0.3">
      <c r="B111" s="378" t="s">
        <v>1704</v>
      </c>
      <c r="C111" s="341"/>
      <c r="D111" s="338"/>
      <c r="E111" s="235" t="s">
        <v>222</v>
      </c>
      <c r="F111" s="271" t="str">
        <f>IFERROR(VLOOKUP(E111,'Inventaire des produits'!$B$4:$K$1000,2,0),"")</f>
        <v>FILM ALIMENTAIRE ELEGENCE</v>
      </c>
      <c r="G111" s="64">
        <v>60</v>
      </c>
      <c r="H111" s="77">
        <v>25.8333333333333</v>
      </c>
      <c r="I111" s="95">
        <f t="shared" si="2"/>
        <v>1549.999999999998</v>
      </c>
      <c r="J111" s="95">
        <f t="shared" si="3"/>
        <v>1859.9999999999975</v>
      </c>
      <c r="K111" s="93">
        <f>IFERROR(VLOOKUP(E111,'Inventaire des produits'!$B$4:$J$1000,5,FALSE),"")</f>
        <v>0</v>
      </c>
      <c r="L111" s="301">
        <f>IFERROR(VLOOKUP(E111,'Inventaire des produits'!$B$4:$J$1000,6,FALSE),"")</f>
        <v>20</v>
      </c>
      <c r="M111" s="51"/>
    </row>
    <row r="112" spans="2:13" x14ac:dyDescent="0.3">
      <c r="B112" s="378" t="s">
        <v>1704</v>
      </c>
      <c r="C112" s="341"/>
      <c r="D112" s="338"/>
      <c r="E112" s="235" t="s">
        <v>153</v>
      </c>
      <c r="F112" s="271" t="str">
        <f>IFERROR(VLOOKUP(E112,'Inventaire des produits'!$B$4:$K$1000,2,0),"")</f>
        <v>BOITE PIZZA 29</v>
      </c>
      <c r="G112" s="64">
        <v>10</v>
      </c>
      <c r="H112" s="77">
        <v>62.5</v>
      </c>
      <c r="I112" s="95">
        <f t="shared" si="2"/>
        <v>625</v>
      </c>
      <c r="J112" s="95">
        <f t="shared" si="3"/>
        <v>750</v>
      </c>
      <c r="K112" s="93">
        <f>IFERROR(VLOOKUP(E112,'Inventaire des produits'!$B$4:$J$1000,5,FALSE),"")</f>
        <v>0</v>
      </c>
      <c r="L112" s="301">
        <f>IFERROR(VLOOKUP(E112,'Inventaire des produits'!$B$4:$J$1000,6,FALSE),"")</f>
        <v>48.332999999999998</v>
      </c>
      <c r="M112" s="51"/>
    </row>
    <row r="113" spans="2:14" x14ac:dyDescent="0.3">
      <c r="B113" s="378" t="s">
        <v>1704</v>
      </c>
      <c r="C113" s="341"/>
      <c r="D113" s="338"/>
      <c r="E113" s="235" t="s">
        <v>366</v>
      </c>
      <c r="F113" s="271" t="str">
        <f>IFERROR(VLOOKUP(E113,'Inventaire des produits'!$B$4:$K$1000,2,0),"")</f>
        <v>PAILLE 6MM CODE ENVELOPPE NOIR 100/50 PCS</v>
      </c>
      <c r="G113" s="64">
        <v>5</v>
      </c>
      <c r="H113" s="77">
        <v>250</v>
      </c>
      <c r="I113" s="95">
        <f t="shared" si="2"/>
        <v>1250</v>
      </c>
      <c r="J113" s="95">
        <f t="shared" si="3"/>
        <v>1500</v>
      </c>
      <c r="K113" s="93">
        <f>IFERROR(VLOOKUP(E113,'Inventaire des produits'!$B$4:$J$1000,5,FALSE),"")</f>
        <v>0</v>
      </c>
      <c r="L113" s="301">
        <f>IFERROR(VLOOKUP(E113,'Inventaire des produits'!$B$4:$J$1000,6,FALSE),"")</f>
        <v>245.833333333333</v>
      </c>
      <c r="M113" s="51"/>
    </row>
    <row r="114" spans="2:14" x14ac:dyDescent="0.3">
      <c r="B114" s="378" t="s">
        <v>1704</v>
      </c>
      <c r="C114" s="341"/>
      <c r="D114" s="338"/>
      <c r="E114" s="235" t="s">
        <v>317</v>
      </c>
      <c r="F114" s="271" t="str">
        <f>IFERROR(VLOOKUP(E114,'Inventaire des produits'!$B$4:$K$1000,2,0),"")</f>
        <v>BARQUETTE VITA PACK 750ML AVEC CVL</v>
      </c>
      <c r="G114" s="64">
        <v>1250</v>
      </c>
      <c r="H114" s="77">
        <v>1.55</v>
      </c>
      <c r="I114" s="95">
        <f t="shared" si="2"/>
        <v>1937.5</v>
      </c>
      <c r="J114" s="95">
        <f t="shared" si="3"/>
        <v>2325</v>
      </c>
      <c r="K114" s="93">
        <f>IFERROR(VLOOKUP(E114,'Inventaire des produits'!$B$4:$J$1000,5,FALSE),"")</f>
        <v>0</v>
      </c>
      <c r="L114" s="301">
        <f>IFERROR(VLOOKUP(E114,'Inventaire des produits'!$B$4:$J$1000,6,FALSE),"")</f>
        <v>1.38</v>
      </c>
      <c r="M114" s="51"/>
    </row>
    <row r="115" spans="2:14" x14ac:dyDescent="0.3">
      <c r="B115" s="378" t="s">
        <v>1704</v>
      </c>
      <c r="C115" s="342"/>
      <c r="D115" s="339"/>
      <c r="E115" s="235" t="s">
        <v>127</v>
      </c>
      <c r="F115" s="271" t="str">
        <f>IFERROR(VLOOKUP(E115,'Inventaire des produits'!$B$4:$K$1000,2,0),"")</f>
        <v>SERVIETTE DE TABLE SEVAN 1PLI</v>
      </c>
      <c r="G115" s="246">
        <v>200</v>
      </c>
      <c r="H115" s="78">
        <v>3.0833330000000001</v>
      </c>
      <c r="I115" s="95">
        <f t="shared" si="2"/>
        <v>616.66660000000002</v>
      </c>
      <c r="J115" s="95">
        <f t="shared" si="3"/>
        <v>739.99991999999997</v>
      </c>
      <c r="K115" s="93">
        <f>IFERROR(VLOOKUP(E115,'Inventaire des produits'!$B$4:$J$1000,5,FALSE),"")</f>
        <v>0</v>
      </c>
      <c r="L115" s="301">
        <f>IFERROR(VLOOKUP(E115,'Inventaire des produits'!$B$4:$J$1000,6,FALSE),"")</f>
        <v>2.9169999999999998</v>
      </c>
      <c r="M115" s="51"/>
    </row>
    <row r="116" spans="2:14" x14ac:dyDescent="0.3">
      <c r="B116" s="378" t="s">
        <v>1704</v>
      </c>
      <c r="C116" s="340">
        <v>45320</v>
      </c>
      <c r="D116" s="337" t="s">
        <v>386</v>
      </c>
      <c r="E116" s="235" t="s">
        <v>64</v>
      </c>
      <c r="F116" s="271" t="str">
        <f>IFERROR(VLOOKUP(E116,'Inventaire des produits'!$B$4:$K$1000,2,0),"")</f>
        <v>POT DE SAUCE 2OZ NOIRE</v>
      </c>
      <c r="G116" s="230">
        <v>1400</v>
      </c>
      <c r="H116" s="76">
        <v>0.25</v>
      </c>
      <c r="I116" s="95">
        <f t="shared" si="2"/>
        <v>350</v>
      </c>
      <c r="J116" s="95">
        <f t="shared" si="3"/>
        <v>420</v>
      </c>
      <c r="K116" s="93">
        <f>IFERROR(VLOOKUP(E116,'Inventaire des produits'!$B$4:$J$1000,5,FALSE),"")</f>
        <v>0</v>
      </c>
      <c r="L116" s="301">
        <f>IFERROR(VLOOKUP(E116,'Inventaire des produits'!$B$4:$J$1000,6,FALSE),"")</f>
        <v>0.13339999999999999</v>
      </c>
      <c r="M116" s="51">
        <v>1840</v>
      </c>
    </row>
    <row r="117" spans="2:14" x14ac:dyDescent="0.3">
      <c r="B117" s="378" t="s">
        <v>1704</v>
      </c>
      <c r="C117" s="341"/>
      <c r="D117" s="338"/>
      <c r="E117" s="235" t="s">
        <v>269</v>
      </c>
      <c r="F117" s="271" t="str">
        <f>IFERROR(VLOOKUP(E117,'Inventaire des produits'!$B$4:$K$1000,2,0),"")</f>
        <v>BARQUETTE TRAITEUR 750CC MICRON ONDABLE CARTON 250PCS</v>
      </c>
      <c r="G117" s="231">
        <v>1</v>
      </c>
      <c r="H117" s="77">
        <v>666.66</v>
      </c>
      <c r="I117" s="95">
        <f t="shared" si="2"/>
        <v>666.66</v>
      </c>
      <c r="J117" s="95">
        <f t="shared" si="3"/>
        <v>799.99199999999996</v>
      </c>
      <c r="K117" s="93">
        <f>IFERROR(VLOOKUP(E117,'Inventaire des produits'!$B$4:$J$1000,5,FALSE),"")</f>
        <v>0</v>
      </c>
      <c r="L117" s="301">
        <f>IFERROR(VLOOKUP(E117,'Inventaire des produits'!$B$4:$J$1000,6,FALSE),"")</f>
        <v>375</v>
      </c>
      <c r="M117" s="51"/>
    </row>
    <row r="118" spans="2:14" x14ac:dyDescent="0.3">
      <c r="B118" s="378" t="s">
        <v>1704</v>
      </c>
      <c r="C118" s="341"/>
      <c r="D118" s="338"/>
      <c r="E118" s="235" t="s">
        <v>222</v>
      </c>
      <c r="F118" s="271" t="str">
        <f>IFERROR(VLOOKUP(E118,'Inventaire des produits'!$B$4:$K$1000,2,0),"")</f>
        <v>FILM ALIMENTAIRE ELEGENCE</v>
      </c>
      <c r="G118" s="231">
        <v>6</v>
      </c>
      <c r="H118" s="77">
        <v>30.556000000000001</v>
      </c>
      <c r="I118" s="95">
        <f t="shared" si="2"/>
        <v>183.33600000000001</v>
      </c>
      <c r="J118" s="95">
        <f t="shared" si="3"/>
        <v>220.00320000000002</v>
      </c>
      <c r="K118" s="93">
        <f>IFERROR(VLOOKUP(E118,'Inventaire des produits'!$B$4:$J$1000,5,FALSE),"")</f>
        <v>0</v>
      </c>
      <c r="L118" s="301">
        <f>IFERROR(VLOOKUP(E118,'Inventaire des produits'!$B$4:$J$1000,6,FALSE),"")</f>
        <v>20</v>
      </c>
      <c r="M118" s="51"/>
    </row>
    <row r="119" spans="2:14" x14ac:dyDescent="0.3">
      <c r="B119" s="378" t="s">
        <v>1704</v>
      </c>
      <c r="C119" s="342"/>
      <c r="D119" s="339"/>
      <c r="E119" s="235" t="s">
        <v>224</v>
      </c>
      <c r="F119" s="271" t="str">
        <f>IFERROR(VLOOKUP(E119,'Inventaire des produits'!$B$4:$K$1000,2,0),"")</f>
        <v>FOURCHETTE LUX</v>
      </c>
      <c r="G119" s="64">
        <v>20</v>
      </c>
      <c r="H119" s="77">
        <v>16.666666666699999</v>
      </c>
      <c r="I119" s="95">
        <f t="shared" si="2"/>
        <v>333.33333333399997</v>
      </c>
      <c r="J119" s="95">
        <f t="shared" si="3"/>
        <v>400.00000000079996</v>
      </c>
      <c r="K119" s="93">
        <f>IFERROR(VLOOKUP(E119,'Inventaire des produits'!$B$4:$J$1000,5,FALSE),"")</f>
        <v>0</v>
      </c>
      <c r="L119" s="301">
        <f>IFERROR(VLOOKUP(E119,'Inventaire des produits'!$B$4:$J$1000,6,FALSE),"")</f>
        <v>14.382</v>
      </c>
      <c r="M119" s="51"/>
    </row>
    <row r="120" spans="2:14" x14ac:dyDescent="0.3">
      <c r="B120" s="378" t="s">
        <v>1704</v>
      </c>
      <c r="C120" s="340">
        <v>45322</v>
      </c>
      <c r="D120" s="337" t="s">
        <v>394</v>
      </c>
      <c r="E120" s="235" t="s">
        <v>203</v>
      </c>
      <c r="F120" s="271" t="str">
        <f>IFERROR(VLOOKUP(E120,'Inventaire des produits'!$B$4:$K$1000,2,0),"")</f>
        <v>BARQUETTE ALUMINIUM 81200</v>
      </c>
      <c r="G120" s="230">
        <v>1400</v>
      </c>
      <c r="H120" s="76">
        <v>1.0711900000000001</v>
      </c>
      <c r="I120" s="95">
        <f t="shared" si="2"/>
        <v>1499.6660000000002</v>
      </c>
      <c r="J120" s="95">
        <f t="shared" si="3"/>
        <v>1799.5992000000001</v>
      </c>
      <c r="K120" s="93">
        <f>IFERROR(VLOOKUP(E120,'Inventaire des produits'!$B$4:$J$1000,5,FALSE),"")</f>
        <v>0</v>
      </c>
      <c r="L120" s="301">
        <f>IFERROR(VLOOKUP(E120,'Inventaire des produits'!$B$4:$J$1000,6,FALSE),"")</f>
        <v>1</v>
      </c>
      <c r="M120" s="51">
        <v>3020</v>
      </c>
    </row>
    <row r="121" spans="2:14" x14ac:dyDescent="0.3">
      <c r="B121" s="378" t="s">
        <v>1704</v>
      </c>
      <c r="C121" s="341"/>
      <c r="D121" s="338"/>
      <c r="E121" s="235" t="s">
        <v>345</v>
      </c>
      <c r="F121" s="271" t="str">
        <f>IFERROR(VLOOKUP(E121,'Inventaire des produits'!$B$4:$K$1000,2,0),"")</f>
        <v>POT DE SAUCE EN PLAST TRANSP 20ML</v>
      </c>
      <c r="G121" s="231">
        <v>6000</v>
      </c>
      <c r="H121" s="77">
        <v>0.1</v>
      </c>
      <c r="I121" s="95">
        <f t="shared" si="2"/>
        <v>600</v>
      </c>
      <c r="J121" s="95">
        <f t="shared" si="3"/>
        <v>720</v>
      </c>
      <c r="K121" s="93">
        <f>IFERROR(VLOOKUP(E121,'Inventaire des produits'!$B$4:$J$1000,5,FALSE),"")</f>
        <v>0</v>
      </c>
      <c r="L121" s="301">
        <f>IFERROR(VLOOKUP(E121,'Inventaire des produits'!$B$4:$J$1000,6,FALSE),"")</f>
        <v>8.3333333300000006E-2</v>
      </c>
      <c r="M121" s="51"/>
    </row>
    <row r="122" spans="2:14" x14ac:dyDescent="0.3">
      <c r="B122" s="378" t="s">
        <v>1704</v>
      </c>
      <c r="C122" s="342"/>
      <c r="D122" s="339"/>
      <c r="E122" s="235" t="s">
        <v>365</v>
      </c>
      <c r="F122" s="271" t="str">
        <f>IFERROR(VLOOKUP(E122,'Inventaire des produits'!$B$4:$K$1000,2,0),"")</f>
        <v>PAILLE 6MM CODE ENVELOPPE TRANS 100/50 PCS</v>
      </c>
      <c r="G122" s="231">
        <v>50</v>
      </c>
      <c r="H122" s="77">
        <v>8.34</v>
      </c>
      <c r="I122" s="95">
        <f t="shared" si="2"/>
        <v>417</v>
      </c>
      <c r="J122" s="95">
        <f t="shared" si="3"/>
        <v>500.4</v>
      </c>
      <c r="K122" s="93">
        <f>IFERROR(VLOOKUP(E122,'Inventaire des produits'!$B$4:$J$1000,5,FALSE),"")</f>
        <v>0</v>
      </c>
      <c r="L122" s="301">
        <f>IFERROR(VLOOKUP(E122,'Inventaire des produits'!$B$4:$J$1000,6,FALSE),"")</f>
        <v>4.9166666667000003</v>
      </c>
      <c r="M122" s="51"/>
    </row>
    <row r="123" spans="2:14" x14ac:dyDescent="0.3">
      <c r="B123" s="378" t="s">
        <v>1704</v>
      </c>
      <c r="C123" s="55">
        <v>45324</v>
      </c>
      <c r="D123" s="54" t="s">
        <v>397</v>
      </c>
      <c r="E123" s="235" t="s">
        <v>127</v>
      </c>
      <c r="F123" s="271" t="str">
        <f>IFERROR(VLOOKUP(E123,'Inventaire des produits'!$B$4:$K$1000,2,0),"")</f>
        <v>SERVIETTE DE TABLE SEVAN 1PLI</v>
      </c>
      <c r="G123" s="247">
        <v>1200</v>
      </c>
      <c r="H123" s="79">
        <v>3.1669999999999998</v>
      </c>
      <c r="I123" s="95">
        <f t="shared" si="2"/>
        <v>3800.3999999999996</v>
      </c>
      <c r="J123" s="95">
        <f t="shared" si="3"/>
        <v>4560.4799999999996</v>
      </c>
      <c r="K123" s="93">
        <f>IFERROR(VLOOKUP(E123,'Inventaire des produits'!$B$4:$J$1000,5,FALSE),"")</f>
        <v>0</v>
      </c>
      <c r="L123" s="301">
        <f>IFERROR(VLOOKUP(E123,'Inventaire des produits'!$B$4:$J$1000,6,FALSE),"")</f>
        <v>2.9169999999999998</v>
      </c>
      <c r="M123" s="51">
        <v>4560</v>
      </c>
    </row>
    <row r="124" spans="2:14" x14ac:dyDescent="0.3">
      <c r="B124" s="378" t="s">
        <v>1704</v>
      </c>
      <c r="C124" s="340">
        <v>45325</v>
      </c>
      <c r="D124" s="337" t="s">
        <v>398</v>
      </c>
      <c r="E124" s="235" t="s">
        <v>229</v>
      </c>
      <c r="F124" s="271" t="str">
        <f>IFERROR(VLOOKUP(E124,'Inventaire des produits'!$B$4:$K$1000,2,0),"")</f>
        <v>BARQUETTE MICRON ONDABLE 3 COMP AVEC CVL 300PCS</v>
      </c>
      <c r="G124" s="230">
        <v>2</v>
      </c>
      <c r="H124" s="76">
        <v>820.64800000000002</v>
      </c>
      <c r="I124" s="95">
        <f t="shared" si="2"/>
        <v>1641.296</v>
      </c>
      <c r="J124" s="95">
        <f t="shared" si="3"/>
        <v>1969.5552</v>
      </c>
      <c r="K124" s="93">
        <f>IFERROR(VLOOKUP(E124,'Inventaire des produits'!$B$4:$J$1000,5,FALSE),"")</f>
        <v>0</v>
      </c>
      <c r="L124" s="301">
        <f>IFERROR(VLOOKUP(E124,'Inventaire des produits'!$B$4:$J$1000,6,FALSE),"")</f>
        <v>500</v>
      </c>
      <c r="M124" s="51">
        <v>3615</v>
      </c>
      <c r="N124" s="52" t="s">
        <v>473</v>
      </c>
    </row>
    <row r="125" spans="2:14" x14ac:dyDescent="0.3">
      <c r="B125" s="378" t="s">
        <v>1704</v>
      </c>
      <c r="C125" s="341"/>
      <c r="D125" s="338"/>
      <c r="E125" s="235" t="s">
        <v>162</v>
      </c>
      <c r="F125" s="271" t="str">
        <f>IFERROR(VLOOKUP(E125,'Inventaire des produits'!$B$4:$K$1000,2,0),"")</f>
        <v>COQUILLE LUNCH BOX LARGE HB10 BLANC</v>
      </c>
      <c r="G125" s="231">
        <v>400</v>
      </c>
      <c r="H125" s="77">
        <v>1</v>
      </c>
      <c r="I125" s="95">
        <f t="shared" si="2"/>
        <v>400</v>
      </c>
      <c r="J125" s="95">
        <f t="shared" si="3"/>
        <v>480</v>
      </c>
      <c r="K125" s="93">
        <f>IFERROR(VLOOKUP(E125,'Inventaire des produits'!$B$4:$J$1000,5,FALSE),"")</f>
        <v>0</v>
      </c>
      <c r="L125" s="301">
        <f>IFERROR(VLOOKUP(E125,'Inventaire des produits'!$B$4:$J$1000,6,FALSE),"")</f>
        <v>0.75</v>
      </c>
      <c r="M125" s="51"/>
    </row>
    <row r="126" spans="2:14" x14ac:dyDescent="0.3">
      <c r="B126" s="378" t="s">
        <v>1704</v>
      </c>
      <c r="C126" s="341"/>
      <c r="D126" s="338"/>
      <c r="E126" s="235" t="s">
        <v>236</v>
      </c>
      <c r="F126" s="271" t="str">
        <f>IFERROR(VLOOKUP(E126,'Inventaire des produits'!$B$4:$K$1000,2,0),"")</f>
        <v>COQUILLE MEAL BOX 2 COMP BLANC</v>
      </c>
      <c r="G126" s="53">
        <v>400</v>
      </c>
      <c r="H126" s="77">
        <v>1.25</v>
      </c>
      <c r="I126" s="95">
        <f t="shared" si="2"/>
        <v>500</v>
      </c>
      <c r="J126" s="95">
        <f t="shared" si="3"/>
        <v>600</v>
      </c>
      <c r="K126" s="93">
        <f>IFERROR(VLOOKUP(E126,'Inventaire des produits'!$B$4:$J$1000,5,FALSE),"")</f>
        <v>0</v>
      </c>
      <c r="L126" s="301">
        <f>IFERROR(VLOOKUP(E126,'Inventaire des produits'!$B$4:$J$1000,6,FALSE),"")</f>
        <v>0.91666666669999997</v>
      </c>
      <c r="M126" s="51"/>
    </row>
    <row r="127" spans="2:14" x14ac:dyDescent="0.3">
      <c r="B127" s="378" t="s">
        <v>1704</v>
      </c>
      <c r="C127" s="341"/>
      <c r="D127" s="338"/>
      <c r="E127" s="235" t="s">
        <v>181</v>
      </c>
      <c r="F127" s="271" t="str">
        <f>IFERROR(VLOOKUP(E127,'Inventaire des produits'!$B$4:$K$1000,2,0),"")</f>
        <v>FILM ALIMENTAIRE 900GR</v>
      </c>
      <c r="G127" s="53">
        <v>8</v>
      </c>
      <c r="H127" s="77">
        <v>29.5</v>
      </c>
      <c r="I127" s="95">
        <f t="shared" si="2"/>
        <v>236</v>
      </c>
      <c r="J127" s="95">
        <f t="shared" si="3"/>
        <v>283.2</v>
      </c>
      <c r="K127" s="93">
        <f>IFERROR(VLOOKUP(E127,'Inventaire des produits'!$B$4:$J$1000,5,FALSE),"")</f>
        <v>0</v>
      </c>
      <c r="L127" s="301">
        <f>IFERROR(VLOOKUP(E127,'Inventaire des produits'!$B$4:$J$1000,6,FALSE),"")</f>
        <v>22.5</v>
      </c>
      <c r="M127" s="51"/>
    </row>
    <row r="128" spans="2:14" x14ac:dyDescent="0.3">
      <c r="B128" s="378" t="s">
        <v>1704</v>
      </c>
      <c r="C128" s="342"/>
      <c r="D128" s="339"/>
      <c r="E128" s="235" t="s">
        <v>63</v>
      </c>
      <c r="F128" s="271" t="str">
        <f>IFERROR(VLOOKUP(E128,'Inventaire des produits'!$B$4:$K$1000,2,0),"")</f>
        <v>SERVIETTE</v>
      </c>
      <c r="G128" s="53">
        <v>60</v>
      </c>
      <c r="H128" s="77">
        <v>3.92</v>
      </c>
      <c r="I128" s="95">
        <f t="shared" si="2"/>
        <v>235.2</v>
      </c>
      <c r="J128" s="95">
        <f t="shared" si="3"/>
        <v>282.23999999999995</v>
      </c>
      <c r="K128" s="93">
        <f>IFERROR(VLOOKUP(E128,'Inventaire des produits'!$B$4:$J$1000,5,FALSE),"")</f>
        <v>0</v>
      </c>
      <c r="L128" s="301">
        <f>IFERROR(VLOOKUP(E128,'Inventaire des produits'!$B$4:$J$1000,6,FALSE),"")</f>
        <v>2.4166666666999999</v>
      </c>
      <c r="M128" s="51"/>
    </row>
    <row r="129" spans="2:14" x14ac:dyDescent="0.3">
      <c r="B129" s="378" t="s">
        <v>1704</v>
      </c>
      <c r="C129" s="61">
        <v>45327</v>
      </c>
      <c r="D129" s="59" t="s">
        <v>399</v>
      </c>
      <c r="E129" s="235" t="s">
        <v>166</v>
      </c>
      <c r="F129" s="271" t="str">
        <f>IFERROR(VLOOKUP(E129,'Inventaire des produits'!$B$4:$K$1000,2,0),"")</f>
        <v>GANT VINYL LARGE/100PCS</v>
      </c>
      <c r="G129" s="230">
        <v>188</v>
      </c>
      <c r="H129" s="76">
        <v>29.255299999999998</v>
      </c>
      <c r="I129" s="95">
        <f t="shared" si="2"/>
        <v>5499.9964</v>
      </c>
      <c r="J129" s="95">
        <f t="shared" si="3"/>
        <v>6599.99568</v>
      </c>
      <c r="K129" s="93">
        <f>IFERROR(VLOOKUP(E129,'Inventaire des produits'!$B$4:$J$1000,5,FALSE),"")</f>
        <v>0</v>
      </c>
      <c r="L129" s="301">
        <f>IFERROR(VLOOKUP(E129,'Inventaire des produits'!$B$4:$J$1000,6,FALSE),"")</f>
        <v>24.17</v>
      </c>
      <c r="M129" s="51">
        <v>6600</v>
      </c>
      <c r="N129" s="52" t="s">
        <v>473</v>
      </c>
    </row>
    <row r="130" spans="2:14" x14ac:dyDescent="0.3">
      <c r="B130" s="378" t="s">
        <v>1704</v>
      </c>
      <c r="C130" s="340">
        <v>45327</v>
      </c>
      <c r="D130" s="337" t="s">
        <v>400</v>
      </c>
      <c r="E130" s="235" t="s">
        <v>128</v>
      </c>
      <c r="F130" s="271" t="str">
        <f>IFERROR(VLOOKUP(E130,'Inventaire des produits'!$B$4:$K$1000,2,0),"")</f>
        <v>ESSUIE MAIN PROF</v>
      </c>
      <c r="G130" s="230">
        <v>6</v>
      </c>
      <c r="H130" s="76">
        <v>29.95</v>
      </c>
      <c r="I130" s="95">
        <f t="shared" si="2"/>
        <v>179.7</v>
      </c>
      <c r="J130" s="95">
        <f t="shared" si="3"/>
        <v>215.64</v>
      </c>
      <c r="K130" s="93">
        <f>IFERROR(VLOOKUP(E130,'Inventaire des produits'!$B$4:$J$1000,5,FALSE),"")</f>
        <v>0</v>
      </c>
      <c r="L130" s="301">
        <f>IFERROR(VLOOKUP(E130,'Inventaire des produits'!$B$4:$J$1000,6,FALSE),"")</f>
        <v>20.832999999999998</v>
      </c>
      <c r="M130" s="62">
        <v>717</v>
      </c>
      <c r="N130" s="52" t="s">
        <v>472</v>
      </c>
    </row>
    <row r="131" spans="2:14" x14ac:dyDescent="0.3">
      <c r="B131" s="378" t="s">
        <v>1704</v>
      </c>
      <c r="C131" s="341"/>
      <c r="D131" s="338"/>
      <c r="E131" s="235" t="s">
        <v>250</v>
      </c>
      <c r="F131" s="271" t="str">
        <f>IFERROR(VLOOKUP(E131,'Inventaire des produits'!$B$4:$K$1000,2,0),"")</f>
        <v>FOURCHETTE ECOLUXE</v>
      </c>
      <c r="G131" s="231">
        <v>4</v>
      </c>
      <c r="H131" s="77">
        <v>23.333300000000001</v>
      </c>
      <c r="I131" s="95">
        <f t="shared" si="2"/>
        <v>93.333200000000005</v>
      </c>
      <c r="J131" s="95">
        <f t="shared" si="3"/>
        <v>111.99984000000001</v>
      </c>
      <c r="K131" s="93">
        <f>IFERROR(VLOOKUP(E131,'Inventaire des produits'!$B$4:$J$1000,5,FALSE),"")</f>
        <v>0</v>
      </c>
      <c r="L131" s="301">
        <f>IFERROR(VLOOKUP(E131,'Inventaire des produits'!$B$4:$J$1000,6,FALSE),"")</f>
        <v>15.84</v>
      </c>
      <c r="M131" s="62"/>
    </row>
    <row r="132" spans="2:14" x14ac:dyDescent="0.3">
      <c r="B132" s="378" t="s">
        <v>1704</v>
      </c>
      <c r="C132" s="341"/>
      <c r="D132" s="338"/>
      <c r="E132" s="235" t="s">
        <v>251</v>
      </c>
      <c r="F132" s="271" t="str">
        <f>IFERROR(VLOOKUP(E132,'Inventaire des produits'!$B$4:$K$1000,2,0),"")</f>
        <v>COUTEAU ECOLUXE</v>
      </c>
      <c r="G132" s="53">
        <v>4</v>
      </c>
      <c r="H132" s="77">
        <v>23.333300000000001</v>
      </c>
      <c r="I132" s="95">
        <f t="shared" si="2"/>
        <v>93.333200000000005</v>
      </c>
      <c r="J132" s="95">
        <f t="shared" si="3"/>
        <v>111.99984000000001</v>
      </c>
      <c r="K132" s="93">
        <f>IFERROR(VLOOKUP(E132,'Inventaire des produits'!$B$4:$J$1000,5,FALSE),"")</f>
        <v>0</v>
      </c>
      <c r="L132" s="301">
        <f>IFERROR(VLOOKUP(E132,'Inventaire des produits'!$B$4:$J$1000,6,FALSE),"")</f>
        <v>15.84</v>
      </c>
      <c r="M132" s="62"/>
    </row>
    <row r="133" spans="2:14" x14ac:dyDescent="0.3">
      <c r="B133" s="378" t="s">
        <v>1704</v>
      </c>
      <c r="C133" s="341"/>
      <c r="D133" s="338"/>
      <c r="E133" s="235" t="s">
        <v>111</v>
      </c>
      <c r="F133" s="271" t="str">
        <f>IFERROR(VLOOKUP(E133,'Inventaire des produits'!$B$4:$K$1000,2,0),"")</f>
        <v>SERVIETTE</v>
      </c>
      <c r="G133" s="53">
        <v>40</v>
      </c>
      <c r="H133" s="77">
        <v>4</v>
      </c>
      <c r="I133" s="95">
        <f t="shared" ref="I133:I196" si="4">IF(OR(G133="",H133=""),"",G133*H133)</f>
        <v>160</v>
      </c>
      <c r="J133" s="95">
        <f t="shared" ref="J133:J196" si="5">IF(OR(I133=""),"",I133*1.2)</f>
        <v>192</v>
      </c>
      <c r="K133" s="93">
        <f>IFERROR(VLOOKUP(E133,'Inventaire des produits'!$B$4:$J$1000,5,FALSE),"")</f>
        <v>0</v>
      </c>
      <c r="L133" s="301">
        <f>IFERROR(VLOOKUP(E133,'Inventaire des produits'!$B$4:$J$1000,6,FALSE),"")</f>
        <v>2.6416666666999999</v>
      </c>
      <c r="M133" s="62"/>
    </row>
    <row r="134" spans="2:14" x14ac:dyDescent="0.3">
      <c r="B134" s="378" t="s">
        <v>1704</v>
      </c>
      <c r="C134" s="342"/>
      <c r="D134" s="339"/>
      <c r="E134" s="235" t="s">
        <v>335</v>
      </c>
      <c r="F134" s="271" t="str">
        <f>IFERROR(VLOOKUP(E134,'Inventaire des produits'!$B$4:$K$1000,2,0),"")</f>
        <v>PALETTE A GLACE BLANC</v>
      </c>
      <c r="G134" s="53">
        <v>3</v>
      </c>
      <c r="H134" s="77">
        <v>23.71</v>
      </c>
      <c r="I134" s="95">
        <f t="shared" si="4"/>
        <v>71.13</v>
      </c>
      <c r="J134" s="95">
        <f t="shared" si="5"/>
        <v>85.355999999999995</v>
      </c>
      <c r="K134" s="93">
        <f>IFERROR(VLOOKUP(E134,'Inventaire des produits'!$B$4:$J$1000,5,FALSE),"")</f>
        <v>0</v>
      </c>
      <c r="L134" s="301">
        <f>IFERROR(VLOOKUP(E134,'Inventaire des produits'!$B$4:$J$1000,6,FALSE),"")</f>
        <v>20</v>
      </c>
      <c r="M134" s="62"/>
    </row>
    <row r="135" spans="2:14" x14ac:dyDescent="0.3">
      <c r="B135" s="378" t="s">
        <v>1704</v>
      </c>
      <c r="C135" s="55">
        <v>45328</v>
      </c>
      <c r="D135" s="54" t="s">
        <v>416</v>
      </c>
      <c r="E135" s="235" t="s">
        <v>369</v>
      </c>
      <c r="F135" s="271" t="str">
        <f>IFERROR(VLOOKUP(E135,'Inventaire des produits'!$B$4:$K$1000,2,0),"")</f>
        <v>ROULEAU DE CAISSE THERMIQUE 70X80 CT 50RLX</v>
      </c>
      <c r="G135" s="230">
        <v>100</v>
      </c>
      <c r="H135" s="76">
        <v>11.333333</v>
      </c>
      <c r="I135" s="95">
        <f t="shared" si="4"/>
        <v>1133.3333</v>
      </c>
      <c r="J135" s="95">
        <f t="shared" si="5"/>
        <v>1359.9999599999999</v>
      </c>
      <c r="K135" s="93">
        <f>IFERROR(VLOOKUP(E135,'Inventaire des produits'!$B$4:$J$1000,5,FALSE),"")</f>
        <v>0</v>
      </c>
      <c r="L135" s="301">
        <f>IFERROR(VLOOKUP(E135,'Inventaire des produits'!$B$4:$J$1000,6,FALSE),"")</f>
        <v>8.5</v>
      </c>
      <c r="M135" s="62">
        <v>1360</v>
      </c>
      <c r="N135" s="52" t="s">
        <v>472</v>
      </c>
    </row>
    <row r="136" spans="2:14" x14ac:dyDescent="0.3">
      <c r="B136" s="378" t="s">
        <v>1704</v>
      </c>
      <c r="C136" s="340">
        <v>45329</v>
      </c>
      <c r="D136" s="337" t="s">
        <v>420</v>
      </c>
      <c r="E136" s="235" t="s">
        <v>127</v>
      </c>
      <c r="F136" s="271" t="str">
        <f>IFERROR(VLOOKUP(E136,'Inventaire des produits'!$B$4:$K$1000,2,0),"")</f>
        <v>SERVIETTE DE TABLE SEVAN 1PLI</v>
      </c>
      <c r="G136" s="50">
        <v>380</v>
      </c>
      <c r="H136" s="76">
        <v>3.5590000000000002</v>
      </c>
      <c r="I136" s="95">
        <f t="shared" si="4"/>
        <v>1352.42</v>
      </c>
      <c r="J136" s="95">
        <f t="shared" si="5"/>
        <v>1622.904</v>
      </c>
      <c r="K136" s="93">
        <f>IFERROR(VLOOKUP(E136,'Inventaire des produits'!$B$4:$J$1000,5,FALSE),"")</f>
        <v>0</v>
      </c>
      <c r="L136" s="301">
        <f>IFERROR(VLOOKUP(E136,'Inventaire des produits'!$B$4:$J$1000,6,FALSE),"")</f>
        <v>2.9169999999999998</v>
      </c>
      <c r="M136" s="62">
        <v>8977</v>
      </c>
      <c r="N136" s="52" t="s">
        <v>473</v>
      </c>
    </row>
    <row r="137" spans="2:14" x14ac:dyDescent="0.3">
      <c r="B137" s="378" t="s">
        <v>1704</v>
      </c>
      <c r="C137" s="341"/>
      <c r="D137" s="338"/>
      <c r="E137" s="235" t="s">
        <v>240</v>
      </c>
      <c r="F137" s="271" t="str">
        <f>IFERROR(VLOOKUP(E137,'Inventaire des produits'!$B$4:$K$1000,2,0),"")</f>
        <v>BARQUETTE ALUMINIUM 83420</v>
      </c>
      <c r="G137" s="53">
        <v>2000</v>
      </c>
      <c r="H137" s="77">
        <v>0.57399999999999995</v>
      </c>
      <c r="I137" s="95">
        <f t="shared" si="4"/>
        <v>1148</v>
      </c>
      <c r="J137" s="95">
        <f t="shared" si="5"/>
        <v>1377.6</v>
      </c>
      <c r="K137" s="93">
        <f>IFERROR(VLOOKUP(E137,'Inventaire des produits'!$B$4:$J$1000,5,FALSE),"")</f>
        <v>0</v>
      </c>
      <c r="L137" s="301">
        <f>IFERROR(VLOOKUP(E137,'Inventaire des produits'!$B$4:$J$1000,6,FALSE),"")</f>
        <v>0.32</v>
      </c>
      <c r="M137" s="62"/>
    </row>
    <row r="138" spans="2:14" x14ac:dyDescent="0.3">
      <c r="B138" s="378" t="s">
        <v>1704</v>
      </c>
      <c r="C138" s="341"/>
      <c r="D138" s="338"/>
      <c r="E138" s="235" t="s">
        <v>79</v>
      </c>
      <c r="F138" s="271" t="str">
        <f>IFERROR(VLOOKUP(E138,'Inventaire des produits'!$B$4:$K$1000,2,0),"")</f>
        <v>FILM PVC ETIRABLE 300*30 ECO</v>
      </c>
      <c r="G138" s="53">
        <v>50</v>
      </c>
      <c r="H138" s="77">
        <v>27.71</v>
      </c>
      <c r="I138" s="95">
        <f t="shared" si="4"/>
        <v>1385.5</v>
      </c>
      <c r="J138" s="95">
        <f t="shared" si="5"/>
        <v>1662.6</v>
      </c>
      <c r="K138" s="93">
        <f>IFERROR(VLOOKUP(E138,'Inventaire des produits'!$B$4:$J$1000,5,FALSE),"")</f>
        <v>0</v>
      </c>
      <c r="L138" s="301">
        <f>IFERROR(VLOOKUP(E138,'Inventaire des produits'!$B$4:$J$1000,6,FALSE),"")</f>
        <v>12.0275</v>
      </c>
      <c r="M138" s="62"/>
    </row>
    <row r="139" spans="2:14" x14ac:dyDescent="0.3">
      <c r="B139" s="378" t="s">
        <v>1704</v>
      </c>
      <c r="C139" s="341"/>
      <c r="D139" s="338"/>
      <c r="E139" s="235" t="s">
        <v>248</v>
      </c>
      <c r="F139" s="271" t="str">
        <f>IFERROR(VLOOKUP(E139,'Inventaire des produits'!$B$4:$K$1000,2,0),"")</f>
        <v>BARQUETTE SUSHI ST5 216*136*20+CVRCL</v>
      </c>
      <c r="G139" s="53">
        <v>800</v>
      </c>
      <c r="H139" s="77">
        <v>1.669</v>
      </c>
      <c r="I139" s="95">
        <f t="shared" si="4"/>
        <v>1335.2</v>
      </c>
      <c r="J139" s="95">
        <f t="shared" si="5"/>
        <v>1602.24</v>
      </c>
      <c r="K139" s="93">
        <f>IFERROR(VLOOKUP(E139,'Inventaire des produits'!$B$4:$J$1000,5,FALSE),"")</f>
        <v>0</v>
      </c>
      <c r="L139" s="301">
        <f>IFERROR(VLOOKUP(E139,'Inventaire des produits'!$B$4:$J$1000,6,FALSE),"")</f>
        <v>1.3166666667</v>
      </c>
      <c r="M139" s="62"/>
    </row>
    <row r="140" spans="2:14" x14ac:dyDescent="0.3">
      <c r="B140" s="378" t="s">
        <v>1704</v>
      </c>
      <c r="C140" s="341"/>
      <c r="D140" s="338"/>
      <c r="E140" s="235" t="s">
        <v>252</v>
      </c>
      <c r="F140" s="271" t="str">
        <f>IFERROR(VLOOKUP(E140,'Inventaire des produits'!$B$4:$K$1000,2,0),"")</f>
        <v>ESSUIE MAIN GKEM1KG</v>
      </c>
      <c r="G140" s="53">
        <v>40</v>
      </c>
      <c r="H140" s="77">
        <v>29</v>
      </c>
      <c r="I140" s="95">
        <f t="shared" si="4"/>
        <v>1160</v>
      </c>
      <c r="J140" s="95">
        <f t="shared" si="5"/>
        <v>1392</v>
      </c>
      <c r="K140" s="93">
        <f>IFERROR(VLOOKUP(E140,'Inventaire des produits'!$B$4:$J$1000,5,FALSE),"")</f>
        <v>0</v>
      </c>
      <c r="L140" s="301">
        <f>IFERROR(VLOOKUP(E140,'Inventaire des produits'!$B$4:$J$1000,6,FALSE),"")</f>
        <v>20.83</v>
      </c>
      <c r="M140" s="62"/>
    </row>
    <row r="141" spans="2:14" x14ac:dyDescent="0.3">
      <c r="B141" s="378" t="s">
        <v>1704</v>
      </c>
      <c r="C141" s="342"/>
      <c r="D141" s="339"/>
      <c r="E141" s="235" t="s">
        <v>259</v>
      </c>
      <c r="F141" s="271" t="str">
        <f>IFERROR(VLOOKUP(E141,'Inventaire des produits'!$B$4:$K$1000,2,0),"")</f>
        <v>ROULEAU ALUMINIUM GOLDEN 200M</v>
      </c>
      <c r="G141" s="231">
        <v>15</v>
      </c>
      <c r="H141" s="77">
        <v>73.313999999999993</v>
      </c>
      <c r="I141" s="95">
        <f t="shared" si="4"/>
        <v>1099.7099999999998</v>
      </c>
      <c r="J141" s="95">
        <f t="shared" si="5"/>
        <v>1319.6519999999998</v>
      </c>
      <c r="K141" s="93">
        <f>IFERROR(VLOOKUP(E141,'Inventaire des produits'!$B$4:$J$1000,5,FALSE),"")</f>
        <v>0</v>
      </c>
      <c r="L141" s="301">
        <f>IFERROR(VLOOKUP(E141,'Inventaire des produits'!$B$4:$J$1000,6,FALSE),"")</f>
        <v>58.333333333299997</v>
      </c>
      <c r="M141" s="62"/>
    </row>
    <row r="142" spans="2:14" x14ac:dyDescent="0.3">
      <c r="B142" s="378" t="s">
        <v>1704</v>
      </c>
      <c r="C142" s="55">
        <v>45329</v>
      </c>
      <c r="D142" s="54" t="s">
        <v>421</v>
      </c>
      <c r="E142" s="235" t="s">
        <v>145</v>
      </c>
      <c r="F142" s="271" t="str">
        <f>IFERROR(VLOOKUP(E142,'Inventaire des produits'!$B$4:$K$1000,2,0),"")</f>
        <v>GOBLET 14OZ TRANSP SMART +CVBB</v>
      </c>
      <c r="G142" s="50">
        <v>5000</v>
      </c>
      <c r="H142" s="76">
        <v>0.65</v>
      </c>
      <c r="I142" s="95">
        <f t="shared" si="4"/>
        <v>3250</v>
      </c>
      <c r="J142" s="95">
        <f t="shared" si="5"/>
        <v>3900</v>
      </c>
      <c r="K142" s="93">
        <f>IFERROR(VLOOKUP(E142,'Inventaire des produits'!$B$4:$J$1000,5,FALSE),"")</f>
        <v>0</v>
      </c>
      <c r="L142" s="301">
        <f>IFERROR(VLOOKUP(E142,'Inventaire des produits'!$B$4:$J$1000,6,FALSE),"")</f>
        <v>0.52</v>
      </c>
      <c r="M142" s="62">
        <v>3900</v>
      </c>
      <c r="N142" s="52" t="s">
        <v>473</v>
      </c>
    </row>
    <row r="143" spans="2:14" x14ac:dyDescent="0.3">
      <c r="B143" s="378" t="s">
        <v>1704</v>
      </c>
      <c r="C143" s="55">
        <v>45329</v>
      </c>
      <c r="D143" s="54" t="s">
        <v>422</v>
      </c>
      <c r="E143" s="235" t="s">
        <v>299</v>
      </c>
      <c r="F143" s="271" t="str">
        <f>IFERROR(VLOOKUP(E143,'Inventaire des produits'!$B$4:$K$1000,2,0),"")</f>
        <v>BOITE CARRE 500</v>
      </c>
      <c r="G143" s="50">
        <v>10000</v>
      </c>
      <c r="H143" s="76">
        <v>0.45833333329999998</v>
      </c>
      <c r="I143" s="95">
        <f t="shared" si="4"/>
        <v>4583.3333329999996</v>
      </c>
      <c r="J143" s="95">
        <f t="shared" si="5"/>
        <v>5499.9999995999997</v>
      </c>
      <c r="K143" s="93">
        <f>IFERROR(VLOOKUP(E143,'Inventaire des produits'!$B$4:$J$1000,5,FALSE),"")</f>
        <v>0</v>
      </c>
      <c r="L143" s="301">
        <f>IFERROR(VLOOKUP(E143,'Inventaire des produits'!$B$4:$J$1000,6,FALSE),"")</f>
        <v>0.3</v>
      </c>
      <c r="M143" s="62">
        <v>5500</v>
      </c>
      <c r="N143" s="52" t="s">
        <v>473</v>
      </c>
    </row>
    <row r="144" spans="2:14" x14ac:dyDescent="0.3">
      <c r="B144" s="378" t="s">
        <v>1704</v>
      </c>
      <c r="C144" s="340">
        <v>45330</v>
      </c>
      <c r="D144" s="337" t="s">
        <v>427</v>
      </c>
      <c r="E144" s="235" t="s">
        <v>283</v>
      </c>
      <c r="F144" s="271" t="str">
        <f>IFERROR(VLOOKUP(E144,'Inventaire des produits'!$B$4:$K$1000,2,0),"")</f>
        <v>FILM ALIMENTAIRE 900G PET</v>
      </c>
      <c r="G144" s="50">
        <v>14</v>
      </c>
      <c r="H144" s="76">
        <v>30.129000000000001</v>
      </c>
      <c r="I144" s="95">
        <f t="shared" si="4"/>
        <v>421.80600000000004</v>
      </c>
      <c r="J144" s="95">
        <f t="shared" si="5"/>
        <v>506.16720000000004</v>
      </c>
      <c r="K144" s="93">
        <f>IFERROR(VLOOKUP(E144,'Inventaire des produits'!$B$4:$J$1000,5,FALSE),"")</f>
        <v>0</v>
      </c>
      <c r="L144" s="301">
        <f>IFERROR(VLOOKUP(E144,'Inventaire des produits'!$B$4:$J$1000,6,FALSE),"")</f>
        <v>21.84</v>
      </c>
      <c r="M144" s="62">
        <v>3450</v>
      </c>
      <c r="N144" s="52" t="s">
        <v>473</v>
      </c>
    </row>
    <row r="145" spans="2:14" x14ac:dyDescent="0.3">
      <c r="B145" s="378" t="s">
        <v>1704</v>
      </c>
      <c r="C145" s="341"/>
      <c r="D145" s="338"/>
      <c r="E145" s="235" t="s">
        <v>236</v>
      </c>
      <c r="F145" s="271" t="str">
        <f>IFERROR(VLOOKUP(E145,'Inventaire des produits'!$B$4:$K$1000,2,0),"")</f>
        <v>COQUILLE MEAL BOX 2 COMP BLANC</v>
      </c>
      <c r="G145" s="53">
        <v>600</v>
      </c>
      <c r="H145" s="77">
        <v>1.258</v>
      </c>
      <c r="I145" s="95">
        <f t="shared" si="4"/>
        <v>754.8</v>
      </c>
      <c r="J145" s="95">
        <f t="shared" si="5"/>
        <v>905.75999999999988</v>
      </c>
      <c r="K145" s="93">
        <f>IFERROR(VLOOKUP(E145,'Inventaire des produits'!$B$4:$J$1000,5,FALSE),"")</f>
        <v>0</v>
      </c>
      <c r="L145" s="301">
        <f>IFERROR(VLOOKUP(E145,'Inventaire des produits'!$B$4:$J$1000,6,FALSE),"")</f>
        <v>0.91666666669999997</v>
      </c>
      <c r="M145" s="62"/>
    </row>
    <row r="146" spans="2:14" x14ac:dyDescent="0.3">
      <c r="B146" s="378" t="s">
        <v>1704</v>
      </c>
      <c r="C146" s="341"/>
      <c r="D146" s="338"/>
      <c r="E146" s="235" t="s">
        <v>53</v>
      </c>
      <c r="F146" s="271" t="str">
        <f>IFERROR(VLOOKUP(E146,'Inventaire des produits'!$B$4:$K$1000,2,0),"")</f>
        <v>GANT VINYL EXTRA PREMIUM GLOVE MEDIUM</v>
      </c>
      <c r="G146" s="53">
        <v>24</v>
      </c>
      <c r="H146" s="77">
        <v>30.058</v>
      </c>
      <c r="I146" s="95">
        <f t="shared" si="4"/>
        <v>721.39200000000005</v>
      </c>
      <c r="J146" s="95">
        <f t="shared" si="5"/>
        <v>865.67040000000009</v>
      </c>
      <c r="K146" s="93">
        <f>IFERROR(VLOOKUP(E146,'Inventaire des produits'!$B$4:$J$1000,5,FALSE),"")</f>
        <v>0</v>
      </c>
      <c r="L146" s="301">
        <f>IFERROR(VLOOKUP(E146,'Inventaire des produits'!$B$4:$J$1000,6,FALSE),"")</f>
        <v>24.593333333299999</v>
      </c>
      <c r="M146" s="62"/>
    </row>
    <row r="147" spans="2:14" x14ac:dyDescent="0.3">
      <c r="B147" s="378" t="s">
        <v>1704</v>
      </c>
      <c r="C147" s="342"/>
      <c r="D147" s="339"/>
      <c r="E147" s="235" t="s">
        <v>203</v>
      </c>
      <c r="F147" s="271" t="str">
        <f>IFERROR(VLOOKUP(E147,'Inventaire des produits'!$B$4:$K$1000,2,0),"")</f>
        <v>BARQUETTE ALUMINIUM 81200</v>
      </c>
      <c r="G147" s="64">
        <v>1000</v>
      </c>
      <c r="H147" s="77">
        <v>0.97699999999999998</v>
      </c>
      <c r="I147" s="95">
        <f t="shared" si="4"/>
        <v>977</v>
      </c>
      <c r="J147" s="95">
        <f t="shared" si="5"/>
        <v>1172.3999999999999</v>
      </c>
      <c r="K147" s="93">
        <f>IFERROR(VLOOKUP(E147,'Inventaire des produits'!$B$4:$J$1000,5,FALSE),"")</f>
        <v>0</v>
      </c>
      <c r="L147" s="301">
        <f>IFERROR(VLOOKUP(E147,'Inventaire des produits'!$B$4:$J$1000,6,FALSE),"")</f>
        <v>1</v>
      </c>
      <c r="M147" s="62"/>
    </row>
    <row r="148" spans="2:14" x14ac:dyDescent="0.3">
      <c r="B148" s="378" t="s">
        <v>1704</v>
      </c>
      <c r="C148" s="340">
        <v>45330</v>
      </c>
      <c r="D148" s="359" t="s">
        <v>428</v>
      </c>
      <c r="E148" s="234" t="s">
        <v>250</v>
      </c>
      <c r="F148" s="271" t="str">
        <f>IFERROR(VLOOKUP(E148,'Inventaire des produits'!$B$4:$K$1000,2,0),"")</f>
        <v>FOURCHETTE ECOLUXE</v>
      </c>
      <c r="G148" s="50">
        <v>5</v>
      </c>
      <c r="H148" s="76">
        <v>23.332999999999998</v>
      </c>
      <c r="I148" s="95">
        <f t="shared" si="4"/>
        <v>116.66499999999999</v>
      </c>
      <c r="J148" s="95">
        <f t="shared" si="5"/>
        <v>139.99799999999999</v>
      </c>
      <c r="K148" s="93">
        <f>IFERROR(VLOOKUP(E148,'Inventaire des produits'!$B$4:$J$1000,5,FALSE),"")</f>
        <v>0</v>
      </c>
      <c r="L148" s="301">
        <f>IFERROR(VLOOKUP(E148,'Inventaire des produits'!$B$4:$J$1000,6,FALSE),"")</f>
        <v>15.84</v>
      </c>
      <c r="M148" s="62">
        <v>1180</v>
      </c>
      <c r="N148" s="52" t="s">
        <v>472</v>
      </c>
    </row>
    <row r="149" spans="2:14" x14ac:dyDescent="0.3">
      <c r="B149" s="378" t="s">
        <v>1704</v>
      </c>
      <c r="C149" s="341"/>
      <c r="D149" s="360"/>
      <c r="E149" s="234" t="s">
        <v>251</v>
      </c>
      <c r="F149" s="271" t="str">
        <f>IFERROR(VLOOKUP(E149,'Inventaire des produits'!$B$4:$K$1000,2,0),"")</f>
        <v>COUTEAU ECOLUXE</v>
      </c>
      <c r="G149" s="53">
        <v>5</v>
      </c>
      <c r="H149" s="77">
        <v>23.332999999999998</v>
      </c>
      <c r="I149" s="95">
        <f t="shared" si="4"/>
        <v>116.66499999999999</v>
      </c>
      <c r="J149" s="95">
        <f t="shared" si="5"/>
        <v>139.99799999999999</v>
      </c>
      <c r="K149" s="93">
        <f>IFERROR(VLOOKUP(E149,'Inventaire des produits'!$B$4:$J$1000,5,FALSE),"")</f>
        <v>0</v>
      </c>
      <c r="L149" s="301">
        <f>IFERROR(VLOOKUP(E149,'Inventaire des produits'!$B$4:$J$1000,6,FALSE),"")</f>
        <v>15.84</v>
      </c>
      <c r="M149" s="62"/>
    </row>
    <row r="150" spans="2:14" x14ac:dyDescent="0.3">
      <c r="B150" s="378" t="s">
        <v>1704</v>
      </c>
      <c r="C150" s="341"/>
      <c r="D150" s="360"/>
      <c r="E150" s="236" t="s">
        <v>403</v>
      </c>
      <c r="F150" s="271" t="str">
        <f>IFERROR(VLOOKUP(E150,'Inventaire des produits'!$B$4:$K$1000,2,0),"")</f>
        <v>GOBLET 4OZ SANS CVL EN CARTON BON APETIT ECO GB</v>
      </c>
      <c r="G150" s="53">
        <v>2000</v>
      </c>
      <c r="H150" s="77">
        <v>0.1875</v>
      </c>
      <c r="I150" s="95">
        <f t="shared" si="4"/>
        <v>375</v>
      </c>
      <c r="J150" s="95">
        <f t="shared" si="5"/>
        <v>450</v>
      </c>
      <c r="K150" s="93">
        <f>IFERROR(VLOOKUP(E150,'Inventaire des produits'!$B$4:$J$1000,5,FALSE),"")</f>
        <v>0</v>
      </c>
      <c r="L150" s="301">
        <f>IFERROR(VLOOKUP(E150,'Inventaire des produits'!$B$4:$J$1000,6,FALSE),"")</f>
        <v>8.3375000000000005E-2</v>
      </c>
      <c r="M150" s="62"/>
    </row>
    <row r="151" spans="2:14" x14ac:dyDescent="0.3">
      <c r="B151" s="378" t="s">
        <v>1704</v>
      </c>
      <c r="C151" s="342"/>
      <c r="D151" s="361"/>
      <c r="E151" s="236" t="s">
        <v>404</v>
      </c>
      <c r="F151" s="271" t="str">
        <f>IFERROR(VLOOKUP(E151,'Inventaire des produits'!$B$4:$K$1000,2,0),"")</f>
        <v>CVL GOBLET 4OZ BLANC BON APETIT</v>
      </c>
      <c r="G151" s="64">
        <v>2000</v>
      </c>
      <c r="H151" s="78">
        <v>0.1875</v>
      </c>
      <c r="I151" s="95">
        <f t="shared" si="4"/>
        <v>375</v>
      </c>
      <c r="J151" s="95">
        <f t="shared" si="5"/>
        <v>450</v>
      </c>
      <c r="K151" s="93">
        <f>IFERROR(VLOOKUP(E151,'Inventaire des produits'!$B$4:$J$1000,5,FALSE),"")</f>
        <v>0</v>
      </c>
      <c r="L151" s="301">
        <f>IFERROR(VLOOKUP(E151,'Inventaire des produits'!$B$4:$J$1000,6,FALSE),"")</f>
        <v>8.3375000000000005E-2</v>
      </c>
      <c r="M151" s="62"/>
    </row>
    <row r="152" spans="2:14" x14ac:dyDescent="0.3">
      <c r="B152" s="378" t="s">
        <v>1704</v>
      </c>
      <c r="C152" s="340">
        <v>45331</v>
      </c>
      <c r="D152" s="337" t="s">
        <v>431</v>
      </c>
      <c r="E152" s="235" t="s">
        <v>479</v>
      </c>
      <c r="F152" s="271" t="str">
        <f>IFERROR(VLOOKUP(E152,'Inventaire des produits'!$B$4:$K$1000,2,0),"")</f>
        <v xml:space="preserve">SAC KRAFT 22*17*28 </v>
      </c>
      <c r="G152" s="230">
        <v>500</v>
      </c>
      <c r="H152" s="76">
        <v>1.0751999999999999</v>
      </c>
      <c r="I152" s="95">
        <f t="shared" si="4"/>
        <v>537.6</v>
      </c>
      <c r="J152" s="95">
        <f t="shared" si="5"/>
        <v>645.12</v>
      </c>
      <c r="K152" s="93">
        <f>IFERROR(VLOOKUP(E152,'Inventaire des produits'!$B$4:$J$1000,5,FALSE),"")</f>
        <v>0</v>
      </c>
      <c r="L152" s="301">
        <f>IFERROR(VLOOKUP(E152,'Inventaire des produits'!$B$4:$J$1000,6,FALSE),"")</f>
        <v>0.71</v>
      </c>
      <c r="M152" s="62">
        <v>2100</v>
      </c>
      <c r="N152" s="52" t="s">
        <v>473</v>
      </c>
    </row>
    <row r="153" spans="2:14" x14ac:dyDescent="0.3">
      <c r="B153" s="378" t="s">
        <v>1704</v>
      </c>
      <c r="C153" s="341"/>
      <c r="D153" s="338"/>
      <c r="E153" s="235" t="s">
        <v>345</v>
      </c>
      <c r="F153" s="271" t="str">
        <f>IFERROR(VLOOKUP(E153,'Inventaire des produits'!$B$4:$K$1000,2,0),"")</f>
        <v>POT DE SAUCE EN PLAST TRANSP 20ML</v>
      </c>
      <c r="G153" s="231">
        <v>7100</v>
      </c>
      <c r="H153" s="77">
        <v>0.10738</v>
      </c>
      <c r="I153" s="95">
        <f t="shared" si="4"/>
        <v>762.39800000000002</v>
      </c>
      <c r="J153" s="95">
        <f t="shared" si="5"/>
        <v>914.87760000000003</v>
      </c>
      <c r="K153" s="93">
        <f>IFERROR(VLOOKUP(E153,'Inventaire des produits'!$B$4:$J$1000,5,FALSE),"")</f>
        <v>0</v>
      </c>
      <c r="L153" s="301">
        <f>IFERROR(VLOOKUP(E153,'Inventaire des produits'!$B$4:$J$1000,6,FALSE),"")</f>
        <v>8.3333333300000006E-2</v>
      </c>
      <c r="M153" s="62"/>
    </row>
    <row r="154" spans="2:14" x14ac:dyDescent="0.3">
      <c r="B154" s="378" t="s">
        <v>1704</v>
      </c>
      <c r="C154" s="342"/>
      <c r="D154" s="339"/>
      <c r="E154" s="235" t="s">
        <v>127</v>
      </c>
      <c r="F154" s="271" t="str">
        <f>IFERROR(VLOOKUP(E154,'Inventaire des produits'!$B$4:$K$1000,2,0),"")</f>
        <v>SERVIETTE DE TABLE SEVAN 1PLI</v>
      </c>
      <c r="G154" s="231">
        <v>120</v>
      </c>
      <c r="H154" s="77">
        <v>3.75</v>
      </c>
      <c r="I154" s="95">
        <f t="shared" si="4"/>
        <v>450</v>
      </c>
      <c r="J154" s="95">
        <f t="shared" si="5"/>
        <v>540</v>
      </c>
      <c r="K154" s="93">
        <f>IFERROR(VLOOKUP(E154,'Inventaire des produits'!$B$4:$J$1000,5,FALSE),"")</f>
        <v>0</v>
      </c>
      <c r="L154" s="301">
        <f>IFERROR(VLOOKUP(E154,'Inventaire des produits'!$B$4:$J$1000,6,FALSE),"")</f>
        <v>2.9169999999999998</v>
      </c>
      <c r="M154" s="62"/>
    </row>
    <row r="155" spans="2:14" x14ac:dyDescent="0.3">
      <c r="B155" s="378" t="s">
        <v>1704</v>
      </c>
      <c r="C155" s="61">
        <v>45331</v>
      </c>
      <c r="D155" s="59" t="s">
        <v>435</v>
      </c>
      <c r="E155" s="235" t="s">
        <v>432</v>
      </c>
      <c r="F155" s="271" t="str">
        <f>IFERROR(VLOOKUP(E155,'Inventaire des produits'!$B$4:$K$1000,2,0),"")</f>
        <v>AGITATEUR EN PLAST ECON TRANSP 1000P</v>
      </c>
      <c r="G155" s="230">
        <v>30</v>
      </c>
      <c r="H155" s="76">
        <v>27.196999999999999</v>
      </c>
      <c r="I155" s="95">
        <f t="shared" si="4"/>
        <v>815.91</v>
      </c>
      <c r="J155" s="95">
        <f t="shared" si="5"/>
        <v>979.09199999999987</v>
      </c>
      <c r="K155" s="93">
        <f>IFERROR(VLOOKUP(E155,'Inventaire des produits'!$B$4:$J$1000,5,FALSE),"")</f>
        <v>0</v>
      </c>
      <c r="L155" s="301">
        <f>IFERROR(VLOOKUP(E155,'Inventaire des produits'!$B$4:$J$1000,6,FALSE),"")</f>
        <v>20.833333332999999</v>
      </c>
      <c r="M155" s="62">
        <v>979.09</v>
      </c>
    </row>
    <row r="156" spans="2:14" x14ac:dyDescent="0.3">
      <c r="B156" s="378" t="s">
        <v>1704</v>
      </c>
      <c r="C156" s="340">
        <v>45332</v>
      </c>
      <c r="D156" s="337" t="s">
        <v>436</v>
      </c>
      <c r="E156" s="235" t="s">
        <v>222</v>
      </c>
      <c r="F156" s="271" t="str">
        <f>IFERROR(VLOOKUP(E156,'Inventaire des produits'!$B$4:$K$1000,2,0),"")</f>
        <v>FILM ALIMENTAIRE ELEGENCE</v>
      </c>
      <c r="G156" s="50">
        <v>34</v>
      </c>
      <c r="H156" s="76">
        <v>30.129000000000001</v>
      </c>
      <c r="I156" s="95">
        <f t="shared" si="4"/>
        <v>1024.386</v>
      </c>
      <c r="J156" s="95">
        <f t="shared" si="5"/>
        <v>1229.2631999999999</v>
      </c>
      <c r="K156" s="93">
        <f>IFERROR(VLOOKUP(E156,'Inventaire des produits'!$B$4:$J$1000,5,FALSE),"")</f>
        <v>0</v>
      </c>
      <c r="L156" s="301">
        <f>IFERROR(VLOOKUP(E156,'Inventaire des produits'!$B$4:$J$1000,6,FALSE),"")</f>
        <v>20</v>
      </c>
      <c r="M156" s="62">
        <v>6167</v>
      </c>
      <c r="N156" s="52" t="s">
        <v>473</v>
      </c>
    </row>
    <row r="157" spans="2:14" x14ac:dyDescent="0.3">
      <c r="B157" s="378" t="s">
        <v>1704</v>
      </c>
      <c r="C157" s="341"/>
      <c r="D157" s="338"/>
      <c r="E157" s="235" t="s">
        <v>236</v>
      </c>
      <c r="F157" s="271" t="str">
        <f>IFERROR(VLOOKUP(E157,'Inventaire des produits'!$B$4:$K$1000,2,0),"")</f>
        <v>COQUILLE MEAL BOX 2 COMP BLANC</v>
      </c>
      <c r="G157" s="231">
        <v>1000</v>
      </c>
      <c r="H157" s="77">
        <v>1.26</v>
      </c>
      <c r="I157" s="95">
        <f t="shared" si="4"/>
        <v>1260</v>
      </c>
      <c r="J157" s="95">
        <f t="shared" si="5"/>
        <v>1512</v>
      </c>
      <c r="K157" s="93">
        <f>IFERROR(VLOOKUP(E157,'Inventaire des produits'!$B$4:$J$1000,5,FALSE),"")</f>
        <v>0</v>
      </c>
      <c r="L157" s="301">
        <f>IFERROR(VLOOKUP(E157,'Inventaire des produits'!$B$4:$J$1000,6,FALSE),"")</f>
        <v>0.91666666669999997</v>
      </c>
      <c r="M157" s="62"/>
    </row>
    <row r="158" spans="2:14" x14ac:dyDescent="0.3">
      <c r="B158" s="378" t="s">
        <v>1704</v>
      </c>
      <c r="C158" s="341"/>
      <c r="D158" s="338"/>
      <c r="E158" s="235" t="s">
        <v>342</v>
      </c>
      <c r="F158" s="271" t="str">
        <f>IFERROR(VLOOKUP(E158,'Inventaire des produits'!$B$4:$K$1000,2,0),"")</f>
        <v>GANT VINYL NOIR EXTRA PREMIUM GLOVE MEDIUM</v>
      </c>
      <c r="G158" s="231">
        <v>30</v>
      </c>
      <c r="H158" s="77">
        <v>30.065999999999999</v>
      </c>
      <c r="I158" s="95">
        <f t="shared" si="4"/>
        <v>901.98</v>
      </c>
      <c r="J158" s="95">
        <f t="shared" si="5"/>
        <v>1082.376</v>
      </c>
      <c r="K158" s="93">
        <f>IFERROR(VLOOKUP(E158,'Inventaire des produits'!$B$4:$J$1000,5,FALSE),"")</f>
        <v>0</v>
      </c>
      <c r="L158" s="301">
        <f>IFERROR(VLOOKUP(E158,'Inventaire des produits'!$B$4:$J$1000,6,FALSE),"")</f>
        <v>22.5</v>
      </c>
      <c r="M158" s="62"/>
    </row>
    <row r="159" spans="2:14" x14ac:dyDescent="0.3">
      <c r="B159" s="378" t="s">
        <v>1704</v>
      </c>
      <c r="C159" s="341"/>
      <c r="D159" s="338"/>
      <c r="E159" s="235" t="s">
        <v>203</v>
      </c>
      <c r="F159" s="271" t="str">
        <f>IFERROR(VLOOKUP(E159,'Inventaire des produits'!$B$4:$K$1000,2,0),"")</f>
        <v>BARQUETTE ALUMINIUM 81200</v>
      </c>
      <c r="G159" s="64">
        <v>1200</v>
      </c>
      <c r="H159" s="77">
        <v>0.98899999999999999</v>
      </c>
      <c r="I159" s="95">
        <f t="shared" si="4"/>
        <v>1186.8</v>
      </c>
      <c r="J159" s="95">
        <f t="shared" si="5"/>
        <v>1424.1599999999999</v>
      </c>
      <c r="K159" s="93">
        <f>IFERROR(VLOOKUP(E159,'Inventaire des produits'!$B$4:$J$1000,5,FALSE),"")</f>
        <v>0</v>
      </c>
      <c r="L159" s="301">
        <f>IFERROR(VLOOKUP(E159,'Inventaire des produits'!$B$4:$J$1000,6,FALSE),"")</f>
        <v>1</v>
      </c>
      <c r="M159" s="62"/>
    </row>
    <row r="160" spans="2:14" x14ac:dyDescent="0.3">
      <c r="B160" s="378" t="s">
        <v>1704</v>
      </c>
      <c r="C160" s="342"/>
      <c r="D160" s="339"/>
      <c r="E160" s="235" t="s">
        <v>224</v>
      </c>
      <c r="F160" s="271" t="str">
        <f>IFERROR(VLOOKUP(E160,'Inventaire des produits'!$B$4:$K$1000,2,0),"")</f>
        <v>FOURCHETTE LUX</v>
      </c>
      <c r="G160" s="232">
        <v>40</v>
      </c>
      <c r="H160" s="78">
        <v>19.149999999999999</v>
      </c>
      <c r="I160" s="95">
        <f t="shared" si="4"/>
        <v>766</v>
      </c>
      <c r="J160" s="95">
        <f t="shared" si="5"/>
        <v>919.19999999999993</v>
      </c>
      <c r="K160" s="93">
        <f>IFERROR(VLOOKUP(E160,'Inventaire des produits'!$B$4:$J$1000,5,FALSE),"")</f>
        <v>0</v>
      </c>
      <c r="L160" s="301">
        <f>IFERROR(VLOOKUP(E160,'Inventaire des produits'!$B$4:$J$1000,6,FALSE),"")</f>
        <v>14.382</v>
      </c>
      <c r="M160" s="62"/>
    </row>
    <row r="161" spans="2:14" x14ac:dyDescent="0.3">
      <c r="B161" s="378" t="s">
        <v>1704</v>
      </c>
      <c r="C161" s="340">
        <v>45332</v>
      </c>
      <c r="D161" s="337" t="s">
        <v>437</v>
      </c>
      <c r="E161" s="235" t="s">
        <v>127</v>
      </c>
      <c r="F161" s="271" t="str">
        <f>IFERROR(VLOOKUP(E161,'Inventaire des produits'!$B$4:$K$1000,2,0),"")</f>
        <v>SERVIETTE DE TABLE SEVAN 1PLI</v>
      </c>
      <c r="G161" s="230">
        <v>420</v>
      </c>
      <c r="H161" s="76">
        <v>3.93</v>
      </c>
      <c r="I161" s="95">
        <f t="shared" si="4"/>
        <v>1650.6000000000001</v>
      </c>
      <c r="J161" s="95">
        <f t="shared" si="5"/>
        <v>1980.72</v>
      </c>
      <c r="K161" s="93">
        <f>IFERROR(VLOOKUP(E161,'Inventaire des produits'!$B$4:$J$1000,5,FALSE),"")</f>
        <v>0</v>
      </c>
      <c r="L161" s="301">
        <f>IFERROR(VLOOKUP(E161,'Inventaire des produits'!$B$4:$J$1000,6,FALSE),"")</f>
        <v>2.9169999999999998</v>
      </c>
      <c r="M161" s="62">
        <v>4700</v>
      </c>
      <c r="N161" s="52" t="s">
        <v>473</v>
      </c>
    </row>
    <row r="162" spans="2:14" x14ac:dyDescent="0.3">
      <c r="B162" s="378" t="s">
        <v>1704</v>
      </c>
      <c r="C162" s="341"/>
      <c r="D162" s="338"/>
      <c r="E162" s="235" t="s">
        <v>262</v>
      </c>
      <c r="F162" s="271" t="str">
        <f>IFERROR(VLOOKUP(E162,'Inventaire des produits'!$B$4:$K$1000,2,0),"")</f>
        <v>GANT VINYL NOIR EXTRA PREMIUM GLOVE LARGE</v>
      </c>
      <c r="G162" s="231">
        <v>30</v>
      </c>
      <c r="H162" s="77">
        <v>33.369</v>
      </c>
      <c r="I162" s="95">
        <f t="shared" si="4"/>
        <v>1001.0699999999999</v>
      </c>
      <c r="J162" s="95">
        <f t="shared" si="5"/>
        <v>1201.2839999999999</v>
      </c>
      <c r="K162" s="93">
        <f>IFERROR(VLOOKUP(E162,'Inventaire des produits'!$B$4:$J$1000,5,FALSE),"")</f>
        <v>0</v>
      </c>
      <c r="L162" s="301">
        <f>IFERROR(VLOOKUP(E162,'Inventaire des produits'!$B$4:$J$1000,6,FALSE),"")</f>
        <v>22.5</v>
      </c>
      <c r="M162" s="62"/>
    </row>
    <row r="163" spans="2:14" x14ac:dyDescent="0.3">
      <c r="B163" s="378" t="s">
        <v>1704</v>
      </c>
      <c r="C163" s="341"/>
      <c r="D163" s="338"/>
      <c r="E163" s="235" t="s">
        <v>345</v>
      </c>
      <c r="F163" s="271" t="str">
        <f>IFERROR(VLOOKUP(E163,'Inventaire des produits'!$B$4:$K$1000,2,0),"")</f>
        <v>POT DE SAUCE EN PLAST TRANSP 20ML</v>
      </c>
      <c r="G163" s="231">
        <v>6000</v>
      </c>
      <c r="H163" s="77">
        <v>9.1999999999999998E-2</v>
      </c>
      <c r="I163" s="95">
        <f t="shared" si="4"/>
        <v>552</v>
      </c>
      <c r="J163" s="95">
        <f t="shared" si="5"/>
        <v>662.4</v>
      </c>
      <c r="K163" s="93">
        <f>IFERROR(VLOOKUP(E163,'Inventaire des produits'!$B$4:$J$1000,5,FALSE),"")</f>
        <v>0</v>
      </c>
      <c r="L163" s="301">
        <f>IFERROR(VLOOKUP(E163,'Inventaire des produits'!$B$4:$J$1000,6,FALSE),"")</f>
        <v>8.3333333300000006E-2</v>
      </c>
      <c r="M163" s="62"/>
    </row>
    <row r="164" spans="2:14" x14ac:dyDescent="0.3">
      <c r="B164" s="378" t="s">
        <v>1704</v>
      </c>
      <c r="C164" s="342"/>
      <c r="D164" s="339"/>
      <c r="E164" s="235" t="s">
        <v>256</v>
      </c>
      <c r="F164" s="271" t="str">
        <f>IFERROR(VLOOKUP(E164,'Inventaire des produits'!$B$4:$K$1000,2,0),"")</f>
        <v>FILM ALIMENTAIRE VIOLET</v>
      </c>
      <c r="G164" s="64">
        <v>23</v>
      </c>
      <c r="H164" s="77">
        <v>31</v>
      </c>
      <c r="I164" s="95">
        <f t="shared" si="4"/>
        <v>713</v>
      </c>
      <c r="J164" s="95">
        <f t="shared" si="5"/>
        <v>855.6</v>
      </c>
      <c r="K164" s="93">
        <f>IFERROR(VLOOKUP(E164,'Inventaire des produits'!$B$4:$J$1000,5,FALSE),"")</f>
        <v>0</v>
      </c>
      <c r="L164" s="301">
        <f>IFERROR(VLOOKUP(E164,'Inventaire des produits'!$B$4:$J$1000,6,FALSE),"")</f>
        <v>28.333333333300001</v>
      </c>
      <c r="M164" s="62"/>
    </row>
    <row r="165" spans="2:14" x14ac:dyDescent="0.3">
      <c r="B165" s="378" t="s">
        <v>1704</v>
      </c>
      <c r="C165" s="340">
        <v>45336</v>
      </c>
      <c r="D165" s="359" t="s">
        <v>450</v>
      </c>
      <c r="E165" s="234">
        <v>83808</v>
      </c>
      <c r="F165" s="271" t="str">
        <f>IFERROR(VLOOKUP(E165,'Inventaire des produits'!$B$4:$K$1000,2,0),"")</f>
        <v>BARQUETTE ALUMINIUM 83808</v>
      </c>
      <c r="G165" s="50">
        <v>4000</v>
      </c>
      <c r="H165" s="76">
        <v>0.91100000000000003</v>
      </c>
      <c r="I165" s="95">
        <f t="shared" si="4"/>
        <v>3644</v>
      </c>
      <c r="J165" s="95">
        <f t="shared" si="5"/>
        <v>4372.8</v>
      </c>
      <c r="K165" s="93">
        <f>IFERROR(VLOOKUP(E165,'Inventaire des produits'!$B$4:$J$1000,5,FALSE),"")</f>
        <v>0</v>
      </c>
      <c r="L165" s="301">
        <f>IFERROR(VLOOKUP(E165,'Inventaire des produits'!$B$4:$J$1000,6,FALSE),"")</f>
        <v>0.63</v>
      </c>
      <c r="M165" s="62">
        <v>17000</v>
      </c>
      <c r="N165" s="52" t="s">
        <v>473</v>
      </c>
    </row>
    <row r="166" spans="2:14" x14ac:dyDescent="0.3">
      <c r="B166" s="378" t="s">
        <v>1704</v>
      </c>
      <c r="C166" s="341"/>
      <c r="D166" s="360"/>
      <c r="E166" s="234" t="s">
        <v>345</v>
      </c>
      <c r="F166" s="271" t="str">
        <f>IFERROR(VLOOKUP(E166,'Inventaire des produits'!$B$4:$K$1000,2,0),"")</f>
        <v>POT DE SAUCE EN PLAST TRANSP 20ML</v>
      </c>
      <c r="G166" s="53">
        <v>8000</v>
      </c>
      <c r="H166" s="77">
        <v>0.1</v>
      </c>
      <c r="I166" s="95">
        <f t="shared" si="4"/>
        <v>800</v>
      </c>
      <c r="J166" s="95">
        <f t="shared" si="5"/>
        <v>960</v>
      </c>
      <c r="K166" s="93">
        <f>IFERROR(VLOOKUP(E166,'Inventaire des produits'!$B$4:$J$1000,5,FALSE),"")</f>
        <v>0</v>
      </c>
      <c r="L166" s="301">
        <f>IFERROR(VLOOKUP(E166,'Inventaire des produits'!$B$4:$J$1000,6,FALSE),"")</f>
        <v>8.3333333300000006E-2</v>
      </c>
      <c r="M166" s="62"/>
    </row>
    <row r="167" spans="2:14" x14ac:dyDescent="0.3">
      <c r="B167" s="378" t="s">
        <v>1704</v>
      </c>
      <c r="C167" s="341"/>
      <c r="D167" s="360"/>
      <c r="E167" s="234" t="s">
        <v>479</v>
      </c>
      <c r="F167" s="271" t="str">
        <f>IFERROR(VLOOKUP(E167,'Inventaire des produits'!$B$4:$K$1000,2,0),"")</f>
        <v xml:space="preserve">SAC KRAFT 22*17*28 </v>
      </c>
      <c r="G167" s="53">
        <v>1500</v>
      </c>
      <c r="H167" s="77">
        <v>1.08</v>
      </c>
      <c r="I167" s="95">
        <f t="shared" si="4"/>
        <v>1620</v>
      </c>
      <c r="J167" s="95">
        <f t="shared" si="5"/>
        <v>1944</v>
      </c>
      <c r="K167" s="93">
        <f>IFERROR(VLOOKUP(E167,'Inventaire des produits'!$B$4:$J$1000,5,FALSE),"")</f>
        <v>0</v>
      </c>
      <c r="L167" s="301">
        <f>IFERROR(VLOOKUP(E167,'Inventaire des produits'!$B$4:$J$1000,6,FALSE),"")</f>
        <v>0.71</v>
      </c>
      <c r="M167" s="62"/>
    </row>
    <row r="168" spans="2:14" x14ac:dyDescent="0.3">
      <c r="B168" s="378" t="s">
        <v>1704</v>
      </c>
      <c r="C168" s="341"/>
      <c r="D168" s="360"/>
      <c r="E168" s="234" t="s">
        <v>127</v>
      </c>
      <c r="F168" s="271" t="str">
        <f>IFERROR(VLOOKUP(E168,'Inventaire des produits'!$B$4:$K$1000,2,0),"")</f>
        <v>SERVIETTE DE TABLE SEVAN 1PLI</v>
      </c>
      <c r="G168" s="53">
        <v>400</v>
      </c>
      <c r="H168" s="77">
        <v>3.95</v>
      </c>
      <c r="I168" s="95">
        <f t="shared" si="4"/>
        <v>1580</v>
      </c>
      <c r="J168" s="95">
        <f t="shared" si="5"/>
        <v>1896</v>
      </c>
      <c r="K168" s="93">
        <f>IFERROR(VLOOKUP(E168,'Inventaire des produits'!$B$4:$J$1000,5,FALSE),"")</f>
        <v>0</v>
      </c>
      <c r="L168" s="301">
        <f>IFERROR(VLOOKUP(E168,'Inventaire des produits'!$B$4:$J$1000,6,FALSE),"")</f>
        <v>2.9169999999999998</v>
      </c>
      <c r="M168" s="62"/>
    </row>
    <row r="169" spans="2:14" x14ac:dyDescent="0.3">
      <c r="B169" s="378" t="s">
        <v>1704</v>
      </c>
      <c r="C169" s="341"/>
      <c r="D169" s="360"/>
      <c r="E169" s="234" t="s">
        <v>271</v>
      </c>
      <c r="F169" s="271" t="str">
        <f>IFERROR(VLOOKUP(E169,'Inventaire des produits'!$B$4:$K$1000,2,0),"")</f>
        <v>PAILLE ENVELOPPE NOIR 100/50PCS</v>
      </c>
      <c r="G169" s="53">
        <v>3</v>
      </c>
      <c r="H169" s="77">
        <v>312.5</v>
      </c>
      <c r="I169" s="95">
        <f t="shared" si="4"/>
        <v>937.5</v>
      </c>
      <c r="J169" s="95">
        <f t="shared" si="5"/>
        <v>1125</v>
      </c>
      <c r="K169" s="93">
        <f>IFERROR(VLOOKUP(E169,'Inventaire des produits'!$B$4:$J$1000,5,FALSE),"")</f>
        <v>0</v>
      </c>
      <c r="L169" s="301">
        <f>IFERROR(VLOOKUP(E169,'Inventaire des produits'!$B$4:$J$1000,6,FALSE),"")</f>
        <v>220.8333333333</v>
      </c>
      <c r="M169" s="62"/>
    </row>
    <row r="170" spans="2:14" x14ac:dyDescent="0.3">
      <c r="B170" s="378" t="s">
        <v>1704</v>
      </c>
      <c r="C170" s="341"/>
      <c r="D170" s="360"/>
      <c r="E170" s="234" t="s">
        <v>389</v>
      </c>
      <c r="F170" s="271" t="str">
        <f>IFERROR(VLOOKUP(E170,'Inventaire des produits'!$B$4:$K$1000,2,0),"")</f>
        <v>ROULEAU ALUMINIUM EXTRA PACK 200M</v>
      </c>
      <c r="G170" s="53">
        <v>21</v>
      </c>
      <c r="H170" s="77">
        <v>65</v>
      </c>
      <c r="I170" s="95">
        <f t="shared" si="4"/>
        <v>1365</v>
      </c>
      <c r="J170" s="95">
        <f t="shared" si="5"/>
        <v>1638</v>
      </c>
      <c r="K170" s="93">
        <f>IFERROR(VLOOKUP(E170,'Inventaire des produits'!$B$4:$J$1000,5,FALSE),"")</f>
        <v>0</v>
      </c>
      <c r="L170" s="301">
        <f>IFERROR(VLOOKUP(E170,'Inventaire des produits'!$B$4:$J$1000,6,FALSE),"")</f>
        <v>57.5</v>
      </c>
      <c r="M170" s="62"/>
    </row>
    <row r="171" spans="2:14" x14ac:dyDescent="0.3">
      <c r="B171" s="378" t="s">
        <v>1704</v>
      </c>
      <c r="C171" s="341"/>
      <c r="D171" s="360"/>
      <c r="E171" s="236" t="s">
        <v>194</v>
      </c>
      <c r="F171" s="271" t="str">
        <f>IFERROR(VLOOKUP(E171,'Inventaire des produits'!$B$4:$K$1000,2,0),"")</f>
        <v>BARQUETTE ALUMINIUM 81760 (3COMP)</v>
      </c>
      <c r="G171" s="53">
        <v>1100</v>
      </c>
      <c r="H171" s="77">
        <v>1.1200000000000001</v>
      </c>
      <c r="I171" s="95">
        <f t="shared" si="4"/>
        <v>1232.0000000000002</v>
      </c>
      <c r="J171" s="95">
        <f t="shared" si="5"/>
        <v>1478.4000000000003</v>
      </c>
      <c r="K171" s="93">
        <f>IFERROR(VLOOKUP(E171,'Inventaire des produits'!$B$4:$J$1000,5,FALSE),"")</f>
        <v>0</v>
      </c>
      <c r="L171" s="301">
        <f>IFERROR(VLOOKUP(E171,'Inventaire des produits'!$B$4:$J$1000,6,FALSE),"")</f>
        <v>0.91666666669999997</v>
      </c>
      <c r="M171" s="62"/>
    </row>
    <row r="172" spans="2:14" x14ac:dyDescent="0.3">
      <c r="B172" s="378" t="s">
        <v>1704</v>
      </c>
      <c r="C172" s="341"/>
      <c r="D172" s="360"/>
      <c r="E172" s="236" t="s">
        <v>196</v>
      </c>
      <c r="F172" s="271" t="str">
        <f>IFERROR(VLOOKUP(E172,'Inventaire des produits'!$B$4:$K$1000,2,0),"")</f>
        <v>BARQUETTE ALUMINIUM 81620 (2COMP)</v>
      </c>
      <c r="G172" s="53">
        <v>1300</v>
      </c>
      <c r="H172" s="77">
        <v>1.1200000000000001</v>
      </c>
      <c r="I172" s="95">
        <f t="shared" si="4"/>
        <v>1456.0000000000002</v>
      </c>
      <c r="J172" s="95">
        <f t="shared" si="5"/>
        <v>1747.2000000000003</v>
      </c>
      <c r="K172" s="93">
        <f>IFERROR(VLOOKUP(E172,'Inventaire des produits'!$B$4:$J$1000,5,FALSE),"")</f>
        <v>0</v>
      </c>
      <c r="L172" s="301">
        <f>IFERROR(VLOOKUP(E172,'Inventaire des produits'!$B$4:$J$1000,6,FALSE),"")</f>
        <v>0.91666666669999997</v>
      </c>
      <c r="M172" s="62"/>
    </row>
    <row r="173" spans="2:14" x14ac:dyDescent="0.3">
      <c r="B173" s="378" t="s">
        <v>1704</v>
      </c>
      <c r="C173" s="342"/>
      <c r="D173" s="361"/>
      <c r="E173" s="234" t="s">
        <v>414</v>
      </c>
      <c r="F173" s="271" t="str">
        <f>IFERROR(VLOOKUP(E173,'Inventaire des produits'!$B$4:$K$1000,2,0),"")</f>
        <v>GANT VINYL NOIR EXTRA PREMIUM GLOVE LARGE</v>
      </c>
      <c r="G173" s="53">
        <v>46</v>
      </c>
      <c r="H173" s="77">
        <v>33.308</v>
      </c>
      <c r="I173" s="95">
        <f t="shared" si="4"/>
        <v>1532.1679999999999</v>
      </c>
      <c r="J173" s="95">
        <f t="shared" si="5"/>
        <v>1838.6015999999997</v>
      </c>
      <c r="K173" s="93">
        <f>IFERROR(VLOOKUP(E173,'Inventaire des produits'!$B$4:$J$1000,5,FALSE),"")</f>
        <v>0</v>
      </c>
      <c r="L173" s="301">
        <f>IFERROR(VLOOKUP(E173,'Inventaire des produits'!$B$4:$J$1000,6,FALSE),"")</f>
        <v>20.833333333300001</v>
      </c>
      <c r="M173" s="62"/>
    </row>
    <row r="174" spans="2:14" x14ac:dyDescent="0.3">
      <c r="B174" s="378" t="s">
        <v>1704</v>
      </c>
      <c r="C174" s="340">
        <v>45336</v>
      </c>
      <c r="D174" s="337" t="s">
        <v>451</v>
      </c>
      <c r="E174" s="235" t="s">
        <v>27</v>
      </c>
      <c r="F174" s="271" t="str">
        <f>IFERROR(VLOOKUP(E174,'Inventaire des produits'!$B$4:$K$1000,2,0),"")</f>
        <v>BARQUETTE VITA PACK 500ML AVEC CVL</v>
      </c>
      <c r="G174" s="50">
        <v>250</v>
      </c>
      <c r="H174" s="76">
        <v>1.5</v>
      </c>
      <c r="I174" s="95">
        <f t="shared" si="4"/>
        <v>375</v>
      </c>
      <c r="J174" s="95">
        <f t="shared" si="5"/>
        <v>450</v>
      </c>
      <c r="K174" s="93">
        <f>IFERROR(VLOOKUP(E174,'Inventaire des produits'!$B$4:$J$1000,5,FALSE),"")</f>
        <v>0</v>
      </c>
      <c r="L174" s="301">
        <f>IFERROR(VLOOKUP(E174,'Inventaire des produits'!$B$4:$J$1000,6,FALSE),"")</f>
        <v>1.38</v>
      </c>
      <c r="M174" s="62">
        <v>1195</v>
      </c>
    </row>
    <row r="175" spans="2:14" x14ac:dyDescent="0.3">
      <c r="B175" s="378" t="s">
        <v>1704</v>
      </c>
      <c r="C175" s="341"/>
      <c r="D175" s="338"/>
      <c r="E175" s="235" t="s">
        <v>372</v>
      </c>
      <c r="F175" s="271" t="str">
        <f>IFERROR(VLOOKUP(E175,'Inventaire des produits'!$B$4:$K$1000,2,0),"")</f>
        <v>BARQUETTE VITA PACK 750ML AVEC CVL</v>
      </c>
      <c r="G175" s="53">
        <v>250</v>
      </c>
      <c r="H175" s="77">
        <v>1.5833333332999999</v>
      </c>
      <c r="I175" s="95">
        <f t="shared" si="4"/>
        <v>395.83333332499996</v>
      </c>
      <c r="J175" s="95">
        <f t="shared" si="5"/>
        <v>474.99999998999994</v>
      </c>
      <c r="K175" s="93">
        <f>IFERROR(VLOOKUP(E175,'Inventaire des produits'!$B$4:$J$1000,5,FALSE),"")</f>
        <v>0</v>
      </c>
      <c r="L175" s="301">
        <f>IFERROR(VLOOKUP(E175,'Inventaire des produits'!$B$4:$J$1000,6,FALSE),"")</f>
        <v>1.34</v>
      </c>
      <c r="M175" s="62"/>
    </row>
    <row r="176" spans="2:14" x14ac:dyDescent="0.3">
      <c r="B176" s="378" t="s">
        <v>1704</v>
      </c>
      <c r="C176" s="342"/>
      <c r="D176" s="339"/>
      <c r="E176" s="235" t="s">
        <v>219</v>
      </c>
      <c r="F176" s="271" t="str">
        <f>IFERROR(VLOOKUP(E176,'Inventaire des produits'!$B$4:$K$1000,2,0),"")</f>
        <v>BARQUETTE ALUMINIUM 83890</v>
      </c>
      <c r="G176" s="53">
        <v>300</v>
      </c>
      <c r="H176" s="77">
        <v>0.75</v>
      </c>
      <c r="I176" s="95">
        <f t="shared" si="4"/>
        <v>225</v>
      </c>
      <c r="J176" s="95">
        <f t="shared" si="5"/>
        <v>270</v>
      </c>
      <c r="K176" s="93">
        <f>IFERROR(VLOOKUP(E176,'Inventaire des produits'!$B$4:$J$1000,5,FALSE),"")</f>
        <v>0</v>
      </c>
      <c r="L176" s="301">
        <f>IFERROR(VLOOKUP(E176,'Inventaire des produits'!$B$4:$J$1000,6,FALSE),"")</f>
        <v>0.67</v>
      </c>
      <c r="M176" s="62"/>
    </row>
    <row r="177" spans="2:14" x14ac:dyDescent="0.3">
      <c r="B177" s="378" t="s">
        <v>1704</v>
      </c>
      <c r="C177" s="340">
        <v>45336</v>
      </c>
      <c r="D177" s="337" t="s">
        <v>452</v>
      </c>
      <c r="E177" s="235" t="s">
        <v>256</v>
      </c>
      <c r="F177" s="271" t="str">
        <f>IFERROR(VLOOKUP(E177,'Inventaire des produits'!$B$4:$K$1000,2,0),"")</f>
        <v>FILM ALIMENTAIRE VIOLET</v>
      </c>
      <c r="G177" s="50">
        <v>8</v>
      </c>
      <c r="H177" s="76">
        <v>28.333333333300001</v>
      </c>
      <c r="I177" s="95">
        <f t="shared" si="4"/>
        <v>226.6666666664</v>
      </c>
      <c r="J177" s="95">
        <f t="shared" si="5"/>
        <v>271.99999999967997</v>
      </c>
      <c r="K177" s="93">
        <f>IFERROR(VLOOKUP(E177,'Inventaire des produits'!$B$4:$J$1000,5,FALSE),"")</f>
        <v>0</v>
      </c>
      <c r="L177" s="301">
        <f>IFERROR(VLOOKUP(E177,'Inventaire des produits'!$B$4:$J$1000,6,FALSE),"")</f>
        <v>28.333333333300001</v>
      </c>
      <c r="M177" s="62">
        <v>19685</v>
      </c>
      <c r="N177" s="52" t="s">
        <v>481</v>
      </c>
    </row>
    <row r="178" spans="2:14" x14ac:dyDescent="0.3">
      <c r="B178" s="378" t="s">
        <v>1704</v>
      </c>
      <c r="C178" s="341"/>
      <c r="D178" s="338"/>
      <c r="E178" s="235" t="s">
        <v>252</v>
      </c>
      <c r="F178" s="271" t="str">
        <f>IFERROR(VLOOKUP(E178,'Inventaire des produits'!$B$4:$K$1000,2,0),"")</f>
        <v>ESSUIE MAIN GKEM1KG</v>
      </c>
      <c r="G178" s="58">
        <v>34</v>
      </c>
      <c r="H178" s="77">
        <v>28.333333333300001</v>
      </c>
      <c r="I178" s="95">
        <f t="shared" si="4"/>
        <v>963.33333333220003</v>
      </c>
      <c r="J178" s="95">
        <f t="shared" si="5"/>
        <v>1155.9999999986401</v>
      </c>
      <c r="K178" s="93">
        <f>IFERROR(VLOOKUP(E178,'Inventaire des produits'!$B$4:$J$1000,5,FALSE),"")</f>
        <v>0</v>
      </c>
      <c r="L178" s="301">
        <f>IFERROR(VLOOKUP(E178,'Inventaire des produits'!$B$4:$J$1000,6,FALSE),"")</f>
        <v>20.83</v>
      </c>
      <c r="M178" s="62"/>
    </row>
    <row r="179" spans="2:14" x14ac:dyDescent="0.3">
      <c r="B179" s="378" t="s">
        <v>1704</v>
      </c>
      <c r="C179" s="341"/>
      <c r="D179" s="338"/>
      <c r="E179" s="235" t="s">
        <v>387</v>
      </c>
      <c r="F179" s="271" t="str">
        <f>IFERROR(VLOOKUP(E179,'Inventaire des produits'!$B$4:$K$1000,2,0),"")</f>
        <v>GANT VINYL EXTRA PREMIUM GLOVE LARGE</v>
      </c>
      <c r="G179" s="58">
        <v>36</v>
      </c>
      <c r="H179" s="77">
        <v>33.333333333299997</v>
      </c>
      <c r="I179" s="95">
        <f t="shared" si="4"/>
        <v>1199.9999999987999</v>
      </c>
      <c r="J179" s="95">
        <f t="shared" si="5"/>
        <v>1439.9999999985598</v>
      </c>
      <c r="K179" s="93">
        <f>IFERROR(VLOOKUP(E179,'Inventaire des produits'!$B$4:$J$1000,5,FALSE),"")</f>
        <v>0</v>
      </c>
      <c r="L179" s="301">
        <f>IFERROR(VLOOKUP(E179,'Inventaire des produits'!$B$4:$J$1000,6,FALSE),"")</f>
        <v>20</v>
      </c>
      <c r="M179" s="62"/>
    </row>
    <row r="180" spans="2:14" x14ac:dyDescent="0.3">
      <c r="B180" s="378" t="s">
        <v>1704</v>
      </c>
      <c r="C180" s="341"/>
      <c r="D180" s="338"/>
      <c r="E180" s="235" t="s">
        <v>243</v>
      </c>
      <c r="F180" s="271" t="str">
        <f>IFERROR(VLOOKUP(E180,'Inventaire des produits'!$B$4:$K$1000,2,0),"")</f>
        <v>BARQUETTE ALUMINIUM 250</v>
      </c>
      <c r="G180" s="58">
        <v>900</v>
      </c>
      <c r="H180" s="77">
        <v>0.375</v>
      </c>
      <c r="I180" s="95">
        <f t="shared" si="4"/>
        <v>337.5</v>
      </c>
      <c r="J180" s="95">
        <f t="shared" si="5"/>
        <v>405</v>
      </c>
      <c r="K180" s="93">
        <f>IFERROR(VLOOKUP(E180,'Inventaire des produits'!$B$4:$J$1000,5,FALSE),"")</f>
        <v>0</v>
      </c>
      <c r="L180" s="301">
        <f>IFERROR(VLOOKUP(E180,'Inventaire des produits'!$B$4:$J$1000,6,FALSE),"")</f>
        <v>0.26600000000000001</v>
      </c>
      <c r="M180" s="62"/>
    </row>
    <row r="181" spans="2:14" x14ac:dyDescent="0.3">
      <c r="B181" s="378" t="s">
        <v>1704</v>
      </c>
      <c r="C181" s="341"/>
      <c r="D181" s="338"/>
      <c r="E181" s="235" t="s">
        <v>322</v>
      </c>
      <c r="F181" s="271" t="str">
        <f>IFERROR(VLOOKUP(E181,'Inventaire des produits'!$B$4:$K$1000,2,0),"")</f>
        <v>POT DE SAUCE 1OZ 30ML HP</v>
      </c>
      <c r="G181" s="58">
        <v>66700</v>
      </c>
      <c r="H181" s="77">
        <v>0.1581825</v>
      </c>
      <c r="I181" s="95">
        <f t="shared" si="4"/>
        <v>10550.77275</v>
      </c>
      <c r="J181" s="95">
        <f t="shared" si="5"/>
        <v>12660.927299999999</v>
      </c>
      <c r="K181" s="93">
        <f>IFERROR(VLOOKUP(E181,'Inventaire des produits'!$B$4:$J$1000,5,FALSE),"")</f>
        <v>0</v>
      </c>
      <c r="L181" s="301">
        <f>IFERROR(VLOOKUP(E181,'Inventaire des produits'!$B$4:$J$1000,6,FALSE),"")</f>
        <v>0.13500000000000001</v>
      </c>
      <c r="M181" s="62"/>
    </row>
    <row r="182" spans="2:14" x14ac:dyDescent="0.3">
      <c r="B182" s="378" t="s">
        <v>1704</v>
      </c>
      <c r="C182" s="341"/>
      <c r="D182" s="338"/>
      <c r="E182" s="235" t="s">
        <v>250</v>
      </c>
      <c r="F182" s="271" t="str">
        <f>IFERROR(VLOOKUP(E182,'Inventaire des produits'!$B$4:$K$1000,2,0),"")</f>
        <v>FOURCHETTE ECOLUXE</v>
      </c>
      <c r="G182" s="58">
        <v>7</v>
      </c>
      <c r="H182" s="77">
        <v>20.833333333300001</v>
      </c>
      <c r="I182" s="95">
        <f t="shared" si="4"/>
        <v>145.8333333331</v>
      </c>
      <c r="J182" s="95">
        <f t="shared" si="5"/>
        <v>174.99999999971999</v>
      </c>
      <c r="K182" s="93">
        <f>IFERROR(VLOOKUP(E182,'Inventaire des produits'!$B$4:$J$1000,5,FALSE),"")</f>
        <v>0</v>
      </c>
      <c r="L182" s="301">
        <f>IFERROR(VLOOKUP(E182,'Inventaire des produits'!$B$4:$J$1000,6,FALSE),"")</f>
        <v>15.84</v>
      </c>
      <c r="M182" s="62"/>
    </row>
    <row r="183" spans="2:14" x14ac:dyDescent="0.3">
      <c r="B183" s="378" t="s">
        <v>1704</v>
      </c>
      <c r="C183" s="341"/>
      <c r="D183" s="338"/>
      <c r="E183" s="235" t="s">
        <v>259</v>
      </c>
      <c r="F183" s="271" t="str">
        <f>IFERROR(VLOOKUP(E183,'Inventaire des produits'!$B$4:$K$1000,2,0),"")</f>
        <v>ROULEAU ALUMINIUM GOLDEN 200M</v>
      </c>
      <c r="G183" s="58">
        <v>2</v>
      </c>
      <c r="H183" s="77">
        <v>70.833333333300004</v>
      </c>
      <c r="I183" s="95">
        <f t="shared" si="4"/>
        <v>141.66666666660001</v>
      </c>
      <c r="J183" s="95">
        <f t="shared" si="5"/>
        <v>169.99999999991999</v>
      </c>
      <c r="K183" s="93">
        <f>IFERROR(VLOOKUP(E183,'Inventaire des produits'!$B$4:$J$1000,5,FALSE),"")</f>
        <v>0</v>
      </c>
      <c r="L183" s="301">
        <f>IFERROR(VLOOKUP(E183,'Inventaire des produits'!$B$4:$J$1000,6,FALSE),"")</f>
        <v>58.333333333299997</v>
      </c>
      <c r="M183" s="62"/>
    </row>
    <row r="184" spans="2:14" ht="15" customHeight="1" x14ac:dyDescent="0.3">
      <c r="B184" s="378" t="s">
        <v>1704</v>
      </c>
      <c r="C184" s="341"/>
      <c r="D184" s="338"/>
      <c r="E184" s="235" t="s">
        <v>418</v>
      </c>
      <c r="F184" s="271" t="str">
        <f>IFERROR(VLOOKUP(E184,'Inventaire des produits'!$B$4:$K$1000,2,0),"")</f>
        <v>ROULEAU DE CAISSE THERMIQUE 70X80</v>
      </c>
      <c r="G184" s="58">
        <v>180</v>
      </c>
      <c r="H184" s="77">
        <v>10.833333333300001</v>
      </c>
      <c r="I184" s="95">
        <f t="shared" si="4"/>
        <v>1949.9999999940001</v>
      </c>
      <c r="J184" s="95">
        <f t="shared" si="5"/>
        <v>2339.9999999928</v>
      </c>
      <c r="K184" s="93">
        <f>IFERROR(VLOOKUP(E184,'Inventaire des produits'!$B$4:$J$1000,5,FALSE),"")</f>
        <v>0</v>
      </c>
      <c r="L184" s="301">
        <f>IFERROR(VLOOKUP(E184,'Inventaire des produits'!$B$4:$J$1000,6,FALSE),"")</f>
        <v>8</v>
      </c>
      <c r="M184" s="62"/>
    </row>
    <row r="185" spans="2:14" ht="15" customHeight="1" x14ac:dyDescent="0.3">
      <c r="B185" s="378" t="s">
        <v>1704</v>
      </c>
      <c r="C185" s="341"/>
      <c r="D185" s="338"/>
      <c r="E185" s="235" t="s">
        <v>290</v>
      </c>
      <c r="F185" s="271" t="str">
        <f>IFERROR(VLOOKUP(E185,'Inventaire des produits'!$B$4:$K$1000,2,0),"")</f>
        <v>GOBLET 14OZ EN PLASTIQUE TRANS SMART AVEC CVL PLAT</v>
      </c>
      <c r="G185" s="58">
        <v>1000</v>
      </c>
      <c r="H185" s="77">
        <v>0.625</v>
      </c>
      <c r="I185" s="95">
        <f t="shared" si="4"/>
        <v>625</v>
      </c>
      <c r="J185" s="95">
        <f t="shared" si="5"/>
        <v>750</v>
      </c>
      <c r="K185" s="93">
        <f>IFERROR(VLOOKUP(E185,'Inventaire des produits'!$B$4:$J$1000,5,FALSE),"")</f>
        <v>0</v>
      </c>
      <c r="L185" s="301">
        <f>IFERROR(VLOOKUP(E185,'Inventaire des produits'!$B$4:$J$1000,6,FALSE),"")</f>
        <v>0.43333749999999999</v>
      </c>
      <c r="M185" s="62"/>
    </row>
    <row r="186" spans="2:14" x14ac:dyDescent="0.3">
      <c r="B186" s="378" t="s">
        <v>1704</v>
      </c>
      <c r="C186" s="341"/>
      <c r="D186" s="338"/>
      <c r="E186" s="235" t="s">
        <v>232</v>
      </c>
      <c r="F186" s="271" t="str">
        <f>IFERROR(VLOOKUP(E186,'Inventaire des produits'!$B$4:$K$1000,2,0),"")</f>
        <v>CUILLERE ECOLUXE TRANSPARENT</v>
      </c>
      <c r="G186" s="58">
        <v>1</v>
      </c>
      <c r="H186" s="77">
        <v>20.833333333300001</v>
      </c>
      <c r="I186" s="95">
        <f t="shared" si="4"/>
        <v>20.833333333300001</v>
      </c>
      <c r="J186" s="95">
        <f t="shared" si="5"/>
        <v>24.99999999996</v>
      </c>
      <c r="K186" s="93">
        <f>IFERROR(VLOOKUP(E186,'Inventaire des produits'!$B$4:$J$1000,5,FALSE),"")</f>
        <v>0</v>
      </c>
      <c r="L186" s="301">
        <f>IFERROR(VLOOKUP(E186,'Inventaire des produits'!$B$4:$J$1000,6,FALSE),"")</f>
        <v>17.5</v>
      </c>
      <c r="M186" s="62"/>
    </row>
    <row r="187" spans="2:14" x14ac:dyDescent="0.3">
      <c r="B187" s="378" t="s">
        <v>1704</v>
      </c>
      <c r="C187" s="341"/>
      <c r="D187" s="338"/>
      <c r="E187" s="235" t="s">
        <v>239</v>
      </c>
      <c r="F187" s="271" t="str">
        <f>IFERROR(VLOOKUP(E187,'Inventaire des produits'!$B$4:$K$1000,2,0),"")</f>
        <v>GANT POLYETHLENE</v>
      </c>
      <c r="G187" s="58">
        <v>46</v>
      </c>
      <c r="H187" s="77">
        <v>5</v>
      </c>
      <c r="I187" s="95">
        <f t="shared" si="4"/>
        <v>230</v>
      </c>
      <c r="J187" s="95">
        <f t="shared" si="5"/>
        <v>276</v>
      </c>
      <c r="K187" s="93">
        <f>IFERROR(VLOOKUP(E187,'Inventaire des produits'!$B$4:$J$1000,5,FALSE),"")</f>
        <v>0</v>
      </c>
      <c r="L187" s="301">
        <f>IFERROR(VLOOKUP(E187,'Inventaire des produits'!$B$4:$J$1000,6,FALSE),"")</f>
        <v>3.5</v>
      </c>
      <c r="M187" s="62"/>
    </row>
    <row r="188" spans="2:14" x14ac:dyDescent="0.3">
      <c r="B188" s="378" t="s">
        <v>1704</v>
      </c>
      <c r="C188" s="342"/>
      <c r="D188" s="339"/>
      <c r="E188" s="235" t="s">
        <v>365</v>
      </c>
      <c r="F188" s="271" t="str">
        <f>IFERROR(VLOOKUP(E188,'Inventaire des produits'!$B$4:$K$1000,2,0),"")</f>
        <v>PAILLE 6MM CODE ENVELOPPE TRANS 100/50 PCS</v>
      </c>
      <c r="G188" s="58">
        <v>2</v>
      </c>
      <c r="H188" s="77">
        <v>6.6666666667000003</v>
      </c>
      <c r="I188" s="95">
        <f t="shared" si="4"/>
        <v>13.333333333400001</v>
      </c>
      <c r="J188" s="95">
        <f t="shared" si="5"/>
        <v>16.00000000008</v>
      </c>
      <c r="K188" s="93">
        <f>IFERROR(VLOOKUP(E188,'Inventaire des produits'!$B$4:$J$1000,5,FALSE),"")</f>
        <v>0</v>
      </c>
      <c r="L188" s="301">
        <f>IFERROR(VLOOKUP(E188,'Inventaire des produits'!$B$4:$J$1000,6,FALSE),"")</f>
        <v>4.9166666667000003</v>
      </c>
      <c r="M188" s="62"/>
    </row>
    <row r="189" spans="2:14" x14ac:dyDescent="0.3">
      <c r="B189" s="378" t="s">
        <v>1704</v>
      </c>
      <c r="C189" s="340">
        <v>45336</v>
      </c>
      <c r="D189" s="337" t="s">
        <v>453</v>
      </c>
      <c r="E189" s="235" t="s">
        <v>256</v>
      </c>
      <c r="F189" s="271" t="str">
        <f>IFERROR(VLOOKUP(E189,'Inventaire des produits'!$B$4:$K$1000,2,0),"")</f>
        <v>FILM ALIMENTAIRE VIOLET</v>
      </c>
      <c r="G189" s="50">
        <v>8</v>
      </c>
      <c r="H189" s="76">
        <v>28.333333333300001</v>
      </c>
      <c r="I189" s="95">
        <f t="shared" si="4"/>
        <v>226.6666666664</v>
      </c>
      <c r="J189" s="95">
        <f t="shared" si="5"/>
        <v>271.99999999967997</v>
      </c>
      <c r="K189" s="93">
        <f>IFERROR(VLOOKUP(E189,'Inventaire des produits'!$B$4:$J$1000,5,FALSE),"")</f>
        <v>0</v>
      </c>
      <c r="L189" s="301">
        <f>IFERROR(VLOOKUP(E189,'Inventaire des produits'!$B$4:$J$1000,6,FALSE),"")</f>
        <v>28.333333333300001</v>
      </c>
      <c r="M189" s="62">
        <v>20196</v>
      </c>
      <c r="N189" s="52" t="s">
        <v>481</v>
      </c>
    </row>
    <row r="190" spans="2:14" x14ac:dyDescent="0.3">
      <c r="B190" s="378" t="s">
        <v>1704</v>
      </c>
      <c r="C190" s="341"/>
      <c r="D190" s="338"/>
      <c r="E190" s="235" t="s">
        <v>252</v>
      </c>
      <c r="F190" s="271" t="str">
        <f>IFERROR(VLOOKUP(E190,'Inventaire des produits'!$B$4:$K$1000,2,0),"")</f>
        <v>ESSUIE MAIN GKEM1KG</v>
      </c>
      <c r="G190" s="58">
        <v>33</v>
      </c>
      <c r="H190" s="77">
        <v>28.333333333300001</v>
      </c>
      <c r="I190" s="95">
        <f t="shared" si="4"/>
        <v>934.99999999889997</v>
      </c>
      <c r="J190" s="95">
        <f t="shared" si="5"/>
        <v>1121.9999999986799</v>
      </c>
      <c r="K190" s="93">
        <f>IFERROR(VLOOKUP(E190,'Inventaire des produits'!$B$4:$J$1000,5,FALSE),"")</f>
        <v>0</v>
      </c>
      <c r="L190" s="301">
        <f>IFERROR(VLOOKUP(E190,'Inventaire des produits'!$B$4:$J$1000,6,FALSE),"")</f>
        <v>20.83</v>
      </c>
      <c r="M190" s="62"/>
    </row>
    <row r="191" spans="2:14" x14ac:dyDescent="0.3">
      <c r="B191" s="378" t="s">
        <v>1704</v>
      </c>
      <c r="C191" s="341"/>
      <c r="D191" s="338"/>
      <c r="E191" s="235" t="s">
        <v>387</v>
      </c>
      <c r="F191" s="271" t="str">
        <f>IFERROR(VLOOKUP(E191,'Inventaire des produits'!$B$4:$K$1000,2,0),"")</f>
        <v>GANT VINYL EXTRA PREMIUM GLOVE LARGE</v>
      </c>
      <c r="G191" s="58">
        <v>35</v>
      </c>
      <c r="H191" s="77">
        <v>33.333333333299997</v>
      </c>
      <c r="I191" s="95">
        <f t="shared" si="4"/>
        <v>1166.6666666654999</v>
      </c>
      <c r="J191" s="95">
        <f t="shared" si="5"/>
        <v>1399.9999999985998</v>
      </c>
      <c r="K191" s="93">
        <f>IFERROR(VLOOKUP(E191,'Inventaire des produits'!$B$4:$J$1000,5,FALSE),"")</f>
        <v>0</v>
      </c>
      <c r="L191" s="301">
        <f>IFERROR(VLOOKUP(E191,'Inventaire des produits'!$B$4:$J$1000,6,FALSE),"")</f>
        <v>20</v>
      </c>
      <c r="M191" s="62"/>
    </row>
    <row r="192" spans="2:14" x14ac:dyDescent="0.3">
      <c r="B192" s="378" t="s">
        <v>1704</v>
      </c>
      <c r="C192" s="341"/>
      <c r="D192" s="338"/>
      <c r="E192" s="235" t="s">
        <v>280</v>
      </c>
      <c r="F192" s="271" t="str">
        <f>IFERROR(VLOOKUP(E192,'Inventaire des produits'!$B$4:$K$1000,2,0),"")</f>
        <v>BARQUETTE ALUMINIUM 250</v>
      </c>
      <c r="G192" s="58">
        <v>4000</v>
      </c>
      <c r="H192" s="77">
        <v>0.375</v>
      </c>
      <c r="I192" s="95">
        <f t="shared" si="4"/>
        <v>1500</v>
      </c>
      <c r="J192" s="95">
        <f t="shared" si="5"/>
        <v>1800</v>
      </c>
      <c r="K192" s="93">
        <f>IFERROR(VLOOKUP(E192,'Inventaire des produits'!$B$4:$J$1000,5,FALSE),"")</f>
        <v>0</v>
      </c>
      <c r="L192" s="301">
        <f>IFERROR(VLOOKUP(E192,'Inventaire des produits'!$B$4:$J$1000,6,FALSE),"")</f>
        <v>0.24167</v>
      </c>
      <c r="M192" s="62"/>
    </row>
    <row r="193" spans="2:14" x14ac:dyDescent="0.3">
      <c r="B193" s="378" t="s">
        <v>1704</v>
      </c>
      <c r="C193" s="341"/>
      <c r="D193" s="338"/>
      <c r="E193" s="235" t="s">
        <v>322</v>
      </c>
      <c r="F193" s="271" t="str">
        <f>IFERROR(VLOOKUP(E193,'Inventaire des produits'!$B$4:$K$1000,2,0),"")</f>
        <v>POT DE SAUCE 1OZ 30ML HP</v>
      </c>
      <c r="G193" s="58">
        <v>66700</v>
      </c>
      <c r="H193" s="77">
        <v>0.15833333329999999</v>
      </c>
      <c r="I193" s="95">
        <f t="shared" si="4"/>
        <v>10560.83333111</v>
      </c>
      <c r="J193" s="95">
        <f t="shared" si="5"/>
        <v>12672.999997331999</v>
      </c>
      <c r="K193" s="93">
        <f>IFERROR(VLOOKUP(E193,'Inventaire des produits'!$B$4:$J$1000,5,FALSE),"")</f>
        <v>0</v>
      </c>
      <c r="L193" s="301">
        <f>IFERROR(VLOOKUP(E193,'Inventaire des produits'!$B$4:$J$1000,6,FALSE),"")</f>
        <v>0.13500000000000001</v>
      </c>
      <c r="M193" s="62"/>
    </row>
    <row r="194" spans="2:14" x14ac:dyDescent="0.3">
      <c r="B194" s="378" t="s">
        <v>1704</v>
      </c>
      <c r="C194" s="341"/>
      <c r="D194" s="338"/>
      <c r="E194" s="235" t="s">
        <v>250</v>
      </c>
      <c r="F194" s="271" t="str">
        <f>IFERROR(VLOOKUP(E194,'Inventaire des produits'!$B$4:$K$1000,2,0),"")</f>
        <v>FOURCHETTE ECOLUXE</v>
      </c>
      <c r="G194" s="58">
        <v>7</v>
      </c>
      <c r="H194" s="77">
        <v>20.833333333300001</v>
      </c>
      <c r="I194" s="95">
        <f t="shared" si="4"/>
        <v>145.8333333331</v>
      </c>
      <c r="J194" s="95">
        <f t="shared" si="5"/>
        <v>174.99999999971999</v>
      </c>
      <c r="K194" s="93">
        <f>IFERROR(VLOOKUP(E194,'Inventaire des produits'!$B$4:$J$1000,5,FALSE),"")</f>
        <v>0</v>
      </c>
      <c r="L194" s="301">
        <f>IFERROR(VLOOKUP(E194,'Inventaire des produits'!$B$4:$J$1000,6,FALSE),"")</f>
        <v>15.84</v>
      </c>
      <c r="M194" s="62"/>
    </row>
    <row r="195" spans="2:14" x14ac:dyDescent="0.3">
      <c r="B195" s="378" t="s">
        <v>1704</v>
      </c>
      <c r="C195" s="341"/>
      <c r="D195" s="338"/>
      <c r="E195" s="235" t="s">
        <v>259</v>
      </c>
      <c r="F195" s="271" t="str">
        <f>IFERROR(VLOOKUP(E195,'Inventaire des produits'!$B$4:$K$1000,2,0),"")</f>
        <v>ROULEAU ALUMINIUM GOLDEN 200M</v>
      </c>
      <c r="G195" s="58">
        <v>1</v>
      </c>
      <c r="H195" s="77">
        <v>70.833333333300004</v>
      </c>
      <c r="I195" s="95">
        <f t="shared" si="4"/>
        <v>70.833333333300004</v>
      </c>
      <c r="J195" s="95">
        <f t="shared" si="5"/>
        <v>84.999999999959996</v>
      </c>
      <c r="K195" s="93">
        <f>IFERROR(VLOOKUP(E195,'Inventaire des produits'!$B$4:$J$1000,5,FALSE),"")</f>
        <v>0</v>
      </c>
      <c r="L195" s="301">
        <f>IFERROR(VLOOKUP(E195,'Inventaire des produits'!$B$4:$J$1000,6,FALSE),"")</f>
        <v>58.333333333299997</v>
      </c>
      <c r="M195" s="62"/>
    </row>
    <row r="196" spans="2:14" x14ac:dyDescent="0.3">
      <c r="B196" s="378" t="s">
        <v>1704</v>
      </c>
      <c r="C196" s="341"/>
      <c r="D196" s="338"/>
      <c r="E196" s="235" t="s">
        <v>369</v>
      </c>
      <c r="F196" s="271" t="str">
        <f>IFERROR(VLOOKUP(E196,'Inventaire des produits'!$B$4:$K$1000,2,0),"")</f>
        <v>ROULEAU DE CAISSE THERMIQUE 70X80 CT 50RLX</v>
      </c>
      <c r="G196" s="58">
        <v>150</v>
      </c>
      <c r="H196" s="77">
        <v>10.833333333300001</v>
      </c>
      <c r="I196" s="95">
        <f t="shared" si="4"/>
        <v>1624.9999999950001</v>
      </c>
      <c r="J196" s="95">
        <f t="shared" si="5"/>
        <v>1949.9999999940001</v>
      </c>
      <c r="K196" s="93">
        <f>IFERROR(VLOOKUP(E196,'Inventaire des produits'!$B$4:$J$1000,5,FALSE),"")</f>
        <v>0</v>
      </c>
      <c r="L196" s="301">
        <f>IFERROR(VLOOKUP(E196,'Inventaire des produits'!$B$4:$J$1000,6,FALSE),"")</f>
        <v>8.5</v>
      </c>
      <c r="M196" s="62"/>
    </row>
    <row r="197" spans="2:14" x14ac:dyDescent="0.3">
      <c r="B197" s="378" t="s">
        <v>1704</v>
      </c>
      <c r="C197" s="341"/>
      <c r="D197" s="338"/>
      <c r="E197" s="235" t="s">
        <v>145</v>
      </c>
      <c r="F197" s="271" t="str">
        <f>IFERROR(VLOOKUP(E197,'Inventaire des produits'!$B$4:$K$1000,2,0),"")</f>
        <v>GOBLET 14OZ TRANSP SMART +CVBB</v>
      </c>
      <c r="G197" s="58">
        <v>500</v>
      </c>
      <c r="H197" s="77">
        <v>0.625</v>
      </c>
      <c r="I197" s="95">
        <f t="shared" ref="I197:I260" si="6">IF(OR(G197="",H197=""),"",G197*H197)</f>
        <v>312.5</v>
      </c>
      <c r="J197" s="95">
        <f t="shared" ref="J197:J260" si="7">IF(OR(I197=""),"",I197*1.2)</f>
        <v>375</v>
      </c>
      <c r="K197" s="93">
        <f>IFERROR(VLOOKUP(E197,'Inventaire des produits'!$B$4:$J$1000,5,FALSE),"")</f>
        <v>0</v>
      </c>
      <c r="L197" s="301">
        <f>IFERROR(VLOOKUP(E197,'Inventaire des produits'!$B$4:$J$1000,6,FALSE),"")</f>
        <v>0.52</v>
      </c>
      <c r="M197" s="62"/>
    </row>
    <row r="198" spans="2:14" x14ac:dyDescent="0.3">
      <c r="B198" s="378" t="s">
        <v>1704</v>
      </c>
      <c r="C198" s="341"/>
      <c r="D198" s="338"/>
      <c r="E198" s="235" t="s">
        <v>232</v>
      </c>
      <c r="F198" s="271" t="str">
        <f>IFERROR(VLOOKUP(E198,'Inventaire des produits'!$B$4:$K$1000,2,0),"")</f>
        <v>CUILLERE ECOLUXE TRANSPARENT</v>
      </c>
      <c r="G198" s="58">
        <v>2</v>
      </c>
      <c r="H198" s="77">
        <v>20.833333333300001</v>
      </c>
      <c r="I198" s="95">
        <f t="shared" si="6"/>
        <v>41.666666666600001</v>
      </c>
      <c r="J198" s="95">
        <f t="shared" si="7"/>
        <v>49.99999999992</v>
      </c>
      <c r="K198" s="93">
        <f>IFERROR(VLOOKUP(E198,'Inventaire des produits'!$B$4:$J$1000,5,FALSE),"")</f>
        <v>0</v>
      </c>
      <c r="L198" s="301">
        <f>IFERROR(VLOOKUP(E198,'Inventaire des produits'!$B$4:$J$1000,6,FALSE),"")</f>
        <v>17.5</v>
      </c>
      <c r="M198" s="62"/>
    </row>
    <row r="199" spans="2:14" x14ac:dyDescent="0.3">
      <c r="B199" s="378" t="s">
        <v>1704</v>
      </c>
      <c r="C199" s="341"/>
      <c r="D199" s="338"/>
      <c r="E199" s="235" t="s">
        <v>239</v>
      </c>
      <c r="F199" s="271" t="str">
        <f>IFERROR(VLOOKUP(E199,'Inventaire des produits'!$B$4:$K$1000,2,0),"")</f>
        <v>GANT POLYETHLENE</v>
      </c>
      <c r="G199" s="58">
        <v>45</v>
      </c>
      <c r="H199" s="77">
        <v>5</v>
      </c>
      <c r="I199" s="95">
        <f t="shared" si="6"/>
        <v>225</v>
      </c>
      <c r="J199" s="95">
        <f t="shared" si="7"/>
        <v>270</v>
      </c>
      <c r="K199" s="93">
        <f>IFERROR(VLOOKUP(E199,'Inventaire des produits'!$B$4:$J$1000,5,FALSE),"")</f>
        <v>0</v>
      </c>
      <c r="L199" s="301">
        <f>IFERROR(VLOOKUP(E199,'Inventaire des produits'!$B$4:$J$1000,6,FALSE),"")</f>
        <v>3.5</v>
      </c>
      <c r="M199" s="62"/>
    </row>
    <row r="200" spans="2:14" x14ac:dyDescent="0.3">
      <c r="B200" s="378" t="s">
        <v>1704</v>
      </c>
      <c r="C200" s="342"/>
      <c r="D200" s="339"/>
      <c r="E200" s="235" t="s">
        <v>365</v>
      </c>
      <c r="F200" s="271" t="str">
        <f>IFERROR(VLOOKUP(E200,'Inventaire des produits'!$B$4:$K$1000,2,0),"")</f>
        <v>PAILLE 6MM CODE ENVELOPPE TRANS 100/50 PCS</v>
      </c>
      <c r="G200" s="58">
        <v>3</v>
      </c>
      <c r="H200" s="77">
        <v>6.6666666667000003</v>
      </c>
      <c r="I200" s="95">
        <f t="shared" si="6"/>
        <v>20.000000000100002</v>
      </c>
      <c r="J200" s="95">
        <f t="shared" si="7"/>
        <v>24.00000000012</v>
      </c>
      <c r="K200" s="93">
        <f>IFERROR(VLOOKUP(E200,'Inventaire des produits'!$B$4:$J$1000,5,FALSE),"")</f>
        <v>0</v>
      </c>
      <c r="L200" s="301">
        <f>IFERROR(VLOOKUP(E200,'Inventaire des produits'!$B$4:$J$1000,6,FALSE),"")</f>
        <v>4.9166666667000003</v>
      </c>
      <c r="M200" s="62"/>
    </row>
    <row r="201" spans="2:14" x14ac:dyDescent="0.3">
      <c r="B201" s="378" t="s">
        <v>1704</v>
      </c>
      <c r="C201" s="340">
        <v>45336</v>
      </c>
      <c r="D201" s="337" t="s">
        <v>454</v>
      </c>
      <c r="E201" s="235" t="s">
        <v>256</v>
      </c>
      <c r="F201" s="271" t="str">
        <f>IFERROR(VLOOKUP(E201,'Inventaire des produits'!$B$4:$K$1000,2,0),"")</f>
        <v>FILM ALIMENTAIRE VIOLET</v>
      </c>
      <c r="G201" s="50">
        <v>72</v>
      </c>
      <c r="H201" s="76">
        <v>28.333333333300001</v>
      </c>
      <c r="I201" s="95">
        <f t="shared" si="6"/>
        <v>2039.9999999976001</v>
      </c>
      <c r="J201" s="95">
        <f t="shared" si="7"/>
        <v>2447.9999999971201</v>
      </c>
      <c r="K201" s="93">
        <f>IFERROR(VLOOKUP(E201,'Inventaire des produits'!$B$4:$J$1000,5,FALSE),"")</f>
        <v>0</v>
      </c>
      <c r="L201" s="301">
        <f>IFERROR(VLOOKUP(E201,'Inventaire des produits'!$B$4:$J$1000,6,FALSE),"")</f>
        <v>28.333333333300001</v>
      </c>
      <c r="M201" s="62">
        <v>3320</v>
      </c>
      <c r="N201" s="52" t="s">
        <v>481</v>
      </c>
    </row>
    <row r="202" spans="2:14" x14ac:dyDescent="0.3">
      <c r="B202" s="378" t="s">
        <v>1704</v>
      </c>
      <c r="C202" s="341"/>
      <c r="D202" s="338"/>
      <c r="E202" s="235" t="s">
        <v>252</v>
      </c>
      <c r="F202" s="271" t="str">
        <f>IFERROR(VLOOKUP(E202,'Inventaire des produits'!$B$4:$K$1000,2,0),"")</f>
        <v>ESSUIE MAIN GKEM1KG</v>
      </c>
      <c r="G202" s="58">
        <v>8</v>
      </c>
      <c r="H202" s="77">
        <v>28.333333333300001</v>
      </c>
      <c r="I202" s="95">
        <f t="shared" si="6"/>
        <v>226.6666666664</v>
      </c>
      <c r="J202" s="95">
        <f t="shared" si="7"/>
        <v>271.99999999967997</v>
      </c>
      <c r="K202" s="93">
        <f>IFERROR(VLOOKUP(E202,'Inventaire des produits'!$B$4:$J$1000,5,FALSE),"")</f>
        <v>0</v>
      </c>
      <c r="L202" s="301">
        <f>IFERROR(VLOOKUP(E202,'Inventaire des produits'!$B$4:$J$1000,6,FALSE),"")</f>
        <v>20.83</v>
      </c>
      <c r="M202" s="62"/>
    </row>
    <row r="203" spans="2:14" x14ac:dyDescent="0.3">
      <c r="B203" s="378" t="s">
        <v>1704</v>
      </c>
      <c r="C203" s="341"/>
      <c r="D203" s="338"/>
      <c r="E203" s="235" t="s">
        <v>387</v>
      </c>
      <c r="F203" s="271" t="str">
        <f>IFERROR(VLOOKUP(E203,'Inventaire des produits'!$B$4:$K$1000,2,0),"")</f>
        <v>GANT VINYL EXTRA PREMIUM GLOVE LARGE</v>
      </c>
      <c r="G203" s="58">
        <v>12</v>
      </c>
      <c r="H203" s="77">
        <v>33.333333333299997</v>
      </c>
      <c r="I203" s="95">
        <f t="shared" si="6"/>
        <v>399.99999999959994</v>
      </c>
      <c r="J203" s="95">
        <f t="shared" si="7"/>
        <v>479.9999999995199</v>
      </c>
      <c r="K203" s="93">
        <f>IFERROR(VLOOKUP(E203,'Inventaire des produits'!$B$4:$J$1000,5,FALSE),"")</f>
        <v>0</v>
      </c>
      <c r="L203" s="301">
        <f>IFERROR(VLOOKUP(E203,'Inventaire des produits'!$B$4:$J$1000,6,FALSE),"")</f>
        <v>20</v>
      </c>
      <c r="M203" s="62"/>
    </row>
    <row r="204" spans="2:14" x14ac:dyDescent="0.3">
      <c r="B204" s="378" t="s">
        <v>1704</v>
      </c>
      <c r="C204" s="342"/>
      <c r="D204" s="339"/>
      <c r="E204" s="235" t="s">
        <v>239</v>
      </c>
      <c r="F204" s="271" t="str">
        <f>IFERROR(VLOOKUP(E204,'Inventaire des produits'!$B$4:$K$1000,2,0),"")</f>
        <v>GANT POLYETHLENE</v>
      </c>
      <c r="G204" s="58">
        <v>20</v>
      </c>
      <c r="H204" s="77">
        <v>5</v>
      </c>
      <c r="I204" s="95">
        <f t="shared" si="6"/>
        <v>100</v>
      </c>
      <c r="J204" s="95">
        <f t="shared" si="7"/>
        <v>120</v>
      </c>
      <c r="K204" s="93">
        <f>IFERROR(VLOOKUP(E204,'Inventaire des produits'!$B$4:$J$1000,5,FALSE),"")</f>
        <v>0</v>
      </c>
      <c r="L204" s="301">
        <f>IFERROR(VLOOKUP(E204,'Inventaire des produits'!$B$4:$J$1000,6,FALSE),"")</f>
        <v>3.5</v>
      </c>
      <c r="M204" s="62"/>
    </row>
    <row r="205" spans="2:14" x14ac:dyDescent="0.3">
      <c r="B205" s="378" t="s">
        <v>1704</v>
      </c>
      <c r="C205" s="340">
        <v>45337</v>
      </c>
      <c r="D205" s="364" t="s">
        <v>455</v>
      </c>
      <c r="E205" s="235" t="s">
        <v>250</v>
      </c>
      <c r="F205" s="271" t="str">
        <f>IFERROR(VLOOKUP(E205,'Inventaire des produits'!$B$4:$K$1000,2,0),"")</f>
        <v>FOURCHETTE ECOLUXE</v>
      </c>
      <c r="G205" s="50">
        <v>9</v>
      </c>
      <c r="H205" s="76">
        <v>23.213999999999999</v>
      </c>
      <c r="I205" s="95">
        <f t="shared" si="6"/>
        <v>208.92599999999999</v>
      </c>
      <c r="J205" s="95">
        <f t="shared" si="7"/>
        <v>250.71119999999996</v>
      </c>
      <c r="K205" s="93">
        <f>IFERROR(VLOOKUP(E205,'Inventaire des produits'!$B$4:$J$1000,5,FALSE),"")</f>
        <v>0</v>
      </c>
      <c r="L205" s="301">
        <f>IFERROR(VLOOKUP(E205,'Inventaire des produits'!$B$4:$J$1000,6,FALSE),"")</f>
        <v>15.84</v>
      </c>
      <c r="M205" s="62">
        <v>1572.8</v>
      </c>
      <c r="N205" s="52" t="s">
        <v>472</v>
      </c>
    </row>
    <row r="206" spans="2:14" x14ac:dyDescent="0.3">
      <c r="B206" s="378" t="s">
        <v>1704</v>
      </c>
      <c r="C206" s="341"/>
      <c r="D206" s="365"/>
      <c r="E206" s="235" t="s">
        <v>251</v>
      </c>
      <c r="F206" s="271" t="str">
        <f>IFERROR(VLOOKUP(E206,'Inventaire des produits'!$B$4:$K$1000,2,0),"")</f>
        <v>COUTEAU ECOLUXE</v>
      </c>
      <c r="G206" s="58">
        <v>10</v>
      </c>
      <c r="H206" s="77">
        <v>23.213999999999999</v>
      </c>
      <c r="I206" s="95">
        <f t="shared" si="6"/>
        <v>232.14</v>
      </c>
      <c r="J206" s="95">
        <f t="shared" si="7"/>
        <v>278.56799999999998</v>
      </c>
      <c r="K206" s="93">
        <f>IFERROR(VLOOKUP(E206,'Inventaire des produits'!$B$4:$J$1000,5,FALSE),"")</f>
        <v>0</v>
      </c>
      <c r="L206" s="301">
        <f>IFERROR(VLOOKUP(E206,'Inventaire des produits'!$B$4:$J$1000,6,FALSE),"")</f>
        <v>15.84</v>
      </c>
      <c r="M206" s="62"/>
    </row>
    <row r="207" spans="2:14" x14ac:dyDescent="0.3">
      <c r="B207" s="378" t="s">
        <v>1704</v>
      </c>
      <c r="C207" s="341"/>
      <c r="D207" s="365"/>
      <c r="E207" s="235" t="s">
        <v>256</v>
      </c>
      <c r="F207" s="271" t="str">
        <f>IFERROR(VLOOKUP(E207,'Inventaire des produits'!$B$4:$K$1000,2,0),"")</f>
        <v>FILM ALIMENTAIRE VIOLET</v>
      </c>
      <c r="G207" s="58">
        <v>5</v>
      </c>
      <c r="H207" s="77">
        <v>32</v>
      </c>
      <c r="I207" s="95">
        <f t="shared" si="6"/>
        <v>160</v>
      </c>
      <c r="J207" s="95">
        <f t="shared" si="7"/>
        <v>192</v>
      </c>
      <c r="K207" s="93">
        <f>IFERROR(VLOOKUP(E207,'Inventaire des produits'!$B$4:$J$1000,5,FALSE),"")</f>
        <v>0</v>
      </c>
      <c r="L207" s="301">
        <f>IFERROR(VLOOKUP(E207,'Inventaire des produits'!$B$4:$J$1000,6,FALSE),"")</f>
        <v>28.333333333300001</v>
      </c>
      <c r="M207" s="62"/>
    </row>
    <row r="208" spans="2:14" x14ac:dyDescent="0.3">
      <c r="B208" s="378" t="s">
        <v>1704</v>
      </c>
      <c r="C208" s="341"/>
      <c r="D208" s="365"/>
      <c r="E208" s="235" t="s">
        <v>259</v>
      </c>
      <c r="F208" s="271" t="str">
        <f>IFERROR(VLOOKUP(E208,'Inventaire des produits'!$B$4:$K$1000,2,0),"")</f>
        <v>ROULEAU ALUMINIUM GOLDEN 200M</v>
      </c>
      <c r="G208" s="58">
        <v>5</v>
      </c>
      <c r="H208" s="77">
        <v>74</v>
      </c>
      <c r="I208" s="95">
        <f t="shared" si="6"/>
        <v>370</v>
      </c>
      <c r="J208" s="95">
        <f t="shared" si="7"/>
        <v>444</v>
      </c>
      <c r="K208" s="93">
        <f>IFERROR(VLOOKUP(E208,'Inventaire des produits'!$B$4:$J$1000,5,FALSE),"")</f>
        <v>0</v>
      </c>
      <c r="L208" s="301">
        <f>IFERROR(VLOOKUP(E208,'Inventaire des produits'!$B$4:$J$1000,6,FALSE),"")</f>
        <v>58.333333333299997</v>
      </c>
      <c r="M208" s="62"/>
    </row>
    <row r="209" spans="2:14" x14ac:dyDescent="0.3">
      <c r="B209" s="378" t="s">
        <v>1704</v>
      </c>
      <c r="C209" s="341"/>
      <c r="D209" s="365"/>
      <c r="E209" s="235" t="s">
        <v>63</v>
      </c>
      <c r="F209" s="271" t="str">
        <f>IFERROR(VLOOKUP(E209,'Inventaire des produits'!$B$4:$K$1000,2,0),"")</f>
        <v>SERVIETTE</v>
      </c>
      <c r="G209" s="58">
        <v>20</v>
      </c>
      <c r="H209" s="77">
        <v>4</v>
      </c>
      <c r="I209" s="95">
        <f t="shared" si="6"/>
        <v>80</v>
      </c>
      <c r="J209" s="95">
        <f t="shared" si="7"/>
        <v>96</v>
      </c>
      <c r="K209" s="93">
        <f>IFERROR(VLOOKUP(E209,'Inventaire des produits'!$B$4:$J$1000,5,FALSE),"")</f>
        <v>0</v>
      </c>
      <c r="L209" s="301">
        <f>IFERROR(VLOOKUP(E209,'Inventaire des produits'!$B$4:$J$1000,6,FALSE),"")</f>
        <v>2.4166666666999999</v>
      </c>
      <c r="M209" s="62"/>
    </row>
    <row r="210" spans="2:14" x14ac:dyDescent="0.3">
      <c r="B210" s="378" t="s">
        <v>1704</v>
      </c>
      <c r="C210" s="341"/>
      <c r="D210" s="365"/>
      <c r="E210" s="237" t="s">
        <v>248</v>
      </c>
      <c r="F210" s="271" t="str">
        <f>IFERROR(VLOOKUP(E210,'Inventaire des produits'!$B$4:$K$1000,2,0),"")</f>
        <v>BARQUETTE SUSHI ST5 216*136*20+CVRCL</v>
      </c>
      <c r="G210" s="58">
        <v>200</v>
      </c>
      <c r="H210" s="77">
        <v>1.298</v>
      </c>
      <c r="I210" s="95">
        <f t="shared" si="6"/>
        <v>259.60000000000002</v>
      </c>
      <c r="J210" s="95">
        <f t="shared" si="7"/>
        <v>311.52000000000004</v>
      </c>
      <c r="K210" s="93">
        <f>IFERROR(VLOOKUP(E210,'Inventaire des produits'!$B$4:$J$1000,5,FALSE),"")</f>
        <v>0</v>
      </c>
      <c r="L210" s="301">
        <f>IFERROR(VLOOKUP(E210,'Inventaire des produits'!$B$4:$J$1000,6,FALSE),"")</f>
        <v>1.3166666667</v>
      </c>
      <c r="M210" s="62"/>
    </row>
    <row r="211" spans="2:14" x14ac:dyDescent="0.3">
      <c r="B211" s="378" t="s">
        <v>1704</v>
      </c>
      <c r="C211" s="340">
        <v>45337</v>
      </c>
      <c r="D211" s="337" t="s">
        <v>456</v>
      </c>
      <c r="E211" s="234" t="s">
        <v>183</v>
      </c>
      <c r="F211" s="271" t="str">
        <f>IFERROR(VLOOKUP(E211,'Inventaire des produits'!$B$4:$K$1000,2,0),"")</f>
        <v>GOBLET EN CARTON 8OZ AVEC CVL</v>
      </c>
      <c r="G211" s="50">
        <v>500</v>
      </c>
      <c r="H211" s="76">
        <v>0.4</v>
      </c>
      <c r="I211" s="95">
        <f t="shared" si="6"/>
        <v>200</v>
      </c>
      <c r="J211" s="95">
        <f t="shared" si="7"/>
        <v>240</v>
      </c>
      <c r="K211" s="93">
        <f>IFERROR(VLOOKUP(E211,'Inventaire des produits'!$B$4:$J$1000,5,FALSE),"")</f>
        <v>0</v>
      </c>
      <c r="L211" s="301">
        <f>IFERROR(VLOOKUP(E211,'Inventaire des produits'!$B$4:$J$1000,6,FALSE),"")</f>
        <v>0.41660000000000003</v>
      </c>
      <c r="M211" s="62">
        <v>350</v>
      </c>
      <c r="N211" s="52" t="s">
        <v>472</v>
      </c>
    </row>
    <row r="212" spans="2:14" x14ac:dyDescent="0.3">
      <c r="B212" s="378" t="s">
        <v>1704</v>
      </c>
      <c r="C212" s="341"/>
      <c r="D212" s="338"/>
      <c r="E212" s="236" t="s">
        <v>403</v>
      </c>
      <c r="F212" s="271" t="str">
        <f>IFERROR(VLOOKUP(E212,'Inventaire des produits'!$B$4:$K$1000,2,0),"")</f>
        <v>GOBLET 4OZ SANS CVL EN CARTON BON APETIT ECO GB</v>
      </c>
      <c r="G212" s="58">
        <v>300</v>
      </c>
      <c r="H212" s="77">
        <v>0.152777777</v>
      </c>
      <c r="I212" s="95">
        <f t="shared" si="6"/>
        <v>45.833333100000004</v>
      </c>
      <c r="J212" s="95">
        <f t="shared" si="7"/>
        <v>54.999999720000005</v>
      </c>
      <c r="K212" s="93">
        <f>IFERROR(VLOOKUP(E212,'Inventaire des produits'!$B$4:$J$1000,5,FALSE),"")</f>
        <v>0</v>
      </c>
      <c r="L212" s="301">
        <f>IFERROR(VLOOKUP(E212,'Inventaire des produits'!$B$4:$J$1000,6,FALSE),"")</f>
        <v>8.3375000000000005E-2</v>
      </c>
      <c r="M212" s="62"/>
    </row>
    <row r="213" spans="2:14" x14ac:dyDescent="0.3">
      <c r="B213" s="378" t="s">
        <v>1704</v>
      </c>
      <c r="C213" s="342"/>
      <c r="D213" s="339"/>
      <c r="E213" s="236" t="s">
        <v>404</v>
      </c>
      <c r="F213" s="271" t="str">
        <f>IFERROR(VLOOKUP(E213,'Inventaire des produits'!$B$4:$K$1000,2,0),"")</f>
        <v>CVL GOBLET 4OZ BLANC BON APETIT</v>
      </c>
      <c r="G213" s="58">
        <v>300</v>
      </c>
      <c r="H213" s="77">
        <v>0.152777777</v>
      </c>
      <c r="I213" s="95">
        <f t="shared" si="6"/>
        <v>45.833333100000004</v>
      </c>
      <c r="J213" s="95">
        <f t="shared" si="7"/>
        <v>54.999999720000005</v>
      </c>
      <c r="K213" s="93">
        <f>IFERROR(VLOOKUP(E213,'Inventaire des produits'!$B$4:$J$1000,5,FALSE),"")</f>
        <v>0</v>
      </c>
      <c r="L213" s="301">
        <f>IFERROR(VLOOKUP(E213,'Inventaire des produits'!$B$4:$J$1000,6,FALSE),"")</f>
        <v>8.3375000000000005E-2</v>
      </c>
      <c r="M213" s="62"/>
    </row>
    <row r="214" spans="2:14" x14ac:dyDescent="0.3">
      <c r="B214" s="378" t="s">
        <v>1704</v>
      </c>
      <c r="C214" s="340">
        <v>45338</v>
      </c>
      <c r="D214" s="337" t="s">
        <v>457</v>
      </c>
      <c r="E214" s="235" t="s">
        <v>148</v>
      </c>
      <c r="F214" s="271" t="str">
        <f>IFERROR(VLOOKUP(E214,'Inventaire des produits'!$B$4:$K$1000,2,0),"")</f>
        <v>BARQUETTE SUSHI ST1 160*91*20</v>
      </c>
      <c r="G214" s="50">
        <v>1600</v>
      </c>
      <c r="H214" s="76">
        <v>0.875</v>
      </c>
      <c r="I214" s="95">
        <f t="shared" si="6"/>
        <v>1400</v>
      </c>
      <c r="J214" s="95">
        <f t="shared" si="7"/>
        <v>1680</v>
      </c>
      <c r="K214" s="93">
        <f>IFERROR(VLOOKUP(E214,'Inventaire des produits'!$B$4:$J$1000,5,FALSE),"")</f>
        <v>0</v>
      </c>
      <c r="L214" s="301">
        <f>IFERROR(VLOOKUP(E214,'Inventaire des produits'!$B$4:$J$1000,6,FALSE),"")</f>
        <v>0.75833333329999997</v>
      </c>
      <c r="M214" s="62">
        <v>23644</v>
      </c>
      <c r="N214" s="52" t="s">
        <v>474</v>
      </c>
    </row>
    <row r="215" spans="2:14" x14ac:dyDescent="0.3">
      <c r="B215" s="378" t="s">
        <v>1704</v>
      </c>
      <c r="C215" s="341"/>
      <c r="D215" s="338"/>
      <c r="E215" s="235" t="s">
        <v>248</v>
      </c>
      <c r="F215" s="271" t="str">
        <f>IFERROR(VLOOKUP(E215,'Inventaire des produits'!$B$4:$K$1000,2,0),"")</f>
        <v>BARQUETTE SUSHI ST5 216*136*20+CVRCL</v>
      </c>
      <c r="G215" s="58">
        <v>2000</v>
      </c>
      <c r="H215" s="77">
        <v>1.58</v>
      </c>
      <c r="I215" s="95">
        <f t="shared" si="6"/>
        <v>3160</v>
      </c>
      <c r="J215" s="95">
        <f t="shared" si="7"/>
        <v>3792</v>
      </c>
      <c r="K215" s="93">
        <f>IFERROR(VLOOKUP(E215,'Inventaire des produits'!$B$4:$J$1000,5,FALSE),"")</f>
        <v>0</v>
      </c>
      <c r="L215" s="301">
        <f>IFERROR(VLOOKUP(E215,'Inventaire des produits'!$B$4:$J$1000,6,FALSE),"")</f>
        <v>1.3166666667</v>
      </c>
      <c r="M215" s="62"/>
    </row>
    <row r="216" spans="2:14" x14ac:dyDescent="0.3">
      <c r="B216" s="378" t="s">
        <v>1704</v>
      </c>
      <c r="C216" s="341"/>
      <c r="D216" s="338"/>
      <c r="E216" s="235" t="s">
        <v>127</v>
      </c>
      <c r="F216" s="271" t="str">
        <f>IFERROR(VLOOKUP(E216,'Inventaire des produits'!$B$4:$K$1000,2,0),"")</f>
        <v>SERVIETTE DE TABLE SEVAN 1PLI</v>
      </c>
      <c r="G216" s="58">
        <v>600</v>
      </c>
      <c r="H216" s="77">
        <v>3.17</v>
      </c>
      <c r="I216" s="95">
        <f t="shared" si="6"/>
        <v>1902</v>
      </c>
      <c r="J216" s="95">
        <f t="shared" si="7"/>
        <v>2282.4</v>
      </c>
      <c r="K216" s="93">
        <f>IFERROR(VLOOKUP(E216,'Inventaire des produits'!$B$4:$J$1000,5,FALSE),"")</f>
        <v>0</v>
      </c>
      <c r="L216" s="301">
        <f>IFERROR(VLOOKUP(E216,'Inventaire des produits'!$B$4:$J$1000,6,FALSE),"")</f>
        <v>2.9169999999999998</v>
      </c>
      <c r="M216" s="62"/>
    </row>
    <row r="217" spans="2:14" x14ac:dyDescent="0.3">
      <c r="B217" s="378" t="s">
        <v>1704</v>
      </c>
      <c r="C217" s="341"/>
      <c r="D217" s="338"/>
      <c r="E217" s="235" t="s">
        <v>322</v>
      </c>
      <c r="F217" s="271" t="str">
        <f>IFERROR(VLOOKUP(E217,'Inventaire des produits'!$B$4:$K$1000,2,0),"")</f>
        <v>POT DE SAUCE 1OZ 30ML HP</v>
      </c>
      <c r="G217" s="58">
        <v>16000</v>
      </c>
      <c r="H217" s="77">
        <v>0.15416666670000001</v>
      </c>
      <c r="I217" s="95">
        <f t="shared" si="6"/>
        <v>2466.6666672000001</v>
      </c>
      <c r="J217" s="95">
        <f t="shared" si="7"/>
        <v>2960.0000006400001</v>
      </c>
      <c r="K217" s="93">
        <f>IFERROR(VLOOKUP(E217,'Inventaire des produits'!$B$4:$J$1000,5,FALSE),"")</f>
        <v>0</v>
      </c>
      <c r="L217" s="301">
        <f>IFERROR(VLOOKUP(E217,'Inventaire des produits'!$B$4:$J$1000,6,FALSE),"")</f>
        <v>0.13500000000000001</v>
      </c>
      <c r="M217" s="62"/>
    </row>
    <row r="218" spans="2:14" x14ac:dyDescent="0.3">
      <c r="B218" s="378" t="s">
        <v>1704</v>
      </c>
      <c r="C218" s="341"/>
      <c r="D218" s="338"/>
      <c r="E218" s="235" t="s">
        <v>395</v>
      </c>
      <c r="F218" s="271" t="str">
        <f>IFERROR(VLOOKUP(E218,'Inventaire des produits'!$B$4:$K$1000,2,0),"")</f>
        <v xml:space="preserve">SAC KRAFT 22*17*28 </v>
      </c>
      <c r="G218" s="58">
        <v>2500</v>
      </c>
      <c r="H218" s="77">
        <v>0.92</v>
      </c>
      <c r="I218" s="95">
        <f t="shared" si="6"/>
        <v>2300</v>
      </c>
      <c r="J218" s="95">
        <f t="shared" si="7"/>
        <v>2760</v>
      </c>
      <c r="K218" s="93">
        <f>IFERROR(VLOOKUP(E218,'Inventaire des produits'!$B$4:$J$1000,5,FALSE),"")</f>
        <v>0</v>
      </c>
      <c r="L218" s="301">
        <f>IFERROR(VLOOKUP(E218,'Inventaire des produits'!$B$4:$J$1000,6,FALSE),"")</f>
        <v>0.70833400000000002</v>
      </c>
      <c r="M218" s="62"/>
    </row>
    <row r="219" spans="2:14" x14ac:dyDescent="0.3">
      <c r="B219" s="378" t="s">
        <v>1704</v>
      </c>
      <c r="C219" s="341"/>
      <c r="D219" s="338"/>
      <c r="E219" s="235" t="s">
        <v>361</v>
      </c>
      <c r="F219" s="271" t="str">
        <f>IFERROR(VLOOKUP(E219,'Inventaire des produits'!$B$4:$K$1000,2,0),"")</f>
        <v>FILM ETIRABLE VIOLET 290mm kg</v>
      </c>
      <c r="G219" s="58">
        <v>60</v>
      </c>
      <c r="H219" s="77">
        <v>26.666667</v>
      </c>
      <c r="I219" s="95">
        <f t="shared" si="6"/>
        <v>1600.0000199999999</v>
      </c>
      <c r="J219" s="95">
        <f t="shared" si="7"/>
        <v>1920.0000239999999</v>
      </c>
      <c r="K219" s="93">
        <f>IFERROR(VLOOKUP(E219,'Inventaire des produits'!$B$4:$J$1000,5,FALSE),"")</f>
        <v>0</v>
      </c>
      <c r="L219" s="301">
        <f>IFERROR(VLOOKUP(E219,'Inventaire des produits'!$B$4:$J$1000,6,FALSE),"")</f>
        <v>25</v>
      </c>
      <c r="M219" s="62"/>
    </row>
    <row r="220" spans="2:14" x14ac:dyDescent="0.3">
      <c r="B220" s="378" t="s">
        <v>1704</v>
      </c>
      <c r="C220" s="341"/>
      <c r="D220" s="338"/>
      <c r="E220" s="235" t="s">
        <v>479</v>
      </c>
      <c r="F220" s="271" t="str">
        <f>IFERROR(VLOOKUP(E220,'Inventaire des produits'!$B$4:$K$1000,2,0),"")</f>
        <v xml:space="preserve">SAC KRAFT 22*17*28 </v>
      </c>
      <c r="G220" s="58">
        <v>5000</v>
      </c>
      <c r="H220" s="77">
        <v>0.92</v>
      </c>
      <c r="I220" s="95">
        <f t="shared" si="6"/>
        <v>4600</v>
      </c>
      <c r="J220" s="95">
        <f t="shared" si="7"/>
        <v>5520</v>
      </c>
      <c r="K220" s="93">
        <f>IFERROR(VLOOKUP(E220,'Inventaire des produits'!$B$4:$J$1000,5,FALSE),"")</f>
        <v>0</v>
      </c>
      <c r="L220" s="301">
        <f>IFERROR(VLOOKUP(E220,'Inventaire des produits'!$B$4:$J$1000,6,FALSE),"")</f>
        <v>0.71</v>
      </c>
      <c r="M220" s="62"/>
    </row>
    <row r="221" spans="2:14" x14ac:dyDescent="0.3">
      <c r="B221" s="378" t="s">
        <v>1704</v>
      </c>
      <c r="C221" s="341"/>
      <c r="D221" s="338"/>
      <c r="E221" s="235" t="s">
        <v>372</v>
      </c>
      <c r="F221" s="271" t="str">
        <f>IFERROR(VLOOKUP(E221,'Inventaire des produits'!$B$4:$K$1000,2,0),"")</f>
        <v>BARQUETTE VITA PACK 750ML AVEC CVL</v>
      </c>
      <c r="G221" s="58">
        <v>500</v>
      </c>
      <c r="H221" s="77">
        <v>1.55</v>
      </c>
      <c r="I221" s="95">
        <f t="shared" si="6"/>
        <v>775</v>
      </c>
      <c r="J221" s="95">
        <f t="shared" si="7"/>
        <v>930</v>
      </c>
      <c r="K221" s="93">
        <f>IFERROR(VLOOKUP(E221,'Inventaire des produits'!$B$4:$J$1000,5,FALSE),"")</f>
        <v>0</v>
      </c>
      <c r="L221" s="301">
        <f>IFERROR(VLOOKUP(E221,'Inventaire des produits'!$B$4:$J$1000,6,FALSE),"")</f>
        <v>1.34</v>
      </c>
      <c r="M221" s="62"/>
    </row>
    <row r="222" spans="2:14" x14ac:dyDescent="0.3">
      <c r="B222" s="378" t="s">
        <v>1704</v>
      </c>
      <c r="C222" s="342"/>
      <c r="D222" s="339"/>
      <c r="E222" s="235" t="s">
        <v>259</v>
      </c>
      <c r="F222" s="271" t="str">
        <f>IFERROR(VLOOKUP(E222,'Inventaire des produits'!$B$4:$K$1000,2,0),"")</f>
        <v>ROULEAU ALUMINIUM GOLDEN 200M</v>
      </c>
      <c r="G222" s="58">
        <v>24</v>
      </c>
      <c r="H222" s="77">
        <v>62.5</v>
      </c>
      <c r="I222" s="95">
        <f t="shared" si="6"/>
        <v>1500</v>
      </c>
      <c r="J222" s="95">
        <f t="shared" si="7"/>
        <v>1800</v>
      </c>
      <c r="K222" s="93">
        <f>IFERROR(VLOOKUP(E222,'Inventaire des produits'!$B$4:$J$1000,5,FALSE),"")</f>
        <v>0</v>
      </c>
      <c r="L222" s="301">
        <f>IFERROR(VLOOKUP(E222,'Inventaire des produits'!$B$4:$J$1000,6,FALSE),"")</f>
        <v>58.333333333299997</v>
      </c>
      <c r="M222" s="62"/>
    </row>
    <row r="223" spans="2:14" x14ac:dyDescent="0.3">
      <c r="B223" s="378" t="s">
        <v>1704</v>
      </c>
      <c r="C223" s="340">
        <v>45339</v>
      </c>
      <c r="D223" s="337" t="s">
        <v>458</v>
      </c>
      <c r="E223" s="235" t="s">
        <v>283</v>
      </c>
      <c r="F223" s="271" t="str">
        <f>IFERROR(VLOOKUP(E223,'Inventaire des produits'!$B$4:$K$1000,2,0),"")</f>
        <v>FILM ALIMENTAIRE 900G PET</v>
      </c>
      <c r="G223" s="230">
        <v>8</v>
      </c>
      <c r="H223" s="76">
        <v>30.16</v>
      </c>
      <c r="I223" s="95">
        <f t="shared" si="6"/>
        <v>241.28</v>
      </c>
      <c r="J223" s="95">
        <f t="shared" si="7"/>
        <v>289.536</v>
      </c>
      <c r="K223" s="93">
        <f>IFERROR(VLOOKUP(E223,'Inventaire des produits'!$B$4:$J$1000,5,FALSE),"")</f>
        <v>0</v>
      </c>
      <c r="L223" s="301">
        <f>IFERROR(VLOOKUP(E223,'Inventaire des produits'!$B$4:$J$1000,6,FALSE),"")</f>
        <v>21.84</v>
      </c>
      <c r="M223" s="62">
        <v>1250</v>
      </c>
      <c r="N223" s="52" t="s">
        <v>473</v>
      </c>
    </row>
    <row r="224" spans="2:14" x14ac:dyDescent="0.3">
      <c r="B224" s="378" t="s">
        <v>1704</v>
      </c>
      <c r="C224" s="341"/>
      <c r="D224" s="338"/>
      <c r="E224" s="235" t="s">
        <v>161</v>
      </c>
      <c r="F224" s="271" t="str">
        <f>IFERROR(VLOOKUP(E224,'Inventaire des produits'!$B$4:$K$1000,2,0),"")</f>
        <v>COQUILLE MEAL BOX 2 COMP BLANC</v>
      </c>
      <c r="G224" s="231">
        <v>200</v>
      </c>
      <c r="H224" s="77">
        <v>1.26</v>
      </c>
      <c r="I224" s="95">
        <f t="shared" si="6"/>
        <v>252</v>
      </c>
      <c r="J224" s="95">
        <f t="shared" si="7"/>
        <v>302.39999999999998</v>
      </c>
      <c r="K224" s="93">
        <f>IFERROR(VLOOKUP(E224,'Inventaire des produits'!$B$4:$J$1000,5,FALSE),"")</f>
        <v>0</v>
      </c>
      <c r="L224" s="301">
        <f>IFERROR(VLOOKUP(E224,'Inventaire des produits'!$B$4:$J$1000,6,FALSE),"")</f>
        <v>1</v>
      </c>
      <c r="M224" s="62"/>
    </row>
    <row r="225" spans="2:14" x14ac:dyDescent="0.3">
      <c r="B225" s="378" t="s">
        <v>1704</v>
      </c>
      <c r="C225" s="341"/>
      <c r="D225" s="338"/>
      <c r="E225" s="235" t="s">
        <v>262</v>
      </c>
      <c r="F225" s="271" t="str">
        <f>IFERROR(VLOOKUP(E225,'Inventaire des produits'!$B$4:$K$1000,2,0),"")</f>
        <v>GANT VINYL NOIR EXTRA PREMIUM GLOVE LARGE</v>
      </c>
      <c r="G225" s="231">
        <v>14</v>
      </c>
      <c r="H225" s="77">
        <v>30.949000000000002</v>
      </c>
      <c r="I225" s="95">
        <f t="shared" si="6"/>
        <v>433.286</v>
      </c>
      <c r="J225" s="95">
        <f t="shared" si="7"/>
        <v>519.94319999999993</v>
      </c>
      <c r="K225" s="93">
        <f>IFERROR(VLOOKUP(E225,'Inventaire des produits'!$B$4:$J$1000,5,FALSE),"")</f>
        <v>0</v>
      </c>
      <c r="L225" s="301">
        <f>IFERROR(VLOOKUP(E225,'Inventaire des produits'!$B$4:$J$1000,6,FALSE),"")</f>
        <v>22.5</v>
      </c>
      <c r="M225" s="62"/>
    </row>
    <row r="226" spans="2:14" x14ac:dyDescent="0.3">
      <c r="B226" s="378" t="s">
        <v>1704</v>
      </c>
      <c r="C226" s="342"/>
      <c r="D226" s="339"/>
      <c r="E226" s="235" t="s">
        <v>99</v>
      </c>
      <c r="F226" s="271" t="str">
        <f>IFERROR(VLOOKUP(E226,'Inventaire des produits'!$B$4:$K$1000,2,0),"")</f>
        <v>BARQUETTE ALUMINIUM RECT 1200ML AVEC CVL</v>
      </c>
      <c r="G226" s="64">
        <v>100</v>
      </c>
      <c r="H226" s="77">
        <v>1.151</v>
      </c>
      <c r="I226" s="95">
        <f t="shared" si="6"/>
        <v>115.10000000000001</v>
      </c>
      <c r="J226" s="95">
        <f t="shared" si="7"/>
        <v>138.12</v>
      </c>
      <c r="K226" s="93">
        <f>IFERROR(VLOOKUP(E226,'Inventaire des produits'!$B$4:$J$1000,5,FALSE),"")</f>
        <v>0</v>
      </c>
      <c r="L226" s="301">
        <f>IFERROR(VLOOKUP(E226,'Inventaire des produits'!$B$4:$J$1000,6,FALSE),"")</f>
        <v>0.75007000000000001</v>
      </c>
      <c r="M226" s="62"/>
    </row>
    <row r="227" spans="2:14" x14ac:dyDescent="0.3">
      <c r="B227" s="378" t="s">
        <v>1704</v>
      </c>
      <c r="C227" s="340">
        <v>45339</v>
      </c>
      <c r="D227" s="337" t="s">
        <v>466</v>
      </c>
      <c r="E227" s="235" t="s">
        <v>405</v>
      </c>
      <c r="F227" s="271" t="str">
        <f>IFERROR(VLOOKUP(E227,'Inventaire des produits'!$B$4:$K$1000,2,0),"")</f>
        <v>POT DE SAUCE 1OZ 30ML HP</v>
      </c>
      <c r="G227" s="230">
        <v>12000</v>
      </c>
      <c r="H227" s="76">
        <v>0.15</v>
      </c>
      <c r="I227" s="95">
        <f t="shared" si="6"/>
        <v>1800</v>
      </c>
      <c r="J227" s="95">
        <f t="shared" si="7"/>
        <v>2160</v>
      </c>
      <c r="K227" s="93">
        <f>IFERROR(VLOOKUP(E227,'Inventaire des produits'!$B$4:$J$1000,5,FALSE),"")</f>
        <v>0</v>
      </c>
      <c r="L227" s="301">
        <f>IFERROR(VLOOKUP(E227,'Inventaire des produits'!$B$4:$J$1000,6,FALSE),"")</f>
        <v>0.14019999999999999</v>
      </c>
      <c r="M227" s="62">
        <v>6910</v>
      </c>
      <c r="N227" s="52" t="s">
        <v>473</v>
      </c>
    </row>
    <row r="228" spans="2:14" x14ac:dyDescent="0.3">
      <c r="B228" s="378" t="s">
        <v>1704</v>
      </c>
      <c r="C228" s="341"/>
      <c r="D228" s="338"/>
      <c r="E228" s="235" t="s">
        <v>372</v>
      </c>
      <c r="F228" s="271" t="str">
        <f>IFERROR(VLOOKUP(E228,'Inventaire des produits'!$B$4:$K$1000,2,0),"")</f>
        <v>BARQUETTE VITA PACK 750ML AVEC CVL</v>
      </c>
      <c r="G228" s="231">
        <v>1250</v>
      </c>
      <c r="H228" s="77">
        <v>1.3333333329999999</v>
      </c>
      <c r="I228" s="95">
        <f t="shared" si="6"/>
        <v>1666.6666662499999</v>
      </c>
      <c r="J228" s="95">
        <f t="shared" si="7"/>
        <v>1999.9999994999998</v>
      </c>
      <c r="K228" s="93">
        <f>IFERROR(VLOOKUP(E228,'Inventaire des produits'!$B$4:$J$1000,5,FALSE),"")</f>
        <v>0</v>
      </c>
      <c r="L228" s="301">
        <f>IFERROR(VLOOKUP(E228,'Inventaire des produits'!$B$4:$J$1000,6,FALSE),"")</f>
        <v>1.34</v>
      </c>
      <c r="M228" s="62"/>
    </row>
    <row r="229" spans="2:14" x14ac:dyDescent="0.3">
      <c r="B229" s="378" t="s">
        <v>1704</v>
      </c>
      <c r="C229" s="341"/>
      <c r="D229" s="338"/>
      <c r="E229" s="235" t="s">
        <v>395</v>
      </c>
      <c r="F229" s="271" t="str">
        <f>IFERROR(VLOOKUP(E229,'Inventaire des produits'!$B$4:$K$1000,2,0),"")</f>
        <v xml:space="preserve">SAC KRAFT 22*17*28 </v>
      </c>
      <c r="G229" s="231">
        <v>1750</v>
      </c>
      <c r="H229" s="77">
        <v>0.91666666666700003</v>
      </c>
      <c r="I229" s="95">
        <f t="shared" si="6"/>
        <v>1604.16666666725</v>
      </c>
      <c r="J229" s="95">
        <f t="shared" si="7"/>
        <v>1925.0000000006999</v>
      </c>
      <c r="K229" s="93">
        <f>IFERROR(VLOOKUP(E229,'Inventaire des produits'!$B$4:$J$1000,5,FALSE),"")</f>
        <v>0</v>
      </c>
      <c r="L229" s="301">
        <f>IFERROR(VLOOKUP(E229,'Inventaire des produits'!$B$4:$J$1000,6,FALSE),"")</f>
        <v>0.70833400000000002</v>
      </c>
      <c r="M229" s="62"/>
    </row>
    <row r="230" spans="2:14" x14ac:dyDescent="0.3">
      <c r="B230" s="378" t="s">
        <v>1704</v>
      </c>
      <c r="C230" s="342"/>
      <c r="D230" s="339"/>
      <c r="E230" s="235" t="s">
        <v>479</v>
      </c>
      <c r="F230" s="271" t="str">
        <f>IFERROR(VLOOKUP(E230,'Inventaire des produits'!$B$4:$K$1000,2,0),"")</f>
        <v xml:space="preserve">SAC KRAFT 22*17*28 </v>
      </c>
      <c r="G230" s="64">
        <v>750</v>
      </c>
      <c r="H230" s="77">
        <v>0.91666666666700003</v>
      </c>
      <c r="I230" s="95">
        <f t="shared" si="6"/>
        <v>687.50000000025</v>
      </c>
      <c r="J230" s="95">
        <f t="shared" si="7"/>
        <v>825.00000000030002</v>
      </c>
      <c r="K230" s="93">
        <f>IFERROR(VLOOKUP(E230,'Inventaire des produits'!$B$4:$J$1000,5,FALSE),"")</f>
        <v>0</v>
      </c>
      <c r="L230" s="301">
        <f>IFERROR(VLOOKUP(E230,'Inventaire des produits'!$B$4:$J$1000,6,FALSE),"")</f>
        <v>0.71</v>
      </c>
      <c r="M230" s="62"/>
    </row>
    <row r="231" spans="2:14" x14ac:dyDescent="0.3">
      <c r="B231" s="378" t="s">
        <v>1704</v>
      </c>
      <c r="C231" s="55">
        <v>45339</v>
      </c>
      <c r="D231" s="54" t="s">
        <v>467</v>
      </c>
      <c r="E231" s="235" t="s">
        <v>459</v>
      </c>
      <c r="F231" s="271" t="str">
        <f>IFERROR(VLOOKUP(E231,'Inventaire des produits'!$B$4:$K$1000,2,0),"")</f>
        <v>SAC FOND CARRE POIGNE PLAT 26*17*28 70G</v>
      </c>
      <c r="G231" s="230">
        <v>5000</v>
      </c>
      <c r="H231" s="76">
        <v>1.1666666699999999</v>
      </c>
      <c r="I231" s="95">
        <f t="shared" si="6"/>
        <v>5833.3333499999999</v>
      </c>
      <c r="J231" s="95">
        <f t="shared" si="7"/>
        <v>7000.0000199999995</v>
      </c>
      <c r="K231" s="93">
        <f>IFERROR(VLOOKUP(E231,'Inventaire des produits'!$B$4:$J$1000,5,FALSE),"")</f>
        <v>0</v>
      </c>
      <c r="L231" s="301">
        <f>IFERROR(VLOOKUP(E231,'Inventaire des produits'!$B$4:$J$1000,6,FALSE),"")</f>
        <v>0.75</v>
      </c>
      <c r="M231" s="62">
        <v>7000.0000199999995</v>
      </c>
    </row>
    <row r="232" spans="2:14" x14ac:dyDescent="0.3">
      <c r="B232" s="378" t="s">
        <v>1704</v>
      </c>
      <c r="C232" s="340">
        <v>45339</v>
      </c>
      <c r="D232" s="337" t="s">
        <v>475</v>
      </c>
      <c r="E232" s="235" t="s">
        <v>551</v>
      </c>
      <c r="F232" s="271" t="str">
        <f>IFERROR(VLOOKUP(E232,'Inventaire des produits'!$B$4:$K$1000,2,0),"")</f>
        <v>BARQUETTE ALUMINIUM 808</v>
      </c>
      <c r="G232" s="50">
        <v>4900</v>
      </c>
      <c r="H232" s="76">
        <v>0.90900000000000003</v>
      </c>
      <c r="I232" s="95">
        <f t="shared" si="6"/>
        <v>4454.1000000000004</v>
      </c>
      <c r="J232" s="95">
        <f t="shared" si="7"/>
        <v>5344.92</v>
      </c>
      <c r="K232" s="93">
        <f>IFERROR(VLOOKUP(E232,'Inventaire des produits'!$B$4:$J$1000,5,FALSE),"")</f>
        <v>0</v>
      </c>
      <c r="L232" s="301">
        <f>IFERROR(VLOOKUP(E232,'Inventaire des produits'!$B$4:$J$1000,6,FALSE),"")</f>
        <v>0.53333330000000001</v>
      </c>
      <c r="M232" s="51">
        <v>25000</v>
      </c>
      <c r="N232" s="52" t="s">
        <v>481</v>
      </c>
    </row>
    <row r="233" spans="2:14" x14ac:dyDescent="0.3">
      <c r="B233" s="378" t="s">
        <v>1704</v>
      </c>
      <c r="C233" s="341"/>
      <c r="D233" s="338"/>
      <c r="E233" s="235" t="s">
        <v>320</v>
      </c>
      <c r="F233" s="271" t="str">
        <f>IFERROR(VLOOKUP(E233,'Inventaire des produits'!$B$4:$K$1000,2,0),"")</f>
        <v>POT DE SAUCE 20CC</v>
      </c>
      <c r="G233" s="63">
        <v>6000</v>
      </c>
      <c r="H233" s="80">
        <v>0.1</v>
      </c>
      <c r="I233" s="95">
        <f t="shared" si="6"/>
        <v>600</v>
      </c>
      <c r="J233" s="95">
        <f t="shared" si="7"/>
        <v>720</v>
      </c>
      <c r="K233" s="93">
        <f>IFERROR(VLOOKUP(E233,'Inventaire des produits'!$B$4:$J$1000,5,FALSE),"")</f>
        <v>0</v>
      </c>
      <c r="L233" s="301">
        <f>IFERROR(VLOOKUP(E233,'Inventaire des produits'!$B$4:$J$1000,6,FALSE),"")</f>
        <v>4.5999999999999999E-2</v>
      </c>
      <c r="M233" s="51"/>
    </row>
    <row r="234" spans="2:14" x14ac:dyDescent="0.3">
      <c r="B234" s="378" t="s">
        <v>1704</v>
      </c>
      <c r="C234" s="341"/>
      <c r="D234" s="338"/>
      <c r="E234" s="235" t="s">
        <v>615</v>
      </c>
      <c r="F234" s="271" t="str">
        <f>IFERROR(VLOOKUP(E234,'Inventaire des produits'!$B$4:$K$1000,2,0),"")</f>
        <v>SAC PN BLANC UNI 28/40/10</v>
      </c>
      <c r="G234" s="63">
        <v>2800</v>
      </c>
      <c r="H234" s="80">
        <v>0.75</v>
      </c>
      <c r="I234" s="95">
        <f t="shared" si="6"/>
        <v>2100</v>
      </c>
      <c r="J234" s="95">
        <f t="shared" si="7"/>
        <v>2520</v>
      </c>
      <c r="K234" s="93">
        <f>IFERROR(VLOOKUP(E234,'Inventaire des produits'!$B$4:$J$1000,5,FALSE),"")</f>
        <v>0</v>
      </c>
      <c r="L234" s="301">
        <f>IFERROR(VLOOKUP(E234,'Inventaire des produits'!$B$4:$J$1000,6,FALSE),"")</f>
        <v>0.33334000000000003</v>
      </c>
      <c r="M234" s="51"/>
    </row>
    <row r="235" spans="2:14" x14ac:dyDescent="0.3">
      <c r="B235" s="378" t="s">
        <v>1704</v>
      </c>
      <c r="C235" s="341"/>
      <c r="D235" s="338"/>
      <c r="E235" s="235" t="s">
        <v>127</v>
      </c>
      <c r="F235" s="271" t="str">
        <f>IFERROR(VLOOKUP(E235,'Inventaire des produits'!$B$4:$K$1000,2,0),"")</f>
        <v>SERVIETTE DE TABLE SEVAN 1PLI</v>
      </c>
      <c r="G235" s="63">
        <v>300</v>
      </c>
      <c r="H235" s="80">
        <v>3.95</v>
      </c>
      <c r="I235" s="95">
        <f t="shared" si="6"/>
        <v>1185</v>
      </c>
      <c r="J235" s="95">
        <f t="shared" si="7"/>
        <v>1422</v>
      </c>
      <c r="K235" s="93">
        <f>IFERROR(VLOOKUP(E235,'Inventaire des produits'!$B$4:$J$1000,5,FALSE),"")</f>
        <v>0</v>
      </c>
      <c r="L235" s="301">
        <f>IFERROR(VLOOKUP(E235,'Inventaire des produits'!$B$4:$J$1000,6,FALSE),"")</f>
        <v>2.9169999999999998</v>
      </c>
      <c r="M235" s="51"/>
    </row>
    <row r="236" spans="2:14" x14ac:dyDescent="0.3">
      <c r="B236" s="378" t="s">
        <v>1704</v>
      </c>
      <c r="C236" s="341"/>
      <c r="D236" s="338"/>
      <c r="E236" s="235" t="s">
        <v>244</v>
      </c>
      <c r="F236" s="271" t="str">
        <f>IFERROR(VLOOKUP(E236,'Inventaire des produits'!$B$4:$K$1000,2,0),"")</f>
        <v>PAILLE ARTISTIQUE 100</v>
      </c>
      <c r="G236" s="63">
        <v>3</v>
      </c>
      <c r="H236" s="80">
        <v>680</v>
      </c>
      <c r="I236" s="95">
        <f t="shared" si="6"/>
        <v>2040</v>
      </c>
      <c r="J236" s="95">
        <f t="shared" si="7"/>
        <v>2448</v>
      </c>
      <c r="K236" s="93">
        <f>IFERROR(VLOOKUP(E236,'Inventaire des produits'!$B$4:$J$1000,5,FALSE),"")</f>
        <v>0</v>
      </c>
      <c r="L236" s="301">
        <f>IFERROR(VLOOKUP(E236,'Inventaire des produits'!$B$4:$J$1000,6,FALSE),"")</f>
        <v>643.17999999999995</v>
      </c>
      <c r="M236" s="51"/>
    </row>
    <row r="237" spans="2:14" x14ac:dyDescent="0.3">
      <c r="B237" s="378" t="s">
        <v>1704</v>
      </c>
      <c r="C237" s="341"/>
      <c r="D237" s="338"/>
      <c r="E237" s="235" t="s">
        <v>305</v>
      </c>
      <c r="F237" s="271" t="str">
        <f>IFERROR(VLOOKUP(E237,'Inventaire des produits'!$B$4:$K$1000,2,0),"")</f>
        <v>BOL SALADE ET CVL BLANC 38OZ CARTON 300PCS</v>
      </c>
      <c r="G237" s="63">
        <v>1</v>
      </c>
      <c r="H237" s="80">
        <v>900.33333332999996</v>
      </c>
      <c r="I237" s="95">
        <f t="shared" si="6"/>
        <v>900.33333332999996</v>
      </c>
      <c r="J237" s="95">
        <f t="shared" si="7"/>
        <v>1080.3999999959999</v>
      </c>
      <c r="K237" s="93">
        <f>IFERROR(VLOOKUP(E237,'Inventaire des produits'!$B$4:$J$1000,5,FALSE),"")</f>
        <v>0</v>
      </c>
      <c r="L237" s="301">
        <f>IFERROR(VLOOKUP(E237,'Inventaire des produits'!$B$4:$J$1000,6,FALSE),"")</f>
        <v>725</v>
      </c>
      <c r="M237" s="51"/>
    </row>
    <row r="238" spans="2:14" x14ac:dyDescent="0.3">
      <c r="B238" s="378" t="s">
        <v>1704</v>
      </c>
      <c r="C238" s="341"/>
      <c r="D238" s="338"/>
      <c r="E238" s="235" t="s">
        <v>260</v>
      </c>
      <c r="F238" s="271" t="str">
        <f>IFERROR(VLOOKUP(E238,'Inventaire des produits'!$B$4:$K$1000,2,0),"")</f>
        <v>ROULEAU ALUMINIUM EXTRA PACK 200M</v>
      </c>
      <c r="G238" s="63">
        <v>24</v>
      </c>
      <c r="H238" s="80">
        <v>65</v>
      </c>
      <c r="I238" s="95">
        <f t="shared" si="6"/>
        <v>1560</v>
      </c>
      <c r="J238" s="95">
        <f t="shared" si="7"/>
        <v>1872</v>
      </c>
      <c r="K238" s="93">
        <f>IFERROR(VLOOKUP(E238,'Inventaire des produits'!$B$4:$J$1000,5,FALSE),"")</f>
        <v>0</v>
      </c>
      <c r="L238" s="301">
        <f>IFERROR(VLOOKUP(E238,'Inventaire des produits'!$B$4:$J$1000,6,FALSE),"")</f>
        <v>48.631666666699999</v>
      </c>
      <c r="M238" s="51"/>
    </row>
    <row r="239" spans="2:14" x14ac:dyDescent="0.3">
      <c r="B239" s="378" t="s">
        <v>1704</v>
      </c>
      <c r="C239" s="341"/>
      <c r="D239" s="338"/>
      <c r="E239" s="235" t="s">
        <v>194</v>
      </c>
      <c r="F239" s="271" t="str">
        <f>IFERROR(VLOOKUP(E239,'Inventaire des produits'!$B$4:$K$1000,2,0),"")</f>
        <v>BARQUETTE ALUMINIUM 81760 (3COMP)</v>
      </c>
      <c r="G239" s="63">
        <v>3900</v>
      </c>
      <c r="H239" s="80">
        <v>1.101</v>
      </c>
      <c r="I239" s="95">
        <f t="shared" si="6"/>
        <v>4293.8999999999996</v>
      </c>
      <c r="J239" s="95">
        <f t="shared" si="7"/>
        <v>5152.6799999999994</v>
      </c>
      <c r="K239" s="93">
        <f>IFERROR(VLOOKUP(E239,'Inventaire des produits'!$B$4:$J$1000,5,FALSE),"")</f>
        <v>0</v>
      </c>
      <c r="L239" s="301">
        <f>IFERROR(VLOOKUP(E239,'Inventaire des produits'!$B$4:$J$1000,6,FALSE),"")</f>
        <v>0.91666666669999997</v>
      </c>
      <c r="M239" s="51"/>
    </row>
    <row r="240" spans="2:14" x14ac:dyDescent="0.3">
      <c r="B240" s="378" t="s">
        <v>1704</v>
      </c>
      <c r="C240" s="342"/>
      <c r="D240" s="339"/>
      <c r="E240" s="235" t="s">
        <v>196</v>
      </c>
      <c r="F240" s="271" t="str">
        <f>IFERROR(VLOOKUP(E240,'Inventaire des produits'!$B$4:$K$1000,2,0),"")</f>
        <v>BARQUETTE ALUMINIUM 81620 (2COMP)</v>
      </c>
      <c r="G240" s="63">
        <v>3700</v>
      </c>
      <c r="H240" s="80">
        <v>1</v>
      </c>
      <c r="I240" s="95">
        <f t="shared" si="6"/>
        <v>3700</v>
      </c>
      <c r="J240" s="95">
        <f t="shared" si="7"/>
        <v>4440</v>
      </c>
      <c r="K240" s="93">
        <f>IFERROR(VLOOKUP(E240,'Inventaire des produits'!$B$4:$J$1000,5,FALSE),"")</f>
        <v>0</v>
      </c>
      <c r="L240" s="301">
        <f>IFERROR(VLOOKUP(E240,'Inventaire des produits'!$B$4:$J$1000,6,FALSE),"")</f>
        <v>0.91666666669999997</v>
      </c>
      <c r="M240" s="51"/>
    </row>
    <row r="241" spans="2:14" x14ac:dyDescent="0.3">
      <c r="B241" s="378" t="s">
        <v>1704</v>
      </c>
      <c r="C241" s="55">
        <v>45339</v>
      </c>
      <c r="D241" s="54" t="s">
        <v>476</v>
      </c>
      <c r="E241" s="235" t="s">
        <v>89</v>
      </c>
      <c r="F241" s="271" t="str">
        <f>IFERROR(VLOOKUP(E241,'Inventaire des produits'!$B$4:$K$1000,2,0),"")</f>
        <v>ESSUIE TOUT YES MAXIS CITRON</v>
      </c>
      <c r="G241" s="247">
        <v>1079</v>
      </c>
      <c r="H241" s="79">
        <v>4.0013899999999998</v>
      </c>
      <c r="I241" s="95">
        <f t="shared" si="6"/>
        <v>4317.4998099999993</v>
      </c>
      <c r="J241" s="95">
        <f t="shared" si="7"/>
        <v>5180.9997719999992</v>
      </c>
      <c r="K241" s="93">
        <f>IFERROR(VLOOKUP(E241,'Inventaire des produits'!$B$4:$J$1000,5,FALSE),"")</f>
        <v>0</v>
      </c>
      <c r="L241" s="301">
        <f>IFERROR(VLOOKUP(E241,'Inventaire des produits'!$B$4:$J$1000,6,FALSE),"")</f>
        <v>3.45</v>
      </c>
      <c r="M241" s="51">
        <v>5181</v>
      </c>
      <c r="N241" s="52" t="s">
        <v>473</v>
      </c>
    </row>
    <row r="242" spans="2:14" x14ac:dyDescent="0.3">
      <c r="B242" s="378" t="s">
        <v>1704</v>
      </c>
      <c r="C242" s="340">
        <v>45344</v>
      </c>
      <c r="D242" s="337" t="s">
        <v>482</v>
      </c>
      <c r="E242" s="235" t="s">
        <v>96</v>
      </c>
      <c r="F242" s="271" t="str">
        <f>IFERROR(VLOOKUP(E242,'Inventaire des produits'!$B$4:$K$1000,2,0),"")</f>
        <v>ROULEAU ALUMINIUM GOLDEN 200M</v>
      </c>
      <c r="G242" s="230">
        <v>1</v>
      </c>
      <c r="H242" s="76">
        <v>62.5</v>
      </c>
      <c r="I242" s="95">
        <f t="shared" si="6"/>
        <v>62.5</v>
      </c>
      <c r="J242" s="95">
        <f t="shared" si="7"/>
        <v>75</v>
      </c>
      <c r="K242" s="93">
        <f>IFERROR(VLOOKUP(E242,'Inventaire des produits'!$B$4:$J$1000,5,FALSE),"")</f>
        <v>0</v>
      </c>
      <c r="L242" s="301">
        <f>IFERROR(VLOOKUP(E242,'Inventaire des produits'!$B$4:$J$1000,6,FALSE),"")</f>
        <v>61.666666666700003</v>
      </c>
      <c r="M242" s="62">
        <v>125</v>
      </c>
    </row>
    <row r="243" spans="2:14" x14ac:dyDescent="0.3">
      <c r="B243" s="378" t="s">
        <v>1704</v>
      </c>
      <c r="C243" s="342"/>
      <c r="D243" s="339"/>
      <c r="E243" s="235" t="s">
        <v>260</v>
      </c>
      <c r="F243" s="271" t="str">
        <f>IFERROR(VLOOKUP(E243,'Inventaire des produits'!$B$4:$K$1000,2,0),"")</f>
        <v>ROULEAU ALUMINIUM EXTRA PACK 200M</v>
      </c>
      <c r="G243" s="232">
        <v>1</v>
      </c>
      <c r="H243" s="78">
        <v>41.666666669999998</v>
      </c>
      <c r="I243" s="95">
        <f t="shared" si="6"/>
        <v>41.666666669999998</v>
      </c>
      <c r="J243" s="95">
        <f t="shared" si="7"/>
        <v>50.000000003999993</v>
      </c>
      <c r="K243" s="93">
        <f>IFERROR(VLOOKUP(E243,'Inventaire des produits'!$B$4:$J$1000,5,FALSE),"")</f>
        <v>0</v>
      </c>
      <c r="L243" s="301">
        <f>IFERROR(VLOOKUP(E243,'Inventaire des produits'!$B$4:$J$1000,6,FALSE),"")</f>
        <v>48.631666666699999</v>
      </c>
      <c r="M243" s="62"/>
    </row>
    <row r="244" spans="2:14" x14ac:dyDescent="0.3">
      <c r="B244" s="378" t="s">
        <v>1704</v>
      </c>
      <c r="C244" s="340">
        <v>45345</v>
      </c>
      <c r="D244" s="359" t="s">
        <v>485</v>
      </c>
      <c r="E244" s="237" t="s">
        <v>403</v>
      </c>
      <c r="F244" s="271" t="str">
        <f>IFERROR(VLOOKUP(E244,'Inventaire des produits'!$B$4:$K$1000,2,0),"")</f>
        <v>GOBLET 4OZ SANS CVL EN CARTON BON APETIT ECO GB</v>
      </c>
      <c r="G244" s="231">
        <v>1500</v>
      </c>
      <c r="H244" s="77">
        <v>0.1865</v>
      </c>
      <c r="I244" s="95">
        <f t="shared" si="6"/>
        <v>279.75</v>
      </c>
      <c r="J244" s="95">
        <f t="shared" si="7"/>
        <v>335.7</v>
      </c>
      <c r="K244" s="93">
        <f>IFERROR(VLOOKUP(E244,'Inventaire des produits'!$B$4:$J$1000,5,FALSE),"")</f>
        <v>0</v>
      </c>
      <c r="L244" s="301">
        <f>IFERROR(VLOOKUP(E244,'Inventaire des produits'!$B$4:$J$1000,6,FALSE),"")</f>
        <v>8.3375000000000005E-2</v>
      </c>
      <c r="M244" s="62">
        <v>1480</v>
      </c>
    </row>
    <row r="245" spans="2:14" x14ac:dyDescent="0.3">
      <c r="B245" s="378" t="s">
        <v>1704</v>
      </c>
      <c r="C245" s="341"/>
      <c r="D245" s="360"/>
      <c r="E245" s="237" t="s">
        <v>404</v>
      </c>
      <c r="F245" s="271" t="str">
        <f>IFERROR(VLOOKUP(E245,'Inventaire des produits'!$B$4:$K$1000,2,0),"")</f>
        <v>CVL GOBLET 4OZ BLANC BON APETIT</v>
      </c>
      <c r="G245" s="231">
        <v>1500</v>
      </c>
      <c r="H245" s="77">
        <v>0.1865</v>
      </c>
      <c r="I245" s="95">
        <f t="shared" si="6"/>
        <v>279.75</v>
      </c>
      <c r="J245" s="95">
        <f t="shared" si="7"/>
        <v>335.7</v>
      </c>
      <c r="K245" s="93">
        <f>IFERROR(VLOOKUP(E245,'Inventaire des produits'!$B$4:$J$1000,5,FALSE),"")</f>
        <v>0</v>
      </c>
      <c r="L245" s="301">
        <f>IFERROR(VLOOKUP(E245,'Inventaire des produits'!$B$4:$J$1000,6,FALSE),"")</f>
        <v>8.3375000000000005E-2</v>
      </c>
      <c r="M245" s="62"/>
    </row>
    <row r="246" spans="2:14" x14ac:dyDescent="0.3">
      <c r="B246" s="378" t="s">
        <v>1704</v>
      </c>
      <c r="C246" s="341"/>
      <c r="D246" s="360"/>
      <c r="E246" s="235" t="s">
        <v>250</v>
      </c>
      <c r="F246" s="271" t="str">
        <f>IFERROR(VLOOKUP(E246,'Inventaire des produits'!$B$4:$K$1000,2,0),"")</f>
        <v>FOURCHETTE ECOLUXE</v>
      </c>
      <c r="G246" s="231">
        <v>15</v>
      </c>
      <c r="H246" s="77">
        <v>23.235499999999998</v>
      </c>
      <c r="I246" s="95">
        <f t="shared" si="6"/>
        <v>348.53249999999997</v>
      </c>
      <c r="J246" s="95">
        <f t="shared" si="7"/>
        <v>418.23899999999998</v>
      </c>
      <c r="K246" s="93">
        <f>IFERROR(VLOOKUP(E246,'Inventaire des produits'!$B$4:$J$1000,5,FALSE),"")</f>
        <v>0</v>
      </c>
      <c r="L246" s="301">
        <f>IFERROR(VLOOKUP(E246,'Inventaire des produits'!$B$4:$J$1000,6,FALSE),"")</f>
        <v>15.84</v>
      </c>
      <c r="M246" s="62"/>
    </row>
    <row r="247" spans="2:14" x14ac:dyDescent="0.3">
      <c r="B247" s="378" t="s">
        <v>1704</v>
      </c>
      <c r="C247" s="342"/>
      <c r="D247" s="361"/>
      <c r="E247" s="235" t="s">
        <v>251</v>
      </c>
      <c r="F247" s="271" t="str">
        <f>IFERROR(VLOOKUP(E247,'Inventaire des produits'!$B$4:$K$1000,2,0),"")</f>
        <v>COUTEAU ECOLUXE</v>
      </c>
      <c r="G247" s="64">
        <v>14</v>
      </c>
      <c r="H247" s="77">
        <v>23.235499999999998</v>
      </c>
      <c r="I247" s="95">
        <f t="shared" si="6"/>
        <v>325.29699999999997</v>
      </c>
      <c r="J247" s="95">
        <f t="shared" si="7"/>
        <v>390.35639999999995</v>
      </c>
      <c r="K247" s="93">
        <f>IFERROR(VLOOKUP(E247,'Inventaire des produits'!$B$4:$J$1000,5,FALSE),"")</f>
        <v>0</v>
      </c>
      <c r="L247" s="301">
        <f>IFERROR(VLOOKUP(E247,'Inventaire des produits'!$B$4:$J$1000,6,FALSE),"")</f>
        <v>15.84</v>
      </c>
      <c r="M247" s="62"/>
    </row>
    <row r="248" spans="2:14" x14ac:dyDescent="0.3">
      <c r="B248" s="378" t="s">
        <v>1704</v>
      </c>
      <c r="C248" s="340">
        <v>45346</v>
      </c>
      <c r="D248" s="337" t="s">
        <v>490</v>
      </c>
      <c r="E248" s="235" t="s">
        <v>160</v>
      </c>
      <c r="F248" s="271" t="str">
        <f>IFERROR(VLOOKUP(E248,'Inventaire des produits'!$B$4:$K$1000,2,0),"")</f>
        <v>BOITE PIZZA 24</v>
      </c>
      <c r="G248" s="230">
        <v>10</v>
      </c>
      <c r="H248" s="76">
        <v>35</v>
      </c>
      <c r="I248" s="95">
        <f t="shared" si="6"/>
        <v>350</v>
      </c>
      <c r="J248" s="95">
        <f t="shared" si="7"/>
        <v>420</v>
      </c>
      <c r="K248" s="93">
        <f>IFERROR(VLOOKUP(E248,'Inventaire des produits'!$B$4:$J$1000,5,FALSE),"")</f>
        <v>0</v>
      </c>
      <c r="L248" s="301">
        <f>IFERROR(VLOOKUP(E248,'Inventaire des produits'!$B$4:$J$1000,6,FALSE),"")</f>
        <v>31.669499999999999</v>
      </c>
      <c r="M248" s="62">
        <v>2605</v>
      </c>
      <c r="N248" s="52" t="s">
        <v>473</v>
      </c>
    </row>
    <row r="249" spans="2:14" x14ac:dyDescent="0.3">
      <c r="B249" s="378" t="s">
        <v>1704</v>
      </c>
      <c r="C249" s="341"/>
      <c r="D249" s="338"/>
      <c r="E249" s="235" t="s">
        <v>153</v>
      </c>
      <c r="F249" s="271" t="str">
        <f>IFERROR(VLOOKUP(E249,'Inventaire des produits'!$B$4:$K$1000,2,0),"")</f>
        <v>BOITE PIZZA 29</v>
      </c>
      <c r="G249" s="231">
        <v>6</v>
      </c>
      <c r="H249" s="77">
        <v>54.1666667</v>
      </c>
      <c r="I249" s="95">
        <f t="shared" si="6"/>
        <v>325.00000019999999</v>
      </c>
      <c r="J249" s="95">
        <f t="shared" si="7"/>
        <v>390.00000023999996</v>
      </c>
      <c r="K249" s="93">
        <f>IFERROR(VLOOKUP(E249,'Inventaire des produits'!$B$4:$J$1000,5,FALSE),"")</f>
        <v>0</v>
      </c>
      <c r="L249" s="301">
        <f>IFERROR(VLOOKUP(E249,'Inventaire des produits'!$B$4:$J$1000,6,FALSE),"")</f>
        <v>48.332999999999998</v>
      </c>
      <c r="M249" s="62"/>
    </row>
    <row r="250" spans="2:14" x14ac:dyDescent="0.3">
      <c r="B250" s="378" t="s">
        <v>1704</v>
      </c>
      <c r="C250" s="341"/>
      <c r="D250" s="338"/>
      <c r="E250" s="235" t="s">
        <v>479</v>
      </c>
      <c r="F250" s="271" t="str">
        <f>IFERROR(VLOOKUP(E250,'Inventaire des produits'!$B$4:$K$1000,2,0),"")</f>
        <v xml:space="preserve">SAC KRAFT 22*17*28 </v>
      </c>
      <c r="G250" s="231">
        <v>500</v>
      </c>
      <c r="H250" s="77">
        <v>0.875</v>
      </c>
      <c r="I250" s="95">
        <f t="shared" si="6"/>
        <v>437.5</v>
      </c>
      <c r="J250" s="95">
        <f t="shared" si="7"/>
        <v>525</v>
      </c>
      <c r="K250" s="93">
        <f>IFERROR(VLOOKUP(E250,'Inventaire des produits'!$B$4:$J$1000,5,FALSE),"")</f>
        <v>0</v>
      </c>
      <c r="L250" s="301">
        <f>IFERROR(VLOOKUP(E250,'Inventaire des produits'!$B$4:$J$1000,6,FALSE),"")</f>
        <v>0.71</v>
      </c>
      <c r="M250" s="62"/>
    </row>
    <row r="251" spans="2:14" x14ac:dyDescent="0.3">
      <c r="B251" s="378" t="s">
        <v>1704</v>
      </c>
      <c r="C251" s="341"/>
      <c r="D251" s="338"/>
      <c r="E251" s="235" t="s">
        <v>345</v>
      </c>
      <c r="F251" s="271" t="str">
        <f>IFERROR(VLOOKUP(E251,'Inventaire des produits'!$B$4:$K$1000,2,0),"")</f>
        <v>POT DE SAUCE EN PLAST TRANSP 20ML</v>
      </c>
      <c r="G251" s="64">
        <v>2000</v>
      </c>
      <c r="H251" s="77">
        <v>0.1</v>
      </c>
      <c r="I251" s="95">
        <f t="shared" si="6"/>
        <v>200</v>
      </c>
      <c r="J251" s="95">
        <f t="shared" si="7"/>
        <v>240</v>
      </c>
      <c r="K251" s="93">
        <f>IFERROR(VLOOKUP(E251,'Inventaire des produits'!$B$4:$J$1000,5,FALSE),"")</f>
        <v>0</v>
      </c>
      <c r="L251" s="301">
        <f>IFERROR(VLOOKUP(E251,'Inventaire des produits'!$B$4:$J$1000,6,FALSE),"")</f>
        <v>8.3333333300000006E-2</v>
      </c>
      <c r="M251" s="62"/>
    </row>
    <row r="252" spans="2:14" x14ac:dyDescent="0.3">
      <c r="B252" s="378" t="s">
        <v>1704</v>
      </c>
      <c r="C252" s="341"/>
      <c r="D252" s="338"/>
      <c r="E252" s="235" t="s">
        <v>168</v>
      </c>
      <c r="F252" s="271" t="str">
        <f>IFERROR(VLOOKUP(E252,'Inventaire des produits'!$B$4:$K$1000,2,0),"")</f>
        <v>ESSUIE MAIN GKEM1KG</v>
      </c>
      <c r="G252" s="64">
        <v>6</v>
      </c>
      <c r="H252" s="77">
        <v>25</v>
      </c>
      <c r="I252" s="95">
        <f t="shared" si="6"/>
        <v>150</v>
      </c>
      <c r="J252" s="95">
        <f t="shared" si="7"/>
        <v>180</v>
      </c>
      <c r="K252" s="93">
        <f>IFERROR(VLOOKUP(E252,'Inventaire des produits'!$B$4:$J$1000,5,FALSE),"")</f>
        <v>0</v>
      </c>
      <c r="L252" s="301">
        <f>IFERROR(VLOOKUP(E252,'Inventaire des produits'!$B$4:$J$1000,6,FALSE),"")</f>
        <v>20.83</v>
      </c>
      <c r="M252" s="62"/>
    </row>
    <row r="253" spans="2:14" x14ac:dyDescent="0.3">
      <c r="B253" s="378" t="s">
        <v>1704</v>
      </c>
      <c r="C253" s="342"/>
      <c r="D253" s="339"/>
      <c r="E253" s="235" t="s">
        <v>245</v>
      </c>
      <c r="F253" s="271" t="str">
        <f>IFERROR(VLOOKUP(E253,'Inventaire des produits'!$B$4:$K$1000,2,0),"")</f>
        <v>BARQUETTE ALUMINIUM 802</v>
      </c>
      <c r="G253" s="246">
        <v>1000</v>
      </c>
      <c r="H253" s="78">
        <v>0.70833330000000005</v>
      </c>
      <c r="I253" s="95">
        <f t="shared" si="6"/>
        <v>708.33330000000001</v>
      </c>
      <c r="J253" s="95">
        <f t="shared" si="7"/>
        <v>849.99995999999999</v>
      </c>
      <c r="K253" s="93">
        <f>IFERROR(VLOOKUP(E253,'Inventaire des produits'!$B$4:$J$1000,5,FALSE),"")</f>
        <v>0</v>
      </c>
      <c r="L253" s="301">
        <f>IFERROR(VLOOKUP(E253,'Inventaire des produits'!$B$4:$J$1000,6,FALSE),"")</f>
        <v>0.53390000000000004</v>
      </c>
      <c r="M253" s="62"/>
    </row>
    <row r="254" spans="2:14" x14ac:dyDescent="0.3">
      <c r="B254" s="378" t="s">
        <v>1704</v>
      </c>
      <c r="C254" s="340">
        <v>45348</v>
      </c>
      <c r="D254" s="337" t="s">
        <v>521</v>
      </c>
      <c r="E254" s="235" t="s">
        <v>64</v>
      </c>
      <c r="F254" s="271" t="str">
        <f>IFERROR(VLOOKUP(E254,'Inventaire des produits'!$B$4:$K$1000,2,0),"")</f>
        <v>POT DE SAUCE 2OZ NOIRE</v>
      </c>
      <c r="G254" s="231">
        <v>2700</v>
      </c>
      <c r="H254" s="76">
        <v>0.245</v>
      </c>
      <c r="I254" s="95">
        <f t="shared" si="6"/>
        <v>661.5</v>
      </c>
      <c r="J254" s="95">
        <f t="shared" si="7"/>
        <v>793.8</v>
      </c>
      <c r="K254" s="93">
        <f>IFERROR(VLOOKUP(E254,'Inventaire des produits'!$B$4:$J$1000,5,FALSE),"")</f>
        <v>0</v>
      </c>
      <c r="L254" s="301">
        <f>IFERROR(VLOOKUP(E254,'Inventaire des produits'!$B$4:$J$1000,6,FALSE),"")</f>
        <v>0.13339999999999999</v>
      </c>
      <c r="M254" s="62">
        <v>3080</v>
      </c>
      <c r="N254" s="52" t="s">
        <v>481</v>
      </c>
    </row>
    <row r="255" spans="2:14" x14ac:dyDescent="0.3">
      <c r="B255" s="378" t="s">
        <v>1704</v>
      </c>
      <c r="C255" s="341"/>
      <c r="D255" s="338"/>
      <c r="E255" s="235" t="s">
        <v>269</v>
      </c>
      <c r="F255" s="271" t="str">
        <f>IFERROR(VLOOKUP(E255,'Inventaire des produits'!$B$4:$K$1000,2,0),"")</f>
        <v>BARQUETTE TRAITEUR 750CC MICRON ONDABLE CARTON 250PCS</v>
      </c>
      <c r="G255" s="231">
        <v>1</v>
      </c>
      <c r="H255" s="77">
        <v>666</v>
      </c>
      <c r="I255" s="95">
        <f t="shared" si="6"/>
        <v>666</v>
      </c>
      <c r="J255" s="95">
        <f t="shared" si="7"/>
        <v>799.19999999999993</v>
      </c>
      <c r="K255" s="93">
        <f>IFERROR(VLOOKUP(E255,'Inventaire des produits'!$B$4:$J$1000,5,FALSE),"")</f>
        <v>0</v>
      </c>
      <c r="L255" s="301">
        <f>IFERROR(VLOOKUP(E255,'Inventaire des produits'!$B$4:$J$1000,6,FALSE),"")</f>
        <v>375</v>
      </c>
      <c r="M255" s="62"/>
    </row>
    <row r="256" spans="2:14" x14ac:dyDescent="0.3">
      <c r="B256" s="378" t="s">
        <v>1704</v>
      </c>
      <c r="C256" s="341"/>
      <c r="D256" s="338"/>
      <c r="E256" s="235" t="s">
        <v>256</v>
      </c>
      <c r="F256" s="271" t="str">
        <f>IFERROR(VLOOKUP(E256,'Inventaire des produits'!$B$4:$K$1000,2,0),"")</f>
        <v>FILM ALIMENTAIRE VIOLET</v>
      </c>
      <c r="G256" s="231">
        <v>15</v>
      </c>
      <c r="H256" s="77">
        <v>30.411000000000001</v>
      </c>
      <c r="I256" s="95">
        <f t="shared" si="6"/>
        <v>456.16500000000002</v>
      </c>
      <c r="J256" s="95">
        <f t="shared" si="7"/>
        <v>547.39800000000002</v>
      </c>
      <c r="K256" s="93">
        <f>IFERROR(VLOOKUP(E256,'Inventaire des produits'!$B$4:$J$1000,5,FALSE),"")</f>
        <v>0</v>
      </c>
      <c r="L256" s="301">
        <f>IFERROR(VLOOKUP(E256,'Inventaire des produits'!$B$4:$J$1000,6,FALSE),"")</f>
        <v>28.333333333300001</v>
      </c>
      <c r="M256" s="62"/>
    </row>
    <row r="257" spans="2:14" x14ac:dyDescent="0.3">
      <c r="B257" s="378" t="s">
        <v>1704</v>
      </c>
      <c r="C257" s="341"/>
      <c r="D257" s="338"/>
      <c r="E257" s="235" t="s">
        <v>224</v>
      </c>
      <c r="F257" s="271" t="str">
        <f>IFERROR(VLOOKUP(E257,'Inventaire des produits'!$B$4:$K$1000,2,0),"")</f>
        <v>FOURCHETTE LUX</v>
      </c>
      <c r="G257" s="64">
        <v>20</v>
      </c>
      <c r="H257" s="77">
        <v>16.649999999999999</v>
      </c>
      <c r="I257" s="95">
        <f t="shared" si="6"/>
        <v>333</v>
      </c>
      <c r="J257" s="95">
        <f t="shared" si="7"/>
        <v>399.59999999999997</v>
      </c>
      <c r="K257" s="93">
        <f>IFERROR(VLOOKUP(E257,'Inventaire des produits'!$B$4:$J$1000,5,FALSE),"")</f>
        <v>0</v>
      </c>
      <c r="L257" s="301">
        <f>IFERROR(VLOOKUP(E257,'Inventaire des produits'!$B$4:$J$1000,6,FALSE),"")</f>
        <v>14.382</v>
      </c>
      <c r="M257" s="62"/>
    </row>
    <row r="258" spans="2:14" x14ac:dyDescent="0.3">
      <c r="B258" s="378" t="s">
        <v>1704</v>
      </c>
      <c r="C258" s="342"/>
      <c r="D258" s="339"/>
      <c r="E258" s="235" t="s">
        <v>127</v>
      </c>
      <c r="F258" s="271" t="str">
        <f>IFERROR(VLOOKUP(E258,'Inventaire des produits'!$B$4:$K$1000,2,0),"")</f>
        <v>SERVIETTE DE TABLE SEVAN 1PLI</v>
      </c>
      <c r="G258" s="64">
        <v>120</v>
      </c>
      <c r="H258" s="77">
        <v>3.75</v>
      </c>
      <c r="I258" s="95">
        <f t="shared" si="6"/>
        <v>450</v>
      </c>
      <c r="J258" s="95">
        <f t="shared" si="7"/>
        <v>540</v>
      </c>
      <c r="K258" s="93">
        <f>IFERROR(VLOOKUP(E258,'Inventaire des produits'!$B$4:$J$1000,5,FALSE),"")</f>
        <v>0</v>
      </c>
      <c r="L258" s="301">
        <f>IFERROR(VLOOKUP(E258,'Inventaire des produits'!$B$4:$J$1000,6,FALSE),"")</f>
        <v>2.9169999999999998</v>
      </c>
      <c r="M258" s="62"/>
    </row>
    <row r="259" spans="2:14" x14ac:dyDescent="0.3">
      <c r="B259" s="378" t="s">
        <v>1704</v>
      </c>
      <c r="C259" s="55">
        <v>45349</v>
      </c>
      <c r="D259" s="54" t="s">
        <v>528</v>
      </c>
      <c r="E259" s="235" t="s">
        <v>522</v>
      </c>
      <c r="F259" s="271" t="str">
        <f>IFERROR(VLOOKUP(E259,'Inventaire des produits'!$B$4:$K$1000,2,0),"")</f>
        <v>BARQUETTE ALUMINIUM 815</v>
      </c>
      <c r="G259" s="247">
        <v>20000</v>
      </c>
      <c r="H259" s="79">
        <v>0.68333333330000001</v>
      </c>
      <c r="I259" s="95">
        <f t="shared" si="6"/>
        <v>13666.666666000001</v>
      </c>
      <c r="J259" s="95">
        <f t="shared" si="7"/>
        <v>16399.999999200001</v>
      </c>
      <c r="K259" s="93">
        <f>IFERROR(VLOOKUP(E259,'Inventaire des produits'!$B$4:$J$1000,5,FALSE),"")</f>
        <v>0</v>
      </c>
      <c r="L259" s="301">
        <f>IFERROR(VLOOKUP(E259,'Inventaire des produits'!$B$4:$J$1000,6,FALSE),"")</f>
        <v>0.66666666669999997</v>
      </c>
      <c r="M259" s="62">
        <v>16400</v>
      </c>
      <c r="N259" s="52" t="s">
        <v>529</v>
      </c>
    </row>
    <row r="260" spans="2:14" x14ac:dyDescent="0.3">
      <c r="B260" s="378" t="s">
        <v>1704</v>
      </c>
      <c r="C260" s="340">
        <v>45350</v>
      </c>
      <c r="D260" s="337" t="s">
        <v>530</v>
      </c>
      <c r="E260" s="235" t="s">
        <v>345</v>
      </c>
      <c r="F260" s="271" t="str">
        <f>IFERROR(VLOOKUP(E260,'Inventaire des produits'!$B$4:$K$1000,2,0),"")</f>
        <v>POT DE SAUCE EN PLAST TRANSP 20ML</v>
      </c>
      <c r="G260" s="230">
        <v>3000</v>
      </c>
      <c r="H260" s="76">
        <v>9.8500000000000004E-2</v>
      </c>
      <c r="I260" s="95">
        <f t="shared" si="6"/>
        <v>295.5</v>
      </c>
      <c r="J260" s="95">
        <f t="shared" si="7"/>
        <v>354.59999999999997</v>
      </c>
      <c r="K260" s="93">
        <f>IFERROR(VLOOKUP(E260,'Inventaire des produits'!$B$4:$J$1000,5,FALSE),"")</f>
        <v>0</v>
      </c>
      <c r="L260" s="301">
        <f>IFERROR(VLOOKUP(E260,'Inventaire des produits'!$B$4:$J$1000,6,FALSE),"")</f>
        <v>8.3333333300000006E-2</v>
      </c>
      <c r="M260" s="62">
        <v>13500</v>
      </c>
      <c r="N260" s="52" t="s">
        <v>481</v>
      </c>
    </row>
    <row r="261" spans="2:14" ht="15" customHeight="1" x14ac:dyDescent="0.3">
      <c r="B261" s="378" t="s">
        <v>1704</v>
      </c>
      <c r="C261" s="341"/>
      <c r="D261" s="338"/>
      <c r="E261" s="235" t="s">
        <v>395</v>
      </c>
      <c r="F261" s="271" t="str">
        <f>IFERROR(VLOOKUP(E261,'Inventaire des produits'!$B$4:$K$1000,2,0),"")</f>
        <v xml:space="preserve">SAC KRAFT 22*17*28 </v>
      </c>
      <c r="G261" s="231">
        <v>1750</v>
      </c>
      <c r="H261" s="77">
        <v>1.1200000000000001</v>
      </c>
      <c r="I261" s="95">
        <f t="shared" ref="I261:I324" si="8">IF(OR(G261="",H261=""),"",G261*H261)</f>
        <v>1960.0000000000002</v>
      </c>
      <c r="J261" s="95">
        <f t="shared" ref="J261:J324" si="9">IF(OR(I261=""),"",I261*1.2)</f>
        <v>2352</v>
      </c>
      <c r="K261" s="93">
        <f>IFERROR(VLOOKUP(E261,'Inventaire des produits'!$B$4:$J$1000,5,FALSE),"")</f>
        <v>0</v>
      </c>
      <c r="L261" s="301">
        <f>IFERROR(VLOOKUP(E261,'Inventaire des produits'!$B$4:$J$1000,6,FALSE),"")</f>
        <v>0.70833400000000002</v>
      </c>
      <c r="M261" s="62"/>
    </row>
    <row r="262" spans="2:14" x14ac:dyDescent="0.3">
      <c r="B262" s="378" t="s">
        <v>1704</v>
      </c>
      <c r="C262" s="341"/>
      <c r="D262" s="338"/>
      <c r="E262" s="235" t="s">
        <v>127</v>
      </c>
      <c r="F262" s="271" t="str">
        <f>IFERROR(VLOOKUP(E262,'Inventaire des produits'!$B$4:$K$1000,2,0),"")</f>
        <v>SERVIETTE DE TABLE SEVAN 1PLI</v>
      </c>
      <c r="G262" s="231">
        <v>200</v>
      </c>
      <c r="H262" s="77">
        <v>3.9430000000000001</v>
      </c>
      <c r="I262" s="95">
        <f t="shared" si="8"/>
        <v>788.6</v>
      </c>
      <c r="J262" s="95">
        <f t="shared" si="9"/>
        <v>946.31999999999994</v>
      </c>
      <c r="K262" s="93">
        <f>IFERROR(VLOOKUP(E262,'Inventaire des produits'!$B$4:$J$1000,5,FALSE),"")</f>
        <v>0</v>
      </c>
      <c r="L262" s="301">
        <f>IFERROR(VLOOKUP(E262,'Inventaire des produits'!$B$4:$J$1000,6,FALSE),"")</f>
        <v>2.9169999999999998</v>
      </c>
      <c r="M262" s="62"/>
    </row>
    <row r="263" spans="2:14" x14ac:dyDescent="0.3">
      <c r="B263" s="378" t="s">
        <v>1704</v>
      </c>
      <c r="C263" s="341"/>
      <c r="D263" s="338"/>
      <c r="E263" s="235" t="s">
        <v>365</v>
      </c>
      <c r="F263" s="271" t="str">
        <f>IFERROR(VLOOKUP(E263,'Inventaire des produits'!$B$4:$K$1000,2,0),"")</f>
        <v>PAILLE 6MM CODE ENVELOPPE TRANS 100/50 PCS</v>
      </c>
      <c r="G263" s="64">
        <v>60</v>
      </c>
      <c r="H263" s="77">
        <v>6.75</v>
      </c>
      <c r="I263" s="95">
        <f t="shared" si="8"/>
        <v>405</v>
      </c>
      <c r="J263" s="95">
        <f t="shared" si="9"/>
        <v>486</v>
      </c>
      <c r="K263" s="93">
        <f>IFERROR(VLOOKUP(E263,'Inventaire des produits'!$B$4:$J$1000,5,FALSE),"")</f>
        <v>0</v>
      </c>
      <c r="L263" s="301">
        <f>IFERROR(VLOOKUP(E263,'Inventaire des produits'!$B$4:$J$1000,6,FALSE),"")</f>
        <v>4.9166666667000003</v>
      </c>
      <c r="M263" s="62"/>
    </row>
    <row r="264" spans="2:14" x14ac:dyDescent="0.3">
      <c r="B264" s="378" t="s">
        <v>1704</v>
      </c>
      <c r="C264" s="341"/>
      <c r="D264" s="338"/>
      <c r="E264" s="235" t="s">
        <v>389</v>
      </c>
      <c r="F264" s="271" t="str">
        <f>IFERROR(VLOOKUP(E264,'Inventaire des produits'!$B$4:$K$1000,2,0),"")</f>
        <v>ROULEAU ALUMINIUM EXTRA PACK 200M</v>
      </c>
      <c r="G264" s="64">
        <v>40</v>
      </c>
      <c r="H264" s="77">
        <v>64.997500000000002</v>
      </c>
      <c r="I264" s="95">
        <f t="shared" si="8"/>
        <v>2599.9</v>
      </c>
      <c r="J264" s="95">
        <f t="shared" si="9"/>
        <v>3119.88</v>
      </c>
      <c r="K264" s="93">
        <f>IFERROR(VLOOKUP(E264,'Inventaire des produits'!$B$4:$J$1000,5,FALSE),"")</f>
        <v>0</v>
      </c>
      <c r="L264" s="301">
        <f>IFERROR(VLOOKUP(E264,'Inventaire des produits'!$B$4:$J$1000,6,FALSE),"")</f>
        <v>57.5</v>
      </c>
      <c r="M264" s="62"/>
    </row>
    <row r="265" spans="2:14" x14ac:dyDescent="0.3">
      <c r="B265" s="378" t="s">
        <v>1704</v>
      </c>
      <c r="C265" s="341"/>
      <c r="D265" s="338"/>
      <c r="E265" s="235" t="s">
        <v>102</v>
      </c>
      <c r="F265" s="271" t="str">
        <f>IFERROR(VLOOKUP(E265,'Inventaire des produits'!$B$4:$K$1000,2,0),"")</f>
        <v>BARQUETTE ALUMINIUM 83820/200MP</v>
      </c>
      <c r="G265" s="64">
        <v>3500</v>
      </c>
      <c r="H265" s="77">
        <v>1</v>
      </c>
      <c r="I265" s="95">
        <f t="shared" si="8"/>
        <v>3500</v>
      </c>
      <c r="J265" s="95">
        <f t="shared" si="9"/>
        <v>4200</v>
      </c>
      <c r="K265" s="93">
        <f>IFERROR(VLOOKUP(E265,'Inventaire des produits'!$B$4:$J$1000,5,FALSE),"")</f>
        <v>0</v>
      </c>
      <c r="L265" s="301">
        <f>IFERROR(VLOOKUP(E265,'Inventaire des produits'!$B$4:$J$1000,6,FALSE),"")</f>
        <v>0.84</v>
      </c>
      <c r="M265" s="62"/>
    </row>
    <row r="266" spans="2:14" x14ac:dyDescent="0.3">
      <c r="B266" s="378" t="s">
        <v>1704</v>
      </c>
      <c r="C266" s="342"/>
      <c r="D266" s="339"/>
      <c r="E266" s="235" t="s">
        <v>199</v>
      </c>
      <c r="F266" s="271" t="str">
        <f>IFERROR(VLOOKUP(E266,'Inventaire des produits'!$B$4:$K$1000,2,0),"")</f>
        <v>BARQUETTE ALUMINIUM 81760 (3COMP)</v>
      </c>
      <c r="G266" s="246">
        <v>1500</v>
      </c>
      <c r="H266" s="78">
        <v>1.1339999999999999</v>
      </c>
      <c r="I266" s="95">
        <f t="shared" si="8"/>
        <v>1700.9999999999998</v>
      </c>
      <c r="J266" s="95">
        <f t="shared" si="9"/>
        <v>2041.1999999999996</v>
      </c>
      <c r="K266" s="93">
        <f>IFERROR(VLOOKUP(E266,'Inventaire des produits'!$B$4:$J$1000,5,FALSE),"")</f>
        <v>0</v>
      </c>
      <c r="L266" s="301">
        <f>IFERROR(VLOOKUP(E266,'Inventaire des produits'!$B$4:$J$1000,6,FALSE),"")</f>
        <v>1</v>
      </c>
      <c r="M266" s="62"/>
    </row>
    <row r="267" spans="2:14" x14ac:dyDescent="0.3">
      <c r="B267" s="378" t="s">
        <v>1704</v>
      </c>
      <c r="C267" s="340">
        <v>45351</v>
      </c>
      <c r="D267" s="337" t="s">
        <v>531</v>
      </c>
      <c r="E267" s="235" t="s">
        <v>127</v>
      </c>
      <c r="F267" s="271" t="str">
        <f>IFERROR(VLOOKUP(E267,'Inventaire des produits'!$B$4:$K$1000,2,0),"")</f>
        <v>SERVIETTE DE TABLE SEVAN 1PLI</v>
      </c>
      <c r="G267" s="231">
        <v>260</v>
      </c>
      <c r="H267" s="76">
        <v>3.75</v>
      </c>
      <c r="I267" s="95">
        <f t="shared" si="8"/>
        <v>975</v>
      </c>
      <c r="J267" s="95">
        <f t="shared" si="9"/>
        <v>1170</v>
      </c>
      <c r="K267" s="93">
        <f>IFERROR(VLOOKUP(E267,'Inventaire des produits'!$B$4:$J$1000,5,FALSE),"")</f>
        <v>0</v>
      </c>
      <c r="L267" s="301">
        <f>IFERROR(VLOOKUP(E267,'Inventaire des produits'!$B$4:$J$1000,6,FALSE),"")</f>
        <v>2.9169999999999998</v>
      </c>
      <c r="M267" s="62">
        <v>2360</v>
      </c>
      <c r="N267" s="52" t="s">
        <v>472</v>
      </c>
    </row>
    <row r="268" spans="2:14" x14ac:dyDescent="0.3">
      <c r="B268" s="378" t="s">
        <v>1704</v>
      </c>
      <c r="C268" s="341"/>
      <c r="D268" s="338"/>
      <c r="E268" s="235" t="s">
        <v>345</v>
      </c>
      <c r="F268" s="271" t="str">
        <f>IFERROR(VLOOKUP(E268,'Inventaire des produits'!$B$4:$K$1000,2,0),"")</f>
        <v>POT DE SAUCE EN PLAST TRANSP 20ML</v>
      </c>
      <c r="G268" s="231">
        <v>4000</v>
      </c>
      <c r="H268" s="77">
        <v>0.125</v>
      </c>
      <c r="I268" s="95">
        <f t="shared" si="8"/>
        <v>500</v>
      </c>
      <c r="J268" s="95">
        <f t="shared" si="9"/>
        <v>600</v>
      </c>
      <c r="K268" s="93">
        <f>IFERROR(VLOOKUP(E268,'Inventaire des produits'!$B$4:$J$1000,5,FALSE),"")</f>
        <v>0</v>
      </c>
      <c r="L268" s="301">
        <f>IFERROR(VLOOKUP(E268,'Inventaire des produits'!$B$4:$J$1000,6,FALSE),"")</f>
        <v>8.3333333300000006E-2</v>
      </c>
      <c r="M268" s="62"/>
    </row>
    <row r="269" spans="2:14" x14ac:dyDescent="0.3">
      <c r="B269" s="378" t="s">
        <v>1704</v>
      </c>
      <c r="C269" s="341"/>
      <c r="D269" s="338"/>
      <c r="E269" s="235" t="s">
        <v>259</v>
      </c>
      <c r="F269" s="271" t="str">
        <f>IFERROR(VLOOKUP(E269,'Inventaire des produits'!$B$4:$K$1000,2,0),"")</f>
        <v>ROULEAU ALUMINIUM GOLDEN 200M</v>
      </c>
      <c r="G269" s="231">
        <v>6</v>
      </c>
      <c r="H269" s="77">
        <v>66.666666667000001</v>
      </c>
      <c r="I269" s="95">
        <f t="shared" si="8"/>
        <v>400.00000000199998</v>
      </c>
      <c r="J269" s="95">
        <f t="shared" si="9"/>
        <v>480.00000000239993</v>
      </c>
      <c r="K269" s="93">
        <f>IFERROR(VLOOKUP(E269,'Inventaire des produits'!$B$4:$J$1000,5,FALSE),"")</f>
        <v>0</v>
      </c>
      <c r="L269" s="301">
        <f>IFERROR(VLOOKUP(E269,'Inventaire des produits'!$B$4:$J$1000,6,FALSE),"")</f>
        <v>58.333333333299997</v>
      </c>
      <c r="M269" s="62"/>
    </row>
    <row r="270" spans="2:14" x14ac:dyDescent="0.3">
      <c r="B270" s="378" t="s">
        <v>1704</v>
      </c>
      <c r="C270" s="342"/>
      <c r="D270" s="339"/>
      <c r="E270" s="235" t="s">
        <v>365</v>
      </c>
      <c r="F270" s="271" t="str">
        <f>IFERROR(VLOOKUP(E270,'Inventaire des produits'!$B$4:$K$1000,2,0),"")</f>
        <v>PAILLE 6MM CODE ENVELOPPE TRANS 100/50 PCS</v>
      </c>
      <c r="G270" s="64">
        <v>11</v>
      </c>
      <c r="H270" s="77">
        <v>8.3333332999999996</v>
      </c>
      <c r="I270" s="95">
        <f t="shared" si="8"/>
        <v>91.666666300000003</v>
      </c>
      <c r="J270" s="95">
        <f t="shared" si="9"/>
        <v>109.99999956000001</v>
      </c>
      <c r="K270" s="93">
        <f>IFERROR(VLOOKUP(E270,'Inventaire des produits'!$B$4:$J$1000,5,FALSE),"")</f>
        <v>0</v>
      </c>
      <c r="L270" s="301">
        <f>IFERROR(VLOOKUP(E270,'Inventaire des produits'!$B$4:$J$1000,6,FALSE),"")</f>
        <v>4.9166666667000003</v>
      </c>
      <c r="M270" s="62"/>
    </row>
    <row r="271" spans="2:14" x14ac:dyDescent="0.3">
      <c r="B271" s="378" t="s">
        <v>1704</v>
      </c>
      <c r="C271" s="340">
        <v>45351</v>
      </c>
      <c r="D271" s="337" t="s">
        <v>533</v>
      </c>
      <c r="E271" s="235" t="s">
        <v>514</v>
      </c>
      <c r="F271" s="271" t="str">
        <f>IFERROR(VLOOKUP(E271,'Inventaire des produits'!$B$4:$K$1000,2,0),"")</f>
        <v xml:space="preserve">BARQUETTE MICRON ONDABLE 2 COMP </v>
      </c>
      <c r="G271" s="230">
        <v>600</v>
      </c>
      <c r="H271" s="76">
        <v>2.75</v>
      </c>
      <c r="I271" s="95">
        <f t="shared" si="8"/>
        <v>1650</v>
      </c>
      <c r="J271" s="95">
        <f t="shared" si="9"/>
        <v>1980</v>
      </c>
      <c r="K271" s="93">
        <f>IFERROR(VLOOKUP(E271,'Inventaire des produits'!$B$4:$J$1000,5,FALSE),"")</f>
        <v>0</v>
      </c>
      <c r="L271" s="301">
        <f>IFERROR(VLOOKUP(E271,'Inventaire des produits'!$B$4:$J$1000,6,FALSE),"")</f>
        <v>1.625</v>
      </c>
      <c r="M271" s="62">
        <v>3591</v>
      </c>
    </row>
    <row r="272" spans="2:14" x14ac:dyDescent="0.3">
      <c r="B272" s="378" t="s">
        <v>1704</v>
      </c>
      <c r="C272" s="341"/>
      <c r="D272" s="338"/>
      <c r="E272" s="235" t="s">
        <v>127</v>
      </c>
      <c r="F272" s="271" t="str">
        <f>IFERROR(VLOOKUP(E272,'Inventaire des produits'!$B$4:$K$1000,2,0),"")</f>
        <v>SERVIETTE DE TABLE SEVAN 1PLI</v>
      </c>
      <c r="G272" s="231">
        <v>80</v>
      </c>
      <c r="H272" s="77">
        <v>4</v>
      </c>
      <c r="I272" s="95">
        <f t="shared" si="8"/>
        <v>320</v>
      </c>
      <c r="J272" s="95">
        <f t="shared" si="9"/>
        <v>384</v>
      </c>
      <c r="K272" s="93">
        <f>IFERROR(VLOOKUP(E272,'Inventaire des produits'!$B$4:$J$1000,5,FALSE),"")</f>
        <v>0</v>
      </c>
      <c r="L272" s="301">
        <f>IFERROR(VLOOKUP(E272,'Inventaire des produits'!$B$4:$J$1000,6,FALSE),"")</f>
        <v>2.9169999999999998</v>
      </c>
      <c r="M272" s="62"/>
    </row>
    <row r="273" spans="2:14" x14ac:dyDescent="0.3">
      <c r="B273" s="378" t="s">
        <v>1704</v>
      </c>
      <c r="C273" s="341"/>
      <c r="D273" s="338"/>
      <c r="E273" s="235" t="s">
        <v>345</v>
      </c>
      <c r="F273" s="271" t="str">
        <f>IFERROR(VLOOKUP(E273,'Inventaire des produits'!$B$4:$K$1000,2,0),"")</f>
        <v>POT DE SAUCE EN PLAST TRANSP 20ML</v>
      </c>
      <c r="G273" s="231">
        <v>1500</v>
      </c>
      <c r="H273" s="77">
        <v>0.125</v>
      </c>
      <c r="I273" s="95">
        <f t="shared" si="8"/>
        <v>187.5</v>
      </c>
      <c r="J273" s="95">
        <f t="shared" si="9"/>
        <v>225</v>
      </c>
      <c r="K273" s="93">
        <f>IFERROR(VLOOKUP(E273,'Inventaire des produits'!$B$4:$J$1000,5,FALSE),"")</f>
        <v>0</v>
      </c>
      <c r="L273" s="301">
        <f>IFERROR(VLOOKUP(E273,'Inventaire des produits'!$B$4:$J$1000,6,FALSE),"")</f>
        <v>8.3333333300000006E-2</v>
      </c>
      <c r="M273" s="62"/>
    </row>
    <row r="274" spans="2:14" x14ac:dyDescent="0.3">
      <c r="B274" s="378" t="s">
        <v>1704</v>
      </c>
      <c r="C274" s="341"/>
      <c r="D274" s="338"/>
      <c r="E274" s="235" t="s">
        <v>365</v>
      </c>
      <c r="F274" s="271" t="str">
        <f>IFERROR(VLOOKUP(E274,'Inventaire des produits'!$B$4:$K$1000,2,0),"")</f>
        <v>PAILLE 6MM CODE ENVELOPPE TRANS 100/50 PCS</v>
      </c>
      <c r="G274" s="64">
        <v>5</v>
      </c>
      <c r="H274" s="77">
        <v>8.3333333300000003</v>
      </c>
      <c r="I274" s="95">
        <f t="shared" si="8"/>
        <v>41.666666650000003</v>
      </c>
      <c r="J274" s="95">
        <f t="shared" si="9"/>
        <v>49.999999980000005</v>
      </c>
      <c r="K274" s="93">
        <f>IFERROR(VLOOKUP(E274,'Inventaire des produits'!$B$4:$J$1000,5,FALSE),"")</f>
        <v>0</v>
      </c>
      <c r="L274" s="301">
        <f>IFERROR(VLOOKUP(E274,'Inventaire des produits'!$B$4:$J$1000,6,FALSE),"")</f>
        <v>4.9166666667000003</v>
      </c>
      <c r="M274" s="62"/>
    </row>
    <row r="275" spans="2:14" x14ac:dyDescent="0.3">
      <c r="B275" s="378" t="s">
        <v>1704</v>
      </c>
      <c r="C275" s="341"/>
      <c r="D275" s="338"/>
      <c r="E275" s="235" t="s">
        <v>69</v>
      </c>
      <c r="F275" s="271" t="str">
        <f>IFERROR(VLOOKUP(E275,'Inventaire des produits'!$B$4:$K$1000,2,0),"")</f>
        <v>COUTEAU ECOLUXE NOIR</v>
      </c>
      <c r="G275" s="64">
        <v>2</v>
      </c>
      <c r="H275" s="77">
        <v>23.333300000000001</v>
      </c>
      <c r="I275" s="95">
        <f t="shared" si="8"/>
        <v>46.666600000000003</v>
      </c>
      <c r="J275" s="95">
        <f t="shared" si="9"/>
        <v>55.999920000000003</v>
      </c>
      <c r="K275" s="93">
        <f>IFERROR(VLOOKUP(E275,'Inventaire des produits'!$B$4:$J$1000,5,FALSE),"")</f>
        <v>0</v>
      </c>
      <c r="L275" s="301">
        <f>IFERROR(VLOOKUP(E275,'Inventaire des produits'!$B$4:$J$1000,6,FALSE),"")</f>
        <v>17.5</v>
      </c>
      <c r="M275" s="62"/>
    </row>
    <row r="276" spans="2:14" x14ac:dyDescent="0.3">
      <c r="B276" s="378" t="s">
        <v>1704</v>
      </c>
      <c r="C276" s="341"/>
      <c r="D276" s="338"/>
      <c r="E276" s="235" t="s">
        <v>250</v>
      </c>
      <c r="F276" s="271" t="str">
        <f>IFERROR(VLOOKUP(E276,'Inventaire des produits'!$B$4:$K$1000,2,0),"")</f>
        <v>FOURCHETTE ECOLUXE</v>
      </c>
      <c r="G276" s="64">
        <v>2</v>
      </c>
      <c r="H276" s="77">
        <v>23.333300000000001</v>
      </c>
      <c r="I276" s="95">
        <f t="shared" si="8"/>
        <v>46.666600000000003</v>
      </c>
      <c r="J276" s="95">
        <f t="shared" si="9"/>
        <v>55.999920000000003</v>
      </c>
      <c r="K276" s="93">
        <f>IFERROR(VLOOKUP(E276,'Inventaire des produits'!$B$4:$J$1000,5,FALSE),"")</f>
        <v>0</v>
      </c>
      <c r="L276" s="301">
        <f>IFERROR(VLOOKUP(E276,'Inventaire des produits'!$B$4:$J$1000,6,FALSE),"")</f>
        <v>15.84</v>
      </c>
      <c r="M276" s="62"/>
    </row>
    <row r="277" spans="2:14" x14ac:dyDescent="0.3">
      <c r="B277" s="378" t="s">
        <v>1704</v>
      </c>
      <c r="C277" s="341"/>
      <c r="D277" s="338"/>
      <c r="E277" s="235" t="s">
        <v>162</v>
      </c>
      <c r="F277" s="271" t="str">
        <f>IFERROR(VLOOKUP(E277,'Inventaire des produits'!$B$4:$K$1000,2,0),"")</f>
        <v>COQUILLE LUNCH BOX LARGE HB10 BLANC</v>
      </c>
      <c r="G277" s="64">
        <v>200</v>
      </c>
      <c r="H277" s="77">
        <v>1</v>
      </c>
      <c r="I277" s="95">
        <f t="shared" si="8"/>
        <v>200</v>
      </c>
      <c r="J277" s="95">
        <f t="shared" si="9"/>
        <v>240</v>
      </c>
      <c r="K277" s="93">
        <f>IFERROR(VLOOKUP(E277,'Inventaire des produits'!$B$4:$J$1000,5,FALSE),"")</f>
        <v>0</v>
      </c>
      <c r="L277" s="301">
        <f>IFERROR(VLOOKUP(E277,'Inventaire des produits'!$B$4:$J$1000,6,FALSE),"")</f>
        <v>0.75</v>
      </c>
      <c r="M277" s="62"/>
    </row>
    <row r="278" spans="2:14" x14ac:dyDescent="0.3">
      <c r="B278" s="378" t="s">
        <v>1704</v>
      </c>
      <c r="C278" s="341"/>
      <c r="D278" s="338"/>
      <c r="E278" s="235" t="s">
        <v>293</v>
      </c>
      <c r="F278" s="271" t="str">
        <f>IFERROR(VLOOKUP(E278,'Inventaire des produits'!$B$4:$K$1000,2,0),"")</f>
        <v>PAPIER ZIGZAG</v>
      </c>
      <c r="G278" s="64">
        <v>20</v>
      </c>
      <c r="H278" s="77">
        <v>12.5</v>
      </c>
      <c r="I278" s="95">
        <f t="shared" si="8"/>
        <v>250</v>
      </c>
      <c r="J278" s="95">
        <f t="shared" si="9"/>
        <v>300</v>
      </c>
      <c r="K278" s="93">
        <f>IFERROR(VLOOKUP(E278,'Inventaire des produits'!$B$4:$J$1000,5,FALSE),"")</f>
        <v>0</v>
      </c>
      <c r="L278" s="301">
        <f>IFERROR(VLOOKUP(E278,'Inventaire des produits'!$B$4:$J$1000,6,FALSE),"")</f>
        <v>9</v>
      </c>
      <c r="M278" s="62"/>
    </row>
    <row r="279" spans="2:14" x14ac:dyDescent="0.3">
      <c r="B279" s="378" t="s">
        <v>1704</v>
      </c>
      <c r="C279" s="342"/>
      <c r="D279" s="339"/>
      <c r="E279" s="238" t="s">
        <v>236</v>
      </c>
      <c r="F279" s="271" t="str">
        <f>IFERROR(VLOOKUP(E279,'Inventaire des produits'!$B$4:$K$1000,2,0),"")</f>
        <v>COQUILLE MEAL BOX 2 COMP BLANC</v>
      </c>
      <c r="G279" s="246">
        <v>200</v>
      </c>
      <c r="H279" s="78">
        <v>1.25</v>
      </c>
      <c r="I279" s="95">
        <f t="shared" si="8"/>
        <v>250</v>
      </c>
      <c r="J279" s="95">
        <f t="shared" si="9"/>
        <v>300</v>
      </c>
      <c r="K279" s="93">
        <f>IFERROR(VLOOKUP(E279,'Inventaire des produits'!$B$4:$J$1000,5,FALSE),"")</f>
        <v>0</v>
      </c>
      <c r="L279" s="301">
        <f>IFERROR(VLOOKUP(E279,'Inventaire des produits'!$B$4:$J$1000,6,FALSE),"")</f>
        <v>0.91666666669999997</v>
      </c>
      <c r="M279" s="62"/>
    </row>
    <row r="280" spans="2:14" x14ac:dyDescent="0.3">
      <c r="B280" s="378" t="s">
        <v>1704</v>
      </c>
      <c r="C280" s="340">
        <v>45351</v>
      </c>
      <c r="D280" s="337" t="s">
        <v>534</v>
      </c>
      <c r="E280" s="235" t="s">
        <v>127</v>
      </c>
      <c r="F280" s="271" t="str">
        <f>IFERROR(VLOOKUP(E280,'Inventaire des produits'!$B$4:$K$1000,2,0),"")</f>
        <v>SERVIETTE DE TABLE SEVAN 1PLI</v>
      </c>
      <c r="G280" s="231">
        <v>120</v>
      </c>
      <c r="H280" s="76">
        <v>3.75</v>
      </c>
      <c r="I280" s="95">
        <f t="shared" si="8"/>
        <v>450</v>
      </c>
      <c r="J280" s="95">
        <f t="shared" si="9"/>
        <v>540</v>
      </c>
      <c r="K280" s="93">
        <f>IFERROR(VLOOKUP(E280,'Inventaire des produits'!$B$4:$J$1000,5,FALSE),"")</f>
        <v>0</v>
      </c>
      <c r="L280" s="301">
        <f>IFERROR(VLOOKUP(E280,'Inventaire des produits'!$B$4:$J$1000,6,FALSE),"")</f>
        <v>2.9169999999999998</v>
      </c>
      <c r="M280" s="62">
        <v>1700</v>
      </c>
      <c r="N280" s="52" t="s">
        <v>472</v>
      </c>
    </row>
    <row r="281" spans="2:14" x14ac:dyDescent="0.3">
      <c r="B281" s="378" t="s">
        <v>1704</v>
      </c>
      <c r="C281" s="341"/>
      <c r="D281" s="338"/>
      <c r="E281" s="235" t="s">
        <v>345</v>
      </c>
      <c r="F281" s="271" t="str">
        <f>IFERROR(VLOOKUP(E281,'Inventaire des produits'!$B$4:$K$1000,2,0),"")</f>
        <v>POT DE SAUCE EN PLAST TRANSP 20ML</v>
      </c>
      <c r="G281" s="231">
        <v>3000</v>
      </c>
      <c r="H281" s="77">
        <v>0.125</v>
      </c>
      <c r="I281" s="95">
        <f t="shared" si="8"/>
        <v>375</v>
      </c>
      <c r="J281" s="95">
        <f t="shared" si="9"/>
        <v>450</v>
      </c>
      <c r="K281" s="93">
        <f>IFERROR(VLOOKUP(E281,'Inventaire des produits'!$B$4:$J$1000,5,FALSE),"")</f>
        <v>0</v>
      </c>
      <c r="L281" s="301">
        <f>IFERROR(VLOOKUP(E281,'Inventaire des produits'!$B$4:$J$1000,6,FALSE),"")</f>
        <v>8.3333333300000006E-2</v>
      </c>
      <c r="M281" s="62"/>
    </row>
    <row r="282" spans="2:14" x14ac:dyDescent="0.3">
      <c r="B282" s="378" t="s">
        <v>1704</v>
      </c>
      <c r="C282" s="341"/>
      <c r="D282" s="338"/>
      <c r="E282" s="235" t="s">
        <v>259</v>
      </c>
      <c r="F282" s="271" t="str">
        <f>IFERROR(VLOOKUP(E282,'Inventaire des produits'!$B$4:$K$1000,2,0),"")</f>
        <v>ROULEAU ALUMINIUM GOLDEN 200M</v>
      </c>
      <c r="G282" s="231">
        <v>7</v>
      </c>
      <c r="H282" s="77">
        <v>66.666666667000001</v>
      </c>
      <c r="I282" s="95">
        <f t="shared" si="8"/>
        <v>466.66666666899999</v>
      </c>
      <c r="J282" s="95">
        <f t="shared" si="9"/>
        <v>560.00000000279999</v>
      </c>
      <c r="K282" s="93">
        <f>IFERROR(VLOOKUP(E282,'Inventaire des produits'!$B$4:$J$1000,5,FALSE),"")</f>
        <v>0</v>
      </c>
      <c r="L282" s="301">
        <f>IFERROR(VLOOKUP(E282,'Inventaire des produits'!$B$4:$J$1000,6,FALSE),"")</f>
        <v>58.333333333299997</v>
      </c>
      <c r="M282" s="62"/>
    </row>
    <row r="283" spans="2:14" x14ac:dyDescent="0.3">
      <c r="B283" s="378" t="s">
        <v>1704</v>
      </c>
      <c r="C283" s="342"/>
      <c r="D283" s="339"/>
      <c r="E283" s="235" t="s">
        <v>365</v>
      </c>
      <c r="F283" s="271" t="str">
        <f>IFERROR(VLOOKUP(E283,'Inventaire des produits'!$B$4:$K$1000,2,0),"")</f>
        <v>PAILLE 6MM CODE ENVELOPPE TRANS 100/50 PCS</v>
      </c>
      <c r="G283" s="64">
        <v>15</v>
      </c>
      <c r="H283" s="77">
        <v>8.3333332999999996</v>
      </c>
      <c r="I283" s="95">
        <f t="shared" si="8"/>
        <v>124.9999995</v>
      </c>
      <c r="J283" s="95">
        <f t="shared" si="9"/>
        <v>149.99999940000001</v>
      </c>
      <c r="K283" s="93">
        <f>IFERROR(VLOOKUP(E283,'Inventaire des produits'!$B$4:$J$1000,5,FALSE),"")</f>
        <v>0</v>
      </c>
      <c r="L283" s="301">
        <f>IFERROR(VLOOKUP(E283,'Inventaire des produits'!$B$4:$J$1000,6,FALSE),"")</f>
        <v>4.9166666667000003</v>
      </c>
      <c r="M283" s="62"/>
    </row>
    <row r="284" spans="2:14" x14ac:dyDescent="0.3">
      <c r="B284" s="378" t="s">
        <v>1704</v>
      </c>
      <c r="C284" s="340">
        <v>45353</v>
      </c>
      <c r="D284" s="337" t="s">
        <v>555</v>
      </c>
      <c r="E284" s="235" t="s">
        <v>479</v>
      </c>
      <c r="F284" s="271" t="str">
        <f>IFERROR(VLOOKUP(E284,'Inventaire des produits'!$B$4:$K$1000,2,0),"")</f>
        <v xml:space="preserve">SAC KRAFT 22*17*28 </v>
      </c>
      <c r="G284" s="230">
        <v>403</v>
      </c>
      <c r="H284" s="76">
        <v>1.075</v>
      </c>
      <c r="I284" s="95">
        <f t="shared" si="8"/>
        <v>433.22499999999997</v>
      </c>
      <c r="J284" s="95">
        <f t="shared" si="9"/>
        <v>519.86999999999989</v>
      </c>
      <c r="K284" s="93">
        <f>IFERROR(VLOOKUP(E284,'Inventaire des produits'!$B$4:$J$1000,5,FALSE),"")</f>
        <v>0</v>
      </c>
      <c r="L284" s="301">
        <f>IFERROR(VLOOKUP(E284,'Inventaire des produits'!$B$4:$J$1000,6,FALSE),"")</f>
        <v>0.71</v>
      </c>
      <c r="M284" s="62">
        <v>2000</v>
      </c>
      <c r="N284" s="52" t="s">
        <v>472</v>
      </c>
    </row>
    <row r="285" spans="2:14" x14ac:dyDescent="0.3">
      <c r="B285" s="378" t="s">
        <v>1704</v>
      </c>
      <c r="C285" s="341"/>
      <c r="D285" s="338"/>
      <c r="E285" s="235" t="s">
        <v>410</v>
      </c>
      <c r="F285" s="271" t="str">
        <f>IFERROR(VLOOKUP(E285,'Inventaire des produits'!$B$4:$K$1000,2,0),"")</f>
        <v>FILM ALIMENTAIRE 45*500</v>
      </c>
      <c r="G285" s="231">
        <v>14</v>
      </c>
      <c r="H285" s="77">
        <v>45.246000000000002</v>
      </c>
      <c r="I285" s="95">
        <f t="shared" si="8"/>
        <v>633.44400000000007</v>
      </c>
      <c r="J285" s="95">
        <f t="shared" si="9"/>
        <v>760.13280000000009</v>
      </c>
      <c r="K285" s="93">
        <f>IFERROR(VLOOKUP(E285,'Inventaire des produits'!$B$4:$J$1000,5,FALSE),"")</f>
        <v>0</v>
      </c>
      <c r="L285" s="301">
        <f>IFERROR(VLOOKUP(E285,'Inventaire des produits'!$B$4:$J$1000,6,FALSE),"")</f>
        <v>33.332999999999998</v>
      </c>
      <c r="M285" s="62"/>
    </row>
    <row r="286" spans="2:14" x14ac:dyDescent="0.3">
      <c r="B286" s="378" t="s">
        <v>1704</v>
      </c>
      <c r="C286" s="342"/>
      <c r="D286" s="339"/>
      <c r="E286" s="235" t="s">
        <v>127</v>
      </c>
      <c r="F286" s="271" t="str">
        <f>IFERROR(VLOOKUP(E286,'Inventaire des produits'!$B$4:$K$1000,2,0),"")</f>
        <v>SERVIETTE DE TABLE SEVAN 1PLI</v>
      </c>
      <c r="G286" s="232">
        <v>160</v>
      </c>
      <c r="H286" s="78">
        <v>3.75</v>
      </c>
      <c r="I286" s="95">
        <f t="shared" si="8"/>
        <v>600</v>
      </c>
      <c r="J286" s="95">
        <f t="shared" si="9"/>
        <v>720</v>
      </c>
      <c r="K286" s="93">
        <f>IFERROR(VLOOKUP(E286,'Inventaire des produits'!$B$4:$J$1000,5,FALSE),"")</f>
        <v>0</v>
      </c>
      <c r="L286" s="301">
        <f>IFERROR(VLOOKUP(E286,'Inventaire des produits'!$B$4:$J$1000,6,FALSE),"")</f>
        <v>2.9169999999999998</v>
      </c>
      <c r="M286" s="62"/>
    </row>
    <row r="287" spans="2:14" x14ac:dyDescent="0.3">
      <c r="B287" s="378" t="s">
        <v>1704</v>
      </c>
      <c r="C287" s="340">
        <v>45356</v>
      </c>
      <c r="D287" s="337" t="s">
        <v>556</v>
      </c>
      <c r="E287" s="235" t="s">
        <v>557</v>
      </c>
      <c r="F287" s="271" t="str">
        <f>IFERROR(VLOOKUP(E287,'Inventaire des produits'!$B$4:$K$1000,2,0),"")</f>
        <v>BARQUETTE ALUMINIUM 83420</v>
      </c>
      <c r="G287" s="230">
        <v>5000</v>
      </c>
      <c r="H287" s="76">
        <v>0.33333333300000001</v>
      </c>
      <c r="I287" s="95">
        <f t="shared" si="8"/>
        <v>1666.666665</v>
      </c>
      <c r="J287" s="95">
        <f t="shared" si="9"/>
        <v>1999.9999979999998</v>
      </c>
      <c r="K287" s="93">
        <f>IFERROR(VLOOKUP(E287,'Inventaire des produits'!$B$4:$J$1000,5,FALSE),"")</f>
        <v>0</v>
      </c>
      <c r="L287" s="301">
        <f>IFERROR(VLOOKUP(E287,'Inventaire des produits'!$B$4:$J$1000,6,FALSE),"")</f>
        <v>0.32</v>
      </c>
      <c r="M287" s="62">
        <v>5400</v>
      </c>
    </row>
    <row r="288" spans="2:14" x14ac:dyDescent="0.3">
      <c r="B288" s="378" t="s">
        <v>1704</v>
      </c>
      <c r="C288" s="342"/>
      <c r="D288" s="339"/>
      <c r="E288" s="235" t="s">
        <v>561</v>
      </c>
      <c r="F288" s="271" t="str">
        <f>IFERROR(VLOOKUP(E288,'Inventaire des produits'!$B$4:$K$1000,2,0),"")</f>
        <v>BARQUETTE ALUMINIUM 83890</v>
      </c>
      <c r="G288" s="231">
        <v>5000</v>
      </c>
      <c r="H288" s="77">
        <v>0.56666666669999999</v>
      </c>
      <c r="I288" s="95">
        <f t="shared" si="8"/>
        <v>2833.3333334999998</v>
      </c>
      <c r="J288" s="95">
        <f t="shared" si="9"/>
        <v>3400.0000001999997</v>
      </c>
      <c r="K288" s="93">
        <f>IFERROR(VLOOKUP(E288,'Inventaire des produits'!$B$4:$J$1000,5,FALSE),"")</f>
        <v>0</v>
      </c>
      <c r="L288" s="301">
        <f>IFERROR(VLOOKUP(E288,'Inventaire des produits'!$B$4:$J$1000,6,FALSE),"")</f>
        <v>0.54</v>
      </c>
      <c r="M288" s="62"/>
    </row>
    <row r="289" spans="2:14" x14ac:dyDescent="0.3">
      <c r="B289" s="378" t="s">
        <v>1704</v>
      </c>
      <c r="C289" s="340">
        <v>45356</v>
      </c>
      <c r="D289" s="337" t="s">
        <v>559</v>
      </c>
      <c r="E289" s="235" t="s">
        <v>372</v>
      </c>
      <c r="F289" s="271" t="str">
        <f>IFERROR(VLOOKUP(E289,'Inventaire des produits'!$B$4:$K$1000,2,0),"")</f>
        <v>BARQUETTE VITA PACK 750ML AVEC CVL</v>
      </c>
      <c r="G289" s="230">
        <v>1250</v>
      </c>
      <c r="H289" s="76">
        <v>1.55</v>
      </c>
      <c r="I289" s="95">
        <f t="shared" si="8"/>
        <v>1937.5</v>
      </c>
      <c r="J289" s="95">
        <f t="shared" si="9"/>
        <v>2325</v>
      </c>
      <c r="K289" s="93">
        <f>IFERROR(VLOOKUP(E289,'Inventaire des produits'!$B$4:$J$1000,5,FALSE),"")</f>
        <v>0</v>
      </c>
      <c r="L289" s="301">
        <f>IFERROR(VLOOKUP(E289,'Inventaire des produits'!$B$4:$J$1000,6,FALSE),"")</f>
        <v>1.34</v>
      </c>
      <c r="M289" s="62">
        <v>7083</v>
      </c>
    </row>
    <row r="290" spans="2:14" x14ac:dyDescent="0.3">
      <c r="B290" s="378" t="s">
        <v>1704</v>
      </c>
      <c r="C290" s="341"/>
      <c r="D290" s="338"/>
      <c r="E290" s="235" t="s">
        <v>95</v>
      </c>
      <c r="F290" s="271" t="str">
        <f>IFERROR(VLOOKUP(E290,'Inventaire des produits'!$B$4:$K$1000,2,0),"")</f>
        <v>POT DE SAUCE 2OZ NOIRE</v>
      </c>
      <c r="G290" s="231">
        <v>8000</v>
      </c>
      <c r="H290" s="77">
        <v>0.15416666670000001</v>
      </c>
      <c r="I290" s="95">
        <f t="shared" si="8"/>
        <v>1233.3333336000001</v>
      </c>
      <c r="J290" s="95">
        <f t="shared" si="9"/>
        <v>1480.00000032</v>
      </c>
      <c r="K290" s="93">
        <f>IFERROR(VLOOKUP(E290,'Inventaire des produits'!$B$4:$J$1000,5,FALSE),"")</f>
        <v>0</v>
      </c>
      <c r="L290" s="301">
        <f>IFERROR(VLOOKUP(E290,'Inventaire des produits'!$B$4:$J$1000,6,FALSE),"")</f>
        <v>0.13600000000000001</v>
      </c>
      <c r="M290" s="62"/>
    </row>
    <row r="291" spans="2:14" x14ac:dyDescent="0.3">
      <c r="B291" s="378" t="s">
        <v>1704</v>
      </c>
      <c r="C291" s="341"/>
      <c r="D291" s="338"/>
      <c r="E291" s="239" t="s">
        <v>303</v>
      </c>
      <c r="F291" s="271" t="str">
        <f>IFERROR(VLOOKUP(E291,'Inventaire des produits'!$B$4:$K$1000,2,0),"")</f>
        <v>BARQUETTE TRAITEUR 750CC MICRON ONDABLE CARTON 250PCS</v>
      </c>
      <c r="G291" s="231">
        <v>500</v>
      </c>
      <c r="H291" s="77">
        <v>1.42</v>
      </c>
      <c r="I291" s="95">
        <f t="shared" si="8"/>
        <v>710</v>
      </c>
      <c r="J291" s="95">
        <f t="shared" si="9"/>
        <v>852</v>
      </c>
      <c r="K291" s="93">
        <f>IFERROR(VLOOKUP(E291,'Inventaire des produits'!$B$4:$J$1000,5,FALSE),"")</f>
        <v>0</v>
      </c>
      <c r="L291" s="301">
        <f>IFERROR(VLOOKUP(E291,'Inventaire des produits'!$B$4:$J$1000,6,FALSE),"")</f>
        <v>1.375</v>
      </c>
      <c r="M291" s="62"/>
    </row>
    <row r="292" spans="2:14" x14ac:dyDescent="0.3">
      <c r="B292" s="378" t="s">
        <v>1704</v>
      </c>
      <c r="C292" s="341"/>
      <c r="D292" s="338"/>
      <c r="E292" s="239" t="s">
        <v>304</v>
      </c>
      <c r="F292" s="271" t="str">
        <f>IFERROR(VLOOKUP(E292,'Inventaire des produits'!$B$4:$K$1000,2,0),"")</f>
        <v>BARQUETTE TRAITEUR 750CC MICRON ONDABLE CARTON 250PCS</v>
      </c>
      <c r="G292" s="231">
        <v>250</v>
      </c>
      <c r="H292" s="77">
        <v>1.42</v>
      </c>
      <c r="I292" s="95">
        <f t="shared" si="8"/>
        <v>355</v>
      </c>
      <c r="J292" s="95">
        <f t="shared" si="9"/>
        <v>426</v>
      </c>
      <c r="K292" s="93">
        <f>IFERROR(VLOOKUP(E292,'Inventaire des produits'!$B$4:$J$1000,5,FALSE),"")</f>
        <v>0</v>
      </c>
      <c r="L292" s="301">
        <f>IFERROR(VLOOKUP(E292,'Inventaire des produits'!$B$4:$J$1000,6,FALSE),"")</f>
        <v>1.2086250000000001</v>
      </c>
      <c r="M292" s="62"/>
    </row>
    <row r="293" spans="2:14" x14ac:dyDescent="0.3">
      <c r="B293" s="378" t="s">
        <v>1704</v>
      </c>
      <c r="C293" s="342"/>
      <c r="D293" s="339"/>
      <c r="E293" s="239" t="s">
        <v>509</v>
      </c>
      <c r="F293" s="271" t="str">
        <f>IFERROR(VLOOKUP(E293,'Inventaire des produits'!$B$4:$K$1000,2,0),"")</f>
        <v>BARQUETTE SALADE TRAITEUR 500CC</v>
      </c>
      <c r="G293" s="231">
        <v>1000</v>
      </c>
      <c r="H293" s="77">
        <v>1.6666666667000001</v>
      </c>
      <c r="I293" s="95">
        <f t="shared" si="8"/>
        <v>1666.6666667000002</v>
      </c>
      <c r="J293" s="95">
        <f t="shared" si="9"/>
        <v>2000.00000004</v>
      </c>
      <c r="K293" s="93">
        <f>IFERROR(VLOOKUP(E293,'Inventaire des produits'!$B$4:$J$1000,5,FALSE),"")</f>
        <v>0</v>
      </c>
      <c r="L293" s="301">
        <f>IFERROR(VLOOKUP(E293,'Inventaire des produits'!$B$4:$J$1000,6,FALSE),"")</f>
        <v>0.35</v>
      </c>
      <c r="M293" s="62"/>
    </row>
    <row r="294" spans="2:14" x14ac:dyDescent="0.3">
      <c r="B294" s="378" t="s">
        <v>1704</v>
      </c>
      <c r="C294" s="340">
        <v>45356</v>
      </c>
      <c r="D294" s="337" t="s">
        <v>560</v>
      </c>
      <c r="E294" s="235" t="s">
        <v>563</v>
      </c>
      <c r="F294" s="271" t="str">
        <f>IFERROR(VLOOKUP(E294,'Inventaire des produits'!$B$4:$K$1000,2,0),"")</f>
        <v>CUILLERE BLANC</v>
      </c>
      <c r="G294" s="230">
        <v>60</v>
      </c>
      <c r="H294" s="76">
        <v>7.5</v>
      </c>
      <c r="I294" s="95">
        <f t="shared" si="8"/>
        <v>450</v>
      </c>
      <c r="J294" s="95">
        <f t="shared" si="9"/>
        <v>540</v>
      </c>
      <c r="K294" s="93">
        <f>IFERROR(VLOOKUP(E294,'Inventaire des produits'!$B$4:$J$1000,5,FALSE),"")</f>
        <v>0</v>
      </c>
      <c r="L294" s="301">
        <f>IFERROR(VLOOKUP(E294,'Inventaire des produits'!$B$4:$J$1000,6,FALSE),"")</f>
        <v>6.25</v>
      </c>
      <c r="M294" s="62">
        <v>3330</v>
      </c>
    </row>
    <row r="295" spans="2:14" x14ac:dyDescent="0.3">
      <c r="B295" s="378" t="s">
        <v>1704</v>
      </c>
      <c r="C295" s="341"/>
      <c r="D295" s="338"/>
      <c r="E295" s="235" t="s">
        <v>365</v>
      </c>
      <c r="F295" s="271" t="str">
        <f>IFERROR(VLOOKUP(E295,'Inventaire des produits'!$B$4:$K$1000,2,0),"")</f>
        <v>PAILLE 6MM CODE ENVELOPPE TRANS 100/50 PCS</v>
      </c>
      <c r="G295" s="231">
        <v>60</v>
      </c>
      <c r="H295" s="77">
        <v>7.5</v>
      </c>
      <c r="I295" s="95">
        <f t="shared" si="8"/>
        <v>450</v>
      </c>
      <c r="J295" s="95">
        <f t="shared" si="9"/>
        <v>540</v>
      </c>
      <c r="K295" s="93">
        <f>IFERROR(VLOOKUP(E295,'Inventaire des produits'!$B$4:$J$1000,5,FALSE),"")</f>
        <v>0</v>
      </c>
      <c r="L295" s="301">
        <f>IFERROR(VLOOKUP(E295,'Inventaire des produits'!$B$4:$J$1000,6,FALSE),"")</f>
        <v>4.9166666667000003</v>
      </c>
      <c r="M295" s="62"/>
    </row>
    <row r="296" spans="2:14" x14ac:dyDescent="0.3">
      <c r="B296" s="378" t="s">
        <v>1704</v>
      </c>
      <c r="C296" s="342"/>
      <c r="D296" s="339"/>
      <c r="E296" s="235" t="s">
        <v>522</v>
      </c>
      <c r="F296" s="271" t="str">
        <f>IFERROR(VLOOKUP(E296,'Inventaire des produits'!$B$4:$K$1000,2,0),"")</f>
        <v>BARQUETTE ALUMINIUM 815</v>
      </c>
      <c r="G296" s="246">
        <v>2500</v>
      </c>
      <c r="H296" s="78">
        <v>0.75</v>
      </c>
      <c r="I296" s="95">
        <f t="shared" si="8"/>
        <v>1875</v>
      </c>
      <c r="J296" s="95">
        <f t="shared" si="9"/>
        <v>2250</v>
      </c>
      <c r="K296" s="93">
        <f>IFERROR(VLOOKUP(E296,'Inventaire des produits'!$B$4:$J$1000,5,FALSE),"")</f>
        <v>0</v>
      </c>
      <c r="L296" s="301">
        <f>IFERROR(VLOOKUP(E296,'Inventaire des produits'!$B$4:$J$1000,6,FALSE),"")</f>
        <v>0.66666666669999997</v>
      </c>
      <c r="M296" s="62"/>
    </row>
    <row r="297" spans="2:14" x14ac:dyDescent="0.3">
      <c r="B297" s="378" t="s">
        <v>1704</v>
      </c>
      <c r="C297" s="340">
        <v>45356</v>
      </c>
      <c r="D297" s="337" t="s">
        <v>565</v>
      </c>
      <c r="E297" s="235" t="s">
        <v>127</v>
      </c>
      <c r="F297" s="271" t="str">
        <f>IFERROR(VLOOKUP(E297,'Inventaire des produits'!$B$4:$K$1000,2,0),"")</f>
        <v>SERVIETTE DE TABLE SEVAN 1PLI</v>
      </c>
      <c r="G297" s="230">
        <v>80</v>
      </c>
      <c r="H297" s="76">
        <v>4</v>
      </c>
      <c r="I297" s="95">
        <f t="shared" si="8"/>
        <v>320</v>
      </c>
      <c r="J297" s="95">
        <f t="shared" si="9"/>
        <v>384</v>
      </c>
      <c r="K297" s="93">
        <f>IFERROR(VLOOKUP(E297,'Inventaire des produits'!$B$4:$J$1000,5,FALSE),"")</f>
        <v>0</v>
      </c>
      <c r="L297" s="301">
        <f>IFERROR(VLOOKUP(E297,'Inventaire des produits'!$B$4:$J$1000,6,FALSE),"")</f>
        <v>2.9169999999999998</v>
      </c>
      <c r="M297" s="62">
        <v>1627</v>
      </c>
      <c r="N297" s="52" t="s">
        <v>472</v>
      </c>
    </row>
    <row r="298" spans="2:14" x14ac:dyDescent="0.3">
      <c r="B298" s="378" t="s">
        <v>1704</v>
      </c>
      <c r="C298" s="341"/>
      <c r="D298" s="338"/>
      <c r="E298" s="235" t="s">
        <v>250</v>
      </c>
      <c r="F298" s="271" t="str">
        <f>IFERROR(VLOOKUP(E298,'Inventaire des produits'!$B$4:$K$1000,2,0),"")</f>
        <v>FOURCHETTE ECOLUXE</v>
      </c>
      <c r="G298" s="231">
        <v>3</v>
      </c>
      <c r="H298" s="77">
        <v>23.333333329999999</v>
      </c>
      <c r="I298" s="95">
        <f t="shared" si="8"/>
        <v>69.999999989999992</v>
      </c>
      <c r="J298" s="95">
        <f t="shared" si="9"/>
        <v>83.999999987999985</v>
      </c>
      <c r="K298" s="93">
        <f>IFERROR(VLOOKUP(E298,'Inventaire des produits'!$B$4:$J$1000,5,FALSE),"")</f>
        <v>0</v>
      </c>
      <c r="L298" s="301">
        <f>IFERROR(VLOOKUP(E298,'Inventaire des produits'!$B$4:$J$1000,6,FALSE),"")</f>
        <v>15.84</v>
      </c>
      <c r="M298" s="62"/>
    </row>
    <row r="299" spans="2:14" x14ac:dyDescent="0.3">
      <c r="B299" s="378" t="s">
        <v>1704</v>
      </c>
      <c r="C299" s="341"/>
      <c r="D299" s="338"/>
      <c r="E299" s="235" t="s">
        <v>251</v>
      </c>
      <c r="F299" s="271" t="str">
        <f>IFERROR(VLOOKUP(E299,'Inventaire des produits'!$B$4:$K$1000,2,0),"")</f>
        <v>COUTEAU ECOLUXE</v>
      </c>
      <c r="G299" s="231">
        <v>3</v>
      </c>
      <c r="H299" s="77">
        <v>23.333333329999999</v>
      </c>
      <c r="I299" s="95">
        <f t="shared" si="8"/>
        <v>69.999999989999992</v>
      </c>
      <c r="J299" s="95">
        <f t="shared" si="9"/>
        <v>83.999999987999985</v>
      </c>
      <c r="K299" s="93">
        <f>IFERROR(VLOOKUP(E299,'Inventaire des produits'!$B$4:$J$1000,5,FALSE),"")</f>
        <v>0</v>
      </c>
      <c r="L299" s="301">
        <f>IFERROR(VLOOKUP(E299,'Inventaire des produits'!$B$4:$J$1000,6,FALSE),"")</f>
        <v>15.84</v>
      </c>
      <c r="M299" s="62"/>
    </row>
    <row r="300" spans="2:14" x14ac:dyDescent="0.3">
      <c r="B300" s="378" t="s">
        <v>1704</v>
      </c>
      <c r="C300" s="341"/>
      <c r="D300" s="338"/>
      <c r="E300" s="235" t="s">
        <v>365</v>
      </c>
      <c r="F300" s="271" t="str">
        <f>IFERROR(VLOOKUP(E300,'Inventaire des produits'!$B$4:$K$1000,2,0),"")</f>
        <v>PAILLE 6MM CODE ENVELOPPE TRANS 100/50 PCS</v>
      </c>
      <c r="G300" s="231">
        <v>7</v>
      </c>
      <c r="H300" s="77">
        <v>8.3333333300000003</v>
      </c>
      <c r="I300" s="95">
        <f t="shared" si="8"/>
        <v>58.33333331</v>
      </c>
      <c r="J300" s="95">
        <f t="shared" si="9"/>
        <v>69.999999971999998</v>
      </c>
      <c r="K300" s="93">
        <f>IFERROR(VLOOKUP(E300,'Inventaire des produits'!$B$4:$J$1000,5,FALSE),"")</f>
        <v>0</v>
      </c>
      <c r="L300" s="301">
        <f>IFERROR(VLOOKUP(E300,'Inventaire des produits'!$B$4:$J$1000,6,FALSE),"")</f>
        <v>4.9166666667000003</v>
      </c>
      <c r="M300" s="62"/>
    </row>
    <row r="301" spans="2:14" x14ac:dyDescent="0.3">
      <c r="B301" s="378" t="s">
        <v>1704</v>
      </c>
      <c r="C301" s="341"/>
      <c r="D301" s="338"/>
      <c r="E301" s="235" t="s">
        <v>418</v>
      </c>
      <c r="F301" s="271" t="str">
        <f>IFERROR(VLOOKUP(E301,'Inventaire des produits'!$B$4:$K$1000,2,0),"")</f>
        <v>ROULEAU DE CAISSE THERMIQUE 70X80</v>
      </c>
      <c r="G301" s="231">
        <v>10</v>
      </c>
      <c r="H301" s="77">
        <v>10</v>
      </c>
      <c r="I301" s="95">
        <f t="shared" si="8"/>
        <v>100</v>
      </c>
      <c r="J301" s="95">
        <f t="shared" si="9"/>
        <v>120</v>
      </c>
      <c r="K301" s="93">
        <f>IFERROR(VLOOKUP(E301,'Inventaire des produits'!$B$4:$J$1000,5,FALSE),"")</f>
        <v>0</v>
      </c>
      <c r="L301" s="301">
        <f>IFERROR(VLOOKUP(E301,'Inventaire des produits'!$B$4:$J$1000,6,FALSE),"")</f>
        <v>8</v>
      </c>
      <c r="M301" s="62"/>
    </row>
    <row r="302" spans="2:14" x14ac:dyDescent="0.3">
      <c r="B302" s="378" t="s">
        <v>1704</v>
      </c>
      <c r="C302" s="341"/>
      <c r="D302" s="338"/>
      <c r="E302" s="235" t="s">
        <v>183</v>
      </c>
      <c r="F302" s="271" t="str">
        <f>IFERROR(VLOOKUP(E302,'Inventaire des produits'!$B$4:$K$1000,2,0),"")</f>
        <v>GOBLET EN CARTON 8OZ AVEC CVL</v>
      </c>
      <c r="G302" s="231">
        <v>500</v>
      </c>
      <c r="H302" s="77">
        <v>0.43</v>
      </c>
      <c r="I302" s="95">
        <f t="shared" si="8"/>
        <v>215</v>
      </c>
      <c r="J302" s="95">
        <f t="shared" si="9"/>
        <v>258</v>
      </c>
      <c r="K302" s="93">
        <f>IFERROR(VLOOKUP(E302,'Inventaire des produits'!$B$4:$J$1000,5,FALSE),"")</f>
        <v>0</v>
      </c>
      <c r="L302" s="301">
        <f>IFERROR(VLOOKUP(E302,'Inventaire des produits'!$B$4:$J$1000,6,FALSE),"")</f>
        <v>0.41660000000000003</v>
      </c>
      <c r="M302" s="62"/>
    </row>
    <row r="303" spans="2:14" x14ac:dyDescent="0.3">
      <c r="B303" s="378" t="s">
        <v>1704</v>
      </c>
      <c r="C303" s="341"/>
      <c r="D303" s="338"/>
      <c r="E303" s="235" t="s">
        <v>387</v>
      </c>
      <c r="F303" s="271" t="str">
        <f>IFERROR(VLOOKUP(E303,'Inventaire des produits'!$B$4:$K$1000,2,0),"")</f>
        <v>GANT VINYL EXTRA PREMIUM GLOVE LARGE</v>
      </c>
      <c r="G303" s="231">
        <v>10</v>
      </c>
      <c r="H303" s="77">
        <v>23.3333333</v>
      </c>
      <c r="I303" s="95">
        <f t="shared" si="8"/>
        <v>233.33333299999998</v>
      </c>
      <c r="J303" s="95">
        <f t="shared" si="9"/>
        <v>279.99999959999997</v>
      </c>
      <c r="K303" s="93">
        <f>IFERROR(VLOOKUP(E303,'Inventaire des produits'!$B$4:$J$1000,5,FALSE),"")</f>
        <v>0</v>
      </c>
      <c r="L303" s="301">
        <f>IFERROR(VLOOKUP(E303,'Inventaire des produits'!$B$4:$J$1000,6,FALSE),"")</f>
        <v>20</v>
      </c>
      <c r="M303" s="62"/>
    </row>
    <row r="304" spans="2:14" x14ac:dyDescent="0.3">
      <c r="B304" s="378" t="s">
        <v>1704</v>
      </c>
      <c r="C304" s="342"/>
      <c r="D304" s="339"/>
      <c r="E304" s="235" t="s">
        <v>500</v>
      </c>
      <c r="F304" s="271" t="str">
        <f>IFERROR(VLOOKUP(E304,'Inventaire des produits'!$B$4:$K$1000,2,0),"")</f>
        <v>BARQUETTE ALUMINIUM 83670</v>
      </c>
      <c r="G304" s="232">
        <v>500</v>
      </c>
      <c r="H304" s="77">
        <v>0.57833999999999997</v>
      </c>
      <c r="I304" s="95">
        <f t="shared" si="8"/>
        <v>289.16999999999996</v>
      </c>
      <c r="J304" s="95">
        <f t="shared" si="9"/>
        <v>347.00399999999996</v>
      </c>
      <c r="K304" s="93">
        <f>IFERROR(VLOOKUP(E304,'Inventaire des produits'!$B$4:$J$1000,5,FALSE),"")</f>
        <v>0</v>
      </c>
      <c r="L304" s="301">
        <f>IFERROR(VLOOKUP(E304,'Inventaire des produits'!$B$4:$J$1000,6,FALSE),"")</f>
        <v>0.55000000000000004</v>
      </c>
      <c r="M304" s="62"/>
    </row>
    <row r="305" spans="2:14" x14ac:dyDescent="0.3">
      <c r="B305" s="378" t="s">
        <v>1704</v>
      </c>
      <c r="C305" s="340">
        <v>45356</v>
      </c>
      <c r="D305" s="337" t="s">
        <v>566</v>
      </c>
      <c r="E305" s="235" t="s">
        <v>66</v>
      </c>
      <c r="F305" s="271" t="str">
        <f>IFERROR(VLOOKUP(E305,'Inventaire des produits'!$B$4:$K$1000,2,0),"")</f>
        <v>TRIPOD PIZZA EN PLASTIQUE</v>
      </c>
      <c r="G305" s="230">
        <v>2000</v>
      </c>
      <c r="H305" s="76">
        <v>0.5</v>
      </c>
      <c r="I305" s="95">
        <f t="shared" si="8"/>
        <v>1000</v>
      </c>
      <c r="J305" s="95">
        <f t="shared" si="9"/>
        <v>1200</v>
      </c>
      <c r="K305" s="93">
        <f>IFERROR(VLOOKUP(E305,'Inventaire des produits'!$B$4:$J$1000,5,FALSE),"")</f>
        <v>0</v>
      </c>
      <c r="L305" s="301">
        <f>IFERROR(VLOOKUP(E305,'Inventaire des produits'!$B$4:$J$1000,6,FALSE),"")</f>
        <v>0.32</v>
      </c>
      <c r="M305" s="62">
        <v>1460</v>
      </c>
    </row>
    <row r="306" spans="2:14" x14ac:dyDescent="0.3">
      <c r="B306" s="378" t="s">
        <v>1704</v>
      </c>
      <c r="C306" s="342"/>
      <c r="D306" s="339"/>
      <c r="E306" s="235" t="s">
        <v>345</v>
      </c>
      <c r="F306" s="271" t="str">
        <f>IFERROR(VLOOKUP(E306,'Inventaire des produits'!$B$4:$K$1000,2,0),"")</f>
        <v>POT DE SAUCE EN PLAST TRANSP 20ML</v>
      </c>
      <c r="G306" s="232">
        <v>2000</v>
      </c>
      <c r="H306" s="78">
        <v>0.1083333333</v>
      </c>
      <c r="I306" s="95">
        <f t="shared" si="8"/>
        <v>216.66666660000001</v>
      </c>
      <c r="J306" s="95">
        <f t="shared" si="9"/>
        <v>259.99999991999999</v>
      </c>
      <c r="K306" s="93">
        <f>IFERROR(VLOOKUP(E306,'Inventaire des produits'!$B$4:$J$1000,5,FALSE),"")</f>
        <v>0</v>
      </c>
      <c r="L306" s="301">
        <f>IFERROR(VLOOKUP(E306,'Inventaire des produits'!$B$4:$J$1000,6,FALSE),"")</f>
        <v>8.3333333300000006E-2</v>
      </c>
      <c r="M306" s="62"/>
    </row>
    <row r="307" spans="2:14" x14ac:dyDescent="0.3">
      <c r="B307" s="378" t="s">
        <v>1704</v>
      </c>
      <c r="C307" s="55">
        <v>45357</v>
      </c>
      <c r="D307" s="54" t="s">
        <v>568</v>
      </c>
      <c r="E307" s="235" t="s">
        <v>551</v>
      </c>
      <c r="F307" s="271" t="str">
        <f>IFERROR(VLOOKUP(E307,'Inventaire des produits'!$B$4:$K$1000,2,0),"")</f>
        <v>BARQUETTE ALUMINIUM 808</v>
      </c>
      <c r="G307" s="248">
        <v>6100</v>
      </c>
      <c r="H307" s="81">
        <v>0.75136599999999998</v>
      </c>
      <c r="I307" s="95">
        <f t="shared" si="8"/>
        <v>4583.3325999999997</v>
      </c>
      <c r="J307" s="95">
        <f t="shared" si="9"/>
        <v>5499.9991199999995</v>
      </c>
      <c r="K307" s="93">
        <f>IFERROR(VLOOKUP(E307,'Inventaire des produits'!$B$4:$J$1000,5,FALSE),"")</f>
        <v>0</v>
      </c>
      <c r="L307" s="301">
        <f>IFERROR(VLOOKUP(E307,'Inventaire des produits'!$B$4:$J$1000,6,FALSE),"")</f>
        <v>0.53333330000000001</v>
      </c>
      <c r="M307" s="62">
        <v>5500</v>
      </c>
      <c r="N307" s="52" t="s">
        <v>473</v>
      </c>
    </row>
    <row r="308" spans="2:14" x14ac:dyDescent="0.3">
      <c r="B308" s="378" t="s">
        <v>1704</v>
      </c>
      <c r="C308" s="340">
        <v>45359</v>
      </c>
      <c r="D308" s="337" t="s">
        <v>577</v>
      </c>
      <c r="E308" s="235" t="s">
        <v>259</v>
      </c>
      <c r="F308" s="271" t="str">
        <f>IFERROR(VLOOKUP(E308,'Inventaire des produits'!$B$4:$K$1000,2,0),"")</f>
        <v>ROULEAU ALUMINIUM GOLDEN 200M</v>
      </c>
      <c r="G308" s="248">
        <v>25</v>
      </c>
      <c r="H308" s="82">
        <v>65</v>
      </c>
      <c r="I308" s="95">
        <f t="shared" si="8"/>
        <v>1625</v>
      </c>
      <c r="J308" s="95">
        <f t="shared" si="9"/>
        <v>1950</v>
      </c>
      <c r="K308" s="93">
        <f>IFERROR(VLOOKUP(E308,'Inventaire des produits'!$B$4:$J$1000,5,FALSE),"")</f>
        <v>0</v>
      </c>
      <c r="L308" s="301">
        <f>IFERROR(VLOOKUP(E308,'Inventaire des produits'!$B$4:$J$1000,6,FALSE),"")</f>
        <v>58.333333333299997</v>
      </c>
      <c r="M308" s="62">
        <v>4322</v>
      </c>
      <c r="N308" s="52" t="s">
        <v>473</v>
      </c>
    </row>
    <row r="309" spans="2:14" x14ac:dyDescent="0.3">
      <c r="B309" s="378" t="s">
        <v>1704</v>
      </c>
      <c r="C309" s="341"/>
      <c r="D309" s="338"/>
      <c r="E309" s="235" t="s">
        <v>256</v>
      </c>
      <c r="F309" s="271" t="str">
        <f>IFERROR(VLOOKUP(E309,'Inventaire des produits'!$B$4:$K$1000,2,0),"")</f>
        <v>FILM ALIMENTAIRE VIOLET</v>
      </c>
      <c r="G309" s="231">
        <v>20</v>
      </c>
      <c r="H309" s="77">
        <v>28.3005</v>
      </c>
      <c r="I309" s="95">
        <f t="shared" si="8"/>
        <v>566.01</v>
      </c>
      <c r="J309" s="95">
        <f t="shared" si="9"/>
        <v>679.21199999999999</v>
      </c>
      <c r="K309" s="93">
        <f>IFERROR(VLOOKUP(E309,'Inventaire des produits'!$B$4:$J$1000,5,FALSE),"")</f>
        <v>0</v>
      </c>
      <c r="L309" s="301">
        <f>IFERROR(VLOOKUP(E309,'Inventaire des produits'!$B$4:$J$1000,6,FALSE),"")</f>
        <v>28.333333333300001</v>
      </c>
      <c r="M309" s="62"/>
    </row>
    <row r="310" spans="2:14" x14ac:dyDescent="0.3">
      <c r="B310" s="378" t="s">
        <v>1704</v>
      </c>
      <c r="C310" s="341"/>
      <c r="D310" s="338"/>
      <c r="E310" s="235" t="s">
        <v>233</v>
      </c>
      <c r="F310" s="271" t="str">
        <f>IFERROR(VLOOKUP(E310,'Inventaire des produits'!$B$4:$K$1000,2,0),"")</f>
        <v>BARQUETTE VITA PACK 500ML 5PCS</v>
      </c>
      <c r="G310" s="231">
        <v>288</v>
      </c>
      <c r="H310" s="77">
        <v>1.2869999999999999</v>
      </c>
      <c r="I310" s="95">
        <f t="shared" si="8"/>
        <v>370.65599999999995</v>
      </c>
      <c r="J310" s="95">
        <f t="shared" si="9"/>
        <v>444.78719999999993</v>
      </c>
      <c r="K310" s="93">
        <f>IFERROR(VLOOKUP(E310,'Inventaire des produits'!$B$4:$J$1000,5,FALSE),"")</f>
        <v>0</v>
      </c>
      <c r="L310" s="301">
        <f>IFERROR(VLOOKUP(E310,'Inventaire des produits'!$B$4:$J$1000,6,FALSE),"")</f>
        <v>6.6666999999999996</v>
      </c>
      <c r="M310" s="62"/>
    </row>
    <row r="311" spans="2:14" x14ac:dyDescent="0.3">
      <c r="B311" s="378" t="s">
        <v>1704</v>
      </c>
      <c r="C311" s="342"/>
      <c r="D311" s="339"/>
      <c r="E311" s="235" t="s">
        <v>236</v>
      </c>
      <c r="F311" s="271" t="str">
        <f>IFERROR(VLOOKUP(E311,'Inventaire des produits'!$B$4:$K$1000,2,0),"")</f>
        <v>COQUILLE MEAL BOX 2 COMP BLANC</v>
      </c>
      <c r="G311" s="231">
        <v>1000</v>
      </c>
      <c r="H311" s="77">
        <v>1.04</v>
      </c>
      <c r="I311" s="95">
        <f t="shared" si="8"/>
        <v>1040</v>
      </c>
      <c r="J311" s="95">
        <f t="shared" si="9"/>
        <v>1248</v>
      </c>
      <c r="K311" s="93">
        <f>IFERROR(VLOOKUP(E311,'Inventaire des produits'!$B$4:$J$1000,5,FALSE),"")</f>
        <v>0</v>
      </c>
      <c r="L311" s="301">
        <f>IFERROR(VLOOKUP(E311,'Inventaire des produits'!$B$4:$J$1000,6,FALSE),"")</f>
        <v>0.91666666669999997</v>
      </c>
      <c r="M311" s="62"/>
    </row>
    <row r="312" spans="2:14" x14ac:dyDescent="0.3">
      <c r="B312" s="378" t="s">
        <v>1704</v>
      </c>
      <c r="C312" s="340">
        <v>45360</v>
      </c>
      <c r="D312" s="337" t="s">
        <v>578</v>
      </c>
      <c r="E312" s="235" t="s">
        <v>127</v>
      </c>
      <c r="F312" s="271" t="str">
        <f>IFERROR(VLOOKUP(E312,'Inventaire des produits'!$B$4:$K$1000,2,0),"")</f>
        <v>SERVIETTE DE TABLE SEVAN 1PLI</v>
      </c>
      <c r="G312" s="248">
        <v>60</v>
      </c>
      <c r="H312" s="76">
        <v>3.93</v>
      </c>
      <c r="I312" s="95">
        <f t="shared" si="8"/>
        <v>235.8</v>
      </c>
      <c r="J312" s="95">
        <f t="shared" si="9"/>
        <v>282.95999999999998</v>
      </c>
      <c r="K312" s="93">
        <f>IFERROR(VLOOKUP(E312,'Inventaire des produits'!$B$4:$J$1000,5,FALSE),"")</f>
        <v>0</v>
      </c>
      <c r="L312" s="301">
        <f>IFERROR(VLOOKUP(E312,'Inventaire des produits'!$B$4:$J$1000,6,FALSE),"")</f>
        <v>2.9169999999999998</v>
      </c>
      <c r="M312" s="62">
        <v>3700</v>
      </c>
      <c r="N312" s="52" t="s">
        <v>473</v>
      </c>
    </row>
    <row r="313" spans="2:14" ht="15" customHeight="1" x14ac:dyDescent="0.3">
      <c r="B313" s="378" t="s">
        <v>1704</v>
      </c>
      <c r="C313" s="341"/>
      <c r="D313" s="338"/>
      <c r="E313" s="235" t="s">
        <v>212</v>
      </c>
      <c r="F313" s="271" t="str">
        <f>IFERROR(VLOOKUP(E313,'Inventaire des produits'!$B$4:$K$1000,2,0),"")</f>
        <v>GANT VINYL LARGE/100PCS</v>
      </c>
      <c r="G313" s="231">
        <v>20</v>
      </c>
      <c r="H313" s="77">
        <v>33.371499999999997</v>
      </c>
      <c r="I313" s="95">
        <f t="shared" si="8"/>
        <v>667.43</v>
      </c>
      <c r="J313" s="95">
        <f t="shared" si="9"/>
        <v>800.91599999999994</v>
      </c>
      <c r="K313" s="93">
        <f>IFERROR(VLOOKUP(E313,'Inventaire des produits'!$B$4:$J$1000,5,FALSE),"")</f>
        <v>0</v>
      </c>
      <c r="L313" s="301">
        <f>IFERROR(VLOOKUP(E313,'Inventaire des produits'!$B$4:$J$1000,6,FALSE),"")</f>
        <v>26.6</v>
      </c>
      <c r="M313" s="62"/>
    </row>
    <row r="314" spans="2:14" x14ac:dyDescent="0.3">
      <c r="B314" s="378" t="s">
        <v>1704</v>
      </c>
      <c r="C314" s="341"/>
      <c r="D314" s="338"/>
      <c r="E314" s="235" t="s">
        <v>345</v>
      </c>
      <c r="F314" s="271" t="str">
        <f>IFERROR(VLOOKUP(E314,'Inventaire des produits'!$B$4:$K$1000,2,0),"")</f>
        <v>POT DE SAUCE EN PLAST TRANSP 20ML</v>
      </c>
      <c r="G314" s="231">
        <v>1500</v>
      </c>
      <c r="H314" s="77">
        <v>9.0999999999999998E-2</v>
      </c>
      <c r="I314" s="95">
        <f t="shared" si="8"/>
        <v>136.5</v>
      </c>
      <c r="J314" s="95">
        <f t="shared" si="9"/>
        <v>163.79999999999998</v>
      </c>
      <c r="K314" s="93">
        <f>IFERROR(VLOOKUP(E314,'Inventaire des produits'!$B$4:$J$1000,5,FALSE),"")</f>
        <v>0</v>
      </c>
      <c r="L314" s="301">
        <f>IFERROR(VLOOKUP(E314,'Inventaire des produits'!$B$4:$J$1000,6,FALSE),"")</f>
        <v>8.3333333300000006E-2</v>
      </c>
      <c r="M314" s="62"/>
    </row>
    <row r="315" spans="2:14" x14ac:dyDescent="0.3">
      <c r="B315" s="378" t="s">
        <v>1704</v>
      </c>
      <c r="C315" s="341"/>
      <c r="D315" s="338"/>
      <c r="E315" s="235" t="s">
        <v>79</v>
      </c>
      <c r="F315" s="271" t="str">
        <f>IFERROR(VLOOKUP(E315,'Inventaire des produits'!$B$4:$K$1000,2,0),"")</f>
        <v>FILM PVC ETIRABLE 300*30 ECO</v>
      </c>
      <c r="G315" s="231">
        <v>19</v>
      </c>
      <c r="H315" s="77">
        <v>31</v>
      </c>
      <c r="I315" s="95">
        <f t="shared" si="8"/>
        <v>589</v>
      </c>
      <c r="J315" s="95">
        <f t="shared" si="9"/>
        <v>706.8</v>
      </c>
      <c r="K315" s="93">
        <f>IFERROR(VLOOKUP(E315,'Inventaire des produits'!$B$4:$J$1000,5,FALSE),"")</f>
        <v>0</v>
      </c>
      <c r="L315" s="301">
        <f>IFERROR(VLOOKUP(E315,'Inventaire des produits'!$B$4:$J$1000,6,FALSE),"")</f>
        <v>12.0275</v>
      </c>
      <c r="M315" s="62"/>
    </row>
    <row r="316" spans="2:14" x14ac:dyDescent="0.3">
      <c r="B316" s="378" t="s">
        <v>1704</v>
      </c>
      <c r="C316" s="342"/>
      <c r="D316" s="339"/>
      <c r="E316" s="235" t="s">
        <v>76</v>
      </c>
      <c r="F316" s="271" t="str">
        <f>IFERROR(VLOOKUP(E316,'Inventaire des produits'!$B$4:$K$1000,2,0),"")</f>
        <v>BOL SALADE EN CARTON NEUTRE AVEC CVL 750CC/1PCS</v>
      </c>
      <c r="G316" s="231">
        <v>700</v>
      </c>
      <c r="H316" s="77">
        <v>2.0779999999999998</v>
      </c>
      <c r="I316" s="95">
        <f t="shared" si="8"/>
        <v>1454.6</v>
      </c>
      <c r="J316" s="95">
        <f t="shared" si="9"/>
        <v>1745.5199999999998</v>
      </c>
      <c r="K316" s="93">
        <f>IFERROR(VLOOKUP(E316,'Inventaire des produits'!$B$4:$J$1000,5,FALSE),"")</f>
        <v>0</v>
      </c>
      <c r="L316" s="301">
        <f>IFERROR(VLOOKUP(E316,'Inventaire des produits'!$B$4:$J$1000,6,FALSE),"")</f>
        <v>1.85</v>
      </c>
      <c r="M316" s="62"/>
    </row>
    <row r="317" spans="2:14" x14ac:dyDescent="0.3">
      <c r="B317" s="378" t="s">
        <v>1704</v>
      </c>
      <c r="C317" s="340">
        <v>45362</v>
      </c>
      <c r="D317" s="337" t="s">
        <v>579</v>
      </c>
      <c r="E317" s="235" t="s">
        <v>542</v>
      </c>
      <c r="F317" s="271" t="str">
        <f>IFERROR(VLOOKUP(E317,'Inventaire des produits'!$B$4:$K$1000,2,0),"")</f>
        <v>BARQUETTE ALUMINIUM 250</v>
      </c>
      <c r="G317" s="249">
        <v>1150</v>
      </c>
      <c r="H317" s="83">
        <v>0.37140000000000001</v>
      </c>
      <c r="I317" s="95">
        <f t="shared" si="8"/>
        <v>427.11</v>
      </c>
      <c r="J317" s="95">
        <f t="shared" si="9"/>
        <v>512.53200000000004</v>
      </c>
      <c r="K317" s="93">
        <f>IFERROR(VLOOKUP(E317,'Inventaire des produits'!$B$4:$J$1000,5,FALSE),"")</f>
        <v>0</v>
      </c>
      <c r="L317" s="301">
        <f>IFERROR(VLOOKUP(E317,'Inventaire des produits'!$B$4:$J$1000,6,FALSE),"")</f>
        <v>0.20338000000000001</v>
      </c>
      <c r="M317" s="62">
        <v>12663.87</v>
      </c>
    </row>
    <row r="318" spans="2:14" x14ac:dyDescent="0.3">
      <c r="B318" s="378" t="s">
        <v>1704</v>
      </c>
      <c r="C318" s="341"/>
      <c r="D318" s="338"/>
      <c r="E318" s="235" t="s">
        <v>180</v>
      </c>
      <c r="F318" s="271" t="str">
        <f>IFERROR(VLOOKUP(E318,'Inventaire des produits'!$B$4:$K$1000,2,0),"")</f>
        <v>ESSUIE MAIN PROF</v>
      </c>
      <c r="G318" s="250">
        <v>17</v>
      </c>
      <c r="H318" s="84">
        <v>28.338899999999999</v>
      </c>
      <c r="I318" s="95">
        <f t="shared" si="8"/>
        <v>481.76130000000001</v>
      </c>
      <c r="J318" s="95">
        <f t="shared" si="9"/>
        <v>578.11356000000001</v>
      </c>
      <c r="K318" s="93">
        <f>IFERROR(VLOOKUP(E318,'Inventaire des produits'!$B$4:$J$1000,5,FALSE),"")</f>
        <v>0</v>
      </c>
      <c r="L318" s="301">
        <f>IFERROR(VLOOKUP(E318,'Inventaire des produits'!$B$4:$J$1000,6,FALSE),"")</f>
        <v>22.5</v>
      </c>
      <c r="M318" s="62"/>
    </row>
    <row r="319" spans="2:14" x14ac:dyDescent="0.3">
      <c r="B319" s="378" t="s">
        <v>1704</v>
      </c>
      <c r="C319" s="341"/>
      <c r="D319" s="338"/>
      <c r="E319" s="235" t="s">
        <v>256</v>
      </c>
      <c r="F319" s="271" t="str">
        <f>IFERROR(VLOOKUP(E319,'Inventaire des produits'!$B$4:$K$1000,2,0),"")</f>
        <v>FILM ALIMENTAIRE VIOLET</v>
      </c>
      <c r="G319" s="250">
        <v>30</v>
      </c>
      <c r="H319" s="84">
        <v>28.332999999999998</v>
      </c>
      <c r="I319" s="95">
        <f t="shared" si="8"/>
        <v>849.99</v>
      </c>
      <c r="J319" s="95">
        <f t="shared" si="9"/>
        <v>1019.9879999999999</v>
      </c>
      <c r="K319" s="93">
        <f>IFERROR(VLOOKUP(E319,'Inventaire des produits'!$B$4:$J$1000,5,FALSE),"")</f>
        <v>0</v>
      </c>
      <c r="L319" s="301">
        <f>IFERROR(VLOOKUP(E319,'Inventaire des produits'!$B$4:$J$1000,6,FALSE),"")</f>
        <v>28.333333333300001</v>
      </c>
      <c r="M319" s="62"/>
    </row>
    <row r="320" spans="2:14" x14ac:dyDescent="0.3">
      <c r="B320" s="378" t="s">
        <v>1704</v>
      </c>
      <c r="C320" s="341"/>
      <c r="D320" s="338"/>
      <c r="E320" s="235" t="s">
        <v>414</v>
      </c>
      <c r="F320" s="271" t="str">
        <f>IFERROR(VLOOKUP(E320,'Inventaire des produits'!$B$4:$K$1000,2,0),"")</f>
        <v>GANT VINYL NOIR EXTRA PREMIUM GLOVE LARGE</v>
      </c>
      <c r="G320" s="250">
        <v>29</v>
      </c>
      <c r="H320" s="84">
        <v>33.3333333</v>
      </c>
      <c r="I320" s="95">
        <f t="shared" si="8"/>
        <v>966.66666569999995</v>
      </c>
      <c r="J320" s="95">
        <f t="shared" si="9"/>
        <v>1159.99999884</v>
      </c>
      <c r="K320" s="93">
        <f>IFERROR(VLOOKUP(E320,'Inventaire des produits'!$B$4:$J$1000,5,FALSE),"")</f>
        <v>0</v>
      </c>
      <c r="L320" s="301">
        <f>IFERROR(VLOOKUP(E320,'Inventaire des produits'!$B$4:$J$1000,6,FALSE),"")</f>
        <v>20.833333333300001</v>
      </c>
      <c r="M320" s="62"/>
    </row>
    <row r="321" spans="2:13" x14ac:dyDescent="0.3">
      <c r="B321" s="378" t="s">
        <v>1704</v>
      </c>
      <c r="C321" s="341"/>
      <c r="D321" s="338"/>
      <c r="E321" s="235" t="s">
        <v>405</v>
      </c>
      <c r="F321" s="271" t="str">
        <f>IFERROR(VLOOKUP(E321,'Inventaire des produits'!$B$4:$K$1000,2,0),"")</f>
        <v>POT DE SAUCE 1OZ 30ML HP</v>
      </c>
      <c r="G321" s="250">
        <v>40125</v>
      </c>
      <c r="H321" s="84">
        <v>0.158</v>
      </c>
      <c r="I321" s="95">
        <f t="shared" si="8"/>
        <v>6339.75</v>
      </c>
      <c r="J321" s="95">
        <f t="shared" si="9"/>
        <v>7607.7</v>
      </c>
      <c r="K321" s="93">
        <f>IFERROR(VLOOKUP(E321,'Inventaire des produits'!$B$4:$J$1000,5,FALSE),"")</f>
        <v>0</v>
      </c>
      <c r="L321" s="301">
        <f>IFERROR(VLOOKUP(E321,'Inventaire des produits'!$B$4:$J$1000,6,FALSE),"")</f>
        <v>0.14019999999999999</v>
      </c>
      <c r="M321" s="62"/>
    </row>
    <row r="322" spans="2:13" x14ac:dyDescent="0.3">
      <c r="B322" s="378" t="s">
        <v>1704</v>
      </c>
      <c r="C322" s="341"/>
      <c r="D322" s="338"/>
      <c r="E322" s="235" t="s">
        <v>418</v>
      </c>
      <c r="F322" s="271" t="str">
        <f>IFERROR(VLOOKUP(E322,'Inventaire des produits'!$B$4:$K$1000,2,0),"")</f>
        <v>ROULEAU DE CAISSE THERMIQUE 70X80</v>
      </c>
      <c r="G322" s="250">
        <v>86</v>
      </c>
      <c r="H322" s="84">
        <v>10.833</v>
      </c>
      <c r="I322" s="95">
        <f t="shared" si="8"/>
        <v>931.63800000000003</v>
      </c>
      <c r="J322" s="95">
        <f t="shared" si="9"/>
        <v>1117.9656</v>
      </c>
      <c r="K322" s="93">
        <f>IFERROR(VLOOKUP(E322,'Inventaire des produits'!$B$4:$J$1000,5,FALSE),"")</f>
        <v>0</v>
      </c>
      <c r="L322" s="301">
        <f>IFERROR(VLOOKUP(E322,'Inventaire des produits'!$B$4:$J$1000,6,FALSE),"")</f>
        <v>8</v>
      </c>
      <c r="M322" s="62"/>
    </row>
    <row r="323" spans="2:13" x14ac:dyDescent="0.3">
      <c r="B323" s="378" t="s">
        <v>1704</v>
      </c>
      <c r="C323" s="341"/>
      <c r="D323" s="338"/>
      <c r="E323" s="235" t="s">
        <v>232</v>
      </c>
      <c r="F323" s="271" t="str">
        <f>IFERROR(VLOOKUP(E323,'Inventaire des produits'!$B$4:$K$1000,2,0),"")</f>
        <v>CUILLERE ECOLUXE TRANSPARENT</v>
      </c>
      <c r="G323" s="250">
        <v>1</v>
      </c>
      <c r="H323" s="84">
        <v>19.166</v>
      </c>
      <c r="I323" s="95">
        <f t="shared" si="8"/>
        <v>19.166</v>
      </c>
      <c r="J323" s="95">
        <f t="shared" si="9"/>
        <v>22.999199999999998</v>
      </c>
      <c r="K323" s="93">
        <f>IFERROR(VLOOKUP(E323,'Inventaire des produits'!$B$4:$J$1000,5,FALSE),"")</f>
        <v>0</v>
      </c>
      <c r="L323" s="301">
        <f>IFERROR(VLOOKUP(E323,'Inventaire des produits'!$B$4:$J$1000,6,FALSE),"")</f>
        <v>17.5</v>
      </c>
      <c r="M323" s="62"/>
    </row>
    <row r="324" spans="2:13" x14ac:dyDescent="0.3">
      <c r="B324" s="378" t="s">
        <v>1704</v>
      </c>
      <c r="C324" s="341"/>
      <c r="D324" s="338"/>
      <c r="E324" s="235" t="s">
        <v>250</v>
      </c>
      <c r="F324" s="271" t="str">
        <f>IFERROR(VLOOKUP(E324,'Inventaire des produits'!$B$4:$K$1000,2,0),"")</f>
        <v>FOURCHETTE ECOLUXE</v>
      </c>
      <c r="G324" s="250">
        <v>10</v>
      </c>
      <c r="H324" s="84">
        <v>19.166</v>
      </c>
      <c r="I324" s="95">
        <f t="shared" si="8"/>
        <v>191.66</v>
      </c>
      <c r="J324" s="95">
        <f t="shared" si="9"/>
        <v>229.99199999999999</v>
      </c>
      <c r="K324" s="93">
        <f>IFERROR(VLOOKUP(E324,'Inventaire des produits'!$B$4:$J$1000,5,FALSE),"")</f>
        <v>0</v>
      </c>
      <c r="L324" s="301">
        <f>IFERROR(VLOOKUP(E324,'Inventaire des produits'!$B$4:$J$1000,6,FALSE),"")</f>
        <v>15.84</v>
      </c>
      <c r="M324" s="62"/>
    </row>
    <row r="325" spans="2:13" x14ac:dyDescent="0.3">
      <c r="B325" s="378" t="s">
        <v>1704</v>
      </c>
      <c r="C325" s="341"/>
      <c r="D325" s="338"/>
      <c r="E325" s="235" t="s">
        <v>537</v>
      </c>
      <c r="F325" s="271" t="str">
        <f>IFERROR(VLOOKUP(E325,'Inventaire des produits'!$B$4:$K$1000,2,0),"")</f>
        <v>PAILLE ENVELOPPE 6MM CODE 100 TRANS</v>
      </c>
      <c r="G325" s="250">
        <v>12</v>
      </c>
      <c r="H325" s="84">
        <v>6.6470000000000002</v>
      </c>
      <c r="I325" s="95">
        <f t="shared" ref="I325:I388" si="10">IF(OR(G325="",H325=""),"",G325*H325)</f>
        <v>79.76400000000001</v>
      </c>
      <c r="J325" s="95">
        <f t="shared" ref="J325:J388" si="11">IF(OR(I325=""),"",I325*1.2)</f>
        <v>95.716800000000006</v>
      </c>
      <c r="K325" s="93">
        <f>IFERROR(VLOOKUP(E325,'Inventaire des produits'!$B$4:$J$1000,5,FALSE),"")</f>
        <v>0</v>
      </c>
      <c r="L325" s="301">
        <f>IFERROR(VLOOKUP(E325,'Inventaire des produits'!$B$4:$J$1000,6,FALSE),"")</f>
        <v>4.5</v>
      </c>
      <c r="M325" s="62"/>
    </row>
    <row r="326" spans="2:13" x14ac:dyDescent="0.3">
      <c r="B326" s="378" t="s">
        <v>1704</v>
      </c>
      <c r="C326" s="341"/>
      <c r="D326" s="338"/>
      <c r="E326" s="235" t="s">
        <v>209</v>
      </c>
      <c r="F326" s="271" t="str">
        <f>IFERROR(VLOOKUP(E326,'Inventaire des produits'!$B$4:$K$1000,2,0),"")</f>
        <v xml:space="preserve">GOBLET 12OZ EN PLAST TRANS SMART+CV </v>
      </c>
      <c r="G326" s="250">
        <v>112</v>
      </c>
      <c r="H326" s="84">
        <v>0.624</v>
      </c>
      <c r="I326" s="95">
        <f t="shared" si="10"/>
        <v>69.888000000000005</v>
      </c>
      <c r="J326" s="95">
        <f t="shared" si="11"/>
        <v>83.865600000000001</v>
      </c>
      <c r="K326" s="93">
        <f>IFERROR(VLOOKUP(E326,'Inventaire des produits'!$B$4:$J$1000,5,FALSE),"")</f>
        <v>0</v>
      </c>
      <c r="L326" s="301">
        <f>IFERROR(VLOOKUP(E326,'Inventaire des produits'!$B$4:$J$1000,6,FALSE),"")</f>
        <v>0.416875</v>
      </c>
      <c r="M326" s="62"/>
    </row>
    <row r="327" spans="2:13" x14ac:dyDescent="0.3">
      <c r="B327" s="378" t="s">
        <v>1704</v>
      </c>
      <c r="C327" s="341"/>
      <c r="D327" s="338"/>
      <c r="E327" s="235" t="s">
        <v>259</v>
      </c>
      <c r="F327" s="271" t="str">
        <f>IFERROR(VLOOKUP(E327,'Inventaire des produits'!$B$4:$K$1000,2,0),"")</f>
        <v>ROULEAU ALUMINIUM GOLDEN 200M</v>
      </c>
      <c r="G327" s="250">
        <v>1</v>
      </c>
      <c r="H327" s="84">
        <v>70.832999999999998</v>
      </c>
      <c r="I327" s="95">
        <f t="shared" si="10"/>
        <v>70.832999999999998</v>
      </c>
      <c r="J327" s="95">
        <f t="shared" si="11"/>
        <v>84.999600000000001</v>
      </c>
      <c r="K327" s="93">
        <f>IFERROR(VLOOKUP(E327,'Inventaire des produits'!$B$4:$J$1000,5,FALSE),"")</f>
        <v>0</v>
      </c>
      <c r="L327" s="301">
        <f>IFERROR(VLOOKUP(E327,'Inventaire des produits'!$B$4:$J$1000,6,FALSE),"")</f>
        <v>58.333333333299997</v>
      </c>
      <c r="M327" s="62"/>
    </row>
    <row r="328" spans="2:13" x14ac:dyDescent="0.3">
      <c r="B328" s="378" t="s">
        <v>1704</v>
      </c>
      <c r="C328" s="342"/>
      <c r="D328" s="339"/>
      <c r="E328" s="235" t="s">
        <v>239</v>
      </c>
      <c r="F328" s="271" t="str">
        <f>IFERROR(VLOOKUP(E328,'Inventaire des produits'!$B$4:$K$1000,2,0),"")</f>
        <v>GANT POLYETHLENE</v>
      </c>
      <c r="G328" s="250">
        <v>25</v>
      </c>
      <c r="H328" s="77">
        <v>5</v>
      </c>
      <c r="I328" s="95">
        <f t="shared" si="10"/>
        <v>125</v>
      </c>
      <c r="J328" s="95">
        <f t="shared" si="11"/>
        <v>150</v>
      </c>
      <c r="K328" s="93">
        <f>IFERROR(VLOOKUP(E328,'Inventaire des produits'!$B$4:$J$1000,5,FALSE),"")</f>
        <v>0</v>
      </c>
      <c r="L328" s="301">
        <f>IFERROR(VLOOKUP(E328,'Inventaire des produits'!$B$4:$J$1000,6,FALSE),"")</f>
        <v>3.5</v>
      </c>
      <c r="M328" s="62"/>
    </row>
    <row r="329" spans="2:13" x14ac:dyDescent="0.3">
      <c r="B329" s="378" t="s">
        <v>1704</v>
      </c>
      <c r="C329" s="340">
        <v>45362</v>
      </c>
      <c r="D329" s="337" t="s">
        <v>580</v>
      </c>
      <c r="E329" s="235" t="s">
        <v>542</v>
      </c>
      <c r="F329" s="271" t="str">
        <f>IFERROR(VLOOKUP(E329,'Inventaire des produits'!$B$4:$K$1000,2,0),"")</f>
        <v>BARQUETTE ALUMINIUM 250</v>
      </c>
      <c r="G329" s="249">
        <v>1150</v>
      </c>
      <c r="H329" s="83">
        <v>0.37140000000000001</v>
      </c>
      <c r="I329" s="95">
        <f t="shared" si="10"/>
        <v>427.11</v>
      </c>
      <c r="J329" s="95">
        <f t="shared" si="11"/>
        <v>512.53200000000004</v>
      </c>
      <c r="K329" s="93">
        <f>IFERROR(VLOOKUP(E329,'Inventaire des produits'!$B$4:$J$1000,5,FALSE),"")</f>
        <v>0</v>
      </c>
      <c r="L329" s="301">
        <f>IFERROR(VLOOKUP(E329,'Inventaire des produits'!$B$4:$J$1000,6,FALSE),"")</f>
        <v>0.20338000000000001</v>
      </c>
      <c r="M329" s="62">
        <v>12664.05</v>
      </c>
    </row>
    <row r="330" spans="2:13" ht="15" customHeight="1" x14ac:dyDescent="0.3">
      <c r="B330" s="378" t="s">
        <v>1704</v>
      </c>
      <c r="C330" s="341"/>
      <c r="D330" s="338"/>
      <c r="E330" s="235" t="s">
        <v>180</v>
      </c>
      <c r="F330" s="271" t="str">
        <f>IFERROR(VLOOKUP(E330,'Inventaire des produits'!$B$4:$K$1000,2,0),"")</f>
        <v>ESSUIE MAIN PROF</v>
      </c>
      <c r="G330" s="250">
        <v>17</v>
      </c>
      <c r="H330" s="84">
        <v>28.338899999999999</v>
      </c>
      <c r="I330" s="95">
        <f t="shared" si="10"/>
        <v>481.76130000000001</v>
      </c>
      <c r="J330" s="95">
        <f t="shared" si="11"/>
        <v>578.11356000000001</v>
      </c>
      <c r="K330" s="93">
        <f>IFERROR(VLOOKUP(E330,'Inventaire des produits'!$B$4:$J$1000,5,FALSE),"")</f>
        <v>0</v>
      </c>
      <c r="L330" s="301">
        <f>IFERROR(VLOOKUP(E330,'Inventaire des produits'!$B$4:$J$1000,6,FALSE),"")</f>
        <v>22.5</v>
      </c>
      <c r="M330" s="62"/>
    </row>
    <row r="331" spans="2:13" x14ac:dyDescent="0.3">
      <c r="B331" s="378" t="s">
        <v>1704</v>
      </c>
      <c r="C331" s="341"/>
      <c r="D331" s="338"/>
      <c r="E331" s="235" t="s">
        <v>256</v>
      </c>
      <c r="F331" s="271" t="str">
        <f>IFERROR(VLOOKUP(E331,'Inventaire des produits'!$B$4:$K$1000,2,0),"")</f>
        <v>FILM ALIMENTAIRE VIOLET</v>
      </c>
      <c r="G331" s="250">
        <v>30</v>
      </c>
      <c r="H331" s="84">
        <v>28.332999999999998</v>
      </c>
      <c r="I331" s="95">
        <f t="shared" si="10"/>
        <v>849.99</v>
      </c>
      <c r="J331" s="95">
        <f t="shared" si="11"/>
        <v>1019.9879999999999</v>
      </c>
      <c r="K331" s="93">
        <f>IFERROR(VLOOKUP(E331,'Inventaire des produits'!$B$4:$J$1000,5,FALSE),"")</f>
        <v>0</v>
      </c>
      <c r="L331" s="301">
        <f>IFERROR(VLOOKUP(E331,'Inventaire des produits'!$B$4:$J$1000,6,FALSE),"")</f>
        <v>28.333333333300001</v>
      </c>
      <c r="M331" s="62"/>
    </row>
    <row r="332" spans="2:13" x14ac:dyDescent="0.3">
      <c r="B332" s="378" t="s">
        <v>1704</v>
      </c>
      <c r="C332" s="341"/>
      <c r="D332" s="338"/>
      <c r="E332" s="235" t="s">
        <v>414</v>
      </c>
      <c r="F332" s="271" t="str">
        <f>IFERROR(VLOOKUP(E332,'Inventaire des produits'!$B$4:$K$1000,2,0),"")</f>
        <v>GANT VINYL NOIR EXTRA PREMIUM GLOVE LARGE</v>
      </c>
      <c r="G332" s="250">
        <v>29</v>
      </c>
      <c r="H332" s="84">
        <v>33.3333333</v>
      </c>
      <c r="I332" s="95">
        <f t="shared" si="10"/>
        <v>966.66666569999995</v>
      </c>
      <c r="J332" s="95">
        <f t="shared" si="11"/>
        <v>1159.99999884</v>
      </c>
      <c r="K332" s="93">
        <f>IFERROR(VLOOKUP(E332,'Inventaire des produits'!$B$4:$J$1000,5,FALSE),"")</f>
        <v>0</v>
      </c>
      <c r="L332" s="301">
        <f>IFERROR(VLOOKUP(E332,'Inventaire des produits'!$B$4:$J$1000,6,FALSE),"")</f>
        <v>20.833333333300001</v>
      </c>
      <c r="M332" s="62"/>
    </row>
    <row r="333" spans="2:13" x14ac:dyDescent="0.3">
      <c r="B333" s="378" t="s">
        <v>1704</v>
      </c>
      <c r="C333" s="341"/>
      <c r="D333" s="338"/>
      <c r="E333" s="235" t="s">
        <v>405</v>
      </c>
      <c r="F333" s="271" t="str">
        <f>IFERROR(VLOOKUP(E333,'Inventaire des produits'!$B$4:$K$1000,2,0),"")</f>
        <v>POT DE SAUCE 1OZ 30ML HP</v>
      </c>
      <c r="G333" s="250">
        <v>40125</v>
      </c>
      <c r="H333" s="84">
        <v>0.15800359999999999</v>
      </c>
      <c r="I333" s="95">
        <f t="shared" si="10"/>
        <v>6339.8944499999998</v>
      </c>
      <c r="J333" s="95">
        <f t="shared" si="11"/>
        <v>7607.8733399999992</v>
      </c>
      <c r="K333" s="93">
        <f>IFERROR(VLOOKUP(E333,'Inventaire des produits'!$B$4:$J$1000,5,FALSE),"")</f>
        <v>0</v>
      </c>
      <c r="L333" s="301">
        <f>IFERROR(VLOOKUP(E333,'Inventaire des produits'!$B$4:$J$1000,6,FALSE),"")</f>
        <v>0.14019999999999999</v>
      </c>
      <c r="M333" s="62"/>
    </row>
    <row r="334" spans="2:13" x14ac:dyDescent="0.3">
      <c r="B334" s="378" t="s">
        <v>1704</v>
      </c>
      <c r="C334" s="341"/>
      <c r="D334" s="338"/>
      <c r="E334" s="235" t="s">
        <v>418</v>
      </c>
      <c r="F334" s="271" t="str">
        <f>IFERROR(VLOOKUP(E334,'Inventaire des produits'!$B$4:$K$1000,2,0),"")</f>
        <v>ROULEAU DE CAISSE THERMIQUE 70X80</v>
      </c>
      <c r="G334" s="250">
        <v>86</v>
      </c>
      <c r="H334" s="84">
        <v>10.833</v>
      </c>
      <c r="I334" s="95">
        <f t="shared" si="10"/>
        <v>931.63800000000003</v>
      </c>
      <c r="J334" s="95">
        <f t="shared" si="11"/>
        <v>1117.9656</v>
      </c>
      <c r="K334" s="93">
        <f>IFERROR(VLOOKUP(E334,'Inventaire des produits'!$B$4:$J$1000,5,FALSE),"")</f>
        <v>0</v>
      </c>
      <c r="L334" s="301">
        <f>IFERROR(VLOOKUP(E334,'Inventaire des produits'!$B$4:$J$1000,6,FALSE),"")</f>
        <v>8</v>
      </c>
      <c r="M334" s="62"/>
    </row>
    <row r="335" spans="2:13" x14ac:dyDescent="0.3">
      <c r="B335" s="378" t="s">
        <v>1704</v>
      </c>
      <c r="C335" s="341"/>
      <c r="D335" s="338"/>
      <c r="E335" s="235" t="s">
        <v>232</v>
      </c>
      <c r="F335" s="271" t="str">
        <f>IFERROR(VLOOKUP(E335,'Inventaire des produits'!$B$4:$K$1000,2,0),"")</f>
        <v>CUILLERE ECOLUXE TRANSPARENT</v>
      </c>
      <c r="G335" s="250">
        <v>1</v>
      </c>
      <c r="H335" s="84">
        <v>19.166</v>
      </c>
      <c r="I335" s="95">
        <f t="shared" si="10"/>
        <v>19.166</v>
      </c>
      <c r="J335" s="95">
        <f t="shared" si="11"/>
        <v>22.999199999999998</v>
      </c>
      <c r="K335" s="93">
        <f>IFERROR(VLOOKUP(E335,'Inventaire des produits'!$B$4:$J$1000,5,FALSE),"")</f>
        <v>0</v>
      </c>
      <c r="L335" s="301">
        <f>IFERROR(VLOOKUP(E335,'Inventaire des produits'!$B$4:$J$1000,6,FALSE),"")</f>
        <v>17.5</v>
      </c>
      <c r="M335" s="62"/>
    </row>
    <row r="336" spans="2:13" x14ac:dyDescent="0.3">
      <c r="B336" s="378" t="s">
        <v>1704</v>
      </c>
      <c r="C336" s="341"/>
      <c r="D336" s="338"/>
      <c r="E336" s="235" t="s">
        <v>250</v>
      </c>
      <c r="F336" s="271" t="str">
        <f>IFERROR(VLOOKUP(E336,'Inventaire des produits'!$B$4:$K$1000,2,0),"")</f>
        <v>FOURCHETTE ECOLUXE</v>
      </c>
      <c r="G336" s="250">
        <v>10</v>
      </c>
      <c r="H336" s="84">
        <v>19.166</v>
      </c>
      <c r="I336" s="95">
        <f t="shared" si="10"/>
        <v>191.66</v>
      </c>
      <c r="J336" s="95">
        <f t="shared" si="11"/>
        <v>229.99199999999999</v>
      </c>
      <c r="K336" s="93">
        <f>IFERROR(VLOOKUP(E336,'Inventaire des produits'!$B$4:$J$1000,5,FALSE),"")</f>
        <v>0</v>
      </c>
      <c r="L336" s="301">
        <f>IFERROR(VLOOKUP(E336,'Inventaire des produits'!$B$4:$J$1000,6,FALSE),"")</f>
        <v>15.84</v>
      </c>
      <c r="M336" s="62"/>
    </row>
    <row r="337" spans="2:14" x14ac:dyDescent="0.3">
      <c r="B337" s="378" t="s">
        <v>1704</v>
      </c>
      <c r="C337" s="341"/>
      <c r="D337" s="338"/>
      <c r="E337" s="235" t="s">
        <v>537</v>
      </c>
      <c r="F337" s="271" t="str">
        <f>IFERROR(VLOOKUP(E337,'Inventaire des produits'!$B$4:$K$1000,2,0),"")</f>
        <v>PAILLE ENVELOPPE 6MM CODE 100 TRANS</v>
      </c>
      <c r="G337" s="250">
        <v>12</v>
      </c>
      <c r="H337" s="84">
        <v>6.6470000000000002</v>
      </c>
      <c r="I337" s="95">
        <f t="shared" si="10"/>
        <v>79.76400000000001</v>
      </c>
      <c r="J337" s="95">
        <f t="shared" si="11"/>
        <v>95.716800000000006</v>
      </c>
      <c r="K337" s="93">
        <f>IFERROR(VLOOKUP(E337,'Inventaire des produits'!$B$4:$J$1000,5,FALSE),"")</f>
        <v>0</v>
      </c>
      <c r="L337" s="301">
        <f>IFERROR(VLOOKUP(E337,'Inventaire des produits'!$B$4:$J$1000,6,FALSE),"")</f>
        <v>4.5</v>
      </c>
      <c r="M337" s="62"/>
    </row>
    <row r="338" spans="2:14" x14ac:dyDescent="0.3">
      <c r="B338" s="378" t="s">
        <v>1704</v>
      </c>
      <c r="C338" s="341"/>
      <c r="D338" s="338"/>
      <c r="E338" s="235" t="s">
        <v>209</v>
      </c>
      <c r="F338" s="271" t="str">
        <f>IFERROR(VLOOKUP(E338,'Inventaire des produits'!$B$4:$K$1000,2,0),"")</f>
        <v xml:space="preserve">GOBLET 12OZ EN PLAST TRANS SMART+CV </v>
      </c>
      <c r="G338" s="250">
        <v>112</v>
      </c>
      <c r="H338" s="84">
        <v>0.624</v>
      </c>
      <c r="I338" s="95">
        <f t="shared" si="10"/>
        <v>69.888000000000005</v>
      </c>
      <c r="J338" s="95">
        <f t="shared" si="11"/>
        <v>83.865600000000001</v>
      </c>
      <c r="K338" s="93">
        <f>IFERROR(VLOOKUP(E338,'Inventaire des produits'!$B$4:$J$1000,5,FALSE),"")</f>
        <v>0</v>
      </c>
      <c r="L338" s="301">
        <f>IFERROR(VLOOKUP(E338,'Inventaire des produits'!$B$4:$J$1000,6,FALSE),"")</f>
        <v>0.416875</v>
      </c>
      <c r="M338" s="62"/>
    </row>
    <row r="339" spans="2:14" x14ac:dyDescent="0.3">
      <c r="B339" s="378" t="s">
        <v>1704</v>
      </c>
      <c r="C339" s="341"/>
      <c r="D339" s="338"/>
      <c r="E339" s="235" t="s">
        <v>259</v>
      </c>
      <c r="F339" s="271" t="str">
        <f>IFERROR(VLOOKUP(E339,'Inventaire des produits'!$B$4:$K$1000,2,0),"")</f>
        <v>ROULEAU ALUMINIUM GOLDEN 200M</v>
      </c>
      <c r="G339" s="250">
        <v>1</v>
      </c>
      <c r="H339" s="84">
        <v>70.832999999999998</v>
      </c>
      <c r="I339" s="95">
        <f t="shared" si="10"/>
        <v>70.832999999999998</v>
      </c>
      <c r="J339" s="95">
        <f t="shared" si="11"/>
        <v>84.999600000000001</v>
      </c>
      <c r="K339" s="93">
        <f>IFERROR(VLOOKUP(E339,'Inventaire des produits'!$B$4:$J$1000,5,FALSE),"")</f>
        <v>0</v>
      </c>
      <c r="L339" s="301">
        <f>IFERROR(VLOOKUP(E339,'Inventaire des produits'!$B$4:$J$1000,6,FALSE),"")</f>
        <v>58.333333333299997</v>
      </c>
      <c r="M339" s="62"/>
    </row>
    <row r="340" spans="2:14" x14ac:dyDescent="0.3">
      <c r="B340" s="378" t="s">
        <v>1704</v>
      </c>
      <c r="C340" s="342"/>
      <c r="D340" s="339"/>
      <c r="E340" s="235" t="s">
        <v>239</v>
      </c>
      <c r="F340" s="271" t="str">
        <f>IFERROR(VLOOKUP(E340,'Inventaire des produits'!$B$4:$K$1000,2,0),"")</f>
        <v>GANT POLYETHLENE</v>
      </c>
      <c r="G340" s="250">
        <v>25</v>
      </c>
      <c r="H340" s="77">
        <v>5</v>
      </c>
      <c r="I340" s="95">
        <f t="shared" si="10"/>
        <v>125</v>
      </c>
      <c r="J340" s="95">
        <f t="shared" si="11"/>
        <v>150</v>
      </c>
      <c r="K340" s="93">
        <f>IFERROR(VLOOKUP(E340,'Inventaire des produits'!$B$4:$J$1000,5,FALSE),"")</f>
        <v>0</v>
      </c>
      <c r="L340" s="301">
        <f>IFERROR(VLOOKUP(E340,'Inventaire des produits'!$B$4:$J$1000,6,FALSE),"")</f>
        <v>3.5</v>
      </c>
      <c r="M340" s="62"/>
    </row>
    <row r="341" spans="2:14" x14ac:dyDescent="0.3">
      <c r="B341" s="378" t="s">
        <v>1704</v>
      </c>
      <c r="C341" s="340">
        <v>45362</v>
      </c>
      <c r="D341" s="337" t="s">
        <v>581</v>
      </c>
      <c r="E341" s="235" t="s">
        <v>180</v>
      </c>
      <c r="F341" s="271" t="str">
        <f>IFERROR(VLOOKUP(E341,'Inventaire des produits'!$B$4:$K$1000,2,0),"")</f>
        <v>ESSUIE MAIN PROF</v>
      </c>
      <c r="G341" s="249">
        <v>4</v>
      </c>
      <c r="H341" s="76">
        <v>28.333333333300001</v>
      </c>
      <c r="I341" s="95">
        <f t="shared" si="10"/>
        <v>113.3333333332</v>
      </c>
      <c r="J341" s="95">
        <f t="shared" si="11"/>
        <v>135.99999999983999</v>
      </c>
      <c r="K341" s="93">
        <f>IFERROR(VLOOKUP(E341,'Inventaire des produits'!$B$4:$J$1000,5,FALSE),"")</f>
        <v>0</v>
      </c>
      <c r="L341" s="301">
        <f>IFERROR(VLOOKUP(E341,'Inventaire des produits'!$B$4:$J$1000,6,FALSE),"")</f>
        <v>22.5</v>
      </c>
      <c r="M341" s="62">
        <v>1576</v>
      </c>
    </row>
    <row r="342" spans="2:14" x14ac:dyDescent="0.3">
      <c r="B342" s="378" t="s">
        <v>1704</v>
      </c>
      <c r="C342" s="341"/>
      <c r="D342" s="338"/>
      <c r="E342" s="235" t="s">
        <v>256</v>
      </c>
      <c r="F342" s="271" t="str">
        <f>IFERROR(VLOOKUP(E342,'Inventaire des produits'!$B$4:$K$1000,2,0),"")</f>
        <v>FILM ALIMENTAIRE VIOLET</v>
      </c>
      <c r="G342" s="250">
        <v>30</v>
      </c>
      <c r="H342" s="77">
        <v>28.333333333300001</v>
      </c>
      <c r="I342" s="95">
        <f t="shared" si="10"/>
        <v>849.99999999900001</v>
      </c>
      <c r="J342" s="95">
        <f t="shared" si="11"/>
        <v>1019.9999999987999</v>
      </c>
      <c r="K342" s="93">
        <f>IFERROR(VLOOKUP(E342,'Inventaire des produits'!$B$4:$J$1000,5,FALSE),"")</f>
        <v>0</v>
      </c>
      <c r="L342" s="301">
        <f>IFERROR(VLOOKUP(E342,'Inventaire des produits'!$B$4:$J$1000,6,FALSE),"")</f>
        <v>28.333333333300001</v>
      </c>
      <c r="M342" s="62"/>
    </row>
    <row r="343" spans="2:14" x14ac:dyDescent="0.3">
      <c r="B343" s="378" t="s">
        <v>1704</v>
      </c>
      <c r="C343" s="341"/>
      <c r="D343" s="338"/>
      <c r="E343" s="235" t="s">
        <v>56</v>
      </c>
      <c r="F343" s="271" t="str">
        <f>IFERROR(VLOOKUP(E343,'Inventaire des produits'!$B$4:$K$1000,2,0),"")</f>
        <v>GANT VINYL EXTRA PREMIUM GLOVE LARGE</v>
      </c>
      <c r="G343" s="250">
        <v>6</v>
      </c>
      <c r="H343" s="77">
        <v>33.333333000000003</v>
      </c>
      <c r="I343" s="95">
        <f t="shared" si="10"/>
        <v>199.99999800000001</v>
      </c>
      <c r="J343" s="95">
        <f t="shared" si="11"/>
        <v>239.9999976</v>
      </c>
      <c r="K343" s="93">
        <f>IFERROR(VLOOKUP(E343,'Inventaire des produits'!$B$4:$J$1000,5,FALSE),"")</f>
        <v>0</v>
      </c>
      <c r="L343" s="301">
        <f>IFERROR(VLOOKUP(E343,'Inventaire des produits'!$B$4:$J$1000,6,FALSE),"")</f>
        <v>24.74</v>
      </c>
      <c r="M343" s="62"/>
    </row>
    <row r="344" spans="2:14" x14ac:dyDescent="0.3">
      <c r="B344" s="378" t="s">
        <v>1704</v>
      </c>
      <c r="C344" s="342"/>
      <c r="D344" s="339"/>
      <c r="E344" s="235" t="s">
        <v>239</v>
      </c>
      <c r="F344" s="271" t="str">
        <f>IFERROR(VLOOKUP(E344,'Inventaire des produits'!$B$4:$K$1000,2,0),"")</f>
        <v>GANT POLYETHLENE</v>
      </c>
      <c r="G344" s="250">
        <v>30</v>
      </c>
      <c r="H344" s="77">
        <v>5</v>
      </c>
      <c r="I344" s="95">
        <f t="shared" si="10"/>
        <v>150</v>
      </c>
      <c r="J344" s="95">
        <f t="shared" si="11"/>
        <v>180</v>
      </c>
      <c r="K344" s="93">
        <f>IFERROR(VLOOKUP(E344,'Inventaire des produits'!$B$4:$J$1000,5,FALSE),"")</f>
        <v>0</v>
      </c>
      <c r="L344" s="301">
        <f>IFERROR(VLOOKUP(E344,'Inventaire des produits'!$B$4:$J$1000,6,FALSE),"")</f>
        <v>3.5</v>
      </c>
      <c r="M344" s="62"/>
    </row>
    <row r="345" spans="2:14" x14ac:dyDescent="0.3">
      <c r="B345" s="378" t="s">
        <v>1704</v>
      </c>
      <c r="C345" s="340">
        <v>45364</v>
      </c>
      <c r="D345" s="337" t="s">
        <v>587</v>
      </c>
      <c r="E345" s="235" t="s">
        <v>551</v>
      </c>
      <c r="F345" s="271" t="str">
        <f>IFERROR(VLOOKUP(E345,'Inventaire des produits'!$B$4:$K$1000,2,0),"")</f>
        <v>BARQUETTE ALUMINIUM 808</v>
      </c>
      <c r="G345" s="249">
        <v>2200</v>
      </c>
      <c r="H345" s="76">
        <v>0.91</v>
      </c>
      <c r="I345" s="95">
        <f t="shared" si="10"/>
        <v>2002</v>
      </c>
      <c r="J345" s="95">
        <f t="shared" si="11"/>
        <v>2402.4</v>
      </c>
      <c r="K345" s="93">
        <f>IFERROR(VLOOKUP(E345,'Inventaire des produits'!$B$4:$J$1000,5,FALSE),"")</f>
        <v>0</v>
      </c>
      <c r="L345" s="301">
        <f>IFERROR(VLOOKUP(E345,'Inventaire des produits'!$B$4:$J$1000,6,FALSE),"")</f>
        <v>0.53333330000000001</v>
      </c>
      <c r="M345" s="62">
        <v>12200</v>
      </c>
      <c r="N345" s="52" t="s">
        <v>481</v>
      </c>
    </row>
    <row r="346" spans="2:14" x14ac:dyDescent="0.3">
      <c r="B346" s="378" t="s">
        <v>1704</v>
      </c>
      <c r="C346" s="341"/>
      <c r="D346" s="338"/>
      <c r="E346" s="235" t="s">
        <v>345</v>
      </c>
      <c r="F346" s="271" t="str">
        <f>IFERROR(VLOOKUP(E346,'Inventaire des produits'!$B$4:$K$1000,2,0),"")</f>
        <v>POT DE SAUCE EN PLAST TRANSP 20ML</v>
      </c>
      <c r="G346" s="250">
        <v>2900</v>
      </c>
      <c r="H346" s="77">
        <v>9.7900000000000001E-2</v>
      </c>
      <c r="I346" s="95">
        <f t="shared" si="10"/>
        <v>283.91000000000003</v>
      </c>
      <c r="J346" s="95">
        <f t="shared" si="11"/>
        <v>340.69200000000001</v>
      </c>
      <c r="K346" s="93">
        <f>IFERROR(VLOOKUP(E346,'Inventaire des produits'!$B$4:$J$1000,5,FALSE),"")</f>
        <v>0</v>
      </c>
      <c r="L346" s="301">
        <f>IFERROR(VLOOKUP(E346,'Inventaire des produits'!$B$4:$J$1000,6,FALSE),"")</f>
        <v>8.3333333300000006E-2</v>
      </c>
      <c r="M346" s="62"/>
    </row>
    <row r="347" spans="2:14" x14ac:dyDescent="0.3">
      <c r="B347" s="378" t="s">
        <v>1704</v>
      </c>
      <c r="C347" s="341"/>
      <c r="D347" s="338"/>
      <c r="E347" s="235" t="s">
        <v>615</v>
      </c>
      <c r="F347" s="271" t="str">
        <f>IFERROR(VLOOKUP(E347,'Inventaire des produits'!$B$4:$K$1000,2,0),"")</f>
        <v>SAC PN BLANC UNI 28/40/10</v>
      </c>
      <c r="G347" s="250">
        <v>2700</v>
      </c>
      <c r="H347" s="77">
        <v>0.75</v>
      </c>
      <c r="I347" s="95">
        <f t="shared" si="10"/>
        <v>2025</v>
      </c>
      <c r="J347" s="95">
        <f t="shared" si="11"/>
        <v>2430</v>
      </c>
      <c r="K347" s="93">
        <f>IFERROR(VLOOKUP(E347,'Inventaire des produits'!$B$4:$J$1000,5,FALSE),"")</f>
        <v>0</v>
      </c>
      <c r="L347" s="301">
        <f>IFERROR(VLOOKUP(E347,'Inventaire des produits'!$B$4:$J$1000,6,FALSE),"")</f>
        <v>0.33334000000000003</v>
      </c>
      <c r="M347" s="62"/>
    </row>
    <row r="348" spans="2:14" x14ac:dyDescent="0.3">
      <c r="B348" s="378" t="s">
        <v>1704</v>
      </c>
      <c r="C348" s="341"/>
      <c r="D348" s="338"/>
      <c r="E348" s="235" t="s">
        <v>537</v>
      </c>
      <c r="F348" s="271" t="str">
        <f>IFERROR(VLOOKUP(E348,'Inventaire des produits'!$B$4:$K$1000,2,0),"")</f>
        <v>PAILLE ENVELOPPE 6MM CODE 100 TRANS</v>
      </c>
      <c r="G348" s="250">
        <v>60</v>
      </c>
      <c r="H348" s="77">
        <v>6.75</v>
      </c>
      <c r="I348" s="95">
        <f t="shared" si="10"/>
        <v>405</v>
      </c>
      <c r="J348" s="95">
        <f t="shared" si="11"/>
        <v>486</v>
      </c>
      <c r="K348" s="93">
        <f>IFERROR(VLOOKUP(E348,'Inventaire des produits'!$B$4:$J$1000,5,FALSE),"")</f>
        <v>0</v>
      </c>
      <c r="L348" s="301">
        <f>IFERROR(VLOOKUP(E348,'Inventaire des produits'!$B$4:$J$1000,6,FALSE),"")</f>
        <v>4.5</v>
      </c>
      <c r="M348" s="62"/>
    </row>
    <row r="349" spans="2:14" x14ac:dyDescent="0.3">
      <c r="B349" s="378" t="s">
        <v>1704</v>
      </c>
      <c r="C349" s="341"/>
      <c r="D349" s="338"/>
      <c r="E349" s="235" t="s">
        <v>127</v>
      </c>
      <c r="F349" s="271" t="str">
        <f>IFERROR(VLOOKUP(E349,'Inventaire des produits'!$B$4:$K$1000,2,0),"")</f>
        <v>SERVIETTE DE TABLE SEVAN 1PLI</v>
      </c>
      <c r="G349" s="250">
        <v>220</v>
      </c>
      <c r="H349" s="77">
        <v>3.94</v>
      </c>
      <c r="I349" s="95">
        <f t="shared" si="10"/>
        <v>866.8</v>
      </c>
      <c r="J349" s="95">
        <f t="shared" si="11"/>
        <v>1040.1599999999999</v>
      </c>
      <c r="K349" s="93">
        <f>IFERROR(VLOOKUP(E349,'Inventaire des produits'!$B$4:$J$1000,5,FALSE),"")</f>
        <v>0</v>
      </c>
      <c r="L349" s="301">
        <f>IFERROR(VLOOKUP(E349,'Inventaire des produits'!$B$4:$J$1000,6,FALSE),"")</f>
        <v>2.9169999999999998</v>
      </c>
      <c r="M349" s="62"/>
    </row>
    <row r="350" spans="2:14" x14ac:dyDescent="0.3">
      <c r="B350" s="378" t="s">
        <v>1704</v>
      </c>
      <c r="C350" s="341"/>
      <c r="D350" s="338"/>
      <c r="E350" s="235" t="s">
        <v>468</v>
      </c>
      <c r="F350" s="271" t="str">
        <f>IFERROR(VLOOKUP(E350,'Inventaire des produits'!$B$4:$K$1000,2,0),"")</f>
        <v>CLICHE POLYMERE EP° 5MM</v>
      </c>
      <c r="G350" s="251">
        <v>1</v>
      </c>
      <c r="H350" s="77">
        <v>416.66666670000001</v>
      </c>
      <c r="I350" s="95">
        <f t="shared" si="10"/>
        <v>416.66666670000001</v>
      </c>
      <c r="J350" s="95">
        <f t="shared" si="11"/>
        <v>500.00000003999997</v>
      </c>
      <c r="K350" s="93">
        <f>IFERROR(VLOOKUP(E350,'Inventaire des produits'!$B$4:$J$1000,5,FALSE),"")</f>
        <v>0</v>
      </c>
      <c r="L350" s="301">
        <f>IFERROR(VLOOKUP(E350,'Inventaire des produits'!$B$4:$J$1000,6,FALSE),"")</f>
        <v>250</v>
      </c>
      <c r="M350" s="62"/>
    </row>
    <row r="351" spans="2:14" x14ac:dyDescent="0.3">
      <c r="B351" s="378" t="s">
        <v>1704</v>
      </c>
      <c r="C351" s="341"/>
      <c r="D351" s="338"/>
      <c r="E351" s="235" t="s">
        <v>546</v>
      </c>
      <c r="F351" s="271" t="str">
        <f>IFERROR(VLOOKUP(E351,'Inventaire des produits'!$B$4:$K$1000,2,0),"")</f>
        <v>ROULEAU ALUMINIUM EXTRA PACK 200M</v>
      </c>
      <c r="G351" s="250">
        <v>24</v>
      </c>
      <c r="H351" s="77">
        <v>64.981200000000001</v>
      </c>
      <c r="I351" s="95">
        <f t="shared" si="10"/>
        <v>1559.5488</v>
      </c>
      <c r="J351" s="95">
        <f t="shared" si="11"/>
        <v>1871.45856</v>
      </c>
      <c r="K351" s="93">
        <f>IFERROR(VLOOKUP(E351,'Inventaire des produits'!$B$4:$J$1000,5,FALSE),"")</f>
        <v>0</v>
      </c>
      <c r="L351" s="301">
        <f>IFERROR(VLOOKUP(E351,'Inventaire des produits'!$B$4:$J$1000,6,FALSE),"")</f>
        <v>48.333333333299997</v>
      </c>
      <c r="M351" s="62"/>
    </row>
    <row r="352" spans="2:14" x14ac:dyDescent="0.3">
      <c r="B352" s="378" t="s">
        <v>1704</v>
      </c>
      <c r="C352" s="342"/>
      <c r="D352" s="339"/>
      <c r="E352" s="235" t="s">
        <v>199</v>
      </c>
      <c r="F352" s="271" t="str">
        <f>IFERROR(VLOOKUP(E352,'Inventaire des produits'!$B$4:$K$1000,2,0),"")</f>
        <v>BARQUETTE ALUMINIUM 81760 (3COMP)</v>
      </c>
      <c r="G352" s="250">
        <v>2300</v>
      </c>
      <c r="H352" s="77">
        <v>1.1337999999999999</v>
      </c>
      <c r="I352" s="95">
        <f t="shared" si="10"/>
        <v>2607.7399999999998</v>
      </c>
      <c r="J352" s="95">
        <f t="shared" si="11"/>
        <v>3129.2879999999996</v>
      </c>
      <c r="K352" s="93">
        <f>IFERROR(VLOOKUP(E352,'Inventaire des produits'!$B$4:$J$1000,5,FALSE),"")</f>
        <v>0</v>
      </c>
      <c r="L352" s="301">
        <f>IFERROR(VLOOKUP(E352,'Inventaire des produits'!$B$4:$J$1000,6,FALSE),"")</f>
        <v>1</v>
      </c>
      <c r="M352" s="62"/>
    </row>
    <row r="353" spans="2:13" x14ac:dyDescent="0.3">
      <c r="B353" s="378" t="s">
        <v>1704</v>
      </c>
      <c r="C353" s="340">
        <v>45365</v>
      </c>
      <c r="D353" s="337" t="s">
        <v>588</v>
      </c>
      <c r="E353" s="235" t="s">
        <v>542</v>
      </c>
      <c r="F353" s="271" t="str">
        <f>IFERROR(VLOOKUP(E353,'Inventaire des produits'!$B$4:$K$1000,2,0),"")</f>
        <v>BARQUETTE ALUMINIUM 250</v>
      </c>
      <c r="G353" s="249">
        <v>1150</v>
      </c>
      <c r="H353" s="83">
        <v>0.37140000000000001</v>
      </c>
      <c r="I353" s="95">
        <f t="shared" si="10"/>
        <v>427.11</v>
      </c>
      <c r="J353" s="95">
        <f t="shared" si="11"/>
        <v>512.53200000000004</v>
      </c>
      <c r="K353" s="93">
        <f>IFERROR(VLOOKUP(E353,'Inventaire des produits'!$B$4:$J$1000,5,FALSE),"")</f>
        <v>0</v>
      </c>
      <c r="L353" s="301">
        <f>IFERROR(VLOOKUP(E353,'Inventaire des produits'!$B$4:$J$1000,6,FALSE),"")</f>
        <v>0.20338000000000001</v>
      </c>
      <c r="M353" s="62">
        <v>8872</v>
      </c>
    </row>
    <row r="354" spans="2:13" x14ac:dyDescent="0.3">
      <c r="B354" s="378" t="s">
        <v>1704</v>
      </c>
      <c r="C354" s="341"/>
      <c r="D354" s="338"/>
      <c r="E354" s="235" t="s">
        <v>180</v>
      </c>
      <c r="F354" s="271" t="str">
        <f>IFERROR(VLOOKUP(E354,'Inventaire des produits'!$B$4:$K$1000,2,0),"")</f>
        <v>ESSUIE MAIN PROF</v>
      </c>
      <c r="G354" s="250">
        <v>17</v>
      </c>
      <c r="H354" s="84">
        <v>28.338899999999999</v>
      </c>
      <c r="I354" s="95">
        <f t="shared" si="10"/>
        <v>481.76130000000001</v>
      </c>
      <c r="J354" s="95">
        <f t="shared" si="11"/>
        <v>578.11356000000001</v>
      </c>
      <c r="K354" s="93">
        <f>IFERROR(VLOOKUP(E354,'Inventaire des produits'!$B$4:$J$1000,5,FALSE),"")</f>
        <v>0</v>
      </c>
      <c r="L354" s="301">
        <f>IFERROR(VLOOKUP(E354,'Inventaire des produits'!$B$4:$J$1000,6,FALSE),"")</f>
        <v>22.5</v>
      </c>
      <c r="M354" s="62"/>
    </row>
    <row r="355" spans="2:13" x14ac:dyDescent="0.3">
      <c r="B355" s="378" t="s">
        <v>1704</v>
      </c>
      <c r="C355" s="341"/>
      <c r="D355" s="338"/>
      <c r="E355" s="235" t="s">
        <v>256</v>
      </c>
      <c r="F355" s="271" t="str">
        <f>IFERROR(VLOOKUP(E355,'Inventaire des produits'!$B$4:$K$1000,2,0),"")</f>
        <v>FILM ALIMENTAIRE VIOLET</v>
      </c>
      <c r="G355" s="250">
        <v>30</v>
      </c>
      <c r="H355" s="84">
        <v>28.332999999999998</v>
      </c>
      <c r="I355" s="95">
        <f t="shared" si="10"/>
        <v>849.99</v>
      </c>
      <c r="J355" s="95">
        <f t="shared" si="11"/>
        <v>1019.9879999999999</v>
      </c>
      <c r="K355" s="93">
        <f>IFERROR(VLOOKUP(E355,'Inventaire des produits'!$B$4:$J$1000,5,FALSE),"")</f>
        <v>0</v>
      </c>
      <c r="L355" s="301">
        <f>IFERROR(VLOOKUP(E355,'Inventaire des produits'!$B$4:$J$1000,6,FALSE),"")</f>
        <v>28.333333333300001</v>
      </c>
      <c r="M355" s="62"/>
    </row>
    <row r="356" spans="2:13" x14ac:dyDescent="0.3">
      <c r="B356" s="378" t="s">
        <v>1704</v>
      </c>
      <c r="C356" s="341"/>
      <c r="D356" s="338"/>
      <c r="E356" s="235" t="s">
        <v>414</v>
      </c>
      <c r="F356" s="271" t="str">
        <f>IFERROR(VLOOKUP(E356,'Inventaire des produits'!$B$4:$K$1000,2,0),"")</f>
        <v>GANT VINYL NOIR EXTRA PREMIUM GLOVE LARGE</v>
      </c>
      <c r="G356" s="250">
        <v>29</v>
      </c>
      <c r="H356" s="84">
        <v>33.3333333</v>
      </c>
      <c r="I356" s="95">
        <f t="shared" si="10"/>
        <v>966.66666569999995</v>
      </c>
      <c r="J356" s="95">
        <f t="shared" si="11"/>
        <v>1159.99999884</v>
      </c>
      <c r="K356" s="93">
        <f>IFERROR(VLOOKUP(E356,'Inventaire des produits'!$B$4:$J$1000,5,FALSE),"")</f>
        <v>0</v>
      </c>
      <c r="L356" s="301">
        <f>IFERROR(VLOOKUP(E356,'Inventaire des produits'!$B$4:$J$1000,6,FALSE),"")</f>
        <v>20.833333333300001</v>
      </c>
      <c r="M356" s="62"/>
    </row>
    <row r="357" spans="2:13" x14ac:dyDescent="0.3">
      <c r="B357" s="378" t="s">
        <v>1704</v>
      </c>
      <c r="C357" s="341"/>
      <c r="D357" s="338"/>
      <c r="E357" s="235" t="s">
        <v>405</v>
      </c>
      <c r="F357" s="271" t="str">
        <f>IFERROR(VLOOKUP(E357,'Inventaire des produits'!$B$4:$K$1000,2,0),"")</f>
        <v>POT DE SAUCE 1OZ 30ML HP</v>
      </c>
      <c r="G357" s="250">
        <v>20125</v>
      </c>
      <c r="H357" s="84">
        <v>0.15800510000000001</v>
      </c>
      <c r="I357" s="95">
        <f t="shared" si="10"/>
        <v>3179.8526375000001</v>
      </c>
      <c r="J357" s="95">
        <f t="shared" si="11"/>
        <v>3815.8231649999998</v>
      </c>
      <c r="K357" s="93">
        <f>IFERROR(VLOOKUP(E357,'Inventaire des produits'!$B$4:$J$1000,5,FALSE),"")</f>
        <v>0</v>
      </c>
      <c r="L357" s="301">
        <f>IFERROR(VLOOKUP(E357,'Inventaire des produits'!$B$4:$J$1000,6,FALSE),"")</f>
        <v>0.14019999999999999</v>
      </c>
      <c r="M357" s="62"/>
    </row>
    <row r="358" spans="2:13" x14ac:dyDescent="0.3">
      <c r="B358" s="378" t="s">
        <v>1704</v>
      </c>
      <c r="C358" s="341"/>
      <c r="D358" s="338"/>
      <c r="E358" s="235" t="s">
        <v>418</v>
      </c>
      <c r="F358" s="271" t="str">
        <f>IFERROR(VLOOKUP(E358,'Inventaire des produits'!$B$4:$K$1000,2,0),"")</f>
        <v>ROULEAU DE CAISSE THERMIQUE 70X80</v>
      </c>
      <c r="G358" s="250">
        <v>86</v>
      </c>
      <c r="H358" s="84">
        <v>10.833</v>
      </c>
      <c r="I358" s="95">
        <f t="shared" si="10"/>
        <v>931.63800000000003</v>
      </c>
      <c r="J358" s="95">
        <f t="shared" si="11"/>
        <v>1117.9656</v>
      </c>
      <c r="K358" s="93">
        <f>IFERROR(VLOOKUP(E358,'Inventaire des produits'!$B$4:$J$1000,5,FALSE),"")</f>
        <v>0</v>
      </c>
      <c r="L358" s="301">
        <f>IFERROR(VLOOKUP(E358,'Inventaire des produits'!$B$4:$J$1000,6,FALSE),"")</f>
        <v>8</v>
      </c>
      <c r="M358" s="62"/>
    </row>
    <row r="359" spans="2:13" x14ac:dyDescent="0.3">
      <c r="B359" s="378" t="s">
        <v>1704</v>
      </c>
      <c r="C359" s="341"/>
      <c r="D359" s="338"/>
      <c r="E359" s="235" t="s">
        <v>232</v>
      </c>
      <c r="F359" s="271" t="str">
        <f>IFERROR(VLOOKUP(E359,'Inventaire des produits'!$B$4:$K$1000,2,0),"")</f>
        <v>CUILLERE ECOLUXE TRANSPARENT</v>
      </c>
      <c r="G359" s="250">
        <v>1</v>
      </c>
      <c r="H359" s="84">
        <v>19.166</v>
      </c>
      <c r="I359" s="95">
        <f t="shared" si="10"/>
        <v>19.166</v>
      </c>
      <c r="J359" s="95">
        <f t="shared" si="11"/>
        <v>22.999199999999998</v>
      </c>
      <c r="K359" s="93">
        <f>IFERROR(VLOOKUP(E359,'Inventaire des produits'!$B$4:$J$1000,5,FALSE),"")</f>
        <v>0</v>
      </c>
      <c r="L359" s="301">
        <f>IFERROR(VLOOKUP(E359,'Inventaire des produits'!$B$4:$J$1000,6,FALSE),"")</f>
        <v>17.5</v>
      </c>
      <c r="M359" s="62"/>
    </row>
    <row r="360" spans="2:13" x14ac:dyDescent="0.3">
      <c r="B360" s="378" t="s">
        <v>1704</v>
      </c>
      <c r="C360" s="341"/>
      <c r="D360" s="338"/>
      <c r="E360" s="235" t="s">
        <v>250</v>
      </c>
      <c r="F360" s="271" t="str">
        <f>IFERROR(VLOOKUP(E360,'Inventaire des produits'!$B$4:$K$1000,2,0),"")</f>
        <v>FOURCHETTE ECOLUXE</v>
      </c>
      <c r="G360" s="250">
        <v>10</v>
      </c>
      <c r="H360" s="84">
        <v>19.166</v>
      </c>
      <c r="I360" s="95">
        <f t="shared" si="10"/>
        <v>191.66</v>
      </c>
      <c r="J360" s="95">
        <f t="shared" si="11"/>
        <v>229.99199999999999</v>
      </c>
      <c r="K360" s="93">
        <f>IFERROR(VLOOKUP(E360,'Inventaire des produits'!$B$4:$J$1000,5,FALSE),"")</f>
        <v>0</v>
      </c>
      <c r="L360" s="301">
        <f>IFERROR(VLOOKUP(E360,'Inventaire des produits'!$B$4:$J$1000,6,FALSE),"")</f>
        <v>15.84</v>
      </c>
      <c r="M360" s="62"/>
    </row>
    <row r="361" spans="2:13" x14ac:dyDescent="0.3">
      <c r="B361" s="378" t="s">
        <v>1704</v>
      </c>
      <c r="C361" s="341"/>
      <c r="D361" s="338"/>
      <c r="E361" s="235" t="s">
        <v>537</v>
      </c>
      <c r="F361" s="271" t="str">
        <f>IFERROR(VLOOKUP(E361,'Inventaire des produits'!$B$4:$K$1000,2,0),"")</f>
        <v>PAILLE ENVELOPPE 6MM CODE 100 TRANS</v>
      </c>
      <c r="G361" s="250">
        <v>12</v>
      </c>
      <c r="H361" s="84">
        <v>6.6470000000000002</v>
      </c>
      <c r="I361" s="95">
        <f t="shared" si="10"/>
        <v>79.76400000000001</v>
      </c>
      <c r="J361" s="95">
        <f t="shared" si="11"/>
        <v>95.716800000000006</v>
      </c>
      <c r="K361" s="93">
        <f>IFERROR(VLOOKUP(E361,'Inventaire des produits'!$B$4:$J$1000,5,FALSE),"")</f>
        <v>0</v>
      </c>
      <c r="L361" s="301">
        <f>IFERROR(VLOOKUP(E361,'Inventaire des produits'!$B$4:$J$1000,6,FALSE),"")</f>
        <v>4.5</v>
      </c>
      <c r="M361" s="62"/>
    </row>
    <row r="362" spans="2:13" x14ac:dyDescent="0.3">
      <c r="B362" s="378" t="s">
        <v>1704</v>
      </c>
      <c r="C362" s="341"/>
      <c r="D362" s="338"/>
      <c r="E362" s="235" t="s">
        <v>209</v>
      </c>
      <c r="F362" s="271" t="str">
        <f>IFERROR(VLOOKUP(E362,'Inventaire des produits'!$B$4:$K$1000,2,0),"")</f>
        <v xml:space="preserve">GOBLET 12OZ EN PLAST TRANS SMART+CV </v>
      </c>
      <c r="G362" s="250">
        <v>112</v>
      </c>
      <c r="H362" s="84">
        <v>0.624</v>
      </c>
      <c r="I362" s="95">
        <f t="shared" si="10"/>
        <v>69.888000000000005</v>
      </c>
      <c r="J362" s="95">
        <f t="shared" si="11"/>
        <v>83.865600000000001</v>
      </c>
      <c r="K362" s="93">
        <f>IFERROR(VLOOKUP(E362,'Inventaire des produits'!$B$4:$J$1000,5,FALSE),"")</f>
        <v>0</v>
      </c>
      <c r="L362" s="301">
        <f>IFERROR(VLOOKUP(E362,'Inventaire des produits'!$B$4:$J$1000,6,FALSE),"")</f>
        <v>0.416875</v>
      </c>
      <c r="M362" s="62"/>
    </row>
    <row r="363" spans="2:13" x14ac:dyDescent="0.3">
      <c r="B363" s="378" t="s">
        <v>1704</v>
      </c>
      <c r="C363" s="341"/>
      <c r="D363" s="338"/>
      <c r="E363" s="235" t="s">
        <v>259</v>
      </c>
      <c r="F363" s="271" t="str">
        <f>IFERROR(VLOOKUP(E363,'Inventaire des produits'!$B$4:$K$1000,2,0),"")</f>
        <v>ROULEAU ALUMINIUM GOLDEN 200M</v>
      </c>
      <c r="G363" s="250">
        <v>1</v>
      </c>
      <c r="H363" s="84">
        <v>70.832999999999998</v>
      </c>
      <c r="I363" s="95">
        <f t="shared" si="10"/>
        <v>70.832999999999998</v>
      </c>
      <c r="J363" s="95">
        <f t="shared" si="11"/>
        <v>84.999600000000001</v>
      </c>
      <c r="K363" s="93">
        <f>IFERROR(VLOOKUP(E363,'Inventaire des produits'!$B$4:$J$1000,5,FALSE),"")</f>
        <v>0</v>
      </c>
      <c r="L363" s="301">
        <f>IFERROR(VLOOKUP(E363,'Inventaire des produits'!$B$4:$J$1000,6,FALSE),"")</f>
        <v>58.333333333299997</v>
      </c>
      <c r="M363" s="62"/>
    </row>
    <row r="364" spans="2:13" x14ac:dyDescent="0.3">
      <c r="B364" s="378" t="s">
        <v>1704</v>
      </c>
      <c r="C364" s="342"/>
      <c r="D364" s="339"/>
      <c r="E364" s="235" t="s">
        <v>239</v>
      </c>
      <c r="F364" s="271" t="str">
        <f>IFERROR(VLOOKUP(E364,'Inventaire des produits'!$B$4:$K$1000,2,0),"")</f>
        <v>GANT POLYETHLENE</v>
      </c>
      <c r="G364" s="250">
        <v>25</v>
      </c>
      <c r="H364" s="77">
        <v>5</v>
      </c>
      <c r="I364" s="95">
        <f t="shared" si="10"/>
        <v>125</v>
      </c>
      <c r="J364" s="95">
        <f t="shared" si="11"/>
        <v>150</v>
      </c>
      <c r="K364" s="93">
        <f>IFERROR(VLOOKUP(E364,'Inventaire des produits'!$B$4:$J$1000,5,FALSE),"")</f>
        <v>0</v>
      </c>
      <c r="L364" s="301">
        <f>IFERROR(VLOOKUP(E364,'Inventaire des produits'!$B$4:$J$1000,6,FALSE),"")</f>
        <v>3.5</v>
      </c>
      <c r="M364" s="62"/>
    </row>
    <row r="365" spans="2:13" x14ac:dyDescent="0.3">
      <c r="B365" s="378" t="s">
        <v>1704</v>
      </c>
      <c r="C365" s="340">
        <v>45365</v>
      </c>
      <c r="D365" s="337" t="s">
        <v>589</v>
      </c>
      <c r="E365" s="235" t="s">
        <v>542</v>
      </c>
      <c r="F365" s="271" t="str">
        <f>IFERROR(VLOOKUP(E365,'Inventaire des produits'!$B$4:$K$1000,2,0),"")</f>
        <v>BARQUETTE ALUMINIUM 250</v>
      </c>
      <c r="G365" s="249">
        <v>1150</v>
      </c>
      <c r="H365" s="83">
        <v>0.37140000000000001</v>
      </c>
      <c r="I365" s="95">
        <f t="shared" si="10"/>
        <v>427.11</v>
      </c>
      <c r="J365" s="95">
        <f t="shared" si="11"/>
        <v>512.53200000000004</v>
      </c>
      <c r="K365" s="93">
        <f>IFERROR(VLOOKUP(E365,'Inventaire des produits'!$B$4:$J$1000,5,FALSE),"")</f>
        <v>0</v>
      </c>
      <c r="L365" s="301">
        <f>IFERROR(VLOOKUP(E365,'Inventaire des produits'!$B$4:$J$1000,6,FALSE),"")</f>
        <v>0.20338000000000001</v>
      </c>
      <c r="M365" s="62">
        <v>9179</v>
      </c>
    </row>
    <row r="366" spans="2:13" x14ac:dyDescent="0.3">
      <c r="B366" s="378" t="s">
        <v>1704</v>
      </c>
      <c r="C366" s="341"/>
      <c r="D366" s="338"/>
      <c r="E366" s="235" t="s">
        <v>180</v>
      </c>
      <c r="F366" s="271" t="str">
        <f>IFERROR(VLOOKUP(E366,'Inventaire des produits'!$B$4:$K$1000,2,0),"")</f>
        <v>ESSUIE MAIN PROF</v>
      </c>
      <c r="G366" s="250">
        <v>20</v>
      </c>
      <c r="H366" s="84">
        <v>28.338899999999999</v>
      </c>
      <c r="I366" s="95">
        <f t="shared" si="10"/>
        <v>566.77800000000002</v>
      </c>
      <c r="J366" s="95">
        <f t="shared" si="11"/>
        <v>680.1336</v>
      </c>
      <c r="K366" s="93">
        <f>IFERROR(VLOOKUP(E366,'Inventaire des produits'!$B$4:$J$1000,5,FALSE),"")</f>
        <v>0</v>
      </c>
      <c r="L366" s="301">
        <f>IFERROR(VLOOKUP(E366,'Inventaire des produits'!$B$4:$J$1000,6,FALSE),"")</f>
        <v>22.5</v>
      </c>
      <c r="M366" s="62"/>
    </row>
    <row r="367" spans="2:13" x14ac:dyDescent="0.3">
      <c r="B367" s="378" t="s">
        <v>1704</v>
      </c>
      <c r="C367" s="341"/>
      <c r="D367" s="338"/>
      <c r="E367" s="235" t="s">
        <v>256</v>
      </c>
      <c r="F367" s="271" t="str">
        <f>IFERROR(VLOOKUP(E367,'Inventaire des produits'!$B$4:$K$1000,2,0),"")</f>
        <v>FILM ALIMENTAIRE VIOLET</v>
      </c>
      <c r="G367" s="250">
        <v>30</v>
      </c>
      <c r="H367" s="84">
        <v>28.332999999999998</v>
      </c>
      <c r="I367" s="95">
        <f t="shared" si="10"/>
        <v>849.99</v>
      </c>
      <c r="J367" s="95">
        <f t="shared" si="11"/>
        <v>1019.9879999999999</v>
      </c>
      <c r="K367" s="93">
        <f>IFERROR(VLOOKUP(E367,'Inventaire des produits'!$B$4:$J$1000,5,FALSE),"")</f>
        <v>0</v>
      </c>
      <c r="L367" s="301">
        <f>IFERROR(VLOOKUP(E367,'Inventaire des produits'!$B$4:$J$1000,6,FALSE),"")</f>
        <v>28.333333333300001</v>
      </c>
      <c r="M367" s="62"/>
    </row>
    <row r="368" spans="2:13" x14ac:dyDescent="0.3">
      <c r="B368" s="378" t="s">
        <v>1704</v>
      </c>
      <c r="C368" s="341"/>
      <c r="D368" s="338"/>
      <c r="E368" s="235" t="s">
        <v>414</v>
      </c>
      <c r="F368" s="271" t="str">
        <f>IFERROR(VLOOKUP(E368,'Inventaire des produits'!$B$4:$K$1000,2,0),"")</f>
        <v>GANT VINYL NOIR EXTRA PREMIUM GLOVE LARGE</v>
      </c>
      <c r="G368" s="250">
        <v>30</v>
      </c>
      <c r="H368" s="84">
        <v>33.3333333</v>
      </c>
      <c r="I368" s="95">
        <f t="shared" si="10"/>
        <v>999.999999</v>
      </c>
      <c r="J368" s="95">
        <f t="shared" si="11"/>
        <v>1199.9999988</v>
      </c>
      <c r="K368" s="93">
        <f>IFERROR(VLOOKUP(E368,'Inventaire des produits'!$B$4:$J$1000,5,FALSE),"")</f>
        <v>0</v>
      </c>
      <c r="L368" s="301">
        <f>IFERROR(VLOOKUP(E368,'Inventaire des produits'!$B$4:$J$1000,6,FALSE),"")</f>
        <v>20.833333333300001</v>
      </c>
      <c r="M368" s="62"/>
    </row>
    <row r="369" spans="2:14" x14ac:dyDescent="0.3">
      <c r="B369" s="378" t="s">
        <v>1704</v>
      </c>
      <c r="C369" s="341"/>
      <c r="D369" s="338"/>
      <c r="E369" s="235" t="s">
        <v>405</v>
      </c>
      <c r="F369" s="271" t="str">
        <f>IFERROR(VLOOKUP(E369,'Inventaire des produits'!$B$4:$K$1000,2,0),"")</f>
        <v>POT DE SAUCE 1OZ 30ML HP</v>
      </c>
      <c r="G369" s="250">
        <v>20125</v>
      </c>
      <c r="H369" s="84">
        <v>0.15798699999999999</v>
      </c>
      <c r="I369" s="95">
        <f t="shared" si="10"/>
        <v>3179.4883749999999</v>
      </c>
      <c r="J369" s="95">
        <f t="shared" si="11"/>
        <v>3815.3860499999996</v>
      </c>
      <c r="K369" s="93">
        <f>IFERROR(VLOOKUP(E369,'Inventaire des produits'!$B$4:$J$1000,5,FALSE),"")</f>
        <v>0</v>
      </c>
      <c r="L369" s="301">
        <f>IFERROR(VLOOKUP(E369,'Inventaire des produits'!$B$4:$J$1000,6,FALSE),"")</f>
        <v>0.14019999999999999</v>
      </c>
      <c r="M369" s="62"/>
    </row>
    <row r="370" spans="2:14" x14ac:dyDescent="0.3">
      <c r="B370" s="378" t="s">
        <v>1704</v>
      </c>
      <c r="C370" s="341"/>
      <c r="D370" s="338"/>
      <c r="E370" s="235" t="s">
        <v>418</v>
      </c>
      <c r="F370" s="271" t="str">
        <f>IFERROR(VLOOKUP(E370,'Inventaire des produits'!$B$4:$K$1000,2,0),"")</f>
        <v>ROULEAU DE CAISSE THERMIQUE 70X80</v>
      </c>
      <c r="G370" s="250">
        <v>87</v>
      </c>
      <c r="H370" s="84">
        <v>10.833</v>
      </c>
      <c r="I370" s="95">
        <f t="shared" si="10"/>
        <v>942.471</v>
      </c>
      <c r="J370" s="95">
        <f t="shared" si="11"/>
        <v>1130.9651999999999</v>
      </c>
      <c r="K370" s="93">
        <f>IFERROR(VLOOKUP(E370,'Inventaire des produits'!$B$4:$J$1000,5,FALSE),"")</f>
        <v>0</v>
      </c>
      <c r="L370" s="301">
        <f>IFERROR(VLOOKUP(E370,'Inventaire des produits'!$B$4:$J$1000,6,FALSE),"")</f>
        <v>8</v>
      </c>
      <c r="M370" s="62"/>
    </row>
    <row r="371" spans="2:14" ht="15" customHeight="1" x14ac:dyDescent="0.3">
      <c r="B371" s="378" t="s">
        <v>1704</v>
      </c>
      <c r="C371" s="341"/>
      <c r="D371" s="338"/>
      <c r="E371" s="235" t="s">
        <v>232</v>
      </c>
      <c r="F371" s="271" t="str">
        <f>IFERROR(VLOOKUP(E371,'Inventaire des produits'!$B$4:$K$1000,2,0),"")</f>
        <v>CUILLERE ECOLUXE TRANSPARENT</v>
      </c>
      <c r="G371" s="250">
        <v>3</v>
      </c>
      <c r="H371" s="84">
        <v>19.166</v>
      </c>
      <c r="I371" s="95">
        <f t="shared" si="10"/>
        <v>57.498000000000005</v>
      </c>
      <c r="J371" s="95">
        <f t="shared" si="11"/>
        <v>68.997600000000006</v>
      </c>
      <c r="K371" s="93">
        <f>IFERROR(VLOOKUP(E371,'Inventaire des produits'!$B$4:$J$1000,5,FALSE),"")</f>
        <v>0</v>
      </c>
      <c r="L371" s="301">
        <f>IFERROR(VLOOKUP(E371,'Inventaire des produits'!$B$4:$J$1000,6,FALSE),"")</f>
        <v>17.5</v>
      </c>
      <c r="M371" s="62"/>
    </row>
    <row r="372" spans="2:14" ht="15" customHeight="1" x14ac:dyDescent="0.3">
      <c r="B372" s="378" t="s">
        <v>1704</v>
      </c>
      <c r="C372" s="341"/>
      <c r="D372" s="338"/>
      <c r="E372" s="235" t="s">
        <v>250</v>
      </c>
      <c r="F372" s="271" t="str">
        <f>IFERROR(VLOOKUP(E372,'Inventaire des produits'!$B$4:$K$1000,2,0),"")</f>
        <v>FOURCHETTE ECOLUXE</v>
      </c>
      <c r="G372" s="250">
        <v>13</v>
      </c>
      <c r="H372" s="84">
        <v>19.166</v>
      </c>
      <c r="I372" s="95">
        <f t="shared" si="10"/>
        <v>249.15800000000002</v>
      </c>
      <c r="J372" s="95">
        <f t="shared" si="11"/>
        <v>298.9896</v>
      </c>
      <c r="K372" s="93">
        <f>IFERROR(VLOOKUP(E372,'Inventaire des produits'!$B$4:$J$1000,5,FALSE),"")</f>
        <v>0</v>
      </c>
      <c r="L372" s="301">
        <f>IFERROR(VLOOKUP(E372,'Inventaire des produits'!$B$4:$J$1000,6,FALSE),"")</f>
        <v>15.84</v>
      </c>
      <c r="M372" s="62"/>
    </row>
    <row r="373" spans="2:14" ht="15" customHeight="1" x14ac:dyDescent="0.3">
      <c r="B373" s="378" t="s">
        <v>1704</v>
      </c>
      <c r="C373" s="341"/>
      <c r="D373" s="338"/>
      <c r="E373" s="235" t="s">
        <v>537</v>
      </c>
      <c r="F373" s="271" t="str">
        <f>IFERROR(VLOOKUP(E373,'Inventaire des produits'!$B$4:$K$1000,2,0),"")</f>
        <v>PAILLE ENVELOPPE 6MM CODE 100 TRANS</v>
      </c>
      <c r="G373" s="250">
        <v>15</v>
      </c>
      <c r="H373" s="84">
        <v>6.6470000000000002</v>
      </c>
      <c r="I373" s="95">
        <f t="shared" si="10"/>
        <v>99.704999999999998</v>
      </c>
      <c r="J373" s="95">
        <f t="shared" si="11"/>
        <v>119.64599999999999</v>
      </c>
      <c r="K373" s="93">
        <f>IFERROR(VLOOKUP(E373,'Inventaire des produits'!$B$4:$J$1000,5,FALSE),"")</f>
        <v>0</v>
      </c>
      <c r="L373" s="301">
        <f>IFERROR(VLOOKUP(E373,'Inventaire des produits'!$B$4:$J$1000,6,FALSE),"")</f>
        <v>4.5</v>
      </c>
      <c r="M373" s="62"/>
    </row>
    <row r="374" spans="2:14" x14ac:dyDescent="0.3">
      <c r="B374" s="378" t="s">
        <v>1704</v>
      </c>
      <c r="C374" s="341"/>
      <c r="D374" s="338"/>
      <c r="E374" s="235" t="s">
        <v>209</v>
      </c>
      <c r="F374" s="271" t="str">
        <f>IFERROR(VLOOKUP(E374,'Inventaire des produits'!$B$4:$K$1000,2,0),"")</f>
        <v xml:space="preserve">GOBLET 12OZ EN PLAST TRANS SMART+CV </v>
      </c>
      <c r="G374" s="250">
        <v>114</v>
      </c>
      <c r="H374" s="84">
        <v>0.624</v>
      </c>
      <c r="I374" s="95">
        <f t="shared" si="10"/>
        <v>71.135999999999996</v>
      </c>
      <c r="J374" s="95">
        <f t="shared" si="11"/>
        <v>85.363199999999992</v>
      </c>
      <c r="K374" s="93">
        <f>IFERROR(VLOOKUP(E374,'Inventaire des produits'!$B$4:$J$1000,5,FALSE),"")</f>
        <v>0</v>
      </c>
      <c r="L374" s="301">
        <f>IFERROR(VLOOKUP(E374,'Inventaire des produits'!$B$4:$J$1000,6,FALSE),"")</f>
        <v>0.416875</v>
      </c>
      <c r="M374" s="62"/>
    </row>
    <row r="375" spans="2:14" x14ac:dyDescent="0.3">
      <c r="B375" s="378" t="s">
        <v>1704</v>
      </c>
      <c r="C375" s="341"/>
      <c r="D375" s="338"/>
      <c r="E375" s="235" t="s">
        <v>259</v>
      </c>
      <c r="F375" s="271" t="str">
        <f>IFERROR(VLOOKUP(E375,'Inventaire des produits'!$B$4:$K$1000,2,0),"")</f>
        <v>ROULEAU ALUMINIUM GOLDEN 200M</v>
      </c>
      <c r="G375" s="250">
        <v>1</v>
      </c>
      <c r="H375" s="84">
        <v>70.832999999999998</v>
      </c>
      <c r="I375" s="95">
        <f t="shared" si="10"/>
        <v>70.832999999999998</v>
      </c>
      <c r="J375" s="95">
        <f t="shared" si="11"/>
        <v>84.999600000000001</v>
      </c>
      <c r="K375" s="93">
        <f>IFERROR(VLOOKUP(E375,'Inventaire des produits'!$B$4:$J$1000,5,FALSE),"")</f>
        <v>0</v>
      </c>
      <c r="L375" s="301">
        <f>IFERROR(VLOOKUP(E375,'Inventaire des produits'!$B$4:$J$1000,6,FALSE),"")</f>
        <v>58.333333333299997</v>
      </c>
      <c r="M375" s="62"/>
    </row>
    <row r="376" spans="2:14" x14ac:dyDescent="0.3">
      <c r="B376" s="378" t="s">
        <v>1704</v>
      </c>
      <c r="C376" s="342"/>
      <c r="D376" s="339"/>
      <c r="E376" s="235" t="s">
        <v>239</v>
      </c>
      <c r="F376" s="271" t="str">
        <f>IFERROR(VLOOKUP(E376,'Inventaire des produits'!$B$4:$K$1000,2,0),"")</f>
        <v>GANT POLYETHLENE</v>
      </c>
      <c r="G376" s="250">
        <v>27</v>
      </c>
      <c r="H376" s="77">
        <v>5</v>
      </c>
      <c r="I376" s="95">
        <f t="shared" si="10"/>
        <v>135</v>
      </c>
      <c r="J376" s="95">
        <f t="shared" si="11"/>
        <v>162</v>
      </c>
      <c r="K376" s="93">
        <f>IFERROR(VLOOKUP(E376,'Inventaire des produits'!$B$4:$J$1000,5,FALSE),"")</f>
        <v>0</v>
      </c>
      <c r="L376" s="301">
        <f>IFERROR(VLOOKUP(E376,'Inventaire des produits'!$B$4:$J$1000,6,FALSE),"")</f>
        <v>3.5</v>
      </c>
      <c r="M376" s="62"/>
    </row>
    <row r="377" spans="2:14" x14ac:dyDescent="0.3">
      <c r="B377" s="378" t="s">
        <v>1704</v>
      </c>
      <c r="C377" s="340">
        <v>45366</v>
      </c>
      <c r="D377" s="337" t="s">
        <v>591</v>
      </c>
      <c r="E377" s="235" t="s">
        <v>222</v>
      </c>
      <c r="F377" s="271" t="str">
        <f>IFERROR(VLOOKUP(E377,'Inventaire des produits'!$B$4:$K$1000,2,0),"")</f>
        <v>FILM ALIMENTAIRE ELEGENCE</v>
      </c>
      <c r="G377" s="249">
        <v>8</v>
      </c>
      <c r="H377" s="76">
        <v>30.5</v>
      </c>
      <c r="I377" s="95">
        <f t="shared" si="10"/>
        <v>244</v>
      </c>
      <c r="J377" s="95">
        <f t="shared" si="11"/>
        <v>292.8</v>
      </c>
      <c r="K377" s="93">
        <f>IFERROR(VLOOKUP(E377,'Inventaire des produits'!$B$4:$J$1000,5,FALSE),"")</f>
        <v>0</v>
      </c>
      <c r="L377" s="301">
        <f>IFERROR(VLOOKUP(E377,'Inventaire des produits'!$B$4:$J$1000,6,FALSE),"")</f>
        <v>20</v>
      </c>
      <c r="M377" s="62">
        <v>606</v>
      </c>
      <c r="N377" s="52" t="s">
        <v>481</v>
      </c>
    </row>
    <row r="378" spans="2:14" x14ac:dyDescent="0.3">
      <c r="B378" s="378" t="s">
        <v>1704</v>
      </c>
      <c r="C378" s="341"/>
      <c r="D378" s="338"/>
      <c r="E378" s="235" t="s">
        <v>127</v>
      </c>
      <c r="F378" s="271" t="str">
        <f>IFERROR(VLOOKUP(E378,'Inventaire des produits'!$B$4:$K$1000,2,0),"")</f>
        <v>SERVIETTE DE TABLE SEVAN 1PLI</v>
      </c>
      <c r="G378" s="250">
        <v>40</v>
      </c>
      <c r="H378" s="77">
        <v>3.75</v>
      </c>
      <c r="I378" s="95">
        <f t="shared" si="10"/>
        <v>150</v>
      </c>
      <c r="J378" s="95">
        <f t="shared" si="11"/>
        <v>180</v>
      </c>
      <c r="K378" s="93">
        <f>IFERROR(VLOOKUP(E378,'Inventaire des produits'!$B$4:$J$1000,5,FALSE),"")</f>
        <v>0</v>
      </c>
      <c r="L378" s="301">
        <f>IFERROR(VLOOKUP(E378,'Inventaire des produits'!$B$4:$J$1000,6,FALSE),"")</f>
        <v>2.9169999999999998</v>
      </c>
      <c r="M378" s="62"/>
    </row>
    <row r="379" spans="2:14" x14ac:dyDescent="0.3">
      <c r="B379" s="378" t="s">
        <v>1704</v>
      </c>
      <c r="C379" s="342"/>
      <c r="D379" s="339"/>
      <c r="E379" s="235" t="s">
        <v>250</v>
      </c>
      <c r="F379" s="271" t="str">
        <f>IFERROR(VLOOKUP(E379,'Inventaire des produits'!$B$4:$K$1000,2,0),"")</f>
        <v>FOURCHETTE ECOLUXE</v>
      </c>
      <c r="G379" s="250">
        <v>6</v>
      </c>
      <c r="H379" s="77">
        <v>18.5</v>
      </c>
      <c r="I379" s="95">
        <f t="shared" si="10"/>
        <v>111</v>
      </c>
      <c r="J379" s="95">
        <f t="shared" si="11"/>
        <v>133.19999999999999</v>
      </c>
      <c r="K379" s="93">
        <f>IFERROR(VLOOKUP(E379,'Inventaire des produits'!$B$4:$J$1000,5,FALSE),"")</f>
        <v>0</v>
      </c>
      <c r="L379" s="301">
        <f>IFERROR(VLOOKUP(E379,'Inventaire des produits'!$B$4:$J$1000,6,FALSE),"")</f>
        <v>15.84</v>
      </c>
      <c r="M379" s="62"/>
    </row>
    <row r="380" spans="2:14" x14ac:dyDescent="0.3">
      <c r="B380" s="378" t="s">
        <v>1704</v>
      </c>
      <c r="C380" s="340">
        <v>45369</v>
      </c>
      <c r="D380" s="337" t="s">
        <v>592</v>
      </c>
      <c r="E380" s="235" t="s">
        <v>222</v>
      </c>
      <c r="F380" s="271" t="str">
        <f>IFERROR(VLOOKUP(E380,'Inventaire des produits'!$B$4:$K$1000,2,0),"")</f>
        <v>FILM ALIMENTAIRE ELEGENCE</v>
      </c>
      <c r="G380" s="230">
        <v>11</v>
      </c>
      <c r="H380" s="76">
        <v>30.12</v>
      </c>
      <c r="I380" s="95">
        <f t="shared" si="10"/>
        <v>331.32</v>
      </c>
      <c r="J380" s="95">
        <f t="shared" si="11"/>
        <v>397.584</v>
      </c>
      <c r="K380" s="93">
        <f>IFERROR(VLOOKUP(E380,'Inventaire des produits'!$B$4:$J$1000,5,FALSE),"")</f>
        <v>0</v>
      </c>
      <c r="L380" s="301">
        <f>IFERROR(VLOOKUP(E380,'Inventaire des produits'!$B$4:$J$1000,6,FALSE),"")</f>
        <v>20</v>
      </c>
      <c r="M380" s="62">
        <v>2289</v>
      </c>
      <c r="N380" s="52" t="s">
        <v>473</v>
      </c>
    </row>
    <row r="381" spans="2:14" x14ac:dyDescent="0.3">
      <c r="B381" s="378" t="s">
        <v>1704</v>
      </c>
      <c r="C381" s="341"/>
      <c r="D381" s="338"/>
      <c r="E381" s="235" t="s">
        <v>236</v>
      </c>
      <c r="F381" s="271" t="str">
        <f>IFERROR(VLOOKUP(E381,'Inventaire des produits'!$B$4:$K$1000,2,0),"")</f>
        <v>COQUILLE MEAL BOX 2 COMP BLANC</v>
      </c>
      <c r="G381" s="63">
        <v>400</v>
      </c>
      <c r="H381" s="80">
        <v>1.2609999999999999</v>
      </c>
      <c r="I381" s="95">
        <f t="shared" si="10"/>
        <v>504.4</v>
      </c>
      <c r="J381" s="95">
        <f t="shared" si="11"/>
        <v>605.28</v>
      </c>
      <c r="K381" s="93">
        <f>IFERROR(VLOOKUP(E381,'Inventaire des produits'!$B$4:$J$1000,5,FALSE),"")</f>
        <v>0</v>
      </c>
      <c r="L381" s="301">
        <f>IFERROR(VLOOKUP(E381,'Inventaire des produits'!$B$4:$J$1000,6,FALSE),"")</f>
        <v>0.91666666669999997</v>
      </c>
      <c r="M381" s="62"/>
    </row>
    <row r="382" spans="2:14" x14ac:dyDescent="0.3">
      <c r="B382" s="378" t="s">
        <v>1704</v>
      </c>
      <c r="C382" s="341"/>
      <c r="D382" s="338"/>
      <c r="E382" s="235" t="s">
        <v>53</v>
      </c>
      <c r="F382" s="271" t="str">
        <f>IFERROR(VLOOKUP(E382,'Inventaire des produits'!$B$4:$K$1000,2,0),"")</f>
        <v>GANT VINYL EXTRA PREMIUM GLOVE MEDIUM</v>
      </c>
      <c r="G382" s="63">
        <v>12</v>
      </c>
      <c r="H382" s="80">
        <v>30</v>
      </c>
      <c r="I382" s="95">
        <f t="shared" si="10"/>
        <v>360</v>
      </c>
      <c r="J382" s="95">
        <f t="shared" si="11"/>
        <v>432</v>
      </c>
      <c r="K382" s="93">
        <f>IFERROR(VLOOKUP(E382,'Inventaire des produits'!$B$4:$J$1000,5,FALSE),"")</f>
        <v>0</v>
      </c>
      <c r="L382" s="301">
        <f>IFERROR(VLOOKUP(E382,'Inventaire des produits'!$B$4:$J$1000,6,FALSE),"")</f>
        <v>24.593333333299999</v>
      </c>
      <c r="M382" s="62"/>
    </row>
    <row r="383" spans="2:14" x14ac:dyDescent="0.3">
      <c r="B383" s="378" t="s">
        <v>1704</v>
      </c>
      <c r="C383" s="341"/>
      <c r="D383" s="338"/>
      <c r="E383" s="235" t="s">
        <v>203</v>
      </c>
      <c r="F383" s="271" t="str">
        <f>IFERROR(VLOOKUP(E383,'Inventaire des produits'!$B$4:$K$1000,2,0),"")</f>
        <v>BARQUETTE ALUMINIUM 81200</v>
      </c>
      <c r="G383" s="63">
        <v>500</v>
      </c>
      <c r="H383" s="80">
        <v>0.96099999999999997</v>
      </c>
      <c r="I383" s="95">
        <f t="shared" si="10"/>
        <v>480.5</v>
      </c>
      <c r="J383" s="95">
        <f t="shared" si="11"/>
        <v>576.6</v>
      </c>
      <c r="K383" s="93">
        <f>IFERROR(VLOOKUP(E383,'Inventaire des produits'!$B$4:$J$1000,5,FALSE),"")</f>
        <v>0</v>
      </c>
      <c r="L383" s="301">
        <f>IFERROR(VLOOKUP(E383,'Inventaire des produits'!$B$4:$J$1000,6,FALSE),"")</f>
        <v>1</v>
      </c>
      <c r="M383" s="62"/>
    </row>
    <row r="384" spans="2:14" x14ac:dyDescent="0.3">
      <c r="B384" s="378" t="s">
        <v>1704</v>
      </c>
      <c r="C384" s="342"/>
      <c r="D384" s="339"/>
      <c r="E384" s="235" t="s">
        <v>365</v>
      </c>
      <c r="F384" s="271" t="str">
        <f>IFERROR(VLOOKUP(E384,'Inventaire des produits'!$B$4:$K$1000,2,0),"")</f>
        <v>PAILLE 6MM CODE ENVELOPPE TRANS 100/50 PCS</v>
      </c>
      <c r="G384" s="250">
        <v>37</v>
      </c>
      <c r="H384" s="77">
        <v>6.2508999999999997</v>
      </c>
      <c r="I384" s="95">
        <f t="shared" si="10"/>
        <v>231.2833</v>
      </c>
      <c r="J384" s="95">
        <f t="shared" si="11"/>
        <v>277.53996000000001</v>
      </c>
      <c r="K384" s="93">
        <f>IFERROR(VLOOKUP(E384,'Inventaire des produits'!$B$4:$J$1000,5,FALSE),"")</f>
        <v>0</v>
      </c>
      <c r="L384" s="301">
        <f>IFERROR(VLOOKUP(E384,'Inventaire des produits'!$B$4:$J$1000,6,FALSE),"")</f>
        <v>4.9166666667000003</v>
      </c>
      <c r="M384" s="62"/>
    </row>
    <row r="385" spans="2:14" x14ac:dyDescent="0.3">
      <c r="B385" s="378" t="s">
        <v>1704</v>
      </c>
      <c r="C385" s="340">
        <v>45370</v>
      </c>
      <c r="D385" s="337" t="s">
        <v>593</v>
      </c>
      <c r="E385" s="235" t="s">
        <v>500</v>
      </c>
      <c r="F385" s="271" t="str">
        <f>IFERROR(VLOOKUP(E385,'Inventaire des produits'!$B$4:$K$1000,2,0),"")</f>
        <v>BARQUETTE ALUMINIUM 83670</v>
      </c>
      <c r="G385" s="249">
        <v>250</v>
      </c>
      <c r="H385" s="76">
        <v>0.79166666666670005</v>
      </c>
      <c r="I385" s="95">
        <f t="shared" si="10"/>
        <v>197.91666666667501</v>
      </c>
      <c r="J385" s="95">
        <f t="shared" si="11"/>
        <v>237.50000000001</v>
      </c>
      <c r="K385" s="93">
        <f>IFERROR(VLOOKUP(E385,'Inventaire des produits'!$B$4:$J$1000,5,FALSE),"")</f>
        <v>0</v>
      </c>
      <c r="L385" s="301">
        <f>IFERROR(VLOOKUP(E385,'Inventaire des produits'!$B$4:$J$1000,6,FALSE),"")</f>
        <v>0.55000000000000004</v>
      </c>
      <c r="M385" s="62">
        <v>687.5</v>
      </c>
      <c r="N385" s="52" t="s">
        <v>473</v>
      </c>
    </row>
    <row r="386" spans="2:14" x14ac:dyDescent="0.3">
      <c r="B386" s="378" t="s">
        <v>1704</v>
      </c>
      <c r="C386" s="342"/>
      <c r="D386" s="339"/>
      <c r="E386" s="235" t="s">
        <v>372</v>
      </c>
      <c r="F386" s="271" t="str">
        <f>IFERROR(VLOOKUP(E386,'Inventaire des produits'!$B$4:$K$1000,2,0),"")</f>
        <v>BARQUETTE VITA PACK 750ML AVEC CVL</v>
      </c>
      <c r="G386" s="250">
        <v>250</v>
      </c>
      <c r="H386" s="77">
        <v>1.5</v>
      </c>
      <c r="I386" s="95">
        <f t="shared" si="10"/>
        <v>375</v>
      </c>
      <c r="J386" s="95">
        <f t="shared" si="11"/>
        <v>450</v>
      </c>
      <c r="K386" s="93">
        <f>IFERROR(VLOOKUP(E386,'Inventaire des produits'!$B$4:$J$1000,5,FALSE),"")</f>
        <v>0</v>
      </c>
      <c r="L386" s="301">
        <f>IFERROR(VLOOKUP(E386,'Inventaire des produits'!$B$4:$J$1000,6,FALSE),"")</f>
        <v>1.34</v>
      </c>
      <c r="M386" s="62"/>
    </row>
    <row r="387" spans="2:14" x14ac:dyDescent="0.3">
      <c r="B387" s="378" t="s">
        <v>1704</v>
      </c>
      <c r="C387" s="55">
        <v>45371</v>
      </c>
      <c r="D387" s="54" t="s">
        <v>594</v>
      </c>
      <c r="E387" s="237" t="s">
        <v>548</v>
      </c>
      <c r="F387" s="271" t="str">
        <f>IFERROR(VLOOKUP(E387,'Inventaire des produits'!$B$4:$K$1000,2,0),"")</f>
        <v>BARQUETTE ALUMINIUM 802</v>
      </c>
      <c r="G387" s="249">
        <v>70000</v>
      </c>
      <c r="H387" s="76">
        <v>0.48809999999999998</v>
      </c>
      <c r="I387" s="95">
        <f t="shared" si="10"/>
        <v>34167</v>
      </c>
      <c r="J387" s="95">
        <f t="shared" si="11"/>
        <v>41000.400000000001</v>
      </c>
      <c r="K387" s="93">
        <f>IFERROR(VLOOKUP(E387,'Inventaire des produits'!$B$4:$J$1000,5,FALSE),"")</f>
        <v>0</v>
      </c>
      <c r="L387" s="301">
        <f>IFERROR(VLOOKUP(E387,'Inventaire des produits'!$B$4:$J$1000,6,FALSE),"")</f>
        <v>0.45833000000000002</v>
      </c>
      <c r="M387" s="62">
        <v>41000.400000000001</v>
      </c>
      <c r="N387" s="52" t="s">
        <v>474</v>
      </c>
    </row>
    <row r="388" spans="2:14" x14ac:dyDescent="0.3">
      <c r="B388" s="378" t="s">
        <v>1704</v>
      </c>
      <c r="C388" s="340">
        <v>45372</v>
      </c>
      <c r="D388" s="359" t="s">
        <v>595</v>
      </c>
      <c r="E388" s="237" t="s">
        <v>372</v>
      </c>
      <c r="F388" s="271" t="str">
        <f>IFERROR(VLOOKUP(E388,'Inventaire des produits'!$B$4:$K$1000,2,0),"")</f>
        <v>BARQUETTE VITA PACK 750ML AVEC CVL</v>
      </c>
      <c r="G388" s="252">
        <v>950</v>
      </c>
      <c r="H388" s="85">
        <v>1.5421050000000001</v>
      </c>
      <c r="I388" s="95">
        <f t="shared" si="10"/>
        <v>1464.9997499999999</v>
      </c>
      <c r="J388" s="95">
        <f t="shared" si="11"/>
        <v>1757.9996999999998</v>
      </c>
      <c r="K388" s="93">
        <f>IFERROR(VLOOKUP(E388,'Inventaire des produits'!$B$4:$J$1000,5,FALSE),"")</f>
        <v>0</v>
      </c>
      <c r="L388" s="301">
        <f>IFERROR(VLOOKUP(E388,'Inventaire des produits'!$B$4:$J$1000,6,FALSE),"")</f>
        <v>1.34</v>
      </c>
      <c r="M388" s="62">
        <v>19264.810000000001</v>
      </c>
    </row>
    <row r="389" spans="2:14" x14ac:dyDescent="0.3">
      <c r="B389" s="378" t="s">
        <v>1704</v>
      </c>
      <c r="C389" s="341"/>
      <c r="D389" s="360"/>
      <c r="E389" s="235" t="s">
        <v>127</v>
      </c>
      <c r="F389" s="271" t="str">
        <f>IFERROR(VLOOKUP(E389,'Inventaire des produits'!$B$4:$K$1000,2,0),"")</f>
        <v>SERVIETTE DE TABLE SEVAN 1PLI</v>
      </c>
      <c r="G389" s="253">
        <v>300</v>
      </c>
      <c r="H389" s="77">
        <v>3.2083333333000001</v>
      </c>
      <c r="I389" s="95">
        <f t="shared" ref="I389:I452" si="12">IF(OR(G389="",H389=""),"",G389*H389)</f>
        <v>962.49999998999999</v>
      </c>
      <c r="J389" s="95">
        <f t="shared" ref="J389:J452" si="13">IF(OR(I389=""),"",I389*1.2)</f>
        <v>1154.9999999879999</v>
      </c>
      <c r="K389" s="93">
        <f>IFERROR(VLOOKUP(E389,'Inventaire des produits'!$B$4:$J$1000,5,FALSE),"")</f>
        <v>0</v>
      </c>
      <c r="L389" s="301">
        <f>IFERROR(VLOOKUP(E389,'Inventaire des produits'!$B$4:$J$1000,6,FALSE),"")</f>
        <v>2.9169999999999998</v>
      </c>
      <c r="M389" s="62"/>
    </row>
    <row r="390" spans="2:14" x14ac:dyDescent="0.3">
      <c r="B390" s="378" t="s">
        <v>1704</v>
      </c>
      <c r="C390" s="341"/>
      <c r="D390" s="360"/>
      <c r="E390" s="235" t="s">
        <v>95</v>
      </c>
      <c r="F390" s="271" t="str">
        <f>IFERROR(VLOOKUP(E390,'Inventaire des produits'!$B$4:$K$1000,2,0),"")</f>
        <v>POT DE SAUCE 2OZ NOIRE</v>
      </c>
      <c r="G390" s="253">
        <v>8000</v>
      </c>
      <c r="H390" s="80">
        <v>0.15</v>
      </c>
      <c r="I390" s="95">
        <f t="shared" si="12"/>
        <v>1200</v>
      </c>
      <c r="J390" s="95">
        <f t="shared" si="13"/>
        <v>1440</v>
      </c>
      <c r="K390" s="93">
        <f>IFERROR(VLOOKUP(E390,'Inventaire des produits'!$B$4:$J$1000,5,FALSE),"")</f>
        <v>0</v>
      </c>
      <c r="L390" s="301">
        <f>IFERROR(VLOOKUP(E390,'Inventaire des produits'!$B$4:$J$1000,6,FALSE),"")</f>
        <v>0.13600000000000001</v>
      </c>
      <c r="M390" s="62"/>
    </row>
    <row r="391" spans="2:14" x14ac:dyDescent="0.3">
      <c r="B391" s="378" t="s">
        <v>1704</v>
      </c>
      <c r="C391" s="341"/>
      <c r="D391" s="360"/>
      <c r="E391" s="235" t="s">
        <v>222</v>
      </c>
      <c r="F391" s="271" t="str">
        <f>IFERROR(VLOOKUP(E391,'Inventaire des produits'!$B$4:$K$1000,2,0),"")</f>
        <v>FILM ALIMENTAIRE ELEGENCE</v>
      </c>
      <c r="G391" s="253">
        <v>120</v>
      </c>
      <c r="H391" s="77">
        <v>25</v>
      </c>
      <c r="I391" s="95">
        <f t="shared" si="12"/>
        <v>3000</v>
      </c>
      <c r="J391" s="95">
        <f t="shared" si="13"/>
        <v>3600</v>
      </c>
      <c r="K391" s="93">
        <f>IFERROR(VLOOKUP(E391,'Inventaire des produits'!$B$4:$J$1000,5,FALSE),"")</f>
        <v>0</v>
      </c>
      <c r="L391" s="301">
        <f>IFERROR(VLOOKUP(E391,'Inventaire des produits'!$B$4:$J$1000,6,FALSE),"")</f>
        <v>20</v>
      </c>
      <c r="M391" s="62"/>
    </row>
    <row r="392" spans="2:14" x14ac:dyDescent="0.3">
      <c r="B392" s="378" t="s">
        <v>1704</v>
      </c>
      <c r="C392" s="341"/>
      <c r="D392" s="360"/>
      <c r="E392" s="235" t="s">
        <v>169</v>
      </c>
      <c r="F392" s="271" t="str">
        <f>IFERROR(VLOOKUP(E392,'Inventaire des produits'!$B$4:$K$1000,2,0),"")</f>
        <v>COUPE MACEDONIA</v>
      </c>
      <c r="G392" s="253">
        <v>2000</v>
      </c>
      <c r="H392" s="77">
        <v>0.75</v>
      </c>
      <c r="I392" s="95">
        <f t="shared" si="12"/>
        <v>1500</v>
      </c>
      <c r="J392" s="95">
        <f t="shared" si="13"/>
        <v>1800</v>
      </c>
      <c r="K392" s="93">
        <f>IFERROR(VLOOKUP(E392,'Inventaire des produits'!$B$4:$J$1000,5,FALSE),"")</f>
        <v>0</v>
      </c>
      <c r="L392" s="301">
        <f>IFERROR(VLOOKUP(E392,'Inventaire des produits'!$B$4:$J$1000,6,FALSE),"")</f>
        <v>0.82</v>
      </c>
      <c r="M392" s="62"/>
    </row>
    <row r="393" spans="2:14" x14ac:dyDescent="0.3">
      <c r="B393" s="378" t="s">
        <v>1704</v>
      </c>
      <c r="C393" s="341"/>
      <c r="D393" s="360"/>
      <c r="E393" s="235" t="s">
        <v>248</v>
      </c>
      <c r="F393" s="271" t="str">
        <f>IFERROR(VLOOKUP(E393,'Inventaire des produits'!$B$4:$K$1000,2,0),"")</f>
        <v>BARQUETTE SUSHI ST5 216*136*20+CVRCL</v>
      </c>
      <c r="G393" s="253">
        <v>1600</v>
      </c>
      <c r="H393" s="77">
        <v>1.542</v>
      </c>
      <c r="I393" s="95">
        <f t="shared" si="12"/>
        <v>2467.2000000000003</v>
      </c>
      <c r="J393" s="95">
        <f t="shared" si="13"/>
        <v>2960.6400000000003</v>
      </c>
      <c r="K393" s="93">
        <f>IFERROR(VLOOKUP(E393,'Inventaire des produits'!$B$4:$J$1000,5,FALSE),"")</f>
        <v>0</v>
      </c>
      <c r="L393" s="301">
        <f>IFERROR(VLOOKUP(E393,'Inventaire des produits'!$B$4:$J$1000,6,FALSE),"")</f>
        <v>1.3166666667</v>
      </c>
      <c r="M393" s="62"/>
    </row>
    <row r="394" spans="2:14" x14ac:dyDescent="0.3">
      <c r="B394" s="378" t="s">
        <v>1704</v>
      </c>
      <c r="C394" s="341"/>
      <c r="D394" s="360"/>
      <c r="E394" s="235" t="s">
        <v>149</v>
      </c>
      <c r="F394" s="271" t="str">
        <f>IFERROR(VLOOKUP(E394,'Inventaire des produits'!$B$4:$K$1000,2,0),"")</f>
        <v>BARQUETTE SUSHI ST2 218*90*20+CVRC</v>
      </c>
      <c r="G394" s="253">
        <v>800</v>
      </c>
      <c r="H394" s="77">
        <v>1.167</v>
      </c>
      <c r="I394" s="95">
        <f t="shared" si="12"/>
        <v>933.6</v>
      </c>
      <c r="J394" s="95">
        <f t="shared" si="13"/>
        <v>1120.32</v>
      </c>
      <c r="K394" s="93">
        <f>IFERROR(VLOOKUP(E394,'Inventaire des produits'!$B$4:$J$1000,5,FALSE),"")</f>
        <v>0</v>
      </c>
      <c r="L394" s="301">
        <f>IFERROR(VLOOKUP(E394,'Inventaire des produits'!$B$4:$J$1000,6,FALSE),"")</f>
        <v>1</v>
      </c>
      <c r="M394" s="62"/>
    </row>
    <row r="395" spans="2:14" x14ac:dyDescent="0.3">
      <c r="B395" s="378" t="s">
        <v>1704</v>
      </c>
      <c r="C395" s="341"/>
      <c r="D395" s="360"/>
      <c r="E395" s="235" t="s">
        <v>148</v>
      </c>
      <c r="F395" s="271" t="str">
        <f>IFERROR(VLOOKUP(E395,'Inventaire des produits'!$B$4:$K$1000,2,0),"")</f>
        <v>BARQUETTE SUSHI ST1 160*91*20</v>
      </c>
      <c r="G395" s="253">
        <v>800</v>
      </c>
      <c r="H395" s="77">
        <v>0.91700000000000004</v>
      </c>
      <c r="I395" s="95">
        <f t="shared" si="12"/>
        <v>733.6</v>
      </c>
      <c r="J395" s="95">
        <f t="shared" si="13"/>
        <v>880.32</v>
      </c>
      <c r="K395" s="93">
        <f>IFERROR(VLOOKUP(E395,'Inventaire des produits'!$B$4:$J$1000,5,FALSE),"")</f>
        <v>0</v>
      </c>
      <c r="L395" s="301">
        <f>IFERROR(VLOOKUP(E395,'Inventaire des produits'!$B$4:$J$1000,6,FALSE),"")</f>
        <v>0.75833333329999997</v>
      </c>
      <c r="M395" s="62"/>
    </row>
    <row r="396" spans="2:14" x14ac:dyDescent="0.3">
      <c r="B396" s="378" t="s">
        <v>1704</v>
      </c>
      <c r="C396" s="341"/>
      <c r="D396" s="360"/>
      <c r="E396" s="235" t="s">
        <v>677</v>
      </c>
      <c r="F396" s="271" t="str">
        <f>IFERROR(VLOOKUP(E396,'Inventaire des produits'!$B$4:$K$1000,2,0),"")</f>
        <v>BARQUETTE TRAITEUR 750CC MICRON ONDABLE</v>
      </c>
      <c r="G396" s="253">
        <v>2000</v>
      </c>
      <c r="H396" s="77">
        <v>1.125</v>
      </c>
      <c r="I396" s="95">
        <f t="shared" si="12"/>
        <v>2250</v>
      </c>
      <c r="J396" s="95">
        <f t="shared" si="13"/>
        <v>2700</v>
      </c>
      <c r="K396" s="93">
        <f>IFERROR(VLOOKUP(E396,'Inventaire des produits'!$B$4:$J$1000,5,FALSE),"")</f>
        <v>0</v>
      </c>
      <c r="L396" s="301">
        <f>IFERROR(VLOOKUP(E396,'Inventaire des produits'!$B$4:$J$1000,6,FALSE),"")</f>
        <v>1.1479166667</v>
      </c>
      <c r="M396" s="62"/>
    </row>
    <row r="397" spans="2:14" x14ac:dyDescent="0.3">
      <c r="B397" s="378" t="s">
        <v>1704</v>
      </c>
      <c r="C397" s="342"/>
      <c r="D397" s="361"/>
      <c r="E397" s="235" t="s">
        <v>693</v>
      </c>
      <c r="F397" s="271" t="str">
        <f>IFERROR(VLOOKUP(E397,'Inventaire des produits'!$B$4:$K$1000,2,0),"")</f>
        <v>BOLE SOUPE 16OZ MICRON ONDABLE</v>
      </c>
      <c r="G397" s="253">
        <v>1000</v>
      </c>
      <c r="H397" s="77">
        <v>1.5421050000000001</v>
      </c>
      <c r="I397" s="95">
        <f t="shared" si="12"/>
        <v>1542.105</v>
      </c>
      <c r="J397" s="95">
        <f t="shared" si="13"/>
        <v>1850.5259999999998</v>
      </c>
      <c r="K397" s="93">
        <f>IFERROR(VLOOKUP(E397,'Inventaire des produits'!$B$4:$J$1000,5,FALSE),"")</f>
        <v>500</v>
      </c>
      <c r="L397" s="301">
        <f>IFERROR(VLOOKUP(E397,'Inventaire des produits'!$B$4:$J$1000,6,FALSE),"")</f>
        <v>0.79200000000000004</v>
      </c>
      <c r="M397" s="62"/>
    </row>
    <row r="398" spans="2:14" ht="15" customHeight="1" x14ac:dyDescent="0.3">
      <c r="B398" s="378" t="s">
        <v>1704</v>
      </c>
      <c r="C398" s="340">
        <v>45378</v>
      </c>
      <c r="D398" s="337" t="s">
        <v>621</v>
      </c>
      <c r="E398" s="235" t="s">
        <v>127</v>
      </c>
      <c r="F398" s="271" t="str">
        <f>IFERROR(VLOOKUP(E398,'Inventaire des produits'!$B$4:$K$1000,2,0),"")</f>
        <v>SERVIETTE DE TABLE SEVAN 1PLI</v>
      </c>
      <c r="G398" s="230">
        <v>360</v>
      </c>
      <c r="H398" s="76">
        <v>3.5590000000000002</v>
      </c>
      <c r="I398" s="95">
        <f t="shared" si="12"/>
        <v>1281.24</v>
      </c>
      <c r="J398" s="95">
        <f t="shared" si="13"/>
        <v>1537.4880000000001</v>
      </c>
      <c r="K398" s="93">
        <f>IFERROR(VLOOKUP(E398,'Inventaire des produits'!$B$4:$J$1000,5,FALSE),"")</f>
        <v>0</v>
      </c>
      <c r="L398" s="301">
        <f>IFERROR(VLOOKUP(E398,'Inventaire des produits'!$B$4:$J$1000,6,FALSE),"")</f>
        <v>2.9169999999999998</v>
      </c>
      <c r="M398" s="62">
        <v>8300</v>
      </c>
      <c r="N398" s="52" t="s">
        <v>473</v>
      </c>
    </row>
    <row r="399" spans="2:14" ht="15" customHeight="1" x14ac:dyDescent="0.3">
      <c r="B399" s="378" t="s">
        <v>1704</v>
      </c>
      <c r="C399" s="341"/>
      <c r="D399" s="338"/>
      <c r="E399" s="235" t="s">
        <v>240</v>
      </c>
      <c r="F399" s="271" t="str">
        <f>IFERROR(VLOOKUP(E399,'Inventaire des produits'!$B$4:$K$1000,2,0),"")</f>
        <v>BARQUETTE ALUMINIUM 83420</v>
      </c>
      <c r="G399" s="63">
        <v>1800</v>
      </c>
      <c r="H399" s="80">
        <v>0.57599999999999996</v>
      </c>
      <c r="I399" s="95">
        <f t="shared" si="12"/>
        <v>1036.8</v>
      </c>
      <c r="J399" s="95">
        <f t="shared" si="13"/>
        <v>1244.1599999999999</v>
      </c>
      <c r="K399" s="93">
        <f>IFERROR(VLOOKUP(E399,'Inventaire des produits'!$B$4:$J$1000,5,FALSE),"")</f>
        <v>0</v>
      </c>
      <c r="L399" s="301">
        <f>IFERROR(VLOOKUP(E399,'Inventaire des produits'!$B$4:$J$1000,6,FALSE),"")</f>
        <v>0.32</v>
      </c>
      <c r="M399" s="62"/>
    </row>
    <row r="400" spans="2:14" x14ac:dyDescent="0.3">
      <c r="B400" s="378" t="s">
        <v>1704</v>
      </c>
      <c r="C400" s="341"/>
      <c r="D400" s="338"/>
      <c r="E400" s="235" t="s">
        <v>139</v>
      </c>
      <c r="F400" s="271" t="str">
        <f>IFERROR(VLOOKUP(E400,'Inventaire des produits'!$B$4:$K$1000,2,0),"")</f>
        <v>FILM ALIMENTAIRE 600G PET</v>
      </c>
      <c r="G400" s="63">
        <v>50</v>
      </c>
      <c r="H400" s="80">
        <v>20.074000000000002</v>
      </c>
      <c r="I400" s="95">
        <f t="shared" si="12"/>
        <v>1003.7</v>
      </c>
      <c r="J400" s="95">
        <f t="shared" si="13"/>
        <v>1204.44</v>
      </c>
      <c r="K400" s="93">
        <f>IFERROR(VLOOKUP(E400,'Inventaire des produits'!$B$4:$J$1000,5,FALSE),"")</f>
        <v>0</v>
      </c>
      <c r="L400" s="301">
        <f>IFERROR(VLOOKUP(E400,'Inventaire des produits'!$B$4:$J$1000,6,FALSE),"")</f>
        <v>12</v>
      </c>
      <c r="M400" s="62"/>
    </row>
    <row r="401" spans="2:13" x14ac:dyDescent="0.3">
      <c r="B401" s="378" t="s">
        <v>1704</v>
      </c>
      <c r="C401" s="341"/>
      <c r="D401" s="338"/>
      <c r="E401" s="235" t="s">
        <v>248</v>
      </c>
      <c r="F401" s="271" t="str">
        <f>IFERROR(VLOOKUP(E401,'Inventaire des produits'!$B$4:$K$1000,2,0),"")</f>
        <v>BARQUETTE SUSHI ST5 216*136*20+CVRCL</v>
      </c>
      <c r="G401" s="63">
        <v>800</v>
      </c>
      <c r="H401" s="80">
        <v>1.669</v>
      </c>
      <c r="I401" s="95">
        <f t="shared" si="12"/>
        <v>1335.2</v>
      </c>
      <c r="J401" s="95">
        <f t="shared" si="13"/>
        <v>1602.24</v>
      </c>
      <c r="K401" s="93">
        <f>IFERROR(VLOOKUP(E401,'Inventaire des produits'!$B$4:$J$1000,5,FALSE),"")</f>
        <v>0</v>
      </c>
      <c r="L401" s="301">
        <f>IFERROR(VLOOKUP(E401,'Inventaire des produits'!$B$4:$J$1000,6,FALSE),"")</f>
        <v>1.3166666667</v>
      </c>
      <c r="M401" s="62"/>
    </row>
    <row r="402" spans="2:13" x14ac:dyDescent="0.3">
      <c r="B402" s="378" t="s">
        <v>1704</v>
      </c>
      <c r="C402" s="341"/>
      <c r="D402" s="338"/>
      <c r="E402" s="235" t="s">
        <v>168</v>
      </c>
      <c r="F402" s="271" t="str">
        <f>IFERROR(VLOOKUP(E402,'Inventaire des produits'!$B$4:$K$1000,2,0),"")</f>
        <v>ESSUIE MAIN GKEM1KG</v>
      </c>
      <c r="G402" s="63">
        <v>40</v>
      </c>
      <c r="H402" s="80">
        <v>29</v>
      </c>
      <c r="I402" s="95">
        <f t="shared" si="12"/>
        <v>1160</v>
      </c>
      <c r="J402" s="95">
        <f t="shared" si="13"/>
        <v>1392</v>
      </c>
      <c r="K402" s="93">
        <f>IFERROR(VLOOKUP(E402,'Inventaire des produits'!$B$4:$J$1000,5,FALSE),"")</f>
        <v>0</v>
      </c>
      <c r="L402" s="301">
        <f>IFERROR(VLOOKUP(E402,'Inventaire des produits'!$B$4:$J$1000,6,FALSE),"")</f>
        <v>20.83</v>
      </c>
      <c r="M402" s="62"/>
    </row>
    <row r="403" spans="2:13" x14ac:dyDescent="0.3">
      <c r="B403" s="378" t="s">
        <v>1704</v>
      </c>
      <c r="C403" s="342"/>
      <c r="D403" s="339"/>
      <c r="E403" s="235" t="s">
        <v>259</v>
      </c>
      <c r="F403" s="271" t="str">
        <f>IFERROR(VLOOKUP(E403,'Inventaire des produits'!$B$4:$K$1000,2,0),"")</f>
        <v>ROULEAU ALUMINIUM GOLDEN 200M</v>
      </c>
      <c r="G403" s="254">
        <v>15</v>
      </c>
      <c r="H403" s="80">
        <v>73.314999999999998</v>
      </c>
      <c r="I403" s="95">
        <f t="shared" si="12"/>
        <v>1099.7249999999999</v>
      </c>
      <c r="J403" s="95">
        <f t="shared" si="13"/>
        <v>1319.6699999999998</v>
      </c>
      <c r="K403" s="93">
        <f>IFERROR(VLOOKUP(E403,'Inventaire des produits'!$B$4:$J$1000,5,FALSE),"")</f>
        <v>0</v>
      </c>
      <c r="L403" s="301">
        <f>IFERROR(VLOOKUP(E403,'Inventaire des produits'!$B$4:$J$1000,6,FALSE),"")</f>
        <v>58.333333333299997</v>
      </c>
      <c r="M403" s="62"/>
    </row>
    <row r="404" spans="2:13" x14ac:dyDescent="0.3">
      <c r="B404" s="378" t="s">
        <v>1704</v>
      </c>
      <c r="C404" s="55">
        <v>45379</v>
      </c>
      <c r="D404" s="54" t="s">
        <v>622</v>
      </c>
      <c r="E404" s="235" t="s">
        <v>479</v>
      </c>
      <c r="F404" s="271" t="str">
        <f>IFERROR(VLOOKUP(E404,'Inventaire des produits'!$B$4:$K$1000,2,0),"")</f>
        <v xml:space="preserve">SAC KRAFT 22*17*28 </v>
      </c>
      <c r="G404" s="255">
        <v>5000</v>
      </c>
      <c r="H404" s="79">
        <v>1.1666666667000001</v>
      </c>
      <c r="I404" s="95">
        <f t="shared" si="12"/>
        <v>5833.3333335000007</v>
      </c>
      <c r="J404" s="95">
        <f t="shared" si="13"/>
        <v>7000.0000002000006</v>
      </c>
      <c r="K404" s="93">
        <f>IFERROR(VLOOKUP(E404,'Inventaire des produits'!$B$4:$J$1000,5,FALSE),"")</f>
        <v>0</v>
      </c>
      <c r="L404" s="301">
        <f>IFERROR(VLOOKUP(E404,'Inventaire des produits'!$B$4:$J$1000,6,FALSE),"")</f>
        <v>0.71</v>
      </c>
      <c r="M404" s="62">
        <v>7000</v>
      </c>
    </row>
    <row r="405" spans="2:13" x14ac:dyDescent="0.3">
      <c r="B405" s="378" t="s">
        <v>1704</v>
      </c>
      <c r="C405" s="55">
        <v>45380</v>
      </c>
      <c r="D405" s="54" t="s">
        <v>623</v>
      </c>
      <c r="E405" s="235" t="s">
        <v>135</v>
      </c>
      <c r="F405" s="271" t="str">
        <f>IFERROR(VLOOKUP(E405,'Inventaire des produits'!$B$4:$K$1000,2,0),"")</f>
        <v>GOBLET 14OZ EN PLAST TRANS SMART + CV PLAT</v>
      </c>
      <c r="G405" s="247">
        <v>491</v>
      </c>
      <c r="H405" s="79">
        <v>0.65003999999999995</v>
      </c>
      <c r="I405" s="95">
        <f t="shared" si="12"/>
        <v>319.16963999999996</v>
      </c>
      <c r="J405" s="95">
        <f t="shared" si="13"/>
        <v>383.00356799999992</v>
      </c>
      <c r="K405" s="93">
        <f>IFERROR(VLOOKUP(E405,'Inventaire des produits'!$B$4:$J$1000,5,FALSE),"")</f>
        <v>0</v>
      </c>
      <c r="L405" s="301">
        <f>IFERROR(VLOOKUP(E405,'Inventaire des produits'!$B$4:$J$1000,6,FALSE),"")</f>
        <v>0.46875</v>
      </c>
      <c r="M405" s="62">
        <v>383</v>
      </c>
    </row>
    <row r="406" spans="2:13" x14ac:dyDescent="0.3">
      <c r="B406" s="378" t="s">
        <v>1704</v>
      </c>
      <c r="C406" s="340">
        <v>45381</v>
      </c>
      <c r="D406" s="337" t="s">
        <v>626</v>
      </c>
      <c r="E406" s="235" t="s">
        <v>127</v>
      </c>
      <c r="F406" s="271" t="str">
        <f>IFERROR(VLOOKUP(E406,'Inventaire des produits'!$B$4:$K$1000,2,0),"")</f>
        <v>SERVIETTE DE TABLE SEVAN 1PLI</v>
      </c>
      <c r="G406" s="50">
        <v>180</v>
      </c>
      <c r="H406" s="80">
        <v>3.7500499999999999</v>
      </c>
      <c r="I406" s="95">
        <f t="shared" si="12"/>
        <v>675.00900000000001</v>
      </c>
      <c r="J406" s="95">
        <f t="shared" si="13"/>
        <v>810.01080000000002</v>
      </c>
      <c r="K406" s="93">
        <f>IFERROR(VLOOKUP(E406,'Inventaire des produits'!$B$4:$J$1000,5,FALSE),"")</f>
        <v>0</v>
      </c>
      <c r="L406" s="301">
        <f>IFERROR(VLOOKUP(E406,'Inventaire des produits'!$B$4:$J$1000,6,FALSE),"")</f>
        <v>2.9169999999999998</v>
      </c>
      <c r="M406" s="62">
        <v>1560</v>
      </c>
    </row>
    <row r="407" spans="2:13" x14ac:dyDescent="0.3">
      <c r="B407" s="378" t="s">
        <v>1704</v>
      </c>
      <c r="C407" s="341"/>
      <c r="D407" s="338"/>
      <c r="E407" s="235" t="s">
        <v>537</v>
      </c>
      <c r="F407" s="271" t="str">
        <f>IFERROR(VLOOKUP(E407,'Inventaire des produits'!$B$4:$K$1000,2,0),"")</f>
        <v>PAILLE ENVELOPPE 6MM CODE 100 TRANS</v>
      </c>
      <c r="G407" s="63">
        <v>6</v>
      </c>
      <c r="H407" s="80">
        <v>8.3333332999999996</v>
      </c>
      <c r="I407" s="95">
        <f t="shared" si="12"/>
        <v>49.999999799999998</v>
      </c>
      <c r="J407" s="95">
        <f t="shared" si="13"/>
        <v>59.999999759999994</v>
      </c>
      <c r="K407" s="93">
        <f>IFERROR(VLOOKUP(E407,'Inventaire des produits'!$B$4:$J$1000,5,FALSE),"")</f>
        <v>0</v>
      </c>
      <c r="L407" s="301">
        <f>IFERROR(VLOOKUP(E407,'Inventaire des produits'!$B$4:$J$1000,6,FALSE),"")</f>
        <v>4.5</v>
      </c>
      <c r="M407" s="62"/>
    </row>
    <row r="408" spans="2:13" x14ac:dyDescent="0.3">
      <c r="B408" s="378" t="s">
        <v>1704</v>
      </c>
      <c r="C408" s="341"/>
      <c r="D408" s="338"/>
      <c r="E408" s="235" t="s">
        <v>322</v>
      </c>
      <c r="F408" s="271" t="str">
        <f>IFERROR(VLOOKUP(E408,'Inventaire des produits'!$B$4:$K$1000,2,0),"")</f>
        <v>POT DE SAUCE 1OZ 30ML HP</v>
      </c>
      <c r="G408" s="63">
        <v>2000</v>
      </c>
      <c r="H408" s="80">
        <v>0.125</v>
      </c>
      <c r="I408" s="95">
        <f t="shared" si="12"/>
        <v>250</v>
      </c>
      <c r="J408" s="95">
        <f t="shared" si="13"/>
        <v>300</v>
      </c>
      <c r="K408" s="93">
        <f>IFERROR(VLOOKUP(E408,'Inventaire des produits'!$B$4:$J$1000,5,FALSE),"")</f>
        <v>0</v>
      </c>
      <c r="L408" s="301">
        <f>IFERROR(VLOOKUP(E408,'Inventaire des produits'!$B$4:$J$1000,6,FALSE),"")</f>
        <v>0.13500000000000001</v>
      </c>
      <c r="M408" s="62"/>
    </row>
    <row r="409" spans="2:13" x14ac:dyDescent="0.3">
      <c r="B409" s="378" t="s">
        <v>1704</v>
      </c>
      <c r="C409" s="342"/>
      <c r="D409" s="339"/>
      <c r="E409" s="235" t="s">
        <v>64</v>
      </c>
      <c r="F409" s="271" t="str">
        <f>IFERROR(VLOOKUP(E409,'Inventaire des produits'!$B$4:$K$1000,2,0),"")</f>
        <v>POT DE SAUCE 2OZ NOIRE</v>
      </c>
      <c r="G409" s="63">
        <v>2300</v>
      </c>
      <c r="H409" s="80">
        <v>0.14130000000000001</v>
      </c>
      <c r="I409" s="95">
        <f t="shared" si="12"/>
        <v>324.99</v>
      </c>
      <c r="J409" s="95">
        <f t="shared" si="13"/>
        <v>389.988</v>
      </c>
      <c r="K409" s="93">
        <f>IFERROR(VLOOKUP(E409,'Inventaire des produits'!$B$4:$J$1000,5,FALSE),"")</f>
        <v>0</v>
      </c>
      <c r="L409" s="301">
        <f>IFERROR(VLOOKUP(E409,'Inventaire des produits'!$B$4:$J$1000,6,FALSE),"")</f>
        <v>0.13339999999999999</v>
      </c>
      <c r="M409" s="62"/>
    </row>
    <row r="410" spans="2:13" x14ac:dyDescent="0.3">
      <c r="B410" s="378" t="s">
        <v>1704</v>
      </c>
      <c r="C410" s="340">
        <v>45381</v>
      </c>
      <c r="D410" s="337" t="s">
        <v>627</v>
      </c>
      <c r="E410" s="235" t="s">
        <v>127</v>
      </c>
      <c r="F410" s="271" t="str">
        <f>IFERROR(VLOOKUP(E410,'Inventaire des produits'!$B$4:$K$1000,2,0),"")</f>
        <v>SERVIETTE DE TABLE SEVAN 1PLI</v>
      </c>
      <c r="G410" s="230">
        <v>40</v>
      </c>
      <c r="H410" s="83">
        <v>3.7509999999999999</v>
      </c>
      <c r="I410" s="95">
        <f t="shared" si="12"/>
        <v>150.04</v>
      </c>
      <c r="J410" s="95">
        <f t="shared" si="13"/>
        <v>180.04799999999997</v>
      </c>
      <c r="K410" s="93">
        <f>IFERROR(VLOOKUP(E410,'Inventaire des produits'!$B$4:$J$1000,5,FALSE),"")</f>
        <v>0</v>
      </c>
      <c r="L410" s="301">
        <f>IFERROR(VLOOKUP(E410,'Inventaire des produits'!$B$4:$J$1000,6,FALSE),"")</f>
        <v>2.9169999999999998</v>
      </c>
      <c r="M410" s="62">
        <v>400</v>
      </c>
    </row>
    <row r="411" spans="2:13" x14ac:dyDescent="0.3">
      <c r="B411" s="378" t="s">
        <v>1704</v>
      </c>
      <c r="C411" s="341"/>
      <c r="D411" s="338"/>
      <c r="E411" s="235" t="s">
        <v>237</v>
      </c>
      <c r="F411" s="271" t="str">
        <f>IFERROR(VLOOKUP(E411,'Inventaire des produits'!$B$4:$K$1000,2,0),"")</f>
        <v>ROULEAU ALUMINIUM GOLDEN 200M</v>
      </c>
      <c r="G411" s="231">
        <v>1</v>
      </c>
      <c r="H411" s="84">
        <v>66.666666667000001</v>
      </c>
      <c r="I411" s="95">
        <f t="shared" si="12"/>
        <v>66.666666667000001</v>
      </c>
      <c r="J411" s="95">
        <f t="shared" si="13"/>
        <v>80.000000000399993</v>
      </c>
      <c r="K411" s="93">
        <f>IFERROR(VLOOKUP(E411,'Inventaire des produits'!$B$4:$J$1000,5,FALSE),"")</f>
        <v>0</v>
      </c>
      <c r="L411" s="301">
        <f>IFERROR(VLOOKUP(E411,'Inventaire des produits'!$B$4:$J$1000,6,FALSE),"")</f>
        <v>60</v>
      </c>
      <c r="M411" s="62"/>
    </row>
    <row r="412" spans="2:13" x14ac:dyDescent="0.3">
      <c r="B412" s="378" t="s">
        <v>1704</v>
      </c>
      <c r="C412" s="341"/>
      <c r="D412" s="338"/>
      <c r="E412" s="235" t="s">
        <v>64</v>
      </c>
      <c r="F412" s="271" t="str">
        <f>IFERROR(VLOOKUP(E412,'Inventaire des produits'!$B$4:$K$1000,2,0),"")</f>
        <v>POT DE SAUCE 2OZ NOIRE</v>
      </c>
      <c r="G412" s="231">
        <v>700</v>
      </c>
      <c r="H412" s="84">
        <v>0.14280000000000001</v>
      </c>
      <c r="I412" s="95">
        <f t="shared" si="12"/>
        <v>99.960000000000008</v>
      </c>
      <c r="J412" s="95">
        <f t="shared" si="13"/>
        <v>119.952</v>
      </c>
      <c r="K412" s="93">
        <f>IFERROR(VLOOKUP(E412,'Inventaire des produits'!$B$4:$J$1000,5,FALSE),"")</f>
        <v>0</v>
      </c>
      <c r="L412" s="301">
        <f>IFERROR(VLOOKUP(E412,'Inventaire des produits'!$B$4:$J$1000,6,FALSE),"")</f>
        <v>0.13339999999999999</v>
      </c>
      <c r="M412" s="62"/>
    </row>
    <row r="413" spans="2:13" x14ac:dyDescent="0.3">
      <c r="B413" s="378" t="s">
        <v>1704</v>
      </c>
      <c r="C413" s="342"/>
      <c r="D413" s="339"/>
      <c r="E413" s="235" t="s">
        <v>537</v>
      </c>
      <c r="F413" s="271" t="str">
        <f>IFERROR(VLOOKUP(E413,'Inventaire des produits'!$B$4:$K$1000,2,0),"")</f>
        <v>PAILLE ENVELOPPE 6MM CODE 100 TRANS</v>
      </c>
      <c r="G413" s="232">
        <v>2</v>
      </c>
      <c r="H413" s="86">
        <v>8.3333332999999996</v>
      </c>
      <c r="I413" s="95">
        <f t="shared" si="12"/>
        <v>16.666666599999999</v>
      </c>
      <c r="J413" s="95">
        <f t="shared" si="13"/>
        <v>19.999999919999997</v>
      </c>
      <c r="K413" s="93">
        <f>IFERROR(VLOOKUP(E413,'Inventaire des produits'!$B$4:$J$1000,5,FALSE),"")</f>
        <v>0</v>
      </c>
      <c r="L413" s="301">
        <f>IFERROR(VLOOKUP(E413,'Inventaire des produits'!$B$4:$J$1000,6,FALSE),"")</f>
        <v>4.5</v>
      </c>
      <c r="M413" s="62"/>
    </row>
    <row r="414" spans="2:13" x14ac:dyDescent="0.3">
      <c r="B414" s="378" t="s">
        <v>1704</v>
      </c>
      <c r="C414" s="340">
        <v>45382</v>
      </c>
      <c r="D414" s="337" t="s">
        <v>628</v>
      </c>
      <c r="E414" s="235" t="s">
        <v>114</v>
      </c>
      <c r="F414" s="271" t="str">
        <f>IFERROR(VLOOKUP(E414,'Inventaire des produits'!$B$4:$K$1000,2,0),"")</f>
        <v>BARQUETTE MICRON ONDABLE 2 COMP AVEC CVL 300PCS</v>
      </c>
      <c r="G414" s="50">
        <v>1</v>
      </c>
      <c r="H414" s="85">
        <v>823.42</v>
      </c>
      <c r="I414" s="95">
        <f t="shared" si="12"/>
        <v>823.42</v>
      </c>
      <c r="J414" s="95">
        <f t="shared" si="13"/>
        <v>988.10399999999993</v>
      </c>
      <c r="K414" s="93">
        <f>IFERROR(VLOOKUP(E414,'Inventaire des produits'!$B$4:$J$1000,5,FALSE),"")</f>
        <v>0</v>
      </c>
      <c r="L414" s="301">
        <f>IFERROR(VLOOKUP(E414,'Inventaire des produits'!$B$4:$J$1000,6,FALSE),"")</f>
        <v>593.75</v>
      </c>
      <c r="M414" s="62">
        <v>4033</v>
      </c>
    </row>
    <row r="415" spans="2:13" x14ac:dyDescent="0.3">
      <c r="B415" s="378" t="s">
        <v>1704</v>
      </c>
      <c r="C415" s="341"/>
      <c r="D415" s="338"/>
      <c r="E415" s="235" t="s">
        <v>119</v>
      </c>
      <c r="F415" s="271" t="str">
        <f>IFERROR(VLOOKUP(E415,'Inventaire des produits'!$B$4:$K$1000,2,0),"")</f>
        <v>BARQUETTE MICRON ONDABLE 2 COMP AVEC CVL 300PCS</v>
      </c>
      <c r="G415" s="63">
        <v>1</v>
      </c>
      <c r="H415" s="80">
        <v>823.42</v>
      </c>
      <c r="I415" s="95">
        <f t="shared" si="12"/>
        <v>823.42</v>
      </c>
      <c r="J415" s="95">
        <f t="shared" si="13"/>
        <v>988.10399999999993</v>
      </c>
      <c r="K415" s="93">
        <f>IFERROR(VLOOKUP(E415,'Inventaire des produits'!$B$4:$J$1000,5,FALSE),"")</f>
        <v>0</v>
      </c>
      <c r="L415" s="301">
        <f>IFERROR(VLOOKUP(E415,'Inventaire des produits'!$B$4:$J$1000,6,FALSE),"")</f>
        <v>625</v>
      </c>
      <c r="M415" s="62"/>
    </row>
    <row r="416" spans="2:13" x14ac:dyDescent="0.3">
      <c r="B416" s="378" t="s">
        <v>1704</v>
      </c>
      <c r="C416" s="341"/>
      <c r="D416" s="338"/>
      <c r="E416" s="235" t="s">
        <v>236</v>
      </c>
      <c r="F416" s="271" t="str">
        <f>IFERROR(VLOOKUP(E416,'Inventaire des produits'!$B$4:$K$1000,2,0),"")</f>
        <v>COQUILLE MEAL BOX 2 COMP BLANC</v>
      </c>
      <c r="G416" s="63">
        <v>200</v>
      </c>
      <c r="H416" s="80">
        <v>1.25</v>
      </c>
      <c r="I416" s="95">
        <f t="shared" si="12"/>
        <v>250</v>
      </c>
      <c r="J416" s="95">
        <f t="shared" si="13"/>
        <v>300</v>
      </c>
      <c r="K416" s="93">
        <f>IFERROR(VLOOKUP(E416,'Inventaire des produits'!$B$4:$J$1000,5,FALSE),"")</f>
        <v>0</v>
      </c>
      <c r="L416" s="301">
        <f>IFERROR(VLOOKUP(E416,'Inventaire des produits'!$B$4:$J$1000,6,FALSE),"")</f>
        <v>0.91666666669999997</v>
      </c>
      <c r="M416" s="62"/>
    </row>
    <row r="417" spans="2:13" x14ac:dyDescent="0.3">
      <c r="B417" s="378" t="s">
        <v>1704</v>
      </c>
      <c r="C417" s="341"/>
      <c r="D417" s="338"/>
      <c r="E417" s="235" t="s">
        <v>162</v>
      </c>
      <c r="F417" s="271" t="str">
        <f>IFERROR(VLOOKUP(E417,'Inventaire des produits'!$B$4:$K$1000,2,0),"")</f>
        <v>COQUILLE LUNCH BOX LARGE HB10 BLANC</v>
      </c>
      <c r="G417" s="63">
        <v>300</v>
      </c>
      <c r="H417" s="80">
        <v>1</v>
      </c>
      <c r="I417" s="95">
        <f t="shared" si="12"/>
        <v>300</v>
      </c>
      <c r="J417" s="95">
        <f t="shared" si="13"/>
        <v>360</v>
      </c>
      <c r="K417" s="93">
        <f>IFERROR(VLOOKUP(E417,'Inventaire des produits'!$B$4:$J$1000,5,FALSE),"")</f>
        <v>0</v>
      </c>
      <c r="L417" s="301">
        <f>IFERROR(VLOOKUP(E417,'Inventaire des produits'!$B$4:$J$1000,6,FALSE),"")</f>
        <v>0.75</v>
      </c>
      <c r="M417" s="62"/>
    </row>
    <row r="418" spans="2:13" x14ac:dyDescent="0.3">
      <c r="B418" s="378" t="s">
        <v>1704</v>
      </c>
      <c r="C418" s="341"/>
      <c r="D418" s="338"/>
      <c r="E418" s="235" t="s">
        <v>127</v>
      </c>
      <c r="F418" s="271" t="str">
        <f>IFERROR(VLOOKUP(E418,'Inventaire des produits'!$B$4:$K$1000,2,0),"")</f>
        <v>SERVIETTE DE TABLE SEVAN 1PLI</v>
      </c>
      <c r="G418" s="63">
        <v>80</v>
      </c>
      <c r="H418" s="80">
        <v>4</v>
      </c>
      <c r="I418" s="95">
        <f t="shared" si="12"/>
        <v>320</v>
      </c>
      <c r="J418" s="95">
        <f t="shared" si="13"/>
        <v>384</v>
      </c>
      <c r="K418" s="93">
        <f>IFERROR(VLOOKUP(E418,'Inventaire des produits'!$B$4:$J$1000,5,FALSE),"")</f>
        <v>0</v>
      </c>
      <c r="L418" s="301">
        <f>IFERROR(VLOOKUP(E418,'Inventaire des produits'!$B$4:$J$1000,6,FALSE),"")</f>
        <v>2.9169999999999998</v>
      </c>
      <c r="M418" s="62"/>
    </row>
    <row r="419" spans="2:13" x14ac:dyDescent="0.3">
      <c r="B419" s="378" t="s">
        <v>1704</v>
      </c>
      <c r="C419" s="341"/>
      <c r="D419" s="338"/>
      <c r="E419" s="235" t="s">
        <v>537</v>
      </c>
      <c r="F419" s="271" t="str">
        <f>IFERROR(VLOOKUP(E419,'Inventaire des produits'!$B$4:$K$1000,2,0),"")</f>
        <v>PAILLE ENVELOPPE 6MM CODE 100 TRANS</v>
      </c>
      <c r="G419" s="63">
        <v>2</v>
      </c>
      <c r="H419" s="80">
        <v>8.33</v>
      </c>
      <c r="I419" s="95">
        <f t="shared" si="12"/>
        <v>16.66</v>
      </c>
      <c r="J419" s="95">
        <f t="shared" si="13"/>
        <v>19.992000000000001</v>
      </c>
      <c r="K419" s="93">
        <f>IFERROR(VLOOKUP(E419,'Inventaire des produits'!$B$4:$J$1000,5,FALSE),"")</f>
        <v>0</v>
      </c>
      <c r="L419" s="301">
        <f>IFERROR(VLOOKUP(E419,'Inventaire des produits'!$B$4:$J$1000,6,FALSE),"")</f>
        <v>4.5</v>
      </c>
      <c r="M419" s="62"/>
    </row>
    <row r="420" spans="2:13" x14ac:dyDescent="0.3">
      <c r="B420" s="378" t="s">
        <v>1704</v>
      </c>
      <c r="C420" s="341"/>
      <c r="D420" s="338"/>
      <c r="E420" s="235" t="s">
        <v>64</v>
      </c>
      <c r="F420" s="271" t="str">
        <f>IFERROR(VLOOKUP(E420,'Inventaire des produits'!$B$4:$K$1000,2,0),"")</f>
        <v>POT DE SAUCE 2OZ NOIRE</v>
      </c>
      <c r="G420" s="250">
        <v>1000</v>
      </c>
      <c r="H420" s="77">
        <v>0.1371</v>
      </c>
      <c r="I420" s="95">
        <f t="shared" si="12"/>
        <v>137.1</v>
      </c>
      <c r="J420" s="95">
        <f t="shared" si="13"/>
        <v>164.51999999999998</v>
      </c>
      <c r="K420" s="93">
        <f>IFERROR(VLOOKUP(E420,'Inventaire des produits'!$B$4:$J$1000,5,FALSE),"")</f>
        <v>0</v>
      </c>
      <c r="L420" s="301">
        <f>IFERROR(VLOOKUP(E420,'Inventaire des produits'!$B$4:$J$1000,6,FALSE),"")</f>
        <v>0.13339999999999999</v>
      </c>
      <c r="M420" s="62"/>
    </row>
    <row r="421" spans="2:13" x14ac:dyDescent="0.3">
      <c r="B421" s="378" t="s">
        <v>1704</v>
      </c>
      <c r="C421" s="341"/>
      <c r="D421" s="338"/>
      <c r="E421" s="235" t="s">
        <v>293</v>
      </c>
      <c r="F421" s="271" t="str">
        <f>IFERROR(VLOOKUP(E421,'Inventaire des produits'!$B$4:$K$1000,2,0),"")</f>
        <v>PAPIER ZIGZAG</v>
      </c>
      <c r="G421" s="250">
        <v>20</v>
      </c>
      <c r="H421" s="77">
        <v>12.5</v>
      </c>
      <c r="I421" s="95">
        <f t="shared" si="12"/>
        <v>250</v>
      </c>
      <c r="J421" s="95">
        <f t="shared" si="13"/>
        <v>300</v>
      </c>
      <c r="K421" s="93">
        <f>IFERROR(VLOOKUP(E421,'Inventaire des produits'!$B$4:$J$1000,5,FALSE),"")</f>
        <v>0</v>
      </c>
      <c r="L421" s="301">
        <f>IFERROR(VLOOKUP(E421,'Inventaire des produits'!$B$4:$J$1000,6,FALSE),"")</f>
        <v>9</v>
      </c>
      <c r="M421" s="62"/>
    </row>
    <row r="422" spans="2:13" x14ac:dyDescent="0.3">
      <c r="B422" s="378" t="s">
        <v>1704</v>
      </c>
      <c r="C422" s="341"/>
      <c r="D422" s="338"/>
      <c r="E422" s="235" t="s">
        <v>222</v>
      </c>
      <c r="F422" s="271" t="str">
        <f>IFERROR(VLOOKUP(E422,'Inventaire des produits'!$B$4:$K$1000,2,0),"")</f>
        <v>FILM ALIMENTAIRE ELEGENCE</v>
      </c>
      <c r="G422" s="250">
        <v>3</v>
      </c>
      <c r="H422" s="77">
        <v>31.66</v>
      </c>
      <c r="I422" s="95">
        <f t="shared" si="12"/>
        <v>94.98</v>
      </c>
      <c r="J422" s="95">
        <f t="shared" si="13"/>
        <v>113.976</v>
      </c>
      <c r="K422" s="93">
        <f>IFERROR(VLOOKUP(E422,'Inventaire des produits'!$B$4:$J$1000,5,FALSE),"")</f>
        <v>0</v>
      </c>
      <c r="L422" s="301">
        <f>IFERROR(VLOOKUP(E422,'Inventaire des produits'!$B$4:$J$1000,6,FALSE),"")</f>
        <v>20</v>
      </c>
      <c r="M422" s="62"/>
    </row>
    <row r="423" spans="2:13" x14ac:dyDescent="0.3">
      <c r="B423" s="378" t="s">
        <v>1704</v>
      </c>
      <c r="C423" s="341"/>
      <c r="D423" s="338"/>
      <c r="E423" s="235" t="s">
        <v>259</v>
      </c>
      <c r="F423" s="271" t="str">
        <f>IFERROR(VLOOKUP(E423,'Inventaire des produits'!$B$4:$K$1000,2,0),"")</f>
        <v>ROULEAU ALUMINIUM GOLDEN 200M</v>
      </c>
      <c r="G423" s="250">
        <v>1</v>
      </c>
      <c r="H423" s="77">
        <v>75</v>
      </c>
      <c r="I423" s="95">
        <f t="shared" si="12"/>
        <v>75</v>
      </c>
      <c r="J423" s="95">
        <f t="shared" si="13"/>
        <v>90</v>
      </c>
      <c r="K423" s="93">
        <f>IFERROR(VLOOKUP(E423,'Inventaire des produits'!$B$4:$J$1000,5,FALSE),"")</f>
        <v>0</v>
      </c>
      <c r="L423" s="301">
        <f>IFERROR(VLOOKUP(E423,'Inventaire des produits'!$B$4:$J$1000,6,FALSE),"")</f>
        <v>58.333333333299997</v>
      </c>
      <c r="M423" s="62"/>
    </row>
    <row r="424" spans="2:13" x14ac:dyDescent="0.3">
      <c r="B424" s="378" t="s">
        <v>1704</v>
      </c>
      <c r="C424" s="342"/>
      <c r="D424" s="339"/>
      <c r="E424" s="235" t="s">
        <v>348</v>
      </c>
      <c r="F424" s="271" t="str">
        <f>IFERROR(VLOOKUP(E424,'Inventaire des produits'!$B$4:$K$1000,2,0),"")</f>
        <v xml:space="preserve">SAC KRAFT 22*17*28 </v>
      </c>
      <c r="G424" s="256">
        <v>250</v>
      </c>
      <c r="H424" s="78">
        <v>1.081</v>
      </c>
      <c r="I424" s="95">
        <f t="shared" si="12"/>
        <v>270.25</v>
      </c>
      <c r="J424" s="95">
        <f t="shared" si="13"/>
        <v>324.3</v>
      </c>
      <c r="K424" s="93">
        <f>IFERROR(VLOOKUP(E424,'Inventaire des produits'!$B$4:$J$1000,5,FALSE),"")</f>
        <v>0</v>
      </c>
      <c r="L424" s="301">
        <f>IFERROR(VLOOKUP(E424,'Inventaire des produits'!$B$4:$J$1000,6,FALSE),"")</f>
        <v>0.63</v>
      </c>
      <c r="M424" s="62"/>
    </row>
    <row r="425" spans="2:13" x14ac:dyDescent="0.3">
      <c r="B425" s="378" t="s">
        <v>1704</v>
      </c>
      <c r="C425" s="340">
        <v>45383</v>
      </c>
      <c r="D425" s="337" t="s">
        <v>624</v>
      </c>
      <c r="E425" s="235" t="s">
        <v>224</v>
      </c>
      <c r="F425" s="271" t="str">
        <f>IFERROR(VLOOKUP(E425,'Inventaire des produits'!$B$4:$K$1000,2,0),"")</f>
        <v>FOURCHETTE LUX</v>
      </c>
      <c r="G425" s="231">
        <v>5</v>
      </c>
      <c r="H425" s="87">
        <v>23.4</v>
      </c>
      <c r="I425" s="95">
        <f t="shared" si="12"/>
        <v>117</v>
      </c>
      <c r="J425" s="95">
        <f t="shared" si="13"/>
        <v>140.4</v>
      </c>
      <c r="K425" s="93">
        <f>IFERROR(VLOOKUP(E425,'Inventaire des produits'!$B$4:$J$1000,5,FALSE),"")</f>
        <v>0</v>
      </c>
      <c r="L425" s="301">
        <f>IFERROR(VLOOKUP(E425,'Inventaire des produits'!$B$4:$J$1000,6,FALSE),"")</f>
        <v>14.382</v>
      </c>
      <c r="M425" s="62">
        <v>978</v>
      </c>
    </row>
    <row r="426" spans="2:13" x14ac:dyDescent="0.3">
      <c r="B426" s="378" t="s">
        <v>1704</v>
      </c>
      <c r="C426" s="341"/>
      <c r="D426" s="338"/>
      <c r="E426" s="235" t="s">
        <v>251</v>
      </c>
      <c r="F426" s="271" t="str">
        <f>IFERROR(VLOOKUP(E426,'Inventaire des produits'!$B$4:$K$1000,2,0),"")</f>
        <v>COUTEAU ECOLUXE</v>
      </c>
      <c r="G426" s="63">
        <v>5</v>
      </c>
      <c r="H426" s="87">
        <v>23.4</v>
      </c>
      <c r="I426" s="95">
        <f t="shared" si="12"/>
        <v>117</v>
      </c>
      <c r="J426" s="95">
        <f t="shared" si="13"/>
        <v>140.4</v>
      </c>
      <c r="K426" s="93">
        <f>IFERROR(VLOOKUP(E426,'Inventaire des produits'!$B$4:$J$1000,5,FALSE),"")</f>
        <v>0</v>
      </c>
      <c r="L426" s="301">
        <f>IFERROR(VLOOKUP(E426,'Inventaire des produits'!$B$4:$J$1000,6,FALSE),"")</f>
        <v>15.84</v>
      </c>
      <c r="M426" s="62"/>
    </row>
    <row r="427" spans="2:13" x14ac:dyDescent="0.3">
      <c r="B427" s="378" t="s">
        <v>1704</v>
      </c>
      <c r="C427" s="341"/>
      <c r="D427" s="338"/>
      <c r="E427" s="235" t="s">
        <v>127</v>
      </c>
      <c r="F427" s="271" t="str">
        <f>IFERROR(VLOOKUP(E427,'Inventaire des produits'!$B$4:$K$1000,2,0),"")</f>
        <v>SERVIETTE DE TABLE SEVAN 1PLI</v>
      </c>
      <c r="G427" s="63">
        <v>100</v>
      </c>
      <c r="H427" s="87">
        <v>4.1020000000000003</v>
      </c>
      <c r="I427" s="95">
        <f t="shared" si="12"/>
        <v>410.20000000000005</v>
      </c>
      <c r="J427" s="95">
        <f t="shared" si="13"/>
        <v>492.24</v>
      </c>
      <c r="K427" s="93">
        <f>IFERROR(VLOOKUP(E427,'Inventaire des produits'!$B$4:$J$1000,5,FALSE),"")</f>
        <v>0</v>
      </c>
      <c r="L427" s="301">
        <f>IFERROR(VLOOKUP(E427,'Inventaire des produits'!$B$4:$J$1000,6,FALSE),"")</f>
        <v>2.9169999999999998</v>
      </c>
      <c r="M427" s="62"/>
    </row>
    <row r="428" spans="2:13" x14ac:dyDescent="0.3">
      <c r="B428" s="378" t="s">
        <v>1704</v>
      </c>
      <c r="C428" s="341"/>
      <c r="D428" s="338"/>
      <c r="E428" s="235" t="s">
        <v>322</v>
      </c>
      <c r="F428" s="271" t="str">
        <f>IFERROR(VLOOKUP(E428,'Inventaire des produits'!$B$4:$K$1000,2,0),"")</f>
        <v>POT DE SAUCE 1OZ 30ML HP</v>
      </c>
      <c r="G428" s="63">
        <v>400</v>
      </c>
      <c r="H428" s="87">
        <v>0.17699999999999999</v>
      </c>
      <c r="I428" s="95">
        <f t="shared" si="12"/>
        <v>70.8</v>
      </c>
      <c r="J428" s="95">
        <f t="shared" si="13"/>
        <v>84.96</v>
      </c>
      <c r="K428" s="93">
        <f>IFERROR(VLOOKUP(E428,'Inventaire des produits'!$B$4:$J$1000,5,FALSE),"")</f>
        <v>0</v>
      </c>
      <c r="L428" s="301">
        <f>IFERROR(VLOOKUP(E428,'Inventaire des produits'!$B$4:$J$1000,6,FALSE),"")</f>
        <v>0.13500000000000001</v>
      </c>
      <c r="M428" s="62"/>
    </row>
    <row r="429" spans="2:13" x14ac:dyDescent="0.3">
      <c r="B429" s="378" t="s">
        <v>1704</v>
      </c>
      <c r="C429" s="342"/>
      <c r="D429" s="339"/>
      <c r="E429" s="235" t="s">
        <v>418</v>
      </c>
      <c r="F429" s="271" t="str">
        <f>IFERROR(VLOOKUP(E429,'Inventaire des produits'!$B$4:$K$1000,2,0),"")</f>
        <v>ROULEAU DE CAISSE THERMIQUE 70X80</v>
      </c>
      <c r="G429" s="254">
        <v>10</v>
      </c>
      <c r="H429" s="88">
        <v>10</v>
      </c>
      <c r="I429" s="95">
        <f t="shared" si="12"/>
        <v>100</v>
      </c>
      <c r="J429" s="95">
        <f t="shared" si="13"/>
        <v>120</v>
      </c>
      <c r="K429" s="93">
        <f>IFERROR(VLOOKUP(E429,'Inventaire des produits'!$B$4:$J$1000,5,FALSE),"")</f>
        <v>0</v>
      </c>
      <c r="L429" s="301">
        <f>IFERROR(VLOOKUP(E429,'Inventaire des produits'!$B$4:$J$1000,6,FALSE),"")</f>
        <v>8</v>
      </c>
      <c r="M429" s="62"/>
    </row>
    <row r="430" spans="2:13" x14ac:dyDescent="0.3">
      <c r="B430" s="378" t="s">
        <v>1704</v>
      </c>
      <c r="C430" s="340">
        <v>45383</v>
      </c>
      <c r="D430" s="359" t="s">
        <v>625</v>
      </c>
      <c r="E430" s="235" t="s">
        <v>224</v>
      </c>
      <c r="F430" s="271" t="str">
        <f>IFERROR(VLOOKUP(E430,'Inventaire des produits'!$B$4:$K$1000,2,0),"")</f>
        <v>FOURCHETTE LUX</v>
      </c>
      <c r="G430" s="64">
        <v>5</v>
      </c>
      <c r="H430" s="80">
        <v>23.456</v>
      </c>
      <c r="I430" s="95">
        <f t="shared" si="12"/>
        <v>117.28</v>
      </c>
      <c r="J430" s="95">
        <f t="shared" si="13"/>
        <v>140.73599999999999</v>
      </c>
      <c r="K430" s="93">
        <f>IFERROR(VLOOKUP(E430,'Inventaire des produits'!$B$4:$J$1000,5,FALSE),"")</f>
        <v>0</v>
      </c>
      <c r="L430" s="301">
        <f>IFERROR(VLOOKUP(E430,'Inventaire des produits'!$B$4:$J$1000,6,FALSE),"")</f>
        <v>14.382</v>
      </c>
      <c r="M430" s="62">
        <v>495</v>
      </c>
    </row>
    <row r="431" spans="2:13" x14ac:dyDescent="0.3">
      <c r="B431" s="378" t="s">
        <v>1704</v>
      </c>
      <c r="C431" s="341"/>
      <c r="D431" s="360"/>
      <c r="E431" s="235" t="s">
        <v>251</v>
      </c>
      <c r="F431" s="271" t="str">
        <f>IFERROR(VLOOKUP(E431,'Inventaire des produits'!$B$4:$K$1000,2,0),"")</f>
        <v>COUTEAU ECOLUXE</v>
      </c>
      <c r="G431" s="63">
        <v>6</v>
      </c>
      <c r="H431" s="80">
        <v>23.456</v>
      </c>
      <c r="I431" s="95">
        <f t="shared" si="12"/>
        <v>140.73599999999999</v>
      </c>
      <c r="J431" s="95">
        <f t="shared" si="13"/>
        <v>168.88319999999999</v>
      </c>
      <c r="K431" s="93">
        <f>IFERROR(VLOOKUP(E431,'Inventaire des produits'!$B$4:$J$1000,5,FALSE),"")</f>
        <v>0</v>
      </c>
      <c r="L431" s="301">
        <f>IFERROR(VLOOKUP(E431,'Inventaire des produits'!$B$4:$J$1000,6,FALSE),"")</f>
        <v>15.84</v>
      </c>
      <c r="M431" s="62"/>
    </row>
    <row r="432" spans="2:13" x14ac:dyDescent="0.3">
      <c r="B432" s="378" t="s">
        <v>1704</v>
      </c>
      <c r="C432" s="341"/>
      <c r="D432" s="360"/>
      <c r="E432" s="237" t="s">
        <v>171</v>
      </c>
      <c r="F432" s="271" t="str">
        <f>IFERROR(VLOOKUP(E432,'Inventaire des produits'!$B$4:$K$1000,2,0),"")</f>
        <v>GOBLET 4OZ EN CARTON BON APETIT ECO GB</v>
      </c>
      <c r="G432" s="63">
        <v>200</v>
      </c>
      <c r="H432" s="80">
        <v>0.38619999999999999</v>
      </c>
      <c r="I432" s="95">
        <f t="shared" si="12"/>
        <v>77.239999999999995</v>
      </c>
      <c r="J432" s="95">
        <f t="shared" si="13"/>
        <v>92.687999999999988</v>
      </c>
      <c r="K432" s="93">
        <f>IFERROR(VLOOKUP(E432,'Inventaire des produits'!$B$4:$J$1000,5,FALSE),"")</f>
        <v>0</v>
      </c>
      <c r="L432" s="301">
        <f>IFERROR(VLOOKUP(E432,'Inventaire des produits'!$B$4:$J$1000,6,FALSE),"")</f>
        <v>9.1874999999999998E-2</v>
      </c>
      <c r="M432" s="62"/>
    </row>
    <row r="433" spans="2:13" x14ac:dyDescent="0.3">
      <c r="B433" s="378" t="s">
        <v>1704</v>
      </c>
      <c r="C433" s="342"/>
      <c r="D433" s="361"/>
      <c r="E433" s="237" t="s">
        <v>172</v>
      </c>
      <c r="F433" s="271" t="str">
        <f>IFERROR(VLOOKUP(E433,'Inventaire des produits'!$B$4:$K$1000,2,0),"")</f>
        <v>CVL GOBLET 4OZ BLANC BON APETIT</v>
      </c>
      <c r="G433" s="63">
        <v>200</v>
      </c>
      <c r="H433" s="80">
        <v>0.38619999999999999</v>
      </c>
      <c r="I433" s="95">
        <f t="shared" si="12"/>
        <v>77.239999999999995</v>
      </c>
      <c r="J433" s="95">
        <f t="shared" si="13"/>
        <v>92.687999999999988</v>
      </c>
      <c r="K433" s="93">
        <f>IFERROR(VLOOKUP(E433,'Inventaire des produits'!$B$4:$J$1000,5,FALSE),"")</f>
        <v>0</v>
      </c>
      <c r="L433" s="301">
        <f>IFERROR(VLOOKUP(E433,'Inventaire des produits'!$B$4:$J$1000,6,FALSE),"")</f>
        <v>9.1874999999999998E-2</v>
      </c>
      <c r="M433" s="62"/>
    </row>
    <row r="434" spans="2:13" x14ac:dyDescent="0.3">
      <c r="B434" s="378" t="s">
        <v>1704</v>
      </c>
      <c r="C434" s="340">
        <v>45384</v>
      </c>
      <c r="D434" s="337" t="s">
        <v>670</v>
      </c>
      <c r="E434" s="235" t="s">
        <v>551</v>
      </c>
      <c r="F434" s="271" t="str">
        <f>IFERROR(VLOOKUP(E434,'Inventaire des produits'!$B$4:$K$1000,2,0),"")</f>
        <v>BARQUETTE ALUMINIUM 808</v>
      </c>
      <c r="G434" s="249">
        <v>2400</v>
      </c>
      <c r="H434" s="76">
        <v>0.91</v>
      </c>
      <c r="I434" s="95">
        <f t="shared" si="12"/>
        <v>2184</v>
      </c>
      <c r="J434" s="95">
        <f t="shared" si="13"/>
        <v>2620.7999999999997</v>
      </c>
      <c r="K434" s="93">
        <f>IFERROR(VLOOKUP(E434,'Inventaire des produits'!$B$4:$J$1000,5,FALSE),"")</f>
        <v>0</v>
      </c>
      <c r="L434" s="301">
        <f>IFERROR(VLOOKUP(E434,'Inventaire des produits'!$B$4:$J$1000,6,FALSE),"")</f>
        <v>0.53333330000000001</v>
      </c>
      <c r="M434" s="62">
        <v>11000</v>
      </c>
    </row>
    <row r="435" spans="2:13" x14ac:dyDescent="0.3">
      <c r="B435" s="378" t="s">
        <v>1704</v>
      </c>
      <c r="C435" s="341"/>
      <c r="D435" s="338"/>
      <c r="E435" s="235" t="s">
        <v>210</v>
      </c>
      <c r="F435" s="271" t="str">
        <f>IFERROR(VLOOKUP(E435,'Inventaire des produits'!$B$4:$K$1000,2,0),"")</f>
        <v>POT DE SAUCE 2OZ NOIRE</v>
      </c>
      <c r="G435" s="250">
        <v>4000</v>
      </c>
      <c r="H435" s="77">
        <v>0.18</v>
      </c>
      <c r="I435" s="95">
        <f t="shared" si="12"/>
        <v>720</v>
      </c>
      <c r="J435" s="95">
        <f t="shared" si="13"/>
        <v>864</v>
      </c>
      <c r="K435" s="93">
        <f>IFERROR(VLOOKUP(E435,'Inventaire des produits'!$B$4:$J$1000,5,FALSE),"")</f>
        <v>0</v>
      </c>
      <c r="L435" s="301">
        <f>IFERROR(VLOOKUP(E435,'Inventaire des produits'!$B$4:$J$1000,6,FALSE),"")</f>
        <v>0.1512</v>
      </c>
      <c r="M435" s="62"/>
    </row>
    <row r="436" spans="2:13" x14ac:dyDescent="0.3">
      <c r="B436" s="378" t="s">
        <v>1704</v>
      </c>
      <c r="C436" s="341"/>
      <c r="D436" s="338"/>
      <c r="E436" s="235" t="s">
        <v>537</v>
      </c>
      <c r="F436" s="271" t="str">
        <f>IFERROR(VLOOKUP(E436,'Inventaire des produits'!$B$4:$K$1000,2,0),"")</f>
        <v>PAILLE ENVELOPPE 6MM CODE 100 TRANS</v>
      </c>
      <c r="G436" s="250">
        <v>80</v>
      </c>
      <c r="H436" s="77">
        <v>6.75</v>
      </c>
      <c r="I436" s="95">
        <f t="shared" si="12"/>
        <v>540</v>
      </c>
      <c r="J436" s="95">
        <f t="shared" si="13"/>
        <v>648</v>
      </c>
      <c r="K436" s="93">
        <f>IFERROR(VLOOKUP(E436,'Inventaire des produits'!$B$4:$J$1000,5,FALSE),"")</f>
        <v>0</v>
      </c>
      <c r="L436" s="301">
        <f>IFERROR(VLOOKUP(E436,'Inventaire des produits'!$B$4:$J$1000,6,FALSE),"")</f>
        <v>4.5</v>
      </c>
      <c r="M436" s="62"/>
    </row>
    <row r="437" spans="2:13" x14ac:dyDescent="0.3">
      <c r="B437" s="378" t="s">
        <v>1704</v>
      </c>
      <c r="C437" s="341"/>
      <c r="D437" s="338"/>
      <c r="E437" s="235" t="s">
        <v>127</v>
      </c>
      <c r="F437" s="271" t="str">
        <f>IFERROR(VLOOKUP(E437,'Inventaire des produits'!$B$4:$K$1000,2,0),"")</f>
        <v>SERVIETTE DE TABLE SEVAN 1PLI</v>
      </c>
      <c r="G437" s="250">
        <v>260</v>
      </c>
      <c r="H437" s="77">
        <v>3.94</v>
      </c>
      <c r="I437" s="95">
        <f t="shared" si="12"/>
        <v>1024.4000000000001</v>
      </c>
      <c r="J437" s="95">
        <f t="shared" si="13"/>
        <v>1229.28</v>
      </c>
      <c r="K437" s="93">
        <f>IFERROR(VLOOKUP(E437,'Inventaire des produits'!$B$4:$J$1000,5,FALSE),"")</f>
        <v>0</v>
      </c>
      <c r="L437" s="301">
        <f>IFERROR(VLOOKUP(E437,'Inventaire des produits'!$B$4:$J$1000,6,FALSE),"")</f>
        <v>2.9169999999999998</v>
      </c>
      <c r="M437" s="62"/>
    </row>
    <row r="438" spans="2:13" x14ac:dyDescent="0.3">
      <c r="B438" s="378" t="s">
        <v>1704</v>
      </c>
      <c r="C438" s="341"/>
      <c r="D438" s="338"/>
      <c r="E438" s="235" t="s">
        <v>546</v>
      </c>
      <c r="F438" s="271" t="str">
        <f>IFERROR(VLOOKUP(E438,'Inventaire des produits'!$B$4:$K$1000,2,0),"")</f>
        <v>ROULEAU ALUMINIUM EXTRA PACK 200M</v>
      </c>
      <c r="G438" s="250">
        <v>27</v>
      </c>
      <c r="H438" s="77">
        <v>64.9833</v>
      </c>
      <c r="I438" s="95">
        <f t="shared" si="12"/>
        <v>1754.5491</v>
      </c>
      <c r="J438" s="95">
        <f t="shared" si="13"/>
        <v>2105.45892</v>
      </c>
      <c r="K438" s="93">
        <f>IFERROR(VLOOKUP(E438,'Inventaire des produits'!$B$4:$J$1000,5,FALSE),"")</f>
        <v>0</v>
      </c>
      <c r="L438" s="301">
        <f>IFERROR(VLOOKUP(E438,'Inventaire des produits'!$B$4:$J$1000,6,FALSE),"")</f>
        <v>48.333333333299997</v>
      </c>
      <c r="M438" s="62"/>
    </row>
    <row r="439" spans="2:13" x14ac:dyDescent="0.3">
      <c r="B439" s="378" t="s">
        <v>1704</v>
      </c>
      <c r="C439" s="342"/>
      <c r="D439" s="339"/>
      <c r="E439" s="235" t="s">
        <v>199</v>
      </c>
      <c r="F439" s="271" t="str">
        <f>IFERROR(VLOOKUP(E439,'Inventaire des produits'!$B$4:$K$1000,2,0),"")</f>
        <v>BARQUETTE ALUMINIUM 81760 (3COMP)</v>
      </c>
      <c r="G439" s="250">
        <v>2600</v>
      </c>
      <c r="H439" s="77">
        <v>1.1322000000000001</v>
      </c>
      <c r="I439" s="95">
        <f t="shared" si="12"/>
        <v>2943.7200000000003</v>
      </c>
      <c r="J439" s="95">
        <f t="shared" si="13"/>
        <v>3532.4640000000004</v>
      </c>
      <c r="K439" s="93">
        <f>IFERROR(VLOOKUP(E439,'Inventaire des produits'!$B$4:$J$1000,5,FALSE),"")</f>
        <v>0</v>
      </c>
      <c r="L439" s="301">
        <f>IFERROR(VLOOKUP(E439,'Inventaire des produits'!$B$4:$J$1000,6,FALSE),"")</f>
        <v>1</v>
      </c>
      <c r="M439" s="62"/>
    </row>
    <row r="440" spans="2:13" x14ac:dyDescent="0.3">
      <c r="B440" s="378" t="s">
        <v>1704</v>
      </c>
      <c r="C440" s="55">
        <v>45385</v>
      </c>
      <c r="D440" s="54" t="s">
        <v>676</v>
      </c>
      <c r="E440" s="235" t="s">
        <v>53</v>
      </c>
      <c r="F440" s="271" t="str">
        <f>IFERROR(VLOOKUP(E440,'Inventaire des produits'!$B$4:$K$1000,2,0),"")</f>
        <v>GANT VINYL EXTRA PREMIUM GLOVE MEDIUM</v>
      </c>
      <c r="G440" s="249">
        <v>10</v>
      </c>
      <c r="H440" s="76">
        <v>33.333333333330003</v>
      </c>
      <c r="I440" s="95">
        <f t="shared" si="12"/>
        <v>333.33333333330006</v>
      </c>
      <c r="J440" s="95">
        <f t="shared" si="13"/>
        <v>399.99999999996004</v>
      </c>
      <c r="K440" s="93">
        <f>IFERROR(VLOOKUP(E440,'Inventaire des produits'!$B$4:$J$1000,5,FALSE),"")</f>
        <v>0</v>
      </c>
      <c r="L440" s="301">
        <f>IFERROR(VLOOKUP(E440,'Inventaire des produits'!$B$4:$J$1000,6,FALSE),"")</f>
        <v>24.593333333299999</v>
      </c>
      <c r="M440" s="62">
        <v>400</v>
      </c>
    </row>
    <row r="441" spans="2:13" x14ac:dyDescent="0.3">
      <c r="B441" s="378" t="s">
        <v>1704</v>
      </c>
      <c r="C441" s="55">
        <v>45387</v>
      </c>
      <c r="D441" s="54" t="s">
        <v>695</v>
      </c>
      <c r="E441" s="235" t="s">
        <v>158</v>
      </c>
      <c r="F441" s="271" t="str">
        <f>IFERROR(VLOOKUP(E441,'Inventaire des produits'!$B$4:$K$1000,2,0),"")</f>
        <v>CUILLERE PETIT</v>
      </c>
      <c r="G441" s="249">
        <v>12000</v>
      </c>
      <c r="H441" s="76">
        <v>7.4999999999999997E-2</v>
      </c>
      <c r="I441" s="95">
        <f t="shared" si="12"/>
        <v>900</v>
      </c>
      <c r="J441" s="95">
        <f t="shared" si="13"/>
        <v>1080</v>
      </c>
      <c r="K441" s="93">
        <f>IFERROR(VLOOKUP(E441,'Inventaire des produits'!$B$4:$J$1000,5,FALSE),"")</f>
        <v>0</v>
      </c>
      <c r="L441" s="301">
        <f>IFERROR(VLOOKUP(E441,'Inventaire des produits'!$B$4:$J$1000,6,FALSE),"")</f>
        <v>5.8329499999999999E-2</v>
      </c>
      <c r="M441" s="62">
        <v>1080</v>
      </c>
    </row>
    <row r="442" spans="2:13" x14ac:dyDescent="0.3">
      <c r="B442" s="378" t="s">
        <v>1704</v>
      </c>
      <c r="C442" s="55">
        <v>45388</v>
      </c>
      <c r="D442" s="54" t="s">
        <v>696</v>
      </c>
      <c r="E442" s="235" t="s">
        <v>511</v>
      </c>
      <c r="F442" s="271" t="str">
        <f>IFERROR(VLOOKUP(E442,'Inventaire des produits'!$B$4:$K$1000,2,0),"")</f>
        <v>CURE DENT ENVELOPE</v>
      </c>
      <c r="G442" s="249">
        <v>200000</v>
      </c>
      <c r="H442" s="76">
        <v>0.02</v>
      </c>
      <c r="I442" s="95">
        <f t="shared" si="12"/>
        <v>4000</v>
      </c>
      <c r="J442" s="95">
        <f t="shared" si="13"/>
        <v>4800</v>
      </c>
      <c r="K442" s="93">
        <f>IFERROR(VLOOKUP(E442,'Inventaire des produits'!$B$4:$J$1000,5,FALSE),"")</f>
        <v>0</v>
      </c>
      <c r="L442" s="301">
        <f>IFERROR(VLOOKUP(E442,'Inventaire des produits'!$B$4:$J$1000,6,FALSE),"")</f>
        <v>1.6666666699999999E-2</v>
      </c>
      <c r="M442" s="62">
        <v>4800</v>
      </c>
    </row>
    <row r="443" spans="2:13" x14ac:dyDescent="0.3">
      <c r="B443" s="378" t="s">
        <v>1704</v>
      </c>
      <c r="C443" s="340">
        <v>45388</v>
      </c>
      <c r="D443" s="337" t="s">
        <v>697</v>
      </c>
      <c r="E443" s="235" t="s">
        <v>678</v>
      </c>
      <c r="F443" s="271" t="str">
        <f>IFERROR(VLOOKUP(E443,'Inventaire des produits'!$B$4:$K$1000,2,0),"")</f>
        <v>BOL SOUPE/NOUILLE ET CVL 16OZ</v>
      </c>
      <c r="G443" s="249">
        <v>2000</v>
      </c>
      <c r="H443" s="76">
        <v>1.125</v>
      </c>
      <c r="I443" s="95">
        <f t="shared" si="12"/>
        <v>2250</v>
      </c>
      <c r="J443" s="95">
        <f t="shared" si="13"/>
        <v>2700</v>
      </c>
      <c r="K443" s="93">
        <f>IFERROR(VLOOKUP(E443,'Inventaire des produits'!$B$4:$J$1000,5,FALSE),"")</f>
        <v>0</v>
      </c>
      <c r="L443" s="301">
        <f>IFERROR(VLOOKUP(E443,'Inventaire des produits'!$B$4:$J$1000,6,FALSE),"")</f>
        <v>0.79166666669999997</v>
      </c>
      <c r="M443" s="62">
        <v>3375</v>
      </c>
    </row>
    <row r="444" spans="2:13" x14ac:dyDescent="0.3">
      <c r="B444" s="378" t="s">
        <v>1704</v>
      </c>
      <c r="C444" s="342"/>
      <c r="D444" s="339"/>
      <c r="E444" s="235" t="s">
        <v>693</v>
      </c>
      <c r="F444" s="271" t="str">
        <f>IFERROR(VLOOKUP(E444,'Inventaire des produits'!$B$4:$K$1000,2,0),"")</f>
        <v>BOLE SOUPE 16OZ MICRON ONDABLE</v>
      </c>
      <c r="G444" s="250">
        <v>500</v>
      </c>
      <c r="H444" s="77">
        <v>1.125</v>
      </c>
      <c r="I444" s="95">
        <f t="shared" si="12"/>
        <v>562.5</v>
      </c>
      <c r="J444" s="95">
        <f t="shared" si="13"/>
        <v>675</v>
      </c>
      <c r="K444" s="93">
        <f>IFERROR(VLOOKUP(E444,'Inventaire des produits'!$B$4:$J$1000,5,FALSE),"")</f>
        <v>500</v>
      </c>
      <c r="L444" s="301">
        <f>IFERROR(VLOOKUP(E444,'Inventaire des produits'!$B$4:$J$1000,6,FALSE),"")</f>
        <v>0.79200000000000004</v>
      </c>
      <c r="M444" s="62"/>
    </row>
    <row r="445" spans="2:13" x14ac:dyDescent="0.3">
      <c r="B445" s="378" t="s">
        <v>1704</v>
      </c>
      <c r="C445" s="55">
        <v>45389</v>
      </c>
      <c r="D445" s="54" t="s">
        <v>699</v>
      </c>
      <c r="E445" s="235" t="s">
        <v>81</v>
      </c>
      <c r="F445" s="271" t="str">
        <f>IFERROR(VLOOKUP(E445,'Inventaire des produits'!$B$4:$K$1000,2,0),"")</f>
        <v>SACHET SANDWISH FOND PLAT 10*3*24</v>
      </c>
      <c r="G445" s="249">
        <v>45086</v>
      </c>
      <c r="H445" s="76">
        <v>0.05</v>
      </c>
      <c r="I445" s="95">
        <f t="shared" si="12"/>
        <v>2254.3000000000002</v>
      </c>
      <c r="J445" s="95">
        <f t="shared" si="13"/>
        <v>2705.1600000000003</v>
      </c>
      <c r="K445" s="93">
        <f>IFERROR(VLOOKUP(E445,'Inventaire des produits'!$B$4:$J$1000,5,FALSE),"")</f>
        <v>0</v>
      </c>
      <c r="L445" s="301">
        <f>IFERROR(VLOOKUP(E445,'Inventaire des produits'!$B$4:$J$1000,6,FALSE),"")</f>
        <v>4.2000000000000003E-2</v>
      </c>
      <c r="M445" s="62">
        <v>2705.16</v>
      </c>
    </row>
    <row r="446" spans="2:13" ht="15.75" customHeight="1" x14ac:dyDescent="0.3">
      <c r="B446" s="378" t="s">
        <v>1704</v>
      </c>
      <c r="C446" s="340">
        <v>45390</v>
      </c>
      <c r="D446" s="337" t="s">
        <v>701</v>
      </c>
      <c r="E446" s="235" t="s">
        <v>511</v>
      </c>
      <c r="F446" s="271" t="str">
        <f>IFERROR(VLOOKUP(E446,'Inventaire des produits'!$B$4:$K$1000,2,0),"")</f>
        <v>CURE DENT ENVELOPE</v>
      </c>
      <c r="G446" s="249">
        <v>30000</v>
      </c>
      <c r="H446" s="76">
        <v>2.1999999999999999E-2</v>
      </c>
      <c r="I446" s="95">
        <f t="shared" si="12"/>
        <v>660</v>
      </c>
      <c r="J446" s="95">
        <f t="shared" si="13"/>
        <v>792</v>
      </c>
      <c r="K446" s="93">
        <f>IFERROR(VLOOKUP(E446,'Inventaire des produits'!$B$4:$J$1000,5,FALSE),"")</f>
        <v>0</v>
      </c>
      <c r="L446" s="301">
        <f>IFERROR(VLOOKUP(E446,'Inventaire des produits'!$B$4:$J$1000,6,FALSE),"")</f>
        <v>1.6666666699999999E-2</v>
      </c>
      <c r="M446" s="62">
        <v>20000.060000000001</v>
      </c>
    </row>
    <row r="447" spans="2:13" x14ac:dyDescent="0.3">
      <c r="B447" s="378" t="s">
        <v>1704</v>
      </c>
      <c r="C447" s="341"/>
      <c r="D447" s="338"/>
      <c r="E447" s="235" t="s">
        <v>135</v>
      </c>
      <c r="F447" s="271" t="str">
        <f>IFERROR(VLOOKUP(E447,'Inventaire des produits'!$B$4:$K$1000,2,0),"")</f>
        <v>GOBLET 14OZ EN PLAST TRANS SMART + CV PLAT</v>
      </c>
      <c r="G447" s="250">
        <v>7000</v>
      </c>
      <c r="H447" s="77">
        <v>0.5</v>
      </c>
      <c r="I447" s="95">
        <f t="shared" si="12"/>
        <v>3500</v>
      </c>
      <c r="J447" s="95">
        <f t="shared" si="13"/>
        <v>4200</v>
      </c>
      <c r="K447" s="93">
        <f>IFERROR(VLOOKUP(E447,'Inventaire des produits'!$B$4:$J$1000,5,FALSE),"")</f>
        <v>0</v>
      </c>
      <c r="L447" s="301">
        <f>IFERROR(VLOOKUP(E447,'Inventaire des produits'!$B$4:$J$1000,6,FALSE),"")</f>
        <v>0.46875</v>
      </c>
      <c r="M447" s="62"/>
    </row>
    <row r="448" spans="2:13" x14ac:dyDescent="0.3">
      <c r="B448" s="378" t="s">
        <v>1704</v>
      </c>
      <c r="C448" s="341"/>
      <c r="D448" s="338"/>
      <c r="E448" s="235" t="s">
        <v>112</v>
      </c>
      <c r="F448" s="271" t="str">
        <f>IFERROR(VLOOKUP(E448,'Inventaire des produits'!$B$4:$K$1000,2,0),"")</f>
        <v>MOUCHOIR BISSU 550</v>
      </c>
      <c r="G448" s="250">
        <v>208</v>
      </c>
      <c r="H448" s="77">
        <v>7</v>
      </c>
      <c r="I448" s="95">
        <f t="shared" si="12"/>
        <v>1456</v>
      </c>
      <c r="J448" s="95">
        <f t="shared" si="13"/>
        <v>1747.2</v>
      </c>
      <c r="K448" s="93">
        <f>IFERROR(VLOOKUP(E448,'Inventaire des produits'!$B$4:$J$1000,5,FALSE),"")</f>
        <v>0</v>
      </c>
      <c r="L448" s="301">
        <f>IFERROR(VLOOKUP(E448,'Inventaire des produits'!$B$4:$J$1000,6,FALSE),"")</f>
        <v>6.8</v>
      </c>
      <c r="M448" s="62"/>
    </row>
    <row r="449" spans="2:13" x14ac:dyDescent="0.3">
      <c r="B449" s="378" t="s">
        <v>1704</v>
      </c>
      <c r="C449" s="341"/>
      <c r="D449" s="338"/>
      <c r="E449" s="235" t="s">
        <v>209</v>
      </c>
      <c r="F449" s="271" t="str">
        <f>IFERROR(VLOOKUP(E449,'Inventaire des produits'!$B$4:$K$1000,2,0),"")</f>
        <v xml:space="preserve">GOBLET 12OZ EN PLAST TRANS SMART+CV </v>
      </c>
      <c r="G449" s="250">
        <v>15350</v>
      </c>
      <c r="H449" s="77">
        <v>0.47</v>
      </c>
      <c r="I449" s="95">
        <f t="shared" si="12"/>
        <v>7214.5</v>
      </c>
      <c r="J449" s="95">
        <f t="shared" si="13"/>
        <v>8657.4</v>
      </c>
      <c r="K449" s="93">
        <f>IFERROR(VLOOKUP(E449,'Inventaire des produits'!$B$4:$J$1000,5,FALSE),"")</f>
        <v>0</v>
      </c>
      <c r="L449" s="301">
        <f>IFERROR(VLOOKUP(E449,'Inventaire des produits'!$B$4:$J$1000,6,FALSE),"")</f>
        <v>0.416875</v>
      </c>
      <c r="M449" s="62"/>
    </row>
    <row r="450" spans="2:13" x14ac:dyDescent="0.3">
      <c r="B450" s="378" t="s">
        <v>1704</v>
      </c>
      <c r="C450" s="341"/>
      <c r="D450" s="338"/>
      <c r="E450" s="235" t="s">
        <v>276</v>
      </c>
      <c r="F450" s="271" t="str">
        <f>IFERROR(VLOOKUP(E450,'Inventaire des produits'!$B$4:$K$1000,2,0),"")</f>
        <v xml:space="preserve">GOBLET 12OZ EN PLAST TRANS SMART+CV </v>
      </c>
      <c r="G450" s="250">
        <v>8</v>
      </c>
      <c r="H450" s="77">
        <v>479.52749999999997</v>
      </c>
      <c r="I450" s="95">
        <f t="shared" si="12"/>
        <v>3836.22</v>
      </c>
      <c r="J450" s="95">
        <f t="shared" si="13"/>
        <v>4603.4639999999999</v>
      </c>
      <c r="K450" s="93">
        <f>IFERROR(VLOOKUP(E450,'Inventaire des produits'!$B$4:$J$1000,5,FALSE),"")</f>
        <v>0</v>
      </c>
      <c r="L450" s="301">
        <f>IFERROR(VLOOKUP(E450,'Inventaire des produits'!$B$4:$J$1000,6,FALSE),"")</f>
        <v>408.33749999999998</v>
      </c>
      <c r="M450" s="62"/>
    </row>
    <row r="451" spans="2:13" x14ac:dyDescent="0.3">
      <c r="B451" s="378" t="s">
        <v>1704</v>
      </c>
      <c r="C451" s="340">
        <v>45391</v>
      </c>
      <c r="D451" s="337" t="s">
        <v>705</v>
      </c>
      <c r="E451" s="235" t="s">
        <v>637</v>
      </c>
      <c r="F451" s="271" t="str">
        <f>IFERROR(VLOOKUP(E451,'Inventaire des produits'!$B$4:$K$1000,2,0),"")</f>
        <v>SET FOURCHETTE ET COUTEAU ET SERVIETTE</v>
      </c>
      <c r="G451" s="249">
        <v>530</v>
      </c>
      <c r="H451" s="76">
        <v>0.67295000000000005</v>
      </c>
      <c r="I451" s="95">
        <f t="shared" si="12"/>
        <v>356.6635</v>
      </c>
      <c r="J451" s="95">
        <f t="shared" si="13"/>
        <v>427.99619999999999</v>
      </c>
      <c r="K451" s="93">
        <f>IFERROR(VLOOKUP(E451,'Inventaire des produits'!$B$4:$J$1000,5,FALSE),"")</f>
        <v>0</v>
      </c>
      <c r="L451" s="301">
        <f>IFERROR(VLOOKUP(E451,'Inventaire des produits'!$B$4:$J$1000,6,FALSE),"")</f>
        <v>0.54166666669999997</v>
      </c>
      <c r="M451" s="62">
        <v>1028</v>
      </c>
    </row>
    <row r="452" spans="2:13" x14ac:dyDescent="0.3">
      <c r="B452" s="378" t="s">
        <v>1704</v>
      </c>
      <c r="C452" s="342"/>
      <c r="D452" s="339"/>
      <c r="E452" s="235" t="s">
        <v>73</v>
      </c>
      <c r="F452" s="271" t="str">
        <f>IFERROR(VLOOKUP(E452,'Inventaire des produits'!$B$4:$K$1000,2,0),"")</f>
        <v>POT DE SAUCE 2OZ AVEC CVL CARTON 1000</v>
      </c>
      <c r="G452" s="250">
        <v>2</v>
      </c>
      <c r="H452" s="77">
        <v>250</v>
      </c>
      <c r="I452" s="95">
        <f t="shared" si="12"/>
        <v>500</v>
      </c>
      <c r="J452" s="95">
        <f t="shared" si="13"/>
        <v>600</v>
      </c>
      <c r="K452" s="93">
        <f>IFERROR(VLOOKUP(E452,'Inventaire des produits'!$B$4:$J$1000,5,FALSE),"")</f>
        <v>0</v>
      </c>
      <c r="L452" s="301">
        <f>IFERROR(VLOOKUP(E452,'Inventaire des produits'!$B$4:$J$1000,6,FALSE),"")</f>
        <v>200</v>
      </c>
      <c r="M452" s="62"/>
    </row>
    <row r="453" spans="2:13" x14ac:dyDescent="0.3">
      <c r="B453" s="378" t="s">
        <v>1704</v>
      </c>
      <c r="C453" s="340">
        <v>45394</v>
      </c>
      <c r="D453" s="337" t="s">
        <v>706</v>
      </c>
      <c r="E453" s="235" t="s">
        <v>19</v>
      </c>
      <c r="F453" s="271" t="str">
        <f>IFERROR(VLOOKUP(E453,'Inventaire des produits'!$B$4:$K$1000,2,0),"")</f>
        <v>SAC FOND CARRE POIGNE PLAT 26*17*28 70G</v>
      </c>
      <c r="G453" s="249">
        <v>100</v>
      </c>
      <c r="H453" s="76">
        <v>1.05</v>
      </c>
      <c r="I453" s="95">
        <f t="shared" ref="I453:I516" si="14">IF(OR(G453="",H453=""),"",G453*H453)</f>
        <v>105</v>
      </c>
      <c r="J453" s="95">
        <f t="shared" ref="J453:J516" si="15">IF(OR(I453=""),"",I453*1.2)</f>
        <v>126</v>
      </c>
      <c r="K453" s="93">
        <f>IFERROR(VLOOKUP(E453,'Inventaire des produits'!$B$4:$J$1000,5,FALSE),"")</f>
        <v>0</v>
      </c>
      <c r="L453" s="301">
        <f>IFERROR(VLOOKUP(E453,'Inventaire des produits'!$B$4:$J$1000,6,FALSE),"")</f>
        <v>0.81</v>
      </c>
      <c r="M453" s="62">
        <v>2373</v>
      </c>
    </row>
    <row r="454" spans="2:13" x14ac:dyDescent="0.3">
      <c r="B454" s="378" t="s">
        <v>1704</v>
      </c>
      <c r="C454" s="341"/>
      <c r="D454" s="338"/>
      <c r="E454" s="235" t="s">
        <v>27</v>
      </c>
      <c r="F454" s="271" t="str">
        <f>IFERROR(VLOOKUP(E454,'Inventaire des produits'!$B$4:$K$1000,2,0),"")</f>
        <v>BARQUETTE VITA PACK 500ML AVEC CVL</v>
      </c>
      <c r="G454" s="250">
        <v>450</v>
      </c>
      <c r="H454" s="77">
        <v>1.4884500000000001</v>
      </c>
      <c r="I454" s="95">
        <f t="shared" si="14"/>
        <v>669.80250000000001</v>
      </c>
      <c r="J454" s="95">
        <f t="shared" si="15"/>
        <v>803.76300000000003</v>
      </c>
      <c r="K454" s="93">
        <f>IFERROR(VLOOKUP(E454,'Inventaire des produits'!$B$4:$J$1000,5,FALSE),"")</f>
        <v>0</v>
      </c>
      <c r="L454" s="301">
        <f>IFERROR(VLOOKUP(E454,'Inventaire des produits'!$B$4:$J$1000,6,FALSE),"")</f>
        <v>1.38</v>
      </c>
      <c r="M454" s="62"/>
    </row>
    <row r="455" spans="2:13" x14ac:dyDescent="0.3">
      <c r="B455" s="378" t="s">
        <v>1704</v>
      </c>
      <c r="C455" s="341"/>
      <c r="D455" s="338"/>
      <c r="E455" s="235" t="s">
        <v>127</v>
      </c>
      <c r="F455" s="271" t="str">
        <f>IFERROR(VLOOKUP(E455,'Inventaire des produits'!$B$4:$K$1000,2,0),"")</f>
        <v>SERVIETTE DE TABLE SEVAN 1PLI</v>
      </c>
      <c r="G455" s="250">
        <v>380</v>
      </c>
      <c r="H455" s="77">
        <v>3.165</v>
      </c>
      <c r="I455" s="95">
        <f t="shared" si="14"/>
        <v>1202.7</v>
      </c>
      <c r="J455" s="95">
        <f t="shared" si="15"/>
        <v>1443.24</v>
      </c>
      <c r="K455" s="93">
        <f>IFERROR(VLOOKUP(E455,'Inventaire des produits'!$B$4:$J$1000,5,FALSE),"")</f>
        <v>0</v>
      </c>
      <c r="L455" s="301">
        <f>IFERROR(VLOOKUP(E455,'Inventaire des produits'!$B$4:$J$1000,6,FALSE),"")</f>
        <v>2.9169999999999998</v>
      </c>
      <c r="M455" s="62"/>
    </row>
    <row r="456" spans="2:13" x14ac:dyDescent="0.3">
      <c r="B456" s="378" t="s">
        <v>1704</v>
      </c>
      <c r="C456" s="340">
        <v>45395</v>
      </c>
      <c r="D456" s="337" t="s">
        <v>707</v>
      </c>
      <c r="E456" s="235" t="s">
        <v>551</v>
      </c>
      <c r="F456" s="271" t="str">
        <f>IFERROR(VLOOKUP(E456,'Inventaire des produits'!$B$4:$K$1000,2,0),"")</f>
        <v>BARQUETTE ALUMINIUM 808</v>
      </c>
      <c r="G456" s="249">
        <v>2400</v>
      </c>
      <c r="H456" s="76">
        <v>0.91</v>
      </c>
      <c r="I456" s="95">
        <f t="shared" si="14"/>
        <v>2184</v>
      </c>
      <c r="J456" s="95">
        <f t="shared" si="15"/>
        <v>2620.7999999999997</v>
      </c>
      <c r="K456" s="93">
        <f>IFERROR(VLOOKUP(E456,'Inventaire des produits'!$B$4:$J$1000,5,FALSE),"")</f>
        <v>0</v>
      </c>
      <c r="L456" s="301">
        <f>IFERROR(VLOOKUP(E456,'Inventaire des produits'!$B$4:$J$1000,6,FALSE),"")</f>
        <v>0.53333330000000001</v>
      </c>
      <c r="M456" s="62">
        <v>13100</v>
      </c>
    </row>
    <row r="457" spans="2:13" x14ac:dyDescent="0.3">
      <c r="B457" s="378" t="s">
        <v>1704</v>
      </c>
      <c r="C457" s="341"/>
      <c r="D457" s="338"/>
      <c r="E457" s="235" t="s">
        <v>198</v>
      </c>
      <c r="F457" s="271" t="str">
        <f>IFERROR(VLOOKUP(E457,'Inventaire des produits'!$B$4:$K$1000,2,0),"")</f>
        <v>POT DE SAUCE 2OZ NOIRE</v>
      </c>
      <c r="G457" s="250">
        <v>4300</v>
      </c>
      <c r="H457" s="77">
        <v>0.18</v>
      </c>
      <c r="I457" s="95">
        <f t="shared" si="14"/>
        <v>774</v>
      </c>
      <c r="J457" s="95">
        <f t="shared" si="15"/>
        <v>928.8</v>
      </c>
      <c r="K457" s="93">
        <f>IFERROR(VLOOKUP(E457,'Inventaire des produits'!$B$4:$J$1000,5,FALSE),"")</f>
        <v>0</v>
      </c>
      <c r="L457" s="301">
        <f>IFERROR(VLOOKUP(E457,'Inventaire des produits'!$B$4:$J$1000,6,FALSE),"")</f>
        <v>0.15</v>
      </c>
      <c r="M457" s="62"/>
    </row>
    <row r="458" spans="2:13" x14ac:dyDescent="0.3">
      <c r="B458" s="378" t="s">
        <v>1704</v>
      </c>
      <c r="C458" s="341"/>
      <c r="D458" s="338"/>
      <c r="E458" s="235" t="s">
        <v>537</v>
      </c>
      <c r="F458" s="271" t="str">
        <f>IFERROR(VLOOKUP(E458,'Inventaire des produits'!$B$4:$K$1000,2,0),"")</f>
        <v>PAILLE ENVELOPPE 6MM CODE 100 TRANS</v>
      </c>
      <c r="G458" s="250">
        <v>100</v>
      </c>
      <c r="H458" s="77">
        <v>6.75</v>
      </c>
      <c r="I458" s="95">
        <f t="shared" si="14"/>
        <v>675</v>
      </c>
      <c r="J458" s="95">
        <f t="shared" si="15"/>
        <v>810</v>
      </c>
      <c r="K458" s="93">
        <f>IFERROR(VLOOKUP(E458,'Inventaire des produits'!$B$4:$J$1000,5,FALSE),"")</f>
        <v>0</v>
      </c>
      <c r="L458" s="301">
        <f>IFERROR(VLOOKUP(E458,'Inventaire des produits'!$B$4:$J$1000,6,FALSE),"")</f>
        <v>4.5</v>
      </c>
      <c r="M458" s="62"/>
    </row>
    <row r="459" spans="2:13" x14ac:dyDescent="0.3">
      <c r="B459" s="378" t="s">
        <v>1704</v>
      </c>
      <c r="C459" s="341"/>
      <c r="D459" s="338"/>
      <c r="E459" s="235" t="s">
        <v>127</v>
      </c>
      <c r="F459" s="271" t="str">
        <f>IFERROR(VLOOKUP(E459,'Inventaire des produits'!$B$4:$K$1000,2,0),"")</f>
        <v>SERVIETTE DE TABLE SEVAN 1PLI</v>
      </c>
      <c r="G459" s="250">
        <v>300</v>
      </c>
      <c r="H459" s="77">
        <v>3.94</v>
      </c>
      <c r="I459" s="95">
        <f t="shared" si="14"/>
        <v>1182</v>
      </c>
      <c r="J459" s="95">
        <f t="shared" si="15"/>
        <v>1418.3999999999999</v>
      </c>
      <c r="K459" s="93">
        <f>IFERROR(VLOOKUP(E459,'Inventaire des produits'!$B$4:$J$1000,5,FALSE),"")</f>
        <v>0</v>
      </c>
      <c r="L459" s="301">
        <f>IFERROR(VLOOKUP(E459,'Inventaire des produits'!$B$4:$J$1000,6,FALSE),"")</f>
        <v>2.9169999999999998</v>
      </c>
      <c r="M459" s="62"/>
    </row>
    <row r="460" spans="2:13" x14ac:dyDescent="0.3">
      <c r="B460" s="378" t="s">
        <v>1704</v>
      </c>
      <c r="C460" s="341"/>
      <c r="D460" s="338"/>
      <c r="E460" s="235" t="s">
        <v>260</v>
      </c>
      <c r="F460" s="271" t="str">
        <f>IFERROR(VLOOKUP(E460,'Inventaire des produits'!$B$4:$K$1000,2,0),"")</f>
        <v>ROULEAU ALUMINIUM EXTRA PACK 200M</v>
      </c>
      <c r="G460" s="250">
        <v>31</v>
      </c>
      <c r="H460" s="77">
        <v>64.9833</v>
      </c>
      <c r="I460" s="95">
        <f t="shared" si="14"/>
        <v>2014.4822999999999</v>
      </c>
      <c r="J460" s="95">
        <f t="shared" si="15"/>
        <v>2417.3787599999996</v>
      </c>
      <c r="K460" s="93">
        <f>IFERROR(VLOOKUP(E460,'Inventaire des produits'!$B$4:$J$1000,5,FALSE),"")</f>
        <v>0</v>
      </c>
      <c r="L460" s="301">
        <f>IFERROR(VLOOKUP(E460,'Inventaire des produits'!$B$4:$J$1000,6,FALSE),"")</f>
        <v>48.631666666699999</v>
      </c>
      <c r="M460" s="62"/>
    </row>
    <row r="461" spans="2:13" x14ac:dyDescent="0.3">
      <c r="B461" s="378" t="s">
        <v>1704</v>
      </c>
      <c r="C461" s="342"/>
      <c r="D461" s="339"/>
      <c r="E461" s="235" t="s">
        <v>199</v>
      </c>
      <c r="F461" s="271" t="str">
        <f>IFERROR(VLOOKUP(E461,'Inventaire des produits'!$B$4:$K$1000,2,0),"")</f>
        <v>BARQUETTE ALUMINIUM 81760 (3COMP)</v>
      </c>
      <c r="G461" s="250">
        <v>3600</v>
      </c>
      <c r="H461" s="77">
        <v>1.13533</v>
      </c>
      <c r="I461" s="95">
        <f t="shared" si="14"/>
        <v>4087.1879999999996</v>
      </c>
      <c r="J461" s="95">
        <f t="shared" si="15"/>
        <v>4904.6255999999994</v>
      </c>
      <c r="K461" s="93">
        <f>IFERROR(VLOOKUP(E461,'Inventaire des produits'!$B$4:$J$1000,5,FALSE),"")</f>
        <v>0</v>
      </c>
      <c r="L461" s="301">
        <f>IFERROR(VLOOKUP(E461,'Inventaire des produits'!$B$4:$J$1000,6,FALSE),"")</f>
        <v>1</v>
      </c>
      <c r="M461" s="62"/>
    </row>
    <row r="462" spans="2:13" x14ac:dyDescent="0.3">
      <c r="B462" s="378" t="s">
        <v>1704</v>
      </c>
      <c r="C462" s="340">
        <v>45397</v>
      </c>
      <c r="D462" s="337" t="s">
        <v>708</v>
      </c>
      <c r="E462" s="235" t="s">
        <v>637</v>
      </c>
      <c r="F462" s="271" t="str">
        <f>IFERROR(VLOOKUP(E462,'Inventaire des produits'!$B$4:$K$1000,2,0),"")</f>
        <v>SET FOURCHETTE ET COUTEAU ET SERVIETTE</v>
      </c>
      <c r="G462" s="257">
        <v>470</v>
      </c>
      <c r="H462" s="76">
        <v>0.67295000000000005</v>
      </c>
      <c r="I462" s="95">
        <f t="shared" si="14"/>
        <v>316.28650000000005</v>
      </c>
      <c r="J462" s="95">
        <f t="shared" si="15"/>
        <v>379.54380000000003</v>
      </c>
      <c r="K462" s="93">
        <f>IFERROR(VLOOKUP(E462,'Inventaire des produits'!$B$4:$J$1000,5,FALSE),"")</f>
        <v>0</v>
      </c>
      <c r="L462" s="301">
        <f>IFERROR(VLOOKUP(E462,'Inventaire des produits'!$B$4:$J$1000,6,FALSE),"")</f>
        <v>0.54166666669999997</v>
      </c>
      <c r="M462" s="62">
        <v>2640</v>
      </c>
    </row>
    <row r="463" spans="2:13" x14ac:dyDescent="0.3">
      <c r="B463" s="378" t="s">
        <v>1704</v>
      </c>
      <c r="C463" s="341"/>
      <c r="D463" s="338"/>
      <c r="E463" s="235" t="s">
        <v>95</v>
      </c>
      <c r="F463" s="271" t="str">
        <f>IFERROR(VLOOKUP(E463,'Inventaire des produits'!$B$4:$K$1000,2,0),"")</f>
        <v>POT DE SAUCE 2OZ NOIRE</v>
      </c>
      <c r="G463" s="258">
        <v>3200</v>
      </c>
      <c r="H463" s="77">
        <v>0.247</v>
      </c>
      <c r="I463" s="95">
        <f t="shared" si="14"/>
        <v>790.4</v>
      </c>
      <c r="J463" s="95">
        <f t="shared" si="15"/>
        <v>948.4799999999999</v>
      </c>
      <c r="K463" s="93">
        <f>IFERROR(VLOOKUP(E463,'Inventaire des produits'!$B$4:$J$1000,5,FALSE),"")</f>
        <v>0</v>
      </c>
      <c r="L463" s="301">
        <f>IFERROR(VLOOKUP(E463,'Inventaire des produits'!$B$4:$J$1000,6,FALSE),"")</f>
        <v>0.13600000000000001</v>
      </c>
      <c r="M463" s="62"/>
    </row>
    <row r="464" spans="2:13" x14ac:dyDescent="0.3">
      <c r="B464" s="378" t="s">
        <v>1704</v>
      </c>
      <c r="C464" s="341"/>
      <c r="D464" s="338"/>
      <c r="E464" s="235" t="s">
        <v>222</v>
      </c>
      <c r="F464" s="271" t="str">
        <f>IFERROR(VLOOKUP(E464,'Inventaire des produits'!$B$4:$K$1000,2,0),"")</f>
        <v>FILM ALIMENTAIRE ELEGENCE</v>
      </c>
      <c r="G464" s="258">
        <v>15</v>
      </c>
      <c r="H464" s="77">
        <v>30.620999999999999</v>
      </c>
      <c r="I464" s="95">
        <f t="shared" si="14"/>
        <v>459.315</v>
      </c>
      <c r="J464" s="95">
        <f t="shared" si="15"/>
        <v>551.178</v>
      </c>
      <c r="K464" s="93">
        <f>IFERROR(VLOOKUP(E464,'Inventaire des produits'!$B$4:$J$1000,5,FALSE),"")</f>
        <v>0</v>
      </c>
      <c r="L464" s="301">
        <f>IFERROR(VLOOKUP(E464,'Inventaire des produits'!$B$4:$J$1000,6,FALSE),"")</f>
        <v>20</v>
      </c>
      <c r="M464" s="62"/>
    </row>
    <row r="465" spans="2:13" x14ac:dyDescent="0.3">
      <c r="B465" s="378" t="s">
        <v>1704</v>
      </c>
      <c r="C465" s="341"/>
      <c r="D465" s="338"/>
      <c r="E465" s="235" t="s">
        <v>127</v>
      </c>
      <c r="F465" s="271" t="str">
        <f>IFERROR(VLOOKUP(E465,'Inventaire des produits'!$B$4:$K$1000,2,0),"")</f>
        <v>SERVIETTE DE TABLE SEVAN 1PLI</v>
      </c>
      <c r="G465" s="258">
        <v>100</v>
      </c>
      <c r="H465" s="77">
        <v>3.75</v>
      </c>
      <c r="I465" s="95">
        <f t="shared" si="14"/>
        <v>375</v>
      </c>
      <c r="J465" s="95">
        <f t="shared" si="15"/>
        <v>450</v>
      </c>
      <c r="K465" s="93">
        <f>IFERROR(VLOOKUP(E465,'Inventaire des produits'!$B$4:$J$1000,5,FALSE),"")</f>
        <v>0</v>
      </c>
      <c r="L465" s="301">
        <f>IFERROR(VLOOKUP(E465,'Inventaire des produits'!$B$4:$J$1000,6,FALSE),"")</f>
        <v>2.9169999999999998</v>
      </c>
      <c r="M465" s="62"/>
    </row>
    <row r="466" spans="2:13" x14ac:dyDescent="0.3">
      <c r="B466" s="378" t="s">
        <v>1704</v>
      </c>
      <c r="C466" s="342"/>
      <c r="D466" s="339"/>
      <c r="E466" s="235" t="s">
        <v>224</v>
      </c>
      <c r="F466" s="271" t="str">
        <f>IFERROR(VLOOKUP(E466,'Inventaire des produits'!$B$4:$K$1000,2,0),"")</f>
        <v>FOURCHETTE LUX</v>
      </c>
      <c r="G466" s="258">
        <v>14</v>
      </c>
      <c r="H466" s="77">
        <v>18.5</v>
      </c>
      <c r="I466" s="95">
        <f t="shared" si="14"/>
        <v>259</v>
      </c>
      <c r="J466" s="95">
        <f t="shared" si="15"/>
        <v>310.8</v>
      </c>
      <c r="K466" s="93">
        <f>IFERROR(VLOOKUP(E466,'Inventaire des produits'!$B$4:$J$1000,5,FALSE),"")</f>
        <v>0</v>
      </c>
      <c r="L466" s="301">
        <f>IFERROR(VLOOKUP(E466,'Inventaire des produits'!$B$4:$J$1000,6,FALSE),"")</f>
        <v>14.382</v>
      </c>
      <c r="M466" s="62"/>
    </row>
    <row r="467" spans="2:13" x14ac:dyDescent="0.3">
      <c r="B467" s="378" t="s">
        <v>1704</v>
      </c>
      <c r="C467" s="340">
        <v>45397</v>
      </c>
      <c r="D467" s="337" t="s">
        <v>709</v>
      </c>
      <c r="E467" s="235" t="s">
        <v>127</v>
      </c>
      <c r="F467" s="271" t="str">
        <f>IFERROR(VLOOKUP(E467,'Inventaire des produits'!$B$4:$K$1000,2,0),"")</f>
        <v>SERVIETTE DE TABLE SEVAN 1PLI</v>
      </c>
      <c r="G467" s="257">
        <v>600</v>
      </c>
      <c r="H467" s="76">
        <v>3.17</v>
      </c>
      <c r="I467" s="95">
        <f t="shared" si="14"/>
        <v>1902</v>
      </c>
      <c r="J467" s="95">
        <f t="shared" si="15"/>
        <v>2282.4</v>
      </c>
      <c r="K467" s="93">
        <f>IFERROR(VLOOKUP(E467,'Inventaire des produits'!$B$4:$J$1000,5,FALSE),"")</f>
        <v>0</v>
      </c>
      <c r="L467" s="301">
        <f>IFERROR(VLOOKUP(E467,'Inventaire des produits'!$B$4:$J$1000,6,FALSE),"")</f>
        <v>2.9169999999999998</v>
      </c>
      <c r="M467" s="62">
        <v>3084</v>
      </c>
    </row>
    <row r="468" spans="2:13" x14ac:dyDescent="0.3">
      <c r="B468" s="378" t="s">
        <v>1704</v>
      </c>
      <c r="C468" s="341"/>
      <c r="D468" s="338"/>
      <c r="E468" s="235" t="s">
        <v>58</v>
      </c>
      <c r="F468" s="271" t="str">
        <f>IFERROR(VLOOKUP(E468,'Inventaire des produits'!$B$4:$K$1000,2,0),"")</f>
        <v>POT DE SAUCE EN PLAST INJECTION TRANS 30ML</v>
      </c>
      <c r="G468" s="258">
        <v>1000</v>
      </c>
      <c r="H468" s="77">
        <v>0.311</v>
      </c>
      <c r="I468" s="95">
        <f t="shared" si="14"/>
        <v>311</v>
      </c>
      <c r="J468" s="95">
        <f t="shared" si="15"/>
        <v>373.2</v>
      </c>
      <c r="K468" s="93">
        <f>IFERROR(VLOOKUP(E468,'Inventaire des produits'!$B$4:$J$1000,5,FALSE),"")</f>
        <v>0</v>
      </c>
      <c r="L468" s="301">
        <f>IFERROR(VLOOKUP(E468,'Inventaire des produits'!$B$4:$J$1000,6,FALSE),"")</f>
        <v>0.25</v>
      </c>
      <c r="M468" s="62"/>
    </row>
    <row r="469" spans="2:13" x14ac:dyDescent="0.3">
      <c r="B469" s="378" t="s">
        <v>1704</v>
      </c>
      <c r="C469" s="342"/>
      <c r="D469" s="339"/>
      <c r="E469" s="235" t="s">
        <v>60</v>
      </c>
      <c r="F469" s="271" t="str">
        <f>IFERROR(VLOOKUP(E469,'Inventaire des produits'!$B$4:$K$1000,2,0),"")</f>
        <v>POT DE SAUCE EN PLAST INJECTION TRANS 50ML</v>
      </c>
      <c r="G469" s="258">
        <v>1000</v>
      </c>
      <c r="H469" s="77">
        <v>0.35699999999999998</v>
      </c>
      <c r="I469" s="95">
        <f t="shared" si="14"/>
        <v>357</v>
      </c>
      <c r="J469" s="95">
        <f t="shared" si="15"/>
        <v>428.4</v>
      </c>
      <c r="K469" s="93">
        <f>IFERROR(VLOOKUP(E469,'Inventaire des produits'!$B$4:$J$1000,5,FALSE),"")</f>
        <v>0</v>
      </c>
      <c r="L469" s="301">
        <f>IFERROR(VLOOKUP(E469,'Inventaire des produits'!$B$4:$J$1000,6,FALSE),"")</f>
        <v>0.29166666670000002</v>
      </c>
      <c r="M469" s="62"/>
    </row>
    <row r="470" spans="2:13" x14ac:dyDescent="0.3">
      <c r="B470" s="378" t="s">
        <v>1704</v>
      </c>
      <c r="C470" s="340">
        <v>45397</v>
      </c>
      <c r="D470" s="337" t="s">
        <v>710</v>
      </c>
      <c r="E470" s="235" t="s">
        <v>224</v>
      </c>
      <c r="F470" s="271" t="str">
        <f>IFERROR(VLOOKUP(E470,'Inventaire des produits'!$B$4:$K$1000,2,0),"")</f>
        <v>FOURCHETTE LUX</v>
      </c>
      <c r="G470" s="257">
        <v>8</v>
      </c>
      <c r="H470" s="76">
        <v>24.0624</v>
      </c>
      <c r="I470" s="95">
        <f t="shared" si="14"/>
        <v>192.4992</v>
      </c>
      <c r="J470" s="95">
        <f t="shared" si="15"/>
        <v>230.99903999999998</v>
      </c>
      <c r="K470" s="93">
        <f>IFERROR(VLOOKUP(E470,'Inventaire des produits'!$B$4:$J$1000,5,FALSE),"")</f>
        <v>0</v>
      </c>
      <c r="L470" s="301">
        <f>IFERROR(VLOOKUP(E470,'Inventaire des produits'!$B$4:$J$1000,6,FALSE),"")</f>
        <v>14.382</v>
      </c>
      <c r="M470" s="62">
        <v>1014</v>
      </c>
    </row>
    <row r="471" spans="2:13" x14ac:dyDescent="0.3">
      <c r="B471" s="378" t="s">
        <v>1704</v>
      </c>
      <c r="C471" s="341"/>
      <c r="D471" s="338"/>
      <c r="E471" s="235" t="s">
        <v>251</v>
      </c>
      <c r="F471" s="271" t="str">
        <f>IFERROR(VLOOKUP(E471,'Inventaire des produits'!$B$4:$K$1000,2,0),"")</f>
        <v>COUTEAU ECOLUXE</v>
      </c>
      <c r="G471" s="258">
        <v>8</v>
      </c>
      <c r="H471" s="77">
        <v>24.0624</v>
      </c>
      <c r="I471" s="95">
        <f t="shared" si="14"/>
        <v>192.4992</v>
      </c>
      <c r="J471" s="95">
        <f t="shared" si="15"/>
        <v>230.99903999999998</v>
      </c>
      <c r="K471" s="93">
        <f>IFERROR(VLOOKUP(E471,'Inventaire des produits'!$B$4:$J$1000,5,FALSE),"")</f>
        <v>0</v>
      </c>
      <c r="L471" s="301">
        <f>IFERROR(VLOOKUP(E471,'Inventaire des produits'!$B$4:$J$1000,6,FALSE),"")</f>
        <v>15.84</v>
      </c>
      <c r="M471" s="62"/>
    </row>
    <row r="472" spans="2:13" x14ac:dyDescent="0.3">
      <c r="B472" s="378" t="s">
        <v>1704</v>
      </c>
      <c r="C472" s="341"/>
      <c r="D472" s="338"/>
      <c r="E472" s="235" t="s">
        <v>127</v>
      </c>
      <c r="F472" s="271" t="str">
        <f>IFERROR(VLOOKUP(E472,'Inventaire des produits'!$B$4:$K$1000,2,0),"")</f>
        <v>SERVIETTE DE TABLE SEVAN 1PLI</v>
      </c>
      <c r="G472" s="258">
        <v>80</v>
      </c>
      <c r="H472" s="77">
        <v>4</v>
      </c>
      <c r="I472" s="95">
        <f t="shared" si="14"/>
        <v>320</v>
      </c>
      <c r="J472" s="95">
        <f t="shared" si="15"/>
        <v>384</v>
      </c>
      <c r="K472" s="93">
        <f>IFERROR(VLOOKUP(E472,'Inventaire des produits'!$B$4:$J$1000,5,FALSE),"")</f>
        <v>0</v>
      </c>
      <c r="L472" s="301">
        <f>IFERROR(VLOOKUP(E472,'Inventaire des produits'!$B$4:$J$1000,6,FALSE),"")</f>
        <v>2.9169999999999998</v>
      </c>
      <c r="M472" s="62"/>
    </row>
    <row r="473" spans="2:13" x14ac:dyDescent="0.3">
      <c r="B473" s="378" t="s">
        <v>1704</v>
      </c>
      <c r="C473" s="342"/>
      <c r="D473" s="339"/>
      <c r="E473" s="235" t="s">
        <v>158</v>
      </c>
      <c r="F473" s="271" t="str">
        <f>IFERROR(VLOOKUP(E473,'Inventaire des produits'!$B$4:$K$1000,2,0),"")</f>
        <v>CUILLERE PETIT</v>
      </c>
      <c r="G473" s="258">
        <v>1400</v>
      </c>
      <c r="H473" s="77">
        <v>0.1</v>
      </c>
      <c r="I473" s="95">
        <f t="shared" si="14"/>
        <v>140</v>
      </c>
      <c r="J473" s="95">
        <f t="shared" si="15"/>
        <v>168</v>
      </c>
      <c r="K473" s="93">
        <f>IFERROR(VLOOKUP(E473,'Inventaire des produits'!$B$4:$J$1000,5,FALSE),"")</f>
        <v>0</v>
      </c>
      <c r="L473" s="301">
        <f>IFERROR(VLOOKUP(E473,'Inventaire des produits'!$B$4:$J$1000,6,FALSE),"")</f>
        <v>5.8329499999999999E-2</v>
      </c>
      <c r="M473" s="62"/>
    </row>
    <row r="474" spans="2:13" x14ac:dyDescent="0.3">
      <c r="B474" s="378" t="s">
        <v>1704</v>
      </c>
      <c r="C474" s="340">
        <v>45398</v>
      </c>
      <c r="D474" s="337" t="s">
        <v>711</v>
      </c>
      <c r="E474" s="235" t="s">
        <v>222</v>
      </c>
      <c r="F474" s="271" t="str">
        <f>IFERROR(VLOOKUP(E474,'Inventaire des produits'!$B$4:$K$1000,2,0),"")</f>
        <v>FILM ALIMENTAIRE ELEGENCE</v>
      </c>
      <c r="G474" s="259">
        <v>26</v>
      </c>
      <c r="H474" s="85">
        <v>28.333333332999999</v>
      </c>
      <c r="I474" s="95">
        <f t="shared" si="14"/>
        <v>736.66666665799994</v>
      </c>
      <c r="J474" s="95">
        <f t="shared" si="15"/>
        <v>883.99999998959993</v>
      </c>
      <c r="K474" s="93">
        <f>IFERROR(VLOOKUP(E474,'Inventaire des produits'!$B$4:$J$1000,5,FALSE),"")</f>
        <v>0</v>
      </c>
      <c r="L474" s="301">
        <f>IFERROR(VLOOKUP(E474,'Inventaire des produits'!$B$4:$J$1000,6,FALSE),"")</f>
        <v>20</v>
      </c>
      <c r="M474" s="62">
        <v>10389.64</v>
      </c>
    </row>
    <row r="475" spans="2:13" x14ac:dyDescent="0.3">
      <c r="B475" s="378" t="s">
        <v>1704</v>
      </c>
      <c r="C475" s="341"/>
      <c r="D475" s="338"/>
      <c r="E475" s="235" t="s">
        <v>252</v>
      </c>
      <c r="F475" s="271" t="str">
        <f>IFERROR(VLOOKUP(E475,'Inventaire des produits'!$B$4:$K$1000,2,0),"")</f>
        <v>ESSUIE MAIN GKEM1KG</v>
      </c>
      <c r="G475" s="260">
        <v>16</v>
      </c>
      <c r="H475" s="80">
        <v>28.333333332999999</v>
      </c>
      <c r="I475" s="95">
        <f t="shared" si="14"/>
        <v>453.33333332799998</v>
      </c>
      <c r="J475" s="95">
        <f t="shared" si="15"/>
        <v>543.9999999936</v>
      </c>
      <c r="K475" s="93">
        <f>IFERROR(VLOOKUP(E475,'Inventaire des produits'!$B$4:$J$1000,5,FALSE),"")</f>
        <v>0</v>
      </c>
      <c r="L475" s="301">
        <f>IFERROR(VLOOKUP(E475,'Inventaire des produits'!$B$4:$J$1000,6,FALSE),"")</f>
        <v>20.83</v>
      </c>
      <c r="M475" s="62"/>
    </row>
    <row r="476" spans="2:13" x14ac:dyDescent="0.3">
      <c r="B476" s="378" t="s">
        <v>1704</v>
      </c>
      <c r="C476" s="341"/>
      <c r="D476" s="338"/>
      <c r="E476" s="235" t="s">
        <v>414</v>
      </c>
      <c r="F476" s="271" t="str">
        <f>IFERROR(VLOOKUP(E476,'Inventaire des produits'!$B$4:$K$1000,2,0),"")</f>
        <v>GANT VINYL NOIR EXTRA PREMIUM GLOVE LARGE</v>
      </c>
      <c r="G476" s="260">
        <v>29</v>
      </c>
      <c r="H476" s="80">
        <v>33.333333332999999</v>
      </c>
      <c r="I476" s="95">
        <f t="shared" si="14"/>
        <v>966.66666665699995</v>
      </c>
      <c r="J476" s="95">
        <f t="shared" si="15"/>
        <v>1159.9999999883998</v>
      </c>
      <c r="K476" s="93">
        <f>IFERROR(VLOOKUP(E476,'Inventaire des produits'!$B$4:$J$1000,5,FALSE),"")</f>
        <v>0</v>
      </c>
      <c r="L476" s="301">
        <f>IFERROR(VLOOKUP(E476,'Inventaire des produits'!$B$4:$J$1000,6,FALSE),"")</f>
        <v>20.833333333300001</v>
      </c>
      <c r="M476" s="62"/>
    </row>
    <row r="477" spans="2:13" x14ac:dyDescent="0.3">
      <c r="B477" s="378" t="s">
        <v>1704</v>
      </c>
      <c r="C477" s="341"/>
      <c r="D477" s="338"/>
      <c r="E477" s="235" t="s">
        <v>542</v>
      </c>
      <c r="F477" s="271" t="str">
        <f>IFERROR(VLOOKUP(E477,'Inventaire des produits'!$B$4:$K$1000,2,0),"")</f>
        <v>BARQUETTE ALUMINIUM 250</v>
      </c>
      <c r="G477" s="260">
        <v>680</v>
      </c>
      <c r="H477" s="80">
        <v>0.375</v>
      </c>
      <c r="I477" s="95">
        <f t="shared" si="14"/>
        <v>255</v>
      </c>
      <c r="J477" s="95">
        <f t="shared" si="15"/>
        <v>306</v>
      </c>
      <c r="K477" s="93">
        <f>IFERROR(VLOOKUP(E477,'Inventaire des produits'!$B$4:$J$1000,5,FALSE),"")</f>
        <v>0</v>
      </c>
      <c r="L477" s="301">
        <f>IFERROR(VLOOKUP(E477,'Inventaire des produits'!$B$4:$J$1000,6,FALSE),"")</f>
        <v>0.20338000000000001</v>
      </c>
      <c r="M477" s="62"/>
    </row>
    <row r="478" spans="2:13" x14ac:dyDescent="0.3">
      <c r="B478" s="378" t="s">
        <v>1704</v>
      </c>
      <c r="C478" s="341"/>
      <c r="D478" s="338"/>
      <c r="E478" s="235" t="s">
        <v>226</v>
      </c>
      <c r="F478" s="271" t="str">
        <f>IFERROR(VLOOKUP(E478,'Inventaire des produits'!$B$4:$K$1000,2,0),"")</f>
        <v>CUILLERE LUX</v>
      </c>
      <c r="G478" s="260">
        <v>10</v>
      </c>
      <c r="H478" s="80">
        <v>19.1663</v>
      </c>
      <c r="I478" s="95">
        <f t="shared" si="14"/>
        <v>191.66300000000001</v>
      </c>
      <c r="J478" s="95">
        <f t="shared" si="15"/>
        <v>229.9956</v>
      </c>
      <c r="K478" s="93">
        <f>IFERROR(VLOOKUP(E478,'Inventaire des produits'!$B$4:$J$1000,5,FALSE),"")</f>
        <v>0</v>
      </c>
      <c r="L478" s="301">
        <f>IFERROR(VLOOKUP(E478,'Inventaire des produits'!$B$4:$J$1000,6,FALSE),"")</f>
        <v>14.4</v>
      </c>
      <c r="M478" s="62"/>
    </row>
    <row r="479" spans="2:13" x14ac:dyDescent="0.3">
      <c r="B479" s="378" t="s">
        <v>1704</v>
      </c>
      <c r="C479" s="341"/>
      <c r="D479" s="338"/>
      <c r="E479" s="235" t="s">
        <v>109</v>
      </c>
      <c r="F479" s="271" t="str">
        <f>IFERROR(VLOOKUP(E479,'Inventaire des produits'!$B$4:$K$1000,2,0),"")</f>
        <v>FILM PVC ETIRABLE EXTRA 500*45 1,5KG</v>
      </c>
      <c r="G479" s="260">
        <v>9</v>
      </c>
      <c r="H479" s="80">
        <v>48.333333332999999</v>
      </c>
      <c r="I479" s="95">
        <f t="shared" si="14"/>
        <v>434.99999999699997</v>
      </c>
      <c r="J479" s="95">
        <f t="shared" si="15"/>
        <v>521.99999999639999</v>
      </c>
      <c r="K479" s="93">
        <f>IFERROR(VLOOKUP(E479,'Inventaire des produits'!$B$4:$J$1000,5,FALSE),"")</f>
        <v>0</v>
      </c>
      <c r="L479" s="301">
        <f>IFERROR(VLOOKUP(E479,'Inventaire des produits'!$B$4:$J$1000,6,FALSE),"")</f>
        <v>37.407499999999999</v>
      </c>
      <c r="M479" s="62"/>
    </row>
    <row r="480" spans="2:13" x14ac:dyDescent="0.3">
      <c r="B480" s="378" t="s">
        <v>1704</v>
      </c>
      <c r="C480" s="341"/>
      <c r="D480" s="338"/>
      <c r="E480" s="235" t="s">
        <v>224</v>
      </c>
      <c r="F480" s="271" t="str">
        <f>IFERROR(VLOOKUP(E480,'Inventaire des produits'!$B$4:$K$1000,2,0),"")</f>
        <v>FOURCHETTE LUX</v>
      </c>
      <c r="G480" s="260">
        <v>25</v>
      </c>
      <c r="H480" s="80">
        <v>19.1663</v>
      </c>
      <c r="I480" s="95">
        <f t="shared" si="14"/>
        <v>479.15749999999997</v>
      </c>
      <c r="J480" s="95">
        <f t="shared" si="15"/>
        <v>574.98899999999992</v>
      </c>
      <c r="K480" s="93">
        <f>IFERROR(VLOOKUP(E480,'Inventaire des produits'!$B$4:$J$1000,5,FALSE),"")</f>
        <v>0</v>
      </c>
      <c r="L480" s="301">
        <f>IFERROR(VLOOKUP(E480,'Inventaire des produits'!$B$4:$J$1000,6,FALSE),"")</f>
        <v>14.382</v>
      </c>
      <c r="M480" s="62"/>
    </row>
    <row r="481" spans="2:13" x14ac:dyDescent="0.3">
      <c r="B481" s="378" t="s">
        <v>1704</v>
      </c>
      <c r="C481" s="341"/>
      <c r="D481" s="338"/>
      <c r="E481" s="240" t="s">
        <v>405</v>
      </c>
      <c r="F481" s="271" t="str">
        <f>IFERROR(VLOOKUP(E481,'Inventaire des produits'!$B$4:$K$1000,2,0),"")</f>
        <v>POT DE SAUCE 1OZ 30ML HP</v>
      </c>
      <c r="G481" s="260">
        <v>24800</v>
      </c>
      <c r="H481" s="80">
        <v>0.15856000000000001</v>
      </c>
      <c r="I481" s="95">
        <f t="shared" si="14"/>
        <v>3932.288</v>
      </c>
      <c r="J481" s="95">
        <f t="shared" si="15"/>
        <v>4718.7456000000002</v>
      </c>
      <c r="K481" s="93">
        <f>IFERROR(VLOOKUP(E481,'Inventaire des produits'!$B$4:$J$1000,5,FALSE),"")</f>
        <v>0</v>
      </c>
      <c r="L481" s="301">
        <f>IFERROR(VLOOKUP(E481,'Inventaire des produits'!$B$4:$J$1000,6,FALSE),"")</f>
        <v>0.14019999999999999</v>
      </c>
      <c r="M481" s="62"/>
    </row>
    <row r="482" spans="2:13" x14ac:dyDescent="0.3">
      <c r="B482" s="378" t="s">
        <v>1704</v>
      </c>
      <c r="C482" s="341"/>
      <c r="D482" s="338"/>
      <c r="E482" s="240" t="s">
        <v>418</v>
      </c>
      <c r="F482" s="271" t="str">
        <f>IFERROR(VLOOKUP(E482,'Inventaire des produits'!$B$4:$K$1000,2,0),"")</f>
        <v>ROULEAU DE CAISSE THERMIQUE 70X80</v>
      </c>
      <c r="G482" s="260">
        <v>73</v>
      </c>
      <c r="H482" s="80">
        <v>10.8333333</v>
      </c>
      <c r="I482" s="95">
        <f t="shared" si="14"/>
        <v>790.83333089999996</v>
      </c>
      <c r="J482" s="95">
        <f t="shared" si="15"/>
        <v>948.99999707999996</v>
      </c>
      <c r="K482" s="93">
        <f>IFERROR(VLOOKUP(E482,'Inventaire des produits'!$B$4:$J$1000,5,FALSE),"")</f>
        <v>0</v>
      </c>
      <c r="L482" s="301">
        <f>IFERROR(VLOOKUP(E482,'Inventaire des produits'!$B$4:$J$1000,6,FALSE),"")</f>
        <v>8</v>
      </c>
      <c r="M482" s="62"/>
    </row>
    <row r="483" spans="2:13" x14ac:dyDescent="0.3">
      <c r="B483" s="378" t="s">
        <v>1704</v>
      </c>
      <c r="C483" s="341"/>
      <c r="D483" s="338"/>
      <c r="E483" s="235" t="s">
        <v>259</v>
      </c>
      <c r="F483" s="271" t="str">
        <f>IFERROR(VLOOKUP(E483,'Inventaire des produits'!$B$4:$K$1000,2,0),"")</f>
        <v>ROULEAU ALUMINIUM GOLDEN 200M</v>
      </c>
      <c r="G483" s="260">
        <v>1</v>
      </c>
      <c r="H483" s="80">
        <v>70.833333330000002</v>
      </c>
      <c r="I483" s="95">
        <f t="shared" si="14"/>
        <v>70.833333330000002</v>
      </c>
      <c r="J483" s="95">
        <f t="shared" si="15"/>
        <v>84.999999996</v>
      </c>
      <c r="K483" s="93">
        <f>IFERROR(VLOOKUP(E483,'Inventaire des produits'!$B$4:$J$1000,5,FALSE),"")</f>
        <v>0</v>
      </c>
      <c r="L483" s="301">
        <f>IFERROR(VLOOKUP(E483,'Inventaire des produits'!$B$4:$J$1000,6,FALSE),"")</f>
        <v>58.333333333299997</v>
      </c>
      <c r="M483" s="62"/>
    </row>
    <row r="484" spans="2:13" x14ac:dyDescent="0.3">
      <c r="B484" s="378" t="s">
        <v>1704</v>
      </c>
      <c r="C484" s="341"/>
      <c r="D484" s="338"/>
      <c r="E484" s="235" t="s">
        <v>537</v>
      </c>
      <c r="F484" s="271" t="str">
        <f>IFERROR(VLOOKUP(E484,'Inventaire des produits'!$B$4:$K$1000,2,0),"")</f>
        <v>PAILLE ENVELOPPE 6MM CODE 100 TRANS</v>
      </c>
      <c r="G484" s="260">
        <v>13</v>
      </c>
      <c r="H484" s="80">
        <v>6.6609999999999996</v>
      </c>
      <c r="I484" s="95">
        <f t="shared" si="14"/>
        <v>86.592999999999989</v>
      </c>
      <c r="J484" s="95">
        <f t="shared" si="15"/>
        <v>103.91159999999998</v>
      </c>
      <c r="K484" s="93">
        <f>IFERROR(VLOOKUP(E484,'Inventaire des produits'!$B$4:$J$1000,5,FALSE),"")</f>
        <v>0</v>
      </c>
      <c r="L484" s="301">
        <f>IFERROR(VLOOKUP(E484,'Inventaire des produits'!$B$4:$J$1000,6,FALSE),"")</f>
        <v>4.5</v>
      </c>
      <c r="M484" s="62"/>
    </row>
    <row r="485" spans="2:13" x14ac:dyDescent="0.3">
      <c r="B485" s="378" t="s">
        <v>1704</v>
      </c>
      <c r="C485" s="342"/>
      <c r="D485" s="339"/>
      <c r="E485" s="235" t="s">
        <v>239</v>
      </c>
      <c r="F485" s="271" t="str">
        <f>IFERROR(VLOOKUP(E485,'Inventaire des produits'!$B$4:$K$1000,2,0),"")</f>
        <v>GANT POLYETHLENE</v>
      </c>
      <c r="G485" s="260">
        <v>52</v>
      </c>
      <c r="H485" s="80">
        <v>5</v>
      </c>
      <c r="I485" s="95">
        <f t="shared" si="14"/>
        <v>260</v>
      </c>
      <c r="J485" s="95">
        <f t="shared" si="15"/>
        <v>312</v>
      </c>
      <c r="K485" s="93">
        <f>IFERROR(VLOOKUP(E485,'Inventaire des produits'!$B$4:$J$1000,5,FALSE),"")</f>
        <v>0</v>
      </c>
      <c r="L485" s="301">
        <f>IFERROR(VLOOKUP(E485,'Inventaire des produits'!$B$4:$J$1000,6,FALSE),"")</f>
        <v>3.5</v>
      </c>
      <c r="M485" s="62"/>
    </row>
    <row r="486" spans="2:13" x14ac:dyDescent="0.3">
      <c r="B486" s="378" t="s">
        <v>1704</v>
      </c>
      <c r="C486" s="340">
        <v>45398</v>
      </c>
      <c r="D486" s="337" t="s">
        <v>712</v>
      </c>
      <c r="E486" s="235" t="s">
        <v>222</v>
      </c>
      <c r="F486" s="271" t="str">
        <f>IFERROR(VLOOKUP(E486,'Inventaire des produits'!$B$4:$K$1000,2,0),"")</f>
        <v>FILM ALIMENTAIRE ELEGENCE</v>
      </c>
      <c r="G486" s="259">
        <v>26</v>
      </c>
      <c r="H486" s="85">
        <v>28.333333332999999</v>
      </c>
      <c r="I486" s="95">
        <f t="shared" si="14"/>
        <v>736.66666665799994</v>
      </c>
      <c r="J486" s="95">
        <f t="shared" si="15"/>
        <v>883.99999998959993</v>
      </c>
      <c r="K486" s="93">
        <f>IFERROR(VLOOKUP(E486,'Inventaire des produits'!$B$4:$J$1000,5,FALSE),"")</f>
        <v>0</v>
      </c>
      <c r="L486" s="301">
        <f>IFERROR(VLOOKUP(E486,'Inventaire des produits'!$B$4:$J$1000,6,FALSE),"")</f>
        <v>20</v>
      </c>
      <c r="M486" s="62">
        <v>10370.629999999999</v>
      </c>
    </row>
    <row r="487" spans="2:13" x14ac:dyDescent="0.3">
      <c r="B487" s="378" t="s">
        <v>1704</v>
      </c>
      <c r="C487" s="341"/>
      <c r="D487" s="338"/>
      <c r="E487" s="235" t="s">
        <v>252</v>
      </c>
      <c r="F487" s="271" t="str">
        <f>IFERROR(VLOOKUP(E487,'Inventaire des produits'!$B$4:$K$1000,2,0),"")</f>
        <v>ESSUIE MAIN GKEM1KG</v>
      </c>
      <c r="G487" s="260">
        <v>16</v>
      </c>
      <c r="H487" s="80">
        <v>28.333333332999999</v>
      </c>
      <c r="I487" s="95">
        <f t="shared" si="14"/>
        <v>453.33333332799998</v>
      </c>
      <c r="J487" s="95">
        <f t="shared" si="15"/>
        <v>543.9999999936</v>
      </c>
      <c r="K487" s="93">
        <f>IFERROR(VLOOKUP(E487,'Inventaire des produits'!$B$4:$J$1000,5,FALSE),"")</f>
        <v>0</v>
      </c>
      <c r="L487" s="301">
        <f>IFERROR(VLOOKUP(E487,'Inventaire des produits'!$B$4:$J$1000,6,FALSE),"")</f>
        <v>20.83</v>
      </c>
      <c r="M487" s="62"/>
    </row>
    <row r="488" spans="2:13" x14ac:dyDescent="0.3">
      <c r="B488" s="378" t="s">
        <v>1704</v>
      </c>
      <c r="C488" s="341"/>
      <c r="D488" s="338"/>
      <c r="E488" s="235" t="s">
        <v>414</v>
      </c>
      <c r="F488" s="271" t="str">
        <f>IFERROR(VLOOKUP(E488,'Inventaire des produits'!$B$4:$K$1000,2,0),"")</f>
        <v>GANT VINYL NOIR EXTRA PREMIUM GLOVE LARGE</v>
      </c>
      <c r="G488" s="260">
        <v>29</v>
      </c>
      <c r="H488" s="80">
        <v>33.333333332999999</v>
      </c>
      <c r="I488" s="95">
        <f t="shared" si="14"/>
        <v>966.66666665699995</v>
      </c>
      <c r="J488" s="95">
        <f t="shared" si="15"/>
        <v>1159.9999999883998</v>
      </c>
      <c r="K488" s="93">
        <f>IFERROR(VLOOKUP(E488,'Inventaire des produits'!$B$4:$J$1000,5,FALSE),"")</f>
        <v>0</v>
      </c>
      <c r="L488" s="301">
        <f>IFERROR(VLOOKUP(E488,'Inventaire des produits'!$B$4:$J$1000,6,FALSE),"")</f>
        <v>20.833333333300001</v>
      </c>
      <c r="M488" s="62"/>
    </row>
    <row r="489" spans="2:13" x14ac:dyDescent="0.3">
      <c r="B489" s="378" t="s">
        <v>1704</v>
      </c>
      <c r="C489" s="341"/>
      <c r="D489" s="338"/>
      <c r="E489" s="235" t="s">
        <v>542</v>
      </c>
      <c r="F489" s="271" t="str">
        <f>IFERROR(VLOOKUP(E489,'Inventaire des produits'!$B$4:$K$1000,2,0),"")</f>
        <v>BARQUETTE ALUMINIUM 250</v>
      </c>
      <c r="G489" s="260">
        <v>680</v>
      </c>
      <c r="H489" s="80">
        <v>0.375</v>
      </c>
      <c r="I489" s="95">
        <f t="shared" si="14"/>
        <v>255</v>
      </c>
      <c r="J489" s="95">
        <f t="shared" si="15"/>
        <v>306</v>
      </c>
      <c r="K489" s="93">
        <f>IFERROR(VLOOKUP(E489,'Inventaire des produits'!$B$4:$J$1000,5,FALSE),"")</f>
        <v>0</v>
      </c>
      <c r="L489" s="301">
        <f>IFERROR(VLOOKUP(E489,'Inventaire des produits'!$B$4:$J$1000,6,FALSE),"")</f>
        <v>0.20338000000000001</v>
      </c>
      <c r="M489" s="62"/>
    </row>
    <row r="490" spans="2:13" x14ac:dyDescent="0.3">
      <c r="B490" s="378" t="s">
        <v>1704</v>
      </c>
      <c r="C490" s="341"/>
      <c r="D490" s="338"/>
      <c r="E490" s="235" t="s">
        <v>226</v>
      </c>
      <c r="F490" s="271" t="str">
        <f>IFERROR(VLOOKUP(E490,'Inventaire des produits'!$B$4:$K$1000,2,0),"")</f>
        <v>CUILLERE LUX</v>
      </c>
      <c r="G490" s="260">
        <v>10</v>
      </c>
      <c r="H490" s="80">
        <v>19.1663</v>
      </c>
      <c r="I490" s="95">
        <f t="shared" si="14"/>
        <v>191.66300000000001</v>
      </c>
      <c r="J490" s="95">
        <f t="shared" si="15"/>
        <v>229.9956</v>
      </c>
      <c r="K490" s="93">
        <f>IFERROR(VLOOKUP(E490,'Inventaire des produits'!$B$4:$J$1000,5,FALSE),"")</f>
        <v>0</v>
      </c>
      <c r="L490" s="301">
        <f>IFERROR(VLOOKUP(E490,'Inventaire des produits'!$B$4:$J$1000,6,FALSE),"")</f>
        <v>14.4</v>
      </c>
      <c r="M490" s="62"/>
    </row>
    <row r="491" spans="2:13" x14ac:dyDescent="0.3">
      <c r="B491" s="378" t="s">
        <v>1704</v>
      </c>
      <c r="C491" s="341"/>
      <c r="D491" s="338"/>
      <c r="E491" s="235" t="s">
        <v>109</v>
      </c>
      <c r="F491" s="271" t="str">
        <f>IFERROR(VLOOKUP(E491,'Inventaire des produits'!$B$4:$K$1000,2,0),"")</f>
        <v>FILM PVC ETIRABLE EXTRA 500*45 1,5KG</v>
      </c>
      <c r="G491" s="260">
        <v>10</v>
      </c>
      <c r="H491" s="80">
        <v>48.333333332999999</v>
      </c>
      <c r="I491" s="95">
        <f t="shared" si="14"/>
        <v>483.33333332999996</v>
      </c>
      <c r="J491" s="95">
        <f t="shared" si="15"/>
        <v>579.99999999599993</v>
      </c>
      <c r="K491" s="93">
        <f>IFERROR(VLOOKUP(E491,'Inventaire des produits'!$B$4:$J$1000,5,FALSE),"")</f>
        <v>0</v>
      </c>
      <c r="L491" s="301">
        <f>IFERROR(VLOOKUP(E491,'Inventaire des produits'!$B$4:$J$1000,6,FALSE),"")</f>
        <v>37.407499999999999</v>
      </c>
      <c r="M491" s="62"/>
    </row>
    <row r="492" spans="2:13" x14ac:dyDescent="0.3">
      <c r="B492" s="378" t="s">
        <v>1704</v>
      </c>
      <c r="C492" s="341"/>
      <c r="D492" s="338"/>
      <c r="E492" s="235" t="s">
        <v>224</v>
      </c>
      <c r="F492" s="271" t="str">
        <f>IFERROR(VLOOKUP(E492,'Inventaire des produits'!$B$4:$K$1000,2,0),"")</f>
        <v>FOURCHETTE LUX</v>
      </c>
      <c r="G492" s="260">
        <v>25</v>
      </c>
      <c r="H492" s="80">
        <v>19.1663</v>
      </c>
      <c r="I492" s="95">
        <f t="shared" si="14"/>
        <v>479.15749999999997</v>
      </c>
      <c r="J492" s="95">
        <f t="shared" si="15"/>
        <v>574.98899999999992</v>
      </c>
      <c r="K492" s="93">
        <f>IFERROR(VLOOKUP(E492,'Inventaire des produits'!$B$4:$J$1000,5,FALSE),"")</f>
        <v>0</v>
      </c>
      <c r="L492" s="301">
        <f>IFERROR(VLOOKUP(E492,'Inventaire des produits'!$B$4:$J$1000,6,FALSE),"")</f>
        <v>14.382</v>
      </c>
      <c r="M492" s="62"/>
    </row>
    <row r="493" spans="2:13" x14ac:dyDescent="0.3">
      <c r="B493" s="378" t="s">
        <v>1704</v>
      </c>
      <c r="C493" s="341"/>
      <c r="D493" s="338"/>
      <c r="E493" s="240" t="s">
        <v>405</v>
      </c>
      <c r="F493" s="271" t="str">
        <f>IFERROR(VLOOKUP(E493,'Inventaire des produits'!$B$4:$K$1000,2,0),"")</f>
        <v>POT DE SAUCE 1OZ 30ML HP</v>
      </c>
      <c r="G493" s="260">
        <v>24800</v>
      </c>
      <c r="H493" s="80">
        <v>0.15856000000000001</v>
      </c>
      <c r="I493" s="95">
        <f t="shared" si="14"/>
        <v>3932.288</v>
      </c>
      <c r="J493" s="95">
        <f t="shared" si="15"/>
        <v>4718.7456000000002</v>
      </c>
      <c r="K493" s="93">
        <f>IFERROR(VLOOKUP(E493,'Inventaire des produits'!$B$4:$J$1000,5,FALSE),"")</f>
        <v>0</v>
      </c>
      <c r="L493" s="301">
        <f>IFERROR(VLOOKUP(E493,'Inventaire des produits'!$B$4:$J$1000,6,FALSE),"")</f>
        <v>0.14019999999999999</v>
      </c>
      <c r="M493" s="62"/>
    </row>
    <row r="494" spans="2:13" x14ac:dyDescent="0.3">
      <c r="B494" s="378" t="s">
        <v>1704</v>
      </c>
      <c r="C494" s="341"/>
      <c r="D494" s="338"/>
      <c r="E494" s="240" t="s">
        <v>418</v>
      </c>
      <c r="F494" s="271" t="str">
        <f>IFERROR(VLOOKUP(E494,'Inventaire des produits'!$B$4:$K$1000,2,0),"")</f>
        <v>ROULEAU DE CAISSE THERMIQUE 70X80</v>
      </c>
      <c r="G494" s="260">
        <v>66</v>
      </c>
      <c r="H494" s="80">
        <v>10.8333333</v>
      </c>
      <c r="I494" s="95">
        <f t="shared" si="14"/>
        <v>714.99999779999996</v>
      </c>
      <c r="J494" s="95">
        <f t="shared" si="15"/>
        <v>857.99999735999995</v>
      </c>
      <c r="K494" s="93">
        <f>IFERROR(VLOOKUP(E494,'Inventaire des produits'!$B$4:$J$1000,5,FALSE),"")</f>
        <v>0</v>
      </c>
      <c r="L494" s="301">
        <f>IFERROR(VLOOKUP(E494,'Inventaire des produits'!$B$4:$J$1000,6,FALSE),"")</f>
        <v>8</v>
      </c>
      <c r="M494" s="62"/>
    </row>
    <row r="495" spans="2:13" x14ac:dyDescent="0.3">
      <c r="B495" s="378" t="s">
        <v>1704</v>
      </c>
      <c r="C495" s="341"/>
      <c r="D495" s="338"/>
      <c r="E495" s="235" t="s">
        <v>259</v>
      </c>
      <c r="F495" s="271" t="str">
        <f>IFERROR(VLOOKUP(E495,'Inventaire des produits'!$B$4:$K$1000,2,0),"")</f>
        <v>ROULEAU ALUMINIUM GOLDEN 200M</v>
      </c>
      <c r="G495" s="260">
        <v>1</v>
      </c>
      <c r="H495" s="80">
        <v>70.833333330000002</v>
      </c>
      <c r="I495" s="95">
        <f t="shared" si="14"/>
        <v>70.833333330000002</v>
      </c>
      <c r="J495" s="95">
        <f t="shared" si="15"/>
        <v>84.999999996</v>
      </c>
      <c r="K495" s="93">
        <f>IFERROR(VLOOKUP(E495,'Inventaire des produits'!$B$4:$J$1000,5,FALSE),"")</f>
        <v>0</v>
      </c>
      <c r="L495" s="301">
        <f>IFERROR(VLOOKUP(E495,'Inventaire des produits'!$B$4:$J$1000,6,FALSE),"")</f>
        <v>58.333333333299997</v>
      </c>
      <c r="M495" s="62"/>
    </row>
    <row r="496" spans="2:13" x14ac:dyDescent="0.3">
      <c r="B496" s="378" t="s">
        <v>1704</v>
      </c>
      <c r="C496" s="341"/>
      <c r="D496" s="338"/>
      <c r="E496" s="235" t="s">
        <v>537</v>
      </c>
      <c r="F496" s="271" t="str">
        <f>IFERROR(VLOOKUP(E496,'Inventaire des produits'!$B$4:$K$1000,2,0),"")</f>
        <v>PAILLE ENVELOPPE 6MM CODE 100 TRANS</v>
      </c>
      <c r="G496" s="260">
        <v>14</v>
      </c>
      <c r="H496" s="80">
        <v>6.6609999999999996</v>
      </c>
      <c r="I496" s="95">
        <f t="shared" si="14"/>
        <v>93.253999999999991</v>
      </c>
      <c r="J496" s="95">
        <f t="shared" si="15"/>
        <v>111.90479999999998</v>
      </c>
      <c r="K496" s="93">
        <f>IFERROR(VLOOKUP(E496,'Inventaire des produits'!$B$4:$J$1000,5,FALSE),"")</f>
        <v>0</v>
      </c>
      <c r="L496" s="301">
        <f>IFERROR(VLOOKUP(E496,'Inventaire des produits'!$B$4:$J$1000,6,FALSE),"")</f>
        <v>4.5</v>
      </c>
      <c r="M496" s="62"/>
    </row>
    <row r="497" spans="2:13" x14ac:dyDescent="0.3">
      <c r="B497" s="378" t="s">
        <v>1704</v>
      </c>
      <c r="C497" s="342"/>
      <c r="D497" s="339"/>
      <c r="E497" s="235" t="s">
        <v>239</v>
      </c>
      <c r="F497" s="271" t="str">
        <f>IFERROR(VLOOKUP(E497,'Inventaire des produits'!$B$4:$K$1000,2,0),"")</f>
        <v>GANT POLYETHLENE</v>
      </c>
      <c r="G497" s="260">
        <v>53</v>
      </c>
      <c r="H497" s="80">
        <v>5</v>
      </c>
      <c r="I497" s="95">
        <f t="shared" si="14"/>
        <v>265</v>
      </c>
      <c r="J497" s="95">
        <f t="shared" si="15"/>
        <v>318</v>
      </c>
      <c r="K497" s="93">
        <f>IFERROR(VLOOKUP(E497,'Inventaire des produits'!$B$4:$J$1000,5,FALSE),"")</f>
        <v>0</v>
      </c>
      <c r="L497" s="301">
        <f>IFERROR(VLOOKUP(E497,'Inventaire des produits'!$B$4:$J$1000,6,FALSE),"")</f>
        <v>3.5</v>
      </c>
      <c r="M497" s="62"/>
    </row>
    <row r="498" spans="2:13" x14ac:dyDescent="0.3">
      <c r="B498" s="378" t="s">
        <v>1704</v>
      </c>
      <c r="C498" s="340">
        <v>45398</v>
      </c>
      <c r="D498" s="337" t="s">
        <v>713</v>
      </c>
      <c r="E498" s="235" t="s">
        <v>222</v>
      </c>
      <c r="F498" s="271" t="str">
        <f>IFERROR(VLOOKUP(E498,'Inventaire des produits'!$B$4:$K$1000,2,0),"")</f>
        <v>FILM ALIMENTAIRE ELEGENCE</v>
      </c>
      <c r="G498" s="259">
        <v>26</v>
      </c>
      <c r="H498" s="85">
        <v>28.333333332999999</v>
      </c>
      <c r="I498" s="95">
        <f t="shared" si="14"/>
        <v>736.66666665799994</v>
      </c>
      <c r="J498" s="95">
        <f t="shared" si="15"/>
        <v>883.99999998959993</v>
      </c>
      <c r="K498" s="93">
        <f>IFERROR(VLOOKUP(E498,'Inventaire des produits'!$B$4:$J$1000,5,FALSE),"")</f>
        <v>0</v>
      </c>
      <c r="L498" s="301">
        <f>IFERROR(VLOOKUP(E498,'Inventaire des produits'!$B$4:$J$1000,6,FALSE),"")</f>
        <v>20</v>
      </c>
      <c r="M498" s="62">
        <v>10328.17</v>
      </c>
    </row>
    <row r="499" spans="2:13" x14ac:dyDescent="0.3">
      <c r="B499" s="378" t="s">
        <v>1704</v>
      </c>
      <c r="C499" s="341"/>
      <c r="D499" s="338"/>
      <c r="E499" s="235" t="s">
        <v>252</v>
      </c>
      <c r="F499" s="271" t="str">
        <f>IFERROR(VLOOKUP(E499,'Inventaire des produits'!$B$4:$K$1000,2,0),"")</f>
        <v>ESSUIE MAIN GKEM1KG</v>
      </c>
      <c r="G499" s="260">
        <v>18</v>
      </c>
      <c r="H499" s="80">
        <v>28.333333332999999</v>
      </c>
      <c r="I499" s="95">
        <f t="shared" si="14"/>
        <v>509.99999999399995</v>
      </c>
      <c r="J499" s="95">
        <f t="shared" si="15"/>
        <v>611.99999999279987</v>
      </c>
      <c r="K499" s="93">
        <f>IFERROR(VLOOKUP(E499,'Inventaire des produits'!$B$4:$J$1000,5,FALSE),"")</f>
        <v>0</v>
      </c>
      <c r="L499" s="301">
        <f>IFERROR(VLOOKUP(E499,'Inventaire des produits'!$B$4:$J$1000,6,FALSE),"")</f>
        <v>20.83</v>
      </c>
      <c r="M499" s="62"/>
    </row>
    <row r="500" spans="2:13" x14ac:dyDescent="0.3">
      <c r="B500" s="378" t="s">
        <v>1704</v>
      </c>
      <c r="C500" s="341"/>
      <c r="D500" s="338"/>
      <c r="E500" s="235" t="s">
        <v>414</v>
      </c>
      <c r="F500" s="271" t="str">
        <f>IFERROR(VLOOKUP(E500,'Inventaire des produits'!$B$4:$K$1000,2,0),"")</f>
        <v>GANT VINYL NOIR EXTRA PREMIUM GLOVE LARGE</v>
      </c>
      <c r="G500" s="260">
        <v>29</v>
      </c>
      <c r="H500" s="80">
        <v>33.333333332999999</v>
      </c>
      <c r="I500" s="95">
        <f t="shared" si="14"/>
        <v>966.66666665699995</v>
      </c>
      <c r="J500" s="95">
        <f t="shared" si="15"/>
        <v>1159.9999999883998</v>
      </c>
      <c r="K500" s="93">
        <f>IFERROR(VLOOKUP(E500,'Inventaire des produits'!$B$4:$J$1000,5,FALSE),"")</f>
        <v>0</v>
      </c>
      <c r="L500" s="301">
        <f>IFERROR(VLOOKUP(E500,'Inventaire des produits'!$B$4:$J$1000,6,FALSE),"")</f>
        <v>20.833333333300001</v>
      </c>
      <c r="M500" s="62"/>
    </row>
    <row r="501" spans="2:13" x14ac:dyDescent="0.3">
      <c r="B501" s="378" t="s">
        <v>1704</v>
      </c>
      <c r="C501" s="341"/>
      <c r="D501" s="338"/>
      <c r="E501" s="235" t="s">
        <v>542</v>
      </c>
      <c r="F501" s="271" t="str">
        <f>IFERROR(VLOOKUP(E501,'Inventaire des produits'!$B$4:$K$1000,2,0),"")</f>
        <v>BARQUETTE ALUMINIUM 250</v>
      </c>
      <c r="G501" s="260">
        <v>690</v>
      </c>
      <c r="H501" s="80">
        <v>0.375</v>
      </c>
      <c r="I501" s="95">
        <f t="shared" si="14"/>
        <v>258.75</v>
      </c>
      <c r="J501" s="95">
        <f t="shared" si="15"/>
        <v>310.5</v>
      </c>
      <c r="K501" s="93">
        <f>IFERROR(VLOOKUP(E501,'Inventaire des produits'!$B$4:$J$1000,5,FALSE),"")</f>
        <v>0</v>
      </c>
      <c r="L501" s="301">
        <f>IFERROR(VLOOKUP(E501,'Inventaire des produits'!$B$4:$J$1000,6,FALSE),"")</f>
        <v>0.20338000000000001</v>
      </c>
      <c r="M501" s="62"/>
    </row>
    <row r="502" spans="2:13" x14ac:dyDescent="0.3">
      <c r="B502" s="378" t="s">
        <v>1704</v>
      </c>
      <c r="C502" s="341"/>
      <c r="D502" s="338"/>
      <c r="E502" s="235" t="s">
        <v>226</v>
      </c>
      <c r="F502" s="271" t="str">
        <f>IFERROR(VLOOKUP(E502,'Inventaire des produits'!$B$4:$K$1000,2,0),"")</f>
        <v>CUILLERE LUX</v>
      </c>
      <c r="G502" s="260">
        <v>12</v>
      </c>
      <c r="H502" s="80">
        <v>19.1663</v>
      </c>
      <c r="I502" s="95">
        <f t="shared" si="14"/>
        <v>229.9956</v>
      </c>
      <c r="J502" s="95">
        <f t="shared" si="15"/>
        <v>275.99471999999997</v>
      </c>
      <c r="K502" s="93">
        <f>IFERROR(VLOOKUP(E502,'Inventaire des produits'!$B$4:$J$1000,5,FALSE),"")</f>
        <v>0</v>
      </c>
      <c r="L502" s="301">
        <f>IFERROR(VLOOKUP(E502,'Inventaire des produits'!$B$4:$J$1000,6,FALSE),"")</f>
        <v>14.4</v>
      </c>
      <c r="M502" s="62"/>
    </row>
    <row r="503" spans="2:13" x14ac:dyDescent="0.3">
      <c r="B503" s="378" t="s">
        <v>1704</v>
      </c>
      <c r="C503" s="341"/>
      <c r="D503" s="338"/>
      <c r="E503" s="235" t="s">
        <v>109</v>
      </c>
      <c r="F503" s="271" t="str">
        <f>IFERROR(VLOOKUP(E503,'Inventaire des produits'!$B$4:$K$1000,2,0),"")</f>
        <v>FILM PVC ETIRABLE EXTRA 500*45 1,5KG</v>
      </c>
      <c r="G503" s="260">
        <v>9</v>
      </c>
      <c r="H503" s="80">
        <v>48.333333332999999</v>
      </c>
      <c r="I503" s="95">
        <f t="shared" si="14"/>
        <v>434.99999999699997</v>
      </c>
      <c r="J503" s="95">
        <f t="shared" si="15"/>
        <v>521.99999999639999</v>
      </c>
      <c r="K503" s="93">
        <f>IFERROR(VLOOKUP(E503,'Inventaire des produits'!$B$4:$J$1000,5,FALSE),"")</f>
        <v>0</v>
      </c>
      <c r="L503" s="301">
        <f>IFERROR(VLOOKUP(E503,'Inventaire des produits'!$B$4:$J$1000,6,FALSE),"")</f>
        <v>37.407499999999999</v>
      </c>
      <c r="M503" s="62"/>
    </row>
    <row r="504" spans="2:13" x14ac:dyDescent="0.3">
      <c r="B504" s="378" t="s">
        <v>1704</v>
      </c>
      <c r="C504" s="341"/>
      <c r="D504" s="338"/>
      <c r="E504" s="235" t="s">
        <v>224</v>
      </c>
      <c r="F504" s="271" t="str">
        <f>IFERROR(VLOOKUP(E504,'Inventaire des produits'!$B$4:$K$1000,2,0),"")</f>
        <v>FOURCHETTE LUX</v>
      </c>
      <c r="G504" s="260">
        <v>24</v>
      </c>
      <c r="H504" s="80">
        <v>19.1663</v>
      </c>
      <c r="I504" s="95">
        <f t="shared" si="14"/>
        <v>459.99119999999999</v>
      </c>
      <c r="J504" s="95">
        <f t="shared" si="15"/>
        <v>551.98943999999995</v>
      </c>
      <c r="K504" s="93">
        <f>IFERROR(VLOOKUP(E504,'Inventaire des produits'!$B$4:$J$1000,5,FALSE),"")</f>
        <v>0</v>
      </c>
      <c r="L504" s="301">
        <f>IFERROR(VLOOKUP(E504,'Inventaire des produits'!$B$4:$J$1000,6,FALSE),"")</f>
        <v>14.382</v>
      </c>
      <c r="M504" s="62"/>
    </row>
    <row r="505" spans="2:13" x14ac:dyDescent="0.3">
      <c r="B505" s="378" t="s">
        <v>1704</v>
      </c>
      <c r="C505" s="341"/>
      <c r="D505" s="338"/>
      <c r="E505" s="240" t="s">
        <v>405</v>
      </c>
      <c r="F505" s="271" t="str">
        <f>IFERROR(VLOOKUP(E505,'Inventaire des produits'!$B$4:$K$1000,2,0),"")</f>
        <v>POT DE SAUCE 1OZ 30ML HP</v>
      </c>
      <c r="G505" s="260">
        <v>24900</v>
      </c>
      <c r="H505" s="80">
        <v>0.15856000000000001</v>
      </c>
      <c r="I505" s="95">
        <f t="shared" si="14"/>
        <v>3948.1440000000002</v>
      </c>
      <c r="J505" s="95">
        <f t="shared" si="15"/>
        <v>4737.7727999999997</v>
      </c>
      <c r="K505" s="93">
        <f>IFERROR(VLOOKUP(E505,'Inventaire des produits'!$B$4:$J$1000,5,FALSE),"")</f>
        <v>0</v>
      </c>
      <c r="L505" s="301">
        <f>IFERROR(VLOOKUP(E505,'Inventaire des produits'!$B$4:$J$1000,6,FALSE),"")</f>
        <v>0.14019999999999999</v>
      </c>
      <c r="M505" s="62"/>
    </row>
    <row r="506" spans="2:13" x14ac:dyDescent="0.3">
      <c r="B506" s="378" t="s">
        <v>1704</v>
      </c>
      <c r="C506" s="341"/>
      <c r="D506" s="338"/>
      <c r="E506" s="240" t="s">
        <v>418</v>
      </c>
      <c r="F506" s="271" t="str">
        <f>IFERROR(VLOOKUP(E506,'Inventaire des produits'!$B$4:$K$1000,2,0),"")</f>
        <v>ROULEAU DE CAISSE THERMIQUE 70X80</v>
      </c>
      <c r="G506" s="260">
        <v>66</v>
      </c>
      <c r="H506" s="80">
        <v>10.8333333</v>
      </c>
      <c r="I506" s="95">
        <f t="shared" si="14"/>
        <v>714.99999779999996</v>
      </c>
      <c r="J506" s="95">
        <f t="shared" si="15"/>
        <v>857.99999735999995</v>
      </c>
      <c r="K506" s="93">
        <f>IFERROR(VLOOKUP(E506,'Inventaire des produits'!$B$4:$J$1000,5,FALSE),"")</f>
        <v>0</v>
      </c>
      <c r="L506" s="301">
        <f>IFERROR(VLOOKUP(E506,'Inventaire des produits'!$B$4:$J$1000,6,FALSE),"")</f>
        <v>8</v>
      </c>
      <c r="M506" s="62"/>
    </row>
    <row r="507" spans="2:13" x14ac:dyDescent="0.3">
      <c r="B507" s="378" t="s">
        <v>1704</v>
      </c>
      <c r="C507" s="341"/>
      <c r="D507" s="338"/>
      <c r="E507" s="235" t="s">
        <v>259</v>
      </c>
      <c r="F507" s="271" t="str">
        <f>IFERROR(VLOOKUP(E507,'Inventaire des produits'!$B$4:$K$1000,2,0),"")</f>
        <v>ROULEAU ALUMINIUM GOLDEN 200M</v>
      </c>
      <c r="G507" s="260">
        <v>13</v>
      </c>
      <c r="H507" s="80">
        <v>6.6609999999999996</v>
      </c>
      <c r="I507" s="95">
        <f t="shared" si="14"/>
        <v>86.592999999999989</v>
      </c>
      <c r="J507" s="95">
        <f t="shared" si="15"/>
        <v>103.91159999999998</v>
      </c>
      <c r="K507" s="93">
        <f>IFERROR(VLOOKUP(E507,'Inventaire des produits'!$B$4:$J$1000,5,FALSE),"")</f>
        <v>0</v>
      </c>
      <c r="L507" s="301">
        <f>IFERROR(VLOOKUP(E507,'Inventaire des produits'!$B$4:$J$1000,6,FALSE),"")</f>
        <v>58.333333333299997</v>
      </c>
      <c r="M507" s="62"/>
    </row>
    <row r="508" spans="2:13" x14ac:dyDescent="0.3">
      <c r="B508" s="378" t="s">
        <v>1704</v>
      </c>
      <c r="C508" s="342"/>
      <c r="D508" s="339"/>
      <c r="E508" s="235" t="s">
        <v>239</v>
      </c>
      <c r="F508" s="271" t="str">
        <f>IFERROR(VLOOKUP(E508,'Inventaire des produits'!$B$4:$K$1000,2,0),"")</f>
        <v>GANT POLYETHLENE</v>
      </c>
      <c r="G508" s="260">
        <v>52</v>
      </c>
      <c r="H508" s="80">
        <v>5</v>
      </c>
      <c r="I508" s="95">
        <f t="shared" si="14"/>
        <v>260</v>
      </c>
      <c r="J508" s="95">
        <f t="shared" si="15"/>
        <v>312</v>
      </c>
      <c r="K508" s="93">
        <f>IFERROR(VLOOKUP(E508,'Inventaire des produits'!$B$4:$J$1000,5,FALSE),"")</f>
        <v>0</v>
      </c>
      <c r="L508" s="301">
        <f>IFERROR(VLOOKUP(E508,'Inventaire des produits'!$B$4:$J$1000,6,FALSE),"")</f>
        <v>3.5</v>
      </c>
      <c r="M508" s="62"/>
    </row>
    <row r="509" spans="2:13" x14ac:dyDescent="0.3">
      <c r="B509" s="378" t="s">
        <v>1704</v>
      </c>
      <c r="C509" s="340">
        <v>45398</v>
      </c>
      <c r="D509" s="337" t="s">
        <v>714</v>
      </c>
      <c r="E509" s="235" t="s">
        <v>222</v>
      </c>
      <c r="F509" s="271" t="str">
        <f>IFERROR(VLOOKUP(E509,'Inventaire des produits'!$B$4:$K$1000,2,0),"")</f>
        <v>FILM ALIMENTAIRE ELEGENCE</v>
      </c>
      <c r="G509" s="259">
        <v>26</v>
      </c>
      <c r="H509" s="85">
        <v>28.333333332999999</v>
      </c>
      <c r="I509" s="95">
        <f t="shared" si="14"/>
        <v>736.66666665799994</v>
      </c>
      <c r="J509" s="95">
        <f t="shared" si="15"/>
        <v>883.99999998959993</v>
      </c>
      <c r="K509" s="93">
        <f>IFERROR(VLOOKUP(E509,'Inventaire des produits'!$B$4:$J$1000,5,FALSE),"")</f>
        <v>0</v>
      </c>
      <c r="L509" s="301">
        <f>IFERROR(VLOOKUP(E509,'Inventaire des produits'!$B$4:$J$1000,6,FALSE),"")</f>
        <v>20</v>
      </c>
      <c r="M509" s="62">
        <v>1516</v>
      </c>
    </row>
    <row r="510" spans="2:13" x14ac:dyDescent="0.3">
      <c r="B510" s="378" t="s">
        <v>1704</v>
      </c>
      <c r="C510" s="341"/>
      <c r="D510" s="338"/>
      <c r="E510" s="235" t="s">
        <v>252</v>
      </c>
      <c r="F510" s="271" t="str">
        <f>IFERROR(VLOOKUP(E510,'Inventaire des produits'!$B$4:$K$1000,2,0),"")</f>
        <v>ESSUIE MAIN GKEM1KG</v>
      </c>
      <c r="G510" s="260">
        <v>8</v>
      </c>
      <c r="H510" s="80">
        <v>28.333333332999999</v>
      </c>
      <c r="I510" s="95">
        <f t="shared" si="14"/>
        <v>226.66666666399999</v>
      </c>
      <c r="J510" s="95">
        <f t="shared" si="15"/>
        <v>271.9999999968</v>
      </c>
      <c r="K510" s="93">
        <f>IFERROR(VLOOKUP(E510,'Inventaire des produits'!$B$4:$J$1000,5,FALSE),"")</f>
        <v>0</v>
      </c>
      <c r="L510" s="301">
        <f>IFERROR(VLOOKUP(E510,'Inventaire des produits'!$B$4:$J$1000,6,FALSE),"")</f>
        <v>20.83</v>
      </c>
      <c r="M510" s="62"/>
    </row>
    <row r="511" spans="2:13" x14ac:dyDescent="0.3">
      <c r="B511" s="378" t="s">
        <v>1704</v>
      </c>
      <c r="C511" s="342"/>
      <c r="D511" s="339"/>
      <c r="E511" s="235" t="s">
        <v>414</v>
      </c>
      <c r="F511" s="271" t="str">
        <f>IFERROR(VLOOKUP(E511,'Inventaire des produits'!$B$4:$K$1000,2,0),"")</f>
        <v>GANT VINYL NOIR EXTRA PREMIUM GLOVE LARGE</v>
      </c>
      <c r="G511" s="260">
        <v>9</v>
      </c>
      <c r="H511" s="80">
        <v>33.333333332999999</v>
      </c>
      <c r="I511" s="95">
        <f t="shared" si="14"/>
        <v>299.99999999699997</v>
      </c>
      <c r="J511" s="95">
        <f t="shared" si="15"/>
        <v>359.99999999639994</v>
      </c>
      <c r="K511" s="93">
        <f>IFERROR(VLOOKUP(E511,'Inventaire des produits'!$B$4:$J$1000,5,FALSE),"")</f>
        <v>0</v>
      </c>
      <c r="L511" s="301">
        <f>IFERROR(VLOOKUP(E511,'Inventaire des produits'!$B$4:$J$1000,6,FALSE),"")</f>
        <v>20.833333333300001</v>
      </c>
      <c r="M511" s="62"/>
    </row>
    <row r="512" spans="2:13" x14ac:dyDescent="0.3">
      <c r="B512" s="378" t="s">
        <v>1704</v>
      </c>
      <c r="C512" s="340">
        <v>45399</v>
      </c>
      <c r="D512" s="337" t="s">
        <v>715</v>
      </c>
      <c r="E512" s="235" t="s">
        <v>135</v>
      </c>
      <c r="F512" s="271" t="str">
        <f>IFERROR(VLOOKUP(E512,'Inventaire des produits'!$B$4:$K$1000,2,0),"")</f>
        <v>GOBLET 14OZ EN PLAST TRANS SMART + CV PLAT</v>
      </c>
      <c r="G512" s="259">
        <v>3000</v>
      </c>
      <c r="H512" s="85">
        <v>0.55489999999999995</v>
      </c>
      <c r="I512" s="95">
        <f t="shared" si="14"/>
        <v>1664.6999999999998</v>
      </c>
      <c r="J512" s="95">
        <f t="shared" si="15"/>
        <v>1997.6399999999996</v>
      </c>
      <c r="K512" s="93">
        <f>IFERROR(VLOOKUP(E512,'Inventaire des produits'!$B$4:$J$1000,5,FALSE),"")</f>
        <v>0</v>
      </c>
      <c r="L512" s="301">
        <f>IFERROR(VLOOKUP(E512,'Inventaire des produits'!$B$4:$J$1000,6,FALSE),"")</f>
        <v>0.46875</v>
      </c>
      <c r="M512" s="62">
        <v>3159</v>
      </c>
    </row>
    <row r="513" spans="2:13" x14ac:dyDescent="0.3">
      <c r="B513" s="378" t="s">
        <v>1704</v>
      </c>
      <c r="C513" s="342"/>
      <c r="D513" s="339"/>
      <c r="E513" s="235" t="s">
        <v>299</v>
      </c>
      <c r="F513" s="271" t="str">
        <f>IFERROR(VLOOKUP(E513,'Inventaire des produits'!$B$4:$K$1000,2,0),"")</f>
        <v>BOITE CARRE 500</v>
      </c>
      <c r="G513" s="260">
        <v>2400</v>
      </c>
      <c r="H513" s="80">
        <v>0.40325</v>
      </c>
      <c r="I513" s="95">
        <f t="shared" si="14"/>
        <v>967.8</v>
      </c>
      <c r="J513" s="95">
        <f t="shared" si="15"/>
        <v>1161.3599999999999</v>
      </c>
      <c r="K513" s="93">
        <f>IFERROR(VLOOKUP(E513,'Inventaire des produits'!$B$4:$J$1000,5,FALSE),"")</f>
        <v>0</v>
      </c>
      <c r="L513" s="301">
        <f>IFERROR(VLOOKUP(E513,'Inventaire des produits'!$B$4:$J$1000,6,FALSE),"")</f>
        <v>0.3</v>
      </c>
      <c r="M513" s="62"/>
    </row>
    <row r="514" spans="2:13" x14ac:dyDescent="0.3">
      <c r="B514" s="378" t="s">
        <v>1704</v>
      </c>
      <c r="C514" s="340">
        <v>45399</v>
      </c>
      <c r="D514" s="337" t="s">
        <v>716</v>
      </c>
      <c r="E514" s="235" t="s">
        <v>210</v>
      </c>
      <c r="F514" s="271" t="str">
        <f>IFERROR(VLOOKUP(E514,'Inventaire des produits'!$B$4:$K$1000,2,0),"")</f>
        <v>POT DE SAUCE 2OZ NOIRE</v>
      </c>
      <c r="G514" s="259">
        <v>1800</v>
      </c>
      <c r="H514" s="85">
        <v>0.18055499999999999</v>
      </c>
      <c r="I514" s="95">
        <f t="shared" si="14"/>
        <v>324.99899999999997</v>
      </c>
      <c r="J514" s="95">
        <f t="shared" si="15"/>
        <v>389.99879999999996</v>
      </c>
      <c r="K514" s="93">
        <f>IFERROR(VLOOKUP(E514,'Inventaire des produits'!$B$4:$J$1000,5,FALSE),"")</f>
        <v>0</v>
      </c>
      <c r="L514" s="301">
        <f>IFERROR(VLOOKUP(E514,'Inventaire des produits'!$B$4:$J$1000,6,FALSE),"")</f>
        <v>0.1512</v>
      </c>
      <c r="M514" s="62">
        <v>990</v>
      </c>
    </row>
    <row r="515" spans="2:13" x14ac:dyDescent="0.3">
      <c r="B515" s="378" t="s">
        <v>1704</v>
      </c>
      <c r="C515" s="342"/>
      <c r="D515" s="339"/>
      <c r="E515" s="240" t="s">
        <v>66</v>
      </c>
      <c r="F515" s="271" t="str">
        <f>IFERROR(VLOOKUP(E515,'Inventaire des produits'!$B$4:$K$1000,2,0),"")</f>
        <v>TRIPOD PIZZA EN PLASTIQUE</v>
      </c>
      <c r="G515" s="261">
        <v>1000</v>
      </c>
      <c r="H515" s="89">
        <v>0.5</v>
      </c>
      <c r="I515" s="95">
        <f t="shared" si="14"/>
        <v>500</v>
      </c>
      <c r="J515" s="95">
        <f t="shared" si="15"/>
        <v>600</v>
      </c>
      <c r="K515" s="93">
        <f>IFERROR(VLOOKUP(E515,'Inventaire des produits'!$B$4:$J$1000,5,FALSE),"")</f>
        <v>0</v>
      </c>
      <c r="L515" s="301">
        <f>IFERROR(VLOOKUP(E515,'Inventaire des produits'!$B$4:$J$1000,6,FALSE),"")</f>
        <v>0.32</v>
      </c>
      <c r="M515" s="62"/>
    </row>
    <row r="516" spans="2:13" x14ac:dyDescent="0.3">
      <c r="B516" s="378" t="s">
        <v>1704</v>
      </c>
      <c r="C516" s="340">
        <v>45400</v>
      </c>
      <c r="D516" s="337" t="s">
        <v>717</v>
      </c>
      <c r="E516" s="240" t="s">
        <v>483</v>
      </c>
      <c r="F516" s="271" t="str">
        <f>IFERROR(VLOOKUP(E516,'Inventaire des produits'!$B$4:$K$1000,2,0),"")</f>
        <v>SERVIETTE</v>
      </c>
      <c r="G516" s="260">
        <v>260</v>
      </c>
      <c r="H516" s="80">
        <v>3.75</v>
      </c>
      <c r="I516" s="95">
        <f t="shared" si="14"/>
        <v>975</v>
      </c>
      <c r="J516" s="95">
        <f t="shared" si="15"/>
        <v>1170</v>
      </c>
      <c r="K516" s="93">
        <f>IFERROR(VLOOKUP(E516,'Inventaire des produits'!$B$4:$J$1000,5,FALSE),"")</f>
        <v>0</v>
      </c>
      <c r="L516" s="301">
        <f>IFERROR(VLOOKUP(E516,'Inventaire des produits'!$B$4:$J$1000,6,FALSE),"")</f>
        <v>2.3333333333000001</v>
      </c>
      <c r="M516" s="62">
        <v>2780</v>
      </c>
    </row>
    <row r="517" spans="2:13" x14ac:dyDescent="0.3">
      <c r="B517" s="378" t="s">
        <v>1704</v>
      </c>
      <c r="C517" s="341"/>
      <c r="D517" s="338"/>
      <c r="E517" s="240" t="s">
        <v>584</v>
      </c>
      <c r="F517" s="271" t="str">
        <f>IFERROR(VLOOKUP(E517,'Inventaire des produits'!$B$4:$K$1000,2,0),"")</f>
        <v>ROULEAU ALUMINIUM EXTRA PACK 200M</v>
      </c>
      <c r="G517" s="260">
        <v>6</v>
      </c>
      <c r="H517" s="80">
        <v>66.666666666666671</v>
      </c>
      <c r="I517" s="95">
        <f t="shared" ref="I517:I580" si="16">IF(OR(G517="",H517=""),"",G517*H517)</f>
        <v>400</v>
      </c>
      <c r="J517" s="95">
        <f t="shared" ref="J517:J580" si="17">IF(OR(I517=""),"",I517*1.2)</f>
        <v>480</v>
      </c>
      <c r="K517" s="93">
        <f>IFERROR(VLOOKUP(E517,'Inventaire des produits'!$B$4:$J$1000,5,FALSE),"")</f>
        <v>0</v>
      </c>
      <c r="L517" s="301">
        <f>IFERROR(VLOOKUP(E517,'Inventaire des produits'!$B$4:$J$1000,6,FALSE),"")</f>
        <v>50</v>
      </c>
      <c r="M517" s="62"/>
    </row>
    <row r="518" spans="2:13" x14ac:dyDescent="0.3">
      <c r="B518" s="378" t="s">
        <v>1704</v>
      </c>
      <c r="C518" s="341"/>
      <c r="D518" s="338"/>
      <c r="E518" s="240" t="s">
        <v>537</v>
      </c>
      <c r="F518" s="271" t="str">
        <f>IFERROR(VLOOKUP(E518,'Inventaire des produits'!$B$4:$K$1000,2,0),"")</f>
        <v>PAILLE ENVELOPPE 6MM CODE 100 TRANS</v>
      </c>
      <c r="G518" s="260">
        <v>8</v>
      </c>
      <c r="H518" s="80">
        <v>8.3333333333333339</v>
      </c>
      <c r="I518" s="95">
        <f t="shared" si="16"/>
        <v>66.666666666666671</v>
      </c>
      <c r="J518" s="95">
        <f t="shared" si="17"/>
        <v>80</v>
      </c>
      <c r="K518" s="93">
        <f>IFERROR(VLOOKUP(E518,'Inventaire des produits'!$B$4:$J$1000,5,FALSE),"")</f>
        <v>0</v>
      </c>
      <c r="L518" s="301">
        <f>IFERROR(VLOOKUP(E518,'Inventaire des produits'!$B$4:$J$1000,6,FALSE),"")</f>
        <v>4.5</v>
      </c>
      <c r="M518" s="62"/>
    </row>
    <row r="519" spans="2:13" x14ac:dyDescent="0.3">
      <c r="B519" s="378" t="s">
        <v>1704</v>
      </c>
      <c r="C519" s="342"/>
      <c r="D519" s="339"/>
      <c r="E519" s="240" t="s">
        <v>210</v>
      </c>
      <c r="F519" s="271" t="str">
        <f>IFERROR(VLOOKUP(E519,'Inventaire des produits'!$B$4:$K$1000,2,0),"")</f>
        <v>POT DE SAUCE 2OZ NOIRE</v>
      </c>
      <c r="G519" s="260">
        <v>5300</v>
      </c>
      <c r="H519" s="80">
        <v>0.16509499999999999</v>
      </c>
      <c r="I519" s="95">
        <f t="shared" si="16"/>
        <v>875.00349999999992</v>
      </c>
      <c r="J519" s="95">
        <f t="shared" si="17"/>
        <v>1050.0041999999999</v>
      </c>
      <c r="K519" s="93">
        <f>IFERROR(VLOOKUP(E519,'Inventaire des produits'!$B$4:$J$1000,5,FALSE),"")</f>
        <v>0</v>
      </c>
      <c r="L519" s="301">
        <f>IFERROR(VLOOKUP(E519,'Inventaire des produits'!$B$4:$J$1000,6,FALSE),"")</f>
        <v>0.1512</v>
      </c>
      <c r="M519" s="62"/>
    </row>
    <row r="520" spans="2:13" x14ac:dyDescent="0.3">
      <c r="B520" s="378" t="s">
        <v>1704</v>
      </c>
      <c r="C520" s="340">
        <v>45400</v>
      </c>
      <c r="D520" s="337" t="s">
        <v>718</v>
      </c>
      <c r="E520" s="235" t="s">
        <v>210</v>
      </c>
      <c r="F520" s="271" t="str">
        <f>IFERROR(VLOOKUP(E520,'Inventaire des produits'!$B$4:$K$1000,2,0),"")</f>
        <v>POT DE SAUCE 2OZ NOIRE</v>
      </c>
      <c r="G520" s="259">
        <v>2500</v>
      </c>
      <c r="H520" s="85">
        <v>0.24099999999999999</v>
      </c>
      <c r="I520" s="95">
        <f t="shared" si="16"/>
        <v>602.5</v>
      </c>
      <c r="J520" s="95">
        <f t="shared" si="17"/>
        <v>723</v>
      </c>
      <c r="K520" s="93">
        <f>IFERROR(VLOOKUP(E520,'Inventaire des produits'!$B$4:$J$1000,5,FALSE),"")</f>
        <v>0</v>
      </c>
      <c r="L520" s="301">
        <f>IFERROR(VLOOKUP(E520,'Inventaire des produits'!$B$4:$J$1000,6,FALSE),"")</f>
        <v>0.1512</v>
      </c>
      <c r="M520" s="62">
        <v>2034</v>
      </c>
    </row>
    <row r="521" spans="2:13" x14ac:dyDescent="0.3">
      <c r="B521" s="378" t="s">
        <v>1704</v>
      </c>
      <c r="C521" s="341"/>
      <c r="D521" s="338"/>
      <c r="E521" s="235" t="s">
        <v>222</v>
      </c>
      <c r="F521" s="271" t="str">
        <f>IFERROR(VLOOKUP(E521,'Inventaire des produits'!$B$4:$K$1000,2,0),"")</f>
        <v>FILM ALIMENTAIRE ELEGENCE</v>
      </c>
      <c r="G521" s="260">
        <v>15</v>
      </c>
      <c r="H521" s="80">
        <v>30.62</v>
      </c>
      <c r="I521" s="95">
        <f t="shared" si="16"/>
        <v>459.3</v>
      </c>
      <c r="J521" s="95">
        <f t="shared" si="17"/>
        <v>551.16</v>
      </c>
      <c r="K521" s="93">
        <f>IFERROR(VLOOKUP(E521,'Inventaire des produits'!$B$4:$J$1000,5,FALSE),"")</f>
        <v>0</v>
      </c>
      <c r="L521" s="301">
        <f>IFERROR(VLOOKUP(E521,'Inventaire des produits'!$B$4:$J$1000,6,FALSE),"")</f>
        <v>20</v>
      </c>
      <c r="M521" s="62"/>
    </row>
    <row r="522" spans="2:13" x14ac:dyDescent="0.3">
      <c r="B522" s="378" t="s">
        <v>1704</v>
      </c>
      <c r="C522" s="341"/>
      <c r="D522" s="338"/>
      <c r="E522" s="235" t="s">
        <v>127</v>
      </c>
      <c r="F522" s="271" t="str">
        <f>IFERROR(VLOOKUP(E522,'Inventaire des produits'!$B$4:$K$1000,2,0),"")</f>
        <v>SERVIETTE DE TABLE SEVAN 1PLI</v>
      </c>
      <c r="G522" s="260">
        <v>100</v>
      </c>
      <c r="H522" s="80">
        <v>3.742</v>
      </c>
      <c r="I522" s="95">
        <f t="shared" si="16"/>
        <v>374.2</v>
      </c>
      <c r="J522" s="95">
        <f t="shared" si="17"/>
        <v>449.03999999999996</v>
      </c>
      <c r="K522" s="93">
        <f>IFERROR(VLOOKUP(E522,'Inventaire des produits'!$B$4:$J$1000,5,FALSE),"")</f>
        <v>0</v>
      </c>
      <c r="L522" s="301">
        <f>IFERROR(VLOOKUP(E522,'Inventaire des produits'!$B$4:$J$1000,6,FALSE),"")</f>
        <v>2.9169999999999998</v>
      </c>
      <c r="M522" s="62"/>
    </row>
    <row r="523" spans="2:13" x14ac:dyDescent="0.3">
      <c r="B523" s="378" t="s">
        <v>1704</v>
      </c>
      <c r="C523" s="342"/>
      <c r="D523" s="339"/>
      <c r="E523" s="235" t="s">
        <v>224</v>
      </c>
      <c r="F523" s="271" t="str">
        <f>IFERROR(VLOOKUP(E523,'Inventaire des produits'!$B$4:$K$1000,2,0),"")</f>
        <v>FOURCHETTE LUX</v>
      </c>
      <c r="G523" s="260">
        <v>14</v>
      </c>
      <c r="H523" s="89">
        <v>18.5</v>
      </c>
      <c r="I523" s="95">
        <f t="shared" si="16"/>
        <v>259</v>
      </c>
      <c r="J523" s="95">
        <f t="shared" si="17"/>
        <v>310.8</v>
      </c>
      <c r="K523" s="93">
        <f>IFERROR(VLOOKUP(E523,'Inventaire des produits'!$B$4:$J$1000,5,FALSE),"")</f>
        <v>0</v>
      </c>
      <c r="L523" s="301">
        <f>IFERROR(VLOOKUP(E523,'Inventaire des produits'!$B$4:$J$1000,6,FALSE),"")</f>
        <v>14.382</v>
      </c>
      <c r="M523" s="62"/>
    </row>
    <row r="524" spans="2:13" x14ac:dyDescent="0.3">
      <c r="B524" s="378" t="s">
        <v>1704</v>
      </c>
      <c r="C524" s="340">
        <v>45400</v>
      </c>
      <c r="D524" s="337" t="s">
        <v>720</v>
      </c>
      <c r="E524" s="235" t="s">
        <v>69</v>
      </c>
      <c r="F524" s="271" t="str">
        <f>IFERROR(VLOOKUP(E524,'Inventaire des produits'!$B$4:$K$1000,2,0),"")</f>
        <v>COUTEAU ECOLUXE NOIR</v>
      </c>
      <c r="G524" s="259">
        <v>5</v>
      </c>
      <c r="H524" s="80">
        <v>0.23333333000000001</v>
      </c>
      <c r="I524" s="95">
        <f t="shared" si="16"/>
        <v>1.16666665</v>
      </c>
      <c r="J524" s="95">
        <f t="shared" si="17"/>
        <v>1.39999998</v>
      </c>
      <c r="K524" s="93">
        <f>IFERROR(VLOOKUP(E524,'Inventaire des produits'!$B$4:$J$1000,5,FALSE),"")</f>
        <v>0</v>
      </c>
      <c r="L524" s="301">
        <f>IFERROR(VLOOKUP(E524,'Inventaire des produits'!$B$4:$J$1000,6,FALSE),"")</f>
        <v>17.5</v>
      </c>
      <c r="M524" s="62">
        <v>1185</v>
      </c>
    </row>
    <row r="525" spans="2:13" x14ac:dyDescent="0.3">
      <c r="B525" s="378" t="s">
        <v>1704</v>
      </c>
      <c r="C525" s="341"/>
      <c r="D525" s="338"/>
      <c r="E525" s="235" t="s">
        <v>224</v>
      </c>
      <c r="F525" s="271" t="str">
        <f>IFERROR(VLOOKUP(E525,'Inventaire des produits'!$B$4:$K$1000,2,0),"")</f>
        <v>FOURCHETTE LUX</v>
      </c>
      <c r="G525" s="260">
        <v>5</v>
      </c>
      <c r="H525" s="80">
        <v>0.23333333000000001</v>
      </c>
      <c r="I525" s="95">
        <f t="shared" si="16"/>
        <v>1.16666665</v>
      </c>
      <c r="J525" s="95">
        <f t="shared" si="17"/>
        <v>1.39999998</v>
      </c>
      <c r="K525" s="93">
        <f>IFERROR(VLOOKUP(E525,'Inventaire des produits'!$B$4:$J$1000,5,FALSE),"")</f>
        <v>0</v>
      </c>
      <c r="L525" s="301">
        <f>IFERROR(VLOOKUP(E525,'Inventaire des produits'!$B$4:$J$1000,6,FALSE),"")</f>
        <v>14.382</v>
      </c>
      <c r="M525" s="62"/>
    </row>
    <row r="526" spans="2:13" x14ac:dyDescent="0.3">
      <c r="B526" s="378" t="s">
        <v>1704</v>
      </c>
      <c r="C526" s="341"/>
      <c r="D526" s="338"/>
      <c r="E526" s="235" t="s">
        <v>158</v>
      </c>
      <c r="F526" s="271" t="str">
        <f>IFERROR(VLOOKUP(E526,'Inventaire des produits'!$B$4:$K$1000,2,0),"")</f>
        <v>CUILLERE PETIT</v>
      </c>
      <c r="G526" s="260">
        <v>2500</v>
      </c>
      <c r="H526" s="80">
        <v>0.1</v>
      </c>
      <c r="I526" s="95">
        <f t="shared" si="16"/>
        <v>250</v>
      </c>
      <c r="J526" s="95">
        <f t="shared" si="17"/>
        <v>300</v>
      </c>
      <c r="K526" s="93">
        <f>IFERROR(VLOOKUP(E526,'Inventaire des produits'!$B$4:$J$1000,5,FALSE),"")</f>
        <v>0</v>
      </c>
      <c r="L526" s="301">
        <f>IFERROR(VLOOKUP(E526,'Inventaire des produits'!$B$4:$J$1000,6,FALSE),"")</f>
        <v>5.8329499999999999E-2</v>
      </c>
      <c r="M526" s="62"/>
    </row>
    <row r="527" spans="2:13" x14ac:dyDescent="0.3">
      <c r="B527" s="378" t="s">
        <v>1704</v>
      </c>
      <c r="C527" s="341"/>
      <c r="D527" s="338"/>
      <c r="E527" s="235" t="s">
        <v>348</v>
      </c>
      <c r="F527" s="271" t="str">
        <f>IFERROR(VLOOKUP(E527,'Inventaire des produits'!$B$4:$K$1000,2,0),"")</f>
        <v xml:space="preserve">SAC KRAFT 22*17*28 </v>
      </c>
      <c r="G527" s="260">
        <v>403</v>
      </c>
      <c r="H527" s="80">
        <v>1.07155</v>
      </c>
      <c r="I527" s="95">
        <f t="shared" si="16"/>
        <v>431.83465000000001</v>
      </c>
      <c r="J527" s="95">
        <f t="shared" si="17"/>
        <v>518.20158000000004</v>
      </c>
      <c r="K527" s="93">
        <f>IFERROR(VLOOKUP(E527,'Inventaire des produits'!$B$4:$J$1000,5,FALSE),"")</f>
        <v>0</v>
      </c>
      <c r="L527" s="301">
        <f>IFERROR(VLOOKUP(E527,'Inventaire des produits'!$B$4:$J$1000,6,FALSE),"")</f>
        <v>0.63</v>
      </c>
      <c r="M527" s="62"/>
    </row>
    <row r="528" spans="2:13" x14ac:dyDescent="0.3">
      <c r="B528" s="378" t="s">
        <v>1704</v>
      </c>
      <c r="C528" s="342"/>
      <c r="D528" s="339"/>
      <c r="E528" s="235" t="s">
        <v>725</v>
      </c>
      <c r="F528" s="271" t="str">
        <f>IFERROR(VLOOKUP(E528,'Inventaire des produits'!$B$4:$K$1000,2,0),"")</f>
        <v>PALETTE A GLACE BLANC</v>
      </c>
      <c r="G528" s="261">
        <v>13</v>
      </c>
      <c r="H528" s="89">
        <f>28/1.2</f>
        <v>23.333333333333336</v>
      </c>
      <c r="I528" s="95">
        <f t="shared" si="16"/>
        <v>303.33333333333337</v>
      </c>
      <c r="J528" s="95">
        <f t="shared" si="17"/>
        <v>364.00000000000006</v>
      </c>
      <c r="K528" s="93">
        <f>IFERROR(VLOOKUP(E528,'Inventaire des produits'!$B$4:$J$1000,5,FALSE),"")</f>
        <v>0</v>
      </c>
      <c r="L528" s="301">
        <f>IFERROR(VLOOKUP(E528,'Inventaire des produits'!$B$4:$J$1000,6,FALSE),"")</f>
        <v>16.5</v>
      </c>
      <c r="M528" s="62"/>
    </row>
    <row r="529" spans="2:13" x14ac:dyDescent="0.3">
      <c r="B529" s="378" t="s">
        <v>1704</v>
      </c>
      <c r="C529" s="340">
        <v>45400</v>
      </c>
      <c r="D529" s="337" t="s">
        <v>727</v>
      </c>
      <c r="E529" s="235" t="s">
        <v>619</v>
      </c>
      <c r="F529" s="271" t="str">
        <f>IFERROR(VLOOKUP(E529,'Inventaire des produits'!$B$4:$K$1000,2,0),"")</f>
        <v>POT DE SAUCE 1OZ 30ML HP</v>
      </c>
      <c r="G529" s="259">
        <v>16000</v>
      </c>
      <c r="H529" s="80">
        <v>0.15416666670000001</v>
      </c>
      <c r="I529" s="95">
        <f t="shared" si="16"/>
        <v>2466.6666672000001</v>
      </c>
      <c r="J529" s="95">
        <f t="shared" si="17"/>
        <v>2960.0000006400001</v>
      </c>
      <c r="K529" s="93">
        <f>IFERROR(VLOOKUP(E529,'Inventaire des produits'!$B$4:$J$1000,5,FALSE),"")</f>
        <v>0</v>
      </c>
      <c r="L529" s="301">
        <f>IFERROR(VLOOKUP(E529,'Inventaire des produits'!$B$4:$J$1000,6,FALSE),"")</f>
        <v>0.13450000000000001</v>
      </c>
      <c r="M529" s="62">
        <v>15611.8</v>
      </c>
    </row>
    <row r="530" spans="2:13" x14ac:dyDescent="0.3">
      <c r="B530" s="378" t="s">
        <v>1704</v>
      </c>
      <c r="C530" s="341"/>
      <c r="D530" s="338"/>
      <c r="E530" s="235" t="s">
        <v>127</v>
      </c>
      <c r="F530" s="271" t="str">
        <f>IFERROR(VLOOKUP(E530,'Inventaire des produits'!$B$4:$K$1000,2,0),"")</f>
        <v>SERVIETTE DE TABLE SEVAN 1PLI</v>
      </c>
      <c r="G530" s="260">
        <v>300</v>
      </c>
      <c r="H530" s="80">
        <v>3.2083333333000001</v>
      </c>
      <c r="I530" s="95">
        <f t="shared" si="16"/>
        <v>962.49999998999999</v>
      </c>
      <c r="J530" s="95">
        <f t="shared" si="17"/>
        <v>1154.9999999879999</v>
      </c>
      <c r="K530" s="93">
        <f>IFERROR(VLOOKUP(E530,'Inventaire des produits'!$B$4:$J$1000,5,FALSE),"")</f>
        <v>0</v>
      </c>
      <c r="L530" s="301">
        <f>IFERROR(VLOOKUP(E530,'Inventaire des produits'!$B$4:$J$1000,6,FALSE),"")</f>
        <v>2.9169999999999998</v>
      </c>
      <c r="M530" s="62"/>
    </row>
    <row r="531" spans="2:13" x14ac:dyDescent="0.3">
      <c r="B531" s="378" t="s">
        <v>1704</v>
      </c>
      <c r="C531" s="341"/>
      <c r="D531" s="338"/>
      <c r="E531" s="235" t="s">
        <v>614</v>
      </c>
      <c r="F531" s="271" t="str">
        <f>IFERROR(VLOOKUP(E531,'Inventaire des produits'!$B$4:$K$1000,2,0),"")</f>
        <v>FILM ALIMENTAIRE ORIGINAL 45*500</v>
      </c>
      <c r="G531" s="260">
        <v>18</v>
      </c>
      <c r="H531" s="80">
        <v>40</v>
      </c>
      <c r="I531" s="95">
        <f t="shared" si="16"/>
        <v>720</v>
      </c>
      <c r="J531" s="95">
        <f t="shared" si="17"/>
        <v>864</v>
      </c>
      <c r="K531" s="93">
        <f>IFERROR(VLOOKUP(E531,'Inventaire des produits'!$B$4:$J$1000,5,FALSE),"")</f>
        <v>0</v>
      </c>
      <c r="L531" s="301">
        <f>IFERROR(VLOOKUP(E531,'Inventaire des produits'!$B$4:$J$1000,6,FALSE),"")</f>
        <v>29.167000000000002</v>
      </c>
      <c r="M531" s="62"/>
    </row>
    <row r="532" spans="2:13" x14ac:dyDescent="0.3">
      <c r="B532" s="378" t="s">
        <v>1704</v>
      </c>
      <c r="C532" s="341"/>
      <c r="D532" s="338"/>
      <c r="E532" s="235" t="s">
        <v>148</v>
      </c>
      <c r="F532" s="271" t="str">
        <f>IFERROR(VLOOKUP(E532,'Inventaire des produits'!$B$4:$K$1000,2,0),"")</f>
        <v>BARQUETTE SUSHI ST1 160*91*20</v>
      </c>
      <c r="G532" s="260">
        <v>2000</v>
      </c>
      <c r="H532" s="80">
        <v>0.875</v>
      </c>
      <c r="I532" s="95">
        <f t="shared" si="16"/>
        <v>1750</v>
      </c>
      <c r="J532" s="95">
        <f t="shared" si="17"/>
        <v>2100</v>
      </c>
      <c r="K532" s="93">
        <f>IFERROR(VLOOKUP(E532,'Inventaire des produits'!$B$4:$J$1000,5,FALSE),"")</f>
        <v>0</v>
      </c>
      <c r="L532" s="301">
        <f>IFERROR(VLOOKUP(E532,'Inventaire des produits'!$B$4:$J$1000,6,FALSE),"")</f>
        <v>0.75833333329999997</v>
      </c>
      <c r="M532" s="62"/>
    </row>
    <row r="533" spans="2:13" x14ac:dyDescent="0.3">
      <c r="B533" s="378" t="s">
        <v>1704</v>
      </c>
      <c r="C533" s="341"/>
      <c r="D533" s="338"/>
      <c r="E533" s="235" t="s">
        <v>149</v>
      </c>
      <c r="F533" s="271" t="str">
        <f>IFERROR(VLOOKUP(E533,'Inventaire des produits'!$B$4:$K$1000,2,0),"")</f>
        <v>BARQUETTE SUSHI ST2 218*90*20+CVRC</v>
      </c>
      <c r="G533" s="260">
        <v>2000</v>
      </c>
      <c r="H533" s="80">
        <v>1.167</v>
      </c>
      <c r="I533" s="95">
        <f t="shared" si="16"/>
        <v>2334</v>
      </c>
      <c r="J533" s="95">
        <f t="shared" si="17"/>
        <v>2800.7999999999997</v>
      </c>
      <c r="K533" s="93">
        <f>IFERROR(VLOOKUP(E533,'Inventaire des produits'!$B$4:$J$1000,5,FALSE),"")</f>
        <v>0</v>
      </c>
      <c r="L533" s="301">
        <f>IFERROR(VLOOKUP(E533,'Inventaire des produits'!$B$4:$J$1000,6,FALSE),"")</f>
        <v>1</v>
      </c>
      <c r="M533" s="62"/>
    </row>
    <row r="534" spans="2:13" x14ac:dyDescent="0.3">
      <c r="B534" s="378" t="s">
        <v>1704</v>
      </c>
      <c r="C534" s="341"/>
      <c r="D534" s="338"/>
      <c r="E534" s="235" t="s">
        <v>248</v>
      </c>
      <c r="F534" s="271" t="str">
        <f>IFERROR(VLOOKUP(E534,'Inventaire des produits'!$B$4:$K$1000,2,0),"")</f>
        <v>BARQUETTE SUSHI ST5 216*136*20+CVRCL</v>
      </c>
      <c r="G534" s="260">
        <v>2000</v>
      </c>
      <c r="H534" s="80">
        <v>1.58</v>
      </c>
      <c r="I534" s="95">
        <f t="shared" si="16"/>
        <v>3160</v>
      </c>
      <c r="J534" s="95">
        <f t="shared" si="17"/>
        <v>3792</v>
      </c>
      <c r="K534" s="93">
        <f>IFERROR(VLOOKUP(E534,'Inventaire des produits'!$B$4:$J$1000,5,FALSE),"")</f>
        <v>0</v>
      </c>
      <c r="L534" s="301">
        <f>IFERROR(VLOOKUP(E534,'Inventaire des produits'!$B$4:$J$1000,6,FALSE),"")</f>
        <v>1.3166666667</v>
      </c>
      <c r="M534" s="62"/>
    </row>
    <row r="535" spans="2:13" x14ac:dyDescent="0.3">
      <c r="B535" s="378" t="s">
        <v>1704</v>
      </c>
      <c r="C535" s="341"/>
      <c r="D535" s="338"/>
      <c r="E535" s="235" t="s">
        <v>256</v>
      </c>
      <c r="F535" s="271" t="str">
        <f>IFERROR(VLOOKUP(E535,'Inventaire des produits'!$B$4:$K$1000,2,0),"")</f>
        <v>FILM ALIMENTAIRE VIOLET</v>
      </c>
      <c r="G535" s="260">
        <v>20</v>
      </c>
      <c r="H535" s="80">
        <v>26.666666666699999</v>
      </c>
      <c r="I535" s="95">
        <f t="shared" si="16"/>
        <v>533.33333333400003</v>
      </c>
      <c r="J535" s="95">
        <f t="shared" si="17"/>
        <v>640.00000000080001</v>
      </c>
      <c r="K535" s="93">
        <f>IFERROR(VLOOKUP(E535,'Inventaire des produits'!$B$4:$J$1000,5,FALSE),"")</f>
        <v>0</v>
      </c>
      <c r="L535" s="301">
        <f>IFERROR(VLOOKUP(E535,'Inventaire des produits'!$B$4:$J$1000,6,FALSE),"")</f>
        <v>28.333333333300001</v>
      </c>
      <c r="M535" s="62"/>
    </row>
    <row r="536" spans="2:13" x14ac:dyDescent="0.3">
      <c r="B536" s="378" t="s">
        <v>1704</v>
      </c>
      <c r="C536" s="341"/>
      <c r="D536" s="338"/>
      <c r="E536" s="235" t="s">
        <v>504</v>
      </c>
      <c r="F536" s="271" t="str">
        <f>IFERROR(VLOOKUP(E536,'Inventaire des produits'!$B$4:$K$1000,2,0),"")</f>
        <v xml:space="preserve">BARQUETTE MICRON ONDABLE 1 COMP </v>
      </c>
      <c r="G536" s="260">
        <v>600</v>
      </c>
      <c r="H536" s="80">
        <v>1.8333333300000001</v>
      </c>
      <c r="I536" s="95">
        <f t="shared" si="16"/>
        <v>1099.999998</v>
      </c>
      <c r="J536" s="95">
        <f t="shared" si="17"/>
        <v>1319.9999975999999</v>
      </c>
      <c r="K536" s="93">
        <f>IFERROR(VLOOKUP(E536,'Inventaire des produits'!$B$4:$J$1000,5,FALSE),"")</f>
        <v>0</v>
      </c>
      <c r="L536" s="301">
        <f>IFERROR(VLOOKUP(E536,'Inventaire des produits'!$B$4:$J$1000,6,FALSE),"")</f>
        <v>1.5833333332999999</v>
      </c>
      <c r="M536" s="62"/>
    </row>
    <row r="537" spans="2:13" x14ac:dyDescent="0.3">
      <c r="B537" s="378" t="s">
        <v>1704</v>
      </c>
      <c r="C537" s="341"/>
      <c r="D537" s="338"/>
      <c r="E537" s="235" t="s">
        <v>640</v>
      </c>
      <c r="F537" s="271" t="str">
        <f>IFERROR(VLOOKUP(E537,'Inventaire des produits'!$B$4:$K$1000,2,0),"")</f>
        <v>BARQUETTE TRAITEUR 500CC MICRON-ONDABLE TRANS</v>
      </c>
      <c r="G537" s="260">
        <v>1000</v>
      </c>
      <c r="H537" s="80">
        <v>1.46</v>
      </c>
      <c r="I537" s="95">
        <f t="shared" si="16"/>
        <v>1460</v>
      </c>
      <c r="J537" s="95">
        <f t="shared" si="17"/>
        <v>1752</v>
      </c>
      <c r="K537" s="93">
        <f>IFERROR(VLOOKUP(E537,'Inventaire des produits'!$B$4:$J$1000,5,FALSE),"")</f>
        <v>0</v>
      </c>
      <c r="L537" s="301">
        <f>IFERROR(VLOOKUP(E537,'Inventaire des produits'!$B$4:$J$1000,6,FALSE),"")</f>
        <v>1.125</v>
      </c>
      <c r="M537" s="62"/>
    </row>
    <row r="538" spans="2:13" x14ac:dyDescent="0.3">
      <c r="B538" s="378" t="s">
        <v>1704</v>
      </c>
      <c r="C538" s="342"/>
      <c r="D538" s="339"/>
      <c r="E538" s="235" t="s">
        <v>677</v>
      </c>
      <c r="F538" s="271" t="str">
        <f>IFERROR(VLOOKUP(E538,'Inventaire des produits'!$B$4:$K$1000,2,0),"")</f>
        <v>BARQUETTE TRAITEUR 750CC MICRON ONDABLE</v>
      </c>
      <c r="G538" s="260">
        <v>1500</v>
      </c>
      <c r="H538" s="80">
        <v>1.55</v>
      </c>
      <c r="I538" s="95">
        <f t="shared" si="16"/>
        <v>2325</v>
      </c>
      <c r="J538" s="95">
        <f t="shared" si="17"/>
        <v>2790</v>
      </c>
      <c r="K538" s="93">
        <f>IFERROR(VLOOKUP(E538,'Inventaire des produits'!$B$4:$J$1000,5,FALSE),"")</f>
        <v>0</v>
      </c>
      <c r="L538" s="301">
        <f>IFERROR(VLOOKUP(E538,'Inventaire des produits'!$B$4:$J$1000,6,FALSE),"")</f>
        <v>1.1479166667</v>
      </c>
      <c r="M538" s="62"/>
    </row>
    <row r="539" spans="2:13" x14ac:dyDescent="0.3">
      <c r="B539" s="378" t="s">
        <v>1704</v>
      </c>
      <c r="C539" s="55">
        <v>45401</v>
      </c>
      <c r="D539" s="54" t="s">
        <v>728</v>
      </c>
      <c r="E539" s="235" t="s">
        <v>217</v>
      </c>
      <c r="F539" s="271" t="str">
        <f>IFERROR(VLOOKUP(E539,'Inventaire des produits'!$B$4:$K$1000,2,0),"")</f>
        <v>BARQUETTE ALUMINIUM 802</v>
      </c>
      <c r="G539" s="262">
        <v>1500</v>
      </c>
      <c r="H539" s="90">
        <v>0.63333499999999998</v>
      </c>
      <c r="I539" s="95">
        <f t="shared" si="16"/>
        <v>950.00249999999994</v>
      </c>
      <c r="J539" s="95">
        <f t="shared" si="17"/>
        <v>1140.0029999999999</v>
      </c>
      <c r="K539" s="93">
        <f>IFERROR(VLOOKUP(E539,'Inventaire des produits'!$B$4:$J$1000,5,FALSE),"")</f>
        <v>0</v>
      </c>
      <c r="L539" s="301">
        <f>IFERROR(VLOOKUP(E539,'Inventaire des produits'!$B$4:$J$1000,6,FALSE),"")</f>
        <v>0.55417000000000005</v>
      </c>
      <c r="M539" s="62">
        <v>1140</v>
      </c>
    </row>
    <row r="540" spans="2:13" x14ac:dyDescent="0.3">
      <c r="B540" s="378" t="s">
        <v>1704</v>
      </c>
      <c r="C540" s="354">
        <v>45402</v>
      </c>
      <c r="D540" s="337" t="s">
        <v>732</v>
      </c>
      <c r="E540" s="235" t="s">
        <v>127</v>
      </c>
      <c r="F540" s="271" t="str">
        <f>IFERROR(VLOOKUP(E540,'Inventaire des produits'!$B$4:$K$1000,2,0),"")</f>
        <v>SERVIETTE DE TABLE SEVAN 1PLI</v>
      </c>
      <c r="G540" s="230">
        <v>340</v>
      </c>
      <c r="H540" s="85">
        <v>3.75</v>
      </c>
      <c r="I540" s="95">
        <f t="shared" si="16"/>
        <v>1275</v>
      </c>
      <c r="J540" s="95">
        <f t="shared" si="17"/>
        <v>1530</v>
      </c>
      <c r="K540" s="93">
        <f>IFERROR(VLOOKUP(E540,'Inventaire des produits'!$B$4:$J$1000,5,FALSE),"")</f>
        <v>0</v>
      </c>
      <c r="L540" s="301">
        <f>IFERROR(VLOOKUP(E540,'Inventaire des produits'!$B$4:$J$1000,6,FALSE),"")</f>
        <v>2.9169999999999998</v>
      </c>
      <c r="M540" s="62">
        <v>3180</v>
      </c>
    </row>
    <row r="541" spans="2:13" x14ac:dyDescent="0.3">
      <c r="B541" s="378" t="s">
        <v>1704</v>
      </c>
      <c r="C541" s="355"/>
      <c r="D541" s="338"/>
      <c r="E541" s="235" t="s">
        <v>537</v>
      </c>
      <c r="F541" s="271" t="str">
        <f>IFERROR(VLOOKUP(E541,'Inventaire des produits'!$B$4:$K$1000,2,0),"")</f>
        <v>PAILLE ENVELOPPE 6MM CODE 100 TRANS</v>
      </c>
      <c r="G541" s="63">
        <v>9</v>
      </c>
      <c r="H541" s="80">
        <v>8.3333333300000003</v>
      </c>
      <c r="I541" s="95">
        <f t="shared" si="16"/>
        <v>74.999999970000005</v>
      </c>
      <c r="J541" s="95">
        <f t="shared" si="17"/>
        <v>89.999999963999997</v>
      </c>
      <c r="K541" s="93">
        <f>IFERROR(VLOOKUP(E541,'Inventaire des produits'!$B$4:$J$1000,5,FALSE),"")</f>
        <v>0</v>
      </c>
      <c r="L541" s="301">
        <f>IFERROR(VLOOKUP(E541,'Inventaire des produits'!$B$4:$J$1000,6,FALSE),"")</f>
        <v>4.5</v>
      </c>
      <c r="M541" s="62"/>
    </row>
    <row r="542" spans="2:13" x14ac:dyDescent="0.3">
      <c r="B542" s="378" t="s">
        <v>1704</v>
      </c>
      <c r="C542" s="355"/>
      <c r="D542" s="338"/>
      <c r="E542" s="235" t="s">
        <v>546</v>
      </c>
      <c r="F542" s="271" t="str">
        <f>IFERROR(VLOOKUP(E542,'Inventaire des produits'!$B$4:$K$1000,2,0),"")</f>
        <v>ROULEAU ALUMINIUM EXTRA PACK 200M</v>
      </c>
      <c r="G542" s="63">
        <v>12</v>
      </c>
      <c r="H542" s="80">
        <v>66.666666660000004</v>
      </c>
      <c r="I542" s="95">
        <f t="shared" si="16"/>
        <v>799.99999992000005</v>
      </c>
      <c r="J542" s="95">
        <f t="shared" si="17"/>
        <v>959.99999990399999</v>
      </c>
      <c r="K542" s="93">
        <f>IFERROR(VLOOKUP(E542,'Inventaire des produits'!$B$4:$J$1000,5,FALSE),"")</f>
        <v>0</v>
      </c>
      <c r="L542" s="301">
        <f>IFERROR(VLOOKUP(E542,'Inventaire des produits'!$B$4:$J$1000,6,FALSE),"")</f>
        <v>48.333333333299997</v>
      </c>
      <c r="M542" s="62"/>
    </row>
    <row r="543" spans="2:13" x14ac:dyDescent="0.3">
      <c r="B543" s="378" t="s">
        <v>1704</v>
      </c>
      <c r="C543" s="356"/>
      <c r="D543" s="339"/>
      <c r="E543" s="235" t="s">
        <v>778</v>
      </c>
      <c r="F543" s="271" t="str">
        <f>IFERROR(VLOOKUP(E543,'Inventaire des produits'!$B$4:$K$1000,2,0),"")</f>
        <v>POT DE SAUCE EN PLAST TRANSP 20ML</v>
      </c>
      <c r="G543" s="63">
        <v>4000</v>
      </c>
      <c r="H543" s="80">
        <v>0.125</v>
      </c>
      <c r="I543" s="95">
        <f t="shared" si="16"/>
        <v>500</v>
      </c>
      <c r="J543" s="95">
        <f t="shared" si="17"/>
        <v>600</v>
      </c>
      <c r="K543" s="93">
        <f>IFERROR(VLOOKUP(E543,'Inventaire des produits'!$B$4:$J$1000,5,FALSE),"")</f>
        <v>0</v>
      </c>
      <c r="L543" s="301">
        <f>IFERROR(VLOOKUP(E543,'Inventaire des produits'!$B$4:$J$1000,6,FALSE),"")</f>
        <v>8.3333333300000006E-2</v>
      </c>
      <c r="M543" s="62"/>
    </row>
    <row r="544" spans="2:13" x14ac:dyDescent="0.3">
      <c r="B544" s="378" t="s">
        <v>1704</v>
      </c>
      <c r="C544" s="357">
        <v>45402</v>
      </c>
      <c r="D544" s="337" t="s">
        <v>733</v>
      </c>
      <c r="E544" s="235" t="s">
        <v>127</v>
      </c>
      <c r="F544" s="271" t="str">
        <f>IFERROR(VLOOKUP(E544,'Inventaire des produits'!$B$4:$K$1000,2,0),"")</f>
        <v>SERVIETTE DE TABLE SEVAN 1PLI</v>
      </c>
      <c r="G544" s="230">
        <v>120</v>
      </c>
      <c r="H544" s="85">
        <v>3.75</v>
      </c>
      <c r="I544" s="95">
        <f t="shared" si="16"/>
        <v>450</v>
      </c>
      <c r="J544" s="95">
        <f t="shared" si="17"/>
        <v>540</v>
      </c>
      <c r="K544" s="93">
        <f>IFERROR(VLOOKUP(E544,'Inventaire des produits'!$B$4:$J$1000,5,FALSE),"")</f>
        <v>0</v>
      </c>
      <c r="L544" s="301">
        <f>IFERROR(VLOOKUP(E544,'Inventaire des produits'!$B$4:$J$1000,6,FALSE),"")</f>
        <v>2.9169999999999998</v>
      </c>
      <c r="M544" s="62">
        <v>680</v>
      </c>
    </row>
    <row r="545" spans="2:14" x14ac:dyDescent="0.3">
      <c r="B545" s="378" t="s">
        <v>1704</v>
      </c>
      <c r="C545" s="358"/>
      <c r="D545" s="338"/>
      <c r="E545" s="235" t="s">
        <v>537</v>
      </c>
      <c r="F545" s="271" t="str">
        <f>IFERROR(VLOOKUP(E545,'Inventaire des produits'!$B$4:$K$1000,2,0),"")</f>
        <v>PAILLE ENVELOPPE 6MM CODE 100 TRANS</v>
      </c>
      <c r="G545" s="63">
        <v>14</v>
      </c>
      <c r="H545" s="80">
        <v>8.3333333330000006</v>
      </c>
      <c r="I545" s="95">
        <f t="shared" si="16"/>
        <v>116.66666666200001</v>
      </c>
      <c r="J545" s="95">
        <f t="shared" si="17"/>
        <v>139.99999999440001</v>
      </c>
      <c r="K545" s="93">
        <f>IFERROR(VLOOKUP(E545,'Inventaire des produits'!$B$4:$J$1000,5,FALSE),"")</f>
        <v>0</v>
      </c>
      <c r="L545" s="301">
        <f>IFERROR(VLOOKUP(E545,'Inventaire des produits'!$B$4:$J$1000,6,FALSE),"")</f>
        <v>4.5</v>
      </c>
      <c r="M545" s="62"/>
    </row>
    <row r="546" spans="2:14" x14ac:dyDescent="0.3">
      <c r="B546" s="378" t="s">
        <v>1704</v>
      </c>
      <c r="C546" s="55">
        <v>45405</v>
      </c>
      <c r="D546" s="54" t="s">
        <v>739</v>
      </c>
      <c r="E546" s="235" t="s">
        <v>418</v>
      </c>
      <c r="F546" s="271" t="str">
        <f>IFERROR(VLOOKUP(E546,'Inventaire des produits'!$B$4:$K$1000,2,0),"")</f>
        <v>ROULEAU DE CAISSE THERMIQUE 70X80</v>
      </c>
      <c r="G546" s="230">
        <v>200</v>
      </c>
      <c r="H546" s="85">
        <v>11.333333</v>
      </c>
      <c r="I546" s="95">
        <f t="shared" si="16"/>
        <v>2266.6666</v>
      </c>
      <c r="J546" s="95">
        <f t="shared" si="17"/>
        <v>2719.9999199999997</v>
      </c>
      <c r="K546" s="93">
        <f>IFERROR(VLOOKUP(E546,'Inventaire des produits'!$B$4:$J$1000,5,FALSE),"")</f>
        <v>0</v>
      </c>
      <c r="L546" s="301">
        <f>IFERROR(VLOOKUP(E546,'Inventaire des produits'!$B$4:$J$1000,6,FALSE),"")</f>
        <v>8</v>
      </c>
      <c r="M546" s="62">
        <v>2720</v>
      </c>
    </row>
    <row r="547" spans="2:14" x14ac:dyDescent="0.3">
      <c r="B547" s="378" t="s">
        <v>1704</v>
      </c>
      <c r="C547" s="340">
        <v>45405</v>
      </c>
      <c r="D547" s="337" t="s">
        <v>761</v>
      </c>
      <c r="E547" s="235" t="s">
        <v>217</v>
      </c>
      <c r="F547" s="271" t="str">
        <f>IFERROR(VLOOKUP(E547,'Inventaire des produits'!$B$4:$K$1000,2,0),"")</f>
        <v>BARQUETTE ALUMINIUM 802</v>
      </c>
      <c r="G547" s="230">
        <v>4100</v>
      </c>
      <c r="H547" s="85">
        <v>0.72899999999999998</v>
      </c>
      <c r="I547" s="95">
        <f t="shared" si="16"/>
        <v>2988.9</v>
      </c>
      <c r="J547" s="95">
        <f t="shared" si="17"/>
        <v>3586.68</v>
      </c>
      <c r="K547" s="93">
        <f>IFERROR(VLOOKUP(E547,'Inventaire des produits'!$B$4:$J$1000,5,FALSE),"")</f>
        <v>0</v>
      </c>
      <c r="L547" s="301">
        <f>IFERROR(VLOOKUP(E547,'Inventaire des produits'!$B$4:$J$1000,6,FALSE),"")</f>
        <v>0.55417000000000005</v>
      </c>
      <c r="M547" s="62">
        <v>5735</v>
      </c>
    </row>
    <row r="548" spans="2:14" x14ac:dyDescent="0.3">
      <c r="B548" s="378" t="s">
        <v>1704</v>
      </c>
      <c r="C548" s="341"/>
      <c r="D548" s="338"/>
      <c r="E548" s="235" t="s">
        <v>322</v>
      </c>
      <c r="F548" s="271" t="str">
        <f>IFERROR(VLOOKUP(E548,'Inventaire des produits'!$B$4:$K$1000,2,0),"")</f>
        <v>POT DE SAUCE 1OZ 30ML HP</v>
      </c>
      <c r="G548" s="63">
        <v>2200</v>
      </c>
      <c r="H548" s="80">
        <v>0.17</v>
      </c>
      <c r="I548" s="95">
        <f t="shared" si="16"/>
        <v>374</v>
      </c>
      <c r="J548" s="95">
        <f t="shared" si="17"/>
        <v>448.8</v>
      </c>
      <c r="K548" s="93">
        <f>IFERROR(VLOOKUP(E548,'Inventaire des produits'!$B$4:$J$1000,5,FALSE),"")</f>
        <v>0</v>
      </c>
      <c r="L548" s="301">
        <f>IFERROR(VLOOKUP(E548,'Inventaire des produits'!$B$4:$J$1000,6,FALSE),"")</f>
        <v>0.13500000000000001</v>
      </c>
      <c r="M548" s="62"/>
    </row>
    <row r="549" spans="2:14" x14ac:dyDescent="0.3">
      <c r="B549" s="378" t="s">
        <v>1704</v>
      </c>
      <c r="C549" s="341"/>
      <c r="D549" s="338"/>
      <c r="E549" s="235" t="s">
        <v>224</v>
      </c>
      <c r="F549" s="271" t="str">
        <f>IFERROR(VLOOKUP(E549,'Inventaire des produits'!$B$4:$K$1000,2,0),"")</f>
        <v>FOURCHETTE LUX</v>
      </c>
      <c r="G549" s="63">
        <v>11</v>
      </c>
      <c r="H549" s="80">
        <v>23.333333329999999</v>
      </c>
      <c r="I549" s="95">
        <f t="shared" si="16"/>
        <v>256.66666663000001</v>
      </c>
      <c r="J549" s="95">
        <f t="shared" si="17"/>
        <v>307.99999995600001</v>
      </c>
      <c r="K549" s="93">
        <f>IFERROR(VLOOKUP(E549,'Inventaire des produits'!$B$4:$J$1000,5,FALSE),"")</f>
        <v>0</v>
      </c>
      <c r="L549" s="301">
        <f>IFERROR(VLOOKUP(E549,'Inventaire des produits'!$B$4:$J$1000,6,FALSE),"")</f>
        <v>14.382</v>
      </c>
      <c r="M549" s="62"/>
    </row>
    <row r="550" spans="2:14" x14ac:dyDescent="0.3">
      <c r="B550" s="378" t="s">
        <v>1704</v>
      </c>
      <c r="C550" s="341"/>
      <c r="D550" s="338"/>
      <c r="E550" s="235" t="s">
        <v>226</v>
      </c>
      <c r="F550" s="271" t="str">
        <f>IFERROR(VLOOKUP(E550,'Inventaire des produits'!$B$4:$K$1000,2,0),"")</f>
        <v>CUILLERE LUX</v>
      </c>
      <c r="G550" s="63">
        <v>10</v>
      </c>
      <c r="H550" s="80">
        <v>24.015999999999998</v>
      </c>
      <c r="I550" s="95">
        <f t="shared" si="16"/>
        <v>240.15999999999997</v>
      </c>
      <c r="J550" s="95">
        <f t="shared" si="17"/>
        <v>288.19199999999995</v>
      </c>
      <c r="K550" s="93">
        <f>IFERROR(VLOOKUP(E550,'Inventaire des produits'!$B$4:$J$1000,5,FALSE),"")</f>
        <v>0</v>
      </c>
      <c r="L550" s="301">
        <f>IFERROR(VLOOKUP(E550,'Inventaire des produits'!$B$4:$J$1000,6,FALSE),"")</f>
        <v>14.4</v>
      </c>
      <c r="M550" s="62"/>
    </row>
    <row r="551" spans="2:14" x14ac:dyDescent="0.3">
      <c r="B551" s="378" t="s">
        <v>1704</v>
      </c>
      <c r="C551" s="341"/>
      <c r="D551" s="338"/>
      <c r="E551" s="235" t="s">
        <v>127</v>
      </c>
      <c r="F551" s="271" t="str">
        <f>IFERROR(VLOOKUP(E551,'Inventaire des produits'!$B$4:$K$1000,2,0),"")</f>
        <v>SERVIETTE DE TABLE SEVAN 1PLI</v>
      </c>
      <c r="G551" s="250">
        <v>60</v>
      </c>
      <c r="H551" s="77">
        <v>3.7210000000000001</v>
      </c>
      <c r="I551" s="95">
        <f t="shared" si="16"/>
        <v>223.26</v>
      </c>
      <c r="J551" s="95">
        <f t="shared" si="17"/>
        <v>267.91199999999998</v>
      </c>
      <c r="K551" s="93">
        <f>IFERROR(VLOOKUP(E551,'Inventaire des produits'!$B$4:$J$1000,5,FALSE),"")</f>
        <v>0</v>
      </c>
      <c r="L551" s="301">
        <f>IFERROR(VLOOKUP(E551,'Inventaire des produits'!$B$4:$J$1000,6,FALSE),"")</f>
        <v>2.9169999999999998</v>
      </c>
      <c r="M551" s="62"/>
    </row>
    <row r="552" spans="2:14" x14ac:dyDescent="0.3">
      <c r="B552" s="378" t="s">
        <v>1704</v>
      </c>
      <c r="C552" s="342"/>
      <c r="D552" s="339"/>
      <c r="E552" s="235" t="s">
        <v>222</v>
      </c>
      <c r="F552" s="271" t="str">
        <f>IFERROR(VLOOKUP(E552,'Inventaire des produits'!$B$4:$K$1000,2,0),"")</f>
        <v>FILM ALIMENTAIRE ELEGENCE</v>
      </c>
      <c r="G552" s="260">
        <v>15</v>
      </c>
      <c r="H552" s="80">
        <v>27.523</v>
      </c>
      <c r="I552" s="95">
        <f t="shared" si="16"/>
        <v>412.84499999999997</v>
      </c>
      <c r="J552" s="95">
        <f t="shared" si="17"/>
        <v>495.41399999999993</v>
      </c>
      <c r="K552" s="93">
        <f>IFERROR(VLOOKUP(E552,'Inventaire des produits'!$B$4:$J$1000,5,FALSE),"")</f>
        <v>0</v>
      </c>
      <c r="L552" s="301">
        <f>IFERROR(VLOOKUP(E552,'Inventaire des produits'!$B$4:$J$1000,6,FALSE),"")</f>
        <v>20</v>
      </c>
      <c r="M552" s="62"/>
    </row>
    <row r="553" spans="2:14" x14ac:dyDescent="0.3">
      <c r="B553" s="378" t="s">
        <v>1704</v>
      </c>
      <c r="C553" s="354">
        <v>45407</v>
      </c>
      <c r="D553" s="337" t="s">
        <v>785</v>
      </c>
      <c r="E553" s="235" t="s">
        <v>275</v>
      </c>
      <c r="F553" s="271" t="str">
        <f>IFERROR(VLOOKUP(E553,'Inventaire des produits'!$B$4:$K$1000,2,0),"")</f>
        <v>GOBLET 8OZ A CAFE EN CARTON KRAFT</v>
      </c>
      <c r="G553" s="230">
        <v>900</v>
      </c>
      <c r="H553" s="85">
        <v>0.45179999999999998</v>
      </c>
      <c r="I553" s="95">
        <f t="shared" si="16"/>
        <v>406.62</v>
      </c>
      <c r="J553" s="95">
        <f t="shared" si="17"/>
        <v>487.94399999999996</v>
      </c>
      <c r="K553" s="93">
        <f>IFERROR(VLOOKUP(E553,'Inventaire des produits'!$B$4:$J$1000,5,FALSE),"")</f>
        <v>0</v>
      </c>
      <c r="L553" s="301">
        <f>IFERROR(VLOOKUP(E553,'Inventaire des produits'!$B$4:$J$1000,6,FALSE),"")</f>
        <v>0.6</v>
      </c>
      <c r="M553" s="62">
        <v>1300</v>
      </c>
    </row>
    <row r="554" spans="2:14" x14ac:dyDescent="0.3">
      <c r="B554" s="378" t="s">
        <v>1704</v>
      </c>
      <c r="C554" s="355"/>
      <c r="D554" s="338"/>
      <c r="E554" s="235" t="s">
        <v>537</v>
      </c>
      <c r="F554" s="271" t="str">
        <f>IFERROR(VLOOKUP(E554,'Inventaire des produits'!$B$4:$K$1000,2,0),"")</f>
        <v>PAILLE ENVELOPPE 6MM CODE 100 TRANS</v>
      </c>
      <c r="G554" s="63">
        <v>14</v>
      </c>
      <c r="H554" s="80">
        <v>8.3364999999999991</v>
      </c>
      <c r="I554" s="95">
        <f t="shared" si="16"/>
        <v>116.71099999999998</v>
      </c>
      <c r="J554" s="95">
        <f t="shared" si="17"/>
        <v>140.05319999999998</v>
      </c>
      <c r="K554" s="93">
        <f>IFERROR(VLOOKUP(E554,'Inventaire des produits'!$B$4:$J$1000,5,FALSE),"")</f>
        <v>0</v>
      </c>
      <c r="L554" s="301">
        <f>IFERROR(VLOOKUP(E554,'Inventaire des produits'!$B$4:$J$1000,6,FALSE),"")</f>
        <v>4.5</v>
      </c>
      <c r="M554" s="62"/>
    </row>
    <row r="555" spans="2:14" x14ac:dyDescent="0.3">
      <c r="B555" s="378" t="s">
        <v>1704</v>
      </c>
      <c r="C555" s="355"/>
      <c r="D555" s="338"/>
      <c r="E555" s="235" t="s">
        <v>553</v>
      </c>
      <c r="F555" s="271" t="str">
        <f>IFERROR(VLOOKUP(E555,'Inventaire des produits'!$B$4:$K$1000,2,0),"")</f>
        <v>FOURCHETTE ECOLUXE TRANSPARENTE</v>
      </c>
      <c r="G555" s="63">
        <v>13</v>
      </c>
      <c r="H555" s="80">
        <v>23.333333332999999</v>
      </c>
      <c r="I555" s="95">
        <f t="shared" si="16"/>
        <v>303.33333332899997</v>
      </c>
      <c r="J555" s="95">
        <f t="shared" si="17"/>
        <v>363.99999999479996</v>
      </c>
      <c r="K555" s="93">
        <f>IFERROR(VLOOKUP(E555,'Inventaire des produits'!$B$4:$J$1000,5,FALSE),"")</f>
        <v>0</v>
      </c>
      <c r="L555" s="301">
        <f>IFERROR(VLOOKUP(E555,'Inventaire des produits'!$B$4:$J$1000,6,FALSE),"")</f>
        <v>17.5</v>
      </c>
      <c r="M555" s="62"/>
    </row>
    <row r="556" spans="2:14" x14ac:dyDescent="0.3">
      <c r="B556" s="378" t="s">
        <v>1704</v>
      </c>
      <c r="C556" s="356"/>
      <c r="D556" s="339"/>
      <c r="E556" s="235" t="s">
        <v>69</v>
      </c>
      <c r="F556" s="271" t="str">
        <f>IFERROR(VLOOKUP(E556,'Inventaire des produits'!$B$4:$K$1000,2,0),"")</f>
        <v>COUTEAU ECOLUXE NOIR</v>
      </c>
      <c r="G556" s="254">
        <v>11</v>
      </c>
      <c r="H556" s="89">
        <v>23.333333332999999</v>
      </c>
      <c r="I556" s="95">
        <f t="shared" si="16"/>
        <v>256.666666663</v>
      </c>
      <c r="J556" s="95">
        <f t="shared" si="17"/>
        <v>307.99999999559998</v>
      </c>
      <c r="K556" s="93">
        <f>IFERROR(VLOOKUP(E556,'Inventaire des produits'!$B$4:$J$1000,5,FALSE),"")</f>
        <v>0</v>
      </c>
      <c r="L556" s="301">
        <f>IFERROR(VLOOKUP(E556,'Inventaire des produits'!$B$4:$J$1000,6,FALSE),"")</f>
        <v>17.5</v>
      </c>
      <c r="M556" s="62"/>
    </row>
    <row r="557" spans="2:14" x14ac:dyDescent="0.3">
      <c r="B557" s="378" t="s">
        <v>1704</v>
      </c>
      <c r="C557" s="65">
        <v>45413</v>
      </c>
      <c r="D557" s="56" t="s">
        <v>792</v>
      </c>
      <c r="E557" s="241" t="s">
        <v>875</v>
      </c>
      <c r="F557" s="271" t="str">
        <f>IFERROR(VLOOKUP(E557,'Inventaire des produits'!$B$4:$K$1000,2,0),"")</f>
        <v>TRIPOD PIZZA EN PLASTIQUE</v>
      </c>
      <c r="G557" s="250">
        <v>1000</v>
      </c>
      <c r="H557" s="77">
        <v>0.5</v>
      </c>
      <c r="I557" s="95">
        <f t="shared" si="16"/>
        <v>500</v>
      </c>
      <c r="J557" s="95">
        <f t="shared" si="17"/>
        <v>600</v>
      </c>
      <c r="K557" s="93">
        <f>IFERROR(VLOOKUP(E557,'Inventaire des produits'!$B$4:$J$1000,5,FALSE),"")</f>
        <v>0</v>
      </c>
      <c r="L557" s="301">
        <f>IFERROR(VLOOKUP(E557,'Inventaire des produits'!$B$4:$J$1000,6,FALSE),"")</f>
        <v>0.32</v>
      </c>
      <c r="M557" s="66">
        <v>600</v>
      </c>
      <c r="N557" s="67"/>
    </row>
    <row r="558" spans="2:14" x14ac:dyDescent="0.3">
      <c r="B558" s="378" t="s">
        <v>1704</v>
      </c>
      <c r="C558" s="68">
        <v>45413</v>
      </c>
      <c r="D558" s="54" t="s">
        <v>793</v>
      </c>
      <c r="E558" s="235" t="s">
        <v>781</v>
      </c>
      <c r="F558" s="271" t="str">
        <f>IFERROR(VLOOKUP(E558,'Inventaire des produits'!$B$4:$K$1000,2,0),"")</f>
        <v>BARQUETTE ALUMINIUM 31808 ROND</v>
      </c>
      <c r="G558" s="230">
        <v>20000</v>
      </c>
      <c r="H558" s="85">
        <v>0.61666666000000003</v>
      </c>
      <c r="I558" s="95">
        <f t="shared" si="16"/>
        <v>12333.333200000001</v>
      </c>
      <c r="J558" s="95">
        <f t="shared" si="17"/>
        <v>14799.99984</v>
      </c>
      <c r="K558" s="93">
        <f>IFERROR(VLOOKUP(E558,'Inventaire des produits'!$B$4:$J$1000,5,FALSE),"")</f>
        <v>0</v>
      </c>
      <c r="L558" s="301">
        <f>IFERROR(VLOOKUP(E558,'Inventaire des produits'!$B$4:$J$1000,6,FALSE),"")</f>
        <v>0.6</v>
      </c>
      <c r="M558" s="62">
        <v>14800</v>
      </c>
    </row>
    <row r="559" spans="2:14" x14ac:dyDescent="0.3">
      <c r="B559" s="378" t="s">
        <v>1704</v>
      </c>
      <c r="C559" s="69">
        <v>45414</v>
      </c>
      <c r="D559" s="59" t="s">
        <v>797</v>
      </c>
      <c r="E559" s="240" t="s">
        <v>802</v>
      </c>
      <c r="F559" s="271" t="str">
        <f>IFERROR(VLOOKUP(E559,'Inventaire des produits'!$B$4:$K$1000,2,0),"")</f>
        <v>BOITE PIZZA 29</v>
      </c>
      <c r="G559" s="230">
        <v>20</v>
      </c>
      <c r="H559" s="85">
        <v>58.333333332999999</v>
      </c>
      <c r="I559" s="95">
        <f t="shared" si="16"/>
        <v>1166.6666666599999</v>
      </c>
      <c r="J559" s="95">
        <f t="shared" si="17"/>
        <v>1399.9999999919999</v>
      </c>
      <c r="K559" s="93">
        <f>IFERROR(VLOOKUP(E559,'Inventaire des produits'!$B$4:$J$1000,5,FALSE),"")</f>
        <v>0</v>
      </c>
      <c r="L559" s="301">
        <f>IFERROR(VLOOKUP(E559,'Inventaire des produits'!$B$4:$J$1000,6,FALSE),"")</f>
        <v>40</v>
      </c>
      <c r="M559" s="62"/>
    </row>
    <row r="560" spans="2:14" x14ac:dyDescent="0.3">
      <c r="B560" s="378" t="s">
        <v>1704</v>
      </c>
      <c r="C560" s="340">
        <v>45414</v>
      </c>
      <c r="D560" s="337" t="s">
        <v>798</v>
      </c>
      <c r="E560" s="235" t="s">
        <v>162</v>
      </c>
      <c r="F560" s="271" t="str">
        <f>IFERROR(VLOOKUP(E560,'Inventaire des produits'!$B$4:$K$1000,2,0),"")</f>
        <v>COQUILLE LUNCH BOX LARGE HB10 BLANC</v>
      </c>
      <c r="G560" s="230">
        <v>300</v>
      </c>
      <c r="H560" s="91">
        <v>1</v>
      </c>
      <c r="I560" s="95">
        <f t="shared" si="16"/>
        <v>300</v>
      </c>
      <c r="J560" s="95">
        <f t="shared" si="17"/>
        <v>360</v>
      </c>
      <c r="K560" s="93">
        <f>IFERROR(VLOOKUP(E560,'Inventaire des produits'!$B$4:$J$1000,5,FALSE),"")</f>
        <v>0</v>
      </c>
      <c r="L560" s="301">
        <f>IFERROR(VLOOKUP(E560,'Inventaire des produits'!$B$4:$J$1000,6,FALSE),"")</f>
        <v>0.75</v>
      </c>
      <c r="M560" s="62">
        <v>2570</v>
      </c>
    </row>
    <row r="561" spans="2:13" x14ac:dyDescent="0.3">
      <c r="B561" s="378" t="s">
        <v>1704</v>
      </c>
      <c r="C561" s="341"/>
      <c r="D561" s="338"/>
      <c r="E561" s="235" t="s">
        <v>236</v>
      </c>
      <c r="F561" s="271" t="str">
        <f>IFERROR(VLOOKUP(E561,'Inventaire des produits'!$B$4:$K$1000,2,0),"")</f>
        <v>COQUILLE MEAL BOX 2 COMP BLANC</v>
      </c>
      <c r="G561" s="63">
        <v>500</v>
      </c>
      <c r="H561" s="87">
        <v>1.25</v>
      </c>
      <c r="I561" s="95">
        <f t="shared" si="16"/>
        <v>625</v>
      </c>
      <c r="J561" s="95">
        <f t="shared" si="17"/>
        <v>750</v>
      </c>
      <c r="K561" s="93">
        <f>IFERROR(VLOOKUP(E561,'Inventaire des produits'!$B$4:$J$1000,5,FALSE),"")</f>
        <v>0</v>
      </c>
      <c r="L561" s="301">
        <f>IFERROR(VLOOKUP(E561,'Inventaire des produits'!$B$4:$J$1000,6,FALSE),"")</f>
        <v>0.91666666669999997</v>
      </c>
      <c r="M561" s="62"/>
    </row>
    <row r="562" spans="2:13" x14ac:dyDescent="0.3">
      <c r="B562" s="378" t="s">
        <v>1704</v>
      </c>
      <c r="C562" s="341"/>
      <c r="D562" s="338"/>
      <c r="E562" s="235" t="s">
        <v>395</v>
      </c>
      <c r="F562" s="271" t="str">
        <f>IFERROR(VLOOKUP(E562,'Inventaire des produits'!$B$4:$K$1000,2,0),"")</f>
        <v xml:space="preserve">SAC KRAFT 22*17*28 </v>
      </c>
      <c r="G562" s="63">
        <v>500</v>
      </c>
      <c r="H562" s="87">
        <v>1.0833333300000001</v>
      </c>
      <c r="I562" s="95">
        <f t="shared" si="16"/>
        <v>541.66666500000008</v>
      </c>
      <c r="J562" s="95">
        <f t="shared" si="17"/>
        <v>649.99999800000012</v>
      </c>
      <c r="K562" s="93">
        <f>IFERROR(VLOOKUP(E562,'Inventaire des produits'!$B$4:$J$1000,5,FALSE),"")</f>
        <v>0</v>
      </c>
      <c r="L562" s="301">
        <f>IFERROR(VLOOKUP(E562,'Inventaire des produits'!$B$4:$J$1000,6,FALSE),"")</f>
        <v>0.70833400000000002</v>
      </c>
      <c r="M562" s="62"/>
    </row>
    <row r="563" spans="2:13" x14ac:dyDescent="0.3">
      <c r="B563" s="378" t="s">
        <v>1704</v>
      </c>
      <c r="C563" s="341"/>
      <c r="D563" s="338"/>
      <c r="E563" s="235" t="s">
        <v>127</v>
      </c>
      <c r="F563" s="271" t="str">
        <f>IFERROR(VLOOKUP(E563,'Inventaire des produits'!$B$4:$K$1000,2,0),"")</f>
        <v>SERVIETTE DE TABLE SEVAN 1PLI</v>
      </c>
      <c r="G563" s="63">
        <v>60</v>
      </c>
      <c r="H563" s="87">
        <v>4</v>
      </c>
      <c r="I563" s="95">
        <f t="shared" si="16"/>
        <v>240</v>
      </c>
      <c r="J563" s="95">
        <f t="shared" si="17"/>
        <v>288</v>
      </c>
      <c r="K563" s="93">
        <f>IFERROR(VLOOKUP(E563,'Inventaire des produits'!$B$4:$J$1000,5,FALSE),"")</f>
        <v>0</v>
      </c>
      <c r="L563" s="301">
        <f>IFERROR(VLOOKUP(E563,'Inventaire des produits'!$B$4:$J$1000,6,FALSE),"")</f>
        <v>2.9169999999999998</v>
      </c>
      <c r="M563" s="62"/>
    </row>
    <row r="564" spans="2:13" x14ac:dyDescent="0.3">
      <c r="B564" s="378" t="s">
        <v>1704</v>
      </c>
      <c r="C564" s="341"/>
      <c r="D564" s="338"/>
      <c r="E564" s="235" t="s">
        <v>425</v>
      </c>
      <c r="F564" s="271" t="str">
        <f>IFERROR(VLOOKUP(E564,'Inventaire des produits'!$B$4:$K$1000,2,0),"")</f>
        <v>COUTEAU ECOLUXE TRANS</v>
      </c>
      <c r="G564" s="231">
        <v>5</v>
      </c>
      <c r="H564" s="84">
        <v>23.3333333</v>
      </c>
      <c r="I564" s="95">
        <f t="shared" si="16"/>
        <v>116.66666649999999</v>
      </c>
      <c r="J564" s="95">
        <f t="shared" si="17"/>
        <v>139.99999979999998</v>
      </c>
      <c r="K564" s="93">
        <f>IFERROR(VLOOKUP(E564,'Inventaire des produits'!$B$4:$J$1000,5,FALSE),"")</f>
        <v>0</v>
      </c>
      <c r="L564" s="301">
        <f>IFERROR(VLOOKUP(E564,'Inventaire des produits'!$B$4:$J$1000,6,FALSE),"")</f>
        <v>18.329999999999998</v>
      </c>
      <c r="M564" s="62"/>
    </row>
    <row r="565" spans="2:13" x14ac:dyDescent="0.3">
      <c r="B565" s="378" t="s">
        <v>1704</v>
      </c>
      <c r="C565" s="341"/>
      <c r="D565" s="338"/>
      <c r="E565" s="235" t="s">
        <v>553</v>
      </c>
      <c r="F565" s="271" t="str">
        <f>IFERROR(VLOOKUP(E565,'Inventaire des produits'!$B$4:$K$1000,2,0),"")</f>
        <v>FOURCHETTE ECOLUXE TRANSPARENTE</v>
      </c>
      <c r="G565" s="231">
        <v>4</v>
      </c>
      <c r="H565" s="87">
        <v>23.3333333</v>
      </c>
      <c r="I565" s="95">
        <f t="shared" si="16"/>
        <v>93.333333199999998</v>
      </c>
      <c r="J565" s="95">
        <f t="shared" si="17"/>
        <v>111.99999984</v>
      </c>
      <c r="K565" s="93">
        <f>IFERROR(VLOOKUP(E565,'Inventaire des produits'!$B$4:$J$1000,5,FALSE),"")</f>
        <v>0</v>
      </c>
      <c r="L565" s="301">
        <f>IFERROR(VLOOKUP(E565,'Inventaire des produits'!$B$4:$J$1000,6,FALSE),"")</f>
        <v>17.5</v>
      </c>
      <c r="M565" s="62"/>
    </row>
    <row r="566" spans="2:13" x14ac:dyDescent="0.3">
      <c r="B566" s="378" t="s">
        <v>1704</v>
      </c>
      <c r="C566" s="342"/>
      <c r="D566" s="339"/>
      <c r="E566" s="235" t="s">
        <v>222</v>
      </c>
      <c r="F566" s="271" t="str">
        <f>IFERROR(VLOOKUP(E566,'Inventaire des produits'!$B$4:$K$1000,2,0),"")</f>
        <v>FILM ALIMENTAIRE ELEGENCE</v>
      </c>
      <c r="G566" s="231">
        <v>7</v>
      </c>
      <c r="H566" s="87">
        <v>32.143000000000001</v>
      </c>
      <c r="I566" s="95">
        <f t="shared" si="16"/>
        <v>225.001</v>
      </c>
      <c r="J566" s="95">
        <f t="shared" si="17"/>
        <v>270.00119999999998</v>
      </c>
      <c r="K566" s="93">
        <f>IFERROR(VLOOKUP(E566,'Inventaire des produits'!$B$4:$J$1000,5,FALSE),"")</f>
        <v>0</v>
      </c>
      <c r="L566" s="301">
        <f>IFERROR(VLOOKUP(E566,'Inventaire des produits'!$B$4:$J$1000,6,FALSE),"")</f>
        <v>20</v>
      </c>
      <c r="M566" s="62"/>
    </row>
    <row r="567" spans="2:13" x14ac:dyDescent="0.3">
      <c r="B567" s="378" t="s">
        <v>1704</v>
      </c>
      <c r="C567" s="55">
        <v>45414</v>
      </c>
      <c r="D567" s="54" t="s">
        <v>800</v>
      </c>
      <c r="E567" s="235" t="s">
        <v>291</v>
      </c>
      <c r="F567" s="271" t="str">
        <f>IFERROR(VLOOKUP(E567,'Inventaire des produits'!$B$4:$K$1000,2,0),"")</f>
        <v>PALETTE COULEUR EN KG</v>
      </c>
      <c r="G567" s="247">
        <v>96</v>
      </c>
      <c r="H567" s="79">
        <v>43.402777700000001</v>
      </c>
      <c r="I567" s="95">
        <f t="shared" si="16"/>
        <v>4166.6666592000001</v>
      </c>
      <c r="J567" s="95">
        <f t="shared" si="17"/>
        <v>4999.9999910400002</v>
      </c>
      <c r="K567" s="93">
        <f>IFERROR(VLOOKUP(E567,'Inventaire des produits'!$B$4:$J$1000,5,FALSE),"")</f>
        <v>5</v>
      </c>
      <c r="L567" s="301">
        <f>IFERROR(VLOOKUP(E567,'Inventaire des produits'!$B$4:$J$1000,6,FALSE),"")</f>
        <v>41.26</v>
      </c>
      <c r="M567" s="62">
        <v>5000</v>
      </c>
    </row>
    <row r="568" spans="2:13" x14ac:dyDescent="0.3">
      <c r="B568" s="378" t="s">
        <v>1704</v>
      </c>
      <c r="C568" s="340">
        <v>45416</v>
      </c>
      <c r="D568" s="337" t="s">
        <v>801</v>
      </c>
      <c r="E568" s="235" t="s">
        <v>70</v>
      </c>
      <c r="F568" s="271" t="str">
        <f>IFERROR(VLOOKUP(E568,'Inventaire des produits'!$B$4:$K$1000,2,0),"")</f>
        <v>GOBLET 16OZ EN PLAST COCKTAIL+CVL BOMBE</v>
      </c>
      <c r="G568" s="247">
        <v>1</v>
      </c>
      <c r="H568" s="79">
        <v>541</v>
      </c>
      <c r="I568" s="95">
        <f t="shared" si="16"/>
        <v>541</v>
      </c>
      <c r="J568" s="95">
        <f t="shared" si="17"/>
        <v>649.19999999999993</v>
      </c>
      <c r="K568" s="93">
        <f>IFERROR(VLOOKUP(E568,'Inventaire des produits'!$B$4:$J$1000,5,FALSE),"")</f>
        <v>0</v>
      </c>
      <c r="L568" s="301">
        <f>IFERROR(VLOOKUP(E568,'Inventaire des produits'!$B$4:$J$1000,6,FALSE),"")</f>
        <v>500.03418333339999</v>
      </c>
      <c r="M568" s="62">
        <v>4831.2</v>
      </c>
    </row>
    <row r="569" spans="2:13" x14ac:dyDescent="0.3">
      <c r="B569" s="378" t="s">
        <v>1704</v>
      </c>
      <c r="C569" s="341"/>
      <c r="D569" s="338"/>
      <c r="E569" s="235" t="s">
        <v>72</v>
      </c>
      <c r="F569" s="271" t="str">
        <f>IFERROR(VLOOKUP(E569,'Inventaire des produits'!$B$4:$K$1000,2,0),"")</f>
        <v>BOL SOUPE MICRON ONDABLE ET CVL 460CC CARTON 450PCS</v>
      </c>
      <c r="G569" s="247">
        <v>3</v>
      </c>
      <c r="H569" s="79">
        <v>415</v>
      </c>
      <c r="I569" s="95">
        <f t="shared" si="16"/>
        <v>1245</v>
      </c>
      <c r="J569" s="95">
        <f t="shared" si="17"/>
        <v>1494</v>
      </c>
      <c r="K569" s="93">
        <f>IFERROR(VLOOKUP(E569,'Inventaire des produits'!$B$4:$J$1000,5,FALSE),"")</f>
        <v>0</v>
      </c>
      <c r="L569" s="301">
        <f>IFERROR(VLOOKUP(E569,'Inventaire des produits'!$B$4:$J$1000,6,FALSE),"")</f>
        <v>375</v>
      </c>
      <c r="M569" s="62"/>
    </row>
    <row r="570" spans="2:13" x14ac:dyDescent="0.3">
      <c r="B570" s="378" t="s">
        <v>1704</v>
      </c>
      <c r="C570" s="342"/>
      <c r="D570" s="339"/>
      <c r="E570" s="235" t="s">
        <v>61</v>
      </c>
      <c r="F570" s="271" t="str">
        <f>IFERROR(VLOOKUP(E570,'Inventaire des produits'!$B$4:$K$1000,2,0),"")</f>
        <v>BOX KRAFT 14,5*8,5*6 CARTON 500PCS</v>
      </c>
      <c r="G570" s="247">
        <v>4</v>
      </c>
      <c r="H570" s="79">
        <v>560</v>
      </c>
      <c r="I570" s="95">
        <f t="shared" si="16"/>
        <v>2240</v>
      </c>
      <c r="J570" s="95">
        <f t="shared" si="17"/>
        <v>2688</v>
      </c>
      <c r="K570" s="93">
        <f>IFERROR(VLOOKUP(E570,'Inventaire des produits'!$B$4:$J$1000,5,FALSE),"")</f>
        <v>0</v>
      </c>
      <c r="L570" s="301">
        <f>IFERROR(VLOOKUP(E570,'Inventaire des produits'!$B$4:$J$1000,6,FALSE),"")</f>
        <v>500</v>
      </c>
      <c r="M570" s="62"/>
    </row>
    <row r="571" spans="2:13" x14ac:dyDescent="0.3">
      <c r="B571" s="378" t="s">
        <v>1704</v>
      </c>
      <c r="C571" s="340">
        <v>45416</v>
      </c>
      <c r="D571" s="337" t="s">
        <v>809</v>
      </c>
      <c r="E571" s="235" t="s">
        <v>203</v>
      </c>
      <c r="F571" s="271" t="str">
        <f>IFERROR(VLOOKUP(E571,'Inventaire des produits'!$B$4:$K$1000,2,0),"")</f>
        <v>BARQUETTE ALUMINIUM 81200</v>
      </c>
      <c r="G571" s="230">
        <v>1000</v>
      </c>
      <c r="H571" s="76">
        <v>0.94230000000000003</v>
      </c>
      <c r="I571" s="95">
        <f t="shared" si="16"/>
        <v>942.30000000000007</v>
      </c>
      <c r="J571" s="95">
        <f t="shared" si="17"/>
        <v>1130.76</v>
      </c>
      <c r="K571" s="93">
        <f>IFERROR(VLOOKUP(E571,'Inventaire des produits'!$B$4:$J$1000,5,FALSE),"")</f>
        <v>0</v>
      </c>
      <c r="L571" s="301">
        <f>IFERROR(VLOOKUP(E571,'Inventaire des produits'!$B$4:$J$1000,6,FALSE),"")</f>
        <v>1</v>
      </c>
      <c r="M571" s="62">
        <v>6139</v>
      </c>
    </row>
    <row r="572" spans="2:13" x14ac:dyDescent="0.3">
      <c r="B572" s="378" t="s">
        <v>1704</v>
      </c>
      <c r="C572" s="341"/>
      <c r="D572" s="338"/>
      <c r="E572" s="235" t="s">
        <v>387</v>
      </c>
      <c r="F572" s="271" t="str">
        <f>IFERROR(VLOOKUP(E572,'Inventaire des produits'!$B$4:$K$1000,2,0),"")</f>
        <v>GANT VINYL EXTRA PREMIUM GLOVE LARGE</v>
      </c>
      <c r="G572" s="63">
        <v>22</v>
      </c>
      <c r="H572" s="80">
        <v>30</v>
      </c>
      <c r="I572" s="95">
        <f t="shared" si="16"/>
        <v>660</v>
      </c>
      <c r="J572" s="95">
        <f t="shared" si="17"/>
        <v>792</v>
      </c>
      <c r="K572" s="93">
        <f>IFERROR(VLOOKUP(E572,'Inventaire des produits'!$B$4:$J$1000,5,FALSE),"")</f>
        <v>0</v>
      </c>
      <c r="L572" s="301">
        <f>IFERROR(VLOOKUP(E572,'Inventaire des produits'!$B$4:$J$1000,6,FALSE),"")</f>
        <v>20</v>
      </c>
      <c r="M572" s="62"/>
    </row>
    <row r="573" spans="2:13" x14ac:dyDescent="0.3">
      <c r="B573" s="378" t="s">
        <v>1704</v>
      </c>
      <c r="C573" s="341"/>
      <c r="D573" s="338"/>
      <c r="E573" s="235" t="s">
        <v>236</v>
      </c>
      <c r="F573" s="271" t="str">
        <f>IFERROR(VLOOKUP(E573,'Inventaire des produits'!$B$4:$K$1000,2,0),"")</f>
        <v>COQUILLE MEAL BOX 2 COMP BLANC</v>
      </c>
      <c r="G573" s="63">
        <v>1000</v>
      </c>
      <c r="H573" s="80">
        <v>1.26</v>
      </c>
      <c r="I573" s="95">
        <f t="shared" si="16"/>
        <v>1260</v>
      </c>
      <c r="J573" s="95">
        <f t="shared" si="17"/>
        <v>1512</v>
      </c>
      <c r="K573" s="93">
        <f>IFERROR(VLOOKUP(E573,'Inventaire des produits'!$B$4:$J$1000,5,FALSE),"")</f>
        <v>0</v>
      </c>
      <c r="L573" s="301">
        <f>IFERROR(VLOOKUP(E573,'Inventaire des produits'!$B$4:$J$1000,6,FALSE),"")</f>
        <v>0.91666666669999997</v>
      </c>
      <c r="M573" s="62"/>
    </row>
    <row r="574" spans="2:13" x14ac:dyDescent="0.3">
      <c r="B574" s="378" t="s">
        <v>1704</v>
      </c>
      <c r="C574" s="341"/>
      <c r="D574" s="338"/>
      <c r="E574" s="235" t="s">
        <v>537</v>
      </c>
      <c r="F574" s="271" t="str">
        <f>IFERROR(VLOOKUP(E574,'Inventaire des produits'!$B$4:$K$1000,2,0),"")</f>
        <v>PAILLE ENVELOPPE 6MM CODE 100 TRANS</v>
      </c>
      <c r="G574" s="63">
        <v>48</v>
      </c>
      <c r="H574" s="80">
        <v>6.2492000000000001</v>
      </c>
      <c r="I574" s="95">
        <f t="shared" si="16"/>
        <v>299.96159999999998</v>
      </c>
      <c r="J574" s="95">
        <f t="shared" si="17"/>
        <v>359.95391999999998</v>
      </c>
      <c r="K574" s="93">
        <f>IFERROR(VLOOKUP(E574,'Inventaire des produits'!$B$4:$J$1000,5,FALSE),"")</f>
        <v>0</v>
      </c>
      <c r="L574" s="301">
        <f>IFERROR(VLOOKUP(E574,'Inventaire des produits'!$B$4:$J$1000,6,FALSE),"")</f>
        <v>4.5</v>
      </c>
      <c r="M574" s="62"/>
    </row>
    <row r="575" spans="2:13" x14ac:dyDescent="0.3">
      <c r="B575" s="378" t="s">
        <v>1704</v>
      </c>
      <c r="C575" s="341"/>
      <c r="D575" s="338"/>
      <c r="E575" s="235" t="s">
        <v>222</v>
      </c>
      <c r="F575" s="271" t="str">
        <f>IFERROR(VLOOKUP(E575,'Inventaire des produits'!$B$4:$K$1000,2,0),"")</f>
        <v>FILM ALIMENTAIRE ELEGENCE</v>
      </c>
      <c r="G575" s="250">
        <v>25</v>
      </c>
      <c r="H575" s="80">
        <v>30.143000000000001</v>
      </c>
      <c r="I575" s="95">
        <f t="shared" si="16"/>
        <v>753.57500000000005</v>
      </c>
      <c r="J575" s="95">
        <f t="shared" si="17"/>
        <v>904.29000000000008</v>
      </c>
      <c r="K575" s="93">
        <f>IFERROR(VLOOKUP(E575,'Inventaire des produits'!$B$4:$J$1000,5,FALSE),"")</f>
        <v>0</v>
      </c>
      <c r="L575" s="301">
        <f>IFERROR(VLOOKUP(E575,'Inventaire des produits'!$B$4:$J$1000,6,FALSE),"")</f>
        <v>20</v>
      </c>
      <c r="M575" s="62"/>
    </row>
    <row r="576" spans="2:13" x14ac:dyDescent="0.3">
      <c r="B576" s="378" t="s">
        <v>1704</v>
      </c>
      <c r="C576" s="341"/>
      <c r="D576" s="338"/>
      <c r="E576" s="235" t="s">
        <v>260</v>
      </c>
      <c r="F576" s="271" t="str">
        <f>IFERROR(VLOOKUP(E576,'Inventaire des produits'!$B$4:$K$1000,2,0),"")</f>
        <v>ROULEAU ALUMINIUM EXTRA PACK 200M</v>
      </c>
      <c r="G576" s="250">
        <v>8</v>
      </c>
      <c r="H576" s="80">
        <v>65</v>
      </c>
      <c r="I576" s="95">
        <f t="shared" si="16"/>
        <v>520</v>
      </c>
      <c r="J576" s="95">
        <f t="shared" si="17"/>
        <v>624</v>
      </c>
      <c r="K576" s="93">
        <f>IFERROR(VLOOKUP(E576,'Inventaire des produits'!$B$4:$J$1000,5,FALSE),"")</f>
        <v>0</v>
      </c>
      <c r="L576" s="301">
        <f>IFERROR(VLOOKUP(E576,'Inventaire des produits'!$B$4:$J$1000,6,FALSE),"")</f>
        <v>48.631666666699999</v>
      </c>
      <c r="M576" s="62"/>
    </row>
    <row r="577" spans="2:13" x14ac:dyDescent="0.3">
      <c r="B577" s="378" t="s">
        <v>1704</v>
      </c>
      <c r="C577" s="342"/>
      <c r="D577" s="339"/>
      <c r="E577" s="235" t="s">
        <v>501</v>
      </c>
      <c r="F577" s="271" t="str">
        <f>IFERROR(VLOOKUP(E577,'Inventaire des produits'!$B$4:$K$1000,2,0),"")</f>
        <v>BARQUETTE ALUMINIUM 83420</v>
      </c>
      <c r="G577" s="250">
        <v>1700</v>
      </c>
      <c r="H577" s="80">
        <v>0.4</v>
      </c>
      <c r="I577" s="95">
        <f t="shared" si="16"/>
        <v>680</v>
      </c>
      <c r="J577" s="95">
        <f t="shared" si="17"/>
        <v>816</v>
      </c>
      <c r="K577" s="93">
        <f>IFERROR(VLOOKUP(E577,'Inventaire des produits'!$B$4:$J$1000,5,FALSE),"")</f>
        <v>10000</v>
      </c>
      <c r="L577" s="301">
        <f>IFERROR(VLOOKUP(E577,'Inventaire des produits'!$B$4:$J$1000,6,FALSE),"")</f>
        <v>0.31666666669999999</v>
      </c>
      <c r="M577" s="62"/>
    </row>
    <row r="578" spans="2:13" x14ac:dyDescent="0.3">
      <c r="B578" s="378" t="s">
        <v>1704</v>
      </c>
      <c r="C578" s="340">
        <v>45418</v>
      </c>
      <c r="D578" s="337" t="s">
        <v>810</v>
      </c>
      <c r="E578" s="235" t="s">
        <v>127</v>
      </c>
      <c r="F578" s="271" t="str">
        <f>IFERROR(VLOOKUP(E578,'Inventaire des produits'!$B$4:$K$1000,2,0),"")</f>
        <v>SERVIETTE DE TABLE SEVAN 1PLI</v>
      </c>
      <c r="G578" s="230">
        <v>120</v>
      </c>
      <c r="H578" s="76">
        <v>3.9722</v>
      </c>
      <c r="I578" s="95">
        <f t="shared" si="16"/>
        <v>476.66399999999999</v>
      </c>
      <c r="J578" s="95">
        <f t="shared" si="17"/>
        <v>571.99680000000001</v>
      </c>
      <c r="K578" s="93">
        <f>IFERROR(VLOOKUP(E578,'Inventaire des produits'!$B$4:$J$1000,5,FALSE),"")</f>
        <v>0</v>
      </c>
      <c r="L578" s="301">
        <f>IFERROR(VLOOKUP(E578,'Inventaire des produits'!$B$4:$J$1000,6,FALSE),"")</f>
        <v>2.9169999999999998</v>
      </c>
      <c r="M578" s="62">
        <v>1204</v>
      </c>
    </row>
    <row r="579" spans="2:13" x14ac:dyDescent="0.3">
      <c r="B579" s="378" t="s">
        <v>1704</v>
      </c>
      <c r="C579" s="341"/>
      <c r="D579" s="338"/>
      <c r="E579" s="235" t="s">
        <v>553</v>
      </c>
      <c r="F579" s="271" t="str">
        <f>IFERROR(VLOOKUP(E579,'Inventaire des produits'!$B$4:$K$1000,2,0),"")</f>
        <v>FOURCHETTE ECOLUXE TRANSPARENTE</v>
      </c>
      <c r="G579" s="63">
        <v>6</v>
      </c>
      <c r="H579" s="80">
        <v>23.333333329999999</v>
      </c>
      <c r="I579" s="95">
        <f t="shared" si="16"/>
        <v>139.99999997999998</v>
      </c>
      <c r="J579" s="95">
        <f t="shared" si="17"/>
        <v>167.99999997599997</v>
      </c>
      <c r="K579" s="93">
        <f>IFERROR(VLOOKUP(E579,'Inventaire des produits'!$B$4:$J$1000,5,FALSE),"")</f>
        <v>0</v>
      </c>
      <c r="L579" s="301">
        <f>IFERROR(VLOOKUP(E579,'Inventaire des produits'!$B$4:$J$1000,6,FALSE),"")</f>
        <v>17.5</v>
      </c>
      <c r="M579" s="62"/>
    </row>
    <row r="580" spans="2:13" x14ac:dyDescent="0.3">
      <c r="B580" s="378" t="s">
        <v>1704</v>
      </c>
      <c r="C580" s="341"/>
      <c r="D580" s="338"/>
      <c r="E580" s="235" t="s">
        <v>69</v>
      </c>
      <c r="F580" s="271" t="str">
        <f>IFERROR(VLOOKUP(E580,'Inventaire des produits'!$B$4:$K$1000,2,0),"")</f>
        <v>COUTEAU ECOLUXE NOIR</v>
      </c>
      <c r="G580" s="63">
        <v>5</v>
      </c>
      <c r="H580" s="80">
        <v>23.333333329999999</v>
      </c>
      <c r="I580" s="95">
        <f t="shared" si="16"/>
        <v>116.66666665</v>
      </c>
      <c r="J580" s="95">
        <f t="shared" si="17"/>
        <v>139.99999997999998</v>
      </c>
      <c r="K580" s="93">
        <f>IFERROR(VLOOKUP(E580,'Inventaire des produits'!$B$4:$J$1000,5,FALSE),"")</f>
        <v>0</v>
      </c>
      <c r="L580" s="301">
        <f>IFERROR(VLOOKUP(E580,'Inventaire des produits'!$B$4:$J$1000,6,FALSE),"")</f>
        <v>17.5</v>
      </c>
      <c r="M580" s="62"/>
    </row>
    <row r="581" spans="2:13" x14ac:dyDescent="0.3">
      <c r="B581" s="378" t="s">
        <v>1704</v>
      </c>
      <c r="C581" s="342"/>
      <c r="D581" s="339"/>
      <c r="E581" s="235" t="s">
        <v>395</v>
      </c>
      <c r="F581" s="271" t="str">
        <f>IFERROR(VLOOKUP(E581,'Inventaire des produits'!$B$4:$K$1000,2,0),"")</f>
        <v xml:space="preserve">SAC KRAFT 22*17*28 </v>
      </c>
      <c r="G581" s="63">
        <v>250</v>
      </c>
      <c r="H581" s="80">
        <v>1.08</v>
      </c>
      <c r="I581" s="95">
        <f t="shared" ref="I581:I644" si="18">IF(OR(G581="",H581=""),"",G581*H581)</f>
        <v>270</v>
      </c>
      <c r="J581" s="95">
        <f t="shared" ref="J581:J644" si="19">IF(OR(I581=""),"",I581*1.2)</f>
        <v>324</v>
      </c>
      <c r="K581" s="93">
        <f>IFERROR(VLOOKUP(E581,'Inventaire des produits'!$B$4:$J$1000,5,FALSE),"")</f>
        <v>0</v>
      </c>
      <c r="L581" s="301">
        <f>IFERROR(VLOOKUP(E581,'Inventaire des produits'!$B$4:$J$1000,6,FALSE),"")</f>
        <v>0.70833400000000002</v>
      </c>
      <c r="M581" s="62"/>
    </row>
    <row r="582" spans="2:13" x14ac:dyDescent="0.3">
      <c r="B582" s="378" t="s">
        <v>1704</v>
      </c>
      <c r="C582" s="340">
        <v>45418</v>
      </c>
      <c r="D582" s="337" t="s">
        <v>811</v>
      </c>
      <c r="E582" s="235" t="s">
        <v>169</v>
      </c>
      <c r="F582" s="271" t="str">
        <f>IFERROR(VLOOKUP(E582,'Inventaire des produits'!$B$4:$K$1000,2,0),"")</f>
        <v>COUPE MACEDONIA</v>
      </c>
      <c r="G582" s="230">
        <v>3000</v>
      </c>
      <c r="H582" s="76">
        <v>0.875</v>
      </c>
      <c r="I582" s="95">
        <f t="shared" si="18"/>
        <v>2625</v>
      </c>
      <c r="J582" s="95">
        <f t="shared" si="19"/>
        <v>3150</v>
      </c>
      <c r="K582" s="93">
        <f>IFERROR(VLOOKUP(E582,'Inventaire des produits'!$B$4:$J$1000,5,FALSE),"")</f>
        <v>0</v>
      </c>
      <c r="L582" s="301">
        <f>IFERROR(VLOOKUP(E582,'Inventaire des produits'!$B$4:$J$1000,6,FALSE),"")</f>
        <v>0.82</v>
      </c>
      <c r="M582" s="62">
        <v>5500</v>
      </c>
    </row>
    <row r="583" spans="2:13" x14ac:dyDescent="0.3">
      <c r="B583" s="378" t="s">
        <v>1704</v>
      </c>
      <c r="C583" s="342"/>
      <c r="D583" s="339"/>
      <c r="E583" s="235" t="s">
        <v>361</v>
      </c>
      <c r="F583" s="271" t="str">
        <f>IFERROR(VLOOKUP(E583,'Inventaire des produits'!$B$4:$K$1000,2,0),"")</f>
        <v>FILM ETIRABLE VIOLET 290mm kg</v>
      </c>
      <c r="G583" s="63">
        <v>70</v>
      </c>
      <c r="H583" s="80">
        <v>27.976199999999999</v>
      </c>
      <c r="I583" s="95">
        <f t="shared" si="18"/>
        <v>1958.3339999999998</v>
      </c>
      <c r="J583" s="95">
        <f t="shared" si="19"/>
        <v>2350.0007999999998</v>
      </c>
      <c r="K583" s="93">
        <f>IFERROR(VLOOKUP(E583,'Inventaire des produits'!$B$4:$J$1000,5,FALSE),"")</f>
        <v>0</v>
      </c>
      <c r="L583" s="301">
        <f>IFERROR(VLOOKUP(E583,'Inventaire des produits'!$B$4:$J$1000,6,FALSE),"")</f>
        <v>25</v>
      </c>
      <c r="M583" s="62"/>
    </row>
    <row r="584" spans="2:13" x14ac:dyDescent="0.3">
      <c r="B584" s="378" t="s">
        <v>1704</v>
      </c>
      <c r="C584" s="340">
        <v>45418</v>
      </c>
      <c r="D584" s="337" t="s">
        <v>812</v>
      </c>
      <c r="E584" s="235" t="s">
        <v>459</v>
      </c>
      <c r="F584" s="271" t="str">
        <f>IFERROR(VLOOKUP(E584,'Inventaire des produits'!$B$4:$K$1000,2,0),"")</f>
        <v>SAC FOND CARRE POIGNE PLAT 26*17*28 70G</v>
      </c>
      <c r="G584" s="230">
        <v>2500</v>
      </c>
      <c r="H584" s="76">
        <v>0.95833332999999998</v>
      </c>
      <c r="I584" s="95">
        <f t="shared" si="18"/>
        <v>2395.8333250000001</v>
      </c>
      <c r="J584" s="95">
        <f t="shared" si="19"/>
        <v>2874.9999899999998</v>
      </c>
      <c r="K584" s="93">
        <f>IFERROR(VLOOKUP(E584,'Inventaire des produits'!$B$4:$J$1000,5,FALSE),"")</f>
        <v>0</v>
      </c>
      <c r="L584" s="301">
        <f>IFERROR(VLOOKUP(E584,'Inventaire des produits'!$B$4:$J$1000,6,FALSE),"")</f>
        <v>0.75</v>
      </c>
      <c r="M584" s="62">
        <v>6875</v>
      </c>
    </row>
    <row r="585" spans="2:13" x14ac:dyDescent="0.3">
      <c r="B585" s="378" t="s">
        <v>1704</v>
      </c>
      <c r="C585" s="342"/>
      <c r="D585" s="339"/>
      <c r="E585" s="235" t="s">
        <v>677</v>
      </c>
      <c r="F585" s="271" t="str">
        <f>IFERROR(VLOOKUP(E585,'Inventaire des produits'!$B$4:$K$1000,2,0),"")</f>
        <v>BARQUETTE TRAITEUR 750CC MICRON ONDABLE</v>
      </c>
      <c r="G585" s="63">
        <v>2500</v>
      </c>
      <c r="H585" s="80">
        <v>1.3333333300000001</v>
      </c>
      <c r="I585" s="95">
        <f t="shared" si="18"/>
        <v>3333.3333250000001</v>
      </c>
      <c r="J585" s="95">
        <f t="shared" si="19"/>
        <v>3999.9999899999998</v>
      </c>
      <c r="K585" s="93">
        <f>IFERROR(VLOOKUP(E585,'Inventaire des produits'!$B$4:$J$1000,5,FALSE),"")</f>
        <v>0</v>
      </c>
      <c r="L585" s="301">
        <f>IFERROR(VLOOKUP(E585,'Inventaire des produits'!$B$4:$J$1000,6,FALSE),"")</f>
        <v>1.1479166667</v>
      </c>
      <c r="M585" s="62"/>
    </row>
    <row r="586" spans="2:13" x14ac:dyDescent="0.3">
      <c r="B586" s="378" t="s">
        <v>1704</v>
      </c>
      <c r="C586" s="340">
        <v>45418</v>
      </c>
      <c r="D586" s="337" t="s">
        <v>813</v>
      </c>
      <c r="E586" s="235" t="s">
        <v>222</v>
      </c>
      <c r="F586" s="271" t="str">
        <f>IFERROR(VLOOKUP(E586,'Inventaire des produits'!$B$4:$K$1000,2,0),"")</f>
        <v>FILM ALIMENTAIRE ELEGENCE</v>
      </c>
      <c r="G586" s="230">
        <v>12</v>
      </c>
      <c r="H586" s="76">
        <v>30.143000000000001</v>
      </c>
      <c r="I586" s="95">
        <f t="shared" si="18"/>
        <v>361.71600000000001</v>
      </c>
      <c r="J586" s="95">
        <f t="shared" si="19"/>
        <v>434.05919999999998</v>
      </c>
      <c r="K586" s="93">
        <f>IFERROR(VLOOKUP(E586,'Inventaire des produits'!$B$4:$J$1000,5,FALSE),"")</f>
        <v>0</v>
      </c>
      <c r="L586" s="301">
        <f>IFERROR(VLOOKUP(E586,'Inventaire des produits'!$B$4:$J$1000,6,FALSE),"")</f>
        <v>20</v>
      </c>
      <c r="M586" s="62">
        <v>2325</v>
      </c>
    </row>
    <row r="587" spans="2:13" x14ac:dyDescent="0.3">
      <c r="B587" s="378" t="s">
        <v>1704</v>
      </c>
      <c r="C587" s="341"/>
      <c r="D587" s="338"/>
      <c r="E587" s="235" t="s">
        <v>387</v>
      </c>
      <c r="F587" s="271" t="str">
        <f>IFERROR(VLOOKUP(E587,'Inventaire des produits'!$B$4:$K$1000,2,0),"")</f>
        <v>GANT VINYL EXTRA PREMIUM GLOVE LARGE</v>
      </c>
      <c r="G587" s="63">
        <v>12</v>
      </c>
      <c r="H587" s="80">
        <v>30</v>
      </c>
      <c r="I587" s="95">
        <f t="shared" si="18"/>
        <v>360</v>
      </c>
      <c r="J587" s="95">
        <f t="shared" si="19"/>
        <v>432</v>
      </c>
      <c r="K587" s="93">
        <f>IFERROR(VLOOKUP(E587,'Inventaire des produits'!$B$4:$J$1000,5,FALSE),"")</f>
        <v>0</v>
      </c>
      <c r="L587" s="301">
        <f>IFERROR(VLOOKUP(E587,'Inventaire des produits'!$B$4:$J$1000,6,FALSE),"")</f>
        <v>20</v>
      </c>
      <c r="M587" s="62"/>
    </row>
    <row r="588" spans="2:13" x14ac:dyDescent="0.3">
      <c r="B588" s="378" t="s">
        <v>1704</v>
      </c>
      <c r="C588" s="341"/>
      <c r="D588" s="338"/>
      <c r="E588" s="235" t="s">
        <v>236</v>
      </c>
      <c r="F588" s="271" t="str">
        <f>IFERROR(VLOOKUP(E588,'Inventaire des produits'!$B$4:$K$1000,2,0),"")</f>
        <v>COQUILLE MEAL BOX 2 COMP BLANC</v>
      </c>
      <c r="G588" s="63">
        <v>400</v>
      </c>
      <c r="H588" s="80">
        <v>1.26</v>
      </c>
      <c r="I588" s="95">
        <f t="shared" si="18"/>
        <v>504</v>
      </c>
      <c r="J588" s="95">
        <f t="shared" si="19"/>
        <v>604.79999999999995</v>
      </c>
      <c r="K588" s="93">
        <f>IFERROR(VLOOKUP(E588,'Inventaire des produits'!$B$4:$J$1000,5,FALSE),"")</f>
        <v>0</v>
      </c>
      <c r="L588" s="301">
        <f>IFERROR(VLOOKUP(E588,'Inventaire des produits'!$B$4:$J$1000,6,FALSE),"")</f>
        <v>0.91666666669999997</v>
      </c>
      <c r="M588" s="62"/>
    </row>
    <row r="589" spans="2:13" x14ac:dyDescent="0.3">
      <c r="B589" s="378" t="s">
        <v>1704</v>
      </c>
      <c r="C589" s="341"/>
      <c r="D589" s="338"/>
      <c r="E589" s="235" t="s">
        <v>537</v>
      </c>
      <c r="F589" s="271" t="str">
        <f>IFERROR(VLOOKUP(E589,'Inventaire des produits'!$B$4:$K$1000,2,0),"")</f>
        <v>PAILLE ENVELOPPE 6MM CODE 100 TRANS</v>
      </c>
      <c r="G589" s="63">
        <v>37</v>
      </c>
      <c r="H589" s="80">
        <v>6.2508999999999997</v>
      </c>
      <c r="I589" s="95">
        <f t="shared" si="18"/>
        <v>231.2833</v>
      </c>
      <c r="J589" s="95">
        <f t="shared" si="19"/>
        <v>277.53996000000001</v>
      </c>
      <c r="K589" s="93">
        <f>IFERROR(VLOOKUP(E589,'Inventaire des produits'!$B$4:$J$1000,5,FALSE),"")</f>
        <v>0</v>
      </c>
      <c r="L589" s="301">
        <f>IFERROR(VLOOKUP(E589,'Inventaire des produits'!$B$4:$J$1000,6,FALSE),"")</f>
        <v>4.5</v>
      </c>
      <c r="M589" s="62"/>
    </row>
    <row r="590" spans="2:13" x14ac:dyDescent="0.3">
      <c r="B590" s="378" t="s">
        <v>1704</v>
      </c>
      <c r="C590" s="342"/>
      <c r="D590" s="339"/>
      <c r="E590" s="235" t="s">
        <v>203</v>
      </c>
      <c r="F590" s="271" t="str">
        <f>IFERROR(VLOOKUP(E590,'Inventaire des produits'!$B$4:$K$1000,2,0),"")</f>
        <v>BARQUETTE ALUMINIUM 81200</v>
      </c>
      <c r="G590" s="250">
        <v>500</v>
      </c>
      <c r="H590" s="80">
        <v>0.96099999999999997</v>
      </c>
      <c r="I590" s="95">
        <f t="shared" si="18"/>
        <v>480.5</v>
      </c>
      <c r="J590" s="95">
        <f t="shared" si="19"/>
        <v>576.6</v>
      </c>
      <c r="K590" s="93">
        <f>IFERROR(VLOOKUP(E590,'Inventaire des produits'!$B$4:$J$1000,5,FALSE),"")</f>
        <v>0</v>
      </c>
      <c r="L590" s="301">
        <f>IFERROR(VLOOKUP(E590,'Inventaire des produits'!$B$4:$J$1000,6,FALSE),"")</f>
        <v>1</v>
      </c>
      <c r="M590" s="62"/>
    </row>
    <row r="591" spans="2:13" x14ac:dyDescent="0.3">
      <c r="B591" s="378" t="s">
        <v>1704</v>
      </c>
      <c r="C591" s="340">
        <v>45418</v>
      </c>
      <c r="D591" s="337" t="s">
        <v>814</v>
      </c>
      <c r="E591" s="235" t="s">
        <v>127</v>
      </c>
      <c r="F591" s="271" t="str">
        <f>IFERROR(VLOOKUP(E591,'Inventaire des produits'!$B$4:$K$1000,2,0),"")</f>
        <v>SERVIETTE DE TABLE SEVAN 1PLI</v>
      </c>
      <c r="G591" s="230">
        <v>80</v>
      </c>
      <c r="H591" s="76">
        <v>3.93</v>
      </c>
      <c r="I591" s="95">
        <f t="shared" si="18"/>
        <v>314.40000000000003</v>
      </c>
      <c r="J591" s="95">
        <f t="shared" si="19"/>
        <v>377.28000000000003</v>
      </c>
      <c r="K591" s="93">
        <f>IFERROR(VLOOKUP(E591,'Inventaire des produits'!$B$4:$J$1000,5,FALSE),"")</f>
        <v>0</v>
      </c>
      <c r="L591" s="301">
        <f>IFERROR(VLOOKUP(E591,'Inventaire des produits'!$B$4:$J$1000,6,FALSE),"")</f>
        <v>2.9169999999999998</v>
      </c>
      <c r="M591" s="62">
        <v>3444</v>
      </c>
    </row>
    <row r="592" spans="2:13" x14ac:dyDescent="0.3">
      <c r="B592" s="378" t="s">
        <v>1704</v>
      </c>
      <c r="C592" s="341"/>
      <c r="D592" s="338"/>
      <c r="E592" s="235" t="s">
        <v>166</v>
      </c>
      <c r="F592" s="271" t="str">
        <f>IFERROR(VLOOKUP(E592,'Inventaire des produits'!$B$4:$K$1000,2,0),"")</f>
        <v>GANT VINYL LARGE/100PCS</v>
      </c>
      <c r="G592" s="63">
        <v>12</v>
      </c>
      <c r="H592" s="80">
        <v>33.371499999999997</v>
      </c>
      <c r="I592" s="95">
        <f t="shared" si="18"/>
        <v>400.45799999999997</v>
      </c>
      <c r="J592" s="95">
        <f t="shared" si="19"/>
        <v>480.54959999999994</v>
      </c>
      <c r="K592" s="93">
        <f>IFERROR(VLOOKUP(E592,'Inventaire des produits'!$B$4:$J$1000,5,FALSE),"")</f>
        <v>0</v>
      </c>
      <c r="L592" s="301">
        <f>IFERROR(VLOOKUP(E592,'Inventaire des produits'!$B$4:$J$1000,6,FALSE),"")</f>
        <v>24.17</v>
      </c>
      <c r="M592" s="62"/>
    </row>
    <row r="593" spans="2:13" x14ac:dyDescent="0.3">
      <c r="B593" s="378" t="s">
        <v>1704</v>
      </c>
      <c r="C593" s="341"/>
      <c r="D593" s="338"/>
      <c r="E593" s="235" t="s">
        <v>479</v>
      </c>
      <c r="F593" s="271" t="str">
        <f>IFERROR(VLOOKUP(E593,'Inventaire des produits'!$B$4:$K$1000,2,0),"")</f>
        <v xml:space="preserve">SAC KRAFT 22*17*28 </v>
      </c>
      <c r="G593" s="63">
        <v>1000</v>
      </c>
      <c r="H593" s="80">
        <v>0.94410000000000005</v>
      </c>
      <c r="I593" s="95">
        <f t="shared" si="18"/>
        <v>944.1</v>
      </c>
      <c r="J593" s="95">
        <f t="shared" si="19"/>
        <v>1132.92</v>
      </c>
      <c r="K593" s="93">
        <f>IFERROR(VLOOKUP(E593,'Inventaire des produits'!$B$4:$J$1000,5,FALSE),"")</f>
        <v>0</v>
      </c>
      <c r="L593" s="301">
        <f>IFERROR(VLOOKUP(E593,'Inventaire des produits'!$B$4:$J$1000,6,FALSE),"")</f>
        <v>0.71</v>
      </c>
      <c r="M593" s="62"/>
    </row>
    <row r="594" spans="2:13" x14ac:dyDescent="0.3">
      <c r="B594" s="378" t="s">
        <v>1704</v>
      </c>
      <c r="C594" s="341"/>
      <c r="D594" s="338"/>
      <c r="E594" s="235" t="s">
        <v>361</v>
      </c>
      <c r="F594" s="271" t="str">
        <f>IFERROR(VLOOKUP(E594,'Inventaire des produits'!$B$4:$K$1000,2,0),"")</f>
        <v>FILM ETIRABLE VIOLET 290mm kg</v>
      </c>
      <c r="G594" s="63">
        <v>27</v>
      </c>
      <c r="H594" s="80">
        <v>31</v>
      </c>
      <c r="I594" s="95">
        <f t="shared" si="18"/>
        <v>837</v>
      </c>
      <c r="J594" s="95">
        <f t="shared" si="19"/>
        <v>1004.4</v>
      </c>
      <c r="K594" s="93">
        <f>IFERROR(VLOOKUP(E594,'Inventaire des produits'!$B$4:$J$1000,5,FALSE),"")</f>
        <v>0</v>
      </c>
      <c r="L594" s="301">
        <f>IFERROR(VLOOKUP(E594,'Inventaire des produits'!$B$4:$J$1000,6,FALSE),"")</f>
        <v>25</v>
      </c>
      <c r="M594" s="62"/>
    </row>
    <row r="595" spans="2:13" x14ac:dyDescent="0.3">
      <c r="B595" s="378" t="s">
        <v>1704</v>
      </c>
      <c r="C595" s="342"/>
      <c r="D595" s="339"/>
      <c r="E595" s="235" t="s">
        <v>76</v>
      </c>
      <c r="F595" s="271" t="str">
        <f>IFERROR(VLOOKUP(E595,'Inventaire des produits'!$B$4:$K$1000,2,0),"")</f>
        <v>BOL SALADE EN CARTON NEUTRE AVEC CVL 750CC/1PCS</v>
      </c>
      <c r="G595" s="250">
        <v>180</v>
      </c>
      <c r="H595" s="80">
        <v>2.0779999999999998</v>
      </c>
      <c r="I595" s="95">
        <f t="shared" si="18"/>
        <v>374.03999999999996</v>
      </c>
      <c r="J595" s="95">
        <f t="shared" si="19"/>
        <v>448.84799999999996</v>
      </c>
      <c r="K595" s="93">
        <f>IFERROR(VLOOKUP(E595,'Inventaire des produits'!$B$4:$J$1000,5,FALSE),"")</f>
        <v>0</v>
      </c>
      <c r="L595" s="301">
        <f>IFERROR(VLOOKUP(E595,'Inventaire des produits'!$B$4:$J$1000,6,FALSE),"")</f>
        <v>1.85</v>
      </c>
      <c r="M595" s="62"/>
    </row>
    <row r="596" spans="2:13" x14ac:dyDescent="0.3">
      <c r="B596" s="378" t="s">
        <v>1704</v>
      </c>
      <c r="C596" s="55">
        <v>45419</v>
      </c>
      <c r="D596" s="54" t="s">
        <v>816</v>
      </c>
      <c r="E596" s="235" t="s">
        <v>135</v>
      </c>
      <c r="F596" s="271" t="str">
        <f>IFERROR(VLOOKUP(E596,'Inventaire des produits'!$B$4:$K$1000,2,0),"")</f>
        <v>GOBLET 14OZ EN PLAST TRANS SMART + CV PLAT</v>
      </c>
      <c r="G596" s="230">
        <v>5000</v>
      </c>
      <c r="H596" s="76">
        <v>0.65</v>
      </c>
      <c r="I596" s="95">
        <f t="shared" si="18"/>
        <v>3250</v>
      </c>
      <c r="J596" s="95">
        <f t="shared" si="19"/>
        <v>3900</v>
      </c>
      <c r="K596" s="93">
        <f>IFERROR(VLOOKUP(E596,'Inventaire des produits'!$B$4:$J$1000,5,FALSE),"")</f>
        <v>0</v>
      </c>
      <c r="L596" s="301">
        <f>IFERROR(VLOOKUP(E596,'Inventaire des produits'!$B$4:$J$1000,6,FALSE),"")</f>
        <v>0.46875</v>
      </c>
      <c r="M596" s="62">
        <v>3900</v>
      </c>
    </row>
    <row r="597" spans="2:13" x14ac:dyDescent="0.3">
      <c r="B597" s="378" t="s">
        <v>1704</v>
      </c>
      <c r="C597" s="340">
        <v>45419</v>
      </c>
      <c r="D597" s="337" t="s">
        <v>817</v>
      </c>
      <c r="E597" s="235" t="s">
        <v>210</v>
      </c>
      <c r="F597" s="271" t="str">
        <f>IFERROR(VLOOKUP(E597,'Inventaire des produits'!$B$4:$K$1000,2,0),"")</f>
        <v>POT DE SAUCE 2OZ NOIRE</v>
      </c>
      <c r="G597" s="259">
        <v>2300</v>
      </c>
      <c r="H597" s="85">
        <v>0.23499999999999999</v>
      </c>
      <c r="I597" s="95">
        <f t="shared" si="18"/>
        <v>540.5</v>
      </c>
      <c r="J597" s="95">
        <f t="shared" si="19"/>
        <v>648.6</v>
      </c>
      <c r="K597" s="93">
        <f>IFERROR(VLOOKUP(E597,'Inventaire des produits'!$B$4:$J$1000,5,FALSE),"")</f>
        <v>0</v>
      </c>
      <c r="L597" s="301">
        <f>IFERROR(VLOOKUP(E597,'Inventaire des produits'!$B$4:$J$1000,6,FALSE),"")</f>
        <v>0.1512</v>
      </c>
      <c r="M597" s="62">
        <v>1530</v>
      </c>
    </row>
    <row r="598" spans="2:13" x14ac:dyDescent="0.3">
      <c r="B598" s="378" t="s">
        <v>1704</v>
      </c>
      <c r="C598" s="341"/>
      <c r="D598" s="338"/>
      <c r="E598" s="235" t="s">
        <v>222</v>
      </c>
      <c r="F598" s="271" t="str">
        <f>IFERROR(VLOOKUP(E598,'Inventaire des produits'!$B$4:$K$1000,2,0),"")</f>
        <v>FILM ALIMENTAIRE ELEGENCE</v>
      </c>
      <c r="G598" s="260">
        <v>14</v>
      </c>
      <c r="H598" s="80">
        <v>31.103999999999999</v>
      </c>
      <c r="I598" s="95">
        <f t="shared" si="18"/>
        <v>435.45600000000002</v>
      </c>
      <c r="J598" s="95">
        <f t="shared" si="19"/>
        <v>522.54719999999998</v>
      </c>
      <c r="K598" s="93">
        <f>IFERROR(VLOOKUP(E598,'Inventaire des produits'!$B$4:$J$1000,5,FALSE),"")</f>
        <v>0</v>
      </c>
      <c r="L598" s="301">
        <f>IFERROR(VLOOKUP(E598,'Inventaire des produits'!$B$4:$J$1000,6,FALSE),"")</f>
        <v>20</v>
      </c>
      <c r="M598" s="62"/>
    </row>
    <row r="599" spans="2:13" x14ac:dyDescent="0.3">
      <c r="B599" s="378" t="s">
        <v>1704</v>
      </c>
      <c r="C599" s="342"/>
      <c r="D599" s="339"/>
      <c r="E599" s="235" t="s">
        <v>483</v>
      </c>
      <c r="F599" s="271" t="str">
        <f>IFERROR(VLOOKUP(E599,'Inventaire des produits'!$B$4:$K$1000,2,0),"")</f>
        <v>SERVIETTE</v>
      </c>
      <c r="G599" s="260">
        <v>80</v>
      </c>
      <c r="H599" s="80">
        <v>3.738</v>
      </c>
      <c r="I599" s="95">
        <f t="shared" si="18"/>
        <v>299.04000000000002</v>
      </c>
      <c r="J599" s="95">
        <f t="shared" si="19"/>
        <v>358.84800000000001</v>
      </c>
      <c r="K599" s="93">
        <f>IFERROR(VLOOKUP(E599,'Inventaire des produits'!$B$4:$J$1000,5,FALSE),"")</f>
        <v>0</v>
      </c>
      <c r="L599" s="301">
        <f>IFERROR(VLOOKUP(E599,'Inventaire des produits'!$B$4:$J$1000,6,FALSE),"")</f>
        <v>2.3333333333000001</v>
      </c>
      <c r="M599" s="62"/>
    </row>
    <row r="600" spans="2:13" x14ac:dyDescent="0.3">
      <c r="B600" s="378" t="s">
        <v>1704</v>
      </c>
      <c r="C600" s="340">
        <v>45420</v>
      </c>
      <c r="D600" s="337" t="s">
        <v>818</v>
      </c>
      <c r="E600" s="235" t="s">
        <v>551</v>
      </c>
      <c r="F600" s="271" t="str">
        <f>IFERROR(VLOOKUP(E600,'Inventaire des produits'!$B$4:$K$1000,2,0),"")</f>
        <v>BARQUETTE ALUMINIUM 808</v>
      </c>
      <c r="G600" s="259">
        <v>1800</v>
      </c>
      <c r="H600" s="85">
        <v>0.9022</v>
      </c>
      <c r="I600" s="95">
        <f t="shared" si="18"/>
        <v>1623.96</v>
      </c>
      <c r="J600" s="95">
        <f t="shared" si="19"/>
        <v>1948.752</v>
      </c>
      <c r="K600" s="93">
        <f>IFERROR(VLOOKUP(E600,'Inventaire des produits'!$B$4:$J$1000,5,FALSE),"")</f>
        <v>0</v>
      </c>
      <c r="L600" s="301">
        <f>IFERROR(VLOOKUP(E600,'Inventaire des produits'!$B$4:$J$1000,6,FALSE),"")</f>
        <v>0.53333330000000001</v>
      </c>
      <c r="M600" s="62">
        <v>7165</v>
      </c>
    </row>
    <row r="601" spans="2:13" x14ac:dyDescent="0.3">
      <c r="B601" s="378" t="s">
        <v>1704</v>
      </c>
      <c r="C601" s="341"/>
      <c r="D601" s="338"/>
      <c r="E601" s="235" t="s">
        <v>645</v>
      </c>
      <c r="F601" s="271" t="str">
        <f>IFERROR(VLOOKUP(E601,'Inventaire des produits'!$B$4:$K$1000,2,0),"")</f>
        <v>POT DE SAUCE 2OZ ET CVL</v>
      </c>
      <c r="G601" s="260">
        <v>4000</v>
      </c>
      <c r="H601" s="80">
        <v>0.17499999999999999</v>
      </c>
      <c r="I601" s="95">
        <f t="shared" si="18"/>
        <v>700</v>
      </c>
      <c r="J601" s="95">
        <f t="shared" si="19"/>
        <v>840</v>
      </c>
      <c r="K601" s="93">
        <f>IFERROR(VLOOKUP(E601,'Inventaire des produits'!$B$4:$J$1000,5,FALSE),"")</f>
        <v>0</v>
      </c>
      <c r="L601" s="301">
        <f>IFERROR(VLOOKUP(E601,'Inventaire des produits'!$B$4:$J$1000,6,FALSE),"")</f>
        <v>0.20833333330000001</v>
      </c>
      <c r="M601" s="62"/>
    </row>
    <row r="602" spans="2:13" x14ac:dyDescent="0.3">
      <c r="B602" s="378" t="s">
        <v>1704</v>
      </c>
      <c r="C602" s="341"/>
      <c r="D602" s="338"/>
      <c r="E602" s="235" t="s">
        <v>537</v>
      </c>
      <c r="F602" s="271" t="str">
        <f>IFERROR(VLOOKUP(E602,'Inventaire des produits'!$B$4:$K$1000,2,0),"")</f>
        <v>PAILLE ENVELOPPE 6MM CODE 100 TRANS</v>
      </c>
      <c r="G602" s="260">
        <v>15</v>
      </c>
      <c r="H602" s="80">
        <v>6.7359999999999998</v>
      </c>
      <c r="I602" s="95">
        <f t="shared" si="18"/>
        <v>101.03999999999999</v>
      </c>
      <c r="J602" s="95">
        <f t="shared" si="19"/>
        <v>121.24799999999999</v>
      </c>
      <c r="K602" s="93">
        <f>IFERROR(VLOOKUP(E602,'Inventaire des produits'!$B$4:$J$1000,5,FALSE),"")</f>
        <v>0</v>
      </c>
      <c r="L602" s="301">
        <f>IFERROR(VLOOKUP(E602,'Inventaire des produits'!$B$4:$J$1000,6,FALSE),"")</f>
        <v>4.5</v>
      </c>
      <c r="M602" s="62"/>
    </row>
    <row r="603" spans="2:13" x14ac:dyDescent="0.3">
      <c r="B603" s="378" t="s">
        <v>1704</v>
      </c>
      <c r="C603" s="341"/>
      <c r="D603" s="338"/>
      <c r="E603" s="235" t="s">
        <v>127</v>
      </c>
      <c r="F603" s="271" t="str">
        <f>IFERROR(VLOOKUP(E603,'Inventaire des produits'!$B$4:$K$1000,2,0),"")</f>
        <v>SERVIETTE DE TABLE SEVAN 1PLI</v>
      </c>
      <c r="G603" s="63">
        <v>200</v>
      </c>
      <c r="H603" s="80">
        <v>3.94</v>
      </c>
      <c r="I603" s="95">
        <f t="shared" si="18"/>
        <v>788</v>
      </c>
      <c r="J603" s="95">
        <f t="shared" si="19"/>
        <v>945.59999999999991</v>
      </c>
      <c r="K603" s="93">
        <f>IFERROR(VLOOKUP(E603,'Inventaire des produits'!$B$4:$J$1000,5,FALSE),"")</f>
        <v>0</v>
      </c>
      <c r="L603" s="301">
        <f>IFERROR(VLOOKUP(E603,'Inventaire des produits'!$B$4:$J$1000,6,FALSE),"")</f>
        <v>2.9169999999999998</v>
      </c>
      <c r="M603" s="62"/>
    </row>
    <row r="604" spans="2:13" x14ac:dyDescent="0.3">
      <c r="B604" s="378" t="s">
        <v>1704</v>
      </c>
      <c r="C604" s="341"/>
      <c r="D604" s="338"/>
      <c r="E604" s="235" t="s">
        <v>822</v>
      </c>
      <c r="F604" s="271" t="str">
        <f>IFERROR(VLOOKUP(E604,'Inventaire des produits'!$B$4:$K$1000,2,0),"")</f>
        <v>SAC PN BLANC UNI 40*45*10</v>
      </c>
      <c r="G604" s="250">
        <v>700</v>
      </c>
      <c r="H604" s="80">
        <v>0.58333332999999998</v>
      </c>
      <c r="I604" s="95">
        <f t="shared" si="18"/>
        <v>408.33333099999999</v>
      </c>
      <c r="J604" s="95">
        <f t="shared" si="19"/>
        <v>489.99999719999994</v>
      </c>
      <c r="K604" s="93">
        <f>IFERROR(VLOOKUP(E604,'Inventaire des produits'!$B$4:$J$1000,5,FALSE),"")</f>
        <v>0</v>
      </c>
      <c r="L604" s="301">
        <f>IFERROR(VLOOKUP(E604,'Inventaire des produits'!$B$4:$J$1000,6,FALSE),"")</f>
        <v>0.45834000000000003</v>
      </c>
      <c r="M604" s="62"/>
    </row>
    <row r="605" spans="2:13" x14ac:dyDescent="0.3">
      <c r="B605" s="378" t="s">
        <v>1704</v>
      </c>
      <c r="C605" s="341"/>
      <c r="D605" s="338"/>
      <c r="E605" s="235" t="s">
        <v>821</v>
      </c>
      <c r="F605" s="271" t="str">
        <f>IFERROR(VLOOKUP(E605,'Inventaire des produits'!$B$4:$K$1000,2,0),"")</f>
        <v>SAC PN BLANC NI 30*40*10</v>
      </c>
      <c r="G605" s="250">
        <v>800</v>
      </c>
      <c r="H605" s="80">
        <f>0.6/1.2</f>
        <v>0.5</v>
      </c>
      <c r="I605" s="95">
        <f t="shared" si="18"/>
        <v>400</v>
      </c>
      <c r="J605" s="95">
        <f t="shared" si="19"/>
        <v>480</v>
      </c>
      <c r="K605" s="93">
        <f>IFERROR(VLOOKUP(E605,'Inventaire des produits'!$B$4:$J$1000,5,FALSE),"")</f>
        <v>0</v>
      </c>
      <c r="L605" s="301">
        <f>IFERROR(VLOOKUP(E605,'Inventaire des produits'!$B$4:$J$1000,6,FALSE),"")</f>
        <v>0.33333333329999998</v>
      </c>
      <c r="M605" s="62"/>
    </row>
    <row r="606" spans="2:13" x14ac:dyDescent="0.3">
      <c r="B606" s="378" t="s">
        <v>1704</v>
      </c>
      <c r="C606" s="342"/>
      <c r="D606" s="339"/>
      <c r="E606" s="235" t="s">
        <v>341</v>
      </c>
      <c r="F606" s="271" t="str">
        <f>IFERROR(VLOOKUP(E606,'Inventaire des produits'!$B$4:$K$1000,2,0),"")</f>
        <v>ROULEAU ALUMINIUM GOLDEN 200M</v>
      </c>
      <c r="G606" s="231">
        <v>30</v>
      </c>
      <c r="H606" s="87">
        <v>64.9833</v>
      </c>
      <c r="I606" s="95">
        <f t="shared" si="18"/>
        <v>1949.499</v>
      </c>
      <c r="J606" s="95">
        <f t="shared" si="19"/>
        <v>2339.3987999999999</v>
      </c>
      <c r="K606" s="93">
        <f>IFERROR(VLOOKUP(E606,'Inventaire des produits'!$B$4:$J$1000,5,FALSE),"")</f>
        <v>0</v>
      </c>
      <c r="L606" s="301">
        <f>IFERROR(VLOOKUP(E606,'Inventaire des produits'!$B$4:$J$1000,6,FALSE),"")</f>
        <v>57.5</v>
      </c>
      <c r="M606" s="62"/>
    </row>
    <row r="607" spans="2:13" x14ac:dyDescent="0.3">
      <c r="B607" s="378" t="s">
        <v>1704</v>
      </c>
      <c r="C607" s="340">
        <v>45420</v>
      </c>
      <c r="D607" s="337" t="s">
        <v>831</v>
      </c>
      <c r="E607" s="235" t="s">
        <v>148</v>
      </c>
      <c r="F607" s="271" t="str">
        <f>IFERROR(VLOOKUP(E607,'Inventaire des produits'!$B$4:$K$1000,2,0),"")</f>
        <v>BARQUETTE SUSHI ST1 160*91*20</v>
      </c>
      <c r="G607" s="259">
        <v>400</v>
      </c>
      <c r="H607" s="85">
        <v>0.875</v>
      </c>
      <c r="I607" s="95">
        <f t="shared" si="18"/>
        <v>350</v>
      </c>
      <c r="J607" s="95">
        <f t="shared" si="19"/>
        <v>420</v>
      </c>
      <c r="K607" s="93">
        <f>IFERROR(VLOOKUP(E607,'Inventaire des produits'!$B$4:$J$1000,5,FALSE),"")</f>
        <v>0</v>
      </c>
      <c r="L607" s="301">
        <f>IFERROR(VLOOKUP(E607,'Inventaire des produits'!$B$4:$J$1000,6,FALSE),"")</f>
        <v>0.75833333329999997</v>
      </c>
      <c r="M607" s="62">
        <v>3380</v>
      </c>
    </row>
    <row r="608" spans="2:13" x14ac:dyDescent="0.3">
      <c r="B608" s="378" t="s">
        <v>1704</v>
      </c>
      <c r="C608" s="341"/>
      <c r="D608" s="338"/>
      <c r="E608" s="235" t="s">
        <v>149</v>
      </c>
      <c r="F608" s="271" t="str">
        <f>IFERROR(VLOOKUP(E608,'Inventaire des produits'!$B$4:$K$1000,2,0),"")</f>
        <v>BARQUETTE SUSHI ST2 218*90*20+CVRC</v>
      </c>
      <c r="G608" s="260">
        <v>400</v>
      </c>
      <c r="H608" s="80">
        <v>1.0833333329999999</v>
      </c>
      <c r="I608" s="95">
        <f t="shared" si="18"/>
        <v>433.33333319999997</v>
      </c>
      <c r="J608" s="95">
        <f t="shared" si="19"/>
        <v>519.99999983999999</v>
      </c>
      <c r="K608" s="93">
        <f>IFERROR(VLOOKUP(E608,'Inventaire des produits'!$B$4:$J$1000,5,FALSE),"")</f>
        <v>0</v>
      </c>
      <c r="L608" s="301">
        <f>IFERROR(VLOOKUP(E608,'Inventaire des produits'!$B$4:$J$1000,6,FALSE),"")</f>
        <v>1</v>
      </c>
      <c r="M608" s="62"/>
    </row>
    <row r="609" spans="2:13" x14ac:dyDescent="0.3">
      <c r="B609" s="378" t="s">
        <v>1704</v>
      </c>
      <c r="C609" s="341"/>
      <c r="D609" s="338"/>
      <c r="E609" s="235" t="s">
        <v>258</v>
      </c>
      <c r="F609" s="271" t="str">
        <f>IFERROR(VLOOKUP(E609,'Inventaire des produits'!$B$4:$K$1000,2,0),"")</f>
        <v>BARQUETTE ST5</v>
      </c>
      <c r="G609" s="260">
        <v>400</v>
      </c>
      <c r="H609" s="80">
        <v>1.5833333300000001</v>
      </c>
      <c r="I609" s="95">
        <f t="shared" si="18"/>
        <v>633.33333200000004</v>
      </c>
      <c r="J609" s="95">
        <f t="shared" si="19"/>
        <v>759.99999839999998</v>
      </c>
      <c r="K609" s="93">
        <f>IFERROR(VLOOKUP(E609,'Inventaire des produits'!$B$4:$J$1000,5,FALSE),"")</f>
        <v>0</v>
      </c>
      <c r="L609" s="301">
        <f>IFERROR(VLOOKUP(E609,'Inventaire des produits'!$B$4:$J$1000,6,FALSE),"")</f>
        <v>1.3333333332999999</v>
      </c>
      <c r="M609" s="62"/>
    </row>
    <row r="610" spans="2:13" x14ac:dyDescent="0.3">
      <c r="B610" s="378" t="s">
        <v>1704</v>
      </c>
      <c r="C610" s="342"/>
      <c r="D610" s="339"/>
      <c r="E610" s="235" t="s">
        <v>279</v>
      </c>
      <c r="F610" s="271" t="str">
        <f>IFERROR(VLOOKUP(E610,'Inventaire des produits'!$B$4:$K$1000,2,0),"")</f>
        <v>BARQUETTE ALUMINIUM 420</v>
      </c>
      <c r="G610" s="63">
        <v>4</v>
      </c>
      <c r="H610" s="80">
        <v>350</v>
      </c>
      <c r="I610" s="95">
        <f t="shared" si="18"/>
        <v>1400</v>
      </c>
      <c r="J610" s="95">
        <f t="shared" si="19"/>
        <v>1680</v>
      </c>
      <c r="K610" s="93">
        <f>IFERROR(VLOOKUP(E610,'Inventaire des produits'!$B$4:$J$1000,5,FALSE),"")</f>
        <v>0</v>
      </c>
      <c r="L610" s="301">
        <f>IFERROR(VLOOKUP(E610,'Inventaire des produits'!$B$4:$J$1000,6,FALSE),"")</f>
        <v>300</v>
      </c>
      <c r="M610" s="62"/>
    </row>
    <row r="611" spans="2:13" x14ac:dyDescent="0.3">
      <c r="B611" s="378" t="s">
        <v>1704</v>
      </c>
      <c r="C611" s="340">
        <v>45420</v>
      </c>
      <c r="D611" s="337" t="s">
        <v>832</v>
      </c>
      <c r="E611" s="235" t="s">
        <v>224</v>
      </c>
      <c r="F611" s="271" t="str">
        <f>IFERROR(VLOOKUP(E611,'Inventaire des produits'!$B$4:$K$1000,2,0),"")</f>
        <v>FOURCHETTE LUX</v>
      </c>
      <c r="G611" s="259">
        <v>5</v>
      </c>
      <c r="H611" s="85">
        <v>23.3333333</v>
      </c>
      <c r="I611" s="95">
        <f t="shared" si="18"/>
        <v>116.66666649999999</v>
      </c>
      <c r="J611" s="95">
        <f t="shared" si="19"/>
        <v>139.99999979999998</v>
      </c>
      <c r="K611" s="93">
        <f>IFERROR(VLOOKUP(E611,'Inventaire des produits'!$B$4:$J$1000,5,FALSE),"")</f>
        <v>0</v>
      </c>
      <c r="L611" s="301">
        <f>IFERROR(VLOOKUP(E611,'Inventaire des produits'!$B$4:$J$1000,6,FALSE),"")</f>
        <v>14.382</v>
      </c>
      <c r="M611" s="62">
        <v>1325</v>
      </c>
    </row>
    <row r="612" spans="2:13" x14ac:dyDescent="0.3">
      <c r="B612" s="378" t="s">
        <v>1704</v>
      </c>
      <c r="C612" s="341"/>
      <c r="D612" s="338"/>
      <c r="E612" s="235" t="s">
        <v>425</v>
      </c>
      <c r="F612" s="271" t="str">
        <f>IFERROR(VLOOKUP(E612,'Inventaire des produits'!$B$4:$K$1000,2,0),"")</f>
        <v>COUTEAU ECOLUXE TRANS</v>
      </c>
      <c r="G612" s="260">
        <v>5</v>
      </c>
      <c r="H612" s="80">
        <v>23.333333</v>
      </c>
      <c r="I612" s="95">
        <f t="shared" si="18"/>
        <v>116.66666499999999</v>
      </c>
      <c r="J612" s="95">
        <f t="shared" si="19"/>
        <v>139.99999799999998</v>
      </c>
      <c r="K612" s="93">
        <f>IFERROR(VLOOKUP(E612,'Inventaire des produits'!$B$4:$J$1000,5,FALSE),"")</f>
        <v>0</v>
      </c>
      <c r="L612" s="301">
        <f>IFERROR(VLOOKUP(E612,'Inventaire des produits'!$B$4:$J$1000,6,FALSE),"")</f>
        <v>18.329999999999998</v>
      </c>
      <c r="M612" s="62"/>
    </row>
    <row r="613" spans="2:13" x14ac:dyDescent="0.3">
      <c r="B613" s="378" t="s">
        <v>1704</v>
      </c>
      <c r="C613" s="341"/>
      <c r="D613" s="338"/>
      <c r="E613" s="235" t="s">
        <v>537</v>
      </c>
      <c r="F613" s="271" t="str">
        <f>IFERROR(VLOOKUP(E613,'Inventaire des produits'!$B$4:$K$1000,2,0),"")</f>
        <v>PAILLE ENVELOPPE 6MM CODE 100 TRANS</v>
      </c>
      <c r="G613" s="260">
        <v>12</v>
      </c>
      <c r="H613" s="80">
        <v>8.3333332999999996</v>
      </c>
      <c r="I613" s="95">
        <f t="shared" si="18"/>
        <v>99.999999599999995</v>
      </c>
      <c r="J613" s="95">
        <f t="shared" si="19"/>
        <v>119.99999951999999</v>
      </c>
      <c r="K613" s="93">
        <f>IFERROR(VLOOKUP(E613,'Inventaire des produits'!$B$4:$J$1000,5,FALSE),"")</f>
        <v>0</v>
      </c>
      <c r="L613" s="301">
        <f>IFERROR(VLOOKUP(E613,'Inventaire des produits'!$B$4:$J$1000,6,FALSE),"")</f>
        <v>4.5</v>
      </c>
      <c r="M613" s="62"/>
    </row>
    <row r="614" spans="2:13" x14ac:dyDescent="0.3">
      <c r="B614" s="378" t="s">
        <v>1704</v>
      </c>
      <c r="C614" s="341"/>
      <c r="D614" s="338"/>
      <c r="E614" s="235" t="s">
        <v>183</v>
      </c>
      <c r="F614" s="271" t="str">
        <f>IFERROR(VLOOKUP(E614,'Inventaire des produits'!$B$4:$K$1000,2,0),"")</f>
        <v>GOBLET EN CARTON 8OZ AVEC CVL</v>
      </c>
      <c r="G614" s="63">
        <v>700</v>
      </c>
      <c r="H614" s="80">
        <v>0.45833332999999998</v>
      </c>
      <c r="I614" s="95">
        <f t="shared" si="18"/>
        <v>320.83333099999999</v>
      </c>
      <c r="J614" s="95">
        <f t="shared" si="19"/>
        <v>384.9999972</v>
      </c>
      <c r="K614" s="93">
        <f>IFERROR(VLOOKUP(E614,'Inventaire des produits'!$B$4:$J$1000,5,FALSE),"")</f>
        <v>0</v>
      </c>
      <c r="L614" s="301">
        <f>IFERROR(VLOOKUP(E614,'Inventaire des produits'!$B$4:$J$1000,6,FALSE),"")</f>
        <v>0.41660000000000003</v>
      </c>
      <c r="M614" s="62"/>
    </row>
    <row r="615" spans="2:13" x14ac:dyDescent="0.3">
      <c r="B615" s="378" t="s">
        <v>1704</v>
      </c>
      <c r="C615" s="342"/>
      <c r="D615" s="339"/>
      <c r="E615" s="235" t="s">
        <v>551</v>
      </c>
      <c r="F615" s="271" t="str">
        <f>IFERROR(VLOOKUP(E615,'Inventaire des produits'!$B$4:$K$1000,2,0),"")</f>
        <v>BARQUETTE ALUMINIUM 808</v>
      </c>
      <c r="G615" s="250">
        <v>600</v>
      </c>
      <c r="H615" s="80">
        <v>0.75</v>
      </c>
      <c r="I615" s="95">
        <f t="shared" si="18"/>
        <v>450</v>
      </c>
      <c r="J615" s="95">
        <f t="shared" si="19"/>
        <v>540</v>
      </c>
      <c r="K615" s="93">
        <f>IFERROR(VLOOKUP(E615,'Inventaire des produits'!$B$4:$J$1000,5,FALSE),"")</f>
        <v>0</v>
      </c>
      <c r="L615" s="301">
        <f>IFERROR(VLOOKUP(E615,'Inventaire des produits'!$B$4:$J$1000,6,FALSE),"")</f>
        <v>0.53333330000000001</v>
      </c>
      <c r="M615" s="62"/>
    </row>
    <row r="616" spans="2:13" ht="15" customHeight="1" x14ac:dyDescent="0.3">
      <c r="B616" s="378" t="s">
        <v>1704</v>
      </c>
      <c r="C616" s="340">
        <v>45420</v>
      </c>
      <c r="D616" s="337" t="s">
        <v>833</v>
      </c>
      <c r="E616" s="235" t="s">
        <v>836</v>
      </c>
      <c r="F616" s="271" t="str">
        <f>IFERROR(VLOOKUP(E616,'Inventaire des produits'!$B$4:$K$1000,2,0),"")</f>
        <v xml:space="preserve">SERVIETTE DE TABLE </v>
      </c>
      <c r="G616" s="259">
        <v>200</v>
      </c>
      <c r="H616" s="85">
        <v>3.75</v>
      </c>
      <c r="I616" s="95">
        <f t="shared" si="18"/>
        <v>750</v>
      </c>
      <c r="J616" s="95">
        <f t="shared" si="19"/>
        <v>900</v>
      </c>
      <c r="K616" s="93">
        <f>IFERROR(VLOOKUP(E616,'Inventaire des produits'!$B$4:$J$1000,5,FALSE),"")</f>
        <v>0</v>
      </c>
      <c r="L616" s="301">
        <f>IFERROR(VLOOKUP(E616,'Inventaire des produits'!$B$4:$J$1000,6,FALSE),"")</f>
        <v>2.8330000000000002</v>
      </c>
      <c r="M616" s="62">
        <v>1910</v>
      </c>
    </row>
    <row r="617" spans="2:13" ht="15" customHeight="1" x14ac:dyDescent="0.3">
      <c r="B617" s="378" t="s">
        <v>1704</v>
      </c>
      <c r="C617" s="341"/>
      <c r="D617" s="338"/>
      <c r="E617" s="235" t="s">
        <v>584</v>
      </c>
      <c r="F617" s="271" t="str">
        <f>IFERROR(VLOOKUP(E617,'Inventaire des produits'!$B$4:$K$1000,2,0),"")</f>
        <v>ROULEAU ALUMINIUM EXTRA PACK 200M</v>
      </c>
      <c r="G617" s="260">
        <v>12</v>
      </c>
      <c r="H617" s="80">
        <v>66.666666666666671</v>
      </c>
      <c r="I617" s="95">
        <f t="shared" si="18"/>
        <v>800</v>
      </c>
      <c r="J617" s="95">
        <f t="shared" si="19"/>
        <v>960</v>
      </c>
      <c r="K617" s="93">
        <f>IFERROR(VLOOKUP(E617,'Inventaire des produits'!$B$4:$J$1000,5,FALSE),"")</f>
        <v>0</v>
      </c>
      <c r="L617" s="301">
        <f>IFERROR(VLOOKUP(E617,'Inventaire des produits'!$B$4:$J$1000,6,FALSE),"")</f>
        <v>50</v>
      </c>
      <c r="M617" s="62"/>
    </row>
    <row r="618" spans="2:13" ht="15" customHeight="1" x14ac:dyDescent="0.3">
      <c r="B618" s="378" t="s">
        <v>1704</v>
      </c>
      <c r="C618" s="341"/>
      <c r="D618" s="338"/>
      <c r="E618" s="235" t="s">
        <v>537</v>
      </c>
      <c r="F618" s="271" t="str">
        <f>IFERROR(VLOOKUP(E618,'Inventaire des produits'!$B$4:$K$1000,2,0),"")</f>
        <v>PAILLE ENVELOPPE 6MM CODE 100 TRANS</v>
      </c>
      <c r="G618" s="260">
        <v>5</v>
      </c>
      <c r="H618" s="80">
        <v>8.3333333333333339</v>
      </c>
      <c r="I618" s="95">
        <f t="shared" si="18"/>
        <v>41.666666666666671</v>
      </c>
      <c r="J618" s="95">
        <f t="shared" si="19"/>
        <v>50.000000000000007</v>
      </c>
      <c r="K618" s="93">
        <f>IFERROR(VLOOKUP(E618,'Inventaire des produits'!$B$4:$J$1000,5,FALSE),"")</f>
        <v>0</v>
      </c>
      <c r="L618" s="301">
        <f>IFERROR(VLOOKUP(E618,'Inventaire des produits'!$B$4:$J$1000,6,FALSE),"")</f>
        <v>4.5</v>
      </c>
      <c r="M618" s="62"/>
    </row>
    <row r="619" spans="2:13" x14ac:dyDescent="0.3">
      <c r="B619" s="378" t="s">
        <v>1704</v>
      </c>
      <c r="C619" s="340">
        <v>45421</v>
      </c>
      <c r="D619" s="337" t="s">
        <v>834</v>
      </c>
      <c r="E619" s="235" t="s">
        <v>217</v>
      </c>
      <c r="F619" s="271" t="str">
        <f>IFERROR(VLOOKUP(E619,'Inventaire des produits'!$B$4:$K$1000,2,0),"")</f>
        <v>BARQUETTE ALUMINIUM 802</v>
      </c>
      <c r="G619" s="259">
        <v>1500</v>
      </c>
      <c r="H619" s="85">
        <v>0.72899999999999998</v>
      </c>
      <c r="I619" s="95">
        <f t="shared" si="18"/>
        <v>1093.5</v>
      </c>
      <c r="J619" s="95">
        <f t="shared" si="19"/>
        <v>1312.2</v>
      </c>
      <c r="K619" s="93">
        <f>IFERROR(VLOOKUP(E619,'Inventaire des produits'!$B$4:$J$1000,5,FALSE),"")</f>
        <v>0</v>
      </c>
      <c r="L619" s="301">
        <f>IFERROR(VLOOKUP(E619,'Inventaire des produits'!$B$4:$J$1000,6,FALSE),"")</f>
        <v>0.55417000000000005</v>
      </c>
      <c r="M619" s="62">
        <v>3106</v>
      </c>
    </row>
    <row r="620" spans="2:13" x14ac:dyDescent="0.3">
      <c r="B620" s="378" t="s">
        <v>1704</v>
      </c>
      <c r="C620" s="341"/>
      <c r="D620" s="338"/>
      <c r="E620" s="235" t="s">
        <v>405</v>
      </c>
      <c r="F620" s="271" t="str">
        <f>IFERROR(VLOOKUP(E620,'Inventaire des produits'!$B$4:$K$1000,2,0),"")</f>
        <v>POT DE SAUCE 1OZ 30ML HP</v>
      </c>
      <c r="G620" s="260">
        <v>3000</v>
      </c>
      <c r="H620" s="80">
        <v>0.17</v>
      </c>
      <c r="I620" s="95">
        <f t="shared" si="18"/>
        <v>510.00000000000006</v>
      </c>
      <c r="J620" s="95">
        <f t="shared" si="19"/>
        <v>612</v>
      </c>
      <c r="K620" s="93">
        <f>IFERROR(VLOOKUP(E620,'Inventaire des produits'!$B$4:$J$1000,5,FALSE),"")</f>
        <v>0</v>
      </c>
      <c r="L620" s="301">
        <f>IFERROR(VLOOKUP(E620,'Inventaire des produits'!$B$4:$J$1000,6,FALSE),"")</f>
        <v>0.14019999999999999</v>
      </c>
      <c r="M620" s="62"/>
    </row>
    <row r="621" spans="2:13" x14ac:dyDescent="0.3">
      <c r="B621" s="378" t="s">
        <v>1704</v>
      </c>
      <c r="C621" s="341"/>
      <c r="D621" s="338"/>
      <c r="E621" s="235" t="s">
        <v>828</v>
      </c>
      <c r="F621" s="271" t="str">
        <f>IFERROR(VLOOKUP(E621,'Inventaire des produits'!$B$4:$K$1000,2,0),"")</f>
        <v>SAC PN BLANC 40*30</v>
      </c>
      <c r="G621" s="260">
        <v>900</v>
      </c>
      <c r="H621" s="80">
        <v>0.58599999999999997</v>
      </c>
      <c r="I621" s="95">
        <f t="shared" si="18"/>
        <v>527.4</v>
      </c>
      <c r="J621" s="95">
        <f t="shared" si="19"/>
        <v>632.88</v>
      </c>
      <c r="K621" s="93">
        <f>IFERROR(VLOOKUP(E621,'Inventaire des produits'!$B$4:$J$1000,5,FALSE),"")</f>
        <v>0</v>
      </c>
      <c r="L621" s="301">
        <f>IFERROR(VLOOKUP(E621,'Inventaire des produits'!$B$4:$J$1000,6,FALSE),"")</f>
        <v>0.33333332999999998</v>
      </c>
      <c r="M621" s="62"/>
    </row>
    <row r="622" spans="2:13" x14ac:dyDescent="0.3">
      <c r="B622" s="378" t="s">
        <v>1704</v>
      </c>
      <c r="C622" s="341"/>
      <c r="D622" s="338"/>
      <c r="E622" s="235" t="s">
        <v>224</v>
      </c>
      <c r="F622" s="271" t="str">
        <f>IFERROR(VLOOKUP(E622,'Inventaire des produits'!$B$4:$K$1000,2,0),"")</f>
        <v>FOURCHETTE LUX</v>
      </c>
      <c r="G622" s="260">
        <v>10</v>
      </c>
      <c r="H622" s="80">
        <v>23.303000000000001</v>
      </c>
      <c r="I622" s="95">
        <f t="shared" si="18"/>
        <v>233.03</v>
      </c>
      <c r="J622" s="95">
        <f t="shared" si="19"/>
        <v>279.63599999999997</v>
      </c>
      <c r="K622" s="93">
        <f>IFERROR(VLOOKUP(E622,'Inventaire des produits'!$B$4:$J$1000,5,FALSE),"")</f>
        <v>0</v>
      </c>
      <c r="L622" s="301">
        <f>IFERROR(VLOOKUP(E622,'Inventaire des produits'!$B$4:$J$1000,6,FALSE),"")</f>
        <v>14.382</v>
      </c>
      <c r="M622" s="62"/>
    </row>
    <row r="623" spans="2:13" x14ac:dyDescent="0.3">
      <c r="B623" s="378" t="s">
        <v>1704</v>
      </c>
      <c r="C623" s="342"/>
      <c r="D623" s="339"/>
      <c r="E623" s="235" t="s">
        <v>127</v>
      </c>
      <c r="F623" s="271" t="str">
        <f>IFERROR(VLOOKUP(E623,'Inventaire des produits'!$B$4:$K$1000,2,0),"")</f>
        <v>SERVIETTE DE TABLE SEVAN 1PLI</v>
      </c>
      <c r="G623" s="250">
        <v>60</v>
      </c>
      <c r="H623" s="80">
        <v>3.74</v>
      </c>
      <c r="I623" s="95">
        <f t="shared" si="18"/>
        <v>224.4</v>
      </c>
      <c r="J623" s="95">
        <f t="shared" si="19"/>
        <v>269.27999999999997</v>
      </c>
      <c r="K623" s="93">
        <f>IFERROR(VLOOKUP(E623,'Inventaire des produits'!$B$4:$J$1000,5,FALSE),"")</f>
        <v>0</v>
      </c>
      <c r="L623" s="301">
        <f>IFERROR(VLOOKUP(E623,'Inventaire des produits'!$B$4:$J$1000,6,FALSE),"")</f>
        <v>2.9169999999999998</v>
      </c>
      <c r="M623" s="62"/>
    </row>
    <row r="624" spans="2:13" x14ac:dyDescent="0.3">
      <c r="B624" s="378" t="s">
        <v>1704</v>
      </c>
      <c r="C624" s="340">
        <v>45422</v>
      </c>
      <c r="D624" s="337" t="s">
        <v>865</v>
      </c>
      <c r="E624" s="235" t="s">
        <v>210</v>
      </c>
      <c r="F624" s="271" t="str">
        <f>IFERROR(VLOOKUP(E624,'Inventaire des produits'!$B$4:$K$1000,2,0),"")</f>
        <v>POT DE SAUCE 2OZ NOIRE</v>
      </c>
      <c r="G624" s="259">
        <v>4000</v>
      </c>
      <c r="H624" s="85">
        <v>0.23499999999999999</v>
      </c>
      <c r="I624" s="95">
        <f t="shared" si="18"/>
        <v>940</v>
      </c>
      <c r="J624" s="95">
        <f t="shared" si="19"/>
        <v>1128</v>
      </c>
      <c r="K624" s="93">
        <f>IFERROR(VLOOKUP(E624,'Inventaire des produits'!$B$4:$J$1000,5,FALSE),"")</f>
        <v>0</v>
      </c>
      <c r="L624" s="301">
        <f>IFERROR(VLOOKUP(E624,'Inventaire des produits'!$B$4:$J$1000,6,FALSE),"")</f>
        <v>0.1512</v>
      </c>
      <c r="M624" s="62">
        <v>2858</v>
      </c>
    </row>
    <row r="625" spans="2:13" x14ac:dyDescent="0.3">
      <c r="B625" s="378" t="s">
        <v>1704</v>
      </c>
      <c r="C625" s="341"/>
      <c r="D625" s="338"/>
      <c r="E625" s="235" t="s">
        <v>222</v>
      </c>
      <c r="F625" s="271" t="str">
        <f>IFERROR(VLOOKUP(E625,'Inventaire des produits'!$B$4:$K$1000,2,0),"")</f>
        <v>FILM ALIMENTAIRE ELEGENCE</v>
      </c>
      <c r="G625" s="260">
        <v>23</v>
      </c>
      <c r="H625" s="80">
        <v>31.103999999999999</v>
      </c>
      <c r="I625" s="95">
        <f t="shared" si="18"/>
        <v>715.39199999999994</v>
      </c>
      <c r="J625" s="95">
        <f t="shared" si="19"/>
        <v>858.47039999999993</v>
      </c>
      <c r="K625" s="93">
        <f>IFERROR(VLOOKUP(E625,'Inventaire des produits'!$B$4:$J$1000,5,FALSE),"")</f>
        <v>0</v>
      </c>
      <c r="L625" s="301">
        <f>IFERROR(VLOOKUP(E625,'Inventaire des produits'!$B$4:$J$1000,6,FALSE),"")</f>
        <v>20</v>
      </c>
      <c r="M625" s="62"/>
    </row>
    <row r="626" spans="2:13" x14ac:dyDescent="0.3">
      <c r="B626" s="378" t="s">
        <v>1704</v>
      </c>
      <c r="C626" s="341"/>
      <c r="D626" s="338"/>
      <c r="E626" s="235" t="s">
        <v>127</v>
      </c>
      <c r="F626" s="271" t="str">
        <f>IFERROR(VLOOKUP(E626,'Inventaire des produits'!$B$4:$K$1000,2,0),"")</f>
        <v>SERVIETTE DE TABLE SEVAN 1PLI</v>
      </c>
      <c r="G626" s="260">
        <v>120</v>
      </c>
      <c r="H626" s="80">
        <v>3.738</v>
      </c>
      <c r="I626" s="95">
        <f t="shared" si="18"/>
        <v>448.56</v>
      </c>
      <c r="J626" s="95">
        <f t="shared" si="19"/>
        <v>538.27199999999993</v>
      </c>
      <c r="K626" s="93">
        <f>IFERROR(VLOOKUP(E626,'Inventaire des produits'!$B$4:$J$1000,5,FALSE),"")</f>
        <v>0</v>
      </c>
      <c r="L626" s="301">
        <f>IFERROR(VLOOKUP(E626,'Inventaire des produits'!$B$4:$J$1000,6,FALSE),"")</f>
        <v>2.9169999999999998</v>
      </c>
      <c r="M626" s="62"/>
    </row>
    <row r="627" spans="2:13" x14ac:dyDescent="0.3">
      <c r="B627" s="378" t="s">
        <v>1704</v>
      </c>
      <c r="C627" s="342"/>
      <c r="D627" s="339"/>
      <c r="E627" s="235" t="s">
        <v>69</v>
      </c>
      <c r="F627" s="271" t="str">
        <f>IFERROR(VLOOKUP(E627,'Inventaire des produits'!$B$4:$K$1000,2,0),"")</f>
        <v>COUTEAU ECOLUXE NOIR</v>
      </c>
      <c r="G627" s="260">
        <v>15</v>
      </c>
      <c r="H627" s="80">
        <v>18.514500000000002</v>
      </c>
      <c r="I627" s="95">
        <f t="shared" si="18"/>
        <v>277.71750000000003</v>
      </c>
      <c r="J627" s="95">
        <f t="shared" si="19"/>
        <v>333.26100000000002</v>
      </c>
      <c r="K627" s="93">
        <f>IFERROR(VLOOKUP(E627,'Inventaire des produits'!$B$4:$J$1000,5,FALSE),"")</f>
        <v>0</v>
      </c>
      <c r="L627" s="301">
        <f>IFERROR(VLOOKUP(E627,'Inventaire des produits'!$B$4:$J$1000,6,FALSE),"")</f>
        <v>17.5</v>
      </c>
      <c r="M627" s="62"/>
    </row>
    <row r="628" spans="2:13" x14ac:dyDescent="0.3">
      <c r="B628" s="378" t="s">
        <v>1704</v>
      </c>
      <c r="C628" s="340">
        <v>45423</v>
      </c>
      <c r="D628" s="337" t="s">
        <v>866</v>
      </c>
      <c r="E628" s="235" t="s">
        <v>122</v>
      </c>
      <c r="F628" s="271" t="str">
        <f>IFERROR(VLOOKUP(E628,'Inventaire des produits'!$B$4:$K$1000,2,0),"")</f>
        <v>BOITE PIZZA N°24 BON APPETIT FRESH/50</v>
      </c>
      <c r="G628" s="259">
        <v>650</v>
      </c>
      <c r="H628" s="85">
        <v>0.69799999999999995</v>
      </c>
      <c r="I628" s="95">
        <f t="shared" si="18"/>
        <v>453.7</v>
      </c>
      <c r="J628" s="95">
        <f t="shared" si="19"/>
        <v>544.43999999999994</v>
      </c>
      <c r="K628" s="93">
        <f>IFERROR(VLOOKUP(E628,'Inventaire des produits'!$B$4:$J$1000,5,FALSE),"")</f>
        <v>0</v>
      </c>
      <c r="L628" s="301">
        <f>IFERROR(VLOOKUP(E628,'Inventaire des produits'!$B$4:$J$1000,6,FALSE),"")</f>
        <v>0.66706186670000001</v>
      </c>
      <c r="M628" s="62">
        <v>5000</v>
      </c>
    </row>
    <row r="629" spans="2:13" x14ac:dyDescent="0.3">
      <c r="B629" s="378" t="s">
        <v>1704</v>
      </c>
      <c r="C629" s="341"/>
      <c r="D629" s="338"/>
      <c r="E629" s="235" t="s">
        <v>147</v>
      </c>
      <c r="F629" s="271" t="str">
        <f>IFERROR(VLOOKUP(E629,'Inventaire des produits'!$B$4:$K$1000,2,0),"")</f>
        <v>BOITE PIZZA 24</v>
      </c>
      <c r="G629" s="260">
        <v>600</v>
      </c>
      <c r="H629" s="80">
        <v>0.84660999999999997</v>
      </c>
      <c r="I629" s="95">
        <f t="shared" si="18"/>
        <v>507.96600000000001</v>
      </c>
      <c r="J629" s="95">
        <f t="shared" si="19"/>
        <v>609.55920000000003</v>
      </c>
      <c r="K629" s="93">
        <f>IFERROR(VLOOKUP(E629,'Inventaire des produits'!$B$4:$J$1000,5,FALSE),"")</f>
        <v>0</v>
      </c>
      <c r="L629" s="301">
        <f>IFERROR(VLOOKUP(E629,'Inventaire des produits'!$B$4:$J$1000,6,FALSE),"")</f>
        <v>0.75</v>
      </c>
      <c r="M629" s="62"/>
    </row>
    <row r="630" spans="2:13" x14ac:dyDescent="0.3">
      <c r="B630" s="378" t="s">
        <v>1704</v>
      </c>
      <c r="C630" s="341"/>
      <c r="D630" s="338"/>
      <c r="E630" s="235" t="s">
        <v>153</v>
      </c>
      <c r="F630" s="271" t="str">
        <f>IFERROR(VLOOKUP(E630,'Inventaire des produits'!$B$4:$K$1000,2,0),"")</f>
        <v>BOITE PIZZA 29</v>
      </c>
      <c r="G630" s="260">
        <v>4</v>
      </c>
      <c r="H630" s="80">
        <v>70</v>
      </c>
      <c r="I630" s="95">
        <f t="shared" si="18"/>
        <v>280</v>
      </c>
      <c r="J630" s="95">
        <f t="shared" si="19"/>
        <v>336</v>
      </c>
      <c r="K630" s="93">
        <f>IFERROR(VLOOKUP(E630,'Inventaire des produits'!$B$4:$J$1000,5,FALSE),"")</f>
        <v>0</v>
      </c>
      <c r="L630" s="301">
        <f>IFERROR(VLOOKUP(E630,'Inventaire des produits'!$B$4:$J$1000,6,FALSE),"")</f>
        <v>48.332999999999998</v>
      </c>
      <c r="M630" s="62"/>
    </row>
    <row r="631" spans="2:13" x14ac:dyDescent="0.3">
      <c r="B631" s="378" t="s">
        <v>1704</v>
      </c>
      <c r="C631" s="342"/>
      <c r="D631" s="339"/>
      <c r="E631" s="235" t="s">
        <v>160</v>
      </c>
      <c r="F631" s="271" t="str">
        <f>IFERROR(VLOOKUP(E631,'Inventaire des produits'!$B$4:$K$1000,2,0),"")</f>
        <v>BOITE PIZZA 24</v>
      </c>
      <c r="G631" s="260">
        <v>65</v>
      </c>
      <c r="H631" s="80">
        <v>45</v>
      </c>
      <c r="I631" s="95">
        <f t="shared" si="18"/>
        <v>2925</v>
      </c>
      <c r="J631" s="95">
        <f t="shared" si="19"/>
        <v>3510</v>
      </c>
      <c r="K631" s="93">
        <f>IFERROR(VLOOKUP(E631,'Inventaire des produits'!$B$4:$J$1000,5,FALSE),"")</f>
        <v>0</v>
      </c>
      <c r="L631" s="301">
        <f>IFERROR(VLOOKUP(E631,'Inventaire des produits'!$B$4:$J$1000,6,FALSE),"")</f>
        <v>31.669499999999999</v>
      </c>
      <c r="M631" s="62"/>
    </row>
    <row r="632" spans="2:13" x14ac:dyDescent="0.3">
      <c r="B632" s="378" t="s">
        <v>1704</v>
      </c>
      <c r="C632" s="340">
        <v>45425</v>
      </c>
      <c r="D632" s="337" t="s">
        <v>872</v>
      </c>
      <c r="E632" s="235" t="s">
        <v>127</v>
      </c>
      <c r="F632" s="271" t="str">
        <f>IFERROR(VLOOKUP(E632,'Inventaire des produits'!$B$4:$K$1000,2,0),"")</f>
        <v>SERVIETTE DE TABLE SEVAN 1PLI</v>
      </c>
      <c r="G632" s="259">
        <v>360</v>
      </c>
      <c r="H632" s="85">
        <v>3.5169999999999999</v>
      </c>
      <c r="I632" s="95">
        <f t="shared" si="18"/>
        <v>1266.1199999999999</v>
      </c>
      <c r="J632" s="95">
        <f t="shared" si="19"/>
        <v>1519.3439999999998</v>
      </c>
      <c r="K632" s="93">
        <f>IFERROR(VLOOKUP(E632,'Inventaire des produits'!$B$4:$J$1000,5,FALSE),"")</f>
        <v>0</v>
      </c>
      <c r="L632" s="301">
        <f>IFERROR(VLOOKUP(E632,'Inventaire des produits'!$B$4:$J$1000,6,FALSE),"")</f>
        <v>2.9169999999999998</v>
      </c>
      <c r="M632" s="62">
        <v>7100</v>
      </c>
    </row>
    <row r="633" spans="2:13" x14ac:dyDescent="0.3">
      <c r="B633" s="378" t="s">
        <v>1704</v>
      </c>
      <c r="C633" s="341"/>
      <c r="D633" s="338"/>
      <c r="E633" s="235" t="s">
        <v>203</v>
      </c>
      <c r="F633" s="271" t="str">
        <f>IFERROR(VLOOKUP(E633,'Inventaire des produits'!$B$4:$K$1000,2,0),"")</f>
        <v>BARQUETTE ALUMINIUM 81200</v>
      </c>
      <c r="G633" s="260">
        <v>500</v>
      </c>
      <c r="H633" s="80">
        <v>0.93</v>
      </c>
      <c r="I633" s="95">
        <f t="shared" si="18"/>
        <v>465</v>
      </c>
      <c r="J633" s="95">
        <f t="shared" si="19"/>
        <v>558</v>
      </c>
      <c r="K633" s="93">
        <f>IFERROR(VLOOKUP(E633,'Inventaire des produits'!$B$4:$J$1000,5,FALSE),"")</f>
        <v>0</v>
      </c>
      <c r="L633" s="301">
        <f>IFERROR(VLOOKUP(E633,'Inventaire des produits'!$B$4:$J$1000,6,FALSE),"")</f>
        <v>1</v>
      </c>
      <c r="M633" s="62"/>
    </row>
    <row r="634" spans="2:13" x14ac:dyDescent="0.3">
      <c r="B634" s="378" t="s">
        <v>1704</v>
      </c>
      <c r="C634" s="341"/>
      <c r="D634" s="338"/>
      <c r="E634" s="235" t="s">
        <v>284</v>
      </c>
      <c r="F634" s="271" t="str">
        <f>IFERROR(VLOOKUP(E634,'Inventaire des produits'!$B$4:$K$1000,2,0),"")</f>
        <v>FILM ALIMENTAIRE 600G PET</v>
      </c>
      <c r="G634" s="260">
        <v>87</v>
      </c>
      <c r="H634" s="80">
        <v>20.03</v>
      </c>
      <c r="I634" s="95">
        <f t="shared" si="18"/>
        <v>1742.6100000000001</v>
      </c>
      <c r="J634" s="95">
        <f t="shared" si="19"/>
        <v>2091.1320000000001</v>
      </c>
      <c r="K634" s="93">
        <f>IFERROR(VLOOKUP(E634,'Inventaire des produits'!$B$4:$J$1000,5,FALSE),"")</f>
        <v>0</v>
      </c>
      <c r="L634" s="301">
        <f>IFERROR(VLOOKUP(E634,'Inventaire des produits'!$B$4:$J$1000,6,FALSE),"")</f>
        <v>16</v>
      </c>
      <c r="M634" s="62"/>
    </row>
    <row r="635" spans="2:13" x14ac:dyDescent="0.3">
      <c r="B635" s="378" t="s">
        <v>1704</v>
      </c>
      <c r="C635" s="341"/>
      <c r="D635" s="338"/>
      <c r="E635" s="235" t="s">
        <v>248</v>
      </c>
      <c r="F635" s="271" t="str">
        <f>IFERROR(VLOOKUP(E635,'Inventaire des produits'!$B$4:$K$1000,2,0),"")</f>
        <v>BARQUETTE SUSHI ST5 216*136*20+CVRCL</v>
      </c>
      <c r="G635" s="260">
        <v>200</v>
      </c>
      <c r="H635" s="80">
        <v>1.65</v>
      </c>
      <c r="I635" s="95">
        <f t="shared" si="18"/>
        <v>330</v>
      </c>
      <c r="J635" s="95">
        <f t="shared" si="19"/>
        <v>396</v>
      </c>
      <c r="K635" s="93">
        <f>IFERROR(VLOOKUP(E635,'Inventaire des produits'!$B$4:$J$1000,5,FALSE),"")</f>
        <v>0</v>
      </c>
      <c r="L635" s="301">
        <f>IFERROR(VLOOKUP(E635,'Inventaire des produits'!$B$4:$J$1000,6,FALSE),"")</f>
        <v>1.3166666667</v>
      </c>
      <c r="M635" s="62"/>
    </row>
    <row r="636" spans="2:13" x14ac:dyDescent="0.3">
      <c r="B636" s="378" t="s">
        <v>1704</v>
      </c>
      <c r="C636" s="341"/>
      <c r="D636" s="338"/>
      <c r="E636" s="235" t="s">
        <v>252</v>
      </c>
      <c r="F636" s="271" t="str">
        <f>IFERROR(VLOOKUP(E636,'Inventaire des produits'!$B$4:$K$1000,2,0),"")</f>
        <v>ESSUIE MAIN GKEM1KG</v>
      </c>
      <c r="G636" s="250">
        <v>40</v>
      </c>
      <c r="H636" s="80">
        <v>29</v>
      </c>
      <c r="I636" s="95">
        <f t="shared" si="18"/>
        <v>1160</v>
      </c>
      <c r="J636" s="95">
        <f t="shared" si="19"/>
        <v>1392</v>
      </c>
      <c r="K636" s="93">
        <f>IFERROR(VLOOKUP(E636,'Inventaire des produits'!$B$4:$J$1000,5,FALSE),"")</f>
        <v>0</v>
      </c>
      <c r="L636" s="301">
        <f>IFERROR(VLOOKUP(E636,'Inventaire des produits'!$B$4:$J$1000,6,FALSE),"")</f>
        <v>20.83</v>
      </c>
      <c r="M636" s="62"/>
    </row>
    <row r="637" spans="2:13" x14ac:dyDescent="0.3">
      <c r="B637" s="378" t="s">
        <v>1704</v>
      </c>
      <c r="C637" s="342"/>
      <c r="D637" s="339"/>
      <c r="E637" s="235" t="s">
        <v>286</v>
      </c>
      <c r="F637" s="271" t="str">
        <f>IFERROR(VLOOKUP(E637,'Inventaire des produits'!$B$4:$K$1000,2,0),"")</f>
        <v>ROULEAU ALUMINIUM 200</v>
      </c>
      <c r="G637" s="231">
        <v>13</v>
      </c>
      <c r="H637" s="87">
        <v>73.302999999999997</v>
      </c>
      <c r="I637" s="95">
        <f t="shared" si="18"/>
        <v>952.93899999999996</v>
      </c>
      <c r="J637" s="95">
        <f t="shared" si="19"/>
        <v>1143.5267999999999</v>
      </c>
      <c r="K637" s="93">
        <f>IFERROR(VLOOKUP(E637,'Inventaire des produits'!$B$4:$J$1000,5,FALSE),"")</f>
        <v>0</v>
      </c>
      <c r="L637" s="301">
        <f>IFERROR(VLOOKUP(E637,'Inventaire des produits'!$B$4:$J$1000,6,FALSE),"")</f>
        <v>60</v>
      </c>
      <c r="M637" s="62"/>
    </row>
    <row r="638" spans="2:13" x14ac:dyDescent="0.3">
      <c r="B638" s="378" t="s">
        <v>1704</v>
      </c>
      <c r="C638" s="55">
        <v>45425</v>
      </c>
      <c r="D638" s="54" t="s">
        <v>873</v>
      </c>
      <c r="E638" s="235" t="s">
        <v>802</v>
      </c>
      <c r="F638" s="271" t="str">
        <f>IFERROR(VLOOKUP(E638,'Inventaire des produits'!$B$4:$K$1000,2,0),"")</f>
        <v>BOITE PIZZA 29</v>
      </c>
      <c r="G638" s="259">
        <v>30</v>
      </c>
      <c r="H638" s="85">
        <v>58.333333000000003</v>
      </c>
      <c r="I638" s="95">
        <f t="shared" si="18"/>
        <v>1749.99999</v>
      </c>
      <c r="J638" s="95">
        <f t="shared" si="19"/>
        <v>2099.999988</v>
      </c>
      <c r="K638" s="93">
        <f>IFERROR(VLOOKUP(E638,'Inventaire des produits'!$B$4:$J$1000,5,FALSE),"")</f>
        <v>0</v>
      </c>
      <c r="L638" s="301">
        <f>IFERROR(VLOOKUP(E638,'Inventaire des produits'!$B$4:$J$1000,6,FALSE),"")</f>
        <v>40</v>
      </c>
      <c r="M638" s="62">
        <v>2100</v>
      </c>
    </row>
    <row r="639" spans="2:13" x14ac:dyDescent="0.3">
      <c r="B639" s="378" t="s">
        <v>1704</v>
      </c>
      <c r="C639" s="340">
        <v>45425</v>
      </c>
      <c r="D639" s="337" t="s">
        <v>874</v>
      </c>
      <c r="E639" s="235" t="s">
        <v>147</v>
      </c>
      <c r="F639" s="271" t="str">
        <f>IFERROR(VLOOKUP(E639,'Inventaire des produits'!$B$4:$K$1000,2,0),"")</f>
        <v>BOITE PIZZA 24</v>
      </c>
      <c r="G639" s="259">
        <v>500</v>
      </c>
      <c r="H639" s="85">
        <v>0.69899999999999995</v>
      </c>
      <c r="I639" s="95">
        <f t="shared" si="18"/>
        <v>349.5</v>
      </c>
      <c r="J639" s="95">
        <f t="shared" si="19"/>
        <v>419.4</v>
      </c>
      <c r="K639" s="93">
        <f>IFERROR(VLOOKUP(E639,'Inventaire des produits'!$B$4:$J$1000,5,FALSE),"")</f>
        <v>0</v>
      </c>
      <c r="L639" s="301">
        <f>IFERROR(VLOOKUP(E639,'Inventaire des produits'!$B$4:$J$1000,6,FALSE),"")</f>
        <v>0.75</v>
      </c>
      <c r="M639" s="62">
        <v>2280</v>
      </c>
    </row>
    <row r="640" spans="2:13" x14ac:dyDescent="0.3">
      <c r="B640" s="378" t="s">
        <v>1704</v>
      </c>
      <c r="C640" s="341"/>
      <c r="D640" s="338"/>
      <c r="E640" s="235" t="s">
        <v>802</v>
      </c>
      <c r="F640" s="271" t="str">
        <f>IFERROR(VLOOKUP(E640,'Inventaire des produits'!$B$4:$K$1000,2,0),"")</f>
        <v>BOITE PIZZA 29</v>
      </c>
      <c r="G640" s="260">
        <v>8</v>
      </c>
      <c r="H640" s="80">
        <v>54</v>
      </c>
      <c r="I640" s="95">
        <f t="shared" si="18"/>
        <v>432</v>
      </c>
      <c r="J640" s="95">
        <f t="shared" si="19"/>
        <v>518.4</v>
      </c>
      <c r="K640" s="93">
        <f>IFERROR(VLOOKUP(E640,'Inventaire des produits'!$B$4:$J$1000,5,FALSE),"")</f>
        <v>0</v>
      </c>
      <c r="L640" s="301">
        <f>IFERROR(VLOOKUP(E640,'Inventaire des produits'!$B$4:$J$1000,6,FALSE),"")</f>
        <v>40</v>
      </c>
      <c r="M640" s="62"/>
    </row>
    <row r="641" spans="2:13" x14ac:dyDescent="0.3">
      <c r="B641" s="378" t="s">
        <v>1704</v>
      </c>
      <c r="C641" s="341"/>
      <c r="D641" s="338"/>
      <c r="E641" s="235" t="s">
        <v>293</v>
      </c>
      <c r="F641" s="271" t="str">
        <f>IFERROR(VLOOKUP(E641,'Inventaire des produits'!$B$4:$K$1000,2,0),"")</f>
        <v>PAPIER ZIGZAG</v>
      </c>
      <c r="G641" s="260">
        <v>80</v>
      </c>
      <c r="H641" s="80">
        <v>10</v>
      </c>
      <c r="I641" s="95">
        <f t="shared" si="18"/>
        <v>800</v>
      </c>
      <c r="J641" s="95">
        <f t="shared" si="19"/>
        <v>960</v>
      </c>
      <c r="K641" s="93">
        <f>IFERROR(VLOOKUP(E641,'Inventaire des produits'!$B$4:$J$1000,5,FALSE),"")</f>
        <v>0</v>
      </c>
      <c r="L641" s="301">
        <f>IFERROR(VLOOKUP(E641,'Inventaire des produits'!$B$4:$J$1000,6,FALSE),"")</f>
        <v>9</v>
      </c>
      <c r="M641" s="62"/>
    </row>
    <row r="642" spans="2:13" x14ac:dyDescent="0.3">
      <c r="B642" s="378" t="s">
        <v>1704</v>
      </c>
      <c r="C642" s="342"/>
      <c r="D642" s="339"/>
      <c r="E642" s="235" t="s">
        <v>106</v>
      </c>
      <c r="F642" s="271" t="str">
        <f>IFERROR(VLOOKUP(E642,'Inventaire des produits'!$B$4:$K$1000,2,0),"")</f>
        <v>BARQUETTE ROND 500</v>
      </c>
      <c r="G642" s="260">
        <v>400</v>
      </c>
      <c r="H642" s="80">
        <v>0.79625000000000001</v>
      </c>
      <c r="I642" s="95">
        <f t="shared" si="18"/>
        <v>318.5</v>
      </c>
      <c r="J642" s="95">
        <f t="shared" si="19"/>
        <v>382.2</v>
      </c>
      <c r="K642" s="93">
        <f>IFERROR(VLOOKUP(E642,'Inventaire des produits'!$B$4:$J$1000,5,FALSE),"")</f>
        <v>0</v>
      </c>
      <c r="L642" s="301">
        <f>IFERROR(VLOOKUP(E642,'Inventaire des produits'!$B$4:$J$1000,6,FALSE),"")</f>
        <v>0.79</v>
      </c>
      <c r="M642" s="62"/>
    </row>
    <row r="643" spans="2:13" x14ac:dyDescent="0.3">
      <c r="B643" s="378" t="s">
        <v>1704</v>
      </c>
      <c r="C643" s="340">
        <v>45425</v>
      </c>
      <c r="D643" s="337" t="s">
        <v>878</v>
      </c>
      <c r="E643" s="235" t="s">
        <v>542</v>
      </c>
      <c r="F643" s="271" t="str">
        <f>IFERROR(VLOOKUP(E643,'Inventaire des produits'!$B$4:$K$1000,2,0),"")</f>
        <v>BARQUETTE ALUMINIUM 250</v>
      </c>
      <c r="G643" s="259">
        <v>1500</v>
      </c>
      <c r="H643" s="85">
        <v>0.37237799999999999</v>
      </c>
      <c r="I643" s="95">
        <f t="shared" si="18"/>
        <v>558.56700000000001</v>
      </c>
      <c r="J643" s="95">
        <f t="shared" si="19"/>
        <v>670.28039999999999</v>
      </c>
      <c r="K643" s="93">
        <f>IFERROR(VLOOKUP(E643,'Inventaire des produits'!$B$4:$J$1000,5,FALSE),"")</f>
        <v>0</v>
      </c>
      <c r="L643" s="301">
        <f>IFERROR(VLOOKUP(E643,'Inventaire des produits'!$B$4:$J$1000,6,FALSE),"")</f>
        <v>0.20338000000000001</v>
      </c>
      <c r="M643" s="62">
        <v>21082.23</v>
      </c>
    </row>
    <row r="644" spans="2:13" x14ac:dyDescent="0.3">
      <c r="B644" s="378" t="s">
        <v>1704</v>
      </c>
      <c r="C644" s="341"/>
      <c r="D644" s="338"/>
      <c r="E644" s="235" t="s">
        <v>737</v>
      </c>
      <c r="F644" s="271" t="str">
        <f>IFERROR(VLOOKUP(E644,'Inventaire des produits'!$B$4:$K$1000,2,0),"")</f>
        <v>BOUTEILLE PLASTIQUE TRANS 330ML AVEC BOUCHON</v>
      </c>
      <c r="G644" s="260">
        <v>340</v>
      </c>
      <c r="H644" s="80">
        <v>2</v>
      </c>
      <c r="I644" s="95">
        <f t="shared" si="18"/>
        <v>680</v>
      </c>
      <c r="J644" s="95">
        <f t="shared" si="19"/>
        <v>816</v>
      </c>
      <c r="K644" s="93">
        <f>IFERROR(VLOOKUP(E644,'Inventaire des produits'!$B$4:$J$1000,5,FALSE),"")</f>
        <v>0</v>
      </c>
      <c r="L644" s="301">
        <f>IFERROR(VLOOKUP(E644,'Inventaire des produits'!$B$4:$J$1000,6,FALSE),"")</f>
        <v>1.65</v>
      </c>
      <c r="M644" s="62"/>
    </row>
    <row r="645" spans="2:13" x14ac:dyDescent="0.3">
      <c r="B645" s="378" t="s">
        <v>1704</v>
      </c>
      <c r="C645" s="341"/>
      <c r="D645" s="338"/>
      <c r="E645" s="235" t="s">
        <v>210</v>
      </c>
      <c r="F645" s="271" t="str">
        <f>IFERROR(VLOOKUP(E645,'Inventaire des produits'!$B$4:$K$1000,2,0),"")</f>
        <v>POT DE SAUCE 2OZ NOIRE</v>
      </c>
      <c r="G645" s="260">
        <v>4900</v>
      </c>
      <c r="H645" s="80">
        <v>0.15833333333300001</v>
      </c>
      <c r="I645" s="95">
        <f t="shared" ref="I645:I708" si="20">IF(OR(G645="",H645=""),"",G645*H645)</f>
        <v>775.83333333170003</v>
      </c>
      <c r="J645" s="95">
        <f t="shared" ref="J645:J708" si="21">IF(OR(I645=""),"",I645*1.2)</f>
        <v>930.99999999804004</v>
      </c>
      <c r="K645" s="93">
        <f>IFERROR(VLOOKUP(E645,'Inventaire des produits'!$B$4:$J$1000,5,FALSE),"")</f>
        <v>0</v>
      </c>
      <c r="L645" s="301">
        <f>IFERROR(VLOOKUP(E645,'Inventaire des produits'!$B$4:$J$1000,6,FALSE),"")</f>
        <v>0.1512</v>
      </c>
      <c r="M645" s="62"/>
    </row>
    <row r="646" spans="2:13" x14ac:dyDescent="0.3">
      <c r="B646" s="378" t="s">
        <v>1704</v>
      </c>
      <c r="C646" s="341"/>
      <c r="D646" s="338"/>
      <c r="E646" s="235" t="s">
        <v>235</v>
      </c>
      <c r="F646" s="271" t="str">
        <f>IFERROR(VLOOKUP(E646,'Inventaire des produits'!$B$4:$K$1000,2,0),"")</f>
        <v>POT DE SAUCE 2OZ NOIRE</v>
      </c>
      <c r="G646" s="260">
        <v>50000</v>
      </c>
      <c r="H646" s="80">
        <v>0.15833333333300001</v>
      </c>
      <c r="I646" s="95">
        <f t="shared" si="20"/>
        <v>7916.6666666500005</v>
      </c>
      <c r="J646" s="95">
        <f t="shared" si="21"/>
        <v>9499.9999999800002</v>
      </c>
      <c r="K646" s="93">
        <f>IFERROR(VLOOKUP(E646,'Inventaire des produits'!$B$4:$J$1000,5,FALSE),"")</f>
        <v>0</v>
      </c>
      <c r="L646" s="301">
        <f>IFERROR(VLOOKUP(E646,'Inventaire des produits'!$B$4:$J$1000,6,FALSE),"")</f>
        <v>0.15609999999999999</v>
      </c>
      <c r="M646" s="62"/>
    </row>
    <row r="647" spans="2:13" x14ac:dyDescent="0.3">
      <c r="B647" s="378" t="s">
        <v>1704</v>
      </c>
      <c r="C647" s="341"/>
      <c r="D647" s="338"/>
      <c r="E647" s="235" t="s">
        <v>226</v>
      </c>
      <c r="F647" s="271" t="str">
        <f>IFERROR(VLOOKUP(E647,'Inventaire des produits'!$B$4:$K$1000,2,0),"")</f>
        <v>CUILLERE LUX</v>
      </c>
      <c r="G647" s="250">
        <v>13</v>
      </c>
      <c r="H647" s="80">
        <v>19.166666666000001</v>
      </c>
      <c r="I647" s="95">
        <f t="shared" si="20"/>
        <v>249.16666665800003</v>
      </c>
      <c r="J647" s="95">
        <f t="shared" si="21"/>
        <v>298.99999998960004</v>
      </c>
      <c r="K647" s="93">
        <f>IFERROR(VLOOKUP(E647,'Inventaire des produits'!$B$4:$J$1000,5,FALSE),"")</f>
        <v>0</v>
      </c>
      <c r="L647" s="301">
        <f>IFERROR(VLOOKUP(E647,'Inventaire des produits'!$B$4:$J$1000,6,FALSE),"")</f>
        <v>14.4</v>
      </c>
      <c r="M647" s="62"/>
    </row>
    <row r="648" spans="2:13" x14ac:dyDescent="0.3">
      <c r="B648" s="378" t="s">
        <v>1704</v>
      </c>
      <c r="C648" s="341"/>
      <c r="D648" s="338"/>
      <c r="E648" s="235" t="s">
        <v>180</v>
      </c>
      <c r="F648" s="271" t="str">
        <f>IFERROR(VLOOKUP(E648,'Inventaire des produits'!$B$4:$K$1000,2,0),"")</f>
        <v>ESSUIE MAIN PROF</v>
      </c>
      <c r="G648" s="231">
        <v>30</v>
      </c>
      <c r="H648" s="80">
        <v>28.333333332999999</v>
      </c>
      <c r="I648" s="95">
        <f t="shared" si="20"/>
        <v>849.99999998999999</v>
      </c>
      <c r="J648" s="95">
        <f t="shared" si="21"/>
        <v>1019.9999999879999</v>
      </c>
      <c r="K648" s="93">
        <f>IFERROR(VLOOKUP(E648,'Inventaire des produits'!$B$4:$J$1000,5,FALSE),"")</f>
        <v>0</v>
      </c>
      <c r="L648" s="301">
        <f>IFERROR(VLOOKUP(E648,'Inventaire des produits'!$B$4:$J$1000,6,FALSE),"")</f>
        <v>22.5</v>
      </c>
      <c r="M648" s="62"/>
    </row>
    <row r="649" spans="2:13" x14ac:dyDescent="0.3">
      <c r="B649" s="378" t="s">
        <v>1704</v>
      </c>
      <c r="C649" s="341"/>
      <c r="D649" s="338"/>
      <c r="E649" s="235" t="s">
        <v>222</v>
      </c>
      <c r="F649" s="271" t="str">
        <f>IFERROR(VLOOKUP(E649,'Inventaire des produits'!$B$4:$K$1000,2,0),"")</f>
        <v>FILM ALIMENTAIRE ELEGENCE</v>
      </c>
      <c r="G649" s="231">
        <v>76</v>
      </c>
      <c r="H649" s="80">
        <v>28.333333332999999</v>
      </c>
      <c r="I649" s="95">
        <f t="shared" si="20"/>
        <v>2153.333333308</v>
      </c>
      <c r="J649" s="95">
        <f t="shared" si="21"/>
        <v>2583.9999999695997</v>
      </c>
      <c r="K649" s="93">
        <f>IFERROR(VLOOKUP(E649,'Inventaire des produits'!$B$4:$J$1000,5,FALSE),"")</f>
        <v>0</v>
      </c>
      <c r="L649" s="301">
        <f>IFERROR(VLOOKUP(E649,'Inventaire des produits'!$B$4:$J$1000,6,FALSE),"")</f>
        <v>20</v>
      </c>
      <c r="M649" s="62"/>
    </row>
    <row r="650" spans="2:13" x14ac:dyDescent="0.3">
      <c r="B650" s="378" t="s">
        <v>1704</v>
      </c>
      <c r="C650" s="341"/>
      <c r="D650" s="338"/>
      <c r="E650" s="235" t="s">
        <v>614</v>
      </c>
      <c r="F650" s="271" t="str">
        <f>IFERROR(VLOOKUP(E650,'Inventaire des produits'!$B$4:$K$1000,2,0),"")</f>
        <v>FILM ALIMENTAIRE ORIGINAL 45*500</v>
      </c>
      <c r="G650" s="260">
        <v>13</v>
      </c>
      <c r="H650" s="80">
        <v>43.333333333299997</v>
      </c>
      <c r="I650" s="95">
        <f t="shared" si="20"/>
        <v>563.3333333329</v>
      </c>
      <c r="J650" s="95">
        <f t="shared" si="21"/>
        <v>675.99999999948</v>
      </c>
      <c r="K650" s="93">
        <f>IFERROR(VLOOKUP(E650,'Inventaire des produits'!$B$4:$J$1000,5,FALSE),"")</f>
        <v>0</v>
      </c>
      <c r="L650" s="301">
        <f>IFERROR(VLOOKUP(E650,'Inventaire des produits'!$B$4:$J$1000,6,FALSE),"")</f>
        <v>29.167000000000002</v>
      </c>
      <c r="M650" s="62"/>
    </row>
    <row r="651" spans="2:13" x14ac:dyDescent="0.3">
      <c r="B651" s="378" t="s">
        <v>1704</v>
      </c>
      <c r="C651" s="341"/>
      <c r="D651" s="338"/>
      <c r="E651" s="235" t="s">
        <v>224</v>
      </c>
      <c r="F651" s="271" t="str">
        <f>IFERROR(VLOOKUP(E651,'Inventaire des produits'!$B$4:$K$1000,2,0),"")</f>
        <v>FOURCHETTE LUX</v>
      </c>
      <c r="G651" s="260">
        <v>25</v>
      </c>
      <c r="H651" s="80">
        <v>19.164999999999999</v>
      </c>
      <c r="I651" s="95">
        <f t="shared" si="20"/>
        <v>479.125</v>
      </c>
      <c r="J651" s="95">
        <f t="shared" si="21"/>
        <v>574.94999999999993</v>
      </c>
      <c r="K651" s="93">
        <f>IFERROR(VLOOKUP(E651,'Inventaire des produits'!$B$4:$J$1000,5,FALSE),"")</f>
        <v>0</v>
      </c>
      <c r="L651" s="301">
        <f>IFERROR(VLOOKUP(E651,'Inventaire des produits'!$B$4:$J$1000,6,FALSE),"")</f>
        <v>14.382</v>
      </c>
      <c r="M651" s="62"/>
    </row>
    <row r="652" spans="2:13" x14ac:dyDescent="0.3">
      <c r="B652" s="378" t="s">
        <v>1704</v>
      </c>
      <c r="C652" s="341"/>
      <c r="D652" s="338"/>
      <c r="E652" s="235" t="s">
        <v>582</v>
      </c>
      <c r="F652" s="271" t="str">
        <f>IFERROR(VLOOKUP(E652,'Inventaire des produits'!$B$4:$K$1000,2,0),"")</f>
        <v>GANT VINYL EXTRA PREMIUM GLOVE LARGE</v>
      </c>
      <c r="G652" s="260">
        <v>49</v>
      </c>
      <c r="H652" s="80">
        <v>33.333333333299997</v>
      </c>
      <c r="I652" s="95">
        <f t="shared" si="20"/>
        <v>1633.3333333316998</v>
      </c>
      <c r="J652" s="95">
        <f t="shared" si="21"/>
        <v>1959.9999999980396</v>
      </c>
      <c r="K652" s="93">
        <f>IFERROR(VLOOKUP(E652,'Inventaire des produits'!$B$4:$J$1000,5,FALSE),"")</f>
        <v>0</v>
      </c>
      <c r="L652" s="301">
        <f>IFERROR(VLOOKUP(E652,'Inventaire des produits'!$B$4:$J$1000,6,FALSE),"")</f>
        <v>19.166666666699999</v>
      </c>
      <c r="M652" s="62"/>
    </row>
    <row r="653" spans="2:13" x14ac:dyDescent="0.3">
      <c r="B653" s="378" t="s">
        <v>1704</v>
      </c>
      <c r="C653" s="341"/>
      <c r="D653" s="338"/>
      <c r="E653" s="235" t="s">
        <v>209</v>
      </c>
      <c r="F653" s="271" t="str">
        <f>IFERROR(VLOOKUP(E653,'Inventaire des produits'!$B$4:$K$1000,2,0),"")</f>
        <v xml:space="preserve">GOBLET 12OZ EN PLAST TRANS SMART+CV </v>
      </c>
      <c r="G653" s="260">
        <v>60</v>
      </c>
      <c r="H653" s="80">
        <v>0.621</v>
      </c>
      <c r="I653" s="95">
        <f t="shared" si="20"/>
        <v>37.26</v>
      </c>
      <c r="J653" s="95">
        <f t="shared" si="21"/>
        <v>44.711999999999996</v>
      </c>
      <c r="K653" s="93">
        <f>IFERROR(VLOOKUP(E653,'Inventaire des produits'!$B$4:$J$1000,5,FALSE),"")</f>
        <v>0</v>
      </c>
      <c r="L653" s="301">
        <f>IFERROR(VLOOKUP(E653,'Inventaire des produits'!$B$4:$J$1000,6,FALSE),"")</f>
        <v>0.416875</v>
      </c>
      <c r="M653" s="62"/>
    </row>
    <row r="654" spans="2:13" x14ac:dyDescent="0.3">
      <c r="B654" s="378" t="s">
        <v>1704</v>
      </c>
      <c r="C654" s="341"/>
      <c r="D654" s="338"/>
      <c r="E654" s="235" t="s">
        <v>418</v>
      </c>
      <c r="F654" s="271" t="str">
        <f>IFERROR(VLOOKUP(E654,'Inventaire des produits'!$B$4:$K$1000,2,0),"")</f>
        <v>ROULEAU DE CAISSE THERMIQUE 70X80</v>
      </c>
      <c r="G654" s="260">
        <v>125</v>
      </c>
      <c r="H654" s="80">
        <v>10.333333333300001</v>
      </c>
      <c r="I654" s="95">
        <f t="shared" si="20"/>
        <v>1291.6666666625001</v>
      </c>
      <c r="J654" s="95">
        <f t="shared" si="21"/>
        <v>1549.9999999950001</v>
      </c>
      <c r="K654" s="93">
        <f>IFERROR(VLOOKUP(E654,'Inventaire des produits'!$B$4:$J$1000,5,FALSE),"")</f>
        <v>0</v>
      </c>
      <c r="L654" s="301">
        <f>IFERROR(VLOOKUP(E654,'Inventaire des produits'!$B$4:$J$1000,6,FALSE),"")</f>
        <v>8</v>
      </c>
      <c r="M654" s="62"/>
    </row>
    <row r="655" spans="2:13" x14ac:dyDescent="0.3">
      <c r="B655" s="378" t="s">
        <v>1704</v>
      </c>
      <c r="C655" s="341"/>
      <c r="D655" s="338"/>
      <c r="E655" s="235" t="s">
        <v>869</v>
      </c>
      <c r="F655" s="271" t="str">
        <f>IFERROR(VLOOKUP(E655,'Inventaire des produits'!$B$4:$K$1000,2,0),"")</f>
        <v>PAILLE ENVELOPPEE CODE 100 TRANS</v>
      </c>
      <c r="G655" s="260">
        <v>33</v>
      </c>
      <c r="H655" s="80">
        <v>6.65</v>
      </c>
      <c r="I655" s="95">
        <f t="shared" si="20"/>
        <v>219.45000000000002</v>
      </c>
      <c r="J655" s="95">
        <f t="shared" si="21"/>
        <v>263.34000000000003</v>
      </c>
      <c r="K655" s="93">
        <f>IFERROR(VLOOKUP(E655,'Inventaire des produits'!$B$4:$J$1000,5,FALSE),"")</f>
        <v>898</v>
      </c>
      <c r="L655" s="301">
        <f>IFERROR(VLOOKUP(E655,'Inventaire des produits'!$B$4:$J$1000,6,FALSE),"")</f>
        <v>3.9166666659999998</v>
      </c>
      <c r="M655" s="62"/>
    </row>
    <row r="656" spans="2:13" x14ac:dyDescent="0.3">
      <c r="B656" s="378" t="s">
        <v>1704</v>
      </c>
      <c r="C656" s="341"/>
      <c r="D656" s="338"/>
      <c r="E656" s="235" t="s">
        <v>69</v>
      </c>
      <c r="F656" s="271" t="str">
        <f>IFERROR(VLOOKUP(E656,'Inventaire des produits'!$B$4:$K$1000,2,0),"")</f>
        <v>COUTEAU ECOLUXE NOIR</v>
      </c>
      <c r="G656" s="260">
        <v>1</v>
      </c>
      <c r="H656" s="80">
        <v>19.166666666000001</v>
      </c>
      <c r="I656" s="95">
        <f t="shared" si="20"/>
        <v>19.166666666000001</v>
      </c>
      <c r="J656" s="95">
        <f t="shared" si="21"/>
        <v>22.9999999992</v>
      </c>
      <c r="K656" s="93">
        <f>IFERROR(VLOOKUP(E656,'Inventaire des produits'!$B$4:$J$1000,5,FALSE),"")</f>
        <v>0</v>
      </c>
      <c r="L656" s="301">
        <f>IFERROR(VLOOKUP(E656,'Inventaire des produits'!$B$4:$J$1000,6,FALSE),"")</f>
        <v>17.5</v>
      </c>
      <c r="M656" s="62"/>
    </row>
    <row r="657" spans="2:13" x14ac:dyDescent="0.3">
      <c r="B657" s="378" t="s">
        <v>1704</v>
      </c>
      <c r="C657" s="342"/>
      <c r="D657" s="339"/>
      <c r="E657" s="235" t="s">
        <v>286</v>
      </c>
      <c r="F657" s="271" t="str">
        <f>IFERROR(VLOOKUP(E657,'Inventaire des produits'!$B$4:$K$1000,2,0),"")</f>
        <v>ROULEAU ALUMINIUM 200</v>
      </c>
      <c r="G657" s="260">
        <v>2</v>
      </c>
      <c r="H657" s="80">
        <v>70.81</v>
      </c>
      <c r="I657" s="95">
        <f t="shared" si="20"/>
        <v>141.62</v>
      </c>
      <c r="J657" s="95">
        <f t="shared" si="21"/>
        <v>169.94399999999999</v>
      </c>
      <c r="K657" s="93">
        <f>IFERROR(VLOOKUP(E657,'Inventaire des produits'!$B$4:$J$1000,5,FALSE),"")</f>
        <v>0</v>
      </c>
      <c r="L657" s="301">
        <f>IFERROR(VLOOKUP(E657,'Inventaire des produits'!$B$4:$J$1000,6,FALSE),"")</f>
        <v>60</v>
      </c>
      <c r="M657" s="62"/>
    </row>
    <row r="658" spans="2:13" x14ac:dyDescent="0.3">
      <c r="B658" s="378" t="s">
        <v>1704</v>
      </c>
      <c r="C658" s="340">
        <v>45425</v>
      </c>
      <c r="D658" s="337" t="s">
        <v>879</v>
      </c>
      <c r="E658" s="235" t="s">
        <v>542</v>
      </c>
      <c r="F658" s="271" t="str">
        <f>IFERROR(VLOOKUP(E658,'Inventaire des produits'!$B$4:$K$1000,2,0),"")</f>
        <v>BARQUETTE ALUMINIUM 250</v>
      </c>
      <c r="G658" s="259">
        <v>1500</v>
      </c>
      <c r="H658" s="85">
        <v>0.37237799999999999</v>
      </c>
      <c r="I658" s="95">
        <f t="shared" si="20"/>
        <v>558.56700000000001</v>
      </c>
      <c r="J658" s="95">
        <f t="shared" si="21"/>
        <v>670.28039999999999</v>
      </c>
      <c r="K658" s="93">
        <f>IFERROR(VLOOKUP(E658,'Inventaire des produits'!$B$4:$J$1000,5,FALSE),"")</f>
        <v>0</v>
      </c>
      <c r="L658" s="301">
        <f>IFERROR(VLOOKUP(E658,'Inventaire des produits'!$B$4:$J$1000,6,FALSE),"")</f>
        <v>0.20338000000000001</v>
      </c>
      <c r="M658" s="62">
        <v>16540.25</v>
      </c>
    </row>
    <row r="659" spans="2:13" x14ac:dyDescent="0.3">
      <c r="B659" s="378" t="s">
        <v>1704</v>
      </c>
      <c r="C659" s="341"/>
      <c r="D659" s="338"/>
      <c r="E659" s="235" t="s">
        <v>737</v>
      </c>
      <c r="F659" s="271" t="str">
        <f>IFERROR(VLOOKUP(E659,'Inventaire des produits'!$B$4:$K$1000,2,0),"")</f>
        <v>BOUTEILLE PLASTIQUE TRANS 330ML AVEC BOUCHON</v>
      </c>
      <c r="G659" s="260">
        <v>340</v>
      </c>
      <c r="H659" s="80">
        <v>2</v>
      </c>
      <c r="I659" s="95">
        <f t="shared" si="20"/>
        <v>680</v>
      </c>
      <c r="J659" s="95">
        <f t="shared" si="21"/>
        <v>816</v>
      </c>
      <c r="K659" s="93">
        <f>IFERROR(VLOOKUP(E659,'Inventaire des produits'!$B$4:$J$1000,5,FALSE),"")</f>
        <v>0</v>
      </c>
      <c r="L659" s="301">
        <f>IFERROR(VLOOKUP(E659,'Inventaire des produits'!$B$4:$J$1000,6,FALSE),"")</f>
        <v>1.65</v>
      </c>
      <c r="M659" s="62"/>
    </row>
    <row r="660" spans="2:13" x14ac:dyDescent="0.3">
      <c r="B660" s="378" t="s">
        <v>1704</v>
      </c>
      <c r="C660" s="341"/>
      <c r="D660" s="338"/>
      <c r="E660" s="235" t="s">
        <v>210</v>
      </c>
      <c r="F660" s="271" t="str">
        <f>IFERROR(VLOOKUP(E660,'Inventaire des produits'!$B$4:$K$1000,2,0),"")</f>
        <v>POT DE SAUCE 2OZ NOIRE</v>
      </c>
      <c r="G660" s="260">
        <v>4900</v>
      </c>
      <c r="H660" s="80">
        <v>0.15833333333300001</v>
      </c>
      <c r="I660" s="95">
        <f t="shared" si="20"/>
        <v>775.83333333170003</v>
      </c>
      <c r="J660" s="95">
        <f t="shared" si="21"/>
        <v>930.99999999804004</v>
      </c>
      <c r="K660" s="93">
        <f>IFERROR(VLOOKUP(E660,'Inventaire des produits'!$B$4:$J$1000,5,FALSE),"")</f>
        <v>0</v>
      </c>
      <c r="L660" s="301">
        <f>IFERROR(VLOOKUP(E660,'Inventaire des produits'!$B$4:$J$1000,6,FALSE),"")</f>
        <v>0.1512</v>
      </c>
      <c r="M660" s="62"/>
    </row>
    <row r="661" spans="2:13" x14ac:dyDescent="0.3">
      <c r="B661" s="378" t="s">
        <v>1704</v>
      </c>
      <c r="C661" s="341"/>
      <c r="D661" s="338"/>
      <c r="E661" s="235" t="s">
        <v>235</v>
      </c>
      <c r="F661" s="271" t="str">
        <f>IFERROR(VLOOKUP(E661,'Inventaire des produits'!$B$4:$K$1000,2,0),"")</f>
        <v>POT DE SAUCE 2OZ NOIRE</v>
      </c>
      <c r="G661" s="260">
        <v>16500</v>
      </c>
      <c r="H661" s="80">
        <v>0.15833333333300001</v>
      </c>
      <c r="I661" s="95">
        <f t="shared" si="20"/>
        <v>2612.4999999945003</v>
      </c>
      <c r="J661" s="95">
        <f t="shared" si="21"/>
        <v>3134.9999999934003</v>
      </c>
      <c r="K661" s="93">
        <f>IFERROR(VLOOKUP(E661,'Inventaire des produits'!$B$4:$J$1000,5,FALSE),"")</f>
        <v>0</v>
      </c>
      <c r="L661" s="301">
        <f>IFERROR(VLOOKUP(E661,'Inventaire des produits'!$B$4:$J$1000,6,FALSE),"")</f>
        <v>0.15609999999999999</v>
      </c>
      <c r="M661" s="62"/>
    </row>
    <row r="662" spans="2:13" x14ac:dyDescent="0.3">
      <c r="B662" s="378" t="s">
        <v>1704</v>
      </c>
      <c r="C662" s="341"/>
      <c r="D662" s="338"/>
      <c r="E662" s="235" t="s">
        <v>226</v>
      </c>
      <c r="F662" s="271" t="str">
        <f>IFERROR(VLOOKUP(E662,'Inventaire des produits'!$B$4:$K$1000,2,0),"")</f>
        <v>CUILLERE LUX</v>
      </c>
      <c r="G662" s="250">
        <v>13</v>
      </c>
      <c r="H662" s="80">
        <v>19.166666666000001</v>
      </c>
      <c r="I662" s="95">
        <f t="shared" si="20"/>
        <v>249.16666665800003</v>
      </c>
      <c r="J662" s="95">
        <f t="shared" si="21"/>
        <v>298.99999998960004</v>
      </c>
      <c r="K662" s="93">
        <f>IFERROR(VLOOKUP(E662,'Inventaire des produits'!$B$4:$J$1000,5,FALSE),"")</f>
        <v>0</v>
      </c>
      <c r="L662" s="301">
        <f>IFERROR(VLOOKUP(E662,'Inventaire des produits'!$B$4:$J$1000,6,FALSE),"")</f>
        <v>14.4</v>
      </c>
      <c r="M662" s="62"/>
    </row>
    <row r="663" spans="2:13" x14ac:dyDescent="0.3">
      <c r="B663" s="378" t="s">
        <v>1704</v>
      </c>
      <c r="C663" s="341"/>
      <c r="D663" s="338"/>
      <c r="E663" s="235" t="s">
        <v>180</v>
      </c>
      <c r="F663" s="271" t="str">
        <f>IFERROR(VLOOKUP(E663,'Inventaire des produits'!$B$4:$K$1000,2,0),"")</f>
        <v>ESSUIE MAIN PROF</v>
      </c>
      <c r="G663" s="231">
        <v>35</v>
      </c>
      <c r="H663" s="80">
        <v>28.333333332999999</v>
      </c>
      <c r="I663" s="95">
        <f t="shared" si="20"/>
        <v>991.66666665499997</v>
      </c>
      <c r="J663" s="95">
        <f t="shared" si="21"/>
        <v>1189.9999999859999</v>
      </c>
      <c r="K663" s="93">
        <f>IFERROR(VLOOKUP(E663,'Inventaire des produits'!$B$4:$J$1000,5,FALSE),"")</f>
        <v>0</v>
      </c>
      <c r="L663" s="301">
        <f>IFERROR(VLOOKUP(E663,'Inventaire des produits'!$B$4:$J$1000,6,FALSE),"")</f>
        <v>22.5</v>
      </c>
      <c r="M663" s="62"/>
    </row>
    <row r="664" spans="2:13" x14ac:dyDescent="0.3">
      <c r="B664" s="378" t="s">
        <v>1704</v>
      </c>
      <c r="C664" s="341"/>
      <c r="D664" s="338"/>
      <c r="E664" s="235" t="s">
        <v>222</v>
      </c>
      <c r="F664" s="271" t="str">
        <f>IFERROR(VLOOKUP(E664,'Inventaire des produits'!$B$4:$K$1000,2,0),"")</f>
        <v>FILM ALIMENTAIRE ELEGENCE</v>
      </c>
      <c r="G664" s="231">
        <v>50</v>
      </c>
      <c r="H664" s="80">
        <v>28.333333332999999</v>
      </c>
      <c r="I664" s="95">
        <f t="shared" si="20"/>
        <v>1416.66666665</v>
      </c>
      <c r="J664" s="95">
        <f t="shared" si="21"/>
        <v>1699.99999998</v>
      </c>
      <c r="K664" s="93">
        <f>IFERROR(VLOOKUP(E664,'Inventaire des produits'!$B$4:$J$1000,5,FALSE),"")</f>
        <v>0</v>
      </c>
      <c r="L664" s="301">
        <f>IFERROR(VLOOKUP(E664,'Inventaire des produits'!$B$4:$J$1000,6,FALSE),"")</f>
        <v>20</v>
      </c>
      <c r="M664" s="62"/>
    </row>
    <row r="665" spans="2:13" x14ac:dyDescent="0.3">
      <c r="B665" s="378" t="s">
        <v>1704</v>
      </c>
      <c r="C665" s="341"/>
      <c r="D665" s="338"/>
      <c r="E665" s="235" t="s">
        <v>614</v>
      </c>
      <c r="F665" s="271" t="str">
        <f>IFERROR(VLOOKUP(E665,'Inventaire des produits'!$B$4:$K$1000,2,0),"")</f>
        <v>FILM ALIMENTAIRE ORIGINAL 45*500</v>
      </c>
      <c r="G665" s="260">
        <v>13</v>
      </c>
      <c r="H665" s="80">
        <v>43.333333333299997</v>
      </c>
      <c r="I665" s="95">
        <f t="shared" si="20"/>
        <v>563.3333333329</v>
      </c>
      <c r="J665" s="95">
        <f t="shared" si="21"/>
        <v>675.99999999948</v>
      </c>
      <c r="K665" s="93">
        <f>IFERROR(VLOOKUP(E665,'Inventaire des produits'!$B$4:$J$1000,5,FALSE),"")</f>
        <v>0</v>
      </c>
      <c r="L665" s="301">
        <f>IFERROR(VLOOKUP(E665,'Inventaire des produits'!$B$4:$J$1000,6,FALSE),"")</f>
        <v>29.167000000000002</v>
      </c>
      <c r="M665" s="62"/>
    </row>
    <row r="666" spans="2:13" x14ac:dyDescent="0.3">
      <c r="B666" s="378" t="s">
        <v>1704</v>
      </c>
      <c r="C666" s="341"/>
      <c r="D666" s="338"/>
      <c r="E666" s="235" t="s">
        <v>224</v>
      </c>
      <c r="F666" s="271" t="str">
        <f>IFERROR(VLOOKUP(E666,'Inventaire des produits'!$B$4:$K$1000,2,0),"")</f>
        <v>FOURCHETTE LUX</v>
      </c>
      <c r="G666" s="260">
        <v>25</v>
      </c>
      <c r="H666" s="80">
        <v>19.164999999999999</v>
      </c>
      <c r="I666" s="95">
        <f t="shared" si="20"/>
        <v>479.125</v>
      </c>
      <c r="J666" s="95">
        <f t="shared" si="21"/>
        <v>574.94999999999993</v>
      </c>
      <c r="K666" s="93">
        <f>IFERROR(VLOOKUP(E666,'Inventaire des produits'!$B$4:$J$1000,5,FALSE),"")</f>
        <v>0</v>
      </c>
      <c r="L666" s="301">
        <f>IFERROR(VLOOKUP(E666,'Inventaire des produits'!$B$4:$J$1000,6,FALSE),"")</f>
        <v>14.382</v>
      </c>
      <c r="M666" s="62"/>
    </row>
    <row r="667" spans="2:13" x14ac:dyDescent="0.3">
      <c r="B667" s="378" t="s">
        <v>1704</v>
      </c>
      <c r="C667" s="341"/>
      <c r="D667" s="338"/>
      <c r="E667" s="235" t="s">
        <v>582</v>
      </c>
      <c r="F667" s="271" t="str">
        <f>IFERROR(VLOOKUP(E667,'Inventaire des produits'!$B$4:$K$1000,2,0),"")</f>
        <v>GANT VINYL EXTRA PREMIUM GLOVE LARGE</v>
      </c>
      <c r="G667" s="260">
        <v>49</v>
      </c>
      <c r="H667" s="80">
        <v>33.333333333299997</v>
      </c>
      <c r="I667" s="95">
        <f t="shared" si="20"/>
        <v>1633.3333333316998</v>
      </c>
      <c r="J667" s="95">
        <f t="shared" si="21"/>
        <v>1959.9999999980396</v>
      </c>
      <c r="K667" s="93">
        <f>IFERROR(VLOOKUP(E667,'Inventaire des produits'!$B$4:$J$1000,5,FALSE),"")</f>
        <v>0</v>
      </c>
      <c r="L667" s="301">
        <f>IFERROR(VLOOKUP(E667,'Inventaire des produits'!$B$4:$J$1000,6,FALSE),"")</f>
        <v>19.166666666699999</v>
      </c>
      <c r="M667" s="62"/>
    </row>
    <row r="668" spans="2:13" x14ac:dyDescent="0.3">
      <c r="B668" s="378" t="s">
        <v>1704</v>
      </c>
      <c r="C668" s="341"/>
      <c r="D668" s="338"/>
      <c r="E668" s="235" t="s">
        <v>209</v>
      </c>
      <c r="F668" s="271" t="str">
        <f>IFERROR(VLOOKUP(E668,'Inventaire des produits'!$B$4:$K$1000,2,0),"")</f>
        <v xml:space="preserve">GOBLET 12OZ EN PLAST TRANS SMART+CV </v>
      </c>
      <c r="G668" s="260">
        <v>60</v>
      </c>
      <c r="H668" s="80">
        <v>0.621</v>
      </c>
      <c r="I668" s="95">
        <f t="shared" si="20"/>
        <v>37.26</v>
      </c>
      <c r="J668" s="95">
        <f t="shared" si="21"/>
        <v>44.711999999999996</v>
      </c>
      <c r="K668" s="93">
        <f>IFERROR(VLOOKUP(E668,'Inventaire des produits'!$B$4:$J$1000,5,FALSE),"")</f>
        <v>0</v>
      </c>
      <c r="L668" s="301">
        <f>IFERROR(VLOOKUP(E668,'Inventaire des produits'!$B$4:$J$1000,6,FALSE),"")</f>
        <v>0.416875</v>
      </c>
      <c r="M668" s="62"/>
    </row>
    <row r="669" spans="2:13" x14ac:dyDescent="0.3">
      <c r="B669" s="378" t="s">
        <v>1704</v>
      </c>
      <c r="C669" s="341"/>
      <c r="D669" s="338"/>
      <c r="E669" s="235" t="s">
        <v>418</v>
      </c>
      <c r="F669" s="271" t="str">
        <f>IFERROR(VLOOKUP(E669,'Inventaire des produits'!$B$4:$K$1000,2,0),"")</f>
        <v>ROULEAU DE CAISSE THERMIQUE 70X80</v>
      </c>
      <c r="G669" s="260">
        <v>125</v>
      </c>
      <c r="H669" s="80">
        <v>10.333333333300001</v>
      </c>
      <c r="I669" s="95">
        <f t="shared" si="20"/>
        <v>1291.6666666625001</v>
      </c>
      <c r="J669" s="95">
        <f t="shared" si="21"/>
        <v>1549.9999999950001</v>
      </c>
      <c r="K669" s="93">
        <f>IFERROR(VLOOKUP(E669,'Inventaire des produits'!$B$4:$J$1000,5,FALSE),"")</f>
        <v>0</v>
      </c>
      <c r="L669" s="301">
        <f>IFERROR(VLOOKUP(E669,'Inventaire des produits'!$B$4:$J$1000,6,FALSE),"")</f>
        <v>8</v>
      </c>
      <c r="M669" s="62"/>
    </row>
    <row r="670" spans="2:13" x14ac:dyDescent="0.3">
      <c r="B670" s="378" t="s">
        <v>1704</v>
      </c>
      <c r="C670" s="341"/>
      <c r="D670" s="338"/>
      <c r="E670" s="235" t="s">
        <v>869</v>
      </c>
      <c r="F670" s="271" t="str">
        <f>IFERROR(VLOOKUP(E670,'Inventaire des produits'!$B$4:$K$1000,2,0),"")</f>
        <v>PAILLE ENVELOPPEE CODE 100 TRANS</v>
      </c>
      <c r="G670" s="260">
        <v>33</v>
      </c>
      <c r="H670" s="80">
        <v>6.65</v>
      </c>
      <c r="I670" s="95">
        <f t="shared" si="20"/>
        <v>219.45000000000002</v>
      </c>
      <c r="J670" s="95">
        <f t="shared" si="21"/>
        <v>263.34000000000003</v>
      </c>
      <c r="K670" s="93">
        <f>IFERROR(VLOOKUP(E670,'Inventaire des produits'!$B$4:$J$1000,5,FALSE),"")</f>
        <v>898</v>
      </c>
      <c r="L670" s="301">
        <f>IFERROR(VLOOKUP(E670,'Inventaire des produits'!$B$4:$J$1000,6,FALSE),"")</f>
        <v>3.9166666659999998</v>
      </c>
      <c r="M670" s="62"/>
    </row>
    <row r="671" spans="2:13" x14ac:dyDescent="0.3">
      <c r="B671" s="378" t="s">
        <v>1704</v>
      </c>
      <c r="C671" s="341"/>
      <c r="D671" s="338"/>
      <c r="E671" s="235" t="s">
        <v>69</v>
      </c>
      <c r="F671" s="271" t="str">
        <f>IFERROR(VLOOKUP(E671,'Inventaire des produits'!$B$4:$K$1000,2,0),"")</f>
        <v>COUTEAU ECOLUXE NOIR</v>
      </c>
      <c r="G671" s="260">
        <v>1</v>
      </c>
      <c r="H671" s="80">
        <v>19.166666666000001</v>
      </c>
      <c r="I671" s="95">
        <f t="shared" si="20"/>
        <v>19.166666666000001</v>
      </c>
      <c r="J671" s="95">
        <f t="shared" si="21"/>
        <v>22.9999999992</v>
      </c>
      <c r="K671" s="93">
        <f>IFERROR(VLOOKUP(E671,'Inventaire des produits'!$B$4:$J$1000,5,FALSE),"")</f>
        <v>0</v>
      </c>
      <c r="L671" s="301">
        <f>IFERROR(VLOOKUP(E671,'Inventaire des produits'!$B$4:$J$1000,6,FALSE),"")</f>
        <v>17.5</v>
      </c>
      <c r="M671" s="62"/>
    </row>
    <row r="672" spans="2:13" x14ac:dyDescent="0.3">
      <c r="B672" s="378" t="s">
        <v>1704</v>
      </c>
      <c r="C672" s="342"/>
      <c r="D672" s="339"/>
      <c r="E672" s="235" t="s">
        <v>286</v>
      </c>
      <c r="F672" s="271" t="str">
        <f>IFERROR(VLOOKUP(E672,'Inventaire des produits'!$B$4:$K$1000,2,0),"")</f>
        <v>ROULEAU ALUMINIUM 200</v>
      </c>
      <c r="G672" s="260">
        <v>1</v>
      </c>
      <c r="H672" s="80">
        <v>72.27</v>
      </c>
      <c r="I672" s="95">
        <f t="shared" si="20"/>
        <v>72.27</v>
      </c>
      <c r="J672" s="95">
        <f t="shared" si="21"/>
        <v>86.72399999999999</v>
      </c>
      <c r="K672" s="93">
        <f>IFERROR(VLOOKUP(E672,'Inventaire des produits'!$B$4:$J$1000,5,FALSE),"")</f>
        <v>0</v>
      </c>
      <c r="L672" s="301">
        <f>IFERROR(VLOOKUP(E672,'Inventaire des produits'!$B$4:$J$1000,6,FALSE),"")</f>
        <v>60</v>
      </c>
      <c r="M672" s="62"/>
    </row>
    <row r="673" spans="2:13" x14ac:dyDescent="0.3">
      <c r="B673" s="378" t="s">
        <v>1704</v>
      </c>
      <c r="C673" s="340">
        <v>45425</v>
      </c>
      <c r="D673" s="337" t="s">
        <v>880</v>
      </c>
      <c r="E673" s="235" t="s">
        <v>542</v>
      </c>
      <c r="F673" s="271" t="str">
        <f>IFERROR(VLOOKUP(E673,'Inventaire des produits'!$B$4:$K$1000,2,0),"")</f>
        <v>BARQUETTE ALUMINIUM 250</v>
      </c>
      <c r="G673" s="259">
        <v>1850</v>
      </c>
      <c r="H673" s="85">
        <v>0.37</v>
      </c>
      <c r="I673" s="95">
        <f t="shared" si="20"/>
        <v>684.5</v>
      </c>
      <c r="J673" s="95">
        <f t="shared" si="21"/>
        <v>821.4</v>
      </c>
      <c r="K673" s="93">
        <f>IFERROR(VLOOKUP(E673,'Inventaire des produits'!$B$4:$J$1000,5,FALSE),"")</f>
        <v>0</v>
      </c>
      <c r="L673" s="301">
        <f>IFERROR(VLOOKUP(E673,'Inventaire des produits'!$B$4:$J$1000,6,FALSE),"")</f>
        <v>0.20338000000000001</v>
      </c>
      <c r="M673" s="62">
        <v>20377.52</v>
      </c>
    </row>
    <row r="674" spans="2:13" x14ac:dyDescent="0.3">
      <c r="B674" s="378" t="s">
        <v>1704</v>
      </c>
      <c r="C674" s="341"/>
      <c r="D674" s="338"/>
      <c r="E674" s="235" t="s">
        <v>737</v>
      </c>
      <c r="F674" s="271" t="str">
        <f>IFERROR(VLOOKUP(E674,'Inventaire des produits'!$B$4:$K$1000,2,0),"")</f>
        <v>BOUTEILLE PLASTIQUE TRANS 330ML AVEC BOUCHON</v>
      </c>
      <c r="G674" s="260">
        <v>340</v>
      </c>
      <c r="H674" s="80">
        <v>2</v>
      </c>
      <c r="I674" s="95">
        <f t="shared" si="20"/>
        <v>680</v>
      </c>
      <c r="J674" s="95">
        <f t="shared" si="21"/>
        <v>816</v>
      </c>
      <c r="K674" s="93">
        <f>IFERROR(VLOOKUP(E674,'Inventaire des produits'!$B$4:$J$1000,5,FALSE),"")</f>
        <v>0</v>
      </c>
      <c r="L674" s="301">
        <f>IFERROR(VLOOKUP(E674,'Inventaire des produits'!$B$4:$J$1000,6,FALSE),"")</f>
        <v>1.65</v>
      </c>
      <c r="M674" s="62"/>
    </row>
    <row r="675" spans="2:13" x14ac:dyDescent="0.3">
      <c r="B675" s="378" t="s">
        <v>1704</v>
      </c>
      <c r="C675" s="341"/>
      <c r="D675" s="338"/>
      <c r="E675" s="235" t="s">
        <v>210</v>
      </c>
      <c r="F675" s="271" t="str">
        <f>IFERROR(VLOOKUP(E675,'Inventaire des produits'!$B$4:$K$1000,2,0),"")</f>
        <v>POT DE SAUCE 2OZ NOIRE</v>
      </c>
      <c r="G675" s="260">
        <v>4900</v>
      </c>
      <c r="H675" s="80">
        <v>0.15781300000000001</v>
      </c>
      <c r="I675" s="95">
        <f t="shared" si="20"/>
        <v>773.28370000000007</v>
      </c>
      <c r="J675" s="95">
        <f t="shared" si="21"/>
        <v>927.94044000000008</v>
      </c>
      <c r="K675" s="93">
        <f>IFERROR(VLOOKUP(E675,'Inventaire des produits'!$B$4:$J$1000,5,FALSE),"")</f>
        <v>0</v>
      </c>
      <c r="L675" s="301">
        <f>IFERROR(VLOOKUP(E675,'Inventaire des produits'!$B$4:$J$1000,6,FALSE),"")</f>
        <v>0.1512</v>
      </c>
      <c r="M675" s="62"/>
    </row>
    <row r="676" spans="2:13" x14ac:dyDescent="0.3">
      <c r="B676" s="378" t="s">
        <v>1704</v>
      </c>
      <c r="C676" s="341"/>
      <c r="D676" s="338"/>
      <c r="E676" s="235" t="s">
        <v>235</v>
      </c>
      <c r="F676" s="271" t="str">
        <f>IFERROR(VLOOKUP(E676,'Inventaire des produits'!$B$4:$K$1000,2,0),"")</f>
        <v>POT DE SAUCE 2OZ NOIRE</v>
      </c>
      <c r="G676" s="260">
        <v>50000</v>
      </c>
      <c r="H676" s="80">
        <v>0.15789</v>
      </c>
      <c r="I676" s="95">
        <f t="shared" si="20"/>
        <v>7894.5</v>
      </c>
      <c r="J676" s="95">
        <f t="shared" si="21"/>
        <v>9473.4</v>
      </c>
      <c r="K676" s="93">
        <f>IFERROR(VLOOKUP(E676,'Inventaire des produits'!$B$4:$J$1000,5,FALSE),"")</f>
        <v>0</v>
      </c>
      <c r="L676" s="301">
        <f>IFERROR(VLOOKUP(E676,'Inventaire des produits'!$B$4:$J$1000,6,FALSE),"")</f>
        <v>0.15609999999999999</v>
      </c>
      <c r="M676" s="62"/>
    </row>
    <row r="677" spans="2:13" x14ac:dyDescent="0.3">
      <c r="B677" s="378" t="s">
        <v>1704</v>
      </c>
      <c r="C677" s="341"/>
      <c r="D677" s="338"/>
      <c r="E677" s="235" t="s">
        <v>226</v>
      </c>
      <c r="F677" s="271" t="str">
        <f>IFERROR(VLOOKUP(E677,'Inventaire des produits'!$B$4:$K$1000,2,0),"")</f>
        <v>CUILLERE LUX</v>
      </c>
      <c r="G677" s="250">
        <v>17</v>
      </c>
      <c r="H677" s="80">
        <v>19.166666666000001</v>
      </c>
      <c r="I677" s="95">
        <f t="shared" si="20"/>
        <v>325.83333332200004</v>
      </c>
      <c r="J677" s="95">
        <f t="shared" si="21"/>
        <v>390.99999998640004</v>
      </c>
      <c r="K677" s="93">
        <f>IFERROR(VLOOKUP(E677,'Inventaire des produits'!$B$4:$J$1000,5,FALSE),"")</f>
        <v>0</v>
      </c>
      <c r="L677" s="301">
        <f>IFERROR(VLOOKUP(E677,'Inventaire des produits'!$B$4:$J$1000,6,FALSE),"")</f>
        <v>14.4</v>
      </c>
      <c r="M677" s="62"/>
    </row>
    <row r="678" spans="2:13" x14ac:dyDescent="0.3">
      <c r="B678" s="378" t="s">
        <v>1704</v>
      </c>
      <c r="C678" s="341"/>
      <c r="D678" s="338"/>
      <c r="E678" s="235" t="s">
        <v>180</v>
      </c>
      <c r="F678" s="271" t="str">
        <f>IFERROR(VLOOKUP(E678,'Inventaire des produits'!$B$4:$K$1000,2,0),"")</f>
        <v>ESSUIE MAIN PROF</v>
      </c>
      <c r="G678" s="231">
        <v>30</v>
      </c>
      <c r="H678" s="80">
        <v>28.333333332999999</v>
      </c>
      <c r="I678" s="95">
        <f t="shared" si="20"/>
        <v>849.99999998999999</v>
      </c>
      <c r="J678" s="95">
        <f t="shared" si="21"/>
        <v>1019.9999999879999</v>
      </c>
      <c r="K678" s="93">
        <f>IFERROR(VLOOKUP(E678,'Inventaire des produits'!$B$4:$J$1000,5,FALSE),"")</f>
        <v>0</v>
      </c>
      <c r="L678" s="301">
        <f>IFERROR(VLOOKUP(E678,'Inventaire des produits'!$B$4:$J$1000,6,FALSE),"")</f>
        <v>22.5</v>
      </c>
      <c r="M678" s="62"/>
    </row>
    <row r="679" spans="2:13" x14ac:dyDescent="0.3">
      <c r="B679" s="378" t="s">
        <v>1704</v>
      </c>
      <c r="C679" s="341"/>
      <c r="D679" s="338"/>
      <c r="E679" s="235" t="s">
        <v>222</v>
      </c>
      <c r="F679" s="271" t="str">
        <f>IFERROR(VLOOKUP(E679,'Inventaire des produits'!$B$4:$K$1000,2,0),"")</f>
        <v>FILM ALIMENTAIRE ELEGENCE</v>
      </c>
      <c r="G679" s="231">
        <v>50</v>
      </c>
      <c r="H679" s="80">
        <v>28.333333332999999</v>
      </c>
      <c r="I679" s="95">
        <f t="shared" si="20"/>
        <v>1416.66666665</v>
      </c>
      <c r="J679" s="95">
        <f t="shared" si="21"/>
        <v>1699.99999998</v>
      </c>
      <c r="K679" s="93">
        <f>IFERROR(VLOOKUP(E679,'Inventaire des produits'!$B$4:$J$1000,5,FALSE),"")</f>
        <v>0</v>
      </c>
      <c r="L679" s="301">
        <f>IFERROR(VLOOKUP(E679,'Inventaire des produits'!$B$4:$J$1000,6,FALSE),"")</f>
        <v>20</v>
      </c>
      <c r="M679" s="62"/>
    </row>
    <row r="680" spans="2:13" x14ac:dyDescent="0.3">
      <c r="B680" s="378" t="s">
        <v>1704</v>
      </c>
      <c r="C680" s="341"/>
      <c r="D680" s="338"/>
      <c r="E680" s="235" t="s">
        <v>614</v>
      </c>
      <c r="F680" s="271" t="str">
        <f>IFERROR(VLOOKUP(E680,'Inventaire des produits'!$B$4:$K$1000,2,0),"")</f>
        <v>FILM ALIMENTAIRE ORIGINAL 45*500</v>
      </c>
      <c r="G680" s="260">
        <v>13</v>
      </c>
      <c r="H680" s="80">
        <v>43.333333333299997</v>
      </c>
      <c r="I680" s="95">
        <f t="shared" si="20"/>
        <v>563.3333333329</v>
      </c>
      <c r="J680" s="95">
        <f t="shared" si="21"/>
        <v>675.99999999948</v>
      </c>
      <c r="K680" s="93">
        <f>IFERROR(VLOOKUP(E680,'Inventaire des produits'!$B$4:$J$1000,5,FALSE),"")</f>
        <v>0</v>
      </c>
      <c r="L680" s="301">
        <f>IFERROR(VLOOKUP(E680,'Inventaire des produits'!$B$4:$J$1000,6,FALSE),"")</f>
        <v>29.167000000000002</v>
      </c>
      <c r="M680" s="62"/>
    </row>
    <row r="681" spans="2:13" x14ac:dyDescent="0.3">
      <c r="B681" s="378" t="s">
        <v>1704</v>
      </c>
      <c r="C681" s="341"/>
      <c r="D681" s="338"/>
      <c r="E681" s="235" t="s">
        <v>224</v>
      </c>
      <c r="F681" s="271" t="str">
        <f>IFERROR(VLOOKUP(E681,'Inventaire des produits'!$B$4:$K$1000,2,0),"")</f>
        <v>FOURCHETTE LUX</v>
      </c>
      <c r="G681" s="260">
        <v>20</v>
      </c>
      <c r="H681" s="80">
        <v>19.16</v>
      </c>
      <c r="I681" s="95">
        <f t="shared" si="20"/>
        <v>383.2</v>
      </c>
      <c r="J681" s="95">
        <f t="shared" si="21"/>
        <v>459.84</v>
      </c>
      <c r="K681" s="93">
        <f>IFERROR(VLOOKUP(E681,'Inventaire des produits'!$B$4:$J$1000,5,FALSE),"")</f>
        <v>0</v>
      </c>
      <c r="L681" s="301">
        <f>IFERROR(VLOOKUP(E681,'Inventaire des produits'!$B$4:$J$1000,6,FALSE),"")</f>
        <v>14.382</v>
      </c>
      <c r="M681" s="62"/>
    </row>
    <row r="682" spans="2:13" x14ac:dyDescent="0.3">
      <c r="B682" s="378" t="s">
        <v>1704</v>
      </c>
      <c r="C682" s="341"/>
      <c r="D682" s="338"/>
      <c r="E682" s="235" t="s">
        <v>582</v>
      </c>
      <c r="F682" s="271" t="str">
        <f>IFERROR(VLOOKUP(E682,'Inventaire des produits'!$B$4:$K$1000,2,0),"")</f>
        <v>GANT VINYL EXTRA PREMIUM GLOVE LARGE</v>
      </c>
      <c r="G682" s="260">
        <v>49</v>
      </c>
      <c r="H682" s="80">
        <v>33.333333333299997</v>
      </c>
      <c r="I682" s="95">
        <f t="shared" si="20"/>
        <v>1633.3333333316998</v>
      </c>
      <c r="J682" s="95">
        <f t="shared" si="21"/>
        <v>1959.9999999980396</v>
      </c>
      <c r="K682" s="93">
        <f>IFERROR(VLOOKUP(E682,'Inventaire des produits'!$B$4:$J$1000,5,FALSE),"")</f>
        <v>0</v>
      </c>
      <c r="L682" s="301">
        <f>IFERROR(VLOOKUP(E682,'Inventaire des produits'!$B$4:$J$1000,6,FALSE),"")</f>
        <v>19.166666666699999</v>
      </c>
      <c r="M682" s="62"/>
    </row>
    <row r="683" spans="2:13" x14ac:dyDescent="0.3">
      <c r="B683" s="378" t="s">
        <v>1704</v>
      </c>
      <c r="C683" s="341"/>
      <c r="D683" s="338"/>
      <c r="E683" s="235" t="s">
        <v>209</v>
      </c>
      <c r="F683" s="271" t="str">
        <f>IFERROR(VLOOKUP(E683,'Inventaire des produits'!$B$4:$K$1000,2,0),"")</f>
        <v xml:space="preserve">GOBLET 12OZ EN PLAST TRANS SMART+CV </v>
      </c>
      <c r="G683" s="260">
        <v>80</v>
      </c>
      <c r="H683" s="80">
        <v>0.621</v>
      </c>
      <c r="I683" s="95">
        <f t="shared" si="20"/>
        <v>49.68</v>
      </c>
      <c r="J683" s="95">
        <f t="shared" si="21"/>
        <v>59.616</v>
      </c>
      <c r="K683" s="93">
        <f>IFERROR(VLOOKUP(E683,'Inventaire des produits'!$B$4:$J$1000,5,FALSE),"")</f>
        <v>0</v>
      </c>
      <c r="L683" s="301">
        <f>IFERROR(VLOOKUP(E683,'Inventaire des produits'!$B$4:$J$1000,6,FALSE),"")</f>
        <v>0.416875</v>
      </c>
      <c r="M683" s="62"/>
    </row>
    <row r="684" spans="2:13" x14ac:dyDescent="0.3">
      <c r="B684" s="378" t="s">
        <v>1704</v>
      </c>
      <c r="C684" s="341"/>
      <c r="D684" s="338"/>
      <c r="E684" s="235" t="s">
        <v>418</v>
      </c>
      <c r="F684" s="271" t="str">
        <f>IFERROR(VLOOKUP(E684,'Inventaire des produits'!$B$4:$K$1000,2,0),"")</f>
        <v>ROULEAU DE CAISSE THERMIQUE 70X80</v>
      </c>
      <c r="G684" s="260">
        <v>125</v>
      </c>
      <c r="H684" s="80">
        <v>10.333333333300001</v>
      </c>
      <c r="I684" s="95">
        <f t="shared" si="20"/>
        <v>1291.6666666625001</v>
      </c>
      <c r="J684" s="95">
        <f t="shared" si="21"/>
        <v>1549.9999999950001</v>
      </c>
      <c r="K684" s="93">
        <f>IFERROR(VLOOKUP(E684,'Inventaire des produits'!$B$4:$J$1000,5,FALSE),"")</f>
        <v>0</v>
      </c>
      <c r="L684" s="301">
        <f>IFERROR(VLOOKUP(E684,'Inventaire des produits'!$B$4:$J$1000,6,FALSE),"")</f>
        <v>8</v>
      </c>
      <c r="M684" s="62"/>
    </row>
    <row r="685" spans="2:13" x14ac:dyDescent="0.3">
      <c r="B685" s="378" t="s">
        <v>1704</v>
      </c>
      <c r="C685" s="341"/>
      <c r="D685" s="338"/>
      <c r="E685" s="235" t="s">
        <v>869</v>
      </c>
      <c r="F685" s="271" t="str">
        <f>IFERROR(VLOOKUP(E685,'Inventaire des produits'!$B$4:$K$1000,2,0),"")</f>
        <v>PAILLE ENVELOPPEE CODE 100 TRANS</v>
      </c>
      <c r="G685" s="260">
        <v>34</v>
      </c>
      <c r="H685" s="80">
        <v>6.65</v>
      </c>
      <c r="I685" s="95">
        <f t="shared" si="20"/>
        <v>226.10000000000002</v>
      </c>
      <c r="J685" s="95">
        <f t="shared" si="21"/>
        <v>271.32</v>
      </c>
      <c r="K685" s="93">
        <f>IFERROR(VLOOKUP(E685,'Inventaire des produits'!$B$4:$J$1000,5,FALSE),"")</f>
        <v>898</v>
      </c>
      <c r="L685" s="301">
        <f>IFERROR(VLOOKUP(E685,'Inventaire des produits'!$B$4:$J$1000,6,FALSE),"")</f>
        <v>3.9166666659999998</v>
      </c>
      <c r="M685" s="62"/>
    </row>
    <row r="686" spans="2:13" x14ac:dyDescent="0.3">
      <c r="B686" s="378" t="s">
        <v>1704</v>
      </c>
      <c r="C686" s="341"/>
      <c r="D686" s="338"/>
      <c r="E686" s="235" t="s">
        <v>69</v>
      </c>
      <c r="F686" s="271" t="str">
        <f>IFERROR(VLOOKUP(E686,'Inventaire des produits'!$B$4:$K$1000,2,0),"")</f>
        <v>COUTEAU ECOLUXE NOIR</v>
      </c>
      <c r="G686" s="260">
        <v>1</v>
      </c>
      <c r="H686" s="80">
        <v>19.166666666000001</v>
      </c>
      <c r="I686" s="95">
        <f t="shared" si="20"/>
        <v>19.166666666000001</v>
      </c>
      <c r="J686" s="95">
        <f t="shared" si="21"/>
        <v>22.9999999992</v>
      </c>
      <c r="K686" s="93">
        <f>IFERROR(VLOOKUP(E686,'Inventaire des produits'!$B$4:$J$1000,5,FALSE),"")</f>
        <v>0</v>
      </c>
      <c r="L686" s="301">
        <f>IFERROR(VLOOKUP(E686,'Inventaire des produits'!$B$4:$J$1000,6,FALSE),"")</f>
        <v>17.5</v>
      </c>
      <c r="M686" s="62"/>
    </row>
    <row r="687" spans="2:13" x14ac:dyDescent="0.3">
      <c r="B687" s="378" t="s">
        <v>1704</v>
      </c>
      <c r="C687" s="342"/>
      <c r="D687" s="339"/>
      <c r="E687" s="235" t="s">
        <v>286</v>
      </c>
      <c r="F687" s="271" t="str">
        <f>IFERROR(VLOOKUP(E687,'Inventaire des produits'!$B$4:$K$1000,2,0),"")</f>
        <v>ROULEAU ALUMINIUM 200</v>
      </c>
      <c r="G687" s="260">
        <v>2</v>
      </c>
      <c r="H687" s="80">
        <v>70.81</v>
      </c>
      <c r="I687" s="95">
        <f t="shared" si="20"/>
        <v>141.62</v>
      </c>
      <c r="J687" s="95">
        <f t="shared" si="21"/>
        <v>169.94399999999999</v>
      </c>
      <c r="K687" s="93">
        <f>IFERROR(VLOOKUP(E687,'Inventaire des produits'!$B$4:$J$1000,5,FALSE),"")</f>
        <v>0</v>
      </c>
      <c r="L687" s="301">
        <f>IFERROR(VLOOKUP(E687,'Inventaire des produits'!$B$4:$J$1000,6,FALSE),"")</f>
        <v>60</v>
      </c>
      <c r="M687" s="62"/>
    </row>
    <row r="688" spans="2:13" x14ac:dyDescent="0.3">
      <c r="B688" s="378" t="s">
        <v>1704</v>
      </c>
      <c r="C688" s="340">
        <v>45425</v>
      </c>
      <c r="D688" s="337" t="s">
        <v>881</v>
      </c>
      <c r="E688" s="235" t="s">
        <v>180</v>
      </c>
      <c r="F688" s="271" t="str">
        <f>IFERROR(VLOOKUP(E688,'Inventaire des produits'!$B$4:$K$1000,2,0),"")</f>
        <v>ESSUIE MAIN PROF</v>
      </c>
      <c r="G688" s="50">
        <v>11</v>
      </c>
      <c r="H688" s="85">
        <v>28.449000000000002</v>
      </c>
      <c r="I688" s="95">
        <f t="shared" si="20"/>
        <v>312.93900000000002</v>
      </c>
      <c r="J688" s="95">
        <f t="shared" si="21"/>
        <v>375.52680000000004</v>
      </c>
      <c r="K688" s="93">
        <f>IFERROR(VLOOKUP(E688,'Inventaire des produits'!$B$4:$J$1000,5,FALSE),"")</f>
        <v>0</v>
      </c>
      <c r="L688" s="301">
        <f>IFERROR(VLOOKUP(E688,'Inventaire des produits'!$B$4:$J$1000,6,FALSE),"")</f>
        <v>22.5</v>
      </c>
      <c r="M688" s="62">
        <v>2620</v>
      </c>
    </row>
    <row r="689" spans="2:13" x14ac:dyDescent="0.3">
      <c r="B689" s="378" t="s">
        <v>1704</v>
      </c>
      <c r="C689" s="341"/>
      <c r="D689" s="338"/>
      <c r="E689" s="235" t="s">
        <v>222</v>
      </c>
      <c r="F689" s="271" t="str">
        <f>IFERROR(VLOOKUP(E689,'Inventaire des produits'!$B$4:$K$1000,2,0),"")</f>
        <v>FILM ALIMENTAIRE ELEGENCE</v>
      </c>
      <c r="G689" s="64">
        <v>54</v>
      </c>
      <c r="H689" s="80">
        <v>28.442499999999999</v>
      </c>
      <c r="I689" s="95">
        <f t="shared" si="20"/>
        <v>1535.895</v>
      </c>
      <c r="J689" s="95">
        <f t="shared" si="21"/>
        <v>1843.0739999999998</v>
      </c>
      <c r="K689" s="93">
        <f>IFERROR(VLOOKUP(E689,'Inventaire des produits'!$B$4:$J$1000,5,FALSE),"")</f>
        <v>0</v>
      </c>
      <c r="L689" s="301">
        <f>IFERROR(VLOOKUP(E689,'Inventaire des produits'!$B$4:$J$1000,6,FALSE),"")</f>
        <v>20</v>
      </c>
      <c r="M689" s="62"/>
    </row>
    <row r="690" spans="2:13" x14ac:dyDescent="0.3">
      <c r="B690" s="378" t="s">
        <v>1704</v>
      </c>
      <c r="C690" s="342"/>
      <c r="D690" s="339"/>
      <c r="E690" s="235" t="s">
        <v>582</v>
      </c>
      <c r="F690" s="271" t="str">
        <f>IFERROR(VLOOKUP(E690,'Inventaire des produits'!$B$4:$K$1000,2,0),"")</f>
        <v>GANT VINYL EXTRA PREMIUM GLOVE LARGE</v>
      </c>
      <c r="G690" s="260">
        <v>10</v>
      </c>
      <c r="H690" s="80">
        <v>33.450000000000003</v>
      </c>
      <c r="I690" s="95">
        <f t="shared" si="20"/>
        <v>334.5</v>
      </c>
      <c r="J690" s="95">
        <f t="shared" si="21"/>
        <v>401.4</v>
      </c>
      <c r="K690" s="93">
        <f>IFERROR(VLOOKUP(E690,'Inventaire des produits'!$B$4:$J$1000,5,FALSE),"")</f>
        <v>0</v>
      </c>
      <c r="L690" s="301">
        <f>IFERROR(VLOOKUP(E690,'Inventaire des produits'!$B$4:$J$1000,6,FALSE),"")</f>
        <v>19.166666666699999</v>
      </c>
      <c r="M690" s="62"/>
    </row>
    <row r="691" spans="2:13" x14ac:dyDescent="0.3">
      <c r="B691" s="378" t="s">
        <v>1704</v>
      </c>
      <c r="C691" s="340">
        <v>45426</v>
      </c>
      <c r="D691" s="337" t="s">
        <v>882</v>
      </c>
      <c r="E691" s="235" t="s">
        <v>501</v>
      </c>
      <c r="F691" s="271" t="str">
        <f>IFERROR(VLOOKUP(E691,'Inventaire des produits'!$B$4:$K$1000,2,0),"")</f>
        <v>BARQUETTE ALUMINIUM 83420</v>
      </c>
      <c r="G691" s="50">
        <v>5000</v>
      </c>
      <c r="H691" s="85">
        <v>0.35</v>
      </c>
      <c r="I691" s="95">
        <f t="shared" si="20"/>
        <v>1750</v>
      </c>
      <c r="J691" s="95">
        <f t="shared" si="21"/>
        <v>2100</v>
      </c>
      <c r="K691" s="93">
        <f>IFERROR(VLOOKUP(E691,'Inventaire des produits'!$B$4:$J$1000,5,FALSE),"")</f>
        <v>10000</v>
      </c>
      <c r="L691" s="301">
        <f>IFERROR(VLOOKUP(E691,'Inventaire des produits'!$B$4:$J$1000,6,FALSE),"")</f>
        <v>0.31666666669999999</v>
      </c>
      <c r="M691" s="62">
        <v>4820</v>
      </c>
    </row>
    <row r="692" spans="2:13" x14ac:dyDescent="0.3">
      <c r="B692" s="378" t="s">
        <v>1704</v>
      </c>
      <c r="C692" s="342"/>
      <c r="D692" s="339"/>
      <c r="E692" s="235" t="s">
        <v>500</v>
      </c>
      <c r="F692" s="271" t="str">
        <f>IFERROR(VLOOKUP(E692,'Inventaire des produits'!$B$4:$K$1000,2,0),"")</f>
        <v>BARQUETTE ALUMINIUM 83670</v>
      </c>
      <c r="G692" s="64">
        <v>5000</v>
      </c>
      <c r="H692" s="80">
        <v>0.56666666600000004</v>
      </c>
      <c r="I692" s="95">
        <f t="shared" si="20"/>
        <v>2833.3333300000004</v>
      </c>
      <c r="J692" s="95">
        <f t="shared" si="21"/>
        <v>3399.9999960000005</v>
      </c>
      <c r="K692" s="93">
        <f>IFERROR(VLOOKUP(E692,'Inventaire des produits'!$B$4:$J$1000,5,FALSE),"")</f>
        <v>0</v>
      </c>
      <c r="L692" s="301">
        <f>IFERROR(VLOOKUP(E692,'Inventaire des produits'!$B$4:$J$1000,6,FALSE),"")</f>
        <v>0.55000000000000004</v>
      </c>
      <c r="M692" s="62"/>
    </row>
    <row r="693" spans="2:13" x14ac:dyDescent="0.3">
      <c r="B693" s="378" t="s">
        <v>1704</v>
      </c>
      <c r="C693" s="340">
        <v>45426</v>
      </c>
      <c r="D693" s="351" t="s">
        <v>883</v>
      </c>
      <c r="E693" s="235" t="s">
        <v>127</v>
      </c>
      <c r="F693" s="271" t="str">
        <f>IFERROR(VLOOKUP(E693,'Inventaire des produits'!$B$4:$K$1000,2,0),"")</f>
        <v>SERVIETTE DE TABLE SEVAN 1PLI</v>
      </c>
      <c r="G693" s="50">
        <v>400</v>
      </c>
      <c r="H693" s="85">
        <v>3.17</v>
      </c>
      <c r="I693" s="95">
        <f t="shared" si="20"/>
        <v>1268</v>
      </c>
      <c r="J693" s="95">
        <f t="shared" si="21"/>
        <v>1521.6</v>
      </c>
      <c r="K693" s="93">
        <f>IFERROR(VLOOKUP(E693,'Inventaire des produits'!$B$4:$J$1000,5,FALSE),"")</f>
        <v>0</v>
      </c>
      <c r="L693" s="301">
        <f>IFERROR(VLOOKUP(E693,'Inventaire des produits'!$B$4:$J$1000,6,FALSE),"")</f>
        <v>2.9169999999999998</v>
      </c>
      <c r="M693" s="62">
        <v>4914.8599999999997</v>
      </c>
    </row>
    <row r="694" spans="2:13" x14ac:dyDescent="0.3">
      <c r="B694" s="378" t="s">
        <v>1704</v>
      </c>
      <c r="C694" s="338"/>
      <c r="D694" s="352"/>
      <c r="E694" s="235" t="s">
        <v>158</v>
      </c>
      <c r="F694" s="271" t="str">
        <f>IFERROR(VLOOKUP(E694,'Inventaire des produits'!$B$4:$K$1000,2,0),"")</f>
        <v>CUILLERE PETIT</v>
      </c>
      <c r="G694" s="64">
        <v>28034</v>
      </c>
      <c r="H694" s="80">
        <v>0.08</v>
      </c>
      <c r="I694" s="95">
        <f t="shared" si="20"/>
        <v>2242.7200000000003</v>
      </c>
      <c r="J694" s="95">
        <f t="shared" si="21"/>
        <v>2691.2640000000001</v>
      </c>
      <c r="K694" s="93">
        <f>IFERROR(VLOOKUP(E694,'Inventaire des produits'!$B$4:$J$1000,5,FALSE),"")</f>
        <v>0</v>
      </c>
      <c r="L694" s="301">
        <f>IFERROR(VLOOKUP(E694,'Inventaire des produits'!$B$4:$J$1000,6,FALSE),"")</f>
        <v>5.8329499999999999E-2</v>
      </c>
      <c r="M694" s="62"/>
    </row>
    <row r="695" spans="2:13" x14ac:dyDescent="0.3">
      <c r="B695" s="378" t="s">
        <v>1704</v>
      </c>
      <c r="C695" s="339"/>
      <c r="D695" s="353"/>
      <c r="E695" s="235" t="s">
        <v>178</v>
      </c>
      <c r="F695" s="271" t="str">
        <f>IFERROR(VLOOKUP(E695,'Inventaire des produits'!$B$4:$K$1000,2,0),"")</f>
        <v>BOL KRAFT 26OZ ET CVL</v>
      </c>
      <c r="G695" s="260">
        <v>300</v>
      </c>
      <c r="H695" s="80">
        <v>1.95</v>
      </c>
      <c r="I695" s="95">
        <f t="shared" si="20"/>
        <v>585</v>
      </c>
      <c r="J695" s="95">
        <f t="shared" si="21"/>
        <v>702</v>
      </c>
      <c r="K695" s="93">
        <f>IFERROR(VLOOKUP(E695,'Inventaire des produits'!$B$4:$J$1000,5,FALSE),"")</f>
        <v>0</v>
      </c>
      <c r="L695" s="301">
        <f>IFERROR(VLOOKUP(E695,'Inventaire des produits'!$B$4:$J$1000,6,FALSE),"")</f>
        <v>1.8333330000000001</v>
      </c>
      <c r="M695" s="62"/>
    </row>
    <row r="696" spans="2:13" x14ac:dyDescent="0.3">
      <c r="B696" s="378" t="s">
        <v>1704</v>
      </c>
      <c r="C696" s="340">
        <v>45427</v>
      </c>
      <c r="D696" s="337" t="s">
        <v>884</v>
      </c>
      <c r="E696" s="235" t="s">
        <v>190</v>
      </c>
      <c r="F696" s="271" t="str">
        <f>IFERROR(VLOOKUP(E696,'Inventaire des produits'!$B$4:$K$1000,2,0),"")</f>
        <v>LUNCH BOX KRAFT BONNE APETIT 19*11*7,5 CARTON 200</v>
      </c>
      <c r="G696" s="50">
        <v>5</v>
      </c>
      <c r="H696" s="85">
        <v>265</v>
      </c>
      <c r="I696" s="95">
        <f t="shared" si="20"/>
        <v>1325</v>
      </c>
      <c r="J696" s="95">
        <f t="shared" si="21"/>
        <v>1590</v>
      </c>
      <c r="K696" s="93">
        <f>IFERROR(VLOOKUP(E696,'Inventaire des produits'!$B$4:$J$1000,5,FALSE),"")</f>
        <v>0</v>
      </c>
      <c r="L696" s="301">
        <f>IFERROR(VLOOKUP(E696,'Inventaire des produits'!$B$4:$J$1000,6,FALSE),"")</f>
        <v>253.33333333339999</v>
      </c>
      <c r="M696" s="62">
        <v>4428</v>
      </c>
    </row>
    <row r="697" spans="2:13" x14ac:dyDescent="0.3">
      <c r="B697" s="378" t="s">
        <v>1704</v>
      </c>
      <c r="C697" s="341"/>
      <c r="D697" s="338"/>
      <c r="E697" s="235" t="s">
        <v>180</v>
      </c>
      <c r="F697" s="271" t="str">
        <f>IFERROR(VLOOKUP(E697,'Inventaire des produits'!$B$4:$K$1000,2,0),"")</f>
        <v>ESSUIE MAIN PROF</v>
      </c>
      <c r="G697" s="64">
        <v>25</v>
      </c>
      <c r="H697" s="80">
        <v>25</v>
      </c>
      <c r="I697" s="95">
        <f t="shared" si="20"/>
        <v>625</v>
      </c>
      <c r="J697" s="95">
        <f t="shared" si="21"/>
        <v>750</v>
      </c>
      <c r="K697" s="93">
        <f>IFERROR(VLOOKUP(E697,'Inventaire des produits'!$B$4:$J$1000,5,FALSE),"")</f>
        <v>0</v>
      </c>
      <c r="L697" s="301">
        <f>IFERROR(VLOOKUP(E697,'Inventaire des produits'!$B$4:$J$1000,6,FALSE),"")</f>
        <v>22.5</v>
      </c>
      <c r="M697" s="62"/>
    </row>
    <row r="698" spans="2:13" x14ac:dyDescent="0.3">
      <c r="B698" s="378" t="s">
        <v>1704</v>
      </c>
      <c r="C698" s="342"/>
      <c r="D698" s="339"/>
      <c r="E698" s="235" t="s">
        <v>217</v>
      </c>
      <c r="F698" s="271" t="str">
        <f>IFERROR(VLOOKUP(E698,'Inventaire des produits'!$B$4:$K$1000,2,0),"")</f>
        <v>BARQUETTE ALUMINIUM 802</v>
      </c>
      <c r="G698" s="64">
        <v>3000</v>
      </c>
      <c r="H698" s="80">
        <v>0.57999999999999996</v>
      </c>
      <c r="I698" s="95">
        <f t="shared" si="20"/>
        <v>1739.9999999999998</v>
      </c>
      <c r="J698" s="95">
        <f t="shared" si="21"/>
        <v>2087.9999999999995</v>
      </c>
      <c r="K698" s="93">
        <f>IFERROR(VLOOKUP(E698,'Inventaire des produits'!$B$4:$J$1000,5,FALSE),"")</f>
        <v>0</v>
      </c>
      <c r="L698" s="301">
        <f>IFERROR(VLOOKUP(E698,'Inventaire des produits'!$B$4:$J$1000,6,FALSE),"")</f>
        <v>0.55417000000000005</v>
      </c>
      <c r="M698" s="62"/>
    </row>
    <row r="699" spans="2:13" x14ac:dyDescent="0.3">
      <c r="B699" s="378" t="s">
        <v>1704</v>
      </c>
      <c r="C699" s="340">
        <v>45427</v>
      </c>
      <c r="D699" s="337" t="s">
        <v>885</v>
      </c>
      <c r="E699" s="235" t="s">
        <v>210</v>
      </c>
      <c r="F699" s="271" t="str">
        <f>IFERROR(VLOOKUP(E699,'Inventaire des produits'!$B$4:$K$1000,2,0),"")</f>
        <v>POT DE SAUCE 2OZ NOIRE</v>
      </c>
      <c r="G699" s="50">
        <v>16000</v>
      </c>
      <c r="H699" s="85">
        <v>0.15833333329999999</v>
      </c>
      <c r="I699" s="95">
        <f t="shared" si="20"/>
        <v>2533.3333327999999</v>
      </c>
      <c r="J699" s="95">
        <f t="shared" si="21"/>
        <v>3039.9999993599999</v>
      </c>
      <c r="K699" s="93">
        <f>IFERROR(VLOOKUP(E699,'Inventaire des produits'!$B$4:$J$1000,5,FALSE),"")</f>
        <v>0</v>
      </c>
      <c r="L699" s="301">
        <f>IFERROR(VLOOKUP(E699,'Inventaire des produits'!$B$4:$J$1000,6,FALSE),"")</f>
        <v>0.1512</v>
      </c>
      <c r="M699" s="62">
        <v>18725</v>
      </c>
    </row>
    <row r="700" spans="2:13" x14ac:dyDescent="0.3">
      <c r="B700" s="378" t="s">
        <v>1704</v>
      </c>
      <c r="C700" s="341"/>
      <c r="D700" s="338"/>
      <c r="E700" s="235" t="s">
        <v>681</v>
      </c>
      <c r="F700" s="271" t="str">
        <f>IFERROR(VLOOKUP(E700,'Inventaire des produits'!$B$4:$K$1000,2,0),"")</f>
        <v>BARQUETTE TRAITEUR 500CC MICRON-ONDABLE TRANS</v>
      </c>
      <c r="G700" s="64">
        <v>1500</v>
      </c>
      <c r="H700" s="80">
        <v>1.5416666666666701</v>
      </c>
      <c r="I700" s="95">
        <f t="shared" si="20"/>
        <v>2312.500000000005</v>
      </c>
      <c r="J700" s="95">
        <f t="shared" si="21"/>
        <v>2775.0000000000059</v>
      </c>
      <c r="K700" s="93">
        <f>IFERROR(VLOOKUP(E700,'Inventaire des produits'!$B$4:$J$1000,5,FALSE),"")</f>
        <v>300</v>
      </c>
      <c r="L700" s="301">
        <f>IFERROR(VLOOKUP(E700,'Inventaire des produits'!$B$4:$J$1000,6,FALSE),"")</f>
        <v>1.0833333332999999</v>
      </c>
      <c r="M700" s="62"/>
    </row>
    <row r="701" spans="2:13" x14ac:dyDescent="0.3">
      <c r="B701" s="378" t="s">
        <v>1704</v>
      </c>
      <c r="C701" s="341"/>
      <c r="D701" s="338"/>
      <c r="E701" s="235" t="s">
        <v>837</v>
      </c>
      <c r="F701" s="271" t="str">
        <f>IFERROR(VLOOKUP(E701,'Inventaire des produits'!$B$4:$K$1000,2,0),"")</f>
        <v>ESSUIE MAIN 1KG LISSE</v>
      </c>
      <c r="G701" s="260">
        <v>24</v>
      </c>
      <c r="H701" s="80">
        <v>25</v>
      </c>
      <c r="I701" s="95">
        <f t="shared" si="20"/>
        <v>600</v>
      </c>
      <c r="J701" s="95">
        <f t="shared" si="21"/>
        <v>720</v>
      </c>
      <c r="K701" s="93">
        <f>IFERROR(VLOOKUP(E701,'Inventaire des produits'!$B$4:$J$1000,5,FALSE),"")</f>
        <v>7</v>
      </c>
      <c r="L701" s="301">
        <f>IFERROR(VLOOKUP(E701,'Inventaire des produits'!$B$4:$J$1000,6,FALSE),"")</f>
        <v>21.25</v>
      </c>
      <c r="M701" s="62"/>
    </row>
    <row r="702" spans="2:13" x14ac:dyDescent="0.3">
      <c r="B702" s="378" t="s">
        <v>1704</v>
      </c>
      <c r="C702" s="341"/>
      <c r="D702" s="338"/>
      <c r="E702" s="235" t="s">
        <v>286</v>
      </c>
      <c r="F702" s="271" t="str">
        <f>IFERROR(VLOOKUP(E702,'Inventaire des produits'!$B$4:$K$1000,2,0),"")</f>
        <v>ROULEAU ALUMINIUM 200</v>
      </c>
      <c r="G702" s="260">
        <v>14</v>
      </c>
      <c r="H702" s="80">
        <v>58.333333330000002</v>
      </c>
      <c r="I702" s="95">
        <f t="shared" si="20"/>
        <v>816.66666662</v>
      </c>
      <c r="J702" s="95">
        <f t="shared" si="21"/>
        <v>979.99999994399991</v>
      </c>
      <c r="K702" s="93">
        <f>IFERROR(VLOOKUP(E702,'Inventaire des produits'!$B$4:$J$1000,5,FALSE),"")</f>
        <v>0</v>
      </c>
      <c r="L702" s="301">
        <f>IFERROR(VLOOKUP(E702,'Inventaire des produits'!$B$4:$J$1000,6,FALSE),"")</f>
        <v>60</v>
      </c>
      <c r="M702" s="62"/>
    </row>
    <row r="703" spans="2:13" x14ac:dyDescent="0.3">
      <c r="B703" s="378" t="s">
        <v>1704</v>
      </c>
      <c r="C703" s="341"/>
      <c r="D703" s="338"/>
      <c r="E703" s="235" t="s">
        <v>668</v>
      </c>
      <c r="F703" s="271" t="str">
        <f>IFERROR(VLOOKUP(E703,'Inventaire des produits'!$B$4:$K$1000,2,0),"")</f>
        <v>ROULEAU ALUMINIUM GOLDEN 200M</v>
      </c>
      <c r="G703" s="260">
        <v>10</v>
      </c>
      <c r="H703" s="80">
        <v>58.333333330000002</v>
      </c>
      <c r="I703" s="95">
        <f t="shared" si="20"/>
        <v>583.33333330000005</v>
      </c>
      <c r="J703" s="95">
        <f t="shared" si="21"/>
        <v>699.99999996000008</v>
      </c>
      <c r="K703" s="93">
        <f>IFERROR(VLOOKUP(E703,'Inventaire des produits'!$B$4:$J$1000,5,FALSE),"")</f>
        <v>0</v>
      </c>
      <c r="L703" s="301">
        <f>IFERROR(VLOOKUP(E703,'Inventaire des produits'!$B$4:$J$1000,6,FALSE),"")</f>
        <v>55.833333333299997</v>
      </c>
      <c r="M703" s="62"/>
    </row>
    <row r="704" spans="2:13" x14ac:dyDescent="0.3">
      <c r="B704" s="378" t="s">
        <v>1704</v>
      </c>
      <c r="C704" s="341"/>
      <c r="D704" s="338"/>
      <c r="E704" s="235" t="s">
        <v>418</v>
      </c>
      <c r="F704" s="271" t="str">
        <f>IFERROR(VLOOKUP(E704,'Inventaire des produits'!$B$4:$K$1000,2,0),"")</f>
        <v>ROULEAU DE CAISSE THERMIQUE 70X80</v>
      </c>
      <c r="G704" s="260">
        <v>200</v>
      </c>
      <c r="H704" s="80">
        <v>8.3333333330000006</v>
      </c>
      <c r="I704" s="95">
        <f t="shared" si="20"/>
        <v>1666.6666666000001</v>
      </c>
      <c r="J704" s="95">
        <f t="shared" si="21"/>
        <v>1999.9999999199999</v>
      </c>
      <c r="K704" s="93">
        <f>IFERROR(VLOOKUP(E704,'Inventaire des produits'!$B$4:$J$1000,5,FALSE),"")</f>
        <v>0</v>
      </c>
      <c r="L704" s="301">
        <f>IFERROR(VLOOKUP(E704,'Inventaire des produits'!$B$4:$J$1000,6,FALSE),"")</f>
        <v>8</v>
      </c>
      <c r="M704" s="62"/>
    </row>
    <row r="705" spans="2:13" x14ac:dyDescent="0.3">
      <c r="B705" s="378" t="s">
        <v>1704</v>
      </c>
      <c r="C705" s="341"/>
      <c r="D705" s="338"/>
      <c r="E705" s="235" t="s">
        <v>309</v>
      </c>
      <c r="F705" s="271" t="str">
        <f>IFERROR(VLOOKUP(E705,'Inventaire des produits'!$B$4:$K$1000,2,0),"")</f>
        <v>SALADIER ROND 750</v>
      </c>
      <c r="G705" s="260">
        <v>800</v>
      </c>
      <c r="H705" s="80">
        <v>0.83333333300000001</v>
      </c>
      <c r="I705" s="95">
        <f t="shared" si="20"/>
        <v>666.66666640000005</v>
      </c>
      <c r="J705" s="95">
        <f t="shared" si="21"/>
        <v>799.99999968000009</v>
      </c>
      <c r="K705" s="93">
        <f>IFERROR(VLOOKUP(E705,'Inventaire des produits'!$B$4:$J$1000,5,FALSE),"")</f>
        <v>0</v>
      </c>
      <c r="L705" s="301">
        <f>IFERROR(VLOOKUP(E705,'Inventaire des produits'!$B$4:$J$1000,6,FALSE),"")</f>
        <v>0.6</v>
      </c>
      <c r="M705" s="62"/>
    </row>
    <row r="706" spans="2:13" x14ac:dyDescent="0.3">
      <c r="B706" s="378" t="s">
        <v>1704</v>
      </c>
      <c r="C706" s="341"/>
      <c r="D706" s="338"/>
      <c r="E706" s="235" t="s">
        <v>603</v>
      </c>
      <c r="F706" s="271" t="str">
        <f>IFERROR(VLOOKUP(E706,'Inventaire des produits'!$B$4:$K$1000,2,0),"")</f>
        <v>ESSUIE MAIN 1KG LISSE</v>
      </c>
      <c r="G706" s="258">
        <v>60</v>
      </c>
      <c r="H706" s="80">
        <v>25</v>
      </c>
      <c r="I706" s="95">
        <f t="shared" si="20"/>
        <v>1500</v>
      </c>
      <c r="J706" s="95">
        <f t="shared" si="21"/>
        <v>1800</v>
      </c>
      <c r="K706" s="93">
        <f>IFERROR(VLOOKUP(E706,'Inventaire des produits'!$B$4:$J$1000,5,FALSE),"")</f>
        <v>0</v>
      </c>
      <c r="L706" s="301">
        <f>IFERROR(VLOOKUP(E706,'Inventaire des produits'!$B$4:$J$1000,6,FALSE),"")</f>
        <v>25</v>
      </c>
      <c r="M706" s="62"/>
    </row>
    <row r="707" spans="2:13" x14ac:dyDescent="0.3">
      <c r="B707" s="378" t="s">
        <v>1704</v>
      </c>
      <c r="C707" s="341"/>
      <c r="D707" s="338"/>
      <c r="E707" s="235" t="s">
        <v>184</v>
      </c>
      <c r="F707" s="271" t="str">
        <f>IFERROR(VLOOKUP(E707,'Inventaire des produits'!$B$4:$K$1000,2,0),"")</f>
        <v>SERVIETTE DE TABLE 1PLI SEVAN</v>
      </c>
      <c r="G707" s="64">
        <v>600</v>
      </c>
      <c r="H707" s="80">
        <v>3.2083333333333335</v>
      </c>
      <c r="I707" s="95">
        <f t="shared" si="20"/>
        <v>1925</v>
      </c>
      <c r="J707" s="95">
        <f t="shared" si="21"/>
        <v>2310</v>
      </c>
      <c r="K707" s="93">
        <f>IFERROR(VLOOKUP(E707,'Inventaire des produits'!$B$4:$J$1000,5,FALSE),"")</f>
        <v>0</v>
      </c>
      <c r="L707" s="301">
        <f>IFERROR(VLOOKUP(E707,'Inventaire des produits'!$B$4:$J$1000,6,FALSE),"")</f>
        <v>2.91</v>
      </c>
      <c r="M707" s="62"/>
    </row>
    <row r="708" spans="2:13" x14ac:dyDescent="0.3">
      <c r="B708" s="378" t="s">
        <v>1704</v>
      </c>
      <c r="C708" s="341"/>
      <c r="D708" s="338"/>
      <c r="E708" s="235" t="s">
        <v>185</v>
      </c>
      <c r="F708" s="271" t="str">
        <f>IFERROR(VLOOKUP(E708,'Inventaire des produits'!$B$4:$K$1000,2,0),"")</f>
        <v>POT A NOUILLE 26OZ BLANC</v>
      </c>
      <c r="G708" s="64">
        <v>1500</v>
      </c>
      <c r="H708" s="80">
        <v>1.25</v>
      </c>
      <c r="I708" s="95">
        <f t="shared" si="20"/>
        <v>1875</v>
      </c>
      <c r="J708" s="95">
        <f t="shared" si="21"/>
        <v>2250</v>
      </c>
      <c r="K708" s="93">
        <f>IFERROR(VLOOKUP(E708,'Inventaire des produits'!$B$4:$J$1000,5,FALSE),"")</f>
        <v>0</v>
      </c>
      <c r="L708" s="301">
        <f>IFERROR(VLOOKUP(E708,'Inventaire des produits'!$B$4:$J$1000,6,FALSE),"")</f>
        <v>0.91666666669999997</v>
      </c>
      <c r="M708" s="62"/>
    </row>
    <row r="709" spans="2:13" x14ac:dyDescent="0.3">
      <c r="B709" s="378" t="s">
        <v>1704</v>
      </c>
      <c r="C709" s="342"/>
      <c r="D709" s="339"/>
      <c r="E709" s="235" t="s">
        <v>648</v>
      </c>
      <c r="F709" s="271" t="str">
        <f>IFERROR(VLOOKUP(E709,'Inventaire des produits'!$B$4:$K$1000,2,0),"")</f>
        <v>BOL SOUPE MICRON ONDABLE ET CVL 460CC</v>
      </c>
      <c r="G709" s="246">
        <v>900</v>
      </c>
      <c r="H709" s="89">
        <v>1.125</v>
      </c>
      <c r="I709" s="95">
        <f t="shared" ref="I709:I772" si="22">IF(OR(G709="",H709=""),"",G709*H709)</f>
        <v>1012.5</v>
      </c>
      <c r="J709" s="95">
        <f t="shared" ref="J709:J772" si="23">IF(OR(I709=""),"",I709*1.2)</f>
        <v>1215</v>
      </c>
      <c r="K709" s="93">
        <f>IFERROR(VLOOKUP(E709,'Inventaire des produits'!$B$4:$J$1000,5,FALSE),"")</f>
        <v>0</v>
      </c>
      <c r="L709" s="301">
        <f>IFERROR(VLOOKUP(E709,'Inventaire des produits'!$B$4:$J$1000,6,FALSE),"")</f>
        <v>0.79166666669999997</v>
      </c>
      <c r="M709" s="62"/>
    </row>
    <row r="710" spans="2:13" x14ac:dyDescent="0.3">
      <c r="B710" s="378" t="s">
        <v>1704</v>
      </c>
      <c r="C710" s="55">
        <v>45427</v>
      </c>
      <c r="D710" s="54" t="s">
        <v>886</v>
      </c>
      <c r="E710" s="235" t="s">
        <v>293</v>
      </c>
      <c r="F710" s="271" t="str">
        <f>IFERROR(VLOOKUP(E710,'Inventaire des produits'!$B$4:$K$1000,2,0),"")</f>
        <v>PAPIER ZIGZAG</v>
      </c>
      <c r="G710" s="232">
        <v>20</v>
      </c>
      <c r="H710" s="89">
        <v>12.5</v>
      </c>
      <c r="I710" s="95">
        <f t="shared" si="22"/>
        <v>250</v>
      </c>
      <c r="J710" s="95">
        <f t="shared" si="23"/>
        <v>300</v>
      </c>
      <c r="K710" s="93">
        <f>IFERROR(VLOOKUP(E710,'Inventaire des produits'!$B$4:$J$1000,5,FALSE),"")</f>
        <v>0</v>
      </c>
      <c r="L710" s="301">
        <f>IFERROR(VLOOKUP(E710,'Inventaire des produits'!$B$4:$J$1000,6,FALSE),"")</f>
        <v>9</v>
      </c>
      <c r="M710" s="62">
        <v>300</v>
      </c>
    </row>
    <row r="711" spans="2:13" x14ac:dyDescent="0.3">
      <c r="B711" s="378" t="s">
        <v>1704</v>
      </c>
      <c r="C711" s="340">
        <v>45428</v>
      </c>
      <c r="D711" s="337" t="s">
        <v>887</v>
      </c>
      <c r="E711" s="235" t="s">
        <v>228</v>
      </c>
      <c r="F711" s="271" t="str">
        <f>IFERROR(VLOOKUP(E711,'Inventaire des produits'!$B$4:$K$1000,2,0),"")</f>
        <v>BARQUETTE ALUMINIUM RECT 1200ML AVEC CVL</v>
      </c>
      <c r="G711" s="247">
        <v>2000</v>
      </c>
      <c r="H711" s="90">
        <v>0.84</v>
      </c>
      <c r="I711" s="95">
        <f t="shared" si="22"/>
        <v>1680</v>
      </c>
      <c r="J711" s="95">
        <f t="shared" si="23"/>
        <v>2016</v>
      </c>
      <c r="K711" s="93">
        <f>IFERROR(VLOOKUP(E711,'Inventaire des produits'!$B$4:$J$1000,5,FALSE),"")</f>
        <v>0</v>
      </c>
      <c r="L711" s="301">
        <f>IFERROR(VLOOKUP(E711,'Inventaire des produits'!$B$4:$J$1000,6,FALSE),"")</f>
        <v>0.72499999999999998</v>
      </c>
      <c r="M711" s="62">
        <v>4597</v>
      </c>
    </row>
    <row r="712" spans="2:13" x14ac:dyDescent="0.3">
      <c r="B712" s="378" t="s">
        <v>1704</v>
      </c>
      <c r="C712" s="341"/>
      <c r="D712" s="338"/>
      <c r="E712" s="235" t="s">
        <v>127</v>
      </c>
      <c r="F712" s="271" t="str">
        <f>IFERROR(VLOOKUP(E712,'Inventaire des produits'!$B$4:$K$1000,2,0),"")</f>
        <v>SERVIETTE DE TABLE SEVAN 1PLI</v>
      </c>
      <c r="G712" s="247">
        <v>300</v>
      </c>
      <c r="H712" s="90">
        <v>3.17</v>
      </c>
      <c r="I712" s="95">
        <f t="shared" si="22"/>
        <v>951</v>
      </c>
      <c r="J712" s="95">
        <f t="shared" si="23"/>
        <v>1141.2</v>
      </c>
      <c r="K712" s="93">
        <f>IFERROR(VLOOKUP(E712,'Inventaire des produits'!$B$4:$J$1000,5,FALSE),"")</f>
        <v>0</v>
      </c>
      <c r="L712" s="301">
        <f>IFERROR(VLOOKUP(E712,'Inventaire des produits'!$B$4:$J$1000,6,FALSE),"")</f>
        <v>2.9169999999999998</v>
      </c>
      <c r="M712" s="62"/>
    </row>
    <row r="713" spans="2:13" x14ac:dyDescent="0.3">
      <c r="B713" s="378" t="s">
        <v>1704</v>
      </c>
      <c r="C713" s="342"/>
      <c r="D713" s="339"/>
      <c r="E713" s="235" t="s">
        <v>158</v>
      </c>
      <c r="F713" s="271" t="str">
        <f>IFERROR(VLOOKUP(E713,'Inventaire des produits'!$B$4:$K$1000,2,0),"")</f>
        <v>CUILLERE PETIT</v>
      </c>
      <c r="G713" s="247">
        <v>15000</v>
      </c>
      <c r="H713" s="90">
        <v>0.08</v>
      </c>
      <c r="I713" s="95">
        <f t="shared" si="22"/>
        <v>1200</v>
      </c>
      <c r="J713" s="95">
        <f t="shared" si="23"/>
        <v>1440</v>
      </c>
      <c r="K713" s="93">
        <f>IFERROR(VLOOKUP(E713,'Inventaire des produits'!$B$4:$J$1000,5,FALSE),"")</f>
        <v>0</v>
      </c>
      <c r="L713" s="301">
        <f>IFERROR(VLOOKUP(E713,'Inventaire des produits'!$B$4:$J$1000,6,FALSE),"")</f>
        <v>5.8329499999999999E-2</v>
      </c>
      <c r="M713" s="62"/>
    </row>
    <row r="714" spans="2:13" x14ac:dyDescent="0.3">
      <c r="B714" s="378" t="s">
        <v>1704</v>
      </c>
      <c r="C714" s="340">
        <v>45429</v>
      </c>
      <c r="D714" s="337" t="s">
        <v>891</v>
      </c>
      <c r="E714" s="235" t="s">
        <v>228</v>
      </c>
      <c r="F714" s="271" t="str">
        <f>IFERROR(VLOOKUP(E714,'Inventaire des produits'!$B$4:$K$1000,2,0),"")</f>
        <v>BARQUETTE ALUMINIUM RECT 1200ML AVEC CVL</v>
      </c>
      <c r="G714" s="50">
        <v>2000</v>
      </c>
      <c r="H714" s="85">
        <v>0.84</v>
      </c>
      <c r="I714" s="95">
        <f t="shared" si="22"/>
        <v>1680</v>
      </c>
      <c r="J714" s="95">
        <f t="shared" si="23"/>
        <v>2016</v>
      </c>
      <c r="K714" s="93">
        <f>IFERROR(VLOOKUP(E714,'Inventaire des produits'!$B$4:$J$1000,5,FALSE),"")</f>
        <v>0</v>
      </c>
      <c r="L714" s="301">
        <f>IFERROR(VLOOKUP(E714,'Inventaire des produits'!$B$4:$J$1000,6,FALSE),"")</f>
        <v>0.72499999999999998</v>
      </c>
      <c r="M714" s="62">
        <v>4216</v>
      </c>
    </row>
    <row r="715" spans="2:13" x14ac:dyDescent="0.3">
      <c r="B715" s="378" t="s">
        <v>1704</v>
      </c>
      <c r="C715" s="341"/>
      <c r="D715" s="338"/>
      <c r="E715" s="235" t="s">
        <v>127</v>
      </c>
      <c r="F715" s="271" t="str">
        <f>IFERROR(VLOOKUP(E715,'Inventaire des produits'!$B$4:$K$1000,2,0),"")</f>
        <v>SERVIETTE DE TABLE SEVAN 1PLI</v>
      </c>
      <c r="G715" s="64">
        <v>200</v>
      </c>
      <c r="H715" s="80">
        <v>3.17</v>
      </c>
      <c r="I715" s="95">
        <f t="shared" si="22"/>
        <v>634</v>
      </c>
      <c r="J715" s="95">
        <f t="shared" si="23"/>
        <v>760.8</v>
      </c>
      <c r="K715" s="93">
        <f>IFERROR(VLOOKUP(E715,'Inventaire des produits'!$B$4:$J$1000,5,FALSE),"")</f>
        <v>0</v>
      </c>
      <c r="L715" s="301">
        <f>IFERROR(VLOOKUP(E715,'Inventaire des produits'!$B$4:$J$1000,6,FALSE),"")</f>
        <v>2.9169999999999998</v>
      </c>
      <c r="M715" s="62"/>
    </row>
    <row r="716" spans="2:13" x14ac:dyDescent="0.3">
      <c r="B716" s="378" t="s">
        <v>1704</v>
      </c>
      <c r="C716" s="342"/>
      <c r="D716" s="339"/>
      <c r="E716" s="235" t="s">
        <v>158</v>
      </c>
      <c r="F716" s="271" t="str">
        <f>IFERROR(VLOOKUP(E716,'Inventaire des produits'!$B$4:$K$1000,2,0),"")</f>
        <v>CUILLERE PETIT</v>
      </c>
      <c r="G716" s="64">
        <v>15000</v>
      </c>
      <c r="H716" s="89">
        <v>0.08</v>
      </c>
      <c r="I716" s="95">
        <f t="shared" si="22"/>
        <v>1200</v>
      </c>
      <c r="J716" s="95">
        <f t="shared" si="23"/>
        <v>1440</v>
      </c>
      <c r="K716" s="93">
        <f>IFERROR(VLOOKUP(E716,'Inventaire des produits'!$B$4:$J$1000,5,FALSE),"")</f>
        <v>0</v>
      </c>
      <c r="L716" s="301">
        <f>IFERROR(VLOOKUP(E716,'Inventaire des produits'!$B$4:$J$1000,6,FALSE),"")</f>
        <v>5.8329499999999999E-2</v>
      </c>
      <c r="M716" s="62"/>
    </row>
    <row r="717" spans="2:13" x14ac:dyDescent="0.3">
      <c r="B717" s="378" t="s">
        <v>1704</v>
      </c>
      <c r="C717" s="55">
        <v>45432</v>
      </c>
      <c r="D717" s="54" t="s">
        <v>892</v>
      </c>
      <c r="E717" s="240" t="s">
        <v>875</v>
      </c>
      <c r="F717" s="271" t="str">
        <f>IFERROR(VLOOKUP(E717,'Inventaire des produits'!$B$4:$K$1000,2,0),"")</f>
        <v>TRIPOD PIZZA EN PLASTIQUE</v>
      </c>
      <c r="G717" s="247">
        <v>2000</v>
      </c>
      <c r="H717" s="90">
        <v>0.5</v>
      </c>
      <c r="I717" s="95">
        <f t="shared" si="22"/>
        <v>1000</v>
      </c>
      <c r="J717" s="95">
        <f t="shared" si="23"/>
        <v>1200</v>
      </c>
      <c r="K717" s="93">
        <f>IFERROR(VLOOKUP(E717,'Inventaire des produits'!$B$4:$J$1000,5,FALSE),"")</f>
        <v>0</v>
      </c>
      <c r="L717" s="301">
        <f>IFERROR(VLOOKUP(E717,'Inventaire des produits'!$B$4:$J$1000,6,FALSE),"")</f>
        <v>0.32</v>
      </c>
      <c r="M717" s="62">
        <v>1200</v>
      </c>
    </row>
    <row r="718" spans="2:13" x14ac:dyDescent="0.3">
      <c r="B718" s="378" t="s">
        <v>1704</v>
      </c>
      <c r="C718" s="340">
        <v>45432</v>
      </c>
      <c r="D718" s="337" t="s">
        <v>898</v>
      </c>
      <c r="E718" s="235" t="s">
        <v>425</v>
      </c>
      <c r="F718" s="271" t="str">
        <f>IFERROR(VLOOKUP(E718,'Inventaire des produits'!$B$4:$K$1000,2,0),"")</f>
        <v>COUTEAU ECOLUXE TRANS</v>
      </c>
      <c r="G718" s="50">
        <v>5</v>
      </c>
      <c r="H718" s="85">
        <v>23.335000000000001</v>
      </c>
      <c r="I718" s="95">
        <f t="shared" si="22"/>
        <v>116.67500000000001</v>
      </c>
      <c r="J718" s="95">
        <f t="shared" si="23"/>
        <v>140.01000000000002</v>
      </c>
      <c r="K718" s="93">
        <f>IFERROR(VLOOKUP(E718,'Inventaire des produits'!$B$4:$J$1000,5,FALSE),"")</f>
        <v>0</v>
      </c>
      <c r="L718" s="301">
        <f>IFERROR(VLOOKUP(E718,'Inventaire des produits'!$B$4:$J$1000,6,FALSE),"")</f>
        <v>18.329999999999998</v>
      </c>
      <c r="M718" s="62">
        <v>985</v>
      </c>
    </row>
    <row r="719" spans="2:13" x14ac:dyDescent="0.3">
      <c r="B719" s="378" t="s">
        <v>1704</v>
      </c>
      <c r="C719" s="341"/>
      <c r="D719" s="338"/>
      <c r="E719" s="235" t="s">
        <v>553</v>
      </c>
      <c r="F719" s="271" t="str">
        <f>IFERROR(VLOOKUP(E719,'Inventaire des produits'!$B$4:$K$1000,2,0),"")</f>
        <v>FOURCHETTE ECOLUXE TRANSPARENTE</v>
      </c>
      <c r="G719" s="64">
        <v>5</v>
      </c>
      <c r="H719" s="80">
        <v>23.335000000000001</v>
      </c>
      <c r="I719" s="95">
        <f t="shared" si="22"/>
        <v>116.67500000000001</v>
      </c>
      <c r="J719" s="95">
        <f t="shared" si="23"/>
        <v>140.01000000000002</v>
      </c>
      <c r="K719" s="93">
        <f>IFERROR(VLOOKUP(E719,'Inventaire des produits'!$B$4:$J$1000,5,FALSE),"")</f>
        <v>0</v>
      </c>
      <c r="L719" s="301">
        <f>IFERROR(VLOOKUP(E719,'Inventaire des produits'!$B$4:$J$1000,6,FALSE),"")</f>
        <v>17.5</v>
      </c>
      <c r="M719" s="62"/>
    </row>
    <row r="720" spans="2:13" x14ac:dyDescent="0.3">
      <c r="B720" s="378" t="s">
        <v>1704</v>
      </c>
      <c r="C720" s="341"/>
      <c r="D720" s="338"/>
      <c r="E720" s="235" t="s">
        <v>274</v>
      </c>
      <c r="F720" s="271" t="str">
        <f>IFERROR(VLOOKUP(E720,'Inventaire des produits'!$B$4:$K$1000,2,0),"")</f>
        <v>GOBLET 4OZ A CAFE EN CARTON KRAFT</v>
      </c>
      <c r="G720" s="260">
        <v>400</v>
      </c>
      <c r="H720" s="80">
        <v>0.55620000000000003</v>
      </c>
      <c r="I720" s="95">
        <f t="shared" si="22"/>
        <v>222.48000000000002</v>
      </c>
      <c r="J720" s="95">
        <f t="shared" si="23"/>
        <v>266.976</v>
      </c>
      <c r="K720" s="93">
        <f>IFERROR(VLOOKUP(E720,'Inventaire des produits'!$B$4:$J$1000,5,FALSE),"")</f>
        <v>0</v>
      </c>
      <c r="L720" s="301">
        <f>IFERROR(VLOOKUP(E720,'Inventaire des produits'!$B$4:$J$1000,6,FALSE),"")</f>
        <v>0.5</v>
      </c>
      <c r="M720" s="62"/>
    </row>
    <row r="721" spans="2:13" x14ac:dyDescent="0.3">
      <c r="B721" s="378" t="s">
        <v>1704</v>
      </c>
      <c r="C721" s="342"/>
      <c r="D721" s="339"/>
      <c r="E721" s="235" t="s">
        <v>275</v>
      </c>
      <c r="F721" s="271" t="str">
        <f>IFERROR(VLOOKUP(E721,'Inventaire des produits'!$B$4:$K$1000,2,0),"")</f>
        <v>GOBLET 8OZ A CAFE EN CARTON KRAFT</v>
      </c>
      <c r="G721" s="260">
        <v>500</v>
      </c>
      <c r="H721" s="80">
        <v>0.73</v>
      </c>
      <c r="I721" s="95">
        <f t="shared" si="22"/>
        <v>365</v>
      </c>
      <c r="J721" s="95">
        <f t="shared" si="23"/>
        <v>438</v>
      </c>
      <c r="K721" s="93">
        <f>IFERROR(VLOOKUP(E721,'Inventaire des produits'!$B$4:$J$1000,5,FALSE),"")</f>
        <v>0</v>
      </c>
      <c r="L721" s="301">
        <f>IFERROR(VLOOKUP(E721,'Inventaire des produits'!$B$4:$J$1000,6,FALSE),"")</f>
        <v>0.6</v>
      </c>
      <c r="M721" s="62"/>
    </row>
    <row r="722" spans="2:13" x14ac:dyDescent="0.3">
      <c r="B722" s="378" t="s">
        <v>1704</v>
      </c>
      <c r="C722" s="340">
        <v>45433</v>
      </c>
      <c r="D722" s="337" t="s">
        <v>899</v>
      </c>
      <c r="E722" s="235" t="s">
        <v>56</v>
      </c>
      <c r="F722" s="271" t="str">
        <f>IFERROR(VLOOKUP(E722,'Inventaire des produits'!$B$4:$K$1000,2,0),"")</f>
        <v>GANT VINYL EXTRA PREMIUM GLOVE LARGE</v>
      </c>
      <c r="G722" s="50">
        <v>28</v>
      </c>
      <c r="H722" s="85">
        <v>33.340000000000003</v>
      </c>
      <c r="I722" s="95">
        <f t="shared" si="22"/>
        <v>933.5200000000001</v>
      </c>
      <c r="J722" s="95">
        <f t="shared" si="23"/>
        <v>1120.2240000000002</v>
      </c>
      <c r="K722" s="93">
        <f>IFERROR(VLOOKUP(E722,'Inventaire des produits'!$B$4:$J$1000,5,FALSE),"")</f>
        <v>0</v>
      </c>
      <c r="L722" s="301">
        <f>IFERROR(VLOOKUP(E722,'Inventaire des produits'!$B$4:$J$1000,6,FALSE),"")</f>
        <v>24.74</v>
      </c>
      <c r="M722" s="62">
        <v>3390</v>
      </c>
    </row>
    <row r="723" spans="2:13" x14ac:dyDescent="0.3">
      <c r="B723" s="378" t="s">
        <v>1704</v>
      </c>
      <c r="C723" s="341"/>
      <c r="D723" s="338"/>
      <c r="E723" s="235" t="s">
        <v>69</v>
      </c>
      <c r="F723" s="271" t="str">
        <f>IFERROR(VLOOKUP(E723,'Inventaire des produits'!$B$4:$K$1000,2,0),"")</f>
        <v>COUTEAU ECOLUXE NOIR</v>
      </c>
      <c r="G723" s="64">
        <v>7</v>
      </c>
      <c r="H723" s="80">
        <v>23.343</v>
      </c>
      <c r="I723" s="95">
        <f t="shared" si="22"/>
        <v>163.40100000000001</v>
      </c>
      <c r="J723" s="95">
        <f t="shared" si="23"/>
        <v>196.0812</v>
      </c>
      <c r="K723" s="93">
        <f>IFERROR(VLOOKUP(E723,'Inventaire des produits'!$B$4:$J$1000,5,FALSE),"")</f>
        <v>0</v>
      </c>
      <c r="L723" s="301">
        <f>IFERROR(VLOOKUP(E723,'Inventaire des produits'!$B$4:$J$1000,6,FALSE),"")</f>
        <v>17.5</v>
      </c>
      <c r="M723" s="62"/>
    </row>
    <row r="724" spans="2:13" x14ac:dyDescent="0.3">
      <c r="B724" s="378" t="s">
        <v>1704</v>
      </c>
      <c r="C724" s="341"/>
      <c r="D724" s="338"/>
      <c r="E724" s="235" t="s">
        <v>293</v>
      </c>
      <c r="F724" s="271" t="str">
        <f>IFERROR(VLOOKUP(E724,'Inventaire des produits'!$B$4:$K$1000,2,0),"")</f>
        <v>PAPIER ZIGZAG</v>
      </c>
      <c r="G724" s="260">
        <v>80</v>
      </c>
      <c r="H724" s="80">
        <v>12.500999999999999</v>
      </c>
      <c r="I724" s="95">
        <f t="shared" si="22"/>
        <v>1000.0799999999999</v>
      </c>
      <c r="J724" s="95">
        <f t="shared" si="23"/>
        <v>1200.0959999999998</v>
      </c>
      <c r="K724" s="93">
        <f>IFERROR(VLOOKUP(E724,'Inventaire des produits'!$B$4:$J$1000,5,FALSE),"")</f>
        <v>0</v>
      </c>
      <c r="L724" s="301">
        <f>IFERROR(VLOOKUP(E724,'Inventaire des produits'!$B$4:$J$1000,6,FALSE),"")</f>
        <v>9</v>
      </c>
      <c r="M724" s="62"/>
    </row>
    <row r="725" spans="2:13" x14ac:dyDescent="0.3">
      <c r="B725" s="378" t="s">
        <v>1704</v>
      </c>
      <c r="C725" s="342"/>
      <c r="D725" s="339"/>
      <c r="E725" s="235" t="s">
        <v>98</v>
      </c>
      <c r="F725" s="271" t="str">
        <f>IFERROR(VLOOKUP(E725,'Inventaire des produits'!$B$4:$K$1000,2,0),"")</f>
        <v>SALADIER PLAST CARRE G375CC</v>
      </c>
      <c r="G725" s="260">
        <v>1000</v>
      </c>
      <c r="H725" s="80">
        <v>0.72799999999999998</v>
      </c>
      <c r="I725" s="95">
        <f t="shared" si="22"/>
        <v>728</v>
      </c>
      <c r="J725" s="95">
        <f t="shared" si="23"/>
        <v>873.6</v>
      </c>
      <c r="K725" s="93">
        <f>IFERROR(VLOOKUP(E725,'Inventaire des produits'!$B$4:$J$1000,5,FALSE),"")</f>
        <v>0</v>
      </c>
      <c r="L725" s="301">
        <f>IFERROR(VLOOKUP(E725,'Inventaire des produits'!$B$4:$J$1000,6,FALSE),"")</f>
        <v>0.3583333333</v>
      </c>
      <c r="M725" s="62"/>
    </row>
    <row r="726" spans="2:13" x14ac:dyDescent="0.3">
      <c r="B726" s="378" t="s">
        <v>1704</v>
      </c>
      <c r="C726" s="340">
        <v>45433</v>
      </c>
      <c r="D726" s="337" t="s">
        <v>900</v>
      </c>
      <c r="E726" s="235" t="s">
        <v>53</v>
      </c>
      <c r="F726" s="271" t="str">
        <f>IFERROR(VLOOKUP(E726,'Inventaire des produits'!$B$4:$K$1000,2,0),"")</f>
        <v>GANT VINYL EXTRA PREMIUM GLOVE MEDIUM</v>
      </c>
      <c r="G726" s="50">
        <v>64</v>
      </c>
      <c r="H726" s="85">
        <v>37.5</v>
      </c>
      <c r="I726" s="95">
        <f t="shared" si="22"/>
        <v>2400</v>
      </c>
      <c r="J726" s="95">
        <f t="shared" si="23"/>
        <v>2880</v>
      </c>
      <c r="K726" s="93">
        <f>IFERROR(VLOOKUP(E726,'Inventaire des produits'!$B$4:$J$1000,5,FALSE),"")</f>
        <v>0</v>
      </c>
      <c r="L726" s="301">
        <f>IFERROR(VLOOKUP(E726,'Inventaire des produits'!$B$4:$J$1000,6,FALSE),"")</f>
        <v>24.593333333299999</v>
      </c>
      <c r="M726" s="62">
        <v>10800</v>
      </c>
    </row>
    <row r="727" spans="2:13" x14ac:dyDescent="0.3">
      <c r="B727" s="378" t="s">
        <v>1704</v>
      </c>
      <c r="C727" s="341"/>
      <c r="D727" s="338"/>
      <c r="E727" s="235" t="s">
        <v>217</v>
      </c>
      <c r="F727" s="271" t="str">
        <f>IFERROR(VLOOKUP(E727,'Inventaire des produits'!$B$4:$K$1000,2,0),"")</f>
        <v>BARQUETTE ALUMINIUM 802</v>
      </c>
      <c r="G727" s="64">
        <v>2900</v>
      </c>
      <c r="H727" s="80">
        <v>0.72</v>
      </c>
      <c r="I727" s="95">
        <f t="shared" si="22"/>
        <v>2088</v>
      </c>
      <c r="J727" s="95">
        <f t="shared" si="23"/>
        <v>2505.6</v>
      </c>
      <c r="K727" s="93">
        <f>IFERROR(VLOOKUP(E727,'Inventaire des produits'!$B$4:$J$1000,5,FALSE),"")</f>
        <v>0</v>
      </c>
      <c r="L727" s="301">
        <f>IFERROR(VLOOKUP(E727,'Inventaire des produits'!$B$4:$J$1000,6,FALSE),"")</f>
        <v>0.55417000000000005</v>
      </c>
      <c r="M727" s="62"/>
    </row>
    <row r="728" spans="2:13" x14ac:dyDescent="0.3">
      <c r="B728" s="378" t="s">
        <v>1704</v>
      </c>
      <c r="C728" s="341"/>
      <c r="D728" s="338"/>
      <c r="E728" s="235" t="s">
        <v>235</v>
      </c>
      <c r="F728" s="271" t="str">
        <f>IFERROR(VLOOKUP(E728,'Inventaire des produits'!$B$4:$K$1000,2,0),"")</f>
        <v>POT DE SAUCE 2OZ NOIRE</v>
      </c>
      <c r="G728" s="260">
        <v>14300</v>
      </c>
      <c r="H728" s="80">
        <v>0.17227999999999999</v>
      </c>
      <c r="I728" s="95">
        <f t="shared" si="22"/>
        <v>2463.6039999999998</v>
      </c>
      <c r="J728" s="95">
        <f t="shared" si="23"/>
        <v>2956.3247999999999</v>
      </c>
      <c r="K728" s="93">
        <f>IFERROR(VLOOKUP(E728,'Inventaire des produits'!$B$4:$J$1000,5,FALSE),"")</f>
        <v>0</v>
      </c>
      <c r="L728" s="301">
        <f>IFERROR(VLOOKUP(E728,'Inventaire des produits'!$B$4:$J$1000,6,FALSE),"")</f>
        <v>0.15609999999999999</v>
      </c>
      <c r="M728" s="62"/>
    </row>
    <row r="729" spans="2:13" x14ac:dyDescent="0.3">
      <c r="B729" s="378" t="s">
        <v>1704</v>
      </c>
      <c r="C729" s="341"/>
      <c r="D729" s="338"/>
      <c r="E729" s="235" t="s">
        <v>127</v>
      </c>
      <c r="F729" s="271" t="str">
        <f>IFERROR(VLOOKUP(E729,'Inventaire des produits'!$B$4:$K$1000,2,0),"")</f>
        <v>SERVIETTE DE TABLE SEVAN 1PLI</v>
      </c>
      <c r="G729" s="260">
        <v>245</v>
      </c>
      <c r="H729" s="80">
        <v>3.9403999999999999</v>
      </c>
      <c r="I729" s="95">
        <f t="shared" si="22"/>
        <v>965.39800000000002</v>
      </c>
      <c r="J729" s="95">
        <f t="shared" si="23"/>
        <v>1158.4775999999999</v>
      </c>
      <c r="K729" s="93">
        <f>IFERROR(VLOOKUP(E729,'Inventaire des produits'!$B$4:$J$1000,5,FALSE),"")</f>
        <v>0</v>
      </c>
      <c r="L729" s="301">
        <f>IFERROR(VLOOKUP(E729,'Inventaire des produits'!$B$4:$J$1000,6,FALSE),"")</f>
        <v>2.9169999999999998</v>
      </c>
      <c r="M729" s="62"/>
    </row>
    <row r="730" spans="2:13" x14ac:dyDescent="0.3">
      <c r="B730" s="378" t="s">
        <v>1704</v>
      </c>
      <c r="C730" s="341"/>
      <c r="D730" s="338"/>
      <c r="E730" s="235" t="s">
        <v>821</v>
      </c>
      <c r="F730" s="271" t="str">
        <f>IFERROR(VLOOKUP(E730,'Inventaire des produits'!$B$4:$K$1000,2,0),"")</f>
        <v>SAC PN BLANC NI 30*40*10</v>
      </c>
      <c r="G730" s="263">
        <v>1000</v>
      </c>
      <c r="H730" s="80">
        <v>0.5</v>
      </c>
      <c r="I730" s="95">
        <f t="shared" si="22"/>
        <v>500</v>
      </c>
      <c r="J730" s="95">
        <f t="shared" si="23"/>
        <v>600</v>
      </c>
      <c r="K730" s="93">
        <f>IFERROR(VLOOKUP(E730,'Inventaire des produits'!$B$4:$J$1000,5,FALSE),"")</f>
        <v>0</v>
      </c>
      <c r="L730" s="301">
        <f>IFERROR(VLOOKUP(E730,'Inventaire des produits'!$B$4:$J$1000,6,FALSE),"")</f>
        <v>0.33333333329999998</v>
      </c>
      <c r="M730" s="62"/>
    </row>
    <row r="731" spans="2:13" x14ac:dyDescent="0.3">
      <c r="B731" s="378" t="s">
        <v>1704</v>
      </c>
      <c r="C731" s="342"/>
      <c r="D731" s="339"/>
      <c r="E731" s="235" t="s">
        <v>822</v>
      </c>
      <c r="F731" s="271" t="str">
        <f>IFERROR(VLOOKUP(E731,'Inventaire des produits'!$B$4:$K$1000,2,0),"")</f>
        <v>SAC PN BLANC UNI 40*45*10</v>
      </c>
      <c r="G731" s="263">
        <v>1000</v>
      </c>
      <c r="H731" s="80">
        <v>0.58299999999999996</v>
      </c>
      <c r="I731" s="95">
        <f t="shared" si="22"/>
        <v>583</v>
      </c>
      <c r="J731" s="95">
        <f t="shared" si="23"/>
        <v>699.6</v>
      </c>
      <c r="K731" s="93">
        <f>IFERROR(VLOOKUP(E731,'Inventaire des produits'!$B$4:$J$1000,5,FALSE),"")</f>
        <v>0</v>
      </c>
      <c r="L731" s="301">
        <f>IFERROR(VLOOKUP(E731,'Inventaire des produits'!$B$4:$J$1000,6,FALSE),"")</f>
        <v>0.45834000000000003</v>
      </c>
      <c r="M731" s="62"/>
    </row>
    <row r="732" spans="2:13" x14ac:dyDescent="0.3">
      <c r="B732" s="378" t="s">
        <v>1704</v>
      </c>
      <c r="C732" s="340">
        <v>45434</v>
      </c>
      <c r="D732" s="351" t="s">
        <v>901</v>
      </c>
      <c r="E732" s="235" t="s">
        <v>184</v>
      </c>
      <c r="F732" s="271" t="str">
        <f>IFERROR(VLOOKUP(E732,'Inventaire des produits'!$B$4:$K$1000,2,0),"")</f>
        <v>SERVIETTE DE TABLE 1PLI SEVAN</v>
      </c>
      <c r="G732" s="247">
        <v>400</v>
      </c>
      <c r="H732" s="90">
        <v>3.75</v>
      </c>
      <c r="I732" s="95">
        <f t="shared" si="22"/>
        <v>1500</v>
      </c>
      <c r="J732" s="95">
        <f t="shared" si="23"/>
        <v>1800</v>
      </c>
      <c r="K732" s="93">
        <f>IFERROR(VLOOKUP(E732,'Inventaire des produits'!$B$4:$J$1000,5,FALSE),"")</f>
        <v>0</v>
      </c>
      <c r="L732" s="301">
        <f>IFERROR(VLOOKUP(E732,'Inventaire des produits'!$B$4:$J$1000,6,FALSE),"")</f>
        <v>2.91</v>
      </c>
      <c r="M732" s="62">
        <v>5000</v>
      </c>
    </row>
    <row r="733" spans="2:13" x14ac:dyDescent="0.3">
      <c r="B733" s="378" t="s">
        <v>1704</v>
      </c>
      <c r="C733" s="341"/>
      <c r="D733" s="352"/>
      <c r="E733" s="235" t="s">
        <v>224</v>
      </c>
      <c r="F733" s="271" t="str">
        <f>IFERROR(VLOOKUP(E733,'Inventaire des produits'!$B$4:$K$1000,2,0),"")</f>
        <v>FOURCHETTE LUX</v>
      </c>
      <c r="G733" s="247">
        <v>10</v>
      </c>
      <c r="H733" s="90">
        <v>20</v>
      </c>
      <c r="I733" s="95">
        <f t="shared" si="22"/>
        <v>200</v>
      </c>
      <c r="J733" s="95">
        <f t="shared" si="23"/>
        <v>240</v>
      </c>
      <c r="K733" s="93">
        <f>IFERROR(VLOOKUP(E733,'Inventaire des produits'!$B$4:$J$1000,5,FALSE),"")</f>
        <v>0</v>
      </c>
      <c r="L733" s="301">
        <f>IFERROR(VLOOKUP(E733,'Inventaire des produits'!$B$4:$J$1000,6,FALSE),"")</f>
        <v>14.382</v>
      </c>
      <c r="M733" s="62"/>
    </row>
    <row r="734" spans="2:13" x14ac:dyDescent="0.3">
      <c r="B734" s="378" t="s">
        <v>1704</v>
      </c>
      <c r="C734" s="341"/>
      <c r="D734" s="352"/>
      <c r="E734" s="235" t="s">
        <v>226</v>
      </c>
      <c r="F734" s="271" t="str">
        <f>IFERROR(VLOOKUP(E734,'Inventaire des produits'!$B$4:$K$1000,2,0),"")</f>
        <v>CUILLERE LUX</v>
      </c>
      <c r="G734" s="264">
        <v>10</v>
      </c>
      <c r="H734" s="90">
        <v>20</v>
      </c>
      <c r="I734" s="95">
        <f t="shared" si="22"/>
        <v>200</v>
      </c>
      <c r="J734" s="95">
        <f t="shared" si="23"/>
        <v>240</v>
      </c>
      <c r="K734" s="93">
        <f>IFERROR(VLOOKUP(E734,'Inventaire des produits'!$B$4:$J$1000,5,FALSE),"")</f>
        <v>0</v>
      </c>
      <c r="L734" s="301">
        <f>IFERROR(VLOOKUP(E734,'Inventaire des produits'!$B$4:$J$1000,6,FALSE),"")</f>
        <v>14.4</v>
      </c>
      <c r="M734" s="62"/>
    </row>
    <row r="735" spans="2:13" x14ac:dyDescent="0.3">
      <c r="B735" s="378" t="s">
        <v>1704</v>
      </c>
      <c r="C735" s="341"/>
      <c r="D735" s="352"/>
      <c r="E735" s="235" t="s">
        <v>783</v>
      </c>
      <c r="F735" s="271" t="str">
        <f>IFERROR(VLOOKUP(E735,'Inventaire des produits'!$B$4:$K$1000,2,0),"")</f>
        <v>SACHET PLASTIQUE</v>
      </c>
      <c r="G735" s="247">
        <v>40</v>
      </c>
      <c r="H735" s="90">
        <v>29.166666660000001</v>
      </c>
      <c r="I735" s="95">
        <f t="shared" si="22"/>
        <v>1166.6666663999999</v>
      </c>
      <c r="J735" s="95">
        <f t="shared" si="23"/>
        <v>1399.99999968</v>
      </c>
      <c r="K735" s="93">
        <f>IFERROR(VLOOKUP(E735,'Inventaire des produits'!$B$4:$J$1000,5,FALSE),"")</f>
        <v>0</v>
      </c>
      <c r="L735" s="301">
        <f>IFERROR(VLOOKUP(E735,'Inventaire des produits'!$B$4:$J$1000,6,FALSE),"")</f>
        <v>22</v>
      </c>
      <c r="M735" s="62"/>
    </row>
    <row r="736" spans="2:13" x14ac:dyDescent="0.3">
      <c r="B736" s="378" t="s">
        <v>1704</v>
      </c>
      <c r="C736" s="342"/>
      <c r="D736" s="353"/>
      <c r="E736" s="235" t="s">
        <v>212</v>
      </c>
      <c r="F736" s="271" t="str">
        <f>IFERROR(VLOOKUP(E736,'Inventaire des produits'!$B$4:$K$1000,2,0),"")</f>
        <v>GANT VINYL LARGE/100PCS</v>
      </c>
      <c r="G736" s="247">
        <v>33</v>
      </c>
      <c r="H736" s="90">
        <v>33.3333333</v>
      </c>
      <c r="I736" s="95">
        <f t="shared" si="22"/>
        <v>1099.9999989</v>
      </c>
      <c r="J736" s="95">
        <f t="shared" si="23"/>
        <v>1319.9999986800001</v>
      </c>
      <c r="K736" s="93">
        <f>IFERROR(VLOOKUP(E736,'Inventaire des produits'!$B$4:$J$1000,5,FALSE),"")</f>
        <v>0</v>
      </c>
      <c r="L736" s="301">
        <f>IFERROR(VLOOKUP(E736,'Inventaire des produits'!$B$4:$J$1000,6,FALSE),"")</f>
        <v>26.6</v>
      </c>
      <c r="M736" s="62"/>
    </row>
    <row r="737" spans="2:13" x14ac:dyDescent="0.3">
      <c r="B737" s="378" t="s">
        <v>1704</v>
      </c>
      <c r="C737" s="55">
        <v>45436</v>
      </c>
      <c r="D737" s="60" t="s">
        <v>902</v>
      </c>
      <c r="E737" s="235" t="s">
        <v>781</v>
      </c>
      <c r="F737" s="271" t="str">
        <f>IFERROR(VLOOKUP(E737,'Inventaire des produits'!$B$4:$K$1000,2,0),"")</f>
        <v>BARQUETTE ALUMINIUM 31808 ROND</v>
      </c>
      <c r="G737" s="247">
        <v>20000</v>
      </c>
      <c r="H737" s="90">
        <f>0.92/1.2</f>
        <v>0.76666666666666672</v>
      </c>
      <c r="I737" s="95">
        <f t="shared" si="22"/>
        <v>15333.333333333334</v>
      </c>
      <c r="J737" s="95">
        <f t="shared" si="23"/>
        <v>18400</v>
      </c>
      <c r="K737" s="93">
        <f>IFERROR(VLOOKUP(E737,'Inventaire des produits'!$B$4:$J$1000,5,FALSE),"")</f>
        <v>0</v>
      </c>
      <c r="L737" s="301">
        <f>IFERROR(VLOOKUP(E737,'Inventaire des produits'!$B$4:$J$1000,6,FALSE),"")</f>
        <v>0.6</v>
      </c>
      <c r="M737" s="62">
        <v>18400</v>
      </c>
    </row>
    <row r="738" spans="2:13" x14ac:dyDescent="0.3">
      <c r="B738" s="378" t="s">
        <v>1704</v>
      </c>
      <c r="C738" s="55">
        <v>45436</v>
      </c>
      <c r="D738" s="60" t="s">
        <v>903</v>
      </c>
      <c r="E738" s="235" t="s">
        <v>306</v>
      </c>
      <c r="F738" s="271" t="str">
        <f>IFERROR(VLOOKUP(E738,'Inventaire des produits'!$B$4:$K$1000,2,0),"")</f>
        <v>BARQUETTE SUSHI 216*136 ET CVL CARTON 400PCS</v>
      </c>
      <c r="G738" s="50">
        <v>650</v>
      </c>
      <c r="H738" s="85">
        <v>1.6666700000000001</v>
      </c>
      <c r="I738" s="95">
        <f t="shared" si="22"/>
        <v>1083.3355000000001</v>
      </c>
      <c r="J738" s="95">
        <f t="shared" si="23"/>
        <v>1300.0026</v>
      </c>
      <c r="K738" s="93">
        <f>IFERROR(VLOOKUP(E738,'Inventaire des produits'!$B$4:$J$1000,5,FALSE),"")</f>
        <v>0</v>
      </c>
      <c r="L738" s="301">
        <f>IFERROR(VLOOKUP(E738,'Inventaire des produits'!$B$4:$J$1000,6,FALSE),"")</f>
        <v>1.5</v>
      </c>
      <c r="M738" s="62">
        <v>1300</v>
      </c>
    </row>
    <row r="739" spans="2:13" x14ac:dyDescent="0.3">
      <c r="B739" s="378" t="s">
        <v>1704</v>
      </c>
      <c r="C739" s="340">
        <v>45439</v>
      </c>
      <c r="D739" s="351" t="s">
        <v>904</v>
      </c>
      <c r="E739" s="235" t="s">
        <v>222</v>
      </c>
      <c r="F739" s="271" t="str">
        <f>IFERROR(VLOOKUP(E739,'Inventaire des produits'!$B$4:$K$1000,2,0),"")</f>
        <v>FILM ALIMENTAIRE ELEGENCE</v>
      </c>
      <c r="G739" s="247">
        <v>5</v>
      </c>
      <c r="H739" s="90">
        <v>33.332000000000001</v>
      </c>
      <c r="I739" s="95">
        <f t="shared" si="22"/>
        <v>166.66</v>
      </c>
      <c r="J739" s="95">
        <f t="shared" si="23"/>
        <v>199.99199999999999</v>
      </c>
      <c r="K739" s="93">
        <f>IFERROR(VLOOKUP(E739,'Inventaire des produits'!$B$4:$J$1000,5,FALSE),"")</f>
        <v>0</v>
      </c>
      <c r="L739" s="301">
        <f>IFERROR(VLOOKUP(E739,'Inventaire des produits'!$B$4:$J$1000,6,FALSE),"")</f>
        <v>20</v>
      </c>
      <c r="M739" s="62">
        <v>1651</v>
      </c>
    </row>
    <row r="740" spans="2:13" x14ac:dyDescent="0.3">
      <c r="B740" s="378" t="s">
        <v>1704</v>
      </c>
      <c r="C740" s="341"/>
      <c r="D740" s="352"/>
      <c r="E740" s="235" t="s">
        <v>584</v>
      </c>
      <c r="F740" s="271" t="str">
        <f>IFERROR(VLOOKUP(E740,'Inventaire des produits'!$B$4:$K$1000,2,0),"")</f>
        <v>ROULEAU ALUMINIUM EXTRA PACK 200M</v>
      </c>
      <c r="G740" s="247">
        <v>3</v>
      </c>
      <c r="H740" s="90">
        <v>75</v>
      </c>
      <c r="I740" s="95">
        <f t="shared" si="22"/>
        <v>225</v>
      </c>
      <c r="J740" s="95">
        <f t="shared" si="23"/>
        <v>270</v>
      </c>
      <c r="K740" s="93">
        <f>IFERROR(VLOOKUP(E740,'Inventaire des produits'!$B$4:$J$1000,5,FALSE),"")</f>
        <v>0</v>
      </c>
      <c r="L740" s="301">
        <f>IFERROR(VLOOKUP(E740,'Inventaire des produits'!$B$4:$J$1000,6,FALSE),"")</f>
        <v>50</v>
      </c>
      <c r="M740" s="62"/>
    </row>
    <row r="741" spans="2:13" x14ac:dyDescent="0.3">
      <c r="B741" s="378" t="s">
        <v>1704</v>
      </c>
      <c r="C741" s="341"/>
      <c r="D741" s="352"/>
      <c r="E741" s="235" t="s">
        <v>483</v>
      </c>
      <c r="F741" s="271" t="str">
        <f>IFERROR(VLOOKUP(E741,'Inventaire des produits'!$B$4:$K$1000,2,0),"")</f>
        <v>SERVIETTE</v>
      </c>
      <c r="G741" s="247">
        <v>60</v>
      </c>
      <c r="H741" s="90">
        <v>4</v>
      </c>
      <c r="I741" s="95">
        <f t="shared" si="22"/>
        <v>240</v>
      </c>
      <c r="J741" s="95">
        <f t="shared" si="23"/>
        <v>288</v>
      </c>
      <c r="K741" s="93">
        <f>IFERROR(VLOOKUP(E741,'Inventaire des produits'!$B$4:$J$1000,5,FALSE),"")</f>
        <v>0</v>
      </c>
      <c r="L741" s="301">
        <f>IFERROR(VLOOKUP(E741,'Inventaire des produits'!$B$4:$J$1000,6,FALSE),"")</f>
        <v>2.3333333333000001</v>
      </c>
      <c r="M741" s="62"/>
    </row>
    <row r="742" spans="2:13" x14ac:dyDescent="0.3">
      <c r="B742" s="378" t="s">
        <v>1704</v>
      </c>
      <c r="C742" s="341"/>
      <c r="D742" s="352"/>
      <c r="E742" s="235" t="s">
        <v>418</v>
      </c>
      <c r="F742" s="271" t="str">
        <f>IFERROR(VLOOKUP(E742,'Inventaire des produits'!$B$4:$K$1000,2,0),"")</f>
        <v>ROULEAU DE CAISSE THERMIQUE 70X80</v>
      </c>
      <c r="G742" s="247">
        <v>10</v>
      </c>
      <c r="H742" s="90">
        <v>10</v>
      </c>
      <c r="I742" s="95">
        <f t="shared" si="22"/>
        <v>100</v>
      </c>
      <c r="J742" s="95">
        <f t="shared" si="23"/>
        <v>120</v>
      </c>
      <c r="K742" s="93">
        <f>IFERROR(VLOOKUP(E742,'Inventaire des produits'!$B$4:$J$1000,5,FALSE),"")</f>
        <v>0</v>
      </c>
      <c r="L742" s="301">
        <f>IFERROR(VLOOKUP(E742,'Inventaire des produits'!$B$4:$J$1000,6,FALSE),"")</f>
        <v>8</v>
      </c>
      <c r="M742" s="62"/>
    </row>
    <row r="743" spans="2:13" x14ac:dyDescent="0.3">
      <c r="B743" s="378" t="s">
        <v>1704</v>
      </c>
      <c r="C743" s="341"/>
      <c r="D743" s="352"/>
      <c r="E743" s="235" t="s">
        <v>258</v>
      </c>
      <c r="F743" s="271" t="str">
        <f>IFERROR(VLOOKUP(E743,'Inventaire des produits'!$B$4:$K$1000,2,0),"")</f>
        <v>BARQUETTE ST5</v>
      </c>
      <c r="G743" s="247">
        <v>100</v>
      </c>
      <c r="H743" s="90">
        <v>1.6660999999999999</v>
      </c>
      <c r="I743" s="95">
        <f t="shared" si="22"/>
        <v>166.60999999999999</v>
      </c>
      <c r="J743" s="95">
        <f t="shared" si="23"/>
        <v>199.93199999999999</v>
      </c>
      <c r="K743" s="93">
        <f>IFERROR(VLOOKUP(E743,'Inventaire des produits'!$B$4:$J$1000,5,FALSE),"")</f>
        <v>0</v>
      </c>
      <c r="L743" s="301">
        <f>IFERROR(VLOOKUP(E743,'Inventaire des produits'!$B$4:$J$1000,6,FALSE),"")</f>
        <v>1.3333333332999999</v>
      </c>
      <c r="M743" s="62"/>
    </row>
    <row r="744" spans="2:13" x14ac:dyDescent="0.3">
      <c r="B744" s="378" t="s">
        <v>1704</v>
      </c>
      <c r="C744" s="341"/>
      <c r="D744" s="352"/>
      <c r="E744" s="235" t="s">
        <v>598</v>
      </c>
      <c r="F744" s="271" t="str">
        <f>IFERROR(VLOOKUP(E744,'Inventaire des produits'!$B$4:$K$1000,2,0),"")</f>
        <v>GOBLET EN CARTON 8OZ AVEC CVL</v>
      </c>
      <c r="G744" s="247">
        <v>500</v>
      </c>
      <c r="H744" s="90">
        <v>0.52500000000000002</v>
      </c>
      <c r="I744" s="95">
        <f t="shared" si="22"/>
        <v>262.5</v>
      </c>
      <c r="J744" s="95">
        <f t="shared" si="23"/>
        <v>315</v>
      </c>
      <c r="K744" s="93">
        <f>IFERROR(VLOOKUP(E744,'Inventaire des produits'!$B$4:$J$1000,5,FALSE),"")</f>
        <v>0</v>
      </c>
      <c r="L744" s="301">
        <f>IFERROR(VLOOKUP(E744,'Inventaire des produits'!$B$4:$J$1000,6,FALSE),"")</f>
        <v>0.41699999999999998</v>
      </c>
      <c r="M744" s="62"/>
    </row>
    <row r="745" spans="2:13" x14ac:dyDescent="0.3">
      <c r="B745" s="378" t="s">
        <v>1704</v>
      </c>
      <c r="C745" s="341"/>
      <c r="D745" s="352"/>
      <c r="E745" s="235" t="s">
        <v>158</v>
      </c>
      <c r="F745" s="271" t="str">
        <f>IFERROR(VLOOKUP(E745,'Inventaire des produits'!$B$4:$K$1000,2,0),"")</f>
        <v>CUILLERE PETIT</v>
      </c>
      <c r="G745" s="247">
        <v>600</v>
      </c>
      <c r="H745" s="90">
        <v>0.06</v>
      </c>
      <c r="I745" s="95">
        <f t="shared" si="22"/>
        <v>36</v>
      </c>
      <c r="J745" s="95">
        <f t="shared" si="23"/>
        <v>43.199999999999996</v>
      </c>
      <c r="K745" s="93">
        <f>IFERROR(VLOOKUP(E745,'Inventaire des produits'!$B$4:$J$1000,5,FALSE),"")</f>
        <v>0</v>
      </c>
      <c r="L745" s="301">
        <f>IFERROR(VLOOKUP(E745,'Inventaire des produits'!$B$4:$J$1000,6,FALSE),"")</f>
        <v>5.8329499999999999E-2</v>
      </c>
      <c r="M745" s="62"/>
    </row>
    <row r="746" spans="2:13" x14ac:dyDescent="0.3">
      <c r="B746" s="378" t="s">
        <v>1704</v>
      </c>
      <c r="C746" s="342"/>
      <c r="D746" s="353"/>
      <c r="E746" s="235" t="s">
        <v>690</v>
      </c>
      <c r="F746" s="271" t="str">
        <f>IFERROR(VLOOKUP(E746,'Inventaire des produits'!$B$4:$K$1000,2,0),"")</f>
        <v>POT DE SAUCE 1OZ ET CVL</v>
      </c>
      <c r="G746" s="247">
        <v>1100</v>
      </c>
      <c r="H746" s="79">
        <v>0.16278500000000001</v>
      </c>
      <c r="I746" s="95">
        <f t="shared" si="22"/>
        <v>179.0635</v>
      </c>
      <c r="J746" s="95">
        <f t="shared" si="23"/>
        <v>214.87620000000001</v>
      </c>
      <c r="K746" s="93">
        <f>IFERROR(VLOOKUP(E746,'Inventaire des produits'!$B$4:$J$1000,5,FALSE),"")</f>
        <v>0</v>
      </c>
      <c r="L746" s="301">
        <f>IFERROR(VLOOKUP(E746,'Inventaire des produits'!$B$4:$J$1000,6,FALSE),"")</f>
        <v>0.15833333329999999</v>
      </c>
      <c r="M746" s="62"/>
    </row>
    <row r="747" spans="2:13" x14ac:dyDescent="0.3">
      <c r="B747" s="378" t="s">
        <v>1704</v>
      </c>
      <c r="C747" s="340">
        <v>45440</v>
      </c>
      <c r="D747" s="337" t="s">
        <v>937</v>
      </c>
      <c r="E747" s="235" t="s">
        <v>389</v>
      </c>
      <c r="F747" s="271" t="str">
        <f>IFERROR(VLOOKUP(E747,'Inventaire des produits'!$B$4:$K$1000,2,0),"")</f>
        <v>ROULEAU ALUMINIUM EXTRA PACK 200M</v>
      </c>
      <c r="G747" s="50">
        <v>19</v>
      </c>
      <c r="H747" s="85">
        <v>66.666666599999999</v>
      </c>
      <c r="I747" s="95">
        <f t="shared" si="22"/>
        <v>1266.6666654000001</v>
      </c>
      <c r="J747" s="95">
        <f t="shared" si="23"/>
        <v>1519.9999984799999</v>
      </c>
      <c r="K747" s="93">
        <f>IFERROR(VLOOKUP(E747,'Inventaire des produits'!$B$4:$J$1000,5,FALSE),"")</f>
        <v>0</v>
      </c>
      <c r="L747" s="301">
        <f>IFERROR(VLOOKUP(E747,'Inventaire des produits'!$B$4:$J$1000,6,FALSE),"")</f>
        <v>57.5</v>
      </c>
      <c r="M747" s="62">
        <v>3150</v>
      </c>
    </row>
    <row r="748" spans="2:13" x14ac:dyDescent="0.3">
      <c r="B748" s="378" t="s">
        <v>1704</v>
      </c>
      <c r="C748" s="341"/>
      <c r="D748" s="338"/>
      <c r="E748" s="235" t="s">
        <v>483</v>
      </c>
      <c r="F748" s="271" t="str">
        <f>IFERROR(VLOOKUP(E748,'Inventaire des produits'!$B$4:$K$1000,2,0),"")</f>
        <v>SERVIETTE</v>
      </c>
      <c r="G748" s="64">
        <v>315</v>
      </c>
      <c r="H748" s="80">
        <v>3.7830599999999999</v>
      </c>
      <c r="I748" s="95">
        <f t="shared" si="22"/>
        <v>1191.6639</v>
      </c>
      <c r="J748" s="95">
        <f t="shared" si="23"/>
        <v>1429.99668</v>
      </c>
      <c r="K748" s="93">
        <f>IFERROR(VLOOKUP(E748,'Inventaire des produits'!$B$4:$J$1000,5,FALSE),"")</f>
        <v>0</v>
      </c>
      <c r="L748" s="301">
        <f>IFERROR(VLOOKUP(E748,'Inventaire des produits'!$B$4:$J$1000,6,FALSE),"")</f>
        <v>2.3333333333000001</v>
      </c>
      <c r="M748" s="62"/>
    </row>
    <row r="749" spans="2:13" x14ac:dyDescent="0.3">
      <c r="B749" s="378" t="s">
        <v>1704</v>
      </c>
      <c r="C749" s="341"/>
      <c r="D749" s="338"/>
      <c r="E749" s="235" t="s">
        <v>537</v>
      </c>
      <c r="F749" s="271" t="str">
        <f>IFERROR(VLOOKUP(E749,'Inventaire des produits'!$B$4:$K$1000,2,0),"")</f>
        <v>PAILLE ENVELOPPE 6MM CODE 100 TRANS</v>
      </c>
      <c r="G749" s="260">
        <v>20</v>
      </c>
      <c r="H749" s="80">
        <v>8.3333332999999996</v>
      </c>
      <c r="I749" s="95">
        <f t="shared" si="22"/>
        <v>166.66666599999999</v>
      </c>
      <c r="J749" s="95">
        <f t="shared" si="23"/>
        <v>199.99999919999999</v>
      </c>
      <c r="K749" s="93">
        <f>IFERROR(VLOOKUP(E749,'Inventaire des produits'!$B$4:$J$1000,5,FALSE),"")</f>
        <v>0</v>
      </c>
      <c r="L749" s="301">
        <f>IFERROR(VLOOKUP(E749,'Inventaire des produits'!$B$4:$J$1000,6,FALSE),"")</f>
        <v>4.5</v>
      </c>
      <c r="M749" s="62"/>
    </row>
    <row r="750" spans="2:13" x14ac:dyDescent="0.3">
      <c r="B750" s="378" t="s">
        <v>1704</v>
      </c>
      <c r="C750" s="55">
        <v>45441</v>
      </c>
      <c r="D750" s="54" t="s">
        <v>917</v>
      </c>
      <c r="E750" s="235" t="s">
        <v>290</v>
      </c>
      <c r="F750" s="271" t="str">
        <f>IFERROR(VLOOKUP(E750,'Inventaire des produits'!$B$4:$K$1000,2,0),"")</f>
        <v>GOBLET 14OZ EN PLASTIQUE TRANS SMART AVEC CVL PLAT</v>
      </c>
      <c r="G750" s="247">
        <v>5000</v>
      </c>
      <c r="H750" s="79">
        <v>0.65</v>
      </c>
      <c r="I750" s="95">
        <f t="shared" si="22"/>
        <v>3250</v>
      </c>
      <c r="J750" s="95">
        <f t="shared" si="23"/>
        <v>3900</v>
      </c>
      <c r="K750" s="93">
        <f>IFERROR(VLOOKUP(E750,'Inventaire des produits'!$B$4:$J$1000,5,FALSE),"")</f>
        <v>0</v>
      </c>
      <c r="L750" s="301">
        <f>IFERROR(VLOOKUP(E750,'Inventaire des produits'!$B$4:$J$1000,6,FALSE),"")</f>
        <v>0.43333749999999999</v>
      </c>
      <c r="M750" s="62">
        <v>3900</v>
      </c>
    </row>
    <row r="751" spans="2:13" x14ac:dyDescent="0.3">
      <c r="B751" s="378" t="s">
        <v>1704</v>
      </c>
      <c r="C751" s="340">
        <v>45446</v>
      </c>
      <c r="D751" s="337" t="s">
        <v>931</v>
      </c>
      <c r="E751" s="235" t="s">
        <v>120</v>
      </c>
      <c r="F751" s="271" t="str">
        <f>IFERROR(VLOOKUP(E751,'Inventaire des produits'!$B$4:$K$1000,2,0),"")</f>
        <v>BARQUETTE MICRON ONDABLE 2 COMP AVEC CVL 300PCS</v>
      </c>
      <c r="G751" s="50">
        <v>1</v>
      </c>
      <c r="H751" s="85">
        <v>825</v>
      </c>
      <c r="I751" s="95">
        <f t="shared" si="22"/>
        <v>825</v>
      </c>
      <c r="J751" s="95">
        <f t="shared" si="23"/>
        <v>990</v>
      </c>
      <c r="K751" s="93">
        <f>IFERROR(VLOOKUP(E751,'Inventaire des produits'!$B$4:$J$1000,5,FALSE),"")</f>
        <v>0</v>
      </c>
      <c r="L751" s="301">
        <f>IFERROR(VLOOKUP(E751,'Inventaire des produits'!$B$4:$J$1000,6,FALSE),"")</f>
        <v>562.5</v>
      </c>
      <c r="M751" s="62">
        <v>5346</v>
      </c>
    </row>
    <row r="752" spans="2:13" x14ac:dyDescent="0.3">
      <c r="B752" s="378" t="s">
        <v>1704</v>
      </c>
      <c r="C752" s="341"/>
      <c r="D752" s="338"/>
      <c r="E752" s="235" t="s">
        <v>483</v>
      </c>
      <c r="F752" s="271" t="str">
        <f>IFERROR(VLOOKUP(E752,'Inventaire des produits'!$B$4:$K$1000,2,0),"")</f>
        <v>SERVIETTE</v>
      </c>
      <c r="G752" s="64">
        <v>160</v>
      </c>
      <c r="H752" s="80">
        <v>4</v>
      </c>
      <c r="I752" s="95">
        <f t="shared" si="22"/>
        <v>640</v>
      </c>
      <c r="J752" s="95">
        <f t="shared" si="23"/>
        <v>768</v>
      </c>
      <c r="K752" s="93">
        <f>IFERROR(VLOOKUP(E752,'Inventaire des produits'!$B$4:$J$1000,5,FALSE),"")</f>
        <v>0</v>
      </c>
      <c r="L752" s="301">
        <f>IFERROR(VLOOKUP(E752,'Inventaire des produits'!$B$4:$J$1000,6,FALSE),"")</f>
        <v>2.3333333333000001</v>
      </c>
      <c r="M752" s="62"/>
    </row>
    <row r="753" spans="2:13" x14ac:dyDescent="0.3">
      <c r="B753" s="378" t="s">
        <v>1704</v>
      </c>
      <c r="C753" s="341"/>
      <c r="D753" s="338"/>
      <c r="E753" s="235" t="s">
        <v>222</v>
      </c>
      <c r="F753" s="271" t="str">
        <f>IFERROR(VLOOKUP(E753,'Inventaire des produits'!$B$4:$K$1000,2,0),"")</f>
        <v>FILM ALIMENTAIRE ELEGENCE</v>
      </c>
      <c r="G753" s="260">
        <v>14</v>
      </c>
      <c r="H753" s="80">
        <v>31.666666660000001</v>
      </c>
      <c r="I753" s="95">
        <f t="shared" si="22"/>
        <v>443.33333324</v>
      </c>
      <c r="J753" s="95">
        <f t="shared" si="23"/>
        <v>531.99999988799993</v>
      </c>
      <c r="K753" s="93">
        <f>IFERROR(VLOOKUP(E753,'Inventaire des produits'!$B$4:$J$1000,5,FALSE),"")</f>
        <v>0</v>
      </c>
      <c r="L753" s="301">
        <f>IFERROR(VLOOKUP(E753,'Inventaire des produits'!$B$4:$J$1000,6,FALSE),"")</f>
        <v>20</v>
      </c>
      <c r="M753" s="62"/>
    </row>
    <row r="754" spans="2:13" x14ac:dyDescent="0.3">
      <c r="B754" s="378" t="s">
        <v>1704</v>
      </c>
      <c r="C754" s="341"/>
      <c r="D754" s="338"/>
      <c r="E754" s="235" t="s">
        <v>479</v>
      </c>
      <c r="F754" s="271" t="str">
        <f>IFERROR(VLOOKUP(E754,'Inventaire des produits'!$B$4:$K$1000,2,0),"")</f>
        <v xml:space="preserve">SAC KRAFT 22*17*28 </v>
      </c>
      <c r="G754" s="260">
        <v>347</v>
      </c>
      <c r="H754" s="80">
        <v>1.0609999999999999</v>
      </c>
      <c r="I754" s="95">
        <f t="shared" si="22"/>
        <v>368.16699999999997</v>
      </c>
      <c r="J754" s="95">
        <f t="shared" si="23"/>
        <v>441.80039999999997</v>
      </c>
      <c r="K754" s="93">
        <f>IFERROR(VLOOKUP(E754,'Inventaire des produits'!$B$4:$J$1000,5,FALSE),"")</f>
        <v>0</v>
      </c>
      <c r="L754" s="301">
        <f>IFERROR(VLOOKUP(E754,'Inventaire des produits'!$B$4:$J$1000,6,FALSE),"")</f>
        <v>0.71</v>
      </c>
      <c r="M754" s="62"/>
    </row>
    <row r="755" spans="2:13" x14ac:dyDescent="0.3">
      <c r="B755" s="378" t="s">
        <v>1704</v>
      </c>
      <c r="C755" s="341"/>
      <c r="D755" s="338"/>
      <c r="E755" s="235" t="s">
        <v>293</v>
      </c>
      <c r="F755" s="271" t="str">
        <f>IFERROR(VLOOKUP(E755,'Inventaire des produits'!$B$4:$K$1000,2,0),"")</f>
        <v>PAPIER ZIGZAG</v>
      </c>
      <c r="G755" s="263">
        <v>40</v>
      </c>
      <c r="H755" s="80">
        <v>12.5</v>
      </c>
      <c r="I755" s="95">
        <f t="shared" si="22"/>
        <v>500</v>
      </c>
      <c r="J755" s="95">
        <f t="shared" si="23"/>
        <v>600</v>
      </c>
      <c r="K755" s="93">
        <f>IFERROR(VLOOKUP(E755,'Inventaire des produits'!$B$4:$J$1000,5,FALSE),"")</f>
        <v>0</v>
      </c>
      <c r="L755" s="301">
        <f>IFERROR(VLOOKUP(E755,'Inventaire des produits'!$B$4:$J$1000,6,FALSE),"")</f>
        <v>9</v>
      </c>
      <c r="M755" s="62"/>
    </row>
    <row r="756" spans="2:13" x14ac:dyDescent="0.3">
      <c r="B756" s="378" t="s">
        <v>1704</v>
      </c>
      <c r="C756" s="341"/>
      <c r="D756" s="338"/>
      <c r="E756" s="235" t="s">
        <v>162</v>
      </c>
      <c r="F756" s="271" t="str">
        <f>IFERROR(VLOOKUP(E756,'Inventaire des produits'!$B$4:$K$1000,2,0),"")</f>
        <v>COQUILLE LUNCH BOX LARGE HB10 BLANC</v>
      </c>
      <c r="G756" s="263">
        <v>300</v>
      </c>
      <c r="H756" s="80">
        <v>1</v>
      </c>
      <c r="I756" s="95">
        <f t="shared" si="22"/>
        <v>300</v>
      </c>
      <c r="J756" s="95">
        <f t="shared" si="23"/>
        <v>360</v>
      </c>
      <c r="K756" s="93">
        <f>IFERROR(VLOOKUP(E756,'Inventaire des produits'!$B$4:$J$1000,5,FALSE),"")</f>
        <v>0</v>
      </c>
      <c r="L756" s="301">
        <f>IFERROR(VLOOKUP(E756,'Inventaire des produits'!$B$4:$J$1000,6,FALSE),"")</f>
        <v>0.75</v>
      </c>
      <c r="M756" s="62"/>
    </row>
    <row r="757" spans="2:13" x14ac:dyDescent="0.3">
      <c r="B757" s="378" t="s">
        <v>1704</v>
      </c>
      <c r="C757" s="341"/>
      <c r="D757" s="338"/>
      <c r="E757" s="235" t="s">
        <v>236</v>
      </c>
      <c r="F757" s="271" t="str">
        <f>IFERROR(VLOOKUP(E757,'Inventaire des produits'!$B$4:$K$1000,2,0),"")</f>
        <v>COQUILLE MEAL BOX 2 COMP BLANC</v>
      </c>
      <c r="G757" s="263">
        <v>400</v>
      </c>
      <c r="H757" s="80">
        <v>1.25</v>
      </c>
      <c r="I757" s="95">
        <f t="shared" si="22"/>
        <v>500</v>
      </c>
      <c r="J757" s="95">
        <f t="shared" si="23"/>
        <v>600</v>
      </c>
      <c r="K757" s="93">
        <f>IFERROR(VLOOKUP(E757,'Inventaire des produits'!$B$4:$J$1000,5,FALSE),"")</f>
        <v>0</v>
      </c>
      <c r="L757" s="301">
        <f>IFERROR(VLOOKUP(E757,'Inventaire des produits'!$B$4:$J$1000,6,FALSE),"")</f>
        <v>0.91666666669999997</v>
      </c>
      <c r="M757" s="62"/>
    </row>
    <row r="758" spans="2:13" x14ac:dyDescent="0.3">
      <c r="B758" s="378" t="s">
        <v>1704</v>
      </c>
      <c r="C758" s="341"/>
      <c r="D758" s="338"/>
      <c r="E758" s="235" t="s">
        <v>224</v>
      </c>
      <c r="F758" s="271" t="str">
        <f>IFERROR(VLOOKUP(E758,'Inventaire des produits'!$B$4:$K$1000,2,0),"")</f>
        <v>FOURCHETTE LUX</v>
      </c>
      <c r="G758" s="258">
        <v>15</v>
      </c>
      <c r="H758" s="80">
        <v>0.23333300000000001</v>
      </c>
      <c r="I758" s="95">
        <f t="shared" si="22"/>
        <v>3.4999950000000002</v>
      </c>
      <c r="J758" s="95">
        <f t="shared" si="23"/>
        <v>4.1999940000000002</v>
      </c>
      <c r="K758" s="93">
        <f>IFERROR(VLOOKUP(E758,'Inventaire des produits'!$B$4:$J$1000,5,FALSE),"")</f>
        <v>0</v>
      </c>
      <c r="L758" s="301">
        <f>IFERROR(VLOOKUP(E758,'Inventaire des produits'!$B$4:$J$1000,6,FALSE),"")</f>
        <v>14.382</v>
      </c>
      <c r="M758" s="62"/>
    </row>
    <row r="759" spans="2:13" x14ac:dyDescent="0.3">
      <c r="B759" s="378" t="s">
        <v>1704</v>
      </c>
      <c r="C759" s="341"/>
      <c r="D759" s="338"/>
      <c r="E759" s="235" t="s">
        <v>537</v>
      </c>
      <c r="F759" s="271" t="str">
        <f>IFERROR(VLOOKUP(E759,'Inventaire des produits'!$B$4:$K$1000,2,0),"")</f>
        <v>PAILLE ENVELOPPE 6MM CODE 100 TRANS</v>
      </c>
      <c r="G759" s="260">
        <v>6</v>
      </c>
      <c r="H759" s="80">
        <v>8.3333332999999996</v>
      </c>
      <c r="I759" s="95">
        <f t="shared" si="22"/>
        <v>49.999999799999998</v>
      </c>
      <c r="J759" s="95">
        <f t="shared" si="23"/>
        <v>59.999999759999994</v>
      </c>
      <c r="K759" s="93">
        <f>IFERROR(VLOOKUP(E759,'Inventaire des produits'!$B$4:$J$1000,5,FALSE),"")</f>
        <v>0</v>
      </c>
      <c r="L759" s="301">
        <f>IFERROR(VLOOKUP(E759,'Inventaire des produits'!$B$4:$J$1000,6,FALSE),"")</f>
        <v>4.5</v>
      </c>
      <c r="M759" s="62"/>
    </row>
    <row r="760" spans="2:13" x14ac:dyDescent="0.3">
      <c r="B760" s="378" t="s">
        <v>1704</v>
      </c>
      <c r="C760" s="342"/>
      <c r="D760" s="339"/>
      <c r="E760" s="235" t="s">
        <v>506</v>
      </c>
      <c r="F760" s="271" t="str">
        <f>IFERROR(VLOOKUP(E760,'Inventaire des produits'!$B$4:$K$1000,2,0),"")</f>
        <v xml:space="preserve">BARQUETTE MICRON ONDABLE 2 COMP </v>
      </c>
      <c r="G760" s="260">
        <v>300</v>
      </c>
      <c r="H760" s="80">
        <v>2.75</v>
      </c>
      <c r="I760" s="95">
        <f t="shared" si="22"/>
        <v>825</v>
      </c>
      <c r="J760" s="95">
        <f t="shared" si="23"/>
        <v>990</v>
      </c>
      <c r="K760" s="93">
        <f>IFERROR(VLOOKUP(E760,'Inventaire des produits'!$B$4:$J$1000,5,FALSE),"")</f>
        <v>0</v>
      </c>
      <c r="L760" s="301">
        <f>IFERROR(VLOOKUP(E760,'Inventaire des produits'!$B$4:$J$1000,6,FALSE),"")</f>
        <v>1.6666666667000001</v>
      </c>
      <c r="M760" s="62"/>
    </row>
    <row r="761" spans="2:13" x14ac:dyDescent="0.3">
      <c r="B761" s="378" t="s">
        <v>1704</v>
      </c>
      <c r="C761" s="55">
        <v>45447</v>
      </c>
      <c r="D761" s="54" t="s">
        <v>932</v>
      </c>
      <c r="E761" s="235" t="s">
        <v>802</v>
      </c>
      <c r="F761" s="271" t="str">
        <f>IFERROR(VLOOKUP(E761,'Inventaire des produits'!$B$4:$K$1000,2,0),"")</f>
        <v>BOITE PIZZA 29</v>
      </c>
      <c r="G761" s="50">
        <v>15</v>
      </c>
      <c r="H761" s="85">
        <v>58.333333330000002</v>
      </c>
      <c r="I761" s="95">
        <f t="shared" si="22"/>
        <v>874.99999995000007</v>
      </c>
      <c r="J761" s="95">
        <f t="shared" si="23"/>
        <v>1049.99999994</v>
      </c>
      <c r="K761" s="93">
        <f>IFERROR(VLOOKUP(E761,'Inventaire des produits'!$B$4:$J$1000,5,FALSE),"")</f>
        <v>0</v>
      </c>
      <c r="L761" s="301">
        <f>IFERROR(VLOOKUP(E761,'Inventaire des produits'!$B$4:$J$1000,6,FALSE),"")</f>
        <v>40</v>
      </c>
      <c r="M761" s="62">
        <v>1050</v>
      </c>
    </row>
    <row r="762" spans="2:13" x14ac:dyDescent="0.3">
      <c r="B762" s="378" t="s">
        <v>1704</v>
      </c>
      <c r="C762" s="340">
        <v>45448</v>
      </c>
      <c r="D762" s="337" t="s">
        <v>933</v>
      </c>
      <c r="E762" s="235" t="s">
        <v>389</v>
      </c>
      <c r="F762" s="271" t="str">
        <f>IFERROR(VLOOKUP(E762,'Inventaire des produits'!$B$4:$K$1000,2,0),"")</f>
        <v>ROULEAU ALUMINIUM EXTRA PACK 200M</v>
      </c>
      <c r="G762" s="50">
        <v>5</v>
      </c>
      <c r="H762" s="85">
        <v>66.599999999999994</v>
      </c>
      <c r="I762" s="95">
        <f t="shared" si="22"/>
        <v>333</v>
      </c>
      <c r="J762" s="95">
        <f t="shared" si="23"/>
        <v>399.59999999999997</v>
      </c>
      <c r="K762" s="93">
        <f>IFERROR(VLOOKUP(E762,'Inventaire des produits'!$B$4:$J$1000,5,FALSE),"")</f>
        <v>0</v>
      </c>
      <c r="L762" s="301">
        <f>IFERROR(VLOOKUP(E762,'Inventaire des produits'!$B$4:$J$1000,6,FALSE),"")</f>
        <v>57.5</v>
      </c>
      <c r="M762" s="62">
        <v>6131</v>
      </c>
    </row>
    <row r="763" spans="2:13" x14ac:dyDescent="0.3">
      <c r="B763" s="378" t="s">
        <v>1704</v>
      </c>
      <c r="C763" s="341"/>
      <c r="D763" s="338"/>
      <c r="E763" s="235" t="s">
        <v>57</v>
      </c>
      <c r="F763" s="271" t="str">
        <f>IFERROR(VLOOKUP(E763,'Inventaire des produits'!$B$4:$K$1000,2,0),"")</f>
        <v>GANT VINYL EXTRA PREMIUM GLOVE MEDIUM</v>
      </c>
      <c r="G763" s="64">
        <v>10</v>
      </c>
      <c r="H763" s="80">
        <v>33.299999999999997</v>
      </c>
      <c r="I763" s="95">
        <f t="shared" si="22"/>
        <v>333</v>
      </c>
      <c r="J763" s="95">
        <f t="shared" si="23"/>
        <v>399.59999999999997</v>
      </c>
      <c r="K763" s="93">
        <f>IFERROR(VLOOKUP(E763,'Inventaire des produits'!$B$4:$J$1000,5,FALSE),"")</f>
        <v>0</v>
      </c>
      <c r="L763" s="301">
        <f>IFERROR(VLOOKUP(E763,'Inventaire des produits'!$B$4:$J$1000,6,FALSE),"")</f>
        <v>24.74</v>
      </c>
      <c r="M763" s="62"/>
    </row>
    <row r="764" spans="2:13" x14ac:dyDescent="0.3">
      <c r="B764" s="378" t="s">
        <v>1704</v>
      </c>
      <c r="C764" s="341"/>
      <c r="D764" s="338"/>
      <c r="E764" s="235" t="s">
        <v>139</v>
      </c>
      <c r="F764" s="271" t="str">
        <f>IFERROR(VLOOKUP(E764,'Inventaire des produits'!$B$4:$K$1000,2,0),"")</f>
        <v>FILM ALIMENTAIRE 600G PET</v>
      </c>
      <c r="G764" s="260">
        <v>23</v>
      </c>
      <c r="H764" s="80">
        <v>20</v>
      </c>
      <c r="I764" s="95">
        <f t="shared" si="22"/>
        <v>460</v>
      </c>
      <c r="J764" s="95">
        <f t="shared" si="23"/>
        <v>552</v>
      </c>
      <c r="K764" s="93">
        <f>IFERROR(VLOOKUP(E764,'Inventaire des produits'!$B$4:$J$1000,5,FALSE),"")</f>
        <v>0</v>
      </c>
      <c r="L764" s="301">
        <f>IFERROR(VLOOKUP(E764,'Inventaire des produits'!$B$4:$J$1000,6,FALSE),"")</f>
        <v>12</v>
      </c>
      <c r="M764" s="62"/>
    </row>
    <row r="765" spans="2:13" x14ac:dyDescent="0.3">
      <c r="B765" s="378" t="s">
        <v>1704</v>
      </c>
      <c r="C765" s="341"/>
      <c r="D765" s="338"/>
      <c r="E765" s="235" t="s">
        <v>226</v>
      </c>
      <c r="F765" s="271" t="str">
        <f>IFERROR(VLOOKUP(E765,'Inventaire des produits'!$B$4:$K$1000,2,0),"")</f>
        <v>CUILLERE LUX</v>
      </c>
      <c r="G765" s="260">
        <v>38</v>
      </c>
      <c r="H765" s="80">
        <v>20.111999999999998</v>
      </c>
      <c r="I765" s="95">
        <f t="shared" si="22"/>
        <v>764.25599999999997</v>
      </c>
      <c r="J765" s="95">
        <f t="shared" si="23"/>
        <v>917.10719999999992</v>
      </c>
      <c r="K765" s="93">
        <f>IFERROR(VLOOKUP(E765,'Inventaire des produits'!$B$4:$J$1000,5,FALSE),"")</f>
        <v>0</v>
      </c>
      <c r="L765" s="301">
        <f>IFERROR(VLOOKUP(E765,'Inventaire des produits'!$B$4:$J$1000,6,FALSE),"")</f>
        <v>14.4</v>
      </c>
      <c r="M765" s="62"/>
    </row>
    <row r="766" spans="2:13" x14ac:dyDescent="0.3">
      <c r="B766" s="378" t="s">
        <v>1704</v>
      </c>
      <c r="C766" s="341"/>
      <c r="D766" s="338"/>
      <c r="E766" s="235" t="s">
        <v>224</v>
      </c>
      <c r="F766" s="271" t="str">
        <f>IFERROR(VLOOKUP(E766,'Inventaire des produits'!$B$4:$K$1000,2,0),"")</f>
        <v>FOURCHETTE LUX</v>
      </c>
      <c r="G766" s="263">
        <v>37</v>
      </c>
      <c r="H766" s="80">
        <v>20.111999999999998</v>
      </c>
      <c r="I766" s="95">
        <f t="shared" si="22"/>
        <v>744.14399999999989</v>
      </c>
      <c r="J766" s="95">
        <f t="shared" si="23"/>
        <v>892.97279999999989</v>
      </c>
      <c r="K766" s="93">
        <f>IFERROR(VLOOKUP(E766,'Inventaire des produits'!$B$4:$J$1000,5,FALSE),"")</f>
        <v>0</v>
      </c>
      <c r="L766" s="301">
        <f>IFERROR(VLOOKUP(E766,'Inventaire des produits'!$B$4:$J$1000,6,FALSE),"")</f>
        <v>14.382</v>
      </c>
      <c r="M766" s="62"/>
    </row>
    <row r="767" spans="2:13" x14ac:dyDescent="0.3">
      <c r="B767" s="378" t="s">
        <v>1704</v>
      </c>
      <c r="C767" s="341"/>
      <c r="D767" s="338"/>
      <c r="E767" s="235" t="s">
        <v>230</v>
      </c>
      <c r="F767" s="271" t="str">
        <f>IFERROR(VLOOKUP(E767,'Inventaire des produits'!$B$4:$K$1000,2,0),"")</f>
        <v>BARQUETTE MICRON ONDABLE 3 COMP AVEC CVL 300PCS</v>
      </c>
      <c r="G767" s="263">
        <v>1</v>
      </c>
      <c r="H767" s="80">
        <v>644.77</v>
      </c>
      <c r="I767" s="95">
        <f t="shared" si="22"/>
        <v>644.77</v>
      </c>
      <c r="J767" s="95">
        <f t="shared" si="23"/>
        <v>773.72399999999993</v>
      </c>
      <c r="K767" s="93">
        <f>IFERROR(VLOOKUP(E767,'Inventaire des produits'!$B$4:$J$1000,5,FALSE),"")</f>
        <v>0</v>
      </c>
      <c r="L767" s="301">
        <f>IFERROR(VLOOKUP(E767,'Inventaire des produits'!$B$4:$J$1000,6,FALSE),"")</f>
        <v>500</v>
      </c>
      <c r="M767" s="62"/>
    </row>
    <row r="768" spans="2:13" x14ac:dyDescent="0.3">
      <c r="B768" s="378" t="s">
        <v>1704</v>
      </c>
      <c r="C768" s="341"/>
      <c r="D768" s="338"/>
      <c r="E768" s="235" t="s">
        <v>821</v>
      </c>
      <c r="F768" s="271" t="str">
        <f>IFERROR(VLOOKUP(E768,'Inventaire des produits'!$B$4:$K$1000,2,0),"")</f>
        <v>SAC PN BLANC NI 30*40*10</v>
      </c>
      <c r="G768" s="263">
        <v>1000</v>
      </c>
      <c r="H768" s="80">
        <v>0.5</v>
      </c>
      <c r="I768" s="95">
        <f t="shared" si="22"/>
        <v>500</v>
      </c>
      <c r="J768" s="95">
        <f t="shared" si="23"/>
        <v>600</v>
      </c>
      <c r="K768" s="93">
        <f>IFERROR(VLOOKUP(E768,'Inventaire des produits'!$B$4:$J$1000,5,FALSE),"")</f>
        <v>0</v>
      </c>
      <c r="L768" s="301">
        <f>IFERROR(VLOOKUP(E768,'Inventaire des produits'!$B$4:$J$1000,6,FALSE),"")</f>
        <v>0.33333333329999998</v>
      </c>
      <c r="M768" s="62"/>
    </row>
    <row r="769" spans="2:13" x14ac:dyDescent="0.3">
      <c r="B769" s="378" t="s">
        <v>1704</v>
      </c>
      <c r="C769" s="341"/>
      <c r="D769" s="338"/>
      <c r="E769" s="235" t="s">
        <v>822</v>
      </c>
      <c r="F769" s="271" t="str">
        <f>IFERROR(VLOOKUP(E769,'Inventaire des produits'!$B$4:$K$1000,2,0),"")</f>
        <v>SAC PN BLANC UNI 40*45*10</v>
      </c>
      <c r="G769" s="258">
        <v>1000</v>
      </c>
      <c r="H769" s="80">
        <v>0.57999999999999996</v>
      </c>
      <c r="I769" s="95">
        <f t="shared" si="22"/>
        <v>580</v>
      </c>
      <c r="J769" s="95">
        <f t="shared" si="23"/>
        <v>696</v>
      </c>
      <c r="K769" s="93">
        <f>IFERROR(VLOOKUP(E769,'Inventaire des produits'!$B$4:$J$1000,5,FALSE),"")</f>
        <v>0</v>
      </c>
      <c r="L769" s="301">
        <f>IFERROR(VLOOKUP(E769,'Inventaire des produits'!$B$4:$J$1000,6,FALSE),"")</f>
        <v>0.45834000000000003</v>
      </c>
      <c r="M769" s="62"/>
    </row>
    <row r="770" spans="2:13" x14ac:dyDescent="0.3">
      <c r="B770" s="378" t="s">
        <v>1704</v>
      </c>
      <c r="C770" s="342"/>
      <c r="D770" s="339"/>
      <c r="E770" s="235" t="s">
        <v>483</v>
      </c>
      <c r="F770" s="271" t="str">
        <f>IFERROR(VLOOKUP(E770,'Inventaire des produits'!$B$4:$K$1000,2,0),"")</f>
        <v>SERVIETTE</v>
      </c>
      <c r="G770" s="260">
        <v>200</v>
      </c>
      <c r="H770" s="80">
        <v>3.75</v>
      </c>
      <c r="I770" s="95">
        <f t="shared" si="22"/>
        <v>750</v>
      </c>
      <c r="J770" s="95">
        <f t="shared" si="23"/>
        <v>900</v>
      </c>
      <c r="K770" s="93">
        <f>IFERROR(VLOOKUP(E770,'Inventaire des produits'!$B$4:$J$1000,5,FALSE),"")</f>
        <v>0</v>
      </c>
      <c r="L770" s="301">
        <f>IFERROR(VLOOKUP(E770,'Inventaire des produits'!$B$4:$J$1000,6,FALSE),"")</f>
        <v>2.3333333333000001</v>
      </c>
      <c r="M770" s="62"/>
    </row>
    <row r="771" spans="2:13" x14ac:dyDescent="0.3">
      <c r="B771" s="378" t="s">
        <v>1704</v>
      </c>
      <c r="C771" s="340">
        <v>45448</v>
      </c>
      <c r="D771" s="337" t="s">
        <v>934</v>
      </c>
      <c r="E771" s="235" t="s">
        <v>32</v>
      </c>
      <c r="F771" s="271" t="str">
        <f>IFERROR(VLOOKUP(E771,'Inventaire des produits'!$B$4:$K$1000,2,0),"")</f>
        <v>BARQUETTE ALUMINIUM 808</v>
      </c>
      <c r="G771" s="259">
        <v>2953</v>
      </c>
      <c r="H771" s="85">
        <v>0.83333333333333337</v>
      </c>
      <c r="I771" s="95">
        <f t="shared" si="22"/>
        <v>2460.8333333333335</v>
      </c>
      <c r="J771" s="95">
        <f t="shared" si="23"/>
        <v>2953</v>
      </c>
      <c r="K771" s="93">
        <f>IFERROR(VLOOKUP(E771,'Inventaire des produits'!$B$4:$J$1000,5,FALSE),"")</f>
        <v>0</v>
      </c>
      <c r="L771" s="301">
        <f>IFERROR(VLOOKUP(E771,'Inventaire des produits'!$B$4:$J$1000,6,FALSE),"")</f>
        <v>0.79166666669999997</v>
      </c>
      <c r="M771" s="62">
        <v>5500</v>
      </c>
    </row>
    <row r="772" spans="2:13" x14ac:dyDescent="0.3">
      <c r="B772" s="378" t="s">
        <v>1704</v>
      </c>
      <c r="C772" s="341"/>
      <c r="D772" s="338"/>
      <c r="E772" s="235" t="s">
        <v>217</v>
      </c>
      <c r="F772" s="271" t="str">
        <f>IFERROR(VLOOKUP(E772,'Inventaire des produits'!$B$4:$K$1000,2,0),"")</f>
        <v>BARQUETTE ALUMINIUM 802</v>
      </c>
      <c r="G772" s="260">
        <v>2000</v>
      </c>
      <c r="H772" s="80">
        <v>0.63300000000000001</v>
      </c>
      <c r="I772" s="95">
        <f t="shared" si="22"/>
        <v>1266</v>
      </c>
      <c r="J772" s="95">
        <f t="shared" si="23"/>
        <v>1519.2</v>
      </c>
      <c r="K772" s="93">
        <f>IFERROR(VLOOKUP(E772,'Inventaire des produits'!$B$4:$J$1000,5,FALSE),"")</f>
        <v>0</v>
      </c>
      <c r="L772" s="301">
        <f>IFERROR(VLOOKUP(E772,'Inventaire des produits'!$B$4:$J$1000,6,FALSE),"")</f>
        <v>0.55417000000000005</v>
      </c>
      <c r="M772" s="62"/>
    </row>
    <row r="773" spans="2:13" x14ac:dyDescent="0.3">
      <c r="B773" s="378" t="s">
        <v>1704</v>
      </c>
      <c r="C773" s="341"/>
      <c r="D773" s="338"/>
      <c r="E773" s="235" t="s">
        <v>228</v>
      </c>
      <c r="F773" s="271" t="str">
        <f>IFERROR(VLOOKUP(E773,'Inventaire des produits'!$B$4:$K$1000,2,0),"")</f>
        <v>BARQUETTE ALUMINIUM RECT 1200ML AVEC CVL</v>
      </c>
      <c r="G773" s="246">
        <v>1000</v>
      </c>
      <c r="H773" s="78">
        <v>0.85650000000000004</v>
      </c>
      <c r="I773" s="95">
        <f t="shared" ref="I773:I836" si="24">IF(OR(G773="",H773=""),"",G773*H773)</f>
        <v>856.5</v>
      </c>
      <c r="J773" s="95">
        <f t="shared" ref="J773:J836" si="25">IF(OR(I773=""),"",I773*1.2)</f>
        <v>1027.8</v>
      </c>
      <c r="K773" s="93">
        <f>IFERROR(VLOOKUP(E773,'Inventaire des produits'!$B$4:$J$1000,5,FALSE),"")</f>
        <v>0</v>
      </c>
      <c r="L773" s="301">
        <f>IFERROR(VLOOKUP(E773,'Inventaire des produits'!$B$4:$J$1000,6,FALSE),"")</f>
        <v>0.72499999999999998</v>
      </c>
      <c r="M773" s="62"/>
    </row>
    <row r="774" spans="2:13" x14ac:dyDescent="0.3">
      <c r="B774" s="378" t="s">
        <v>1704</v>
      </c>
      <c r="C774" s="340">
        <v>45448</v>
      </c>
      <c r="D774" s="337" t="s">
        <v>935</v>
      </c>
      <c r="E774" s="235" t="s">
        <v>224</v>
      </c>
      <c r="F774" s="271" t="str">
        <f>IFERROR(VLOOKUP(E774,'Inventaire des produits'!$B$4:$K$1000,2,0),"")</f>
        <v>FOURCHETTE LUX</v>
      </c>
      <c r="G774" s="247">
        <v>27</v>
      </c>
      <c r="H774" s="79">
        <v>19.166666660000001</v>
      </c>
      <c r="I774" s="95">
        <f t="shared" si="24"/>
        <v>517.49999981999997</v>
      </c>
      <c r="J774" s="95">
        <f t="shared" si="25"/>
        <v>620.9999997839999</v>
      </c>
      <c r="K774" s="93">
        <f>IFERROR(VLOOKUP(E774,'Inventaire des produits'!$B$4:$J$1000,5,FALSE),"")</f>
        <v>0</v>
      </c>
      <c r="L774" s="301">
        <f>IFERROR(VLOOKUP(E774,'Inventaire des produits'!$B$4:$J$1000,6,FALSE),"")</f>
        <v>14.382</v>
      </c>
      <c r="M774" s="62">
        <v>11331</v>
      </c>
    </row>
    <row r="775" spans="2:13" x14ac:dyDescent="0.3">
      <c r="B775" s="378" t="s">
        <v>1704</v>
      </c>
      <c r="C775" s="341"/>
      <c r="D775" s="338"/>
      <c r="E775" s="235" t="s">
        <v>226</v>
      </c>
      <c r="F775" s="271" t="str">
        <f>IFERROR(VLOOKUP(E775,'Inventaire des produits'!$B$4:$K$1000,2,0),"")</f>
        <v>CUILLERE LUX</v>
      </c>
      <c r="G775" s="247">
        <v>26</v>
      </c>
      <c r="H775" s="79">
        <v>19.166666660000001</v>
      </c>
      <c r="I775" s="95">
        <f t="shared" si="24"/>
        <v>498.33333316</v>
      </c>
      <c r="J775" s="95">
        <f t="shared" si="25"/>
        <v>597.99999979199993</v>
      </c>
      <c r="K775" s="93">
        <f>IFERROR(VLOOKUP(E775,'Inventaire des produits'!$B$4:$J$1000,5,FALSE),"")</f>
        <v>0</v>
      </c>
      <c r="L775" s="301">
        <f>IFERROR(VLOOKUP(E775,'Inventaire des produits'!$B$4:$J$1000,6,FALSE),"")</f>
        <v>14.4</v>
      </c>
      <c r="M775" s="62"/>
    </row>
    <row r="776" spans="2:13" x14ac:dyDescent="0.3">
      <c r="B776" s="378" t="s">
        <v>1704</v>
      </c>
      <c r="C776" s="341"/>
      <c r="D776" s="338"/>
      <c r="E776" s="235" t="s">
        <v>236</v>
      </c>
      <c r="F776" s="271" t="str">
        <f>IFERROR(VLOOKUP(E776,'Inventaire des produits'!$B$4:$K$1000,2,0),"")</f>
        <v>COQUILLE MEAL BOX 2 COMP BLANC</v>
      </c>
      <c r="G776" s="247">
        <v>2000</v>
      </c>
      <c r="H776" s="79">
        <v>1.0416666666666701</v>
      </c>
      <c r="I776" s="95">
        <f t="shared" si="24"/>
        <v>2083.3333333333403</v>
      </c>
      <c r="J776" s="95">
        <f t="shared" si="25"/>
        <v>2500.0000000000082</v>
      </c>
      <c r="K776" s="93">
        <f>IFERROR(VLOOKUP(E776,'Inventaire des produits'!$B$4:$J$1000,5,FALSE),"")</f>
        <v>0</v>
      </c>
      <c r="L776" s="301">
        <f>IFERROR(VLOOKUP(E776,'Inventaire des produits'!$B$4:$J$1000,6,FALSE),"")</f>
        <v>0.91666666669999997</v>
      </c>
      <c r="M776" s="62"/>
    </row>
    <row r="777" spans="2:13" x14ac:dyDescent="0.3">
      <c r="B777" s="378" t="s">
        <v>1704</v>
      </c>
      <c r="C777" s="341"/>
      <c r="D777" s="338"/>
      <c r="E777" s="235" t="s">
        <v>228</v>
      </c>
      <c r="F777" s="271" t="str">
        <f>IFERROR(VLOOKUP(E777,'Inventaire des produits'!$B$4:$K$1000,2,0),"")</f>
        <v>BARQUETTE ALUMINIUM RECT 1200ML AVEC CVL</v>
      </c>
      <c r="G777" s="247">
        <v>3000</v>
      </c>
      <c r="H777" s="79">
        <v>0.87555499999999997</v>
      </c>
      <c r="I777" s="95">
        <f t="shared" si="24"/>
        <v>2626.665</v>
      </c>
      <c r="J777" s="95">
        <f t="shared" si="25"/>
        <v>3151.998</v>
      </c>
      <c r="K777" s="93">
        <f>IFERROR(VLOOKUP(E777,'Inventaire des produits'!$B$4:$J$1000,5,FALSE),"")</f>
        <v>0</v>
      </c>
      <c r="L777" s="301">
        <f>IFERROR(VLOOKUP(E777,'Inventaire des produits'!$B$4:$J$1000,6,FALSE),"")</f>
        <v>0.72499999999999998</v>
      </c>
      <c r="M777" s="62"/>
    </row>
    <row r="778" spans="2:13" x14ac:dyDescent="0.3">
      <c r="B778" s="378" t="s">
        <v>1704</v>
      </c>
      <c r="C778" s="341"/>
      <c r="D778" s="338"/>
      <c r="E778" s="235" t="s">
        <v>222</v>
      </c>
      <c r="F778" s="271" t="str">
        <f>IFERROR(VLOOKUP(E778,'Inventaire des produits'!$B$4:$K$1000,2,0),"")</f>
        <v>FILM ALIMENTAIRE ELEGENCE</v>
      </c>
      <c r="G778" s="247">
        <v>20</v>
      </c>
      <c r="H778" s="79">
        <v>26.666599999999999</v>
      </c>
      <c r="I778" s="95">
        <f t="shared" si="24"/>
        <v>533.33199999999999</v>
      </c>
      <c r="J778" s="95">
        <f t="shared" si="25"/>
        <v>639.99839999999995</v>
      </c>
      <c r="K778" s="93">
        <f>IFERROR(VLOOKUP(E778,'Inventaire des produits'!$B$4:$J$1000,5,FALSE),"")</f>
        <v>0</v>
      </c>
      <c r="L778" s="301">
        <f>IFERROR(VLOOKUP(E778,'Inventaire des produits'!$B$4:$J$1000,6,FALSE),"")</f>
        <v>20</v>
      </c>
      <c r="M778" s="62"/>
    </row>
    <row r="779" spans="2:13" x14ac:dyDescent="0.3">
      <c r="B779" s="378" t="s">
        <v>1704</v>
      </c>
      <c r="C779" s="341"/>
      <c r="D779" s="338"/>
      <c r="E779" s="235" t="s">
        <v>282</v>
      </c>
      <c r="F779" s="271" t="str">
        <f>IFERROR(VLOOKUP(E779,'Inventaire des produits'!$B$4:$K$1000,2,0),"")</f>
        <v>BARQUETTE 150CC</v>
      </c>
      <c r="G779" s="247">
        <v>3</v>
      </c>
      <c r="H779" s="79">
        <v>250</v>
      </c>
      <c r="I779" s="95">
        <f t="shared" si="24"/>
        <v>750</v>
      </c>
      <c r="J779" s="95">
        <f t="shared" si="25"/>
        <v>900</v>
      </c>
      <c r="K779" s="93">
        <f>IFERROR(VLOOKUP(E779,'Inventaire des produits'!$B$4:$J$1000,5,FALSE),"")</f>
        <v>0</v>
      </c>
      <c r="L779" s="301">
        <f>IFERROR(VLOOKUP(E779,'Inventaire des produits'!$B$4:$J$1000,6,FALSE),"")</f>
        <v>208.33</v>
      </c>
      <c r="M779" s="62"/>
    </row>
    <row r="780" spans="2:13" x14ac:dyDescent="0.3">
      <c r="B780" s="378" t="s">
        <v>1704</v>
      </c>
      <c r="C780" s="341"/>
      <c r="D780" s="338"/>
      <c r="E780" s="235" t="s">
        <v>389</v>
      </c>
      <c r="F780" s="271" t="str">
        <f>IFERROR(VLOOKUP(E780,'Inventaire des produits'!$B$4:$K$1000,2,0),"")</f>
        <v>ROULEAU ALUMINIUM EXTRA PACK 200M</v>
      </c>
      <c r="G780" s="247">
        <v>15</v>
      </c>
      <c r="H780" s="79">
        <v>65</v>
      </c>
      <c r="I780" s="95">
        <f t="shared" si="24"/>
        <v>975</v>
      </c>
      <c r="J780" s="95">
        <f t="shared" si="25"/>
        <v>1170</v>
      </c>
      <c r="K780" s="93">
        <f>IFERROR(VLOOKUP(E780,'Inventaire des produits'!$B$4:$J$1000,5,FALSE),"")</f>
        <v>0</v>
      </c>
      <c r="L780" s="301">
        <f>IFERROR(VLOOKUP(E780,'Inventaire des produits'!$B$4:$J$1000,6,FALSE),"")</f>
        <v>57.5</v>
      </c>
      <c r="M780" s="62"/>
    </row>
    <row r="781" spans="2:13" x14ac:dyDescent="0.3">
      <c r="B781" s="378" t="s">
        <v>1704</v>
      </c>
      <c r="C781" s="341"/>
      <c r="D781" s="338"/>
      <c r="E781" s="235" t="s">
        <v>894</v>
      </c>
      <c r="F781" s="271" t="str">
        <f>IFERROR(VLOOKUP(E781,'Inventaire des produits'!$B$4:$K$1000,2,0),"")</f>
        <v>COQUILLE MEAL BOX 2 COMP BLANC</v>
      </c>
      <c r="G781" s="247">
        <v>1400</v>
      </c>
      <c r="H781" s="79">
        <v>1.0416666666666701</v>
      </c>
      <c r="I781" s="95">
        <f t="shared" si="24"/>
        <v>1458.333333333338</v>
      </c>
      <c r="J781" s="95">
        <f t="shared" si="25"/>
        <v>1750.0000000000057</v>
      </c>
      <c r="K781" s="93">
        <f>IFERROR(VLOOKUP(E781,'Inventaire des produits'!$B$4:$J$1000,5,FALSE),"")</f>
        <v>0</v>
      </c>
      <c r="L781" s="301">
        <f>IFERROR(VLOOKUP(E781,'Inventaire des produits'!$B$4:$J$1000,6,FALSE),"")</f>
        <v>0.91666666669999997</v>
      </c>
      <c r="M781" s="62"/>
    </row>
    <row r="782" spans="2:13" x14ac:dyDescent="0.3">
      <c r="B782" s="378" t="s">
        <v>1704</v>
      </c>
      <c r="C782" s="340">
        <v>45449</v>
      </c>
      <c r="D782" s="337" t="s">
        <v>936</v>
      </c>
      <c r="E782" s="235" t="s">
        <v>681</v>
      </c>
      <c r="F782" s="271" t="str">
        <f>IFERROR(VLOOKUP(E782,'Inventaire des produits'!$B$4:$K$1000,2,0),"")</f>
        <v>BARQUETTE TRAITEUR 500CC MICRON-ONDABLE TRANS</v>
      </c>
      <c r="G782" s="247">
        <v>750</v>
      </c>
      <c r="H782" s="79">
        <v>1.25</v>
      </c>
      <c r="I782" s="95">
        <f t="shared" si="24"/>
        <v>937.5</v>
      </c>
      <c r="J782" s="95">
        <f t="shared" si="25"/>
        <v>1125</v>
      </c>
      <c r="K782" s="93">
        <f>IFERROR(VLOOKUP(E782,'Inventaire des produits'!$B$4:$J$1000,5,FALSE),"")</f>
        <v>300</v>
      </c>
      <c r="L782" s="301">
        <f>IFERROR(VLOOKUP(E782,'Inventaire des produits'!$B$4:$J$1000,6,FALSE),"")</f>
        <v>1.0833333332999999</v>
      </c>
      <c r="M782" s="62">
        <v>4370</v>
      </c>
    </row>
    <row r="783" spans="2:13" x14ac:dyDescent="0.3">
      <c r="B783" s="378" t="s">
        <v>1704</v>
      </c>
      <c r="C783" s="341"/>
      <c r="D783" s="338"/>
      <c r="E783" s="235" t="s">
        <v>677</v>
      </c>
      <c r="F783" s="271" t="str">
        <f>IFERROR(VLOOKUP(E783,'Inventaire des produits'!$B$4:$K$1000,2,0),"")</f>
        <v>BARQUETTE TRAITEUR 750CC MICRON ONDABLE</v>
      </c>
      <c r="G783" s="247">
        <v>500</v>
      </c>
      <c r="H783" s="79">
        <v>1.333333333333</v>
      </c>
      <c r="I783" s="95">
        <f t="shared" si="24"/>
        <v>666.66666666649996</v>
      </c>
      <c r="J783" s="95">
        <f t="shared" si="25"/>
        <v>799.99999999979991</v>
      </c>
      <c r="K783" s="93">
        <f>IFERROR(VLOOKUP(E783,'Inventaire des produits'!$B$4:$J$1000,5,FALSE),"")</f>
        <v>0</v>
      </c>
      <c r="L783" s="301">
        <f>IFERROR(VLOOKUP(E783,'Inventaire des produits'!$B$4:$J$1000,6,FALSE),"")</f>
        <v>1.1479166667</v>
      </c>
      <c r="M783" s="62"/>
    </row>
    <row r="784" spans="2:13" x14ac:dyDescent="0.3">
      <c r="B784" s="378" t="s">
        <v>1704</v>
      </c>
      <c r="C784" s="341"/>
      <c r="D784" s="338"/>
      <c r="E784" s="235" t="s">
        <v>372</v>
      </c>
      <c r="F784" s="271" t="str">
        <f>IFERROR(VLOOKUP(E784,'Inventaire des produits'!$B$4:$K$1000,2,0),"")</f>
        <v>BARQUETTE VITA PACK 750ML AVEC CVL</v>
      </c>
      <c r="G784" s="247">
        <v>400</v>
      </c>
      <c r="H784" s="79">
        <v>1.333333333333</v>
      </c>
      <c r="I784" s="95">
        <f t="shared" si="24"/>
        <v>533.33333333320002</v>
      </c>
      <c r="J784" s="95">
        <f t="shared" si="25"/>
        <v>639.99999999984004</v>
      </c>
      <c r="K784" s="93">
        <f>IFERROR(VLOOKUP(E784,'Inventaire des produits'!$B$4:$J$1000,5,FALSE),"")</f>
        <v>0</v>
      </c>
      <c r="L784" s="301">
        <f>IFERROR(VLOOKUP(E784,'Inventaire des produits'!$B$4:$J$1000,6,FALSE),"")</f>
        <v>1.34</v>
      </c>
      <c r="M784" s="62"/>
    </row>
    <row r="785" spans="2:13" x14ac:dyDescent="0.3">
      <c r="B785" s="378" t="s">
        <v>1704</v>
      </c>
      <c r="C785" s="341"/>
      <c r="D785" s="338"/>
      <c r="E785" s="235" t="s">
        <v>185</v>
      </c>
      <c r="F785" s="271" t="str">
        <f>IFERROR(VLOOKUP(E785,'Inventaire des produits'!$B$4:$K$1000,2,0),"")</f>
        <v>POT A NOUILLE 26OZ BLANC</v>
      </c>
      <c r="G785" s="247">
        <v>500</v>
      </c>
      <c r="H785" s="79">
        <v>1.2083333333333299</v>
      </c>
      <c r="I785" s="95">
        <f t="shared" si="24"/>
        <v>604.16666666666492</v>
      </c>
      <c r="J785" s="95">
        <f t="shared" si="25"/>
        <v>724.99999999999784</v>
      </c>
      <c r="K785" s="93">
        <f>IFERROR(VLOOKUP(E785,'Inventaire des produits'!$B$4:$J$1000,5,FALSE),"")</f>
        <v>0</v>
      </c>
      <c r="L785" s="301">
        <f>IFERROR(VLOOKUP(E785,'Inventaire des produits'!$B$4:$J$1000,6,FALSE),"")</f>
        <v>0.91666666669999997</v>
      </c>
      <c r="M785" s="62"/>
    </row>
    <row r="786" spans="2:13" x14ac:dyDescent="0.3">
      <c r="B786" s="378" t="s">
        <v>1704</v>
      </c>
      <c r="C786" s="341"/>
      <c r="D786" s="338"/>
      <c r="E786" s="235" t="s">
        <v>158</v>
      </c>
      <c r="F786" s="271" t="str">
        <f>IFERROR(VLOOKUP(E786,'Inventaire des produits'!$B$4:$K$1000,2,0),"")</f>
        <v>CUILLERE PETIT</v>
      </c>
      <c r="G786" s="247">
        <v>12000</v>
      </c>
      <c r="H786" s="79">
        <f>0.09/1.2</f>
        <v>7.4999999999999997E-2</v>
      </c>
      <c r="I786" s="95">
        <f t="shared" si="24"/>
        <v>900</v>
      </c>
      <c r="J786" s="95">
        <f t="shared" si="25"/>
        <v>1080</v>
      </c>
      <c r="K786" s="93">
        <f>IFERROR(VLOOKUP(E786,'Inventaire des produits'!$B$4:$J$1000,5,FALSE),"")</f>
        <v>0</v>
      </c>
      <c r="L786" s="301">
        <f>IFERROR(VLOOKUP(E786,'Inventaire des produits'!$B$4:$J$1000,6,FALSE),"")</f>
        <v>5.8329499999999999E-2</v>
      </c>
      <c r="M786" s="62"/>
    </row>
    <row r="787" spans="2:13" x14ac:dyDescent="0.3">
      <c r="B787" s="378" t="s">
        <v>1704</v>
      </c>
      <c r="C787" s="340">
        <v>45450</v>
      </c>
      <c r="D787" s="337" t="s">
        <v>938</v>
      </c>
      <c r="E787" s="235" t="s">
        <v>224</v>
      </c>
      <c r="F787" s="271" t="str">
        <f>IFERROR(VLOOKUP(E787,'Inventaire des produits'!$B$4:$K$1000,2,0),"")</f>
        <v>FOURCHETTE LUX</v>
      </c>
      <c r="G787" s="50">
        <v>6</v>
      </c>
      <c r="H787" s="85">
        <v>23.3333333</v>
      </c>
      <c r="I787" s="95">
        <f t="shared" si="24"/>
        <v>139.99999980000001</v>
      </c>
      <c r="J787" s="95">
        <f t="shared" si="25"/>
        <v>167.99999976000001</v>
      </c>
      <c r="K787" s="93">
        <f>IFERROR(VLOOKUP(E787,'Inventaire des produits'!$B$4:$J$1000,5,FALSE),"")</f>
        <v>0</v>
      </c>
      <c r="L787" s="301">
        <f>IFERROR(VLOOKUP(E787,'Inventaire des produits'!$B$4:$J$1000,6,FALSE),"")</f>
        <v>14.382</v>
      </c>
      <c r="M787" s="62">
        <v>1210</v>
      </c>
    </row>
    <row r="788" spans="2:13" x14ac:dyDescent="0.3">
      <c r="B788" s="378" t="s">
        <v>1704</v>
      </c>
      <c r="C788" s="341"/>
      <c r="D788" s="338"/>
      <c r="E788" s="235" t="s">
        <v>425</v>
      </c>
      <c r="F788" s="271" t="str">
        <f>IFERROR(VLOOKUP(E788,'Inventaire des produits'!$B$4:$K$1000,2,0),"")</f>
        <v>COUTEAU ECOLUXE TRANS</v>
      </c>
      <c r="G788" s="64">
        <v>5</v>
      </c>
      <c r="H788" s="80">
        <v>23.3333333</v>
      </c>
      <c r="I788" s="95">
        <f t="shared" si="24"/>
        <v>116.66666649999999</v>
      </c>
      <c r="J788" s="95">
        <f t="shared" si="25"/>
        <v>139.99999979999998</v>
      </c>
      <c r="K788" s="93">
        <f>IFERROR(VLOOKUP(E788,'Inventaire des produits'!$B$4:$J$1000,5,FALSE),"")</f>
        <v>0</v>
      </c>
      <c r="L788" s="301">
        <f>IFERROR(VLOOKUP(E788,'Inventaire des produits'!$B$4:$J$1000,6,FALSE),"")</f>
        <v>18.329999999999998</v>
      </c>
      <c r="M788" s="62"/>
    </row>
    <row r="789" spans="2:13" x14ac:dyDescent="0.3">
      <c r="B789" s="378" t="s">
        <v>1704</v>
      </c>
      <c r="C789" s="341"/>
      <c r="D789" s="338"/>
      <c r="E789" s="239" t="s">
        <v>403</v>
      </c>
      <c r="F789" s="271" t="str">
        <f>IFERROR(VLOOKUP(E789,'Inventaire des produits'!$B$4:$K$1000,2,0),"")</f>
        <v>GOBLET 4OZ SANS CVL EN CARTON BON APETIT ECO GB</v>
      </c>
      <c r="G789" s="260">
        <v>900</v>
      </c>
      <c r="H789" s="80">
        <v>0.18426000000000001</v>
      </c>
      <c r="I789" s="95">
        <f t="shared" si="24"/>
        <v>165.834</v>
      </c>
      <c r="J789" s="95">
        <f t="shared" si="25"/>
        <v>199.0008</v>
      </c>
      <c r="K789" s="93">
        <f>IFERROR(VLOOKUP(E789,'Inventaire des produits'!$B$4:$J$1000,5,FALSE),"")</f>
        <v>0</v>
      </c>
      <c r="L789" s="301">
        <f>IFERROR(VLOOKUP(E789,'Inventaire des produits'!$B$4:$J$1000,6,FALSE),"")</f>
        <v>8.3375000000000005E-2</v>
      </c>
      <c r="M789" s="62"/>
    </row>
    <row r="790" spans="2:13" x14ac:dyDescent="0.3">
      <c r="B790" s="378" t="s">
        <v>1704</v>
      </c>
      <c r="C790" s="341"/>
      <c r="D790" s="338"/>
      <c r="E790" s="239" t="s">
        <v>404</v>
      </c>
      <c r="F790" s="271" t="str">
        <f>IFERROR(VLOOKUP(E790,'Inventaire des produits'!$B$4:$K$1000,2,0),"")</f>
        <v>CVL GOBLET 4OZ BLANC BON APETIT</v>
      </c>
      <c r="G790" s="260">
        <v>900</v>
      </c>
      <c r="H790" s="80">
        <v>0.18426000000000001</v>
      </c>
      <c r="I790" s="95">
        <f t="shared" si="24"/>
        <v>165.834</v>
      </c>
      <c r="J790" s="95">
        <f t="shared" si="25"/>
        <v>199.0008</v>
      </c>
      <c r="K790" s="93">
        <f>IFERROR(VLOOKUP(E790,'Inventaire des produits'!$B$4:$J$1000,5,FALSE),"")</f>
        <v>0</v>
      </c>
      <c r="L790" s="301">
        <f>IFERROR(VLOOKUP(E790,'Inventaire des produits'!$B$4:$J$1000,6,FALSE),"")</f>
        <v>8.3375000000000005E-2</v>
      </c>
      <c r="M790" s="62"/>
    </row>
    <row r="791" spans="2:13" x14ac:dyDescent="0.3">
      <c r="B791" s="378" t="s">
        <v>1704</v>
      </c>
      <c r="C791" s="341"/>
      <c r="D791" s="338"/>
      <c r="E791" s="235" t="s">
        <v>729</v>
      </c>
      <c r="F791" s="271" t="str">
        <f>IFERROR(VLOOKUP(E791,'Inventaire des produits'!$B$4:$K$1000,2,0),"")</f>
        <v>COUTEAU ECOLUXE TRANS</v>
      </c>
      <c r="G791" s="263">
        <v>1</v>
      </c>
      <c r="H791" s="80">
        <v>23.333333329999999</v>
      </c>
      <c r="I791" s="95">
        <f t="shared" si="24"/>
        <v>23.333333329999999</v>
      </c>
      <c r="J791" s="95">
        <f t="shared" si="25"/>
        <v>27.999999995999996</v>
      </c>
      <c r="K791" s="93">
        <f>IFERROR(VLOOKUP(E791,'Inventaire des produits'!$B$4:$J$1000,5,FALSE),"")</f>
        <v>0</v>
      </c>
      <c r="L791" s="301">
        <f>IFERROR(VLOOKUP(E791,'Inventaire des produits'!$B$4:$J$1000,6,FALSE),"")</f>
        <v>17.5</v>
      </c>
      <c r="M791" s="62"/>
    </row>
    <row r="792" spans="2:13" x14ac:dyDescent="0.3">
      <c r="B792" s="378" t="s">
        <v>1704</v>
      </c>
      <c r="C792" s="341"/>
      <c r="D792" s="338"/>
      <c r="E792" s="235" t="s">
        <v>251</v>
      </c>
      <c r="F792" s="271" t="str">
        <f>IFERROR(VLOOKUP(E792,'Inventaire des produits'!$B$4:$K$1000,2,0),"")</f>
        <v>COUTEAU ECOLUXE</v>
      </c>
      <c r="G792" s="263">
        <v>2</v>
      </c>
      <c r="H792" s="80">
        <v>23.3333333</v>
      </c>
      <c r="I792" s="95">
        <f t="shared" si="24"/>
        <v>46.666666599999999</v>
      </c>
      <c r="J792" s="95">
        <f t="shared" si="25"/>
        <v>55.99999992</v>
      </c>
      <c r="K792" s="93">
        <f>IFERROR(VLOOKUP(E792,'Inventaire des produits'!$B$4:$J$1000,5,FALSE),"")</f>
        <v>0</v>
      </c>
      <c r="L792" s="301">
        <f>IFERROR(VLOOKUP(E792,'Inventaire des produits'!$B$4:$J$1000,6,FALSE),"")</f>
        <v>15.84</v>
      </c>
      <c r="M792" s="62"/>
    </row>
    <row r="793" spans="2:13" x14ac:dyDescent="0.3">
      <c r="B793" s="378" t="s">
        <v>1704</v>
      </c>
      <c r="C793" s="342"/>
      <c r="D793" s="339"/>
      <c r="E793" s="235" t="s">
        <v>730</v>
      </c>
      <c r="F793" s="271" t="str">
        <f>IFERROR(VLOOKUP(E793,'Inventaire des produits'!$B$4:$K$1000,2,0),"")</f>
        <v>PALETTE A GLACE BLANC</v>
      </c>
      <c r="G793" s="263">
        <v>15</v>
      </c>
      <c r="H793" s="80">
        <v>23.333333</v>
      </c>
      <c r="I793" s="95">
        <f t="shared" si="24"/>
        <v>349.99999500000001</v>
      </c>
      <c r="J793" s="95">
        <f t="shared" si="25"/>
        <v>419.99999400000002</v>
      </c>
      <c r="K793" s="93">
        <f>IFERROR(VLOOKUP(E793,'Inventaire des produits'!$B$4:$J$1000,5,FALSE),"")</f>
        <v>0</v>
      </c>
      <c r="L793" s="301">
        <f>IFERROR(VLOOKUP(E793,'Inventaire des produits'!$B$4:$J$1000,6,FALSE),"")</f>
        <v>18.34</v>
      </c>
      <c r="M793" s="62"/>
    </row>
    <row r="794" spans="2:13" x14ac:dyDescent="0.3">
      <c r="B794" s="378" t="s">
        <v>1704</v>
      </c>
      <c r="C794" s="340">
        <v>45450</v>
      </c>
      <c r="D794" s="337" t="s">
        <v>939</v>
      </c>
      <c r="E794" s="235" t="s">
        <v>389</v>
      </c>
      <c r="F794" s="271" t="str">
        <f>IFERROR(VLOOKUP(E794,'Inventaire des produits'!$B$4:$K$1000,2,0),"")</f>
        <v>ROULEAU ALUMINIUM EXTRA PACK 200M</v>
      </c>
      <c r="G794" s="264">
        <v>38</v>
      </c>
      <c r="H794" s="90">
        <v>66.599999999999994</v>
      </c>
      <c r="I794" s="95">
        <f t="shared" si="24"/>
        <v>2530.7999999999997</v>
      </c>
      <c r="J794" s="95">
        <f t="shared" si="25"/>
        <v>3036.9599999999996</v>
      </c>
      <c r="K794" s="93">
        <f>IFERROR(VLOOKUP(E794,'Inventaire des produits'!$B$4:$J$1000,5,FALSE),"")</f>
        <v>0</v>
      </c>
      <c r="L794" s="301">
        <f>IFERROR(VLOOKUP(E794,'Inventaire des produits'!$B$4:$J$1000,6,FALSE),"")</f>
        <v>57.5</v>
      </c>
      <c r="M794" s="62">
        <v>16000</v>
      </c>
    </row>
    <row r="795" spans="2:13" x14ac:dyDescent="0.3">
      <c r="B795" s="378" t="s">
        <v>1704</v>
      </c>
      <c r="C795" s="341"/>
      <c r="D795" s="338"/>
      <c r="E795" s="235" t="s">
        <v>212</v>
      </c>
      <c r="F795" s="271" t="str">
        <f>IFERROR(VLOOKUP(E795,'Inventaire des produits'!$B$4:$K$1000,2,0),"")</f>
        <v>GANT VINYL LARGE/100PCS</v>
      </c>
      <c r="G795" s="247">
        <v>47</v>
      </c>
      <c r="H795" s="79">
        <v>33.299999999999997</v>
      </c>
      <c r="I795" s="95">
        <f t="shared" si="24"/>
        <v>1565.1</v>
      </c>
      <c r="J795" s="95">
        <f t="shared" si="25"/>
        <v>1878.12</v>
      </c>
      <c r="K795" s="93">
        <f>IFERROR(VLOOKUP(E795,'Inventaire des produits'!$B$4:$J$1000,5,FALSE),"")</f>
        <v>0</v>
      </c>
      <c r="L795" s="301">
        <f>IFERROR(VLOOKUP(E795,'Inventaire des produits'!$B$4:$J$1000,6,FALSE),"")</f>
        <v>26.6</v>
      </c>
      <c r="M795" s="62"/>
    </row>
    <row r="796" spans="2:13" x14ac:dyDescent="0.3">
      <c r="B796" s="378" t="s">
        <v>1704</v>
      </c>
      <c r="C796" s="341"/>
      <c r="D796" s="338"/>
      <c r="E796" s="235" t="s">
        <v>139</v>
      </c>
      <c r="F796" s="271" t="str">
        <f>IFERROR(VLOOKUP(E796,'Inventaire des produits'!$B$4:$K$1000,2,0),"")</f>
        <v>FILM ALIMENTAIRE 600G PET</v>
      </c>
      <c r="G796" s="247">
        <v>27</v>
      </c>
      <c r="H796" s="79">
        <v>20</v>
      </c>
      <c r="I796" s="95">
        <f t="shared" si="24"/>
        <v>540</v>
      </c>
      <c r="J796" s="95">
        <f t="shared" si="25"/>
        <v>648</v>
      </c>
      <c r="K796" s="93">
        <f>IFERROR(VLOOKUP(E796,'Inventaire des produits'!$B$4:$J$1000,5,FALSE),"")</f>
        <v>0</v>
      </c>
      <c r="L796" s="301">
        <f>IFERROR(VLOOKUP(E796,'Inventaire des produits'!$B$4:$J$1000,6,FALSE),"")</f>
        <v>12</v>
      </c>
      <c r="M796" s="62"/>
    </row>
    <row r="797" spans="2:13" x14ac:dyDescent="0.3">
      <c r="B797" s="378" t="s">
        <v>1704</v>
      </c>
      <c r="C797" s="341"/>
      <c r="D797" s="338"/>
      <c r="E797" s="235" t="s">
        <v>226</v>
      </c>
      <c r="F797" s="271" t="str">
        <f>IFERROR(VLOOKUP(E797,'Inventaire des produits'!$B$4:$K$1000,2,0),"")</f>
        <v>CUILLERE LUX</v>
      </c>
      <c r="G797" s="247">
        <v>21</v>
      </c>
      <c r="H797" s="79">
        <v>20.111999999999998</v>
      </c>
      <c r="I797" s="95">
        <f t="shared" si="24"/>
        <v>422.35199999999998</v>
      </c>
      <c r="J797" s="95">
        <f t="shared" si="25"/>
        <v>506.82239999999996</v>
      </c>
      <c r="K797" s="93">
        <f>IFERROR(VLOOKUP(E797,'Inventaire des produits'!$B$4:$J$1000,5,FALSE),"")</f>
        <v>0</v>
      </c>
      <c r="L797" s="301">
        <f>IFERROR(VLOOKUP(E797,'Inventaire des produits'!$B$4:$J$1000,6,FALSE),"")</f>
        <v>14.4</v>
      </c>
      <c r="M797" s="62"/>
    </row>
    <row r="798" spans="2:13" x14ac:dyDescent="0.3">
      <c r="B798" s="378" t="s">
        <v>1704</v>
      </c>
      <c r="C798" s="341"/>
      <c r="D798" s="338"/>
      <c r="E798" s="235" t="s">
        <v>224</v>
      </c>
      <c r="F798" s="271" t="str">
        <f>IFERROR(VLOOKUP(E798,'Inventaire des produits'!$B$4:$K$1000,2,0),"")</f>
        <v>FOURCHETTE LUX</v>
      </c>
      <c r="G798" s="247">
        <v>44</v>
      </c>
      <c r="H798" s="79">
        <v>20.111999999999998</v>
      </c>
      <c r="I798" s="95">
        <f t="shared" si="24"/>
        <v>884.92799999999988</v>
      </c>
      <c r="J798" s="95">
        <f t="shared" si="25"/>
        <v>1061.9135999999999</v>
      </c>
      <c r="K798" s="93">
        <f>IFERROR(VLOOKUP(E798,'Inventaire des produits'!$B$4:$J$1000,5,FALSE),"")</f>
        <v>0</v>
      </c>
      <c r="L798" s="301">
        <f>IFERROR(VLOOKUP(E798,'Inventaire des produits'!$B$4:$J$1000,6,FALSE),"")</f>
        <v>14.382</v>
      </c>
      <c r="M798" s="62"/>
    </row>
    <row r="799" spans="2:13" x14ac:dyDescent="0.3">
      <c r="B799" s="378" t="s">
        <v>1704</v>
      </c>
      <c r="C799" s="341"/>
      <c r="D799" s="338"/>
      <c r="E799" s="235" t="s">
        <v>519</v>
      </c>
      <c r="F799" s="271" t="str">
        <f>IFERROR(VLOOKUP(E799,'Inventaire des produits'!$B$4:$K$1000,2,0),"")</f>
        <v xml:space="preserve">BARQUETTE MICRON ONDABLE 3 COMP </v>
      </c>
      <c r="G799" s="247">
        <v>300</v>
      </c>
      <c r="H799" s="79">
        <v>2.1492333333333331</v>
      </c>
      <c r="I799" s="95">
        <f t="shared" si="24"/>
        <v>644.77</v>
      </c>
      <c r="J799" s="95">
        <f t="shared" si="25"/>
        <v>773.72399999999993</v>
      </c>
      <c r="K799" s="93">
        <f>IFERROR(VLOOKUP(E799,'Inventaire des produits'!$B$4:$J$1000,5,FALSE),"")</f>
        <v>0</v>
      </c>
      <c r="L799" s="301">
        <f>IFERROR(VLOOKUP(E799,'Inventaire des produits'!$B$4:$J$1000,6,FALSE),"")</f>
        <v>1.625</v>
      </c>
      <c r="M799" s="62"/>
    </row>
    <row r="800" spans="2:13" x14ac:dyDescent="0.3">
      <c r="B800" s="378" t="s">
        <v>1704</v>
      </c>
      <c r="C800" s="341"/>
      <c r="D800" s="338"/>
      <c r="E800" s="235" t="s">
        <v>821</v>
      </c>
      <c r="F800" s="271" t="str">
        <f>IFERROR(VLOOKUP(E800,'Inventaire des produits'!$B$4:$K$1000,2,0),"")</f>
        <v>SAC PN BLANC NI 30*40*10</v>
      </c>
      <c r="G800" s="247">
        <v>4000</v>
      </c>
      <c r="H800" s="79">
        <v>0.50790000000000002</v>
      </c>
      <c r="I800" s="95">
        <f t="shared" si="24"/>
        <v>2031.6000000000001</v>
      </c>
      <c r="J800" s="95">
        <f t="shared" si="25"/>
        <v>2437.92</v>
      </c>
      <c r="K800" s="93">
        <f>IFERROR(VLOOKUP(E800,'Inventaire des produits'!$B$4:$J$1000,5,FALSE),"")</f>
        <v>0</v>
      </c>
      <c r="L800" s="301">
        <f>IFERROR(VLOOKUP(E800,'Inventaire des produits'!$B$4:$J$1000,6,FALSE),"")</f>
        <v>0.33333333329999998</v>
      </c>
      <c r="M800" s="62"/>
    </row>
    <row r="801" spans="2:13" x14ac:dyDescent="0.3">
      <c r="B801" s="378" t="s">
        <v>1704</v>
      </c>
      <c r="C801" s="341"/>
      <c r="D801" s="338"/>
      <c r="E801" s="235" t="s">
        <v>822</v>
      </c>
      <c r="F801" s="271" t="str">
        <f>IFERROR(VLOOKUP(E801,'Inventaire des produits'!$B$4:$K$1000,2,0),"")</f>
        <v>SAC PN BLANC UNI 40*45*10</v>
      </c>
      <c r="G801" s="247">
        <v>4500</v>
      </c>
      <c r="H801" s="79">
        <v>0.58740000000000003</v>
      </c>
      <c r="I801" s="95">
        <f t="shared" si="24"/>
        <v>2643.3</v>
      </c>
      <c r="J801" s="95">
        <f t="shared" si="25"/>
        <v>3171.96</v>
      </c>
      <c r="K801" s="93">
        <f>IFERROR(VLOOKUP(E801,'Inventaire des produits'!$B$4:$J$1000,5,FALSE),"")</f>
        <v>0</v>
      </c>
      <c r="L801" s="301">
        <f>IFERROR(VLOOKUP(E801,'Inventaire des produits'!$B$4:$J$1000,6,FALSE),"")</f>
        <v>0.45834000000000003</v>
      </c>
      <c r="M801" s="62"/>
    </row>
    <row r="802" spans="2:13" x14ac:dyDescent="0.3">
      <c r="B802" s="378" t="s">
        <v>1704</v>
      </c>
      <c r="C802" s="341"/>
      <c r="D802" s="338"/>
      <c r="E802" s="235" t="s">
        <v>836</v>
      </c>
      <c r="F802" s="271" t="str">
        <f>IFERROR(VLOOKUP(E802,'Inventaire des produits'!$B$4:$K$1000,2,0),"")</f>
        <v xml:space="preserve">SERVIETTE DE TABLE </v>
      </c>
      <c r="G802" s="247">
        <v>380</v>
      </c>
      <c r="H802" s="79">
        <v>3.7518799999999999</v>
      </c>
      <c r="I802" s="95">
        <f t="shared" si="24"/>
        <v>1425.7143999999998</v>
      </c>
      <c r="J802" s="95">
        <f t="shared" si="25"/>
        <v>1710.8572799999997</v>
      </c>
      <c r="K802" s="93">
        <f>IFERROR(VLOOKUP(E802,'Inventaire des produits'!$B$4:$J$1000,5,FALSE),"")</f>
        <v>0</v>
      </c>
      <c r="L802" s="301">
        <f>IFERROR(VLOOKUP(E802,'Inventaire des produits'!$B$4:$J$1000,6,FALSE),"")</f>
        <v>2.8330000000000002</v>
      </c>
      <c r="M802" s="62"/>
    </row>
    <row r="803" spans="2:13" x14ac:dyDescent="0.3">
      <c r="B803" s="378" t="s">
        <v>1704</v>
      </c>
      <c r="C803" s="342"/>
      <c r="D803" s="339"/>
      <c r="E803" s="235" t="s">
        <v>862</v>
      </c>
      <c r="F803" s="271" t="str">
        <f>IFERROR(VLOOKUP(E803,'Inventaire des produits'!$B$4:$K$1000,2,0),"")</f>
        <v>BARQUETTE MICRON ONDABLE 3 COMP AVEC CVL</v>
      </c>
      <c r="G803" s="247">
        <v>300</v>
      </c>
      <c r="H803" s="79">
        <v>2.1492333333333331</v>
      </c>
      <c r="I803" s="95">
        <f t="shared" si="24"/>
        <v>644.77</v>
      </c>
      <c r="J803" s="95">
        <f t="shared" si="25"/>
        <v>773.72399999999993</v>
      </c>
      <c r="K803" s="93">
        <f>IFERROR(VLOOKUP(E803,'Inventaire des produits'!$B$4:$J$1000,5,FALSE),"")</f>
        <v>0</v>
      </c>
      <c r="L803" s="301">
        <f>IFERROR(VLOOKUP(E803,'Inventaire des produits'!$B$4:$J$1000,6,FALSE),"")</f>
        <v>1.5833333332999999</v>
      </c>
      <c r="M803" s="62"/>
    </row>
    <row r="804" spans="2:13" x14ac:dyDescent="0.3">
      <c r="B804" s="378" t="s">
        <v>1704</v>
      </c>
      <c r="C804" s="340">
        <v>45451</v>
      </c>
      <c r="D804" s="337" t="s">
        <v>940</v>
      </c>
      <c r="E804" s="235" t="s">
        <v>500</v>
      </c>
      <c r="F804" s="271" t="str">
        <f>IFERROR(VLOOKUP(E804,'Inventaire des produits'!$B$4:$K$1000,2,0),"")</f>
        <v>BARQUETTE ALUMINIUM 83670</v>
      </c>
      <c r="G804" s="247">
        <v>2500</v>
      </c>
      <c r="H804" s="79">
        <v>0.66213999999999995</v>
      </c>
      <c r="I804" s="95">
        <f t="shared" si="24"/>
        <v>1655.35</v>
      </c>
      <c r="J804" s="95">
        <f t="shared" si="25"/>
        <v>1986.4199999999998</v>
      </c>
      <c r="K804" s="93">
        <f>IFERROR(VLOOKUP(E804,'Inventaire des produits'!$B$4:$J$1000,5,FALSE),"")</f>
        <v>0</v>
      </c>
      <c r="L804" s="301">
        <f>IFERROR(VLOOKUP(E804,'Inventaire des produits'!$B$4:$J$1000,6,FALSE),"")</f>
        <v>0.55000000000000004</v>
      </c>
      <c r="M804" s="62">
        <v>7600</v>
      </c>
    </row>
    <row r="805" spans="2:13" x14ac:dyDescent="0.3">
      <c r="B805" s="378" t="s">
        <v>1704</v>
      </c>
      <c r="C805" s="341"/>
      <c r="D805" s="338"/>
      <c r="E805" s="235" t="s">
        <v>501</v>
      </c>
      <c r="F805" s="271" t="str">
        <f>IFERROR(VLOOKUP(E805,'Inventaire des produits'!$B$4:$K$1000,2,0),"")</f>
        <v>BARQUETTE ALUMINIUM 83420</v>
      </c>
      <c r="G805" s="247">
        <v>2400</v>
      </c>
      <c r="H805" s="92">
        <v>0.41200599999999998</v>
      </c>
      <c r="I805" s="95">
        <f t="shared" si="24"/>
        <v>988.81439999999998</v>
      </c>
      <c r="J805" s="95">
        <f t="shared" si="25"/>
        <v>1186.57728</v>
      </c>
      <c r="K805" s="93">
        <f>IFERROR(VLOOKUP(E805,'Inventaire des produits'!$B$4:$J$1000,5,FALSE),"")</f>
        <v>10000</v>
      </c>
      <c r="L805" s="301">
        <f>IFERROR(VLOOKUP(E805,'Inventaire des produits'!$B$4:$J$1000,6,FALSE),"")</f>
        <v>0.31666666669999999</v>
      </c>
      <c r="M805" s="62"/>
    </row>
    <row r="806" spans="2:13" x14ac:dyDescent="0.3">
      <c r="B806" s="378" t="s">
        <v>1704</v>
      </c>
      <c r="C806" s="341"/>
      <c r="D806" s="338"/>
      <c r="E806" s="235" t="s">
        <v>836</v>
      </c>
      <c r="F806" s="271" t="str">
        <f>IFERROR(VLOOKUP(E806,'Inventaire des produits'!$B$4:$K$1000,2,0),"")</f>
        <v xml:space="preserve">SERVIETTE DE TABLE </v>
      </c>
      <c r="G806" s="247">
        <v>200</v>
      </c>
      <c r="H806" s="79">
        <v>3.25</v>
      </c>
      <c r="I806" s="95">
        <f t="shared" si="24"/>
        <v>650</v>
      </c>
      <c r="J806" s="95">
        <f t="shared" si="25"/>
        <v>780</v>
      </c>
      <c r="K806" s="93">
        <f>IFERROR(VLOOKUP(E806,'Inventaire des produits'!$B$4:$J$1000,5,FALSE),"")</f>
        <v>0</v>
      </c>
      <c r="L806" s="301">
        <f>IFERROR(VLOOKUP(E806,'Inventaire des produits'!$B$4:$J$1000,6,FALSE),"")</f>
        <v>2.8330000000000002</v>
      </c>
      <c r="M806" s="62"/>
    </row>
    <row r="807" spans="2:13" x14ac:dyDescent="0.3">
      <c r="B807" s="378" t="s">
        <v>1704</v>
      </c>
      <c r="C807" s="341"/>
      <c r="D807" s="338"/>
      <c r="E807" s="235" t="s">
        <v>180</v>
      </c>
      <c r="F807" s="271" t="str">
        <f>IFERROR(VLOOKUP(E807,'Inventaire des produits'!$B$4:$K$1000,2,0),"")</f>
        <v>ESSUIE MAIN PROF</v>
      </c>
      <c r="G807" s="247">
        <v>33</v>
      </c>
      <c r="H807" s="79">
        <v>27.5</v>
      </c>
      <c r="I807" s="95">
        <f t="shared" si="24"/>
        <v>907.5</v>
      </c>
      <c r="J807" s="95">
        <f t="shared" si="25"/>
        <v>1089</v>
      </c>
      <c r="K807" s="93">
        <f>IFERROR(VLOOKUP(E807,'Inventaire des produits'!$B$4:$J$1000,5,FALSE),"")</f>
        <v>0</v>
      </c>
      <c r="L807" s="301">
        <f>IFERROR(VLOOKUP(E807,'Inventaire des produits'!$B$4:$J$1000,6,FALSE),"")</f>
        <v>22.5</v>
      </c>
      <c r="M807" s="62"/>
    </row>
    <row r="808" spans="2:13" x14ac:dyDescent="0.3">
      <c r="B808" s="378" t="s">
        <v>1704</v>
      </c>
      <c r="C808" s="341"/>
      <c r="D808" s="338"/>
      <c r="E808" s="235" t="s">
        <v>232</v>
      </c>
      <c r="F808" s="271" t="str">
        <f>IFERROR(VLOOKUP(E808,'Inventaire des produits'!$B$4:$K$1000,2,0),"")</f>
        <v>CUILLERE ECOLUXE TRANSPARENT</v>
      </c>
      <c r="G808" s="247">
        <v>16</v>
      </c>
      <c r="H808" s="79">
        <v>21.666666666600001</v>
      </c>
      <c r="I808" s="95">
        <f t="shared" si="24"/>
        <v>346.66666666560002</v>
      </c>
      <c r="J808" s="95">
        <f t="shared" si="25"/>
        <v>415.99999999872</v>
      </c>
      <c r="K808" s="93">
        <f>IFERROR(VLOOKUP(E808,'Inventaire des produits'!$B$4:$J$1000,5,FALSE),"")</f>
        <v>0</v>
      </c>
      <c r="L808" s="301">
        <f>IFERROR(VLOOKUP(E808,'Inventaire des produits'!$B$4:$J$1000,6,FALSE),"")</f>
        <v>17.5</v>
      </c>
      <c r="M808" s="62"/>
    </row>
    <row r="809" spans="2:13" x14ac:dyDescent="0.3">
      <c r="B809" s="378" t="s">
        <v>1704</v>
      </c>
      <c r="C809" s="341"/>
      <c r="D809" s="338"/>
      <c r="E809" s="235" t="s">
        <v>250</v>
      </c>
      <c r="F809" s="271" t="str">
        <f>IFERROR(VLOOKUP(E809,'Inventaire des produits'!$B$4:$K$1000,2,0),"")</f>
        <v>FOURCHETTE ECOLUXE</v>
      </c>
      <c r="G809" s="247">
        <v>14</v>
      </c>
      <c r="H809" s="79">
        <v>21.666666666600001</v>
      </c>
      <c r="I809" s="95">
        <f t="shared" si="24"/>
        <v>303.3333333324</v>
      </c>
      <c r="J809" s="95">
        <f t="shared" si="25"/>
        <v>363.99999999888001</v>
      </c>
      <c r="K809" s="93">
        <f>IFERROR(VLOOKUP(E809,'Inventaire des produits'!$B$4:$J$1000,5,FALSE),"")</f>
        <v>0</v>
      </c>
      <c r="L809" s="301">
        <f>IFERROR(VLOOKUP(E809,'Inventaire des produits'!$B$4:$J$1000,6,FALSE),"")</f>
        <v>15.84</v>
      </c>
      <c r="M809" s="62"/>
    </row>
    <row r="810" spans="2:13" x14ac:dyDescent="0.3">
      <c r="B810" s="378" t="s">
        <v>1704</v>
      </c>
      <c r="C810" s="341"/>
      <c r="D810" s="338"/>
      <c r="E810" s="235" t="s">
        <v>222</v>
      </c>
      <c r="F810" s="271" t="str">
        <f>IFERROR(VLOOKUP(E810,'Inventaire des produits'!$B$4:$K$1000,2,0),"")</f>
        <v>FILM ALIMENTAIRE ELEGENCE</v>
      </c>
      <c r="G810" s="247">
        <v>32</v>
      </c>
      <c r="H810" s="79">
        <v>27.5</v>
      </c>
      <c r="I810" s="95">
        <f t="shared" si="24"/>
        <v>880</v>
      </c>
      <c r="J810" s="95">
        <f t="shared" si="25"/>
        <v>1056</v>
      </c>
      <c r="K810" s="93">
        <f>IFERROR(VLOOKUP(E810,'Inventaire des produits'!$B$4:$J$1000,5,FALSE),"")</f>
        <v>0</v>
      </c>
      <c r="L810" s="301">
        <f>IFERROR(VLOOKUP(E810,'Inventaire des produits'!$B$4:$J$1000,6,FALSE),"")</f>
        <v>20</v>
      </c>
      <c r="M810" s="62"/>
    </row>
    <row r="811" spans="2:13" x14ac:dyDescent="0.3">
      <c r="B811" s="378" t="s">
        <v>1704</v>
      </c>
      <c r="C811" s="341"/>
      <c r="D811" s="338"/>
      <c r="E811" s="235" t="s">
        <v>262</v>
      </c>
      <c r="F811" s="271" t="str">
        <f>IFERROR(VLOOKUP(E811,'Inventaire des produits'!$B$4:$K$1000,2,0),"")</f>
        <v>GANT VINYL NOIR EXTRA PREMIUM GLOVE LARGE</v>
      </c>
      <c r="G811" s="247">
        <v>6</v>
      </c>
      <c r="H811" s="79">
        <v>31.666666666666668</v>
      </c>
      <c r="I811" s="95">
        <f t="shared" si="24"/>
        <v>190</v>
      </c>
      <c r="J811" s="95">
        <f t="shared" si="25"/>
        <v>228</v>
      </c>
      <c r="K811" s="93">
        <f>IFERROR(VLOOKUP(E811,'Inventaire des produits'!$B$4:$J$1000,5,FALSE),"")</f>
        <v>0</v>
      </c>
      <c r="L811" s="301">
        <f>IFERROR(VLOOKUP(E811,'Inventaire des produits'!$B$4:$J$1000,6,FALSE),"")</f>
        <v>22.5</v>
      </c>
      <c r="M811" s="62"/>
    </row>
    <row r="812" spans="2:13" x14ac:dyDescent="0.3">
      <c r="B812" s="378" t="s">
        <v>1704</v>
      </c>
      <c r="C812" s="342"/>
      <c r="D812" s="339"/>
      <c r="E812" s="235" t="s">
        <v>387</v>
      </c>
      <c r="F812" s="271" t="str">
        <f>IFERROR(VLOOKUP(E812,'Inventaire des produits'!$B$4:$K$1000,2,0),"")</f>
        <v>GANT VINYL EXTRA PREMIUM GLOVE LARGE</v>
      </c>
      <c r="G812" s="247">
        <v>13</v>
      </c>
      <c r="H812" s="79">
        <v>31.666666666666668</v>
      </c>
      <c r="I812" s="95">
        <f t="shared" si="24"/>
        <v>411.66666666666669</v>
      </c>
      <c r="J812" s="95">
        <f t="shared" si="25"/>
        <v>494</v>
      </c>
      <c r="K812" s="93">
        <f>IFERROR(VLOOKUP(E812,'Inventaire des produits'!$B$4:$J$1000,5,FALSE),"")</f>
        <v>0</v>
      </c>
      <c r="L812" s="301">
        <f>IFERROR(VLOOKUP(E812,'Inventaire des produits'!$B$4:$J$1000,6,FALSE),"")</f>
        <v>20</v>
      </c>
      <c r="M812" s="62"/>
    </row>
    <row r="813" spans="2:13" x14ac:dyDescent="0.3">
      <c r="B813" s="378" t="s">
        <v>1704</v>
      </c>
      <c r="C813" s="340">
        <v>45453</v>
      </c>
      <c r="D813" s="337" t="s">
        <v>941</v>
      </c>
      <c r="E813" s="235" t="s">
        <v>183</v>
      </c>
      <c r="F813" s="271" t="str">
        <f>IFERROR(VLOOKUP(E813,'Inventaire des produits'!$B$4:$K$1000,2,0),"")</f>
        <v>GOBLET EN CARTON 8OZ AVEC CVL</v>
      </c>
      <c r="G813" s="247">
        <v>500</v>
      </c>
      <c r="H813" s="79">
        <v>0.45400000000000001</v>
      </c>
      <c r="I813" s="95">
        <f t="shared" si="24"/>
        <v>227</v>
      </c>
      <c r="J813" s="95">
        <f t="shared" si="25"/>
        <v>272.39999999999998</v>
      </c>
      <c r="K813" s="93">
        <f>IFERROR(VLOOKUP(E813,'Inventaire des produits'!$B$4:$J$1000,5,FALSE),"")</f>
        <v>0</v>
      </c>
      <c r="L813" s="301">
        <f>IFERROR(VLOOKUP(E813,'Inventaire des produits'!$B$4:$J$1000,6,FALSE),"")</f>
        <v>0.41660000000000003</v>
      </c>
      <c r="M813" s="62">
        <v>982</v>
      </c>
    </row>
    <row r="814" spans="2:13" x14ac:dyDescent="0.3">
      <c r="B814" s="378" t="s">
        <v>1704</v>
      </c>
      <c r="C814" s="341"/>
      <c r="D814" s="338"/>
      <c r="E814" s="235" t="s">
        <v>836</v>
      </c>
      <c r="F814" s="271" t="str">
        <f>IFERROR(VLOOKUP(E814,'Inventaire des produits'!$B$4:$K$1000,2,0),"")</f>
        <v xml:space="preserve">SERVIETTE DE TABLE </v>
      </c>
      <c r="G814" s="247">
        <v>80</v>
      </c>
      <c r="H814" s="79">
        <v>4.0999999999999996</v>
      </c>
      <c r="I814" s="95">
        <f t="shared" si="24"/>
        <v>328</v>
      </c>
      <c r="J814" s="95">
        <f t="shared" si="25"/>
        <v>393.59999999999997</v>
      </c>
      <c r="K814" s="93">
        <f>IFERROR(VLOOKUP(E814,'Inventaire des produits'!$B$4:$J$1000,5,FALSE),"")</f>
        <v>0</v>
      </c>
      <c r="L814" s="301">
        <f>IFERROR(VLOOKUP(E814,'Inventaire des produits'!$B$4:$J$1000,6,FALSE),"")</f>
        <v>2.8330000000000002</v>
      </c>
      <c r="M814" s="62"/>
    </row>
    <row r="815" spans="2:13" x14ac:dyDescent="0.3">
      <c r="B815" s="378" t="s">
        <v>1704</v>
      </c>
      <c r="C815" s="341"/>
      <c r="D815" s="338"/>
      <c r="E815" s="235" t="s">
        <v>250</v>
      </c>
      <c r="F815" s="271" t="str">
        <f>IFERROR(VLOOKUP(E815,'Inventaire des produits'!$B$4:$K$1000,2,0),"")</f>
        <v>FOURCHETTE ECOLUXE</v>
      </c>
      <c r="G815" s="247">
        <v>6</v>
      </c>
      <c r="H815" s="79">
        <v>23.939399999999999</v>
      </c>
      <c r="I815" s="95">
        <f t="shared" si="24"/>
        <v>143.63639999999998</v>
      </c>
      <c r="J815" s="95">
        <f t="shared" si="25"/>
        <v>172.36367999999996</v>
      </c>
      <c r="K815" s="93">
        <f>IFERROR(VLOOKUP(E815,'Inventaire des produits'!$B$4:$J$1000,5,FALSE),"")</f>
        <v>0</v>
      </c>
      <c r="L815" s="301">
        <f>IFERROR(VLOOKUP(E815,'Inventaire des produits'!$B$4:$J$1000,6,FALSE),"")</f>
        <v>15.84</v>
      </c>
      <c r="M815" s="62"/>
    </row>
    <row r="816" spans="2:13" x14ac:dyDescent="0.3">
      <c r="B816" s="378" t="s">
        <v>1704</v>
      </c>
      <c r="C816" s="342"/>
      <c r="D816" s="339"/>
      <c r="E816" s="235" t="s">
        <v>790</v>
      </c>
      <c r="F816" s="271" t="str">
        <f>IFERROR(VLOOKUP(E816,'Inventaire des produits'!$B$4:$K$1000,2,0),"")</f>
        <v>COUTEAU ECOLUXE NOIR</v>
      </c>
      <c r="G816" s="247">
        <v>5</v>
      </c>
      <c r="H816" s="79">
        <v>23.939</v>
      </c>
      <c r="I816" s="95">
        <f t="shared" si="24"/>
        <v>119.69499999999999</v>
      </c>
      <c r="J816" s="95">
        <f t="shared" si="25"/>
        <v>143.63399999999999</v>
      </c>
      <c r="K816" s="93">
        <f>IFERROR(VLOOKUP(E816,'Inventaire des produits'!$B$4:$J$1000,5,FALSE),"")</f>
        <v>0</v>
      </c>
      <c r="L816" s="301">
        <f>IFERROR(VLOOKUP(E816,'Inventaire des produits'!$B$4:$J$1000,6,FALSE),"")</f>
        <v>17.5</v>
      </c>
      <c r="M816" s="62"/>
    </row>
    <row r="817" spans="2:13" x14ac:dyDescent="0.3">
      <c r="B817" s="378" t="s">
        <v>1704</v>
      </c>
      <c r="C817" s="340">
        <v>45453</v>
      </c>
      <c r="D817" s="337" t="s">
        <v>942</v>
      </c>
      <c r="E817" s="242" t="s">
        <v>875</v>
      </c>
      <c r="F817" s="271" t="str">
        <f>IFERROR(VLOOKUP(E817,'Inventaire des produits'!$B$4:$K$1000,2,0),"")</f>
        <v>TRIPOD PIZZA EN PLASTIQUE</v>
      </c>
      <c r="G817" s="247">
        <v>2000</v>
      </c>
      <c r="H817" s="79">
        <v>0.5</v>
      </c>
      <c r="I817" s="95">
        <f t="shared" si="24"/>
        <v>1000</v>
      </c>
      <c r="J817" s="95">
        <f t="shared" si="25"/>
        <v>1200</v>
      </c>
      <c r="K817" s="93">
        <f>IFERROR(VLOOKUP(E817,'Inventaire des produits'!$B$4:$J$1000,5,FALSE),"")</f>
        <v>0</v>
      </c>
      <c r="L817" s="301">
        <f>IFERROR(VLOOKUP(E817,'Inventaire des produits'!$B$4:$J$1000,6,FALSE),"")</f>
        <v>0.32</v>
      </c>
      <c r="M817" s="62">
        <v>2250</v>
      </c>
    </row>
    <row r="818" spans="2:13" x14ac:dyDescent="0.3">
      <c r="B818" s="378" t="s">
        <v>1704</v>
      </c>
      <c r="C818" s="342"/>
      <c r="D818" s="339"/>
      <c r="E818" s="240" t="s">
        <v>802</v>
      </c>
      <c r="F818" s="271" t="str">
        <f>IFERROR(VLOOKUP(E818,'Inventaire des produits'!$B$4:$K$1000,2,0),"")</f>
        <v>BOITE PIZZA 29</v>
      </c>
      <c r="G818" s="265">
        <v>15</v>
      </c>
      <c r="H818" s="80">
        <f>70/1.2</f>
        <v>58.333333333333336</v>
      </c>
      <c r="I818" s="95">
        <f t="shared" si="24"/>
        <v>875</v>
      </c>
      <c r="J818" s="95">
        <f t="shared" si="25"/>
        <v>1050</v>
      </c>
      <c r="K818" s="93">
        <f>IFERROR(VLOOKUP(E818,'Inventaire des produits'!$B$4:$J$1000,5,FALSE),"")</f>
        <v>0</v>
      </c>
      <c r="L818" s="301">
        <f>IFERROR(VLOOKUP(E818,'Inventaire des produits'!$B$4:$J$1000,6,FALSE),"")</f>
        <v>40</v>
      </c>
      <c r="M818" s="62"/>
    </row>
    <row r="819" spans="2:13" x14ac:dyDescent="0.3">
      <c r="B819" s="378" t="s">
        <v>1704</v>
      </c>
      <c r="C819" s="55">
        <v>45454</v>
      </c>
      <c r="D819" s="54" t="s">
        <v>949</v>
      </c>
      <c r="E819" s="235" t="s">
        <v>290</v>
      </c>
      <c r="F819" s="271" t="str">
        <f>IFERROR(VLOOKUP(E819,'Inventaire des produits'!$B$4:$K$1000,2,0),"")</f>
        <v>GOBLET 14OZ EN PLASTIQUE TRANS SMART AVEC CVL PLAT</v>
      </c>
      <c r="G819" s="247">
        <v>3000</v>
      </c>
      <c r="H819" s="79">
        <v>0.65</v>
      </c>
      <c r="I819" s="95">
        <f t="shared" si="24"/>
        <v>1950</v>
      </c>
      <c r="J819" s="95">
        <f t="shared" si="25"/>
        <v>2340</v>
      </c>
      <c r="K819" s="93">
        <f>IFERROR(VLOOKUP(E819,'Inventaire des produits'!$B$4:$J$1000,5,FALSE),"")</f>
        <v>0</v>
      </c>
      <c r="L819" s="301">
        <f>IFERROR(VLOOKUP(E819,'Inventaire des produits'!$B$4:$J$1000,6,FALSE),"")</f>
        <v>0.43333749999999999</v>
      </c>
      <c r="M819" s="62">
        <v>2340</v>
      </c>
    </row>
    <row r="820" spans="2:13" x14ac:dyDescent="0.3">
      <c r="B820" s="378" t="s">
        <v>1704</v>
      </c>
      <c r="C820" s="340">
        <v>45454</v>
      </c>
      <c r="D820" s="337" t="s">
        <v>970</v>
      </c>
      <c r="E820" s="235" t="s">
        <v>256</v>
      </c>
      <c r="F820" s="271" t="str">
        <f>IFERROR(VLOOKUP(E820,'Inventaire des produits'!$B$4:$K$1000,2,0),"")</f>
        <v>FILM ALIMENTAIRE VIOLET</v>
      </c>
      <c r="G820" s="266">
        <v>30</v>
      </c>
      <c r="H820" s="85">
        <v>28.3333333333333</v>
      </c>
      <c r="I820" s="95">
        <f t="shared" si="24"/>
        <v>849.99999999999898</v>
      </c>
      <c r="J820" s="95">
        <f t="shared" si="25"/>
        <v>1019.9999999999987</v>
      </c>
      <c r="K820" s="93">
        <f>IFERROR(VLOOKUP(E820,'Inventaire des produits'!$B$4:$J$1000,5,FALSE),"")</f>
        <v>0</v>
      </c>
      <c r="L820" s="301">
        <f>IFERROR(VLOOKUP(E820,'Inventaire des produits'!$B$4:$J$1000,6,FALSE),"")</f>
        <v>28.333333333300001</v>
      </c>
      <c r="M820" s="62">
        <v>14768.41</v>
      </c>
    </row>
    <row r="821" spans="2:13" x14ac:dyDescent="0.3">
      <c r="B821" s="378" t="s">
        <v>1704</v>
      </c>
      <c r="C821" s="341"/>
      <c r="D821" s="338"/>
      <c r="E821" s="235" t="s">
        <v>666</v>
      </c>
      <c r="F821" s="271" t="str">
        <f>IFERROR(VLOOKUP(E821,'Inventaire des produits'!$B$4:$K$1000,2,0),"")</f>
        <v>GANT VINYL EXTRA PREMIUM GLOVE MEDIUM</v>
      </c>
      <c r="G821" s="265">
        <v>32</v>
      </c>
      <c r="H821" s="80">
        <v>33.333333333333336</v>
      </c>
      <c r="I821" s="95">
        <f t="shared" si="24"/>
        <v>1066.6666666666667</v>
      </c>
      <c r="J821" s="95">
        <f t="shared" si="25"/>
        <v>1280</v>
      </c>
      <c r="K821" s="93">
        <f>IFERROR(VLOOKUP(E821,'Inventaire des produits'!$B$4:$J$1000,5,FALSE),"")</f>
        <v>0</v>
      </c>
      <c r="L821" s="301">
        <f>IFERROR(VLOOKUP(E821,'Inventaire des produits'!$B$4:$J$1000,6,FALSE),"")</f>
        <v>20</v>
      </c>
      <c r="M821" s="62"/>
    </row>
    <row r="822" spans="2:13" x14ac:dyDescent="0.3">
      <c r="B822" s="378" t="s">
        <v>1704</v>
      </c>
      <c r="C822" s="341"/>
      <c r="D822" s="338"/>
      <c r="E822" s="235" t="s">
        <v>180</v>
      </c>
      <c r="F822" s="271" t="str">
        <f>IFERROR(VLOOKUP(E822,'Inventaire des produits'!$B$4:$K$1000,2,0),"")</f>
        <v>ESSUIE MAIN PROF</v>
      </c>
      <c r="G822" s="265">
        <v>20</v>
      </c>
      <c r="H822" s="80">
        <v>28.3333333333333</v>
      </c>
      <c r="I822" s="95">
        <f t="shared" si="24"/>
        <v>566.66666666666606</v>
      </c>
      <c r="J822" s="95">
        <f t="shared" si="25"/>
        <v>679.9999999999992</v>
      </c>
      <c r="K822" s="93">
        <f>IFERROR(VLOOKUP(E822,'Inventaire des produits'!$B$4:$J$1000,5,FALSE),"")</f>
        <v>0</v>
      </c>
      <c r="L822" s="301">
        <f>IFERROR(VLOOKUP(E822,'Inventaire des produits'!$B$4:$J$1000,6,FALSE),"")</f>
        <v>22.5</v>
      </c>
      <c r="M822" s="62"/>
    </row>
    <row r="823" spans="2:13" x14ac:dyDescent="0.3">
      <c r="B823" s="378" t="s">
        <v>1704</v>
      </c>
      <c r="C823" s="341"/>
      <c r="D823" s="338"/>
      <c r="E823" s="235" t="s">
        <v>786</v>
      </c>
      <c r="F823" s="271" t="str">
        <f>IFERROR(VLOOKUP(E823,'Inventaire des produits'!$B$4:$K$1000,2,0),"")</f>
        <v>FOURCHETTE ECOLUXE TRANSPARENTE</v>
      </c>
      <c r="G823" s="265">
        <v>70</v>
      </c>
      <c r="H823" s="80">
        <v>19.166666666666668</v>
      </c>
      <c r="I823" s="95">
        <f t="shared" si="24"/>
        <v>1341.6666666666667</v>
      </c>
      <c r="J823" s="95">
        <f t="shared" si="25"/>
        <v>1610</v>
      </c>
      <c r="K823" s="93">
        <f>IFERROR(VLOOKUP(E823,'Inventaire des produits'!$B$4:$J$1000,5,FALSE),"")</f>
        <v>0</v>
      </c>
      <c r="L823" s="301">
        <f>IFERROR(VLOOKUP(E823,'Inventaire des produits'!$B$4:$J$1000,6,FALSE),"")</f>
        <v>15.83333333</v>
      </c>
      <c r="M823" s="62"/>
    </row>
    <row r="824" spans="2:13" x14ac:dyDescent="0.3">
      <c r="B824" s="378" t="s">
        <v>1704</v>
      </c>
      <c r="C824" s="341"/>
      <c r="D824" s="338"/>
      <c r="E824" s="235" t="s">
        <v>869</v>
      </c>
      <c r="F824" s="271" t="str">
        <f>IFERROR(VLOOKUP(E824,'Inventaire des produits'!$B$4:$K$1000,2,0),"")</f>
        <v>PAILLE ENVELOPPEE CODE 100 TRANS</v>
      </c>
      <c r="G824" s="265">
        <v>40</v>
      </c>
      <c r="H824" s="80">
        <v>6.6666666666666696</v>
      </c>
      <c r="I824" s="95">
        <f t="shared" si="24"/>
        <v>266.6666666666668</v>
      </c>
      <c r="J824" s="95">
        <f t="shared" si="25"/>
        <v>320.00000000000017</v>
      </c>
      <c r="K824" s="93">
        <f>IFERROR(VLOOKUP(E824,'Inventaire des produits'!$B$4:$J$1000,5,FALSE),"")</f>
        <v>898</v>
      </c>
      <c r="L824" s="301">
        <f>IFERROR(VLOOKUP(E824,'Inventaire des produits'!$B$4:$J$1000,6,FALSE),"")</f>
        <v>3.9166666659999998</v>
      </c>
      <c r="M824" s="62"/>
    </row>
    <row r="825" spans="2:13" x14ac:dyDescent="0.3">
      <c r="B825" s="378" t="s">
        <v>1704</v>
      </c>
      <c r="C825" s="341"/>
      <c r="D825" s="338"/>
      <c r="E825" s="235" t="s">
        <v>542</v>
      </c>
      <c r="F825" s="271" t="str">
        <f>IFERROR(VLOOKUP(E825,'Inventaire des produits'!$B$4:$K$1000,2,0),"")</f>
        <v>BARQUETTE ALUMINIUM 250</v>
      </c>
      <c r="G825" s="265">
        <v>1500</v>
      </c>
      <c r="H825" s="80">
        <v>0.375</v>
      </c>
      <c r="I825" s="95">
        <f t="shared" si="24"/>
        <v>562.5</v>
      </c>
      <c r="J825" s="95">
        <f t="shared" si="25"/>
        <v>675</v>
      </c>
      <c r="K825" s="93">
        <f>IFERROR(VLOOKUP(E825,'Inventaire des produits'!$B$4:$J$1000,5,FALSE),"")</f>
        <v>0</v>
      </c>
      <c r="L825" s="301">
        <f>IFERROR(VLOOKUP(E825,'Inventaire des produits'!$B$4:$J$1000,6,FALSE),"")</f>
        <v>0.20338000000000001</v>
      </c>
      <c r="M825" s="62"/>
    </row>
    <row r="826" spans="2:13" x14ac:dyDescent="0.3">
      <c r="B826" s="378" t="s">
        <v>1704</v>
      </c>
      <c r="C826" s="341"/>
      <c r="D826" s="338"/>
      <c r="E826" s="235" t="s">
        <v>840</v>
      </c>
      <c r="F826" s="271" t="str">
        <f>IFERROR(VLOOKUP(E826,'Inventaire des produits'!$B$4:$K$1000,2,0),"")</f>
        <v>FILM ALIMENTAIRE 1300GR GM 45X500</v>
      </c>
      <c r="G826" s="265">
        <v>15</v>
      </c>
      <c r="H826" s="80">
        <v>43.3333333333333</v>
      </c>
      <c r="I826" s="95">
        <f t="shared" si="24"/>
        <v>649.99999999999955</v>
      </c>
      <c r="J826" s="95">
        <f t="shared" si="25"/>
        <v>779.99999999999943</v>
      </c>
      <c r="K826" s="93">
        <f>IFERROR(VLOOKUP(E826,'Inventaire des produits'!$B$4:$J$1000,5,FALSE),"")</f>
        <v>0</v>
      </c>
      <c r="L826" s="301">
        <f>IFERROR(VLOOKUP(E826,'Inventaire des produits'!$B$4:$J$1000,6,FALSE),"")</f>
        <v>29.167000000000002</v>
      </c>
      <c r="M826" s="62"/>
    </row>
    <row r="827" spans="2:13" x14ac:dyDescent="0.3">
      <c r="B827" s="378" t="s">
        <v>1704</v>
      </c>
      <c r="C827" s="341"/>
      <c r="D827" s="338"/>
      <c r="E827" s="235" t="s">
        <v>619</v>
      </c>
      <c r="F827" s="271" t="str">
        <f>IFERROR(VLOOKUP(E827,'Inventaire des produits'!$B$4:$K$1000,2,0),"")</f>
        <v>POT DE SAUCE 1OZ 30ML HP</v>
      </c>
      <c r="G827" s="265">
        <v>35000</v>
      </c>
      <c r="H827" s="80">
        <v>0.17495250000000001</v>
      </c>
      <c r="I827" s="95">
        <f t="shared" si="24"/>
        <v>6123.3375000000005</v>
      </c>
      <c r="J827" s="95">
        <f t="shared" si="25"/>
        <v>7348.0050000000001</v>
      </c>
      <c r="K827" s="93">
        <f>IFERROR(VLOOKUP(E827,'Inventaire des produits'!$B$4:$J$1000,5,FALSE),"")</f>
        <v>0</v>
      </c>
      <c r="L827" s="301">
        <f>IFERROR(VLOOKUP(E827,'Inventaire des produits'!$B$4:$J$1000,6,FALSE),"")</f>
        <v>0.13450000000000001</v>
      </c>
      <c r="M827" s="62"/>
    </row>
    <row r="828" spans="2:13" x14ac:dyDescent="0.3">
      <c r="B828" s="378" t="s">
        <v>1704</v>
      </c>
      <c r="C828" s="341"/>
      <c r="D828" s="338"/>
      <c r="E828" s="235" t="s">
        <v>418</v>
      </c>
      <c r="F828" s="271" t="str">
        <f>IFERROR(VLOOKUP(E828,'Inventaire des produits'!$B$4:$K$1000,2,0),"")</f>
        <v>ROULEAU DE CAISSE THERMIQUE 70X80</v>
      </c>
      <c r="G828" s="265">
        <v>56</v>
      </c>
      <c r="H828" s="80">
        <v>10.333333333333334</v>
      </c>
      <c r="I828" s="95">
        <f t="shared" si="24"/>
        <v>578.66666666666674</v>
      </c>
      <c r="J828" s="95">
        <f t="shared" si="25"/>
        <v>694.40000000000009</v>
      </c>
      <c r="K828" s="93">
        <f>IFERROR(VLOOKUP(E828,'Inventaire des produits'!$B$4:$J$1000,5,FALSE),"")</f>
        <v>0</v>
      </c>
      <c r="L828" s="301">
        <f>IFERROR(VLOOKUP(E828,'Inventaire des produits'!$B$4:$J$1000,6,FALSE),"")</f>
        <v>8</v>
      </c>
      <c r="M828" s="62"/>
    </row>
    <row r="829" spans="2:13" x14ac:dyDescent="0.3">
      <c r="B829" s="378" t="s">
        <v>1704</v>
      </c>
      <c r="C829" s="341"/>
      <c r="D829" s="338"/>
      <c r="E829" s="235" t="s">
        <v>232</v>
      </c>
      <c r="F829" s="271" t="str">
        <f>IFERROR(VLOOKUP(E829,'Inventaire des produits'!$B$4:$K$1000,2,0),"")</f>
        <v>CUILLERE ECOLUXE TRANSPARENT</v>
      </c>
      <c r="G829" s="267">
        <v>12</v>
      </c>
      <c r="H829" s="80">
        <v>19.166666666666668</v>
      </c>
      <c r="I829" s="95">
        <f t="shared" si="24"/>
        <v>230</v>
      </c>
      <c r="J829" s="95">
        <f t="shared" si="25"/>
        <v>276</v>
      </c>
      <c r="K829" s="93">
        <f>IFERROR(VLOOKUP(E829,'Inventaire des produits'!$B$4:$J$1000,5,FALSE),"")</f>
        <v>0</v>
      </c>
      <c r="L829" s="301">
        <f>IFERROR(VLOOKUP(E829,'Inventaire des produits'!$B$4:$J$1000,6,FALSE),"")</f>
        <v>17.5</v>
      </c>
      <c r="M829" s="62"/>
    </row>
    <row r="830" spans="2:13" x14ac:dyDescent="0.3">
      <c r="B830" s="378" t="s">
        <v>1704</v>
      </c>
      <c r="C830" s="342"/>
      <c r="D830" s="339"/>
      <c r="E830" s="235" t="s">
        <v>584</v>
      </c>
      <c r="F830" s="271" t="str">
        <f>IFERROR(VLOOKUP(E830,'Inventaire des produits'!$B$4:$K$1000,2,0),"")</f>
        <v>ROULEAU ALUMINIUM EXTRA PACK 200M</v>
      </c>
      <c r="G830" s="267">
        <v>1</v>
      </c>
      <c r="H830" s="80">
        <v>70.833333333333343</v>
      </c>
      <c r="I830" s="95">
        <f t="shared" si="24"/>
        <v>70.833333333333343</v>
      </c>
      <c r="J830" s="95">
        <f t="shared" si="25"/>
        <v>85.000000000000014</v>
      </c>
      <c r="K830" s="93">
        <f>IFERROR(VLOOKUP(E830,'Inventaire des produits'!$B$4:$J$1000,5,FALSE),"")</f>
        <v>0</v>
      </c>
      <c r="L830" s="301">
        <f>IFERROR(VLOOKUP(E830,'Inventaire des produits'!$B$4:$J$1000,6,FALSE),"")</f>
        <v>50</v>
      </c>
      <c r="M830" s="62"/>
    </row>
    <row r="831" spans="2:13" x14ac:dyDescent="0.3">
      <c r="B831" s="378" t="s">
        <v>1704</v>
      </c>
      <c r="C831" s="340">
        <v>45454</v>
      </c>
      <c r="D831" s="337" t="s">
        <v>971</v>
      </c>
      <c r="E831" s="235" t="s">
        <v>256</v>
      </c>
      <c r="F831" s="271" t="str">
        <f>IFERROR(VLOOKUP(E831,'Inventaire des produits'!$B$4:$K$1000,2,0),"")</f>
        <v>FILM ALIMENTAIRE VIOLET</v>
      </c>
      <c r="G831" s="266">
        <v>28</v>
      </c>
      <c r="H831" s="85">
        <v>28.3333333333333</v>
      </c>
      <c r="I831" s="95">
        <f t="shared" si="24"/>
        <v>793.33333333333235</v>
      </c>
      <c r="J831" s="95">
        <f t="shared" si="25"/>
        <v>951.99999999999875</v>
      </c>
      <c r="K831" s="93">
        <f>IFERROR(VLOOKUP(E831,'Inventaire des produits'!$B$4:$J$1000,5,FALSE),"")</f>
        <v>0</v>
      </c>
      <c r="L831" s="301">
        <f>IFERROR(VLOOKUP(E831,'Inventaire des produits'!$B$4:$J$1000,6,FALSE),"")</f>
        <v>28.333333333300001</v>
      </c>
      <c r="M831" s="62">
        <v>13962.72</v>
      </c>
    </row>
    <row r="832" spans="2:13" x14ac:dyDescent="0.3">
      <c r="B832" s="378" t="s">
        <v>1704</v>
      </c>
      <c r="C832" s="341"/>
      <c r="D832" s="338"/>
      <c r="E832" s="235" t="s">
        <v>666</v>
      </c>
      <c r="F832" s="271" t="str">
        <f>IFERROR(VLOOKUP(E832,'Inventaire des produits'!$B$4:$K$1000,2,0),"")</f>
        <v>GANT VINYL EXTRA PREMIUM GLOVE MEDIUM</v>
      </c>
      <c r="G832" s="265">
        <v>30</v>
      </c>
      <c r="H832" s="80">
        <v>33.333333333333336</v>
      </c>
      <c r="I832" s="95">
        <f t="shared" si="24"/>
        <v>1000.0000000000001</v>
      </c>
      <c r="J832" s="95">
        <f t="shared" si="25"/>
        <v>1200</v>
      </c>
      <c r="K832" s="93">
        <f>IFERROR(VLOOKUP(E832,'Inventaire des produits'!$B$4:$J$1000,5,FALSE),"")</f>
        <v>0</v>
      </c>
      <c r="L832" s="301">
        <f>IFERROR(VLOOKUP(E832,'Inventaire des produits'!$B$4:$J$1000,6,FALSE),"")</f>
        <v>20</v>
      </c>
      <c r="M832" s="62"/>
    </row>
    <row r="833" spans="2:13" x14ac:dyDescent="0.3">
      <c r="B833" s="378" t="s">
        <v>1704</v>
      </c>
      <c r="C833" s="341"/>
      <c r="D833" s="338"/>
      <c r="E833" s="235" t="s">
        <v>180</v>
      </c>
      <c r="F833" s="271" t="str">
        <f>IFERROR(VLOOKUP(E833,'Inventaire des produits'!$B$4:$K$1000,2,0),"")</f>
        <v>ESSUIE MAIN PROF</v>
      </c>
      <c r="G833" s="265">
        <v>19</v>
      </c>
      <c r="H833" s="80">
        <v>28.3333333333333</v>
      </c>
      <c r="I833" s="95">
        <f t="shared" si="24"/>
        <v>538.33333333333269</v>
      </c>
      <c r="J833" s="95">
        <f t="shared" si="25"/>
        <v>645.9999999999992</v>
      </c>
      <c r="K833" s="93">
        <f>IFERROR(VLOOKUP(E833,'Inventaire des produits'!$B$4:$J$1000,5,FALSE),"")</f>
        <v>0</v>
      </c>
      <c r="L833" s="301">
        <f>IFERROR(VLOOKUP(E833,'Inventaire des produits'!$B$4:$J$1000,6,FALSE),"")</f>
        <v>22.5</v>
      </c>
      <c r="M833" s="62"/>
    </row>
    <row r="834" spans="2:13" x14ac:dyDescent="0.3">
      <c r="B834" s="378" t="s">
        <v>1704</v>
      </c>
      <c r="C834" s="341"/>
      <c r="D834" s="338"/>
      <c r="E834" s="235" t="s">
        <v>786</v>
      </c>
      <c r="F834" s="271" t="str">
        <f>IFERROR(VLOOKUP(E834,'Inventaire des produits'!$B$4:$K$1000,2,0),"")</f>
        <v>FOURCHETTE ECOLUXE TRANSPARENTE</v>
      </c>
      <c r="G834" s="265">
        <v>66</v>
      </c>
      <c r="H834" s="80">
        <v>19.166666666666668</v>
      </c>
      <c r="I834" s="95">
        <f t="shared" si="24"/>
        <v>1265</v>
      </c>
      <c r="J834" s="95">
        <f t="shared" si="25"/>
        <v>1518</v>
      </c>
      <c r="K834" s="93">
        <f>IFERROR(VLOOKUP(E834,'Inventaire des produits'!$B$4:$J$1000,5,FALSE),"")</f>
        <v>0</v>
      </c>
      <c r="L834" s="301">
        <f>IFERROR(VLOOKUP(E834,'Inventaire des produits'!$B$4:$J$1000,6,FALSE),"")</f>
        <v>15.83333333</v>
      </c>
      <c r="M834" s="62"/>
    </row>
    <row r="835" spans="2:13" x14ac:dyDescent="0.3">
      <c r="B835" s="378" t="s">
        <v>1704</v>
      </c>
      <c r="C835" s="341"/>
      <c r="D835" s="338"/>
      <c r="E835" s="235" t="s">
        <v>869</v>
      </c>
      <c r="F835" s="271" t="str">
        <f>IFERROR(VLOOKUP(E835,'Inventaire des produits'!$B$4:$K$1000,2,0),"")</f>
        <v>PAILLE ENVELOPPEE CODE 100 TRANS</v>
      </c>
      <c r="G835" s="265">
        <v>36</v>
      </c>
      <c r="H835" s="80">
        <v>6.6666666666666696</v>
      </c>
      <c r="I835" s="95">
        <f t="shared" si="24"/>
        <v>240.00000000000011</v>
      </c>
      <c r="J835" s="95">
        <f t="shared" si="25"/>
        <v>288.00000000000011</v>
      </c>
      <c r="K835" s="93">
        <f>IFERROR(VLOOKUP(E835,'Inventaire des produits'!$B$4:$J$1000,5,FALSE),"")</f>
        <v>898</v>
      </c>
      <c r="L835" s="301">
        <f>IFERROR(VLOOKUP(E835,'Inventaire des produits'!$B$4:$J$1000,6,FALSE),"")</f>
        <v>3.9166666659999998</v>
      </c>
      <c r="M835" s="62"/>
    </row>
    <row r="836" spans="2:13" x14ac:dyDescent="0.3">
      <c r="B836" s="378" t="s">
        <v>1704</v>
      </c>
      <c r="C836" s="341"/>
      <c r="D836" s="338"/>
      <c r="E836" s="235" t="s">
        <v>542</v>
      </c>
      <c r="F836" s="271" t="str">
        <f>IFERROR(VLOOKUP(E836,'Inventaire des produits'!$B$4:$K$1000,2,0),"")</f>
        <v>BARQUETTE ALUMINIUM 250</v>
      </c>
      <c r="G836" s="265">
        <v>1480</v>
      </c>
      <c r="H836" s="80">
        <v>0.375</v>
      </c>
      <c r="I836" s="95">
        <f t="shared" si="24"/>
        <v>555</v>
      </c>
      <c r="J836" s="95">
        <f t="shared" si="25"/>
        <v>666</v>
      </c>
      <c r="K836" s="93">
        <f>IFERROR(VLOOKUP(E836,'Inventaire des produits'!$B$4:$J$1000,5,FALSE),"")</f>
        <v>0</v>
      </c>
      <c r="L836" s="301">
        <f>IFERROR(VLOOKUP(E836,'Inventaire des produits'!$B$4:$J$1000,6,FALSE),"")</f>
        <v>0.20338000000000001</v>
      </c>
      <c r="M836" s="62"/>
    </row>
    <row r="837" spans="2:13" x14ac:dyDescent="0.3">
      <c r="B837" s="378" t="s">
        <v>1704</v>
      </c>
      <c r="C837" s="341"/>
      <c r="D837" s="338"/>
      <c r="E837" s="235" t="s">
        <v>840</v>
      </c>
      <c r="F837" s="271" t="str">
        <f>IFERROR(VLOOKUP(E837,'Inventaire des produits'!$B$4:$K$1000,2,0),"")</f>
        <v>FILM ALIMENTAIRE 1300GR GM 45X500</v>
      </c>
      <c r="G837" s="265">
        <v>15</v>
      </c>
      <c r="H837" s="80">
        <v>43.3333333333333</v>
      </c>
      <c r="I837" s="95">
        <f t="shared" ref="I837:I900" si="26">IF(OR(G837="",H837=""),"",G837*H837)</f>
        <v>649.99999999999955</v>
      </c>
      <c r="J837" s="95">
        <f t="shared" ref="J837:J900" si="27">IF(OR(I837=""),"",I837*1.2)</f>
        <v>779.99999999999943</v>
      </c>
      <c r="K837" s="93">
        <f>IFERROR(VLOOKUP(E837,'Inventaire des produits'!$B$4:$J$1000,5,FALSE),"")</f>
        <v>0</v>
      </c>
      <c r="L837" s="301">
        <f>IFERROR(VLOOKUP(E837,'Inventaire des produits'!$B$4:$J$1000,6,FALSE),"")</f>
        <v>29.167000000000002</v>
      </c>
      <c r="M837" s="62"/>
    </row>
    <row r="838" spans="2:13" x14ac:dyDescent="0.3">
      <c r="B838" s="378" t="s">
        <v>1704</v>
      </c>
      <c r="C838" s="341"/>
      <c r="D838" s="338"/>
      <c r="E838" s="235" t="s">
        <v>619</v>
      </c>
      <c r="F838" s="271" t="str">
        <f>IFERROR(VLOOKUP(E838,'Inventaire des produits'!$B$4:$K$1000,2,0),"")</f>
        <v>POT DE SAUCE 1OZ 30ML HP</v>
      </c>
      <c r="G838" s="265">
        <v>33000</v>
      </c>
      <c r="H838" s="80">
        <v>0.17495250000000001</v>
      </c>
      <c r="I838" s="95">
        <f t="shared" si="26"/>
        <v>5773.4325000000008</v>
      </c>
      <c r="J838" s="95">
        <f t="shared" si="27"/>
        <v>6928.1190000000006</v>
      </c>
      <c r="K838" s="93">
        <f>IFERROR(VLOOKUP(E838,'Inventaire des produits'!$B$4:$J$1000,5,FALSE),"")</f>
        <v>0</v>
      </c>
      <c r="L838" s="301">
        <f>IFERROR(VLOOKUP(E838,'Inventaire des produits'!$B$4:$J$1000,6,FALSE),"")</f>
        <v>0.13450000000000001</v>
      </c>
      <c r="M838" s="62"/>
    </row>
    <row r="839" spans="2:13" x14ac:dyDescent="0.3">
      <c r="B839" s="378" t="s">
        <v>1704</v>
      </c>
      <c r="C839" s="341"/>
      <c r="D839" s="338"/>
      <c r="E839" s="235" t="s">
        <v>418</v>
      </c>
      <c r="F839" s="271" t="str">
        <f>IFERROR(VLOOKUP(E839,'Inventaire des produits'!$B$4:$K$1000,2,0),"")</f>
        <v>ROULEAU DE CAISSE THERMIQUE 70X80</v>
      </c>
      <c r="G839" s="265">
        <v>54</v>
      </c>
      <c r="H839" s="80">
        <v>10.333333333333334</v>
      </c>
      <c r="I839" s="95">
        <f t="shared" si="26"/>
        <v>558</v>
      </c>
      <c r="J839" s="95">
        <f t="shared" si="27"/>
        <v>669.6</v>
      </c>
      <c r="K839" s="93">
        <f>IFERROR(VLOOKUP(E839,'Inventaire des produits'!$B$4:$J$1000,5,FALSE),"")</f>
        <v>0</v>
      </c>
      <c r="L839" s="301">
        <f>IFERROR(VLOOKUP(E839,'Inventaire des produits'!$B$4:$J$1000,6,FALSE),"")</f>
        <v>8</v>
      </c>
      <c r="M839" s="62"/>
    </row>
    <row r="840" spans="2:13" x14ac:dyDescent="0.3">
      <c r="B840" s="378" t="s">
        <v>1704</v>
      </c>
      <c r="C840" s="341"/>
      <c r="D840" s="338"/>
      <c r="E840" s="235" t="s">
        <v>232</v>
      </c>
      <c r="F840" s="271" t="str">
        <f>IFERROR(VLOOKUP(E840,'Inventaire des produits'!$B$4:$K$1000,2,0),"")</f>
        <v>CUILLERE ECOLUXE TRANSPARENT</v>
      </c>
      <c r="G840" s="267">
        <v>10</v>
      </c>
      <c r="H840" s="80">
        <v>19.166666666666668</v>
      </c>
      <c r="I840" s="95">
        <f t="shared" si="26"/>
        <v>191.66666666666669</v>
      </c>
      <c r="J840" s="95">
        <f t="shared" si="27"/>
        <v>230.00000000000003</v>
      </c>
      <c r="K840" s="93">
        <f>IFERROR(VLOOKUP(E840,'Inventaire des produits'!$B$4:$J$1000,5,FALSE),"")</f>
        <v>0</v>
      </c>
      <c r="L840" s="301">
        <f>IFERROR(VLOOKUP(E840,'Inventaire des produits'!$B$4:$J$1000,6,FALSE),"")</f>
        <v>17.5</v>
      </c>
      <c r="M840" s="62"/>
    </row>
    <row r="841" spans="2:13" x14ac:dyDescent="0.3">
      <c r="B841" s="378" t="s">
        <v>1704</v>
      </c>
      <c r="C841" s="342"/>
      <c r="D841" s="339"/>
      <c r="E841" s="235" t="s">
        <v>584</v>
      </c>
      <c r="F841" s="271" t="str">
        <f>IFERROR(VLOOKUP(E841,'Inventaire des produits'!$B$4:$K$1000,2,0),"")</f>
        <v>ROULEAU ALUMINIUM EXTRA PACK 200M</v>
      </c>
      <c r="G841" s="267">
        <v>1</v>
      </c>
      <c r="H841" s="80">
        <v>70.833333333333343</v>
      </c>
      <c r="I841" s="95">
        <f t="shared" si="26"/>
        <v>70.833333333333343</v>
      </c>
      <c r="J841" s="95">
        <f t="shared" si="27"/>
        <v>85.000000000000014</v>
      </c>
      <c r="K841" s="93">
        <f>IFERROR(VLOOKUP(E841,'Inventaire des produits'!$B$4:$J$1000,5,FALSE),"")</f>
        <v>0</v>
      </c>
      <c r="L841" s="301">
        <f>IFERROR(VLOOKUP(E841,'Inventaire des produits'!$B$4:$J$1000,6,FALSE),"")</f>
        <v>50</v>
      </c>
      <c r="M841" s="62"/>
    </row>
    <row r="842" spans="2:13" x14ac:dyDescent="0.3">
      <c r="B842" s="378" t="s">
        <v>1704</v>
      </c>
      <c r="C842" s="340">
        <v>45454</v>
      </c>
      <c r="D842" s="337" t="s">
        <v>972</v>
      </c>
      <c r="E842" s="235" t="s">
        <v>256</v>
      </c>
      <c r="F842" s="271" t="str">
        <f>IFERROR(VLOOKUP(E842,'Inventaire des produits'!$B$4:$K$1000,2,0),"")</f>
        <v>FILM ALIMENTAIRE VIOLET</v>
      </c>
      <c r="G842" s="247">
        <v>22</v>
      </c>
      <c r="H842" s="79">
        <v>28.3333333333333</v>
      </c>
      <c r="I842" s="95">
        <f t="shared" si="26"/>
        <v>623.33333333333258</v>
      </c>
      <c r="J842" s="95">
        <f t="shared" si="27"/>
        <v>747.99999999999909</v>
      </c>
      <c r="K842" s="93">
        <f>IFERROR(VLOOKUP(E842,'Inventaire des produits'!$B$4:$J$1000,5,FALSE),"")</f>
        <v>0</v>
      </c>
      <c r="L842" s="301">
        <f>IFERROR(VLOOKUP(E842,'Inventaire des produits'!$B$4:$J$1000,6,FALSE),"")</f>
        <v>28.333333333300001</v>
      </c>
      <c r="M842" s="62">
        <v>13187.22</v>
      </c>
    </row>
    <row r="843" spans="2:13" x14ac:dyDescent="0.3">
      <c r="B843" s="378" t="s">
        <v>1704</v>
      </c>
      <c r="C843" s="341"/>
      <c r="D843" s="338"/>
      <c r="E843" s="235" t="s">
        <v>666</v>
      </c>
      <c r="F843" s="271" t="str">
        <f>IFERROR(VLOOKUP(E843,'Inventaire des produits'!$B$4:$K$1000,2,0),"")</f>
        <v>GANT VINYL EXTRA PREMIUM GLOVE MEDIUM</v>
      </c>
      <c r="G843" s="247">
        <v>28</v>
      </c>
      <c r="H843" s="79">
        <v>33.333333333333336</v>
      </c>
      <c r="I843" s="95">
        <f t="shared" si="26"/>
        <v>933.33333333333337</v>
      </c>
      <c r="J843" s="95">
        <f t="shared" si="27"/>
        <v>1120</v>
      </c>
      <c r="K843" s="93">
        <f>IFERROR(VLOOKUP(E843,'Inventaire des produits'!$B$4:$J$1000,5,FALSE),"")</f>
        <v>0</v>
      </c>
      <c r="L843" s="301">
        <f>IFERROR(VLOOKUP(E843,'Inventaire des produits'!$B$4:$J$1000,6,FALSE),"")</f>
        <v>20</v>
      </c>
      <c r="M843" s="62"/>
    </row>
    <row r="844" spans="2:13" x14ac:dyDescent="0.3">
      <c r="B844" s="378" t="s">
        <v>1704</v>
      </c>
      <c r="C844" s="341"/>
      <c r="D844" s="338"/>
      <c r="E844" s="235" t="s">
        <v>180</v>
      </c>
      <c r="F844" s="271" t="str">
        <f>IFERROR(VLOOKUP(E844,'Inventaire des produits'!$B$4:$K$1000,2,0),"")</f>
        <v>ESSUIE MAIN PROF</v>
      </c>
      <c r="G844" s="247">
        <v>15</v>
      </c>
      <c r="H844" s="79">
        <v>28.3333333333333</v>
      </c>
      <c r="I844" s="95">
        <f t="shared" si="26"/>
        <v>424.99999999999949</v>
      </c>
      <c r="J844" s="95">
        <f t="shared" si="27"/>
        <v>509.99999999999937</v>
      </c>
      <c r="K844" s="93">
        <f>IFERROR(VLOOKUP(E844,'Inventaire des produits'!$B$4:$J$1000,5,FALSE),"")</f>
        <v>0</v>
      </c>
      <c r="L844" s="301">
        <f>IFERROR(VLOOKUP(E844,'Inventaire des produits'!$B$4:$J$1000,6,FALSE),"")</f>
        <v>22.5</v>
      </c>
      <c r="M844" s="62"/>
    </row>
    <row r="845" spans="2:13" x14ac:dyDescent="0.3">
      <c r="B845" s="378" t="s">
        <v>1704</v>
      </c>
      <c r="C845" s="341"/>
      <c r="D845" s="338"/>
      <c r="E845" s="235" t="s">
        <v>786</v>
      </c>
      <c r="F845" s="271" t="str">
        <f>IFERROR(VLOOKUP(E845,'Inventaire des produits'!$B$4:$K$1000,2,0),"")</f>
        <v>FOURCHETTE ECOLUXE TRANSPARENTE</v>
      </c>
      <c r="G845" s="247">
        <v>62</v>
      </c>
      <c r="H845" s="79">
        <v>19.166666666666668</v>
      </c>
      <c r="I845" s="95">
        <f t="shared" si="26"/>
        <v>1188.3333333333335</v>
      </c>
      <c r="J845" s="95">
        <f t="shared" si="27"/>
        <v>1426.0000000000002</v>
      </c>
      <c r="K845" s="93">
        <f>IFERROR(VLOOKUP(E845,'Inventaire des produits'!$B$4:$J$1000,5,FALSE),"")</f>
        <v>0</v>
      </c>
      <c r="L845" s="301">
        <f>IFERROR(VLOOKUP(E845,'Inventaire des produits'!$B$4:$J$1000,6,FALSE),"")</f>
        <v>15.83333333</v>
      </c>
      <c r="M845" s="62"/>
    </row>
    <row r="846" spans="2:13" x14ac:dyDescent="0.3">
      <c r="B846" s="378" t="s">
        <v>1704</v>
      </c>
      <c r="C846" s="341"/>
      <c r="D846" s="338"/>
      <c r="E846" s="235" t="s">
        <v>869</v>
      </c>
      <c r="F846" s="271" t="str">
        <f>IFERROR(VLOOKUP(E846,'Inventaire des produits'!$B$4:$K$1000,2,0),"")</f>
        <v>PAILLE ENVELOPPEE CODE 100 TRANS</v>
      </c>
      <c r="G846" s="247">
        <v>35</v>
      </c>
      <c r="H846" s="79">
        <v>6.6666666666666696</v>
      </c>
      <c r="I846" s="95">
        <f t="shared" si="26"/>
        <v>233.33333333333343</v>
      </c>
      <c r="J846" s="95">
        <f t="shared" si="27"/>
        <v>280.00000000000011</v>
      </c>
      <c r="K846" s="93">
        <f>IFERROR(VLOOKUP(E846,'Inventaire des produits'!$B$4:$J$1000,5,FALSE),"")</f>
        <v>898</v>
      </c>
      <c r="L846" s="301">
        <f>IFERROR(VLOOKUP(E846,'Inventaire des produits'!$B$4:$J$1000,6,FALSE),"")</f>
        <v>3.9166666659999998</v>
      </c>
      <c r="M846" s="62"/>
    </row>
    <row r="847" spans="2:13" x14ac:dyDescent="0.3">
      <c r="B847" s="378" t="s">
        <v>1704</v>
      </c>
      <c r="C847" s="341"/>
      <c r="D847" s="338"/>
      <c r="E847" s="235" t="s">
        <v>542</v>
      </c>
      <c r="F847" s="271" t="str">
        <f>IFERROR(VLOOKUP(E847,'Inventaire des produits'!$B$4:$K$1000,2,0),"")</f>
        <v>BARQUETTE ALUMINIUM 250</v>
      </c>
      <c r="G847" s="247">
        <v>1440</v>
      </c>
      <c r="H847" s="79">
        <v>0.375</v>
      </c>
      <c r="I847" s="95">
        <f t="shared" si="26"/>
        <v>540</v>
      </c>
      <c r="J847" s="95">
        <f t="shared" si="27"/>
        <v>648</v>
      </c>
      <c r="K847" s="93">
        <f>IFERROR(VLOOKUP(E847,'Inventaire des produits'!$B$4:$J$1000,5,FALSE),"")</f>
        <v>0</v>
      </c>
      <c r="L847" s="301">
        <f>IFERROR(VLOOKUP(E847,'Inventaire des produits'!$B$4:$J$1000,6,FALSE),"")</f>
        <v>0.20338000000000001</v>
      </c>
      <c r="M847" s="62"/>
    </row>
    <row r="848" spans="2:13" x14ac:dyDescent="0.3">
      <c r="B848" s="378" t="s">
        <v>1704</v>
      </c>
      <c r="C848" s="341"/>
      <c r="D848" s="338"/>
      <c r="E848" s="235" t="s">
        <v>840</v>
      </c>
      <c r="F848" s="271" t="str">
        <f>IFERROR(VLOOKUP(E848,'Inventaire des produits'!$B$4:$K$1000,2,0),"")</f>
        <v>FILM ALIMENTAIRE 1300GR GM 45X500</v>
      </c>
      <c r="G848" s="247">
        <v>12</v>
      </c>
      <c r="H848" s="79">
        <v>43.3333333333333</v>
      </c>
      <c r="I848" s="95">
        <f t="shared" si="26"/>
        <v>519.99999999999955</v>
      </c>
      <c r="J848" s="95">
        <f t="shared" si="27"/>
        <v>623.99999999999943</v>
      </c>
      <c r="K848" s="93">
        <f>IFERROR(VLOOKUP(E848,'Inventaire des produits'!$B$4:$J$1000,5,FALSE),"")</f>
        <v>0</v>
      </c>
      <c r="L848" s="301">
        <f>IFERROR(VLOOKUP(E848,'Inventaire des produits'!$B$4:$J$1000,6,FALSE),"")</f>
        <v>29.167000000000002</v>
      </c>
      <c r="M848" s="62"/>
    </row>
    <row r="849" spans="2:13" x14ac:dyDescent="0.3">
      <c r="B849" s="378" t="s">
        <v>1704</v>
      </c>
      <c r="C849" s="341"/>
      <c r="D849" s="338"/>
      <c r="E849" s="235" t="s">
        <v>619</v>
      </c>
      <c r="F849" s="271" t="str">
        <f>IFERROR(VLOOKUP(E849,'Inventaire des produits'!$B$4:$K$1000,2,0),"")</f>
        <v>POT DE SAUCE 1OZ 30ML HP</v>
      </c>
      <c r="G849" s="247">
        <v>33050</v>
      </c>
      <c r="H849" s="79">
        <v>0.17495250000000001</v>
      </c>
      <c r="I849" s="95">
        <f t="shared" si="26"/>
        <v>5782.1801250000008</v>
      </c>
      <c r="J849" s="95">
        <f t="shared" si="27"/>
        <v>6938.6161500000007</v>
      </c>
      <c r="K849" s="93">
        <f>IFERROR(VLOOKUP(E849,'Inventaire des produits'!$B$4:$J$1000,5,FALSE),"")</f>
        <v>0</v>
      </c>
      <c r="L849" s="301">
        <f>IFERROR(VLOOKUP(E849,'Inventaire des produits'!$B$4:$J$1000,6,FALSE),"")</f>
        <v>0.13450000000000001</v>
      </c>
      <c r="M849" s="62"/>
    </row>
    <row r="850" spans="2:13" x14ac:dyDescent="0.3">
      <c r="B850" s="378" t="s">
        <v>1704</v>
      </c>
      <c r="C850" s="341"/>
      <c r="D850" s="338"/>
      <c r="E850" s="235" t="s">
        <v>418</v>
      </c>
      <c r="F850" s="271" t="str">
        <f>IFERROR(VLOOKUP(E850,'Inventaire des produits'!$B$4:$K$1000,2,0),"")</f>
        <v>ROULEAU DE CAISSE THERMIQUE 70X80</v>
      </c>
      <c r="G850" s="247">
        <v>54</v>
      </c>
      <c r="H850" s="79">
        <v>10.333333333333334</v>
      </c>
      <c r="I850" s="95">
        <f t="shared" si="26"/>
        <v>558</v>
      </c>
      <c r="J850" s="95">
        <f t="shared" si="27"/>
        <v>669.6</v>
      </c>
      <c r="K850" s="93">
        <f>IFERROR(VLOOKUP(E850,'Inventaire des produits'!$B$4:$J$1000,5,FALSE),"")</f>
        <v>0</v>
      </c>
      <c r="L850" s="301">
        <f>IFERROR(VLOOKUP(E850,'Inventaire des produits'!$B$4:$J$1000,6,FALSE),"")</f>
        <v>8</v>
      </c>
      <c r="M850" s="62"/>
    </row>
    <row r="851" spans="2:13" x14ac:dyDescent="0.3">
      <c r="B851" s="378" t="s">
        <v>1704</v>
      </c>
      <c r="C851" s="341"/>
      <c r="D851" s="338"/>
      <c r="E851" s="235" t="s">
        <v>232</v>
      </c>
      <c r="F851" s="271" t="str">
        <f>IFERROR(VLOOKUP(E851,'Inventaire des produits'!$B$4:$K$1000,2,0),"")</f>
        <v>CUILLERE ECOLUXE TRANSPARENT</v>
      </c>
      <c r="G851" s="247">
        <v>6</v>
      </c>
      <c r="H851" s="79">
        <v>19.166666666666668</v>
      </c>
      <c r="I851" s="95">
        <f t="shared" si="26"/>
        <v>115</v>
      </c>
      <c r="J851" s="95">
        <f t="shared" si="27"/>
        <v>138</v>
      </c>
      <c r="K851" s="93">
        <f>IFERROR(VLOOKUP(E851,'Inventaire des produits'!$B$4:$J$1000,5,FALSE),"")</f>
        <v>0</v>
      </c>
      <c r="L851" s="301">
        <f>IFERROR(VLOOKUP(E851,'Inventaire des produits'!$B$4:$J$1000,6,FALSE),"")</f>
        <v>17.5</v>
      </c>
      <c r="M851" s="62"/>
    </row>
    <row r="852" spans="2:13" x14ac:dyDescent="0.3">
      <c r="B852" s="378" t="s">
        <v>1704</v>
      </c>
      <c r="C852" s="342"/>
      <c r="D852" s="339"/>
      <c r="E852" s="235" t="s">
        <v>584</v>
      </c>
      <c r="F852" s="271" t="str">
        <f>IFERROR(VLOOKUP(E852,'Inventaire des produits'!$B$4:$K$1000,2,0),"")</f>
        <v>ROULEAU ALUMINIUM EXTRA PACK 200M</v>
      </c>
      <c r="G852" s="247">
        <v>1</v>
      </c>
      <c r="H852" s="79">
        <v>70.833333333333343</v>
      </c>
      <c r="I852" s="95">
        <f t="shared" si="26"/>
        <v>70.833333333333343</v>
      </c>
      <c r="J852" s="95">
        <f t="shared" si="27"/>
        <v>85.000000000000014</v>
      </c>
      <c r="K852" s="93">
        <f>IFERROR(VLOOKUP(E852,'Inventaire des produits'!$B$4:$J$1000,5,FALSE),"")</f>
        <v>0</v>
      </c>
      <c r="L852" s="301">
        <f>IFERROR(VLOOKUP(E852,'Inventaire des produits'!$B$4:$J$1000,6,FALSE),"")</f>
        <v>50</v>
      </c>
      <c r="M852" s="62"/>
    </row>
    <row r="853" spans="2:13" x14ac:dyDescent="0.3">
      <c r="B853" s="378" t="s">
        <v>1704</v>
      </c>
      <c r="C853" s="340">
        <v>45454</v>
      </c>
      <c r="D853" s="337" t="s">
        <v>973</v>
      </c>
      <c r="E853" s="235" t="s">
        <v>256</v>
      </c>
      <c r="F853" s="271" t="str">
        <f>IFERROR(VLOOKUP(E853,'Inventaire des produits'!$B$4:$K$1000,2,0),"")</f>
        <v>FILM ALIMENTAIRE VIOLET</v>
      </c>
      <c r="G853" s="247">
        <v>22</v>
      </c>
      <c r="H853" s="79">
        <v>28.3333333333333</v>
      </c>
      <c r="I853" s="95">
        <f t="shared" si="26"/>
        <v>623.33333333333258</v>
      </c>
      <c r="J853" s="95">
        <f t="shared" si="27"/>
        <v>747.99999999999909</v>
      </c>
      <c r="K853" s="93">
        <f>IFERROR(VLOOKUP(E853,'Inventaire des produits'!$B$4:$J$1000,5,FALSE),"")</f>
        <v>0</v>
      </c>
      <c r="L853" s="301">
        <f>IFERROR(VLOOKUP(E853,'Inventaire des produits'!$B$4:$J$1000,6,FALSE),"")</f>
        <v>28.333333333300001</v>
      </c>
      <c r="M853" s="62">
        <v>12923.516149999999</v>
      </c>
    </row>
    <row r="854" spans="2:13" x14ac:dyDescent="0.3">
      <c r="B854" s="378" t="s">
        <v>1704</v>
      </c>
      <c r="C854" s="341"/>
      <c r="D854" s="338"/>
      <c r="E854" s="235" t="s">
        <v>666</v>
      </c>
      <c r="F854" s="271" t="str">
        <f>IFERROR(VLOOKUP(E854,'Inventaire des produits'!$B$4:$K$1000,2,0),"")</f>
        <v>GANT VINYL EXTRA PREMIUM GLOVE MEDIUM</v>
      </c>
      <c r="G854" s="247">
        <v>27</v>
      </c>
      <c r="H854" s="79">
        <v>33.333333333333336</v>
      </c>
      <c r="I854" s="95">
        <f t="shared" si="26"/>
        <v>900.00000000000011</v>
      </c>
      <c r="J854" s="95">
        <f t="shared" si="27"/>
        <v>1080</v>
      </c>
      <c r="K854" s="93">
        <f>IFERROR(VLOOKUP(E854,'Inventaire des produits'!$B$4:$J$1000,5,FALSE),"")</f>
        <v>0</v>
      </c>
      <c r="L854" s="301">
        <f>IFERROR(VLOOKUP(E854,'Inventaire des produits'!$B$4:$J$1000,6,FALSE),"")</f>
        <v>20</v>
      </c>
      <c r="M854" s="62"/>
    </row>
    <row r="855" spans="2:13" x14ac:dyDescent="0.3">
      <c r="B855" s="378" t="s">
        <v>1704</v>
      </c>
      <c r="C855" s="341"/>
      <c r="D855" s="338"/>
      <c r="E855" s="235" t="s">
        <v>180</v>
      </c>
      <c r="F855" s="271" t="str">
        <f>IFERROR(VLOOKUP(E855,'Inventaire des produits'!$B$4:$K$1000,2,0),"")</f>
        <v>ESSUIE MAIN PROF</v>
      </c>
      <c r="G855" s="247">
        <v>13</v>
      </c>
      <c r="H855" s="79">
        <v>28.3333333333333</v>
      </c>
      <c r="I855" s="95">
        <f t="shared" si="26"/>
        <v>368.33333333333292</v>
      </c>
      <c r="J855" s="95">
        <f t="shared" si="27"/>
        <v>441.99999999999949</v>
      </c>
      <c r="K855" s="93">
        <f>IFERROR(VLOOKUP(E855,'Inventaire des produits'!$B$4:$J$1000,5,FALSE),"")</f>
        <v>0</v>
      </c>
      <c r="L855" s="301">
        <f>IFERROR(VLOOKUP(E855,'Inventaire des produits'!$B$4:$J$1000,6,FALSE),"")</f>
        <v>22.5</v>
      </c>
      <c r="M855" s="62"/>
    </row>
    <row r="856" spans="2:13" x14ac:dyDescent="0.3">
      <c r="B856" s="378" t="s">
        <v>1704</v>
      </c>
      <c r="C856" s="341"/>
      <c r="D856" s="338"/>
      <c r="E856" s="235" t="s">
        <v>786</v>
      </c>
      <c r="F856" s="271" t="str">
        <f>IFERROR(VLOOKUP(E856,'Inventaire des produits'!$B$4:$K$1000,2,0),"")</f>
        <v>FOURCHETTE ECOLUXE TRANSPARENTE</v>
      </c>
      <c r="G856" s="247">
        <v>60</v>
      </c>
      <c r="H856" s="79">
        <v>19.166666666666668</v>
      </c>
      <c r="I856" s="95">
        <f t="shared" si="26"/>
        <v>1150</v>
      </c>
      <c r="J856" s="95">
        <f t="shared" si="27"/>
        <v>1380</v>
      </c>
      <c r="K856" s="93">
        <f>IFERROR(VLOOKUP(E856,'Inventaire des produits'!$B$4:$J$1000,5,FALSE),"")</f>
        <v>0</v>
      </c>
      <c r="L856" s="301">
        <f>IFERROR(VLOOKUP(E856,'Inventaire des produits'!$B$4:$J$1000,6,FALSE),"")</f>
        <v>15.83333333</v>
      </c>
      <c r="M856" s="62"/>
    </row>
    <row r="857" spans="2:13" x14ac:dyDescent="0.3">
      <c r="B857" s="378" t="s">
        <v>1704</v>
      </c>
      <c r="C857" s="341"/>
      <c r="D857" s="338"/>
      <c r="E857" s="235" t="s">
        <v>869</v>
      </c>
      <c r="F857" s="271" t="str">
        <f>IFERROR(VLOOKUP(E857,'Inventaire des produits'!$B$4:$K$1000,2,0),"")</f>
        <v>PAILLE ENVELOPPEE CODE 100 TRANS</v>
      </c>
      <c r="G857" s="247">
        <v>33</v>
      </c>
      <c r="H857" s="79">
        <v>6.6666666666666696</v>
      </c>
      <c r="I857" s="95">
        <f t="shared" si="26"/>
        <v>220.00000000000009</v>
      </c>
      <c r="J857" s="95">
        <f t="shared" si="27"/>
        <v>264.00000000000011</v>
      </c>
      <c r="K857" s="93">
        <f>IFERROR(VLOOKUP(E857,'Inventaire des produits'!$B$4:$J$1000,5,FALSE),"")</f>
        <v>898</v>
      </c>
      <c r="L857" s="301">
        <f>IFERROR(VLOOKUP(E857,'Inventaire des produits'!$B$4:$J$1000,6,FALSE),"")</f>
        <v>3.9166666659999998</v>
      </c>
      <c r="M857" s="62"/>
    </row>
    <row r="858" spans="2:13" x14ac:dyDescent="0.3">
      <c r="B858" s="378" t="s">
        <v>1704</v>
      </c>
      <c r="C858" s="341"/>
      <c r="D858" s="338"/>
      <c r="E858" s="235" t="s">
        <v>542</v>
      </c>
      <c r="F858" s="271" t="str">
        <f>IFERROR(VLOOKUP(E858,'Inventaire des produits'!$B$4:$K$1000,2,0),"")</f>
        <v>BARQUETTE ALUMINIUM 250</v>
      </c>
      <c r="G858" s="247">
        <v>1430</v>
      </c>
      <c r="H858" s="79">
        <v>0.375</v>
      </c>
      <c r="I858" s="95">
        <f t="shared" si="26"/>
        <v>536.25</v>
      </c>
      <c r="J858" s="95">
        <f t="shared" si="27"/>
        <v>643.5</v>
      </c>
      <c r="K858" s="93">
        <f>IFERROR(VLOOKUP(E858,'Inventaire des produits'!$B$4:$J$1000,5,FALSE),"")</f>
        <v>0</v>
      </c>
      <c r="L858" s="301">
        <f>IFERROR(VLOOKUP(E858,'Inventaire des produits'!$B$4:$J$1000,6,FALSE),"")</f>
        <v>0.20338000000000001</v>
      </c>
      <c r="M858" s="62"/>
    </row>
    <row r="859" spans="2:13" x14ac:dyDescent="0.3">
      <c r="B859" s="378" t="s">
        <v>1704</v>
      </c>
      <c r="C859" s="341"/>
      <c r="D859" s="338"/>
      <c r="E859" s="235" t="s">
        <v>840</v>
      </c>
      <c r="F859" s="271" t="str">
        <f>IFERROR(VLOOKUP(E859,'Inventaire des produits'!$B$4:$K$1000,2,0),"")</f>
        <v>FILM ALIMENTAIRE 1300GR GM 45X500</v>
      </c>
      <c r="G859" s="247">
        <v>11</v>
      </c>
      <c r="H859" s="79">
        <v>43.3333333333333</v>
      </c>
      <c r="I859" s="95">
        <f t="shared" si="26"/>
        <v>476.66666666666629</v>
      </c>
      <c r="J859" s="95">
        <f t="shared" si="27"/>
        <v>571.99999999999955</v>
      </c>
      <c r="K859" s="93">
        <f>IFERROR(VLOOKUP(E859,'Inventaire des produits'!$B$4:$J$1000,5,FALSE),"")</f>
        <v>0</v>
      </c>
      <c r="L859" s="301">
        <f>IFERROR(VLOOKUP(E859,'Inventaire des produits'!$B$4:$J$1000,6,FALSE),"")</f>
        <v>29.167000000000002</v>
      </c>
      <c r="M859" s="62"/>
    </row>
    <row r="860" spans="2:13" x14ac:dyDescent="0.3">
      <c r="B860" s="378" t="s">
        <v>1704</v>
      </c>
      <c r="C860" s="341"/>
      <c r="D860" s="338"/>
      <c r="E860" s="235" t="s">
        <v>619</v>
      </c>
      <c r="F860" s="271" t="str">
        <f>IFERROR(VLOOKUP(E860,'Inventaire des produits'!$B$4:$K$1000,2,0),"")</f>
        <v>POT DE SAUCE 1OZ 30ML HP</v>
      </c>
      <c r="G860" s="247">
        <v>33050</v>
      </c>
      <c r="H860" s="79">
        <v>0.17495250000000001</v>
      </c>
      <c r="I860" s="95">
        <f t="shared" si="26"/>
        <v>5782.1801250000008</v>
      </c>
      <c r="J860" s="95">
        <f t="shared" si="27"/>
        <v>6938.6161500000007</v>
      </c>
      <c r="K860" s="93">
        <f>IFERROR(VLOOKUP(E860,'Inventaire des produits'!$B$4:$J$1000,5,FALSE),"")</f>
        <v>0</v>
      </c>
      <c r="L860" s="301">
        <f>IFERROR(VLOOKUP(E860,'Inventaire des produits'!$B$4:$J$1000,6,FALSE),"")</f>
        <v>0.13450000000000001</v>
      </c>
      <c r="M860" s="62"/>
    </row>
    <row r="861" spans="2:13" x14ac:dyDescent="0.3">
      <c r="B861" s="378" t="s">
        <v>1704</v>
      </c>
      <c r="C861" s="341"/>
      <c r="D861" s="338"/>
      <c r="E861" s="235" t="s">
        <v>418</v>
      </c>
      <c r="F861" s="271" t="str">
        <f>IFERROR(VLOOKUP(E861,'Inventaire des produits'!$B$4:$K$1000,2,0),"")</f>
        <v>ROULEAU DE CAISSE THERMIQUE 70X80</v>
      </c>
      <c r="G861" s="247">
        <v>51</v>
      </c>
      <c r="H861" s="79">
        <v>10.333333333333334</v>
      </c>
      <c r="I861" s="95">
        <f t="shared" si="26"/>
        <v>527</v>
      </c>
      <c r="J861" s="95">
        <f t="shared" si="27"/>
        <v>632.4</v>
      </c>
      <c r="K861" s="93">
        <f>IFERROR(VLOOKUP(E861,'Inventaire des produits'!$B$4:$J$1000,5,FALSE),"")</f>
        <v>0</v>
      </c>
      <c r="L861" s="301">
        <f>IFERROR(VLOOKUP(E861,'Inventaire des produits'!$B$4:$J$1000,6,FALSE),"")</f>
        <v>8</v>
      </c>
      <c r="M861" s="62"/>
    </row>
    <row r="862" spans="2:13" x14ac:dyDescent="0.3">
      <c r="B862" s="378" t="s">
        <v>1704</v>
      </c>
      <c r="C862" s="341"/>
      <c r="D862" s="338"/>
      <c r="E862" s="235" t="s">
        <v>232</v>
      </c>
      <c r="F862" s="271" t="str">
        <f>IFERROR(VLOOKUP(E862,'Inventaire des produits'!$B$4:$K$1000,2,0),"")</f>
        <v>CUILLERE ECOLUXE TRANSPARENT</v>
      </c>
      <c r="G862" s="247">
        <v>6</v>
      </c>
      <c r="H862" s="79">
        <v>19.166666666666668</v>
      </c>
      <c r="I862" s="95">
        <f t="shared" si="26"/>
        <v>115</v>
      </c>
      <c r="J862" s="95">
        <f t="shared" si="27"/>
        <v>138</v>
      </c>
      <c r="K862" s="93">
        <f>IFERROR(VLOOKUP(E862,'Inventaire des produits'!$B$4:$J$1000,5,FALSE),"")</f>
        <v>0</v>
      </c>
      <c r="L862" s="301">
        <f>IFERROR(VLOOKUP(E862,'Inventaire des produits'!$B$4:$J$1000,6,FALSE),"")</f>
        <v>17.5</v>
      </c>
      <c r="M862" s="62"/>
    </row>
    <row r="863" spans="2:13" x14ac:dyDescent="0.3">
      <c r="B863" s="378" t="s">
        <v>1704</v>
      </c>
      <c r="C863" s="342"/>
      <c r="D863" s="339"/>
      <c r="E863" s="235" t="s">
        <v>584</v>
      </c>
      <c r="F863" s="271" t="str">
        <f>IFERROR(VLOOKUP(E863,'Inventaire des produits'!$B$4:$K$1000,2,0),"")</f>
        <v>ROULEAU ALUMINIUM EXTRA PACK 200M</v>
      </c>
      <c r="G863" s="247">
        <v>1</v>
      </c>
      <c r="H863" s="79">
        <v>70.833333333333343</v>
      </c>
      <c r="I863" s="95">
        <f t="shared" si="26"/>
        <v>70.833333333333343</v>
      </c>
      <c r="J863" s="95">
        <f t="shared" si="27"/>
        <v>85.000000000000014</v>
      </c>
      <c r="K863" s="93">
        <f>IFERROR(VLOOKUP(E863,'Inventaire des produits'!$B$4:$J$1000,5,FALSE),"")</f>
        <v>0</v>
      </c>
      <c r="L863" s="301">
        <f>IFERROR(VLOOKUP(E863,'Inventaire des produits'!$B$4:$J$1000,6,FALSE),"")</f>
        <v>50</v>
      </c>
      <c r="M863" s="62"/>
    </row>
    <row r="864" spans="2:13" x14ac:dyDescent="0.3">
      <c r="B864" s="378" t="s">
        <v>1704</v>
      </c>
      <c r="C864" s="340">
        <v>45454</v>
      </c>
      <c r="D864" s="337" t="s">
        <v>974</v>
      </c>
      <c r="E864" s="235" t="s">
        <v>256</v>
      </c>
      <c r="F864" s="271" t="str">
        <f>IFERROR(VLOOKUP(E864,'Inventaire des produits'!$B$4:$K$1000,2,0),"")</f>
        <v>FILM ALIMENTAIRE VIOLET</v>
      </c>
      <c r="G864" s="266">
        <v>45</v>
      </c>
      <c r="H864" s="85">
        <v>28.3066</v>
      </c>
      <c r="I864" s="95">
        <f t="shared" si="26"/>
        <v>1273.797</v>
      </c>
      <c r="J864" s="95">
        <f t="shared" si="27"/>
        <v>1528.5563999999999</v>
      </c>
      <c r="K864" s="93">
        <f>IFERROR(VLOOKUP(E864,'Inventaire des produits'!$B$4:$J$1000,5,FALSE),"")</f>
        <v>0</v>
      </c>
      <c r="L864" s="301">
        <f>IFERROR(VLOOKUP(E864,'Inventaire des produits'!$B$4:$J$1000,6,FALSE),"")</f>
        <v>28.333333333300001</v>
      </c>
      <c r="M864" s="62">
        <v>2292</v>
      </c>
    </row>
    <row r="865" spans="2:13" x14ac:dyDescent="0.3">
      <c r="B865" s="378" t="s">
        <v>1704</v>
      </c>
      <c r="C865" s="341"/>
      <c r="D865" s="338"/>
      <c r="E865" s="235" t="s">
        <v>666</v>
      </c>
      <c r="F865" s="271" t="str">
        <f>IFERROR(VLOOKUP(E865,'Inventaire des produits'!$B$4:$K$1000,2,0),"")</f>
        <v>GANT VINYL EXTRA PREMIUM GLOVE MEDIUM</v>
      </c>
      <c r="G865" s="265">
        <v>14</v>
      </c>
      <c r="H865" s="80">
        <v>33.31</v>
      </c>
      <c r="I865" s="95">
        <f t="shared" si="26"/>
        <v>466.34000000000003</v>
      </c>
      <c r="J865" s="95">
        <f t="shared" si="27"/>
        <v>559.60800000000006</v>
      </c>
      <c r="K865" s="93">
        <f>IFERROR(VLOOKUP(E865,'Inventaire des produits'!$B$4:$J$1000,5,FALSE),"")</f>
        <v>0</v>
      </c>
      <c r="L865" s="301">
        <f>IFERROR(VLOOKUP(E865,'Inventaire des produits'!$B$4:$J$1000,6,FALSE),"")</f>
        <v>20</v>
      </c>
      <c r="M865" s="62"/>
    </row>
    <row r="866" spans="2:13" x14ac:dyDescent="0.3">
      <c r="B866" s="378" t="s">
        <v>1704</v>
      </c>
      <c r="C866" s="342"/>
      <c r="D866" s="339"/>
      <c r="E866" s="235" t="s">
        <v>252</v>
      </c>
      <c r="F866" s="271" t="str">
        <f>IFERROR(VLOOKUP(E866,'Inventaire des produits'!$B$4:$K$1000,2,0),"")</f>
        <v>ESSUIE MAIN GKEM1KG</v>
      </c>
      <c r="G866" s="265">
        <v>6</v>
      </c>
      <c r="H866" s="80">
        <v>28.31</v>
      </c>
      <c r="I866" s="95">
        <f t="shared" si="26"/>
        <v>169.85999999999999</v>
      </c>
      <c r="J866" s="95">
        <f t="shared" si="27"/>
        <v>203.83199999999997</v>
      </c>
      <c r="K866" s="93">
        <f>IFERROR(VLOOKUP(E866,'Inventaire des produits'!$B$4:$J$1000,5,FALSE),"")</f>
        <v>0</v>
      </c>
      <c r="L866" s="301">
        <f>IFERROR(VLOOKUP(E866,'Inventaire des produits'!$B$4:$J$1000,6,FALSE),"")</f>
        <v>20.83</v>
      </c>
      <c r="M866" s="62"/>
    </row>
    <row r="867" spans="2:13" x14ac:dyDescent="0.3">
      <c r="B867" s="378" t="s">
        <v>1704</v>
      </c>
      <c r="C867" s="340">
        <v>45455</v>
      </c>
      <c r="D867" s="337" t="s">
        <v>977</v>
      </c>
      <c r="E867" s="235" t="s">
        <v>836</v>
      </c>
      <c r="F867" s="271" t="str">
        <f>IFERROR(VLOOKUP(E867,'Inventaire des produits'!$B$4:$K$1000,2,0),"")</f>
        <v xml:space="preserve">SERVIETTE DE TABLE </v>
      </c>
      <c r="G867" s="247">
        <v>300</v>
      </c>
      <c r="H867" s="79">
        <v>3.75</v>
      </c>
      <c r="I867" s="95">
        <f t="shared" si="26"/>
        <v>1125</v>
      </c>
      <c r="J867" s="95">
        <f t="shared" si="27"/>
        <v>1350</v>
      </c>
      <c r="K867" s="93">
        <f>IFERROR(VLOOKUP(E867,'Inventaire des produits'!$B$4:$J$1000,5,FALSE),"")</f>
        <v>0</v>
      </c>
      <c r="L867" s="301">
        <f>IFERROR(VLOOKUP(E867,'Inventaire des produits'!$B$4:$J$1000,6,FALSE),"")</f>
        <v>2.8330000000000002</v>
      </c>
      <c r="M867" s="62">
        <v>5400</v>
      </c>
    </row>
    <row r="868" spans="2:13" x14ac:dyDescent="0.3">
      <c r="B868" s="378" t="s">
        <v>1704</v>
      </c>
      <c r="C868" s="341"/>
      <c r="D868" s="338"/>
      <c r="E868" s="235" t="s">
        <v>250</v>
      </c>
      <c r="F868" s="271" t="str">
        <f>IFERROR(VLOOKUP(E868,'Inventaire des produits'!$B$4:$K$1000,2,0),"")</f>
        <v>FOURCHETTE ECOLUXE</v>
      </c>
      <c r="G868" s="247">
        <v>25</v>
      </c>
      <c r="H868" s="79">
        <v>20</v>
      </c>
      <c r="I868" s="95">
        <f t="shared" si="26"/>
        <v>500</v>
      </c>
      <c r="J868" s="95">
        <f t="shared" si="27"/>
        <v>600</v>
      </c>
      <c r="K868" s="93">
        <f>IFERROR(VLOOKUP(E868,'Inventaire des produits'!$B$4:$J$1000,5,FALSE),"")</f>
        <v>0</v>
      </c>
      <c r="L868" s="301">
        <f>IFERROR(VLOOKUP(E868,'Inventaire des produits'!$B$4:$J$1000,6,FALSE),"")</f>
        <v>15.84</v>
      </c>
      <c r="M868" s="62"/>
    </row>
    <row r="869" spans="2:13" x14ac:dyDescent="0.3">
      <c r="B869" s="378" t="s">
        <v>1704</v>
      </c>
      <c r="C869" s="341"/>
      <c r="D869" s="338"/>
      <c r="E869" s="235" t="s">
        <v>583</v>
      </c>
      <c r="F869" s="271" t="str">
        <f>IFERROR(VLOOKUP(E869,'Inventaire des produits'!$B$4:$K$1000,2,0),"")</f>
        <v>GANT VINYL EXTRA PREMIUM GLOVE MEDIUM</v>
      </c>
      <c r="G869" s="247">
        <v>28</v>
      </c>
      <c r="H869" s="79">
        <v>33.333333333333336</v>
      </c>
      <c r="I869" s="95">
        <f t="shared" si="26"/>
        <v>933.33333333333337</v>
      </c>
      <c r="J869" s="95">
        <f t="shared" si="27"/>
        <v>1120</v>
      </c>
      <c r="K869" s="93">
        <f>IFERROR(VLOOKUP(E869,'Inventaire des produits'!$B$4:$J$1000,5,FALSE),"")</f>
        <v>0</v>
      </c>
      <c r="L869" s="301">
        <f>IFERROR(VLOOKUP(E869,'Inventaire des produits'!$B$4:$J$1000,6,FALSE),"")</f>
        <v>19.166666666699999</v>
      </c>
      <c r="M869" s="62"/>
    </row>
    <row r="870" spans="2:13" x14ac:dyDescent="0.3">
      <c r="B870" s="378" t="s">
        <v>1704</v>
      </c>
      <c r="C870" s="341"/>
      <c r="D870" s="338"/>
      <c r="E870" s="235" t="s">
        <v>222</v>
      </c>
      <c r="F870" s="271" t="str">
        <f>IFERROR(VLOOKUP(E870,'Inventaire des produits'!$B$4:$K$1000,2,0),"")</f>
        <v>FILM ALIMENTAIRE ELEGENCE</v>
      </c>
      <c r="G870" s="247">
        <v>20</v>
      </c>
      <c r="H870" s="79">
        <v>27.5</v>
      </c>
      <c r="I870" s="95">
        <f t="shared" si="26"/>
        <v>550</v>
      </c>
      <c r="J870" s="95">
        <f t="shared" si="27"/>
        <v>660</v>
      </c>
      <c r="K870" s="93">
        <f>IFERROR(VLOOKUP(E870,'Inventaire des produits'!$B$4:$J$1000,5,FALSE),"")</f>
        <v>0</v>
      </c>
      <c r="L870" s="301">
        <f>IFERROR(VLOOKUP(E870,'Inventaire des produits'!$B$4:$J$1000,6,FALSE),"")</f>
        <v>20</v>
      </c>
      <c r="M870" s="62"/>
    </row>
    <row r="871" spans="2:13" x14ac:dyDescent="0.3">
      <c r="B871" s="378" t="s">
        <v>1704</v>
      </c>
      <c r="C871" s="341"/>
      <c r="D871" s="338"/>
      <c r="E871" s="235" t="s">
        <v>372</v>
      </c>
      <c r="F871" s="271" t="str">
        <f>IFERROR(VLOOKUP(E871,'Inventaire des produits'!$B$4:$K$1000,2,0),"")</f>
        <v>BARQUETTE VITA PACK 750ML AVEC CVL</v>
      </c>
      <c r="G871" s="247">
        <v>150</v>
      </c>
      <c r="H871" s="79">
        <v>1.5833333333333333</v>
      </c>
      <c r="I871" s="95">
        <f t="shared" si="26"/>
        <v>237.5</v>
      </c>
      <c r="J871" s="95">
        <f t="shared" si="27"/>
        <v>285</v>
      </c>
      <c r="K871" s="93">
        <f>IFERROR(VLOOKUP(E871,'Inventaire des produits'!$B$4:$J$1000,5,FALSE),"")</f>
        <v>0</v>
      </c>
      <c r="L871" s="301">
        <f>IFERROR(VLOOKUP(E871,'Inventaire des produits'!$B$4:$J$1000,6,FALSE),"")</f>
        <v>1.34</v>
      </c>
      <c r="M871" s="62"/>
    </row>
    <row r="872" spans="2:13" x14ac:dyDescent="0.3">
      <c r="B872" s="378" t="s">
        <v>1704</v>
      </c>
      <c r="C872" s="342"/>
      <c r="D872" s="339"/>
      <c r="E872" s="235" t="s">
        <v>648</v>
      </c>
      <c r="F872" s="271" t="str">
        <f>IFERROR(VLOOKUP(E872,'Inventaire des produits'!$B$4:$K$1000,2,0),"")</f>
        <v>BOL SOUPE MICRON ONDABLE ET CVL 460CC</v>
      </c>
      <c r="G872" s="247">
        <v>1300</v>
      </c>
      <c r="H872" s="79">
        <v>0.88782000000000005</v>
      </c>
      <c r="I872" s="95">
        <f t="shared" si="26"/>
        <v>1154.1660000000002</v>
      </c>
      <c r="J872" s="95">
        <f t="shared" si="27"/>
        <v>1384.9992000000002</v>
      </c>
      <c r="K872" s="93">
        <f>IFERROR(VLOOKUP(E872,'Inventaire des produits'!$B$4:$J$1000,5,FALSE),"")</f>
        <v>0</v>
      </c>
      <c r="L872" s="301">
        <f>IFERROR(VLOOKUP(E872,'Inventaire des produits'!$B$4:$J$1000,6,FALSE),"")</f>
        <v>0.79166666669999997</v>
      </c>
      <c r="M872" s="62"/>
    </row>
    <row r="873" spans="2:13" x14ac:dyDescent="0.3">
      <c r="B873" s="378" t="s">
        <v>1704</v>
      </c>
      <c r="C873" s="340">
        <v>45456</v>
      </c>
      <c r="D873" s="337" t="s">
        <v>978</v>
      </c>
      <c r="E873" s="235" t="s">
        <v>190</v>
      </c>
      <c r="F873" s="271" t="str">
        <f>IFERROR(VLOOKUP(E873,'Inventaire des produits'!$B$4:$K$1000,2,0),"")</f>
        <v>LUNCH BOX KRAFT BONNE APETIT 19*11*7,5 CARTON 200</v>
      </c>
      <c r="G873" s="266">
        <v>11</v>
      </c>
      <c r="H873" s="85">
        <f>1.33333333333333*200</f>
        <v>266.666666666666</v>
      </c>
      <c r="I873" s="95">
        <f t="shared" si="26"/>
        <v>2933.3333333333262</v>
      </c>
      <c r="J873" s="95">
        <f t="shared" si="27"/>
        <v>3519.9999999999914</v>
      </c>
      <c r="K873" s="93">
        <f>IFERROR(VLOOKUP(E873,'Inventaire des produits'!$B$4:$J$1000,5,FALSE),"")</f>
        <v>0</v>
      </c>
      <c r="L873" s="301">
        <f>IFERROR(VLOOKUP(E873,'Inventaire des produits'!$B$4:$J$1000,6,FALSE),"")</f>
        <v>253.33333333339999</v>
      </c>
      <c r="M873" s="62">
        <v>12075</v>
      </c>
    </row>
    <row r="874" spans="2:13" x14ac:dyDescent="0.3">
      <c r="B874" s="378" t="s">
        <v>1704</v>
      </c>
      <c r="C874" s="341"/>
      <c r="D874" s="338"/>
      <c r="E874" s="235" t="s">
        <v>265</v>
      </c>
      <c r="F874" s="271" t="str">
        <f>IFERROR(VLOOKUP(E874,'Inventaire des produits'!$B$4:$K$1000,2,0),"")</f>
        <v>BARQUETTE ALUMINIUM 81850</v>
      </c>
      <c r="G874" s="265">
        <v>3550</v>
      </c>
      <c r="H874" s="80">
        <v>1.3333333333333335</v>
      </c>
      <c r="I874" s="95">
        <f t="shared" si="26"/>
        <v>4733.3333333333339</v>
      </c>
      <c r="J874" s="95">
        <f t="shared" si="27"/>
        <v>5680.0000000000009</v>
      </c>
      <c r="K874" s="93">
        <f>IFERROR(VLOOKUP(E874,'Inventaire des produits'!$B$4:$J$1000,5,FALSE),"")</f>
        <v>0</v>
      </c>
      <c r="L874" s="301">
        <f>IFERROR(VLOOKUP(E874,'Inventaire des produits'!$B$4:$J$1000,6,FALSE),"")</f>
        <v>1.125</v>
      </c>
      <c r="M874" s="62"/>
    </row>
    <row r="875" spans="2:13" x14ac:dyDescent="0.3">
      <c r="B875" s="378" t="s">
        <v>1704</v>
      </c>
      <c r="C875" s="342"/>
      <c r="D875" s="339"/>
      <c r="E875" s="235" t="s">
        <v>245</v>
      </c>
      <c r="F875" s="271" t="str">
        <f>IFERROR(VLOOKUP(E875,'Inventaire des produits'!$B$4:$K$1000,2,0),"")</f>
        <v>BARQUETTE ALUMINIUM 802</v>
      </c>
      <c r="G875" s="265">
        <v>2500</v>
      </c>
      <c r="H875" s="80">
        <v>0.95833333333333326</v>
      </c>
      <c r="I875" s="95">
        <f t="shared" si="26"/>
        <v>2395.833333333333</v>
      </c>
      <c r="J875" s="95">
        <f t="shared" si="27"/>
        <v>2874.9999999999995</v>
      </c>
      <c r="K875" s="93">
        <f>IFERROR(VLOOKUP(E875,'Inventaire des produits'!$B$4:$J$1000,5,FALSE),"")</f>
        <v>0</v>
      </c>
      <c r="L875" s="301">
        <f>IFERROR(VLOOKUP(E875,'Inventaire des produits'!$B$4:$J$1000,6,FALSE),"")</f>
        <v>0.53390000000000004</v>
      </c>
      <c r="M875" s="62"/>
    </row>
    <row r="876" spans="2:13" x14ac:dyDescent="0.3">
      <c r="B876" s="378" t="s">
        <v>1704</v>
      </c>
      <c r="C876" s="340">
        <v>45469</v>
      </c>
      <c r="D876" s="337" t="s">
        <v>1026</v>
      </c>
      <c r="E876" s="235" t="s">
        <v>210</v>
      </c>
      <c r="F876" s="271" t="str">
        <f>IFERROR(VLOOKUP(E876,'Inventaire des produits'!$B$4:$K$1000,2,0),"")</f>
        <v>POT DE SAUCE 2OZ NOIRE</v>
      </c>
      <c r="G876" s="266">
        <v>5100</v>
      </c>
      <c r="H876" s="85">
        <v>0.23499999999999999</v>
      </c>
      <c r="I876" s="95">
        <f t="shared" si="26"/>
        <v>1198.5</v>
      </c>
      <c r="J876" s="95">
        <f t="shared" si="27"/>
        <v>1438.2</v>
      </c>
      <c r="K876" s="93">
        <f>IFERROR(VLOOKUP(E876,'Inventaire des produits'!$B$4:$J$1000,5,FALSE),"")</f>
        <v>0</v>
      </c>
      <c r="L876" s="301">
        <f>IFERROR(VLOOKUP(E876,'Inventaire des produits'!$B$4:$J$1000,6,FALSE),"")</f>
        <v>0.1512</v>
      </c>
      <c r="M876" s="62">
        <v>4000</v>
      </c>
    </row>
    <row r="877" spans="2:13" x14ac:dyDescent="0.3">
      <c r="B877" s="378" t="s">
        <v>1704</v>
      </c>
      <c r="C877" s="341"/>
      <c r="D877" s="338"/>
      <c r="E877" s="235" t="s">
        <v>222</v>
      </c>
      <c r="F877" s="271" t="str">
        <f>IFERROR(VLOOKUP(E877,'Inventaire des produits'!$B$4:$K$1000,2,0),"")</f>
        <v>FILM ALIMENTAIRE ELEGENCE</v>
      </c>
      <c r="G877" s="265">
        <v>22</v>
      </c>
      <c r="H877" s="80">
        <v>31.038</v>
      </c>
      <c r="I877" s="95">
        <f t="shared" si="26"/>
        <v>682.83600000000001</v>
      </c>
      <c r="J877" s="95">
        <f t="shared" si="27"/>
        <v>819.40319999999997</v>
      </c>
      <c r="K877" s="93">
        <f>IFERROR(VLOOKUP(E877,'Inventaire des produits'!$B$4:$J$1000,5,FALSE),"")</f>
        <v>0</v>
      </c>
      <c r="L877" s="301">
        <f>IFERROR(VLOOKUP(E877,'Inventaire des produits'!$B$4:$J$1000,6,FALSE),"")</f>
        <v>20</v>
      </c>
      <c r="M877" s="62"/>
    </row>
    <row r="878" spans="2:13" x14ac:dyDescent="0.3">
      <c r="B878" s="378" t="s">
        <v>1704</v>
      </c>
      <c r="C878" s="341"/>
      <c r="D878" s="338"/>
      <c r="E878" s="235" t="s">
        <v>250</v>
      </c>
      <c r="F878" s="271" t="str">
        <f>IFERROR(VLOOKUP(E878,'Inventaire des produits'!$B$4:$K$1000,2,0),"")</f>
        <v>FOURCHETTE ECOLUXE</v>
      </c>
      <c r="G878" s="265">
        <v>12</v>
      </c>
      <c r="H878" s="80">
        <v>18.55</v>
      </c>
      <c r="I878" s="95">
        <f t="shared" si="26"/>
        <v>222.60000000000002</v>
      </c>
      <c r="J878" s="95">
        <f t="shared" si="27"/>
        <v>267.12</v>
      </c>
      <c r="K878" s="93">
        <f>IFERROR(VLOOKUP(E878,'Inventaire des produits'!$B$4:$J$1000,5,FALSE),"")</f>
        <v>0</v>
      </c>
      <c r="L878" s="301">
        <f>IFERROR(VLOOKUP(E878,'Inventaire des produits'!$B$4:$J$1000,6,FALSE),"")</f>
        <v>15.84</v>
      </c>
      <c r="M878" s="62"/>
    </row>
    <row r="879" spans="2:13" x14ac:dyDescent="0.3">
      <c r="B879" s="378" t="s">
        <v>1704</v>
      </c>
      <c r="C879" s="341"/>
      <c r="D879" s="338"/>
      <c r="E879" s="235" t="s">
        <v>168</v>
      </c>
      <c r="F879" s="271" t="str">
        <f>IFERROR(VLOOKUP(E879,'Inventaire des produits'!$B$4:$K$1000,2,0),"")</f>
        <v>ESSUIE MAIN GKEM1KG</v>
      </c>
      <c r="G879" s="265">
        <v>15</v>
      </c>
      <c r="H879" s="80">
        <v>29.16</v>
      </c>
      <c r="I879" s="95">
        <f t="shared" si="26"/>
        <v>437.4</v>
      </c>
      <c r="J879" s="95">
        <f t="shared" si="27"/>
        <v>524.88</v>
      </c>
      <c r="K879" s="93">
        <f>IFERROR(VLOOKUP(E879,'Inventaire des produits'!$B$4:$J$1000,5,FALSE),"")</f>
        <v>0</v>
      </c>
      <c r="L879" s="301">
        <f>IFERROR(VLOOKUP(E879,'Inventaire des produits'!$B$4:$J$1000,6,FALSE),"")</f>
        <v>20.83</v>
      </c>
      <c r="M879" s="62"/>
    </row>
    <row r="880" spans="2:13" x14ac:dyDescent="0.3">
      <c r="B880" s="378" t="s">
        <v>1704</v>
      </c>
      <c r="C880" s="341"/>
      <c r="D880" s="338"/>
      <c r="E880" s="235" t="s">
        <v>128</v>
      </c>
      <c r="F880" s="271" t="str">
        <f>IFERROR(VLOOKUP(E880,'Inventaire des produits'!$B$4:$K$1000,2,0),"")</f>
        <v>ESSUIE MAIN PROF</v>
      </c>
      <c r="G880" s="265">
        <v>2</v>
      </c>
      <c r="H880" s="80">
        <v>29.16</v>
      </c>
      <c r="I880" s="95">
        <f t="shared" si="26"/>
        <v>58.32</v>
      </c>
      <c r="J880" s="95">
        <f t="shared" si="27"/>
        <v>69.983999999999995</v>
      </c>
      <c r="K880" s="93">
        <f>IFERROR(VLOOKUP(E880,'Inventaire des produits'!$B$4:$J$1000,5,FALSE),"")</f>
        <v>0</v>
      </c>
      <c r="L880" s="301">
        <f>IFERROR(VLOOKUP(E880,'Inventaire des produits'!$B$4:$J$1000,6,FALSE),"")</f>
        <v>20.832999999999998</v>
      </c>
      <c r="M880" s="62"/>
    </row>
    <row r="881" spans="2:13" x14ac:dyDescent="0.3">
      <c r="B881" s="378" t="s">
        <v>1704</v>
      </c>
      <c r="C881" s="342"/>
      <c r="D881" s="339"/>
      <c r="E881" s="235" t="s">
        <v>387</v>
      </c>
      <c r="F881" s="271" t="str">
        <f>IFERROR(VLOOKUP(E881,'Inventaire des produits'!$B$4:$K$1000,2,0),"")</f>
        <v>GANT VINYL EXTRA PREMIUM GLOVE LARGE</v>
      </c>
      <c r="G881" s="265">
        <v>22</v>
      </c>
      <c r="H881" s="80">
        <v>33.348999999999997</v>
      </c>
      <c r="I881" s="95">
        <f t="shared" si="26"/>
        <v>733.67799999999988</v>
      </c>
      <c r="J881" s="95">
        <f t="shared" si="27"/>
        <v>880.41359999999986</v>
      </c>
      <c r="K881" s="93">
        <f>IFERROR(VLOOKUP(E881,'Inventaire des produits'!$B$4:$J$1000,5,FALSE),"")</f>
        <v>0</v>
      </c>
      <c r="L881" s="301">
        <f>IFERROR(VLOOKUP(E881,'Inventaire des produits'!$B$4:$J$1000,6,FALSE),"")</f>
        <v>20</v>
      </c>
      <c r="M881" s="62"/>
    </row>
    <row r="882" spans="2:13" x14ac:dyDescent="0.3">
      <c r="B882" s="378" t="s">
        <v>1704</v>
      </c>
      <c r="C882" s="340">
        <v>45469</v>
      </c>
      <c r="D882" s="337" t="s">
        <v>1028</v>
      </c>
      <c r="E882" s="235" t="s">
        <v>790</v>
      </c>
      <c r="F882" s="271" t="str">
        <f>IFERROR(VLOOKUP(E882,'Inventaire des produits'!$B$4:$K$1000,2,0),"")</f>
        <v>COUTEAU ECOLUXE NOIR</v>
      </c>
      <c r="G882" s="268">
        <v>8</v>
      </c>
      <c r="H882" s="90">
        <v>23.333333332999999</v>
      </c>
      <c r="I882" s="95">
        <f t="shared" si="26"/>
        <v>186.66666666399999</v>
      </c>
      <c r="J882" s="95">
        <f t="shared" si="27"/>
        <v>223.99999999679997</v>
      </c>
      <c r="K882" s="93">
        <f>IFERROR(VLOOKUP(E882,'Inventaire des produits'!$B$4:$J$1000,5,FALSE),"")</f>
        <v>0</v>
      </c>
      <c r="L882" s="301">
        <f>IFERROR(VLOOKUP(E882,'Inventaire des produits'!$B$4:$J$1000,6,FALSE),"")</f>
        <v>17.5</v>
      </c>
      <c r="M882" s="62">
        <v>1485</v>
      </c>
    </row>
    <row r="883" spans="2:13" x14ac:dyDescent="0.3">
      <c r="B883" s="378" t="s">
        <v>1704</v>
      </c>
      <c r="C883" s="341"/>
      <c r="D883" s="338"/>
      <c r="E883" s="235" t="s">
        <v>250</v>
      </c>
      <c r="F883" s="271" t="str">
        <f>IFERROR(VLOOKUP(E883,'Inventaire des produits'!$B$4:$K$1000,2,0),"")</f>
        <v>FOURCHETTE ECOLUXE</v>
      </c>
      <c r="G883" s="268">
        <v>7</v>
      </c>
      <c r="H883" s="90">
        <v>23.333333332999999</v>
      </c>
      <c r="I883" s="95">
        <f t="shared" si="26"/>
        <v>163.33333333100001</v>
      </c>
      <c r="J883" s="95">
        <f t="shared" si="27"/>
        <v>195.99999999720001</v>
      </c>
      <c r="K883" s="93">
        <f>IFERROR(VLOOKUP(E883,'Inventaire des produits'!$B$4:$J$1000,5,FALSE),"")</f>
        <v>0</v>
      </c>
      <c r="L883" s="301">
        <f>IFERROR(VLOOKUP(E883,'Inventaire des produits'!$B$4:$J$1000,6,FALSE),"")</f>
        <v>15.84</v>
      </c>
      <c r="M883" s="62"/>
    </row>
    <row r="884" spans="2:13" x14ac:dyDescent="0.3">
      <c r="B884" s="378" t="s">
        <v>1704</v>
      </c>
      <c r="C884" s="341"/>
      <c r="D884" s="338"/>
      <c r="E884" s="235" t="s">
        <v>192</v>
      </c>
      <c r="F884" s="271" t="str">
        <f>IFERROR(VLOOKUP(E884,'Inventaire des produits'!$B$4:$K$1000,2,0),"")</f>
        <v>FOURCHETTE BLANC 60PCS</v>
      </c>
      <c r="G884" s="268">
        <v>20</v>
      </c>
      <c r="H884" s="90">
        <v>6.25</v>
      </c>
      <c r="I884" s="95">
        <f t="shared" si="26"/>
        <v>125</v>
      </c>
      <c r="J884" s="95">
        <f t="shared" si="27"/>
        <v>150</v>
      </c>
      <c r="K884" s="93">
        <f>IFERROR(VLOOKUP(E884,'Inventaire des produits'!$B$4:$J$1000,5,FALSE),"")</f>
        <v>0</v>
      </c>
      <c r="L884" s="301">
        <f>IFERROR(VLOOKUP(E884,'Inventaire des produits'!$B$4:$J$1000,6,FALSE),"")</f>
        <v>5.8333333329999997</v>
      </c>
      <c r="M884" s="62"/>
    </row>
    <row r="885" spans="2:13" x14ac:dyDescent="0.3">
      <c r="B885" s="378" t="s">
        <v>1704</v>
      </c>
      <c r="C885" s="341"/>
      <c r="D885" s="338"/>
      <c r="E885" s="235" t="s">
        <v>723</v>
      </c>
      <c r="F885" s="271" t="str">
        <f>IFERROR(VLOOKUP(E885,'Inventaire des produits'!$B$4:$K$1000,2,0),"")</f>
        <v>PALETTE A GLACE BLANC</v>
      </c>
      <c r="G885" s="269">
        <v>15</v>
      </c>
      <c r="H885" s="90">
        <v>23.333333332999999</v>
      </c>
      <c r="I885" s="95">
        <f t="shared" si="26"/>
        <v>349.999999995</v>
      </c>
      <c r="J885" s="95">
        <f t="shared" si="27"/>
        <v>419.99999999400001</v>
      </c>
      <c r="K885" s="93">
        <f>IFERROR(VLOOKUP(E885,'Inventaire des produits'!$B$4:$J$1000,5,FALSE),"")</f>
        <v>0</v>
      </c>
      <c r="L885" s="301">
        <f>IFERROR(VLOOKUP(E885,'Inventaire des produits'!$B$4:$J$1000,6,FALSE),"")</f>
        <v>16</v>
      </c>
      <c r="M885" s="62"/>
    </row>
    <row r="886" spans="2:13" x14ac:dyDescent="0.3">
      <c r="B886" s="378" t="s">
        <v>1704</v>
      </c>
      <c r="C886" s="341"/>
      <c r="D886" s="338"/>
      <c r="E886" s="235" t="s">
        <v>171</v>
      </c>
      <c r="F886" s="271" t="str">
        <f>IFERROR(VLOOKUP(E886,'Inventaire des produits'!$B$4:$K$1000,2,0),"")</f>
        <v>GOBLET 4OZ EN CARTON BON APETIT ECO GB</v>
      </c>
      <c r="G886" s="269">
        <v>1100</v>
      </c>
      <c r="H886" s="90">
        <v>0.1875</v>
      </c>
      <c r="I886" s="95">
        <f t="shared" si="26"/>
        <v>206.25</v>
      </c>
      <c r="J886" s="95">
        <f t="shared" si="27"/>
        <v>247.5</v>
      </c>
      <c r="K886" s="93">
        <f>IFERROR(VLOOKUP(E886,'Inventaire des produits'!$B$4:$J$1000,5,FALSE),"")</f>
        <v>0</v>
      </c>
      <c r="L886" s="301">
        <f>IFERROR(VLOOKUP(E886,'Inventaire des produits'!$B$4:$J$1000,6,FALSE),"")</f>
        <v>9.1874999999999998E-2</v>
      </c>
      <c r="M886" s="62"/>
    </row>
    <row r="887" spans="2:13" x14ac:dyDescent="0.3">
      <c r="B887" s="378" t="s">
        <v>1704</v>
      </c>
      <c r="C887" s="342"/>
      <c r="D887" s="339"/>
      <c r="E887" s="235" t="s">
        <v>172</v>
      </c>
      <c r="F887" s="271" t="str">
        <f>IFERROR(VLOOKUP(E887,'Inventaire des produits'!$B$4:$K$1000,2,0),"")</f>
        <v>CVL GOBLET 4OZ BLANC BON APETIT</v>
      </c>
      <c r="G887" s="269">
        <v>1100</v>
      </c>
      <c r="H887" s="90">
        <v>0.1875</v>
      </c>
      <c r="I887" s="95">
        <f t="shared" si="26"/>
        <v>206.25</v>
      </c>
      <c r="J887" s="95">
        <f t="shared" si="27"/>
        <v>247.5</v>
      </c>
      <c r="K887" s="93">
        <f>IFERROR(VLOOKUP(E887,'Inventaire des produits'!$B$4:$J$1000,5,FALSE),"")</f>
        <v>0</v>
      </c>
      <c r="L887" s="301">
        <f>IFERROR(VLOOKUP(E887,'Inventaire des produits'!$B$4:$J$1000,6,FALSE),"")</f>
        <v>9.1874999999999998E-2</v>
      </c>
      <c r="M887" s="62"/>
    </row>
    <row r="888" spans="2:13" x14ac:dyDescent="0.3">
      <c r="B888" s="378" t="s">
        <v>1704</v>
      </c>
      <c r="C888" s="340">
        <v>45469</v>
      </c>
      <c r="D888" s="337" t="s">
        <v>1029</v>
      </c>
      <c r="E888" s="235" t="s">
        <v>790</v>
      </c>
      <c r="F888" s="271" t="str">
        <f>IFERROR(VLOOKUP(E888,'Inventaire des produits'!$B$4:$K$1000,2,0),"")</f>
        <v>COUTEAU ECOLUXE NOIR</v>
      </c>
      <c r="G888" s="247">
        <v>7</v>
      </c>
      <c r="H888" s="79">
        <v>23.332999999999998</v>
      </c>
      <c r="I888" s="95">
        <f t="shared" si="26"/>
        <v>163.33099999999999</v>
      </c>
      <c r="J888" s="95">
        <f t="shared" si="27"/>
        <v>195.99719999999999</v>
      </c>
      <c r="K888" s="93">
        <f>IFERROR(VLOOKUP(E888,'Inventaire des produits'!$B$4:$J$1000,5,FALSE),"")</f>
        <v>0</v>
      </c>
      <c r="L888" s="301">
        <f>IFERROR(VLOOKUP(E888,'Inventaire des produits'!$B$4:$J$1000,6,FALSE),"")</f>
        <v>17.5</v>
      </c>
      <c r="M888" s="62">
        <v>1201</v>
      </c>
    </row>
    <row r="889" spans="2:13" x14ac:dyDescent="0.3">
      <c r="B889" s="378" t="s">
        <v>1704</v>
      </c>
      <c r="C889" s="341"/>
      <c r="D889" s="338"/>
      <c r="E889" s="235" t="s">
        <v>250</v>
      </c>
      <c r="F889" s="271" t="str">
        <f>IFERROR(VLOOKUP(E889,'Inventaire des produits'!$B$4:$K$1000,2,0),"")</f>
        <v>FOURCHETTE ECOLUXE</v>
      </c>
      <c r="G889" s="247">
        <v>6</v>
      </c>
      <c r="H889" s="79">
        <v>23.332999999999998</v>
      </c>
      <c r="I889" s="95">
        <f t="shared" si="26"/>
        <v>139.99799999999999</v>
      </c>
      <c r="J889" s="95">
        <f t="shared" si="27"/>
        <v>167.99759999999998</v>
      </c>
      <c r="K889" s="93">
        <f>IFERROR(VLOOKUP(E889,'Inventaire des produits'!$B$4:$J$1000,5,FALSE),"")</f>
        <v>0</v>
      </c>
      <c r="L889" s="301">
        <f>IFERROR(VLOOKUP(E889,'Inventaire des produits'!$B$4:$J$1000,6,FALSE),"")</f>
        <v>15.84</v>
      </c>
      <c r="M889" s="62"/>
    </row>
    <row r="890" spans="2:13" x14ac:dyDescent="0.3">
      <c r="B890" s="378" t="s">
        <v>1704</v>
      </c>
      <c r="C890" s="341"/>
      <c r="D890" s="338"/>
      <c r="E890" s="235" t="s">
        <v>192</v>
      </c>
      <c r="F890" s="271" t="str">
        <f>IFERROR(VLOOKUP(E890,'Inventaire des produits'!$B$4:$K$1000,2,0),"")</f>
        <v>FOURCHETTE BLANC 60PCS</v>
      </c>
      <c r="G890" s="247">
        <v>13</v>
      </c>
      <c r="H890" s="79">
        <v>6.24</v>
      </c>
      <c r="I890" s="95">
        <f t="shared" si="26"/>
        <v>81.12</v>
      </c>
      <c r="J890" s="95">
        <f t="shared" si="27"/>
        <v>97.344000000000008</v>
      </c>
      <c r="K890" s="93">
        <f>IFERROR(VLOOKUP(E890,'Inventaire des produits'!$B$4:$J$1000,5,FALSE),"")</f>
        <v>0</v>
      </c>
      <c r="L890" s="301">
        <f>IFERROR(VLOOKUP(E890,'Inventaire des produits'!$B$4:$J$1000,6,FALSE),"")</f>
        <v>5.8333333329999997</v>
      </c>
      <c r="M890" s="62"/>
    </row>
    <row r="891" spans="2:13" x14ac:dyDescent="0.3">
      <c r="B891" s="378" t="s">
        <v>1704</v>
      </c>
      <c r="C891" s="341"/>
      <c r="D891" s="338"/>
      <c r="E891" s="235" t="s">
        <v>723</v>
      </c>
      <c r="F891" s="271" t="str">
        <f>IFERROR(VLOOKUP(E891,'Inventaire des produits'!$B$4:$K$1000,2,0),"")</f>
        <v>PALETTE A GLACE BLANC</v>
      </c>
      <c r="G891" s="247">
        <v>9</v>
      </c>
      <c r="H891" s="79">
        <v>23.265000000000001</v>
      </c>
      <c r="I891" s="95">
        <f t="shared" si="26"/>
        <v>209.38499999999999</v>
      </c>
      <c r="J891" s="95">
        <f t="shared" si="27"/>
        <v>251.26199999999997</v>
      </c>
      <c r="K891" s="93">
        <f>IFERROR(VLOOKUP(E891,'Inventaire des produits'!$B$4:$J$1000,5,FALSE),"")</f>
        <v>0</v>
      </c>
      <c r="L891" s="301">
        <f>IFERROR(VLOOKUP(E891,'Inventaire des produits'!$B$4:$J$1000,6,FALSE),"")</f>
        <v>16</v>
      </c>
      <c r="M891" s="62"/>
    </row>
    <row r="892" spans="2:13" x14ac:dyDescent="0.3">
      <c r="B892" s="378" t="s">
        <v>1704</v>
      </c>
      <c r="C892" s="341"/>
      <c r="D892" s="338"/>
      <c r="E892" s="235" t="s">
        <v>171</v>
      </c>
      <c r="F892" s="271" t="str">
        <f>IFERROR(VLOOKUP(E892,'Inventaire des produits'!$B$4:$K$1000,2,0),"")</f>
        <v>GOBLET 4OZ EN CARTON BON APETIT ECO GB</v>
      </c>
      <c r="G892" s="247">
        <v>1100</v>
      </c>
      <c r="H892" s="79">
        <v>0.185</v>
      </c>
      <c r="I892" s="95">
        <f t="shared" si="26"/>
        <v>203.5</v>
      </c>
      <c r="J892" s="95">
        <f t="shared" si="27"/>
        <v>244.2</v>
      </c>
      <c r="K892" s="93">
        <f>IFERROR(VLOOKUP(E892,'Inventaire des produits'!$B$4:$J$1000,5,FALSE),"")</f>
        <v>0</v>
      </c>
      <c r="L892" s="301">
        <f>IFERROR(VLOOKUP(E892,'Inventaire des produits'!$B$4:$J$1000,6,FALSE),"")</f>
        <v>9.1874999999999998E-2</v>
      </c>
      <c r="M892" s="62"/>
    </row>
    <row r="893" spans="2:13" x14ac:dyDescent="0.3">
      <c r="B893" s="378" t="s">
        <v>1704</v>
      </c>
      <c r="C893" s="342"/>
      <c r="D893" s="339"/>
      <c r="E893" s="235" t="s">
        <v>172</v>
      </c>
      <c r="F893" s="271" t="str">
        <f>IFERROR(VLOOKUP(E893,'Inventaire des produits'!$B$4:$K$1000,2,0),"")</f>
        <v>CVL GOBLET 4OZ BLANC BON APETIT</v>
      </c>
      <c r="G893" s="247">
        <v>1100</v>
      </c>
      <c r="H893" s="79">
        <v>0.185</v>
      </c>
      <c r="I893" s="95">
        <f t="shared" si="26"/>
        <v>203.5</v>
      </c>
      <c r="J893" s="95">
        <f t="shared" si="27"/>
        <v>244.2</v>
      </c>
      <c r="K893" s="93">
        <f>IFERROR(VLOOKUP(E893,'Inventaire des produits'!$B$4:$J$1000,5,FALSE),"")</f>
        <v>0</v>
      </c>
      <c r="L893" s="301">
        <f>IFERROR(VLOOKUP(E893,'Inventaire des produits'!$B$4:$J$1000,6,FALSE),"")</f>
        <v>9.1874999999999998E-2</v>
      </c>
      <c r="M893" s="62"/>
    </row>
    <row r="894" spans="2:13" x14ac:dyDescent="0.3">
      <c r="B894" s="378" t="s">
        <v>1704</v>
      </c>
      <c r="C894" s="340" t="s">
        <v>1053</v>
      </c>
      <c r="D894" s="337" t="s">
        <v>1043</v>
      </c>
      <c r="E894" s="235" t="s">
        <v>929</v>
      </c>
      <c r="F894" s="271" t="str">
        <f>IFERROR(VLOOKUP(E894,'Inventaire des produits'!$B$4:$K$1000,2,0),"")</f>
        <v xml:space="preserve">SERVIETTE DE TABLE </v>
      </c>
      <c r="G894" s="247">
        <v>340</v>
      </c>
      <c r="H894" s="79">
        <v>3.78</v>
      </c>
      <c r="I894" s="95">
        <f t="shared" si="26"/>
        <v>1285.2</v>
      </c>
      <c r="J894" s="95">
        <f t="shared" si="27"/>
        <v>1542.24</v>
      </c>
      <c r="K894" s="93">
        <f>IFERROR(VLOOKUP(E894,'Inventaire des produits'!$B$4:$J$1000,5,FALSE),"")</f>
        <v>0</v>
      </c>
      <c r="L894" s="301">
        <f>IFERROR(VLOOKUP(E894,'Inventaire des produits'!$B$4:$J$1000,6,FALSE),"")</f>
        <v>2.9169999999999998</v>
      </c>
      <c r="M894" s="62">
        <v>3450</v>
      </c>
    </row>
    <row r="895" spans="2:13" x14ac:dyDescent="0.3">
      <c r="B895" s="378" t="s">
        <v>1704</v>
      </c>
      <c r="C895" s="341"/>
      <c r="D895" s="338"/>
      <c r="E895" s="235" t="s">
        <v>668</v>
      </c>
      <c r="F895" s="271" t="str">
        <f>IFERROR(VLOOKUP(E895,'Inventaire des produits'!$B$4:$K$1000,2,0),"")</f>
        <v>ROULEAU ALUMINIUM GOLDEN 200M</v>
      </c>
      <c r="G895" s="247">
        <v>21</v>
      </c>
      <c r="H895" s="79">
        <v>66.581500000000005</v>
      </c>
      <c r="I895" s="95">
        <f t="shared" si="26"/>
        <v>1398.2115000000001</v>
      </c>
      <c r="J895" s="95">
        <f t="shared" si="27"/>
        <v>1677.8538000000001</v>
      </c>
      <c r="K895" s="93">
        <f>IFERROR(VLOOKUP(E895,'Inventaire des produits'!$B$4:$J$1000,5,FALSE),"")</f>
        <v>0</v>
      </c>
      <c r="L895" s="301">
        <f>IFERROR(VLOOKUP(E895,'Inventaire des produits'!$B$4:$J$1000,6,FALSE),"")</f>
        <v>55.833333333299997</v>
      </c>
      <c r="M895" s="62"/>
    </row>
    <row r="896" spans="2:13" x14ac:dyDescent="0.3">
      <c r="B896" s="378" t="s">
        <v>1704</v>
      </c>
      <c r="C896" s="342"/>
      <c r="D896" s="339"/>
      <c r="E896" s="235" t="s">
        <v>537</v>
      </c>
      <c r="F896" s="271" t="str">
        <f>IFERROR(VLOOKUP(E896,'Inventaire des produits'!$B$4:$K$1000,2,0),"")</f>
        <v>PAILLE ENVELOPPE 6MM CODE 100 TRANS</v>
      </c>
      <c r="G896" s="247">
        <v>23</v>
      </c>
      <c r="H896" s="79">
        <v>8.33</v>
      </c>
      <c r="I896" s="95">
        <f t="shared" si="26"/>
        <v>191.59</v>
      </c>
      <c r="J896" s="95">
        <f t="shared" si="27"/>
        <v>229.90799999999999</v>
      </c>
      <c r="K896" s="93">
        <f>IFERROR(VLOOKUP(E896,'Inventaire des produits'!$B$4:$J$1000,5,FALSE),"")</f>
        <v>0</v>
      </c>
      <c r="L896" s="301">
        <f>IFERROR(VLOOKUP(E896,'Inventaire des produits'!$B$4:$J$1000,6,FALSE),"")</f>
        <v>4.5</v>
      </c>
      <c r="M896" s="62"/>
    </row>
    <row r="897" spans="2:13" x14ac:dyDescent="0.3">
      <c r="B897" s="378" t="s">
        <v>1704</v>
      </c>
      <c r="C897" s="340" t="s">
        <v>1053</v>
      </c>
      <c r="D897" s="337" t="s">
        <v>1044</v>
      </c>
      <c r="E897" s="235" t="s">
        <v>929</v>
      </c>
      <c r="F897" s="271" t="str">
        <f>IFERROR(VLOOKUP(E897,'Inventaire des produits'!$B$4:$K$1000,2,0),"")</f>
        <v xml:space="preserve">SERVIETTE DE TABLE </v>
      </c>
      <c r="G897" s="247">
        <v>240</v>
      </c>
      <c r="H897" s="79">
        <v>3.8187799999999998</v>
      </c>
      <c r="I897" s="95">
        <f t="shared" si="26"/>
        <v>916.50720000000001</v>
      </c>
      <c r="J897" s="95">
        <f t="shared" si="27"/>
        <v>1099.80864</v>
      </c>
      <c r="K897" s="93">
        <f>IFERROR(VLOOKUP(E897,'Inventaire des produits'!$B$4:$J$1000,5,FALSE),"")</f>
        <v>0</v>
      </c>
      <c r="L897" s="301">
        <f>IFERROR(VLOOKUP(E897,'Inventaire des produits'!$B$4:$J$1000,6,FALSE),"")</f>
        <v>2.9169999999999998</v>
      </c>
      <c r="M897" s="62">
        <v>1610.0026355999998</v>
      </c>
    </row>
    <row r="898" spans="2:13" x14ac:dyDescent="0.3">
      <c r="B898" s="378" t="s">
        <v>1704</v>
      </c>
      <c r="C898" s="341"/>
      <c r="D898" s="338"/>
      <c r="E898" s="235" t="s">
        <v>668</v>
      </c>
      <c r="F898" s="271" t="str">
        <f>IFERROR(VLOOKUP(E898,'Inventaire des produits'!$B$4:$K$1000,2,0),"")</f>
        <v>ROULEAU ALUMINIUM GOLDEN 200M</v>
      </c>
      <c r="G898" s="247">
        <v>5</v>
      </c>
      <c r="H898" s="79">
        <v>66.698999999999998</v>
      </c>
      <c r="I898" s="95">
        <f t="shared" si="26"/>
        <v>333.495</v>
      </c>
      <c r="J898" s="95">
        <f t="shared" si="27"/>
        <v>400.19400000000002</v>
      </c>
      <c r="K898" s="93">
        <f>IFERROR(VLOOKUP(E898,'Inventaire des produits'!$B$4:$J$1000,5,FALSE),"")</f>
        <v>0</v>
      </c>
      <c r="L898" s="301">
        <f>IFERROR(VLOOKUP(E898,'Inventaire des produits'!$B$4:$J$1000,6,FALSE),"")</f>
        <v>55.833333333299997</v>
      </c>
      <c r="M898" s="62"/>
    </row>
    <row r="899" spans="2:13" x14ac:dyDescent="0.3">
      <c r="B899" s="378" t="s">
        <v>1704</v>
      </c>
      <c r="C899" s="342"/>
      <c r="D899" s="339"/>
      <c r="E899" s="235" t="s">
        <v>537</v>
      </c>
      <c r="F899" s="271" t="str">
        <f>IFERROR(VLOOKUP(E899,'Inventaire des produits'!$B$4:$K$1000,2,0),"")</f>
        <v>PAILLE ENVELOPPE 6MM CODE 100 TRANS</v>
      </c>
      <c r="G899" s="247">
        <v>11</v>
      </c>
      <c r="H899" s="79">
        <v>8.3333329999999997</v>
      </c>
      <c r="I899" s="95">
        <f t="shared" si="26"/>
        <v>91.666663</v>
      </c>
      <c r="J899" s="95">
        <f t="shared" si="27"/>
        <v>109.99999559999999</v>
      </c>
      <c r="K899" s="93">
        <f>IFERROR(VLOOKUP(E899,'Inventaire des produits'!$B$4:$J$1000,5,FALSE),"")</f>
        <v>0</v>
      </c>
      <c r="L899" s="301">
        <f>IFERROR(VLOOKUP(E899,'Inventaire des produits'!$B$4:$J$1000,6,FALSE),"")</f>
        <v>4.5</v>
      </c>
      <c r="M899" s="62"/>
    </row>
    <row r="900" spans="2:13" x14ac:dyDescent="0.3">
      <c r="B900" s="378" t="s">
        <v>1704</v>
      </c>
      <c r="C900" s="55">
        <v>45474</v>
      </c>
      <c r="D900" s="54" t="s">
        <v>1045</v>
      </c>
      <c r="E900" s="240" t="s">
        <v>1149</v>
      </c>
      <c r="F900" s="271" t="str">
        <f>IFERROR(VLOOKUP(E900,'Inventaire des produits'!$B$4:$K$1000,2,0),"")</f>
        <v>ROULEAU DE CAISSE THERMIQUE 80X80</v>
      </c>
      <c r="G900" s="247">
        <v>100</v>
      </c>
      <c r="H900" s="79">
        <v>11.333333333000001</v>
      </c>
      <c r="I900" s="95">
        <f t="shared" si="26"/>
        <v>1133.3333333</v>
      </c>
      <c r="J900" s="95">
        <f t="shared" si="27"/>
        <v>1359.99999996</v>
      </c>
      <c r="K900" s="93">
        <f>IFERROR(VLOOKUP(E900,'Inventaire des produits'!$B$4:$J$1000,5,FALSE),"")</f>
        <v>253</v>
      </c>
      <c r="L900" s="301">
        <f>IFERROR(VLOOKUP(E900,'Inventaire des produits'!$B$4:$J$1000,6,FALSE),"")</f>
        <v>7.5</v>
      </c>
      <c r="M900" s="62">
        <v>1359.99999996</v>
      </c>
    </row>
    <row r="901" spans="2:13" x14ac:dyDescent="0.3">
      <c r="B901" s="378" t="s">
        <v>1704</v>
      </c>
      <c r="C901" s="340">
        <v>45475</v>
      </c>
      <c r="D901" s="337" t="s">
        <v>1049</v>
      </c>
      <c r="E901" s="235" t="s">
        <v>61</v>
      </c>
      <c r="F901" s="271" t="str">
        <f>IFERROR(VLOOKUP(E901,'Inventaire des produits'!$B$4:$K$1000,2,0),"")</f>
        <v>BOX KRAFT 14,5*8,5*6 CARTON 500PCS</v>
      </c>
      <c r="G901" s="247">
        <v>2</v>
      </c>
      <c r="H901" s="79">
        <v>560</v>
      </c>
      <c r="I901" s="95">
        <f t="shared" ref="I901:I964" si="28">IF(OR(G901="",H901=""),"",G901*H901)</f>
        <v>1120</v>
      </c>
      <c r="J901" s="95">
        <f t="shared" ref="J901:J964" si="29">IF(OR(I901=""),"",I901*1.2)</f>
        <v>1344</v>
      </c>
      <c r="K901" s="93">
        <f>IFERROR(VLOOKUP(E901,'Inventaire des produits'!$B$4:$J$1000,5,FALSE),"")</f>
        <v>0</v>
      </c>
      <c r="L901" s="301">
        <f>IFERROR(VLOOKUP(E901,'Inventaire des produits'!$B$4:$J$1000,6,FALSE),"")</f>
        <v>500</v>
      </c>
      <c r="M901" s="62">
        <f>SUM(J901:J903)</f>
        <v>2199.9983999999999</v>
      </c>
    </row>
    <row r="902" spans="2:13" x14ac:dyDescent="0.3">
      <c r="B902" s="378" t="s">
        <v>1704</v>
      </c>
      <c r="C902" s="341"/>
      <c r="D902" s="338"/>
      <c r="E902" s="235" t="s">
        <v>222</v>
      </c>
      <c r="F902" s="271" t="str">
        <f>IFERROR(VLOOKUP(E902,'Inventaire des produits'!$B$4:$K$1000,2,0),"")</f>
        <v>FILM ALIMENTAIRE ELEGENCE</v>
      </c>
      <c r="G902" s="247">
        <v>9</v>
      </c>
      <c r="H902" s="79">
        <v>33.148000000000003</v>
      </c>
      <c r="I902" s="95">
        <f t="shared" si="28"/>
        <v>298.33200000000005</v>
      </c>
      <c r="J902" s="95">
        <f t="shared" si="29"/>
        <v>357.99840000000006</v>
      </c>
      <c r="K902" s="93">
        <f>IFERROR(VLOOKUP(E902,'Inventaire des produits'!$B$4:$J$1000,5,FALSE),"")</f>
        <v>0</v>
      </c>
      <c r="L902" s="301">
        <f>IFERROR(VLOOKUP(E902,'Inventaire des produits'!$B$4:$J$1000,6,FALSE),"")</f>
        <v>20</v>
      </c>
      <c r="M902" s="62"/>
    </row>
    <row r="903" spans="2:13" ht="16.5" customHeight="1" x14ac:dyDescent="0.3">
      <c r="B903" s="378" t="s">
        <v>1704</v>
      </c>
      <c r="C903" s="342"/>
      <c r="D903" s="339"/>
      <c r="E903" s="235" t="s">
        <v>72</v>
      </c>
      <c r="F903" s="271" t="str">
        <f>IFERROR(VLOOKUP(E903,'Inventaire des produits'!$B$4:$K$1000,2,0),"")</f>
        <v>BOL SOUPE MICRON ONDABLE ET CVL 460CC CARTON 450PCS</v>
      </c>
      <c r="G903" s="230">
        <v>1</v>
      </c>
      <c r="H903" s="76">
        <v>415</v>
      </c>
      <c r="I903" s="95">
        <f t="shared" si="28"/>
        <v>415</v>
      </c>
      <c r="J903" s="95">
        <f t="shared" si="29"/>
        <v>498</v>
      </c>
      <c r="K903" s="93">
        <f>IFERROR(VLOOKUP(E903,'Inventaire des produits'!$B$4:$J$1000,5,FALSE),"")</f>
        <v>0</v>
      </c>
      <c r="L903" s="301">
        <f>IFERROR(VLOOKUP(E903,'Inventaire des produits'!$B$4:$J$1000,6,FALSE),"")</f>
        <v>375</v>
      </c>
      <c r="M903" s="62"/>
    </row>
    <row r="904" spans="2:13" x14ac:dyDescent="0.3">
      <c r="B904" s="378" t="s">
        <v>1704</v>
      </c>
      <c r="C904" s="55">
        <v>45476</v>
      </c>
      <c r="D904" s="54" t="s">
        <v>1050</v>
      </c>
      <c r="E904" s="235" t="s">
        <v>767</v>
      </c>
      <c r="F904" s="271" t="str">
        <f>IFERROR(VLOOKUP(E904,'Inventaire des produits'!$B$4:$K$1000,2,0),"")</f>
        <v>ROULEAU ALUMINIUM GOLDEN 300M</v>
      </c>
      <c r="G904" s="268">
        <v>58</v>
      </c>
      <c r="H904" s="90">
        <v>79.025000000000006</v>
      </c>
      <c r="I904" s="95">
        <f t="shared" si="28"/>
        <v>4583.4500000000007</v>
      </c>
      <c r="J904" s="95">
        <f t="shared" si="29"/>
        <v>5500.14</v>
      </c>
      <c r="K904" s="93">
        <f>IFERROR(VLOOKUP(E904,'Inventaire des produits'!$B$4:$J$1000,5,FALSE),"")</f>
        <v>6</v>
      </c>
      <c r="L904" s="301">
        <f>IFERROR(VLOOKUP(E904,'Inventaire des produits'!$B$4:$J$1000,6,FALSE),"")</f>
        <v>75</v>
      </c>
      <c r="M904" s="62">
        <v>5500.14</v>
      </c>
    </row>
    <row r="905" spans="2:13" x14ac:dyDescent="0.3">
      <c r="B905" s="378" t="s">
        <v>1704</v>
      </c>
      <c r="C905" s="340">
        <v>45476</v>
      </c>
      <c r="D905" s="337" t="s">
        <v>1051</v>
      </c>
      <c r="E905" s="235" t="s">
        <v>162</v>
      </c>
      <c r="F905" s="271" t="str">
        <f>IFERROR(VLOOKUP(E905,'Inventaire des produits'!$B$4:$K$1000,2,0),"")</f>
        <v>COQUILLE LUNCH BOX LARGE HB10 BLANC</v>
      </c>
      <c r="G905" s="268">
        <v>600</v>
      </c>
      <c r="H905" s="90">
        <v>1</v>
      </c>
      <c r="I905" s="95">
        <f t="shared" si="28"/>
        <v>600</v>
      </c>
      <c r="J905" s="95">
        <f t="shared" si="29"/>
        <v>720</v>
      </c>
      <c r="K905" s="93">
        <f>IFERROR(VLOOKUP(E905,'Inventaire des produits'!$B$4:$J$1000,5,FALSE),"")</f>
        <v>0</v>
      </c>
      <c r="L905" s="301">
        <f>IFERROR(VLOOKUP(E905,'Inventaire des produits'!$B$4:$J$1000,6,FALSE),"")</f>
        <v>0.75</v>
      </c>
      <c r="M905" s="62">
        <v>4365</v>
      </c>
    </row>
    <row r="906" spans="2:13" x14ac:dyDescent="0.3">
      <c r="B906" s="378" t="s">
        <v>1704</v>
      </c>
      <c r="C906" s="341"/>
      <c r="D906" s="338"/>
      <c r="E906" s="235" t="s">
        <v>894</v>
      </c>
      <c r="F906" s="271" t="str">
        <f>IFERROR(VLOOKUP(E906,'Inventaire des produits'!$B$4:$K$1000,2,0),"")</f>
        <v>COQUILLE MEAL BOX 2 COMP BLANC</v>
      </c>
      <c r="G906" s="268">
        <v>700</v>
      </c>
      <c r="H906" s="90">
        <v>1.25</v>
      </c>
      <c r="I906" s="95">
        <f t="shared" si="28"/>
        <v>875</v>
      </c>
      <c r="J906" s="95">
        <f t="shared" si="29"/>
        <v>1050</v>
      </c>
      <c r="K906" s="93">
        <f>IFERROR(VLOOKUP(E906,'Inventaire des produits'!$B$4:$J$1000,5,FALSE),"")</f>
        <v>0</v>
      </c>
      <c r="L906" s="301">
        <f>IFERROR(VLOOKUP(E906,'Inventaire des produits'!$B$4:$J$1000,6,FALSE),"")</f>
        <v>0.91666666669999997</v>
      </c>
      <c r="M906" s="62"/>
    </row>
    <row r="907" spans="2:13" x14ac:dyDescent="0.3">
      <c r="B907" s="378" t="s">
        <v>1704</v>
      </c>
      <c r="C907" s="341"/>
      <c r="D907" s="338"/>
      <c r="E907" s="235" t="s">
        <v>256</v>
      </c>
      <c r="F907" s="271" t="str">
        <f>IFERROR(VLOOKUP(E907,'Inventaire des produits'!$B$4:$K$1000,2,0),"")</f>
        <v>FILM ALIMENTAIRE VIOLET</v>
      </c>
      <c r="G907" s="268">
        <v>9</v>
      </c>
      <c r="H907" s="90">
        <v>31.6</v>
      </c>
      <c r="I907" s="95">
        <f t="shared" si="28"/>
        <v>284.40000000000003</v>
      </c>
      <c r="J907" s="95">
        <f t="shared" si="29"/>
        <v>341.28000000000003</v>
      </c>
      <c r="K907" s="93">
        <f>IFERROR(VLOOKUP(E907,'Inventaire des produits'!$B$4:$J$1000,5,FALSE),"")</f>
        <v>0</v>
      </c>
      <c r="L907" s="301">
        <f>IFERROR(VLOOKUP(E907,'Inventaire des produits'!$B$4:$J$1000,6,FALSE),"")</f>
        <v>28.333333333300001</v>
      </c>
      <c r="M907" s="62"/>
    </row>
    <row r="908" spans="2:13" x14ac:dyDescent="0.3">
      <c r="B908" s="378" t="s">
        <v>1704</v>
      </c>
      <c r="C908" s="341"/>
      <c r="D908" s="338"/>
      <c r="E908" s="235" t="s">
        <v>293</v>
      </c>
      <c r="F908" s="271" t="str">
        <f>IFERROR(VLOOKUP(E908,'Inventaire des produits'!$B$4:$K$1000,2,0),"")</f>
        <v>PAPIER ZIGZAG</v>
      </c>
      <c r="G908" s="268">
        <v>40</v>
      </c>
      <c r="H908" s="90">
        <v>12.477499999999999</v>
      </c>
      <c r="I908" s="95">
        <f t="shared" si="28"/>
        <v>499.09999999999997</v>
      </c>
      <c r="J908" s="95">
        <f t="shared" si="29"/>
        <v>598.91999999999996</v>
      </c>
      <c r="K908" s="93">
        <f>IFERROR(VLOOKUP(E908,'Inventaire des produits'!$B$4:$J$1000,5,FALSE),"")</f>
        <v>0</v>
      </c>
      <c r="L908" s="301">
        <f>IFERROR(VLOOKUP(E908,'Inventaire des produits'!$B$4:$J$1000,6,FALSE),"")</f>
        <v>9</v>
      </c>
      <c r="M908" s="62"/>
    </row>
    <row r="909" spans="2:13" x14ac:dyDescent="0.3">
      <c r="B909" s="378" t="s">
        <v>1704</v>
      </c>
      <c r="C909" s="341"/>
      <c r="D909" s="338"/>
      <c r="E909" s="235" t="s">
        <v>650</v>
      </c>
      <c r="F909" s="271" t="str">
        <f>IFERROR(VLOOKUP(E909,'Inventaire des produits'!$B$4:$K$1000,2,0),"")</f>
        <v>BARQUETTE MICRON ONDABLE 2 COMP AVEC CVL</v>
      </c>
      <c r="G909" s="268">
        <v>300</v>
      </c>
      <c r="H909" s="90">
        <v>2.73</v>
      </c>
      <c r="I909" s="95">
        <f t="shared" si="28"/>
        <v>819</v>
      </c>
      <c r="J909" s="95">
        <f t="shared" si="29"/>
        <v>982.8</v>
      </c>
      <c r="K909" s="93">
        <f>IFERROR(VLOOKUP(E909,'Inventaire des produits'!$B$4:$J$1000,5,FALSE),"")</f>
        <v>0</v>
      </c>
      <c r="L909" s="301">
        <f>IFERROR(VLOOKUP(E909,'Inventaire des produits'!$B$4:$J$1000,6,FALSE),"")</f>
        <v>1.5833333332999999</v>
      </c>
      <c r="M909" s="62"/>
    </row>
    <row r="910" spans="2:13" x14ac:dyDescent="0.3">
      <c r="B910" s="378" t="s">
        <v>1704</v>
      </c>
      <c r="C910" s="342"/>
      <c r="D910" s="339"/>
      <c r="E910" s="235" t="s">
        <v>61</v>
      </c>
      <c r="F910" s="271" t="str">
        <f>IFERROR(VLOOKUP(E910,'Inventaire des produits'!$B$4:$K$1000,2,0),"")</f>
        <v>BOX KRAFT 14,5*8,5*6 CARTON 500PCS</v>
      </c>
      <c r="G910" s="268">
        <v>1</v>
      </c>
      <c r="H910" s="90">
        <v>560</v>
      </c>
      <c r="I910" s="95">
        <f t="shared" si="28"/>
        <v>560</v>
      </c>
      <c r="J910" s="95">
        <f t="shared" si="29"/>
        <v>672</v>
      </c>
      <c r="K910" s="93">
        <f>IFERROR(VLOOKUP(E910,'Inventaire des produits'!$B$4:$J$1000,5,FALSE),"")</f>
        <v>0</v>
      </c>
      <c r="L910" s="301">
        <f>IFERROR(VLOOKUP(E910,'Inventaire des produits'!$B$4:$J$1000,6,FALSE),"")</f>
        <v>500</v>
      </c>
      <c r="M910" s="62"/>
    </row>
    <row r="911" spans="2:13" x14ac:dyDescent="0.3">
      <c r="B911" s="378" t="s">
        <v>1704</v>
      </c>
      <c r="C911" s="55">
        <v>45476</v>
      </c>
      <c r="D911" s="54" t="s">
        <v>1052</v>
      </c>
      <c r="E911" s="235" t="s">
        <v>802</v>
      </c>
      <c r="F911" s="271" t="str">
        <f>IFERROR(VLOOKUP(E911,'Inventaire des produits'!$B$4:$K$1000,2,0),"")</f>
        <v>BOITE PIZZA 29</v>
      </c>
      <c r="G911" s="266">
        <v>30</v>
      </c>
      <c r="H911" s="85">
        <v>58.333333333333336</v>
      </c>
      <c r="I911" s="95">
        <f t="shared" si="28"/>
        <v>1750</v>
      </c>
      <c r="J911" s="95">
        <f t="shared" si="29"/>
        <v>2100</v>
      </c>
      <c r="K911" s="93">
        <f>IFERROR(VLOOKUP(E911,'Inventaire des produits'!$B$4:$J$1000,5,FALSE),"")</f>
        <v>0</v>
      </c>
      <c r="L911" s="301">
        <f>IFERROR(VLOOKUP(E911,'Inventaire des produits'!$B$4:$J$1000,6,FALSE),"")</f>
        <v>40</v>
      </c>
      <c r="M911" s="62">
        <v>2100</v>
      </c>
    </row>
    <row r="912" spans="2:13" x14ac:dyDescent="0.3">
      <c r="B912" s="378" t="s">
        <v>1704</v>
      </c>
      <c r="C912" s="340">
        <v>45478</v>
      </c>
      <c r="D912" s="337" t="s">
        <v>1054</v>
      </c>
      <c r="E912" s="235" t="s">
        <v>319</v>
      </c>
      <c r="F912" s="271" t="str">
        <f>IFERROR(VLOOKUP(E912,'Inventaire des produits'!$B$4:$K$1000,2,0),"")</f>
        <v>FOURCHETTE ECOLUXE TRANSPARENTE</v>
      </c>
      <c r="G912" s="266">
        <v>20</v>
      </c>
      <c r="H912" s="85">
        <v>23</v>
      </c>
      <c r="I912" s="95">
        <f t="shared" si="28"/>
        <v>460</v>
      </c>
      <c r="J912" s="95">
        <f t="shared" si="29"/>
        <v>552</v>
      </c>
      <c r="K912" s="93">
        <f>IFERROR(VLOOKUP(E912,'Inventaire des produits'!$B$4:$J$1000,5,FALSE),"")</f>
        <v>0</v>
      </c>
      <c r="L912" s="301">
        <f>IFERROR(VLOOKUP(E912,'Inventaire des produits'!$B$4:$J$1000,6,FALSE),"")</f>
        <v>17.5</v>
      </c>
      <c r="M912" s="62">
        <v>875</v>
      </c>
    </row>
    <row r="913" spans="2:13" x14ac:dyDescent="0.3">
      <c r="B913" s="378" t="s">
        <v>1704</v>
      </c>
      <c r="C913" s="341"/>
      <c r="D913" s="338"/>
      <c r="E913" s="235" t="s">
        <v>91</v>
      </c>
      <c r="F913" s="271" t="str">
        <f>IFERROR(VLOOKUP(E913,'Inventaire des produits'!$B$4:$K$1000,2,0),"")</f>
        <v>GANT NITRILE NOIR LARGE/100PCS</v>
      </c>
      <c r="G913" s="265">
        <v>3</v>
      </c>
      <c r="H913" s="80">
        <v>37.1</v>
      </c>
      <c r="I913" s="95">
        <f t="shared" si="28"/>
        <v>111.30000000000001</v>
      </c>
      <c r="J913" s="95">
        <f t="shared" si="29"/>
        <v>133.56</v>
      </c>
      <c r="K913" s="93">
        <f>IFERROR(VLOOKUP(E913,'Inventaire des produits'!$B$4:$J$1000,5,FALSE),"")</f>
        <v>0</v>
      </c>
      <c r="L913" s="301">
        <f>IFERROR(VLOOKUP(E913,'Inventaire des produits'!$B$4:$J$1000,6,FALSE),"")</f>
        <v>65</v>
      </c>
      <c r="M913" s="62"/>
    </row>
    <row r="914" spans="2:13" x14ac:dyDescent="0.3">
      <c r="B914" s="378" t="s">
        <v>1704</v>
      </c>
      <c r="C914" s="342"/>
      <c r="D914" s="339"/>
      <c r="E914" s="235" t="s">
        <v>929</v>
      </c>
      <c r="F914" s="271" t="str">
        <f>IFERROR(VLOOKUP(E914,'Inventaire des produits'!$B$4:$K$1000,2,0),"")</f>
        <v xml:space="preserve">SERVIETTE DE TABLE </v>
      </c>
      <c r="G914" s="265">
        <v>40</v>
      </c>
      <c r="H914" s="80">
        <v>3.9466000000000001</v>
      </c>
      <c r="I914" s="95">
        <f t="shared" si="28"/>
        <v>157.864</v>
      </c>
      <c r="J914" s="95">
        <f t="shared" si="29"/>
        <v>189.43680000000001</v>
      </c>
      <c r="K914" s="93">
        <f>IFERROR(VLOOKUP(E914,'Inventaire des produits'!$B$4:$J$1000,5,FALSE),"")</f>
        <v>0</v>
      </c>
      <c r="L914" s="301">
        <f>IFERROR(VLOOKUP(E914,'Inventaire des produits'!$B$4:$J$1000,6,FALSE),"")</f>
        <v>2.9169999999999998</v>
      </c>
      <c r="M914" s="62"/>
    </row>
    <row r="915" spans="2:13" x14ac:dyDescent="0.3">
      <c r="B915" s="378" t="s">
        <v>1704</v>
      </c>
      <c r="C915" s="340">
        <v>45479</v>
      </c>
      <c r="D915" s="337" t="s">
        <v>1061</v>
      </c>
      <c r="E915" s="235" t="s">
        <v>677</v>
      </c>
      <c r="F915" s="271" t="str">
        <f>IFERROR(VLOOKUP(E915,'Inventaire des produits'!$B$4:$K$1000,2,0),"")</f>
        <v>BARQUETTE TRAITEUR 750CC MICRON ONDABLE</v>
      </c>
      <c r="G915" s="266">
        <v>1800</v>
      </c>
      <c r="H915" s="85">
        <v>1.4490000000000001</v>
      </c>
      <c r="I915" s="95">
        <f t="shared" si="28"/>
        <v>2608.2000000000003</v>
      </c>
      <c r="J915" s="95">
        <f t="shared" si="29"/>
        <v>3129.84</v>
      </c>
      <c r="K915" s="93">
        <f>IFERROR(VLOOKUP(E915,'Inventaire des produits'!$B$4:$J$1000,5,FALSE),"")</f>
        <v>0</v>
      </c>
      <c r="L915" s="301">
        <f>IFERROR(VLOOKUP(E915,'Inventaire des produits'!$B$4:$J$1000,6,FALSE),"")</f>
        <v>1.1479166667</v>
      </c>
      <c r="M915" s="62">
        <v>5416</v>
      </c>
    </row>
    <row r="916" spans="2:13" x14ac:dyDescent="0.3">
      <c r="B916" s="378" t="s">
        <v>1704</v>
      </c>
      <c r="C916" s="341"/>
      <c r="D916" s="338"/>
      <c r="E916" s="235" t="s">
        <v>84</v>
      </c>
      <c r="F916" s="271" t="str">
        <f>IFERROR(VLOOKUP(E916,'Inventaire des produits'!$B$4:$K$1000,2,0),"")</f>
        <v>POT DE SAUCE 1OZ AVEC CVL CARTON 1000</v>
      </c>
      <c r="G916" s="265">
        <v>2</v>
      </c>
      <c r="H916" s="80">
        <v>183.91</v>
      </c>
      <c r="I916" s="95">
        <f t="shared" si="28"/>
        <v>367.82</v>
      </c>
      <c r="J916" s="95">
        <f t="shared" si="29"/>
        <v>441.38399999999996</v>
      </c>
      <c r="K916" s="93">
        <f>IFERROR(VLOOKUP(E916,'Inventaire des produits'!$B$4:$J$1000,5,FALSE),"")</f>
        <v>0</v>
      </c>
      <c r="L916" s="301">
        <f>IFERROR(VLOOKUP(E916,'Inventaire des produits'!$B$4:$J$1000,6,FALSE),"")</f>
        <v>166.6666666667</v>
      </c>
      <c r="M916" s="62"/>
    </row>
    <row r="917" spans="2:13" x14ac:dyDescent="0.3">
      <c r="B917" s="378" t="s">
        <v>1704</v>
      </c>
      <c r="C917" s="341"/>
      <c r="D917" s="338"/>
      <c r="E917" s="235" t="s">
        <v>61</v>
      </c>
      <c r="F917" s="271" t="str">
        <f>IFERROR(VLOOKUP(E917,'Inventaire des produits'!$B$4:$K$1000,2,0),"")</f>
        <v>BOX KRAFT 14,5*8,5*6 CARTON 500PCS</v>
      </c>
      <c r="G917" s="265">
        <v>2</v>
      </c>
      <c r="H917" s="80">
        <v>560.92999999999995</v>
      </c>
      <c r="I917" s="95">
        <f t="shared" si="28"/>
        <v>1121.8599999999999</v>
      </c>
      <c r="J917" s="95">
        <f t="shared" si="29"/>
        <v>1346.2319999999997</v>
      </c>
      <c r="K917" s="93">
        <f>IFERROR(VLOOKUP(E917,'Inventaire des produits'!$B$4:$J$1000,5,FALSE),"")</f>
        <v>0</v>
      </c>
      <c r="L917" s="301">
        <f>IFERROR(VLOOKUP(E917,'Inventaire des produits'!$B$4:$J$1000,6,FALSE),"")</f>
        <v>500</v>
      </c>
      <c r="M917" s="62"/>
    </row>
    <row r="918" spans="2:13" x14ac:dyDescent="0.3">
      <c r="B918" s="378" t="s">
        <v>1704</v>
      </c>
      <c r="C918" s="342"/>
      <c r="D918" s="339"/>
      <c r="E918" s="235" t="s">
        <v>72</v>
      </c>
      <c r="F918" s="271" t="str">
        <f>IFERROR(VLOOKUP(E918,'Inventaire des produits'!$B$4:$K$1000,2,0),"")</f>
        <v>BOL SOUPE MICRON ONDABLE ET CVL 460CC CARTON 450PCS</v>
      </c>
      <c r="G918" s="265">
        <v>1</v>
      </c>
      <c r="H918" s="80">
        <v>415.45</v>
      </c>
      <c r="I918" s="95">
        <f t="shared" si="28"/>
        <v>415.45</v>
      </c>
      <c r="J918" s="95">
        <f t="shared" si="29"/>
        <v>498.53999999999996</v>
      </c>
      <c r="K918" s="93">
        <f>IFERROR(VLOOKUP(E918,'Inventaire des produits'!$B$4:$J$1000,5,FALSE),"")</f>
        <v>0</v>
      </c>
      <c r="L918" s="301">
        <f>IFERROR(VLOOKUP(E918,'Inventaire des produits'!$B$4:$J$1000,6,FALSE),"")</f>
        <v>375</v>
      </c>
      <c r="M918" s="62"/>
    </row>
    <row r="919" spans="2:13" x14ac:dyDescent="0.3">
      <c r="B919" s="378" t="s">
        <v>1704</v>
      </c>
      <c r="C919" s="340">
        <v>45481</v>
      </c>
      <c r="D919" s="337" t="s">
        <v>1062</v>
      </c>
      <c r="E919" s="235" t="s">
        <v>1092</v>
      </c>
      <c r="F919" s="271" t="str">
        <f>IFERROR(VLOOKUP(E919,'Inventaire des produits'!$B$4:$K$1000,2,0),"")</f>
        <v>BARQUETTE ALUMINIUM 83820/2 COMP</v>
      </c>
      <c r="G919" s="247">
        <v>8500</v>
      </c>
      <c r="H919" s="79">
        <v>0.81666666666666665</v>
      </c>
      <c r="I919" s="95">
        <f t="shared" si="28"/>
        <v>6941.666666666667</v>
      </c>
      <c r="J919" s="95">
        <f t="shared" si="29"/>
        <v>8330</v>
      </c>
      <c r="K919" s="93">
        <f>IFERROR(VLOOKUP(E919,'Inventaire des produits'!$B$4:$J$1000,5,FALSE),"")</f>
        <v>0</v>
      </c>
      <c r="L919" s="301">
        <f>IFERROR(VLOOKUP(E919,'Inventaire des produits'!$B$4:$J$1000,6,FALSE),"")</f>
        <v>0.75</v>
      </c>
      <c r="M919" s="62">
        <v>19550</v>
      </c>
    </row>
    <row r="920" spans="2:13" x14ac:dyDescent="0.3">
      <c r="B920" s="378" t="s">
        <v>1704</v>
      </c>
      <c r="C920" s="341"/>
      <c r="D920" s="338"/>
      <c r="E920" s="235" t="s">
        <v>1089</v>
      </c>
      <c r="F920" s="271" t="str">
        <f>IFERROR(VLOOKUP(E920,'Inventaire des produits'!$B$4:$K$1000,2,0),"")</f>
        <v>BARQUETTE ALUMINIUM 83890</v>
      </c>
      <c r="G920" s="247">
        <v>17000</v>
      </c>
      <c r="H920" s="79">
        <v>0.55000000000000004</v>
      </c>
      <c r="I920" s="95">
        <f t="shared" si="28"/>
        <v>9350</v>
      </c>
      <c r="J920" s="95">
        <f t="shared" si="29"/>
        <v>11220</v>
      </c>
      <c r="K920" s="93">
        <f>IFERROR(VLOOKUP(E920,'Inventaire des produits'!$B$4:$J$1000,5,FALSE),"")</f>
        <v>0</v>
      </c>
      <c r="L920" s="301">
        <f>IFERROR(VLOOKUP(E920,'Inventaire des produits'!$B$4:$J$1000,6,FALSE),"")</f>
        <v>0.52491176470000001</v>
      </c>
      <c r="M920" s="62"/>
    </row>
    <row r="921" spans="2:13" x14ac:dyDescent="0.3">
      <c r="B921" s="378" t="s">
        <v>1704</v>
      </c>
      <c r="C921" s="55">
        <v>45481</v>
      </c>
      <c r="D921" s="54" t="s">
        <v>1063</v>
      </c>
      <c r="E921" s="239" t="s">
        <v>869</v>
      </c>
      <c r="F921" s="271" t="str">
        <f>IFERROR(VLOOKUP(E921,'Inventaire des produits'!$B$4:$K$1000,2,0),"")</f>
        <v>PAILLE ENVELOPPEE CODE 100 TRANS</v>
      </c>
      <c r="G921" s="247">
        <v>100</v>
      </c>
      <c r="H921" s="79">
        <f>6/1.2</f>
        <v>5</v>
      </c>
      <c r="I921" s="95">
        <f t="shared" si="28"/>
        <v>500</v>
      </c>
      <c r="J921" s="95">
        <f t="shared" si="29"/>
        <v>600</v>
      </c>
      <c r="K921" s="93">
        <f>IFERROR(VLOOKUP(E921,'Inventaire des produits'!$B$4:$J$1000,5,FALSE),"")</f>
        <v>898</v>
      </c>
      <c r="L921" s="301">
        <f>IFERROR(VLOOKUP(E921,'Inventaire des produits'!$B$4:$J$1000,6,FALSE),"")</f>
        <v>3.9166666659999998</v>
      </c>
      <c r="M921" s="62">
        <v>600</v>
      </c>
    </row>
    <row r="922" spans="2:13" x14ac:dyDescent="0.3">
      <c r="B922" s="378" t="s">
        <v>1704</v>
      </c>
      <c r="C922" s="340">
        <v>45481</v>
      </c>
      <c r="D922" s="337" t="s">
        <v>1064</v>
      </c>
      <c r="E922" s="235" t="s">
        <v>929</v>
      </c>
      <c r="F922" s="271" t="str">
        <f>IFERROR(VLOOKUP(E922,'Inventaire des produits'!$B$4:$K$1000,2,0),"")</f>
        <v xml:space="preserve">SERVIETTE DE TABLE </v>
      </c>
      <c r="G922" s="247">
        <v>80</v>
      </c>
      <c r="H922" s="79">
        <v>4</v>
      </c>
      <c r="I922" s="95">
        <f t="shared" si="28"/>
        <v>320</v>
      </c>
      <c r="J922" s="95">
        <f t="shared" si="29"/>
        <v>384</v>
      </c>
      <c r="K922" s="93">
        <f>IFERROR(VLOOKUP(E922,'Inventaire des produits'!$B$4:$J$1000,5,FALSE),"")</f>
        <v>0</v>
      </c>
      <c r="L922" s="301">
        <f>IFERROR(VLOOKUP(E922,'Inventaire des produits'!$B$4:$J$1000,6,FALSE),"")</f>
        <v>2.9169999999999998</v>
      </c>
      <c r="M922" s="62">
        <v>1250</v>
      </c>
    </row>
    <row r="923" spans="2:13" x14ac:dyDescent="0.3">
      <c r="B923" s="378" t="s">
        <v>1704</v>
      </c>
      <c r="C923" s="341"/>
      <c r="D923" s="338"/>
      <c r="E923" s="235" t="s">
        <v>619</v>
      </c>
      <c r="F923" s="271" t="str">
        <f>IFERROR(VLOOKUP(E923,'Inventaire des produits'!$B$4:$K$1000,2,0),"")</f>
        <v>POT DE SAUCE 1OZ 30ML HP</v>
      </c>
      <c r="G923" s="247">
        <v>400</v>
      </c>
      <c r="H923" s="79">
        <v>0.1699</v>
      </c>
      <c r="I923" s="95">
        <f t="shared" si="28"/>
        <v>67.959999999999994</v>
      </c>
      <c r="J923" s="95">
        <f t="shared" si="29"/>
        <v>81.551999999999992</v>
      </c>
      <c r="K923" s="93">
        <f>IFERROR(VLOOKUP(E923,'Inventaire des produits'!$B$4:$J$1000,5,FALSE),"")</f>
        <v>0</v>
      </c>
      <c r="L923" s="301">
        <f>IFERROR(VLOOKUP(E923,'Inventaire des produits'!$B$4:$J$1000,6,FALSE),"")</f>
        <v>0.13450000000000001</v>
      </c>
      <c r="M923" s="62"/>
    </row>
    <row r="924" spans="2:13" x14ac:dyDescent="0.3">
      <c r="B924" s="378" t="s">
        <v>1704</v>
      </c>
      <c r="C924" s="341"/>
      <c r="D924" s="338"/>
      <c r="E924" s="235" t="s">
        <v>135</v>
      </c>
      <c r="F924" s="271" t="str">
        <f>IFERROR(VLOOKUP(E924,'Inventaire des produits'!$B$4:$K$1000,2,0),"")</f>
        <v>GOBLET 14OZ EN PLAST TRANS SMART + CV PLAT</v>
      </c>
      <c r="G924" s="247">
        <v>800</v>
      </c>
      <c r="H924" s="79">
        <v>0.66078000000000003</v>
      </c>
      <c r="I924" s="95">
        <f t="shared" si="28"/>
        <v>528.62400000000002</v>
      </c>
      <c r="J924" s="95">
        <f t="shared" si="29"/>
        <v>634.34879999999998</v>
      </c>
      <c r="K924" s="93">
        <f>IFERROR(VLOOKUP(E924,'Inventaire des produits'!$B$4:$J$1000,5,FALSE),"")</f>
        <v>0</v>
      </c>
      <c r="L924" s="301">
        <f>IFERROR(VLOOKUP(E924,'Inventaire des produits'!$B$4:$J$1000,6,FALSE),"")</f>
        <v>0.46875</v>
      </c>
      <c r="M924" s="62"/>
    </row>
    <row r="925" spans="2:13" x14ac:dyDescent="0.3">
      <c r="B925" s="378" t="s">
        <v>1704</v>
      </c>
      <c r="C925" s="342"/>
      <c r="D925" s="339"/>
      <c r="E925" s="235" t="s">
        <v>869</v>
      </c>
      <c r="F925" s="271" t="str">
        <f>IFERROR(VLOOKUP(E925,'Inventaire des produits'!$B$4:$K$1000,2,0),"")</f>
        <v>PAILLE ENVELOPPEE CODE 100 TRANS</v>
      </c>
      <c r="G925" s="247">
        <v>15</v>
      </c>
      <c r="H925" s="79">
        <v>8.3390000000000004</v>
      </c>
      <c r="I925" s="95">
        <f t="shared" si="28"/>
        <v>125.08500000000001</v>
      </c>
      <c r="J925" s="95">
        <f t="shared" si="29"/>
        <v>150.102</v>
      </c>
      <c r="K925" s="93">
        <f>IFERROR(VLOOKUP(E925,'Inventaire des produits'!$B$4:$J$1000,5,FALSE),"")</f>
        <v>898</v>
      </c>
      <c r="L925" s="301">
        <f>IFERROR(VLOOKUP(E925,'Inventaire des produits'!$B$4:$J$1000,6,FALSE),"")</f>
        <v>3.9166666659999998</v>
      </c>
      <c r="M925" s="62"/>
    </row>
    <row r="926" spans="2:13" x14ac:dyDescent="0.3">
      <c r="B926" s="378" t="s">
        <v>1704</v>
      </c>
      <c r="C926" s="55">
        <v>45482</v>
      </c>
      <c r="D926" s="54" t="s">
        <v>1065</v>
      </c>
      <c r="E926" s="243" t="s">
        <v>1146</v>
      </c>
      <c r="F926" s="271" t="str">
        <f>IFERROR(VLOOKUP(E926,'Inventaire des produits'!$B$4:$K$1000,2,0),"")</f>
        <v>BARQUETTE ALUMINIUM 83890</v>
      </c>
      <c r="G926" s="247">
        <v>10000</v>
      </c>
      <c r="H926" s="79">
        <v>0.55000000000000004</v>
      </c>
      <c r="I926" s="95">
        <f t="shared" si="28"/>
        <v>5500</v>
      </c>
      <c r="J926" s="95">
        <f t="shared" si="29"/>
        <v>6600</v>
      </c>
      <c r="K926" s="93">
        <f>IFERROR(VLOOKUP(E926,'Inventaire des produits'!$B$4:$J$1000,5,FALSE),"")</f>
        <v>0</v>
      </c>
      <c r="L926" s="301">
        <f>IFERROR(VLOOKUP(E926,'Inventaire des produits'!$B$4:$J$1000,6,FALSE),"")</f>
        <v>0.53</v>
      </c>
      <c r="M926" s="62">
        <v>6600</v>
      </c>
    </row>
    <row r="927" spans="2:13" x14ac:dyDescent="0.3">
      <c r="B927" s="378" t="s">
        <v>1704</v>
      </c>
      <c r="C927" s="349">
        <v>45484</v>
      </c>
      <c r="D927" s="346" t="s">
        <v>1077</v>
      </c>
      <c r="E927" s="244" t="s">
        <v>843</v>
      </c>
      <c r="F927" s="271" t="str">
        <f>IFERROR(VLOOKUP(E927,'Inventaire des produits'!$B$4:$K$1000,2,0),"")</f>
        <v>GOBLET 14OZ EN PLAST TRANS SMART + CV PLAT</v>
      </c>
      <c r="G927" s="268">
        <v>3000</v>
      </c>
      <c r="H927" s="90">
        <v>0.65</v>
      </c>
      <c r="I927" s="95">
        <f t="shared" si="28"/>
        <v>1950</v>
      </c>
      <c r="J927" s="95">
        <f t="shared" si="29"/>
        <v>2340</v>
      </c>
      <c r="K927" s="93">
        <f>IFERROR(VLOOKUP(E927,'Inventaire des produits'!$B$4:$J$1000,5,FALSE),"")</f>
        <v>0</v>
      </c>
      <c r="L927" s="301">
        <f>IFERROR(VLOOKUP(E927,'Inventaire des produits'!$B$4:$J$1000,6,FALSE),"")</f>
        <v>0.43333749999999999</v>
      </c>
      <c r="M927" s="62">
        <v>4680</v>
      </c>
    </row>
    <row r="928" spans="2:13" x14ac:dyDescent="0.3">
      <c r="B928" s="378" t="s">
        <v>1704</v>
      </c>
      <c r="C928" s="350"/>
      <c r="D928" s="348"/>
      <c r="E928" s="244" t="s">
        <v>905</v>
      </c>
      <c r="F928" s="271" t="str">
        <f>IFERROR(VLOOKUP(E928,'Inventaire des produits'!$B$4:$K$1000,2,0),"")</f>
        <v>GOBLET 14OZ EN PLAST TRANS SMART + CV PLAT</v>
      </c>
      <c r="G928" s="268">
        <v>3000</v>
      </c>
      <c r="H928" s="90">
        <v>0.65</v>
      </c>
      <c r="I928" s="95">
        <f t="shared" si="28"/>
        <v>1950</v>
      </c>
      <c r="J928" s="95">
        <f t="shared" si="29"/>
        <v>2340</v>
      </c>
      <c r="K928" s="93">
        <f>IFERROR(VLOOKUP(E928,'Inventaire des produits'!$B$4:$J$1000,5,FALSE),"")</f>
        <v>0</v>
      </c>
      <c r="L928" s="301">
        <f>IFERROR(VLOOKUP(E928,'Inventaire des produits'!$B$4:$J$1000,6,FALSE),"")</f>
        <v>0.58889166670000004</v>
      </c>
      <c r="M928" s="62"/>
    </row>
    <row r="929" spans="2:13" x14ac:dyDescent="0.3">
      <c r="B929" s="378" t="s">
        <v>1704</v>
      </c>
      <c r="C929" s="111">
        <v>45485</v>
      </c>
      <c r="D929" s="110" t="s">
        <v>1081</v>
      </c>
      <c r="E929" s="244" t="s">
        <v>1146</v>
      </c>
      <c r="F929" s="271" t="str">
        <f>IFERROR(VLOOKUP(E929,'Inventaire des produits'!$B$4:$K$1000,2,0),"")</f>
        <v>BARQUETTE ALUMINIUM 83890</v>
      </c>
      <c r="G929" s="268">
        <v>9000</v>
      </c>
      <c r="H929" s="90">
        <f>0.66/1.2</f>
        <v>0.55000000000000004</v>
      </c>
      <c r="I929" s="95">
        <f t="shared" si="28"/>
        <v>4950</v>
      </c>
      <c r="J929" s="95">
        <f t="shared" si="29"/>
        <v>5940</v>
      </c>
      <c r="K929" s="93">
        <f>IFERROR(VLOOKUP(E929,'Inventaire des produits'!$B$4:$J$1000,5,FALSE),"")</f>
        <v>0</v>
      </c>
      <c r="L929" s="301">
        <f>IFERROR(VLOOKUP(E929,'Inventaire des produits'!$B$4:$J$1000,6,FALSE),"")</f>
        <v>0.53</v>
      </c>
      <c r="M929" s="62">
        <v>5940</v>
      </c>
    </row>
    <row r="930" spans="2:13" x14ac:dyDescent="0.3">
      <c r="B930" s="378" t="s">
        <v>1704</v>
      </c>
      <c r="C930" s="349">
        <v>45485</v>
      </c>
      <c r="D930" s="346" t="s">
        <v>1082</v>
      </c>
      <c r="E930" s="244" t="s">
        <v>206</v>
      </c>
      <c r="F930" s="271" t="str">
        <f>IFERROR(VLOOKUP(E930,'Inventaire des produits'!$B$4:$K$1000,2,0),"")</f>
        <v>ESSUIE MAIN 1KG LISSE</v>
      </c>
      <c r="G930" s="268">
        <v>19</v>
      </c>
      <c r="H930" s="90">
        <v>28.333333333333336</v>
      </c>
      <c r="I930" s="95">
        <f t="shared" si="28"/>
        <v>538.33333333333337</v>
      </c>
      <c r="J930" s="95">
        <f t="shared" si="29"/>
        <v>646</v>
      </c>
      <c r="K930" s="93">
        <f>IFERROR(VLOOKUP(E930,'Inventaire des produits'!$B$4:$J$1000,5,FALSE),"")</f>
        <v>0</v>
      </c>
      <c r="L930" s="301">
        <f>IFERROR(VLOOKUP(E930,'Inventaire des produits'!$B$4:$J$1000,6,FALSE),"")</f>
        <v>21.25</v>
      </c>
      <c r="M930" s="62">
        <v>13624.48</v>
      </c>
    </row>
    <row r="931" spans="2:13" x14ac:dyDescent="0.3">
      <c r="B931" s="378" t="s">
        <v>1704</v>
      </c>
      <c r="C931" s="366"/>
      <c r="D931" s="347"/>
      <c r="E931" s="244" t="s">
        <v>1040</v>
      </c>
      <c r="F931" s="271" t="str">
        <f>IFERROR(VLOOKUP(E931,'Inventaire des produits'!$B$4:$K$1000,2,0),"")</f>
        <v>FILM ALIMENTAIRE ELEGENCE</v>
      </c>
      <c r="G931" s="268">
        <v>25</v>
      </c>
      <c r="H931" s="90">
        <v>28.333333333333336</v>
      </c>
      <c r="I931" s="95">
        <f t="shared" si="28"/>
        <v>708.33333333333337</v>
      </c>
      <c r="J931" s="95">
        <f t="shared" si="29"/>
        <v>850</v>
      </c>
      <c r="K931" s="93">
        <f>IFERROR(VLOOKUP(E931,'Inventaire des produits'!$B$4:$J$1000,5,FALSE),"")</f>
        <v>0</v>
      </c>
      <c r="L931" s="301">
        <f>IFERROR(VLOOKUP(E931,'Inventaire des produits'!$B$4:$J$1000,6,FALSE),"")</f>
        <v>20</v>
      </c>
      <c r="M931" s="62"/>
    </row>
    <row r="932" spans="2:13" x14ac:dyDescent="0.3">
      <c r="B932" s="378" t="s">
        <v>1704</v>
      </c>
      <c r="C932" s="366"/>
      <c r="D932" s="347"/>
      <c r="E932" s="244" t="s">
        <v>722</v>
      </c>
      <c r="F932" s="271" t="str">
        <f>IFERROR(VLOOKUP(E932,'Inventaire des produits'!$B$4:$K$1000,2,0),"")</f>
        <v>GANT POLYETHLENE</v>
      </c>
      <c r="G932" s="268">
        <v>50</v>
      </c>
      <c r="H932" s="90">
        <v>5</v>
      </c>
      <c r="I932" s="95">
        <f t="shared" si="28"/>
        <v>250</v>
      </c>
      <c r="J932" s="95">
        <f t="shared" si="29"/>
        <v>300</v>
      </c>
      <c r="K932" s="93">
        <f>IFERROR(VLOOKUP(E932,'Inventaire des produits'!$B$4:$J$1000,5,FALSE),"")</f>
        <v>0</v>
      </c>
      <c r="L932" s="301">
        <f>IFERROR(VLOOKUP(E932,'Inventaire des produits'!$B$4:$J$1000,6,FALSE),"")</f>
        <v>2.8</v>
      </c>
      <c r="M932" s="62"/>
    </row>
    <row r="933" spans="2:13" x14ac:dyDescent="0.3">
      <c r="B933" s="378" t="s">
        <v>1704</v>
      </c>
      <c r="C933" s="366"/>
      <c r="D933" s="347"/>
      <c r="E933" s="244" t="s">
        <v>666</v>
      </c>
      <c r="F933" s="271" t="str">
        <f>IFERROR(VLOOKUP(E933,'Inventaire des produits'!$B$4:$K$1000,2,0),"")</f>
        <v>GANT VINYL EXTRA PREMIUM GLOVE MEDIUM</v>
      </c>
      <c r="G933" s="269">
        <v>20</v>
      </c>
      <c r="H933" s="90">
        <v>33.333333333299997</v>
      </c>
      <c r="I933" s="95">
        <f t="shared" si="28"/>
        <v>666.66666666599997</v>
      </c>
      <c r="J933" s="95">
        <f t="shared" si="29"/>
        <v>799.99999999919999</v>
      </c>
      <c r="K933" s="93">
        <f>IFERROR(VLOOKUP(E933,'Inventaire des produits'!$B$4:$J$1000,5,FALSE),"")</f>
        <v>0</v>
      </c>
      <c r="L933" s="301">
        <f>IFERROR(VLOOKUP(E933,'Inventaire des produits'!$B$4:$J$1000,6,FALSE),"")</f>
        <v>20</v>
      </c>
      <c r="M933" s="62"/>
    </row>
    <row r="934" spans="2:13" x14ac:dyDescent="0.3">
      <c r="B934" s="378" t="s">
        <v>1704</v>
      </c>
      <c r="C934" s="366"/>
      <c r="D934" s="347"/>
      <c r="E934" s="244" t="s">
        <v>773</v>
      </c>
      <c r="F934" s="271" t="str">
        <f>IFERROR(VLOOKUP(E934,'Inventaire des produits'!$B$4:$K$1000,2,0),"")</f>
        <v>ROULEAU ALUMINIUM GOLDEN 200M</v>
      </c>
      <c r="G934" s="269">
        <v>1</v>
      </c>
      <c r="H934" s="90">
        <v>70.833333333333343</v>
      </c>
      <c r="I934" s="95">
        <f t="shared" si="28"/>
        <v>70.833333333333343</v>
      </c>
      <c r="J934" s="95">
        <f t="shared" si="29"/>
        <v>85.000000000000014</v>
      </c>
      <c r="K934" s="93">
        <f>IFERROR(VLOOKUP(E934,'Inventaire des produits'!$B$4:$J$1000,5,FALSE),"")</f>
        <v>0</v>
      </c>
      <c r="L934" s="301">
        <f>IFERROR(VLOOKUP(E934,'Inventaire des produits'!$B$4:$J$1000,6,FALSE),"")</f>
        <v>58.333333332999999</v>
      </c>
      <c r="M934" s="62"/>
    </row>
    <row r="935" spans="2:13" x14ac:dyDescent="0.3">
      <c r="B935" s="378" t="s">
        <v>1704</v>
      </c>
      <c r="C935" s="366"/>
      <c r="D935" s="347"/>
      <c r="E935" s="244" t="s">
        <v>805</v>
      </c>
      <c r="F935" s="271" t="str">
        <f>IFERROR(VLOOKUP(E935,'Inventaire des produits'!$B$4:$K$1000,2,0),"")</f>
        <v>BARQUETTE ALUMINIUM 250</v>
      </c>
      <c r="G935" s="269">
        <v>1200</v>
      </c>
      <c r="H935" s="90">
        <v>0.375</v>
      </c>
      <c r="I935" s="95">
        <f t="shared" si="28"/>
        <v>450</v>
      </c>
      <c r="J935" s="95">
        <f t="shared" si="29"/>
        <v>540</v>
      </c>
      <c r="K935" s="93">
        <f>IFERROR(VLOOKUP(E935,'Inventaire des produits'!$B$4:$J$1000,5,FALSE),"")</f>
        <v>0</v>
      </c>
      <c r="L935" s="301">
        <f>IFERROR(VLOOKUP(E935,'Inventaire des produits'!$B$4:$J$1000,6,FALSE),"")</f>
        <v>0.23333329999999999</v>
      </c>
      <c r="M935" s="62"/>
    </row>
    <row r="936" spans="2:13" x14ac:dyDescent="0.3">
      <c r="B936" s="378" t="s">
        <v>1704</v>
      </c>
      <c r="C936" s="366"/>
      <c r="D936" s="347"/>
      <c r="E936" s="244" t="s">
        <v>1149</v>
      </c>
      <c r="F936" s="271" t="str">
        <f>IFERROR(VLOOKUP(E936,'Inventaire des produits'!$B$4:$K$1000,2,0),"")</f>
        <v>ROULEAU DE CAISSE THERMIQUE 80X80</v>
      </c>
      <c r="G936" s="269">
        <v>100</v>
      </c>
      <c r="H936" s="90">
        <v>10.333333333333334</v>
      </c>
      <c r="I936" s="95">
        <f t="shared" si="28"/>
        <v>1033.3333333333335</v>
      </c>
      <c r="J936" s="95">
        <f t="shared" si="29"/>
        <v>1240.0000000000002</v>
      </c>
      <c r="K936" s="93">
        <f>IFERROR(VLOOKUP(E936,'Inventaire des produits'!$B$4:$J$1000,5,FALSE),"")</f>
        <v>253</v>
      </c>
      <c r="L936" s="301">
        <f>IFERROR(VLOOKUP(E936,'Inventaire des produits'!$B$4:$J$1000,6,FALSE),"")</f>
        <v>7.5</v>
      </c>
      <c r="M936" s="62"/>
    </row>
    <row r="937" spans="2:13" x14ac:dyDescent="0.3">
      <c r="B937" s="378" t="s">
        <v>1704</v>
      </c>
      <c r="C937" s="366"/>
      <c r="D937" s="347"/>
      <c r="E937" s="244" t="s">
        <v>1038</v>
      </c>
      <c r="F937" s="271" t="str">
        <f>IFERROR(VLOOKUP(E937,'Inventaire des produits'!$B$4:$K$1000,2,0),"")</f>
        <v>FOURCHETTE ECOLUXE NOIRE</v>
      </c>
      <c r="G937" s="247">
        <v>60</v>
      </c>
      <c r="H937" s="79">
        <v>19.1666666666667</v>
      </c>
      <c r="I937" s="95">
        <f t="shared" si="28"/>
        <v>1150.000000000002</v>
      </c>
      <c r="J937" s="95">
        <f t="shared" si="29"/>
        <v>1380.0000000000025</v>
      </c>
      <c r="K937" s="93">
        <f>IFERROR(VLOOKUP(E937,'Inventaire des produits'!$B$4:$J$1000,5,FALSE),"")</f>
        <v>0</v>
      </c>
      <c r="L937" s="301">
        <f>IFERROR(VLOOKUP(E937,'Inventaire des produits'!$B$4:$J$1000,6,FALSE),"")</f>
        <v>13.69</v>
      </c>
      <c r="M937" s="62"/>
    </row>
    <row r="938" spans="2:13" x14ac:dyDescent="0.3">
      <c r="B938" s="378" t="s">
        <v>1704</v>
      </c>
      <c r="C938" s="366"/>
      <c r="D938" s="347"/>
      <c r="E938" s="235" t="s">
        <v>869</v>
      </c>
      <c r="F938" s="271" t="str">
        <f>IFERROR(VLOOKUP(E938,'Inventaire des produits'!$B$4:$K$1000,2,0),"")</f>
        <v>PAILLE ENVELOPPEE CODE 100 TRANS</v>
      </c>
      <c r="G938" s="247">
        <v>28</v>
      </c>
      <c r="H938" s="79">
        <v>6.666666666666667</v>
      </c>
      <c r="I938" s="95">
        <f t="shared" si="28"/>
        <v>186.66666666666669</v>
      </c>
      <c r="J938" s="95">
        <f t="shared" si="29"/>
        <v>224.00000000000003</v>
      </c>
      <c r="K938" s="93">
        <f>IFERROR(VLOOKUP(E938,'Inventaire des produits'!$B$4:$J$1000,5,FALSE),"")</f>
        <v>898</v>
      </c>
      <c r="L938" s="301">
        <f>IFERROR(VLOOKUP(E938,'Inventaire des produits'!$B$4:$J$1000,6,FALSE),"")</f>
        <v>3.9166666659999998</v>
      </c>
      <c r="M938" s="62"/>
    </row>
    <row r="939" spans="2:13" x14ac:dyDescent="0.3">
      <c r="B939" s="378" t="s">
        <v>1704</v>
      </c>
      <c r="C939" s="366"/>
      <c r="D939" s="347"/>
      <c r="E939" s="235" t="s">
        <v>553</v>
      </c>
      <c r="F939" s="271" t="str">
        <f>IFERROR(VLOOKUP(E939,'Inventaire des produits'!$B$4:$K$1000,2,0),"")</f>
        <v>FOURCHETTE ECOLUXE TRANSPARENTE</v>
      </c>
      <c r="G939" s="247">
        <v>11</v>
      </c>
      <c r="H939" s="79">
        <v>19.1666666666667</v>
      </c>
      <c r="I939" s="95">
        <f t="shared" si="28"/>
        <v>210.83333333333371</v>
      </c>
      <c r="J939" s="95">
        <f t="shared" si="29"/>
        <v>253.00000000000045</v>
      </c>
      <c r="K939" s="93">
        <f>IFERROR(VLOOKUP(E939,'Inventaire des produits'!$B$4:$J$1000,5,FALSE),"")</f>
        <v>0</v>
      </c>
      <c r="L939" s="301">
        <f>IFERROR(VLOOKUP(E939,'Inventaire des produits'!$B$4:$J$1000,6,FALSE),"")</f>
        <v>17.5</v>
      </c>
      <c r="M939" s="62"/>
    </row>
    <row r="940" spans="2:13" x14ac:dyDescent="0.3">
      <c r="B940" s="378" t="s">
        <v>1704</v>
      </c>
      <c r="C940" s="366"/>
      <c r="D940" s="347"/>
      <c r="E940" s="235" t="s">
        <v>737</v>
      </c>
      <c r="F940" s="271" t="str">
        <f>IFERROR(VLOOKUP(E940,'Inventaire des produits'!$B$4:$K$1000,2,0),"")</f>
        <v>BOUTEILLE PLASTIQUE TRANS 330ML AVEC BOUCHON</v>
      </c>
      <c r="G940" s="247">
        <v>204</v>
      </c>
      <c r="H940" s="79">
        <v>2</v>
      </c>
      <c r="I940" s="95">
        <f t="shared" si="28"/>
        <v>408</v>
      </c>
      <c r="J940" s="95">
        <f t="shared" si="29"/>
        <v>489.59999999999997</v>
      </c>
      <c r="K940" s="93">
        <f>IFERROR(VLOOKUP(E940,'Inventaire des produits'!$B$4:$J$1000,5,FALSE),"")</f>
        <v>0</v>
      </c>
      <c r="L940" s="301">
        <f>IFERROR(VLOOKUP(E940,'Inventaire des produits'!$B$4:$J$1000,6,FALSE),"")</f>
        <v>1.65</v>
      </c>
      <c r="M940" s="62"/>
    </row>
    <row r="941" spans="2:13" x14ac:dyDescent="0.3">
      <c r="B941" s="378" t="s">
        <v>1704</v>
      </c>
      <c r="C941" s="366"/>
      <c r="D941" s="347"/>
      <c r="E941" s="235" t="s">
        <v>1033</v>
      </c>
      <c r="F941" s="271" t="str">
        <f>IFERROR(VLOOKUP(E941,'Inventaire des produits'!$B$4:$K$1000,2,0),"")</f>
        <v>FILM ALIMENTAIRE 45CM 1,3KG PET</v>
      </c>
      <c r="G941" s="247">
        <v>18</v>
      </c>
      <c r="H941" s="79">
        <v>43.333333333333336</v>
      </c>
      <c r="I941" s="95">
        <f t="shared" si="28"/>
        <v>780</v>
      </c>
      <c r="J941" s="95">
        <f t="shared" si="29"/>
        <v>936</v>
      </c>
      <c r="K941" s="93">
        <f>IFERROR(VLOOKUP(E941,'Inventaire des produits'!$B$4:$J$1000,5,FALSE),"")</f>
        <v>3</v>
      </c>
      <c r="L941" s="301">
        <f>IFERROR(VLOOKUP(E941,'Inventaire des produits'!$B$4:$J$1000,6,FALSE),"")</f>
        <v>39.03</v>
      </c>
      <c r="M941" s="62"/>
    </row>
    <row r="942" spans="2:13" x14ac:dyDescent="0.3">
      <c r="B942" s="378" t="s">
        <v>1704</v>
      </c>
      <c r="C942" s="350"/>
      <c r="D942" s="348"/>
      <c r="E942" s="235" t="s">
        <v>619</v>
      </c>
      <c r="F942" s="271" t="str">
        <f>IFERROR(VLOOKUP(E942,'Inventaire des produits'!$B$4:$K$1000,2,0),"")</f>
        <v>POT DE SAUCE 1OZ 30ML HP</v>
      </c>
      <c r="G942" s="247">
        <v>28000</v>
      </c>
      <c r="H942" s="79">
        <v>0.1750263</v>
      </c>
      <c r="I942" s="95">
        <f t="shared" si="28"/>
        <v>4900.7363999999998</v>
      </c>
      <c r="J942" s="95">
        <f t="shared" si="29"/>
        <v>5880.8836799999999</v>
      </c>
      <c r="K942" s="93">
        <f>IFERROR(VLOOKUP(E942,'Inventaire des produits'!$B$4:$J$1000,5,FALSE),"")</f>
        <v>0</v>
      </c>
      <c r="L942" s="301">
        <f>IFERROR(VLOOKUP(E942,'Inventaire des produits'!$B$4:$J$1000,6,FALSE),"")</f>
        <v>0.13450000000000001</v>
      </c>
      <c r="M942" s="62"/>
    </row>
    <row r="943" spans="2:13" x14ac:dyDescent="0.3">
      <c r="B943" s="378" t="s">
        <v>1704</v>
      </c>
      <c r="C943" s="55">
        <v>45485</v>
      </c>
      <c r="D943" s="54" t="s">
        <v>1083</v>
      </c>
      <c r="E943" s="235" t="s">
        <v>536</v>
      </c>
      <c r="F943" s="271" t="str">
        <f>IFERROR(VLOOKUP(E943,'Inventaire des produits'!$B$4:$K$1000,2,0),"")</f>
        <v>PAILLE CODE 6MM 500 NOIR</v>
      </c>
      <c r="G943" s="247">
        <v>40</v>
      </c>
      <c r="H943" s="79">
        <v>16.666666666666668</v>
      </c>
      <c r="I943" s="95">
        <f t="shared" si="28"/>
        <v>666.66666666666674</v>
      </c>
      <c r="J943" s="95">
        <f t="shared" si="29"/>
        <v>800.00000000000011</v>
      </c>
      <c r="K943" s="93">
        <f>IFERROR(VLOOKUP(E943,'Inventaire des produits'!$B$4:$J$1000,5,FALSE),"")</f>
        <v>0</v>
      </c>
      <c r="L943" s="301">
        <f>IFERROR(VLOOKUP(E943,'Inventaire des produits'!$B$4:$J$1000,6,FALSE),"")</f>
        <v>15</v>
      </c>
      <c r="M943" s="62">
        <v>800.00000000000011</v>
      </c>
    </row>
    <row r="944" spans="2:13" x14ac:dyDescent="0.3">
      <c r="B944" s="378" t="s">
        <v>1704</v>
      </c>
      <c r="C944" s="340">
        <v>45486</v>
      </c>
      <c r="D944" s="337" t="s">
        <v>1084</v>
      </c>
      <c r="E944" s="235" t="s">
        <v>206</v>
      </c>
      <c r="F944" s="271" t="str">
        <f>IFERROR(VLOOKUP(E944,'Inventaire des produits'!$B$4:$K$1000,2,0),"")</f>
        <v>ESSUIE MAIN 1KG LISSE</v>
      </c>
      <c r="G944" s="247">
        <v>20</v>
      </c>
      <c r="H944" s="79">
        <v>28.333333333333336</v>
      </c>
      <c r="I944" s="95">
        <f t="shared" si="28"/>
        <v>566.66666666666674</v>
      </c>
      <c r="J944" s="95">
        <f t="shared" si="29"/>
        <v>680.00000000000011</v>
      </c>
      <c r="K944" s="93">
        <f>IFERROR(VLOOKUP(E944,'Inventaire des produits'!$B$4:$J$1000,5,FALSE),"")</f>
        <v>0</v>
      </c>
      <c r="L944" s="301">
        <f>IFERROR(VLOOKUP(E944,'Inventaire des produits'!$B$4:$J$1000,6,FALSE),"")</f>
        <v>21.25</v>
      </c>
      <c r="M944" s="62">
        <v>12424.42</v>
      </c>
    </row>
    <row r="945" spans="2:13" x14ac:dyDescent="0.3">
      <c r="B945" s="378" t="s">
        <v>1704</v>
      </c>
      <c r="C945" s="341"/>
      <c r="D945" s="338"/>
      <c r="E945" s="235" t="s">
        <v>1040</v>
      </c>
      <c r="F945" s="271" t="str">
        <f>IFERROR(VLOOKUP(E945,'Inventaire des produits'!$B$4:$K$1000,2,0),"")</f>
        <v>FILM ALIMENTAIRE ELEGENCE</v>
      </c>
      <c r="G945" s="247">
        <v>24</v>
      </c>
      <c r="H945" s="79">
        <v>28.333333333333336</v>
      </c>
      <c r="I945" s="95">
        <f t="shared" si="28"/>
        <v>680</v>
      </c>
      <c r="J945" s="95">
        <f t="shared" si="29"/>
        <v>816</v>
      </c>
      <c r="K945" s="93">
        <f>IFERROR(VLOOKUP(E945,'Inventaire des produits'!$B$4:$J$1000,5,FALSE),"")</f>
        <v>0</v>
      </c>
      <c r="L945" s="301">
        <f>IFERROR(VLOOKUP(E945,'Inventaire des produits'!$B$4:$J$1000,6,FALSE),"")</f>
        <v>20</v>
      </c>
      <c r="M945" s="62"/>
    </row>
    <row r="946" spans="2:13" x14ac:dyDescent="0.3">
      <c r="B946" s="378" t="s">
        <v>1704</v>
      </c>
      <c r="C946" s="341"/>
      <c r="D946" s="338"/>
      <c r="E946" s="235" t="s">
        <v>722</v>
      </c>
      <c r="F946" s="271" t="str">
        <f>IFERROR(VLOOKUP(E946,'Inventaire des produits'!$B$4:$K$1000,2,0),"")</f>
        <v>GANT POLYETHLENE</v>
      </c>
      <c r="G946" s="247">
        <v>48</v>
      </c>
      <c r="H946" s="79">
        <v>5</v>
      </c>
      <c r="I946" s="95">
        <f t="shared" si="28"/>
        <v>240</v>
      </c>
      <c r="J946" s="95">
        <f t="shared" si="29"/>
        <v>288</v>
      </c>
      <c r="K946" s="93">
        <f>IFERROR(VLOOKUP(E946,'Inventaire des produits'!$B$4:$J$1000,5,FALSE),"")</f>
        <v>0</v>
      </c>
      <c r="L946" s="301">
        <f>IFERROR(VLOOKUP(E946,'Inventaire des produits'!$B$4:$J$1000,6,FALSE),"")</f>
        <v>2.8</v>
      </c>
      <c r="M946" s="62"/>
    </row>
    <row r="947" spans="2:13" x14ac:dyDescent="0.3">
      <c r="B947" s="378" t="s">
        <v>1704</v>
      </c>
      <c r="C947" s="341"/>
      <c r="D947" s="338"/>
      <c r="E947" s="235" t="s">
        <v>666</v>
      </c>
      <c r="F947" s="271" t="str">
        <f>IFERROR(VLOOKUP(E947,'Inventaire des produits'!$B$4:$K$1000,2,0),"")</f>
        <v>GANT VINYL EXTRA PREMIUM GLOVE MEDIUM</v>
      </c>
      <c r="G947" s="247">
        <v>18</v>
      </c>
      <c r="H947" s="79">
        <v>33.333333333299997</v>
      </c>
      <c r="I947" s="95">
        <f t="shared" si="28"/>
        <v>599.99999999939996</v>
      </c>
      <c r="J947" s="95">
        <f t="shared" si="29"/>
        <v>719.99999999927991</v>
      </c>
      <c r="K947" s="93">
        <f>IFERROR(VLOOKUP(E947,'Inventaire des produits'!$B$4:$J$1000,5,FALSE),"")</f>
        <v>0</v>
      </c>
      <c r="L947" s="301">
        <f>IFERROR(VLOOKUP(E947,'Inventaire des produits'!$B$4:$J$1000,6,FALSE),"")</f>
        <v>20</v>
      </c>
      <c r="M947" s="62"/>
    </row>
    <row r="948" spans="2:13" x14ac:dyDescent="0.3">
      <c r="B948" s="378" t="s">
        <v>1704</v>
      </c>
      <c r="C948" s="341"/>
      <c r="D948" s="338"/>
      <c r="E948" s="235" t="s">
        <v>773</v>
      </c>
      <c r="F948" s="271" t="str">
        <f>IFERROR(VLOOKUP(E948,'Inventaire des produits'!$B$4:$K$1000,2,0),"")</f>
        <v>ROULEAU ALUMINIUM GOLDEN 200M</v>
      </c>
      <c r="G948" s="247">
        <v>1</v>
      </c>
      <c r="H948" s="79">
        <v>70.833333333333343</v>
      </c>
      <c r="I948" s="95">
        <f t="shared" si="28"/>
        <v>70.833333333333343</v>
      </c>
      <c r="J948" s="95">
        <f t="shared" si="29"/>
        <v>85.000000000000014</v>
      </c>
      <c r="K948" s="93">
        <f>IFERROR(VLOOKUP(E948,'Inventaire des produits'!$B$4:$J$1000,5,FALSE),"")</f>
        <v>0</v>
      </c>
      <c r="L948" s="301">
        <f>IFERROR(VLOOKUP(E948,'Inventaire des produits'!$B$4:$J$1000,6,FALSE),"")</f>
        <v>58.333333332999999</v>
      </c>
      <c r="M948" s="62"/>
    </row>
    <row r="949" spans="2:13" x14ac:dyDescent="0.3">
      <c r="B949" s="378" t="s">
        <v>1704</v>
      </c>
      <c r="C949" s="341"/>
      <c r="D949" s="338"/>
      <c r="E949" s="235" t="s">
        <v>805</v>
      </c>
      <c r="F949" s="271" t="str">
        <f>IFERROR(VLOOKUP(E949,'Inventaire des produits'!$B$4:$K$1000,2,0),"")</f>
        <v>BARQUETTE ALUMINIUM 250</v>
      </c>
      <c r="G949" s="247">
        <v>1000</v>
      </c>
      <c r="H949" s="79">
        <v>0.375</v>
      </c>
      <c r="I949" s="95">
        <f t="shared" si="28"/>
        <v>375</v>
      </c>
      <c r="J949" s="95">
        <f t="shared" si="29"/>
        <v>450</v>
      </c>
      <c r="K949" s="93">
        <f>IFERROR(VLOOKUP(E949,'Inventaire des produits'!$B$4:$J$1000,5,FALSE),"")</f>
        <v>0</v>
      </c>
      <c r="L949" s="301">
        <f>IFERROR(VLOOKUP(E949,'Inventaire des produits'!$B$4:$J$1000,6,FALSE),"")</f>
        <v>0.23333329999999999</v>
      </c>
      <c r="M949" s="62"/>
    </row>
    <row r="950" spans="2:13" x14ac:dyDescent="0.3">
      <c r="B950" s="378" t="s">
        <v>1704</v>
      </c>
      <c r="C950" s="341"/>
      <c r="D950" s="338"/>
      <c r="E950" s="244" t="s">
        <v>1149</v>
      </c>
      <c r="F950" s="271" t="str">
        <f>IFERROR(VLOOKUP(E950,'Inventaire des produits'!$B$4:$K$1000,2,0),"")</f>
        <v>ROULEAU DE CAISSE THERMIQUE 80X80</v>
      </c>
      <c r="G950" s="268">
        <v>85</v>
      </c>
      <c r="H950" s="90">
        <v>10.333333333333334</v>
      </c>
      <c r="I950" s="95">
        <f t="shared" si="28"/>
        <v>878.33333333333337</v>
      </c>
      <c r="J950" s="95">
        <f t="shared" si="29"/>
        <v>1054</v>
      </c>
      <c r="K950" s="93">
        <f>IFERROR(VLOOKUP(E950,'Inventaire des produits'!$B$4:$J$1000,5,FALSE),"")</f>
        <v>253</v>
      </c>
      <c r="L950" s="301">
        <f>IFERROR(VLOOKUP(E950,'Inventaire des produits'!$B$4:$J$1000,6,FALSE),"")</f>
        <v>7.5</v>
      </c>
      <c r="M950" s="62"/>
    </row>
    <row r="951" spans="2:13" x14ac:dyDescent="0.3">
      <c r="B951" s="378" t="s">
        <v>1704</v>
      </c>
      <c r="C951" s="341"/>
      <c r="D951" s="338"/>
      <c r="E951" s="234" t="s">
        <v>1038</v>
      </c>
      <c r="F951" s="271" t="str">
        <f>IFERROR(VLOOKUP(E951,'Inventaire des produits'!$B$4:$K$1000,2,0),"")</f>
        <v>FOURCHETTE ECOLUXE NOIRE</v>
      </c>
      <c r="G951" s="268">
        <v>50</v>
      </c>
      <c r="H951" s="90">
        <v>19.1666666666667</v>
      </c>
      <c r="I951" s="95">
        <f t="shared" si="28"/>
        <v>958.33333333333496</v>
      </c>
      <c r="J951" s="95">
        <f t="shared" si="29"/>
        <v>1150.0000000000018</v>
      </c>
      <c r="K951" s="93">
        <f>IFERROR(VLOOKUP(E951,'Inventaire des produits'!$B$4:$J$1000,5,FALSE),"")</f>
        <v>0</v>
      </c>
      <c r="L951" s="301">
        <f>IFERROR(VLOOKUP(E951,'Inventaire des produits'!$B$4:$J$1000,6,FALSE),"")</f>
        <v>13.69</v>
      </c>
      <c r="M951" s="62"/>
    </row>
    <row r="952" spans="2:13" x14ac:dyDescent="0.3">
      <c r="B952" s="378" t="s">
        <v>1704</v>
      </c>
      <c r="C952" s="341"/>
      <c r="D952" s="338"/>
      <c r="E952" s="234" t="s">
        <v>869</v>
      </c>
      <c r="F952" s="271" t="str">
        <f>IFERROR(VLOOKUP(E952,'Inventaire des produits'!$B$4:$K$1000,2,0),"")</f>
        <v>PAILLE ENVELOPPEE CODE 100 TRANS</v>
      </c>
      <c r="G952" s="268">
        <v>24</v>
      </c>
      <c r="H952" s="90">
        <v>6.666666666666667</v>
      </c>
      <c r="I952" s="95">
        <f t="shared" si="28"/>
        <v>160</v>
      </c>
      <c r="J952" s="95">
        <f t="shared" si="29"/>
        <v>192</v>
      </c>
      <c r="K952" s="93">
        <f>IFERROR(VLOOKUP(E952,'Inventaire des produits'!$B$4:$J$1000,5,FALSE),"")</f>
        <v>898</v>
      </c>
      <c r="L952" s="301">
        <f>IFERROR(VLOOKUP(E952,'Inventaire des produits'!$B$4:$J$1000,6,FALSE),"")</f>
        <v>3.9166666659999998</v>
      </c>
      <c r="M952" s="62"/>
    </row>
    <row r="953" spans="2:13" x14ac:dyDescent="0.3">
      <c r="B953" s="378" t="s">
        <v>1704</v>
      </c>
      <c r="C953" s="341"/>
      <c r="D953" s="338"/>
      <c r="E953" s="234" t="s">
        <v>553</v>
      </c>
      <c r="F953" s="271" t="str">
        <f>IFERROR(VLOOKUP(E953,'Inventaire des produits'!$B$4:$K$1000,2,0),"")</f>
        <v>FOURCHETTE ECOLUXE TRANSPARENTE</v>
      </c>
      <c r="G953" s="268">
        <v>9</v>
      </c>
      <c r="H953" s="90">
        <v>19.1666666666667</v>
      </c>
      <c r="I953" s="95">
        <f t="shared" si="28"/>
        <v>172.50000000000028</v>
      </c>
      <c r="J953" s="95">
        <f t="shared" si="29"/>
        <v>207.00000000000034</v>
      </c>
      <c r="K953" s="93">
        <f>IFERROR(VLOOKUP(E953,'Inventaire des produits'!$B$4:$J$1000,5,FALSE),"")</f>
        <v>0</v>
      </c>
      <c r="L953" s="301">
        <f>IFERROR(VLOOKUP(E953,'Inventaire des produits'!$B$4:$J$1000,6,FALSE),"")</f>
        <v>17.5</v>
      </c>
      <c r="M953" s="62"/>
    </row>
    <row r="954" spans="2:13" x14ac:dyDescent="0.3">
      <c r="B954" s="378" t="s">
        <v>1704</v>
      </c>
      <c r="C954" s="341"/>
      <c r="D954" s="338"/>
      <c r="E954" s="234" t="s">
        <v>737</v>
      </c>
      <c r="F954" s="271" t="str">
        <f>IFERROR(VLOOKUP(E954,'Inventaire des produits'!$B$4:$K$1000,2,0),"")</f>
        <v>BOUTEILLE PLASTIQUE TRANS 330ML AVEC BOUCHON</v>
      </c>
      <c r="G954" s="268">
        <v>204</v>
      </c>
      <c r="H954" s="90">
        <v>2</v>
      </c>
      <c r="I954" s="95">
        <f t="shared" si="28"/>
        <v>408</v>
      </c>
      <c r="J954" s="95">
        <f t="shared" si="29"/>
        <v>489.59999999999997</v>
      </c>
      <c r="K954" s="93">
        <f>IFERROR(VLOOKUP(E954,'Inventaire des produits'!$B$4:$J$1000,5,FALSE),"")</f>
        <v>0</v>
      </c>
      <c r="L954" s="301">
        <f>IFERROR(VLOOKUP(E954,'Inventaire des produits'!$B$4:$J$1000,6,FALSE),"")</f>
        <v>1.65</v>
      </c>
      <c r="M954" s="62"/>
    </row>
    <row r="955" spans="2:13" x14ac:dyDescent="0.3">
      <c r="B955" s="378" t="s">
        <v>1704</v>
      </c>
      <c r="C955" s="341"/>
      <c r="D955" s="338"/>
      <c r="E955" s="234" t="s">
        <v>1033</v>
      </c>
      <c r="F955" s="271" t="str">
        <f>IFERROR(VLOOKUP(E955,'Inventaire des produits'!$B$4:$K$1000,2,0),"")</f>
        <v>FILM ALIMENTAIRE 45CM 1,3KG PET</v>
      </c>
      <c r="G955" s="268">
        <v>16</v>
      </c>
      <c r="H955" s="90">
        <v>43.333333333333336</v>
      </c>
      <c r="I955" s="95">
        <f t="shared" si="28"/>
        <v>693.33333333333337</v>
      </c>
      <c r="J955" s="95">
        <f t="shared" si="29"/>
        <v>832</v>
      </c>
      <c r="K955" s="93">
        <f>IFERROR(VLOOKUP(E955,'Inventaire des produits'!$B$4:$J$1000,5,FALSE),"")</f>
        <v>3</v>
      </c>
      <c r="L955" s="301">
        <f>IFERROR(VLOOKUP(E955,'Inventaire des produits'!$B$4:$J$1000,6,FALSE),"")</f>
        <v>39.03</v>
      </c>
      <c r="M955" s="62"/>
    </row>
    <row r="956" spans="2:13" x14ac:dyDescent="0.3">
      <c r="B956" s="378" t="s">
        <v>1704</v>
      </c>
      <c r="C956" s="342"/>
      <c r="D956" s="339"/>
      <c r="E956" s="234" t="s">
        <v>619</v>
      </c>
      <c r="F956" s="271" t="str">
        <f>IFERROR(VLOOKUP(E956,'Inventaire des produits'!$B$4:$K$1000,2,0),"")</f>
        <v>POT DE SAUCE 1OZ 30ML HP</v>
      </c>
      <c r="G956" s="268">
        <v>26000</v>
      </c>
      <c r="H956" s="90">
        <v>0.1750263</v>
      </c>
      <c r="I956" s="95">
        <f t="shared" si="28"/>
        <v>4550.6837999999998</v>
      </c>
      <c r="J956" s="95">
        <f t="shared" si="29"/>
        <v>5460.8205599999992</v>
      </c>
      <c r="K956" s="93">
        <f>IFERROR(VLOOKUP(E956,'Inventaire des produits'!$B$4:$J$1000,5,FALSE),"")</f>
        <v>0</v>
      </c>
      <c r="L956" s="301">
        <f>IFERROR(VLOOKUP(E956,'Inventaire des produits'!$B$4:$J$1000,6,FALSE),"")</f>
        <v>0.13450000000000001</v>
      </c>
      <c r="M956" s="62"/>
    </row>
    <row r="957" spans="2:13" x14ac:dyDescent="0.3">
      <c r="B957" s="378" t="s">
        <v>1704</v>
      </c>
      <c r="C957" s="340">
        <v>45486</v>
      </c>
      <c r="D957" s="337" t="s">
        <v>1085</v>
      </c>
      <c r="E957" s="234" t="s">
        <v>206</v>
      </c>
      <c r="F957" s="271" t="str">
        <f>IFERROR(VLOOKUP(E957,'Inventaire des produits'!$B$4:$K$1000,2,0),"")</f>
        <v>ESSUIE MAIN 1KG LISSE</v>
      </c>
      <c r="G957" s="268">
        <v>16</v>
      </c>
      <c r="H957" s="90">
        <v>28.333333333333336</v>
      </c>
      <c r="I957" s="95">
        <f t="shared" si="28"/>
        <v>453.33333333333337</v>
      </c>
      <c r="J957" s="95">
        <f t="shared" si="29"/>
        <v>544</v>
      </c>
      <c r="K957" s="93">
        <f>IFERROR(VLOOKUP(E957,'Inventaire des produits'!$B$4:$J$1000,5,FALSE),"")</f>
        <v>0</v>
      </c>
      <c r="L957" s="301">
        <f>IFERROR(VLOOKUP(E957,'Inventaire des produits'!$B$4:$J$1000,6,FALSE),"")</f>
        <v>21.25</v>
      </c>
      <c r="M957" s="62">
        <v>11599.4</v>
      </c>
    </row>
    <row r="958" spans="2:13" x14ac:dyDescent="0.3">
      <c r="B958" s="378" t="s">
        <v>1704</v>
      </c>
      <c r="C958" s="341"/>
      <c r="D958" s="338"/>
      <c r="E958" s="234" t="s">
        <v>1040</v>
      </c>
      <c r="F958" s="271" t="str">
        <f>IFERROR(VLOOKUP(E958,'Inventaire des produits'!$B$4:$K$1000,2,0),"")</f>
        <v>FILM ALIMENTAIRE ELEGENCE</v>
      </c>
      <c r="G958" s="268">
        <v>21</v>
      </c>
      <c r="H958" s="90">
        <v>28.333333333333336</v>
      </c>
      <c r="I958" s="95">
        <f t="shared" si="28"/>
        <v>595</v>
      </c>
      <c r="J958" s="95">
        <f t="shared" si="29"/>
        <v>714</v>
      </c>
      <c r="K958" s="93">
        <f>IFERROR(VLOOKUP(E958,'Inventaire des produits'!$B$4:$J$1000,5,FALSE),"")</f>
        <v>0</v>
      </c>
      <c r="L958" s="301">
        <f>IFERROR(VLOOKUP(E958,'Inventaire des produits'!$B$4:$J$1000,6,FALSE),"")</f>
        <v>20</v>
      </c>
      <c r="M958" s="62"/>
    </row>
    <row r="959" spans="2:13" x14ac:dyDescent="0.3">
      <c r="B959" s="378" t="s">
        <v>1704</v>
      </c>
      <c r="C959" s="341"/>
      <c r="D959" s="338"/>
      <c r="E959" s="234" t="s">
        <v>722</v>
      </c>
      <c r="F959" s="271" t="str">
        <f>IFERROR(VLOOKUP(E959,'Inventaire des produits'!$B$4:$K$1000,2,0),"")</f>
        <v>GANT POLYETHLENE</v>
      </c>
      <c r="G959" s="269">
        <v>45</v>
      </c>
      <c r="H959" s="90">
        <v>5</v>
      </c>
      <c r="I959" s="95">
        <f t="shared" si="28"/>
        <v>225</v>
      </c>
      <c r="J959" s="95">
        <f t="shared" si="29"/>
        <v>270</v>
      </c>
      <c r="K959" s="93">
        <f>IFERROR(VLOOKUP(E959,'Inventaire des produits'!$B$4:$J$1000,5,FALSE),"")</f>
        <v>0</v>
      </c>
      <c r="L959" s="301">
        <f>IFERROR(VLOOKUP(E959,'Inventaire des produits'!$B$4:$J$1000,6,FALSE),"")</f>
        <v>2.8</v>
      </c>
      <c r="M959" s="62"/>
    </row>
    <row r="960" spans="2:13" x14ac:dyDescent="0.3">
      <c r="B960" s="378" t="s">
        <v>1704</v>
      </c>
      <c r="C960" s="341"/>
      <c r="D960" s="338"/>
      <c r="E960" s="234" t="s">
        <v>666</v>
      </c>
      <c r="F960" s="271" t="str">
        <f>IFERROR(VLOOKUP(E960,'Inventaire des produits'!$B$4:$K$1000,2,0),"")</f>
        <v>GANT VINYL EXTRA PREMIUM GLOVE MEDIUM</v>
      </c>
      <c r="G960" s="269">
        <v>15</v>
      </c>
      <c r="H960" s="90">
        <v>33.333333333299997</v>
      </c>
      <c r="I960" s="95">
        <f t="shared" si="28"/>
        <v>499.99999999949995</v>
      </c>
      <c r="J960" s="95">
        <f t="shared" si="29"/>
        <v>599.99999999939996</v>
      </c>
      <c r="K960" s="93">
        <f>IFERROR(VLOOKUP(E960,'Inventaire des produits'!$B$4:$J$1000,5,FALSE),"")</f>
        <v>0</v>
      </c>
      <c r="L960" s="301">
        <f>IFERROR(VLOOKUP(E960,'Inventaire des produits'!$B$4:$J$1000,6,FALSE),"")</f>
        <v>20</v>
      </c>
      <c r="M960" s="62"/>
    </row>
    <row r="961" spans="2:13" x14ac:dyDescent="0.3">
      <c r="B961" s="378" t="s">
        <v>1704</v>
      </c>
      <c r="C961" s="341"/>
      <c r="D961" s="338"/>
      <c r="E961" s="234" t="s">
        <v>773</v>
      </c>
      <c r="F961" s="271" t="str">
        <f>IFERROR(VLOOKUP(E961,'Inventaire des produits'!$B$4:$K$1000,2,0),"")</f>
        <v>ROULEAU ALUMINIUM GOLDEN 200M</v>
      </c>
      <c r="G961" s="269">
        <v>1</v>
      </c>
      <c r="H961" s="90">
        <v>70.833333333333343</v>
      </c>
      <c r="I961" s="95">
        <f t="shared" si="28"/>
        <v>70.833333333333343</v>
      </c>
      <c r="J961" s="95">
        <f t="shared" si="29"/>
        <v>85.000000000000014</v>
      </c>
      <c r="K961" s="93">
        <f>IFERROR(VLOOKUP(E961,'Inventaire des produits'!$B$4:$J$1000,5,FALSE),"")</f>
        <v>0</v>
      </c>
      <c r="L961" s="301">
        <f>IFERROR(VLOOKUP(E961,'Inventaire des produits'!$B$4:$J$1000,6,FALSE),"")</f>
        <v>58.333333332999999</v>
      </c>
      <c r="M961" s="62"/>
    </row>
    <row r="962" spans="2:13" ht="16.5" customHeight="1" x14ac:dyDescent="0.3">
      <c r="B962" s="378" t="s">
        <v>1704</v>
      </c>
      <c r="C962" s="341"/>
      <c r="D962" s="338"/>
      <c r="E962" s="234" t="s">
        <v>805</v>
      </c>
      <c r="F962" s="271" t="str">
        <f>IFERROR(VLOOKUP(E962,'Inventaire des produits'!$B$4:$K$1000,2,0),"")</f>
        <v>BARQUETTE ALUMINIUM 250</v>
      </c>
      <c r="G962" s="269">
        <v>800</v>
      </c>
      <c r="H962" s="90">
        <v>0.375</v>
      </c>
      <c r="I962" s="95">
        <f t="shared" si="28"/>
        <v>300</v>
      </c>
      <c r="J962" s="95">
        <f t="shared" si="29"/>
        <v>360</v>
      </c>
      <c r="K962" s="93">
        <f>IFERROR(VLOOKUP(E962,'Inventaire des produits'!$B$4:$J$1000,5,FALSE),"")</f>
        <v>0</v>
      </c>
      <c r="L962" s="301">
        <f>IFERROR(VLOOKUP(E962,'Inventaire des produits'!$B$4:$J$1000,6,FALSE),"")</f>
        <v>0.23333329999999999</v>
      </c>
      <c r="M962" s="62"/>
    </row>
    <row r="963" spans="2:13" x14ac:dyDescent="0.3">
      <c r="B963" s="378" t="s">
        <v>1704</v>
      </c>
      <c r="C963" s="341"/>
      <c r="D963" s="338"/>
      <c r="E963" s="244" t="s">
        <v>1149</v>
      </c>
      <c r="F963" s="271" t="str">
        <f>IFERROR(VLOOKUP(E963,'Inventaire des produits'!$B$4:$K$1000,2,0),"")</f>
        <v>ROULEAU DE CAISSE THERMIQUE 80X80</v>
      </c>
      <c r="G963" s="247">
        <v>75</v>
      </c>
      <c r="H963" s="79">
        <v>10.333333333333334</v>
      </c>
      <c r="I963" s="95">
        <f t="shared" si="28"/>
        <v>775</v>
      </c>
      <c r="J963" s="95">
        <f t="shared" si="29"/>
        <v>930</v>
      </c>
      <c r="K963" s="93">
        <f>IFERROR(VLOOKUP(E963,'Inventaire des produits'!$B$4:$J$1000,5,FALSE),"")</f>
        <v>253</v>
      </c>
      <c r="L963" s="301">
        <f>IFERROR(VLOOKUP(E963,'Inventaire des produits'!$B$4:$J$1000,6,FALSE),"")</f>
        <v>7.5</v>
      </c>
      <c r="M963" s="62"/>
    </row>
    <row r="964" spans="2:13" x14ac:dyDescent="0.3">
      <c r="B964" s="378" t="s">
        <v>1704</v>
      </c>
      <c r="C964" s="341"/>
      <c r="D964" s="338"/>
      <c r="E964" s="235" t="s">
        <v>1038</v>
      </c>
      <c r="F964" s="271" t="str">
        <f>IFERROR(VLOOKUP(E964,'Inventaire des produits'!$B$4:$K$1000,2,0),"")</f>
        <v>FOURCHETTE ECOLUXE NOIRE</v>
      </c>
      <c r="G964" s="247">
        <v>48</v>
      </c>
      <c r="H964" s="79">
        <v>19.1666666666667</v>
      </c>
      <c r="I964" s="95">
        <f t="shared" si="28"/>
        <v>920.00000000000159</v>
      </c>
      <c r="J964" s="95">
        <f t="shared" si="29"/>
        <v>1104.0000000000018</v>
      </c>
      <c r="K964" s="93">
        <f>IFERROR(VLOOKUP(E964,'Inventaire des produits'!$B$4:$J$1000,5,FALSE),"")</f>
        <v>0</v>
      </c>
      <c r="L964" s="301">
        <f>IFERROR(VLOOKUP(E964,'Inventaire des produits'!$B$4:$J$1000,6,FALSE),"")</f>
        <v>13.69</v>
      </c>
      <c r="M964" s="62"/>
    </row>
    <row r="965" spans="2:13" x14ac:dyDescent="0.3">
      <c r="B965" s="378" t="s">
        <v>1704</v>
      </c>
      <c r="C965" s="341"/>
      <c r="D965" s="338"/>
      <c r="E965" s="235" t="s">
        <v>869</v>
      </c>
      <c r="F965" s="271" t="str">
        <f>IFERROR(VLOOKUP(E965,'Inventaire des produits'!$B$4:$K$1000,2,0),"")</f>
        <v>PAILLE ENVELOPPEE CODE 100 TRANS</v>
      </c>
      <c r="G965" s="247">
        <v>20</v>
      </c>
      <c r="H965" s="79">
        <v>6.666666666666667</v>
      </c>
      <c r="I965" s="95">
        <f t="shared" ref="I965:I1028" si="30">IF(OR(G965="",H965=""),"",G965*H965)</f>
        <v>133.33333333333334</v>
      </c>
      <c r="J965" s="95">
        <f t="shared" ref="J965:J1028" si="31">IF(OR(I965=""),"",I965*1.2)</f>
        <v>160</v>
      </c>
      <c r="K965" s="93">
        <f>IFERROR(VLOOKUP(E965,'Inventaire des produits'!$B$4:$J$1000,5,FALSE),"")</f>
        <v>898</v>
      </c>
      <c r="L965" s="301">
        <f>IFERROR(VLOOKUP(E965,'Inventaire des produits'!$B$4:$J$1000,6,FALSE),"")</f>
        <v>3.9166666659999998</v>
      </c>
      <c r="M965" s="62"/>
    </row>
    <row r="966" spans="2:13" x14ac:dyDescent="0.3">
      <c r="B966" s="378" t="s">
        <v>1704</v>
      </c>
      <c r="C966" s="341"/>
      <c r="D966" s="338"/>
      <c r="E966" s="239" t="s">
        <v>553</v>
      </c>
      <c r="F966" s="271" t="str">
        <f>IFERROR(VLOOKUP(E966,'Inventaire des produits'!$B$4:$K$1000,2,0),"")</f>
        <v>FOURCHETTE ECOLUXE TRANSPARENTE</v>
      </c>
      <c r="G966" s="247">
        <v>9</v>
      </c>
      <c r="H966" s="79">
        <v>19.1666666666667</v>
      </c>
      <c r="I966" s="95">
        <f t="shared" si="30"/>
        <v>172.50000000000028</v>
      </c>
      <c r="J966" s="95">
        <f t="shared" si="31"/>
        <v>207.00000000000034</v>
      </c>
      <c r="K966" s="93">
        <f>IFERROR(VLOOKUP(E966,'Inventaire des produits'!$B$4:$J$1000,5,FALSE),"")</f>
        <v>0</v>
      </c>
      <c r="L966" s="301">
        <f>IFERROR(VLOOKUP(E966,'Inventaire des produits'!$B$4:$J$1000,6,FALSE),"")</f>
        <v>17.5</v>
      </c>
      <c r="M966" s="62"/>
    </row>
    <row r="967" spans="2:13" x14ac:dyDescent="0.3">
      <c r="B967" s="378" t="s">
        <v>1704</v>
      </c>
      <c r="C967" s="341"/>
      <c r="D967" s="338"/>
      <c r="E967" s="239" t="s">
        <v>737</v>
      </c>
      <c r="F967" s="271" t="str">
        <f>IFERROR(VLOOKUP(E967,'Inventaire des produits'!$B$4:$K$1000,2,0),"")</f>
        <v>BOUTEILLE PLASTIQUE TRANS 330ML AVEC BOUCHON</v>
      </c>
      <c r="G967" s="247">
        <v>204</v>
      </c>
      <c r="H967" s="79">
        <v>2</v>
      </c>
      <c r="I967" s="95">
        <f t="shared" si="30"/>
        <v>408</v>
      </c>
      <c r="J967" s="95">
        <f t="shared" si="31"/>
        <v>489.59999999999997</v>
      </c>
      <c r="K967" s="93">
        <f>IFERROR(VLOOKUP(E967,'Inventaire des produits'!$B$4:$J$1000,5,FALSE),"")</f>
        <v>0</v>
      </c>
      <c r="L967" s="301">
        <f>IFERROR(VLOOKUP(E967,'Inventaire des produits'!$B$4:$J$1000,6,FALSE),"")</f>
        <v>1.65</v>
      </c>
      <c r="M967" s="62"/>
    </row>
    <row r="968" spans="2:13" x14ac:dyDescent="0.3">
      <c r="B968" s="378" t="s">
        <v>1704</v>
      </c>
      <c r="C968" s="341"/>
      <c r="D968" s="338"/>
      <c r="E968" s="239" t="s">
        <v>1033</v>
      </c>
      <c r="F968" s="271" t="str">
        <f>IFERROR(VLOOKUP(E968,'Inventaire des produits'!$B$4:$K$1000,2,0),"")</f>
        <v>FILM ALIMENTAIRE 45CM 1,3KG PET</v>
      </c>
      <c r="G968" s="247">
        <v>15</v>
      </c>
      <c r="H968" s="79">
        <v>43.333333333333336</v>
      </c>
      <c r="I968" s="95">
        <f t="shared" si="30"/>
        <v>650</v>
      </c>
      <c r="J968" s="95">
        <f t="shared" si="31"/>
        <v>780</v>
      </c>
      <c r="K968" s="93">
        <f>IFERROR(VLOOKUP(E968,'Inventaire des produits'!$B$4:$J$1000,5,FALSE),"")</f>
        <v>3</v>
      </c>
      <c r="L968" s="301">
        <f>IFERROR(VLOOKUP(E968,'Inventaire des produits'!$B$4:$J$1000,6,FALSE),"")</f>
        <v>39.03</v>
      </c>
      <c r="M968" s="62"/>
    </row>
    <row r="969" spans="2:13" x14ac:dyDescent="0.3">
      <c r="B969" s="378" t="s">
        <v>1704</v>
      </c>
      <c r="C969" s="342"/>
      <c r="D969" s="339"/>
      <c r="E969" s="235" t="s">
        <v>619</v>
      </c>
      <c r="F969" s="271" t="str">
        <f>IFERROR(VLOOKUP(E969,'Inventaire des produits'!$B$4:$K$1000,2,0),"")</f>
        <v>POT DE SAUCE 1OZ 30ML HP</v>
      </c>
      <c r="G969" s="247">
        <v>25500</v>
      </c>
      <c r="H969" s="79">
        <v>0.1750263</v>
      </c>
      <c r="I969" s="95">
        <f t="shared" si="30"/>
        <v>4463.17065</v>
      </c>
      <c r="J969" s="95">
        <f t="shared" si="31"/>
        <v>5355.8047799999995</v>
      </c>
      <c r="K969" s="93">
        <f>IFERROR(VLOOKUP(E969,'Inventaire des produits'!$B$4:$J$1000,5,FALSE),"")</f>
        <v>0</v>
      </c>
      <c r="L969" s="301">
        <f>IFERROR(VLOOKUP(E969,'Inventaire des produits'!$B$4:$J$1000,6,FALSE),"")</f>
        <v>0.13450000000000001</v>
      </c>
      <c r="M969" s="62"/>
    </row>
    <row r="970" spans="2:13" x14ac:dyDescent="0.3">
      <c r="B970" s="378" t="s">
        <v>1704</v>
      </c>
      <c r="C970" s="340">
        <v>45486</v>
      </c>
      <c r="D970" s="337" t="s">
        <v>1086</v>
      </c>
      <c r="E970" s="235" t="s">
        <v>206</v>
      </c>
      <c r="F970" s="271" t="str">
        <f>IFERROR(VLOOKUP(E970,'Inventaire des produits'!$B$4:$K$1000,2,0),"")</f>
        <v>ESSUIE MAIN 1KG LISSE</v>
      </c>
      <c r="G970" s="247">
        <v>16</v>
      </c>
      <c r="H970" s="79">
        <v>28.333333333333336</v>
      </c>
      <c r="I970" s="95">
        <f t="shared" si="30"/>
        <v>453.33333333333337</v>
      </c>
      <c r="J970" s="95">
        <f t="shared" si="31"/>
        <v>544</v>
      </c>
      <c r="K970" s="93">
        <f>IFERROR(VLOOKUP(E970,'Inventaire des produits'!$B$4:$J$1000,5,FALSE),"")</f>
        <v>0</v>
      </c>
      <c r="L970" s="301">
        <f>IFERROR(VLOOKUP(E970,'Inventaire des produits'!$B$4:$J$1000,6,FALSE),"")</f>
        <v>21.25</v>
      </c>
      <c r="M970" s="62">
        <v>10818.824301999481</v>
      </c>
    </row>
    <row r="971" spans="2:13" x14ac:dyDescent="0.3">
      <c r="B971" s="378" t="s">
        <v>1704</v>
      </c>
      <c r="C971" s="341"/>
      <c r="D971" s="338"/>
      <c r="E971" s="235" t="s">
        <v>1040</v>
      </c>
      <c r="F971" s="271" t="str">
        <f>IFERROR(VLOOKUP(E971,'Inventaire des produits'!$B$4:$K$1000,2,0),"")</f>
        <v>FILM ALIMENTAIRE ELEGENCE</v>
      </c>
      <c r="G971" s="247">
        <v>21</v>
      </c>
      <c r="H971" s="79">
        <v>28.333333333333336</v>
      </c>
      <c r="I971" s="95">
        <f t="shared" si="30"/>
        <v>595</v>
      </c>
      <c r="J971" s="95">
        <f t="shared" si="31"/>
        <v>714</v>
      </c>
      <c r="K971" s="93">
        <f>IFERROR(VLOOKUP(E971,'Inventaire des produits'!$B$4:$J$1000,5,FALSE),"")</f>
        <v>0</v>
      </c>
      <c r="L971" s="301">
        <f>IFERROR(VLOOKUP(E971,'Inventaire des produits'!$B$4:$J$1000,6,FALSE),"")</f>
        <v>20</v>
      </c>
      <c r="M971" s="62"/>
    </row>
    <row r="972" spans="2:13" x14ac:dyDescent="0.3">
      <c r="B972" s="378" t="s">
        <v>1704</v>
      </c>
      <c r="C972" s="341"/>
      <c r="D972" s="338"/>
      <c r="E972" s="239" t="s">
        <v>722</v>
      </c>
      <c r="F972" s="271" t="str">
        <f>IFERROR(VLOOKUP(E972,'Inventaire des produits'!$B$4:$K$1000,2,0),"")</f>
        <v>GANT POLYETHLENE</v>
      </c>
      <c r="G972" s="247">
        <v>50</v>
      </c>
      <c r="H972" s="79">
        <v>5</v>
      </c>
      <c r="I972" s="95">
        <f t="shared" si="30"/>
        <v>250</v>
      </c>
      <c r="J972" s="95">
        <f t="shared" si="31"/>
        <v>300</v>
      </c>
      <c r="K972" s="93">
        <f>IFERROR(VLOOKUP(E972,'Inventaire des produits'!$B$4:$J$1000,5,FALSE),"")</f>
        <v>0</v>
      </c>
      <c r="L972" s="301">
        <f>IFERROR(VLOOKUP(E972,'Inventaire des produits'!$B$4:$J$1000,6,FALSE),"")</f>
        <v>2.8</v>
      </c>
      <c r="M972" s="62"/>
    </row>
    <row r="973" spans="2:13" x14ac:dyDescent="0.3">
      <c r="B973" s="378" t="s">
        <v>1704</v>
      </c>
      <c r="C973" s="341"/>
      <c r="D973" s="338"/>
      <c r="E973" s="239" t="s">
        <v>666</v>
      </c>
      <c r="F973" s="271" t="str">
        <f>IFERROR(VLOOKUP(E973,'Inventaire des produits'!$B$4:$K$1000,2,0),"")</f>
        <v>GANT VINYL EXTRA PREMIUM GLOVE MEDIUM</v>
      </c>
      <c r="G973" s="247">
        <v>13</v>
      </c>
      <c r="H973" s="79">
        <v>33.333333333299997</v>
      </c>
      <c r="I973" s="95">
        <f t="shared" si="30"/>
        <v>433.33333333289994</v>
      </c>
      <c r="J973" s="95">
        <f t="shared" si="31"/>
        <v>519.99999999947988</v>
      </c>
      <c r="K973" s="93">
        <f>IFERROR(VLOOKUP(E973,'Inventaire des produits'!$B$4:$J$1000,5,FALSE),"")</f>
        <v>0</v>
      </c>
      <c r="L973" s="301">
        <f>IFERROR(VLOOKUP(E973,'Inventaire des produits'!$B$4:$J$1000,6,FALSE),"")</f>
        <v>20</v>
      </c>
      <c r="M973" s="62"/>
    </row>
    <row r="974" spans="2:13" x14ac:dyDescent="0.3">
      <c r="B974" s="378" t="s">
        <v>1704</v>
      </c>
      <c r="C974" s="341"/>
      <c r="D974" s="338"/>
      <c r="E974" s="235" t="s">
        <v>773</v>
      </c>
      <c r="F974" s="271" t="str">
        <f>IFERROR(VLOOKUP(E974,'Inventaire des produits'!$B$4:$K$1000,2,0),"")</f>
        <v>ROULEAU ALUMINIUM GOLDEN 200M</v>
      </c>
      <c r="G974" s="247">
        <v>1</v>
      </c>
      <c r="H974" s="79">
        <v>70.833333333333343</v>
      </c>
      <c r="I974" s="95">
        <f t="shared" si="30"/>
        <v>70.833333333333343</v>
      </c>
      <c r="J974" s="95">
        <f t="shared" si="31"/>
        <v>85.000000000000014</v>
      </c>
      <c r="K974" s="93">
        <f>IFERROR(VLOOKUP(E974,'Inventaire des produits'!$B$4:$J$1000,5,FALSE),"")</f>
        <v>0</v>
      </c>
      <c r="L974" s="301">
        <f>IFERROR(VLOOKUP(E974,'Inventaire des produits'!$B$4:$J$1000,6,FALSE),"")</f>
        <v>58.333333332999999</v>
      </c>
      <c r="M974" s="62"/>
    </row>
    <row r="975" spans="2:13" x14ac:dyDescent="0.3">
      <c r="B975" s="378" t="s">
        <v>1704</v>
      </c>
      <c r="C975" s="341"/>
      <c r="D975" s="338"/>
      <c r="E975" s="235" t="s">
        <v>805</v>
      </c>
      <c r="F975" s="271" t="str">
        <f>IFERROR(VLOOKUP(E975,'Inventaire des produits'!$B$4:$K$1000,2,0),"")</f>
        <v>BARQUETTE ALUMINIUM 250</v>
      </c>
      <c r="G975" s="247">
        <v>900</v>
      </c>
      <c r="H975" s="79">
        <v>0.375</v>
      </c>
      <c r="I975" s="95">
        <f t="shared" si="30"/>
        <v>337.5</v>
      </c>
      <c r="J975" s="95">
        <f t="shared" si="31"/>
        <v>405</v>
      </c>
      <c r="K975" s="93">
        <f>IFERROR(VLOOKUP(E975,'Inventaire des produits'!$B$4:$J$1000,5,FALSE),"")</f>
        <v>0</v>
      </c>
      <c r="L975" s="301">
        <f>IFERROR(VLOOKUP(E975,'Inventaire des produits'!$B$4:$J$1000,6,FALSE),"")</f>
        <v>0.23333329999999999</v>
      </c>
      <c r="M975" s="62"/>
    </row>
    <row r="976" spans="2:13" x14ac:dyDescent="0.3">
      <c r="B976" s="378" t="s">
        <v>1704</v>
      </c>
      <c r="C976" s="341"/>
      <c r="D976" s="338"/>
      <c r="E976" s="240" t="s">
        <v>1149</v>
      </c>
      <c r="F976" s="271" t="str">
        <f>IFERROR(VLOOKUP(E976,'Inventaire des produits'!$B$4:$K$1000,2,0),"")</f>
        <v>ROULEAU DE CAISSE THERMIQUE 80X80</v>
      </c>
      <c r="G976" s="247">
        <v>80</v>
      </c>
      <c r="H976" s="79">
        <v>10.333333333333334</v>
      </c>
      <c r="I976" s="95">
        <f t="shared" si="30"/>
        <v>826.66666666666674</v>
      </c>
      <c r="J976" s="95">
        <f t="shared" si="31"/>
        <v>992</v>
      </c>
      <c r="K976" s="93">
        <f>IFERROR(VLOOKUP(E976,'Inventaire des produits'!$B$4:$J$1000,5,FALSE),"")</f>
        <v>253</v>
      </c>
      <c r="L976" s="301">
        <f>IFERROR(VLOOKUP(E976,'Inventaire des produits'!$B$4:$J$1000,6,FALSE),"")</f>
        <v>7.5</v>
      </c>
      <c r="M976" s="62"/>
    </row>
    <row r="977" spans="2:13" x14ac:dyDescent="0.3">
      <c r="B977" s="378" t="s">
        <v>1704</v>
      </c>
      <c r="C977" s="341"/>
      <c r="D977" s="338"/>
      <c r="E977" s="235" t="s">
        <v>1038</v>
      </c>
      <c r="F977" s="271" t="str">
        <f>IFERROR(VLOOKUP(E977,'Inventaire des produits'!$B$4:$K$1000,2,0),"")</f>
        <v>FOURCHETTE ECOLUXE NOIRE</v>
      </c>
      <c r="G977" s="247">
        <v>42</v>
      </c>
      <c r="H977" s="79">
        <v>19.1666666666667</v>
      </c>
      <c r="I977" s="95">
        <f t="shared" si="30"/>
        <v>805.00000000000136</v>
      </c>
      <c r="J977" s="95">
        <f t="shared" si="31"/>
        <v>966.00000000000159</v>
      </c>
      <c r="K977" s="93">
        <f>IFERROR(VLOOKUP(E977,'Inventaire des produits'!$B$4:$J$1000,5,FALSE),"")</f>
        <v>0</v>
      </c>
      <c r="L977" s="301">
        <f>IFERROR(VLOOKUP(E977,'Inventaire des produits'!$B$4:$J$1000,6,FALSE),"")</f>
        <v>13.69</v>
      </c>
      <c r="M977" s="62"/>
    </row>
    <row r="978" spans="2:13" x14ac:dyDescent="0.3">
      <c r="B978" s="378" t="s">
        <v>1704</v>
      </c>
      <c r="C978" s="341"/>
      <c r="D978" s="338"/>
      <c r="E978" s="235" t="s">
        <v>869</v>
      </c>
      <c r="F978" s="271" t="str">
        <f>IFERROR(VLOOKUP(E978,'Inventaire des produits'!$B$4:$K$1000,2,0),"")</f>
        <v>PAILLE ENVELOPPEE CODE 100 TRANS</v>
      </c>
      <c r="G978" s="247">
        <v>19</v>
      </c>
      <c r="H978" s="79">
        <v>6.666666666666667</v>
      </c>
      <c r="I978" s="95">
        <f t="shared" si="30"/>
        <v>126.66666666666667</v>
      </c>
      <c r="J978" s="95">
        <f t="shared" si="31"/>
        <v>152</v>
      </c>
      <c r="K978" s="93">
        <f>IFERROR(VLOOKUP(E978,'Inventaire des produits'!$B$4:$J$1000,5,FALSE),"")</f>
        <v>898</v>
      </c>
      <c r="L978" s="301">
        <f>IFERROR(VLOOKUP(E978,'Inventaire des produits'!$B$4:$J$1000,6,FALSE),"")</f>
        <v>3.9166666659999998</v>
      </c>
      <c r="M978" s="62"/>
    </row>
    <row r="979" spans="2:13" x14ac:dyDescent="0.3">
      <c r="B979" s="378" t="s">
        <v>1704</v>
      </c>
      <c r="C979" s="341"/>
      <c r="D979" s="338"/>
      <c r="E979" s="235" t="s">
        <v>553</v>
      </c>
      <c r="F979" s="271" t="str">
        <f>IFERROR(VLOOKUP(E979,'Inventaire des produits'!$B$4:$K$1000,2,0),"")</f>
        <v>FOURCHETTE ECOLUXE TRANSPARENTE</v>
      </c>
      <c r="G979" s="247">
        <v>9</v>
      </c>
      <c r="H979" s="79">
        <v>19.1666666666667</v>
      </c>
      <c r="I979" s="95">
        <f t="shared" si="30"/>
        <v>172.50000000000028</v>
      </c>
      <c r="J979" s="95">
        <f t="shared" si="31"/>
        <v>207.00000000000034</v>
      </c>
      <c r="K979" s="93">
        <f>IFERROR(VLOOKUP(E979,'Inventaire des produits'!$B$4:$J$1000,5,FALSE),"")</f>
        <v>0</v>
      </c>
      <c r="L979" s="301">
        <f>IFERROR(VLOOKUP(E979,'Inventaire des produits'!$B$4:$J$1000,6,FALSE),"")</f>
        <v>17.5</v>
      </c>
      <c r="M979" s="62"/>
    </row>
    <row r="980" spans="2:13" x14ac:dyDescent="0.3">
      <c r="B980" s="378" t="s">
        <v>1704</v>
      </c>
      <c r="C980" s="341"/>
      <c r="D980" s="338"/>
      <c r="E980" s="235" t="s">
        <v>737</v>
      </c>
      <c r="F980" s="271" t="str">
        <f>IFERROR(VLOOKUP(E980,'Inventaire des produits'!$B$4:$K$1000,2,0),"")</f>
        <v>BOUTEILLE PLASTIQUE TRANS 330ML AVEC BOUCHON</v>
      </c>
      <c r="G980" s="247">
        <v>204</v>
      </c>
      <c r="H980" s="79">
        <v>2</v>
      </c>
      <c r="I980" s="95">
        <f t="shared" si="30"/>
        <v>408</v>
      </c>
      <c r="J980" s="95">
        <f t="shared" si="31"/>
        <v>489.59999999999997</v>
      </c>
      <c r="K980" s="93">
        <f>IFERROR(VLOOKUP(E980,'Inventaire des produits'!$B$4:$J$1000,5,FALSE),"")</f>
        <v>0</v>
      </c>
      <c r="L980" s="301">
        <f>IFERROR(VLOOKUP(E980,'Inventaire des produits'!$B$4:$J$1000,6,FALSE),"")</f>
        <v>1.65</v>
      </c>
      <c r="M980" s="62"/>
    </row>
    <row r="981" spans="2:13" x14ac:dyDescent="0.3">
      <c r="B981" s="378" t="s">
        <v>1704</v>
      </c>
      <c r="C981" s="341"/>
      <c r="D981" s="338"/>
      <c r="E981" s="235" t="s">
        <v>1033</v>
      </c>
      <c r="F981" s="271" t="str">
        <f>IFERROR(VLOOKUP(E981,'Inventaire des produits'!$B$4:$K$1000,2,0),"")</f>
        <v>FILM ALIMENTAIRE 45CM 1,3KG PET</v>
      </c>
      <c r="G981" s="247">
        <v>12</v>
      </c>
      <c r="H981" s="79">
        <v>43.333333333333336</v>
      </c>
      <c r="I981" s="95">
        <f t="shared" si="30"/>
        <v>520</v>
      </c>
      <c r="J981" s="95">
        <f t="shared" si="31"/>
        <v>624</v>
      </c>
      <c r="K981" s="93">
        <f>IFERROR(VLOOKUP(E981,'Inventaire des produits'!$B$4:$J$1000,5,FALSE),"")</f>
        <v>3</v>
      </c>
      <c r="L981" s="301">
        <f>IFERROR(VLOOKUP(E981,'Inventaire des produits'!$B$4:$J$1000,6,FALSE),"")</f>
        <v>39.03</v>
      </c>
      <c r="M981" s="62"/>
    </row>
    <row r="982" spans="2:13" x14ac:dyDescent="0.3">
      <c r="B982" s="378" t="s">
        <v>1704</v>
      </c>
      <c r="C982" s="342"/>
      <c r="D982" s="339"/>
      <c r="E982" s="235" t="s">
        <v>619</v>
      </c>
      <c r="F982" s="271" t="str">
        <f>IFERROR(VLOOKUP(E982,'Inventaire des produits'!$B$4:$K$1000,2,0),"")</f>
        <v>POT DE SAUCE 1OZ 30ML HP</v>
      </c>
      <c r="G982" s="247">
        <v>22950</v>
      </c>
      <c r="H982" s="79">
        <v>0.1750263</v>
      </c>
      <c r="I982" s="95">
        <f t="shared" si="30"/>
        <v>4016.8535849999998</v>
      </c>
      <c r="J982" s="95">
        <f t="shared" si="31"/>
        <v>4820.2243019999996</v>
      </c>
      <c r="K982" s="93">
        <f>IFERROR(VLOOKUP(E982,'Inventaire des produits'!$B$4:$J$1000,5,FALSE),"")</f>
        <v>0</v>
      </c>
      <c r="L982" s="301">
        <f>IFERROR(VLOOKUP(E982,'Inventaire des produits'!$B$4:$J$1000,6,FALSE),"")</f>
        <v>0.13450000000000001</v>
      </c>
      <c r="M982" s="62"/>
    </row>
    <row r="983" spans="2:13" x14ac:dyDescent="0.3">
      <c r="B983" s="378" t="s">
        <v>1704</v>
      </c>
      <c r="C983" s="340">
        <v>45486</v>
      </c>
      <c r="D983" s="337" t="s">
        <v>1087</v>
      </c>
      <c r="E983" s="235" t="s">
        <v>206</v>
      </c>
      <c r="F983" s="271" t="str">
        <f>IFERROR(VLOOKUP(E983,'Inventaire des produits'!$B$4:$K$1000,2,0),"")</f>
        <v>ESSUIE MAIN 1KG LISSE</v>
      </c>
      <c r="G983" s="247">
        <v>15</v>
      </c>
      <c r="H983" s="79">
        <v>28.333333333333336</v>
      </c>
      <c r="I983" s="95">
        <f t="shared" si="30"/>
        <v>425.00000000000006</v>
      </c>
      <c r="J983" s="95">
        <f t="shared" si="31"/>
        <v>510.00000000000006</v>
      </c>
      <c r="K983" s="93">
        <f>IFERROR(VLOOKUP(E983,'Inventaire des produits'!$B$4:$J$1000,5,FALSE),"")</f>
        <v>0</v>
      </c>
      <c r="L983" s="301">
        <f>IFERROR(VLOOKUP(E983,'Inventaire des produits'!$B$4:$J$1000,6,FALSE),"")</f>
        <v>21.25</v>
      </c>
      <c r="M983" s="62">
        <v>10529.824301999441</v>
      </c>
    </row>
    <row r="984" spans="2:13" x14ac:dyDescent="0.3">
      <c r="B984" s="378" t="s">
        <v>1704</v>
      </c>
      <c r="C984" s="341"/>
      <c r="D984" s="338"/>
      <c r="E984" s="235" t="s">
        <v>1040</v>
      </c>
      <c r="F984" s="271" t="str">
        <f>IFERROR(VLOOKUP(E984,'Inventaire des produits'!$B$4:$K$1000,2,0),"")</f>
        <v>FILM ALIMENTAIRE ELEGENCE</v>
      </c>
      <c r="G984" s="247">
        <v>21</v>
      </c>
      <c r="H984" s="79">
        <v>28.333333333333336</v>
      </c>
      <c r="I984" s="95">
        <f t="shared" si="30"/>
        <v>595</v>
      </c>
      <c r="J984" s="95">
        <f t="shared" si="31"/>
        <v>714</v>
      </c>
      <c r="K984" s="93">
        <f>IFERROR(VLOOKUP(E984,'Inventaire des produits'!$B$4:$J$1000,5,FALSE),"")</f>
        <v>0</v>
      </c>
      <c r="L984" s="301">
        <f>IFERROR(VLOOKUP(E984,'Inventaire des produits'!$B$4:$J$1000,6,FALSE),"")</f>
        <v>20</v>
      </c>
      <c r="M984" s="62"/>
    </row>
    <row r="985" spans="2:13" x14ac:dyDescent="0.3">
      <c r="B985" s="378" t="s">
        <v>1704</v>
      </c>
      <c r="C985" s="341"/>
      <c r="D985" s="338"/>
      <c r="E985" s="235" t="s">
        <v>722</v>
      </c>
      <c r="F985" s="271" t="str">
        <f>IFERROR(VLOOKUP(E985,'Inventaire des produits'!$B$4:$K$1000,2,0),"")</f>
        <v>GANT POLYETHLENE</v>
      </c>
      <c r="G985" s="247">
        <v>40</v>
      </c>
      <c r="H985" s="79">
        <v>5</v>
      </c>
      <c r="I985" s="95">
        <f t="shared" si="30"/>
        <v>200</v>
      </c>
      <c r="J985" s="95">
        <f t="shared" si="31"/>
        <v>240</v>
      </c>
      <c r="K985" s="93">
        <f>IFERROR(VLOOKUP(E985,'Inventaire des produits'!$B$4:$J$1000,5,FALSE),"")</f>
        <v>0</v>
      </c>
      <c r="L985" s="301">
        <f>IFERROR(VLOOKUP(E985,'Inventaire des produits'!$B$4:$J$1000,6,FALSE),"")</f>
        <v>2.8</v>
      </c>
      <c r="M985" s="62"/>
    </row>
    <row r="986" spans="2:13" x14ac:dyDescent="0.3">
      <c r="B986" s="378" t="s">
        <v>1704</v>
      </c>
      <c r="C986" s="341"/>
      <c r="D986" s="338"/>
      <c r="E986" s="235" t="s">
        <v>666</v>
      </c>
      <c r="F986" s="271" t="str">
        <f>IFERROR(VLOOKUP(E986,'Inventaire des produits'!$B$4:$K$1000,2,0),"")</f>
        <v>GANT VINYL EXTRA PREMIUM GLOVE MEDIUM</v>
      </c>
      <c r="G986" s="247">
        <v>14</v>
      </c>
      <c r="H986" s="79">
        <v>33.333333333299997</v>
      </c>
      <c r="I986" s="95">
        <f t="shared" si="30"/>
        <v>466.66666666619994</v>
      </c>
      <c r="J986" s="95">
        <f t="shared" si="31"/>
        <v>559.99999999943986</v>
      </c>
      <c r="K986" s="93">
        <f>IFERROR(VLOOKUP(E986,'Inventaire des produits'!$B$4:$J$1000,5,FALSE),"")</f>
        <v>0</v>
      </c>
      <c r="L986" s="301">
        <f>IFERROR(VLOOKUP(E986,'Inventaire des produits'!$B$4:$J$1000,6,FALSE),"")</f>
        <v>20</v>
      </c>
      <c r="M986" s="62"/>
    </row>
    <row r="987" spans="2:13" x14ac:dyDescent="0.3">
      <c r="B987" s="378" t="s">
        <v>1704</v>
      </c>
      <c r="C987" s="341"/>
      <c r="D987" s="338"/>
      <c r="E987" s="235" t="s">
        <v>619</v>
      </c>
      <c r="F987" s="271" t="str">
        <f>IFERROR(VLOOKUP(E987,'Inventaire des produits'!$B$4:$K$1000,2,0),"")</f>
        <v>POT DE SAUCE 1OZ 30ML HP</v>
      </c>
      <c r="G987" s="247">
        <v>22950</v>
      </c>
      <c r="H987" s="79">
        <v>0.1750263</v>
      </c>
      <c r="I987" s="95">
        <f t="shared" si="30"/>
        <v>4016.8535849999998</v>
      </c>
      <c r="J987" s="95">
        <f t="shared" si="31"/>
        <v>4820.2243019999996</v>
      </c>
      <c r="K987" s="93">
        <f>IFERROR(VLOOKUP(E987,'Inventaire des produits'!$B$4:$J$1000,5,FALSE),"")</f>
        <v>0</v>
      </c>
      <c r="L987" s="301">
        <f>IFERROR(VLOOKUP(E987,'Inventaire des produits'!$B$4:$J$1000,6,FALSE),"")</f>
        <v>0.13450000000000001</v>
      </c>
      <c r="M987" s="62"/>
    </row>
    <row r="988" spans="2:13" x14ac:dyDescent="0.3">
      <c r="B988" s="378" t="s">
        <v>1704</v>
      </c>
      <c r="C988" s="341"/>
      <c r="D988" s="338"/>
      <c r="E988" s="235" t="s">
        <v>805</v>
      </c>
      <c r="F988" s="271" t="str">
        <f>IFERROR(VLOOKUP(E988,'Inventaire des produits'!$B$4:$K$1000,2,0),"")</f>
        <v>BARQUETTE ALUMINIUM 250</v>
      </c>
      <c r="G988" s="247">
        <v>700</v>
      </c>
      <c r="H988" s="79">
        <v>0.375</v>
      </c>
      <c r="I988" s="95">
        <f t="shared" si="30"/>
        <v>262.5</v>
      </c>
      <c r="J988" s="95">
        <f t="shared" si="31"/>
        <v>315</v>
      </c>
      <c r="K988" s="93">
        <f>IFERROR(VLOOKUP(E988,'Inventaire des produits'!$B$4:$J$1000,5,FALSE),"")</f>
        <v>0</v>
      </c>
      <c r="L988" s="301">
        <f>IFERROR(VLOOKUP(E988,'Inventaire des produits'!$B$4:$J$1000,6,FALSE),"")</f>
        <v>0.23333329999999999</v>
      </c>
      <c r="M988" s="62"/>
    </row>
    <row r="989" spans="2:13" x14ac:dyDescent="0.3">
      <c r="B989" s="378" t="s">
        <v>1704</v>
      </c>
      <c r="C989" s="341"/>
      <c r="D989" s="338"/>
      <c r="E989" s="240" t="s">
        <v>1149</v>
      </c>
      <c r="F989" s="271" t="str">
        <f>IFERROR(VLOOKUP(E989,'Inventaire des produits'!$B$4:$K$1000,2,0),"")</f>
        <v>ROULEAU DE CAISSE THERMIQUE 80X80</v>
      </c>
      <c r="G989" s="247">
        <v>80</v>
      </c>
      <c r="H989" s="79">
        <v>10.333333333333334</v>
      </c>
      <c r="I989" s="95">
        <f t="shared" si="30"/>
        <v>826.66666666666674</v>
      </c>
      <c r="J989" s="95">
        <f t="shared" si="31"/>
        <v>992</v>
      </c>
      <c r="K989" s="93">
        <f>IFERROR(VLOOKUP(E989,'Inventaire des produits'!$B$4:$J$1000,5,FALSE),"")</f>
        <v>253</v>
      </c>
      <c r="L989" s="301">
        <f>IFERROR(VLOOKUP(E989,'Inventaire des produits'!$B$4:$J$1000,6,FALSE),"")</f>
        <v>7.5</v>
      </c>
      <c r="M989" s="62"/>
    </row>
    <row r="990" spans="2:13" x14ac:dyDescent="0.3">
      <c r="B990" s="378" t="s">
        <v>1704</v>
      </c>
      <c r="C990" s="341"/>
      <c r="D990" s="338"/>
      <c r="E990" s="235" t="s">
        <v>1038</v>
      </c>
      <c r="F990" s="271" t="str">
        <f>IFERROR(VLOOKUP(E990,'Inventaire des produits'!$B$4:$K$1000,2,0),"")</f>
        <v>FOURCHETTE ECOLUXE NOIRE</v>
      </c>
      <c r="G990" s="247">
        <v>42</v>
      </c>
      <c r="H990" s="79">
        <v>19.1666666666667</v>
      </c>
      <c r="I990" s="95">
        <f t="shared" si="30"/>
        <v>805.00000000000136</v>
      </c>
      <c r="J990" s="95">
        <f t="shared" si="31"/>
        <v>966.00000000000159</v>
      </c>
      <c r="K990" s="93">
        <f>IFERROR(VLOOKUP(E990,'Inventaire des produits'!$B$4:$J$1000,5,FALSE),"")</f>
        <v>0</v>
      </c>
      <c r="L990" s="301">
        <f>IFERROR(VLOOKUP(E990,'Inventaire des produits'!$B$4:$J$1000,6,FALSE),"")</f>
        <v>13.69</v>
      </c>
      <c r="M990" s="62"/>
    </row>
    <row r="991" spans="2:13" x14ac:dyDescent="0.3">
      <c r="B991" s="378" t="s">
        <v>1704</v>
      </c>
      <c r="C991" s="341"/>
      <c r="D991" s="338"/>
      <c r="E991" s="235" t="s">
        <v>869</v>
      </c>
      <c r="F991" s="271" t="str">
        <f>IFERROR(VLOOKUP(E991,'Inventaire des produits'!$B$4:$K$1000,2,0),"")</f>
        <v>PAILLE ENVELOPPEE CODE 100 TRANS</v>
      </c>
      <c r="G991" s="247">
        <v>18</v>
      </c>
      <c r="H991" s="79">
        <v>6.666666666666667</v>
      </c>
      <c r="I991" s="95">
        <f t="shared" si="30"/>
        <v>120</v>
      </c>
      <c r="J991" s="95">
        <f t="shared" si="31"/>
        <v>144</v>
      </c>
      <c r="K991" s="93">
        <f>IFERROR(VLOOKUP(E991,'Inventaire des produits'!$B$4:$J$1000,5,FALSE),"")</f>
        <v>898</v>
      </c>
      <c r="L991" s="301">
        <f>IFERROR(VLOOKUP(E991,'Inventaire des produits'!$B$4:$J$1000,6,FALSE),"")</f>
        <v>3.9166666659999998</v>
      </c>
      <c r="M991" s="62"/>
    </row>
    <row r="992" spans="2:13" x14ac:dyDescent="0.3">
      <c r="B992" s="378" t="s">
        <v>1704</v>
      </c>
      <c r="C992" s="341"/>
      <c r="D992" s="338"/>
      <c r="E992" s="235" t="s">
        <v>553</v>
      </c>
      <c r="F992" s="271" t="str">
        <f>IFERROR(VLOOKUP(E992,'Inventaire des produits'!$B$4:$K$1000,2,0),"")</f>
        <v>FOURCHETTE ECOLUXE TRANSPARENTE</v>
      </c>
      <c r="G992" s="247">
        <v>9</v>
      </c>
      <c r="H992" s="79">
        <v>19.1666666666667</v>
      </c>
      <c r="I992" s="95">
        <f t="shared" si="30"/>
        <v>172.50000000000028</v>
      </c>
      <c r="J992" s="95">
        <f t="shared" si="31"/>
        <v>207.00000000000034</v>
      </c>
      <c r="K992" s="93">
        <f>IFERROR(VLOOKUP(E992,'Inventaire des produits'!$B$4:$J$1000,5,FALSE),"")</f>
        <v>0</v>
      </c>
      <c r="L992" s="301">
        <f>IFERROR(VLOOKUP(E992,'Inventaire des produits'!$B$4:$J$1000,6,FALSE),"")</f>
        <v>17.5</v>
      </c>
      <c r="M992" s="62"/>
    </row>
    <row r="993" spans="2:13" x14ac:dyDescent="0.3">
      <c r="B993" s="378" t="s">
        <v>1704</v>
      </c>
      <c r="C993" s="341"/>
      <c r="D993" s="338"/>
      <c r="E993" s="235" t="s">
        <v>737</v>
      </c>
      <c r="F993" s="271" t="str">
        <f>IFERROR(VLOOKUP(E993,'Inventaire des produits'!$B$4:$K$1000,2,0),"")</f>
        <v>BOUTEILLE PLASTIQUE TRANS 330ML AVEC BOUCHON</v>
      </c>
      <c r="G993" s="247">
        <v>204</v>
      </c>
      <c r="H993" s="79">
        <v>2</v>
      </c>
      <c r="I993" s="95">
        <f t="shared" si="30"/>
        <v>408</v>
      </c>
      <c r="J993" s="95">
        <f t="shared" si="31"/>
        <v>489.59999999999997</v>
      </c>
      <c r="K993" s="93">
        <f>IFERROR(VLOOKUP(E993,'Inventaire des produits'!$B$4:$J$1000,5,FALSE),"")</f>
        <v>0</v>
      </c>
      <c r="L993" s="301">
        <f>IFERROR(VLOOKUP(E993,'Inventaire des produits'!$B$4:$J$1000,6,FALSE),"")</f>
        <v>1.65</v>
      </c>
      <c r="M993" s="62"/>
    </row>
    <row r="994" spans="2:13" x14ac:dyDescent="0.3">
      <c r="B994" s="378" t="s">
        <v>1704</v>
      </c>
      <c r="C994" s="342"/>
      <c r="D994" s="339"/>
      <c r="E994" s="235" t="s">
        <v>1033</v>
      </c>
      <c r="F994" s="271" t="str">
        <f>IFERROR(VLOOKUP(E994,'Inventaire des produits'!$B$4:$K$1000,2,0),"")</f>
        <v>FILM ALIMENTAIRE 45CM 1,3KG PET</v>
      </c>
      <c r="G994" s="247">
        <v>11</v>
      </c>
      <c r="H994" s="79">
        <v>43.333333333333336</v>
      </c>
      <c r="I994" s="95">
        <f t="shared" si="30"/>
        <v>476.66666666666669</v>
      </c>
      <c r="J994" s="95">
        <f t="shared" si="31"/>
        <v>572</v>
      </c>
      <c r="K994" s="93">
        <f>IFERROR(VLOOKUP(E994,'Inventaire des produits'!$B$4:$J$1000,5,FALSE),"")</f>
        <v>3</v>
      </c>
      <c r="L994" s="301">
        <f>IFERROR(VLOOKUP(E994,'Inventaire des produits'!$B$4:$J$1000,6,FALSE),"")</f>
        <v>39.03</v>
      </c>
      <c r="M994" s="62"/>
    </row>
    <row r="995" spans="2:13" x14ac:dyDescent="0.3">
      <c r="B995" s="378" t="s">
        <v>1704</v>
      </c>
      <c r="C995" s="340">
        <v>45486</v>
      </c>
      <c r="D995" s="337" t="s">
        <v>1088</v>
      </c>
      <c r="E995" s="235" t="s">
        <v>206</v>
      </c>
      <c r="F995" s="271" t="str">
        <f>IFERROR(VLOOKUP(E995,'Inventaire des produits'!$B$4:$K$1000,2,0),"")</f>
        <v>ESSUIE MAIN 1KG LISSE</v>
      </c>
      <c r="G995" s="247">
        <v>6</v>
      </c>
      <c r="H995" s="79">
        <v>28.332999999999998</v>
      </c>
      <c r="I995" s="95">
        <f t="shared" si="30"/>
        <v>169.99799999999999</v>
      </c>
      <c r="J995" s="95">
        <f t="shared" si="31"/>
        <v>203.99759999999998</v>
      </c>
      <c r="K995" s="93">
        <f>IFERROR(VLOOKUP(E995,'Inventaire des produits'!$B$4:$J$1000,5,FALSE),"")</f>
        <v>0</v>
      </c>
      <c r="L995" s="301">
        <f>IFERROR(VLOOKUP(E995,'Inventaire des produits'!$B$4:$J$1000,6,FALSE),"")</f>
        <v>21.25</v>
      </c>
      <c r="M995" s="62">
        <v>1504</v>
      </c>
    </row>
    <row r="996" spans="2:13" x14ac:dyDescent="0.3">
      <c r="B996" s="378" t="s">
        <v>1704</v>
      </c>
      <c r="C996" s="341"/>
      <c r="D996" s="338"/>
      <c r="E996" s="235" t="s">
        <v>1040</v>
      </c>
      <c r="F996" s="271" t="str">
        <f>IFERROR(VLOOKUP(E996,'Inventaire des produits'!$B$4:$K$1000,2,0),"")</f>
        <v>FILM ALIMENTAIRE ELEGENCE</v>
      </c>
      <c r="G996" s="247">
        <v>30</v>
      </c>
      <c r="H996" s="79">
        <v>28.332999999999998</v>
      </c>
      <c r="I996" s="95">
        <f t="shared" si="30"/>
        <v>849.99</v>
      </c>
      <c r="J996" s="95">
        <f t="shared" si="31"/>
        <v>1019.9879999999999</v>
      </c>
      <c r="K996" s="93">
        <f>IFERROR(VLOOKUP(E996,'Inventaire des produits'!$B$4:$J$1000,5,FALSE),"")</f>
        <v>0</v>
      </c>
      <c r="L996" s="301">
        <f>IFERROR(VLOOKUP(E996,'Inventaire des produits'!$B$4:$J$1000,6,FALSE),"")</f>
        <v>20</v>
      </c>
      <c r="M996" s="62"/>
    </row>
    <row r="997" spans="2:13" x14ac:dyDescent="0.3">
      <c r="B997" s="378" t="s">
        <v>1704</v>
      </c>
      <c r="C997" s="342"/>
      <c r="D997" s="339"/>
      <c r="E997" s="235" t="s">
        <v>666</v>
      </c>
      <c r="F997" s="271" t="str">
        <f>IFERROR(VLOOKUP(E997,'Inventaire des produits'!$B$4:$K$1000,2,0),"")</f>
        <v>GANT VINYL EXTRA PREMIUM GLOVE MEDIUM</v>
      </c>
      <c r="G997" s="247">
        <v>7</v>
      </c>
      <c r="H997" s="79">
        <v>33.335000000000001</v>
      </c>
      <c r="I997" s="95">
        <f t="shared" si="30"/>
        <v>233.345</v>
      </c>
      <c r="J997" s="95">
        <f t="shared" si="31"/>
        <v>280.01400000000001</v>
      </c>
      <c r="K997" s="93">
        <f>IFERROR(VLOOKUP(E997,'Inventaire des produits'!$B$4:$J$1000,5,FALSE),"")</f>
        <v>0</v>
      </c>
      <c r="L997" s="301">
        <f>IFERROR(VLOOKUP(E997,'Inventaire des produits'!$B$4:$J$1000,6,FALSE),"")</f>
        <v>20</v>
      </c>
      <c r="M997" s="62"/>
    </row>
    <row r="998" spans="2:13" x14ac:dyDescent="0.3">
      <c r="B998" s="378" t="s">
        <v>1704</v>
      </c>
      <c r="C998" s="340">
        <v>45488</v>
      </c>
      <c r="D998" s="337" t="s">
        <v>1094</v>
      </c>
      <c r="E998" s="235" t="s">
        <v>821</v>
      </c>
      <c r="F998" s="271" t="str">
        <f>IFERROR(VLOOKUP(E998,'Inventaire des produits'!$B$4:$K$1000,2,0),"")</f>
        <v>SAC PN BLANC NI 30*40*10</v>
      </c>
      <c r="G998" s="247">
        <v>4000</v>
      </c>
      <c r="H998" s="79">
        <v>0.50884499999999999</v>
      </c>
      <c r="I998" s="95">
        <f t="shared" si="30"/>
        <v>2035.3799999999999</v>
      </c>
      <c r="J998" s="95">
        <f t="shared" si="31"/>
        <v>2442.4559999999997</v>
      </c>
      <c r="K998" s="93">
        <f>IFERROR(VLOOKUP(E998,'Inventaire des produits'!$B$4:$J$1000,5,FALSE),"")</f>
        <v>0</v>
      </c>
      <c r="L998" s="301">
        <f>IFERROR(VLOOKUP(E998,'Inventaire des produits'!$B$4:$J$1000,6,FALSE),"")</f>
        <v>0.33333333329999998</v>
      </c>
      <c r="M998" s="62">
        <v>19000</v>
      </c>
    </row>
    <row r="999" spans="2:13" x14ac:dyDescent="0.3">
      <c r="B999" s="378" t="s">
        <v>1704</v>
      </c>
      <c r="C999" s="341"/>
      <c r="D999" s="338"/>
      <c r="E999" s="235" t="s">
        <v>829</v>
      </c>
      <c r="F999" s="271" t="str">
        <f>IFERROR(VLOOKUP(E999,'Inventaire des produits'!$B$4:$K$1000,2,0),"")</f>
        <v>SAC PN BLANC 40*45</v>
      </c>
      <c r="G999" s="247">
        <v>4000</v>
      </c>
      <c r="H999" s="79">
        <v>0.58740000000000003</v>
      </c>
      <c r="I999" s="95">
        <f t="shared" si="30"/>
        <v>2349.6</v>
      </c>
      <c r="J999" s="95">
        <f t="shared" si="31"/>
        <v>2819.52</v>
      </c>
      <c r="K999" s="93">
        <f>IFERROR(VLOOKUP(E999,'Inventaire des produits'!$B$4:$J$1000,5,FALSE),"")</f>
        <v>0</v>
      </c>
      <c r="L999" s="301">
        <f>IFERROR(VLOOKUP(E999,'Inventaire des produits'!$B$4:$J$1000,6,FALSE),"")</f>
        <v>0.45833333300000001</v>
      </c>
      <c r="M999" s="62"/>
    </row>
    <row r="1000" spans="2:13" x14ac:dyDescent="0.3">
      <c r="B1000" s="378" t="s">
        <v>1704</v>
      </c>
      <c r="C1000" s="341"/>
      <c r="D1000" s="338"/>
      <c r="E1000" s="235" t="s">
        <v>361</v>
      </c>
      <c r="F1000" s="271" t="str">
        <f>IFERROR(VLOOKUP(E1000,'Inventaire des produits'!$B$4:$K$1000,2,0),"")</f>
        <v>FILM ETIRABLE VIOLET 290mm kg</v>
      </c>
      <c r="G1000" s="247">
        <v>65.33</v>
      </c>
      <c r="H1000" s="79">
        <v>31</v>
      </c>
      <c r="I1000" s="95">
        <f t="shared" si="30"/>
        <v>2025.23</v>
      </c>
      <c r="J1000" s="95">
        <f t="shared" si="31"/>
        <v>2430.2759999999998</v>
      </c>
      <c r="K1000" s="93">
        <f>IFERROR(VLOOKUP(E1000,'Inventaire des produits'!$B$4:$J$1000,5,FALSE),"")</f>
        <v>0</v>
      </c>
      <c r="L1000" s="301">
        <f>IFERROR(VLOOKUP(E1000,'Inventaire des produits'!$B$4:$J$1000,6,FALSE),"")</f>
        <v>25</v>
      </c>
      <c r="M1000" s="62"/>
    </row>
    <row r="1001" spans="2:13" x14ac:dyDescent="0.3">
      <c r="B1001" s="378" t="s">
        <v>1704</v>
      </c>
      <c r="C1001" s="341"/>
      <c r="D1001" s="338"/>
      <c r="E1001" s="235" t="s">
        <v>760</v>
      </c>
      <c r="F1001" s="271" t="str">
        <f>IFERROR(VLOOKUP(E1001,'Inventaire des produits'!$B$4:$K$1000,2,0),"")</f>
        <v>BARQUETTE MICRON ONDABLE 2 COMP AVEC CVL</v>
      </c>
      <c r="G1001" s="247">
        <v>300</v>
      </c>
      <c r="H1001" s="79">
        <v>2.1419999999999999</v>
      </c>
      <c r="I1001" s="95">
        <f t="shared" si="30"/>
        <v>642.6</v>
      </c>
      <c r="J1001" s="95">
        <f t="shared" si="31"/>
        <v>771.12</v>
      </c>
      <c r="K1001" s="93">
        <f>IFERROR(VLOOKUP(E1001,'Inventaire des produits'!$B$4:$J$1000,5,FALSE),"")</f>
        <v>0</v>
      </c>
      <c r="L1001" s="301">
        <f>IFERROR(VLOOKUP(E1001,'Inventaire des produits'!$B$4:$J$1000,6,FALSE),"")</f>
        <v>1.5</v>
      </c>
      <c r="M1001" s="62"/>
    </row>
    <row r="1002" spans="2:13" x14ac:dyDescent="0.3">
      <c r="B1002" s="378" t="s">
        <v>1704</v>
      </c>
      <c r="C1002" s="341"/>
      <c r="D1002" s="338"/>
      <c r="E1002" s="235" t="s">
        <v>210</v>
      </c>
      <c r="F1002" s="271" t="str">
        <f>IFERROR(VLOOKUP(E1002,'Inventaire des produits'!$B$4:$K$1000,2,0),"")</f>
        <v>POT DE SAUCE 2OZ NOIRE</v>
      </c>
      <c r="G1002" s="247">
        <v>10550</v>
      </c>
      <c r="H1002" s="79">
        <v>0.17540500000000001</v>
      </c>
      <c r="I1002" s="95">
        <f t="shared" si="30"/>
        <v>1850.5227500000001</v>
      </c>
      <c r="J1002" s="95">
        <f t="shared" si="31"/>
        <v>2220.6273000000001</v>
      </c>
      <c r="K1002" s="93">
        <f>IFERROR(VLOOKUP(E1002,'Inventaire des produits'!$B$4:$J$1000,5,FALSE),"")</f>
        <v>0</v>
      </c>
      <c r="L1002" s="301">
        <f>IFERROR(VLOOKUP(E1002,'Inventaire des produits'!$B$4:$J$1000,6,FALSE),"")</f>
        <v>0.1512</v>
      </c>
      <c r="M1002" s="62"/>
    </row>
    <row r="1003" spans="2:13" x14ac:dyDescent="0.3">
      <c r="B1003" s="378" t="s">
        <v>1704</v>
      </c>
      <c r="C1003" s="341"/>
      <c r="D1003" s="338"/>
      <c r="E1003" s="235" t="s">
        <v>112</v>
      </c>
      <c r="F1003" s="271" t="str">
        <f>IFERROR(VLOOKUP(E1003,'Inventaire des produits'!$B$4:$K$1000,2,0),"")</f>
        <v>MOUCHOIR BISSU 550</v>
      </c>
      <c r="G1003" s="247">
        <v>67</v>
      </c>
      <c r="H1003" s="79">
        <v>7</v>
      </c>
      <c r="I1003" s="95">
        <f t="shared" si="30"/>
        <v>469</v>
      </c>
      <c r="J1003" s="95">
        <f t="shared" si="31"/>
        <v>562.79999999999995</v>
      </c>
      <c r="K1003" s="93">
        <f>IFERROR(VLOOKUP(E1003,'Inventaire des produits'!$B$4:$J$1000,5,FALSE),"")</f>
        <v>0</v>
      </c>
      <c r="L1003" s="301">
        <f>IFERROR(VLOOKUP(E1003,'Inventaire des produits'!$B$4:$J$1000,6,FALSE),"")</f>
        <v>6.8</v>
      </c>
      <c r="M1003" s="62"/>
    </row>
    <row r="1004" spans="2:13" x14ac:dyDescent="0.3">
      <c r="B1004" s="378" t="s">
        <v>1704</v>
      </c>
      <c r="C1004" s="341"/>
      <c r="D1004" s="338"/>
      <c r="E1004" s="235" t="s">
        <v>296</v>
      </c>
      <c r="F1004" s="271" t="str">
        <f>IFERROR(VLOOKUP(E1004,'Inventaire des produits'!$B$4:$K$1000,2,0),"")</f>
        <v>SALADIER ROND 1000</v>
      </c>
      <c r="G1004" s="247">
        <v>1300</v>
      </c>
      <c r="H1004" s="79">
        <v>0.92</v>
      </c>
      <c r="I1004" s="95">
        <f t="shared" si="30"/>
        <v>1196</v>
      </c>
      <c r="J1004" s="95">
        <f t="shared" si="31"/>
        <v>1435.2</v>
      </c>
      <c r="K1004" s="93">
        <f>IFERROR(VLOOKUP(E1004,'Inventaire des produits'!$B$4:$J$1000,5,FALSE),"")</f>
        <v>0</v>
      </c>
      <c r="L1004" s="301">
        <f>IFERROR(VLOOKUP(E1004,'Inventaire des produits'!$B$4:$J$1000,6,FALSE),"")</f>
        <v>0.78</v>
      </c>
      <c r="M1004" s="62"/>
    </row>
    <row r="1005" spans="2:13" x14ac:dyDescent="0.3">
      <c r="B1005" s="378" t="s">
        <v>1704</v>
      </c>
      <c r="C1005" s="342"/>
      <c r="D1005" s="339"/>
      <c r="E1005" s="235" t="s">
        <v>178</v>
      </c>
      <c r="F1005" s="271" t="str">
        <f>IFERROR(VLOOKUP(E1005,'Inventaire des produits'!$B$4:$K$1000,2,0),"")</f>
        <v>BOL KRAFT 26OZ ET CVL</v>
      </c>
      <c r="G1005" s="247">
        <v>2700</v>
      </c>
      <c r="H1005" s="79">
        <v>1.95</v>
      </c>
      <c r="I1005" s="95">
        <f t="shared" si="30"/>
        <v>5265</v>
      </c>
      <c r="J1005" s="95">
        <f t="shared" si="31"/>
        <v>6318</v>
      </c>
      <c r="K1005" s="93">
        <f>IFERROR(VLOOKUP(E1005,'Inventaire des produits'!$B$4:$J$1000,5,FALSE),"")</f>
        <v>0</v>
      </c>
      <c r="L1005" s="301">
        <f>IFERROR(VLOOKUP(E1005,'Inventaire des produits'!$B$4:$J$1000,6,FALSE),"")</f>
        <v>1.8333330000000001</v>
      </c>
      <c r="M1005" s="62"/>
    </row>
    <row r="1006" spans="2:13" x14ac:dyDescent="0.3">
      <c r="B1006" s="378" t="s">
        <v>1704</v>
      </c>
      <c r="C1006" s="55">
        <v>45490</v>
      </c>
      <c r="D1006" s="54" t="s">
        <v>1102</v>
      </c>
      <c r="E1006" s="240" t="s">
        <v>1144</v>
      </c>
      <c r="F1006" s="271" t="str">
        <f>IFERROR(VLOOKUP(E1006,'Inventaire des produits'!$B$4:$K$1000,2,0),"")</f>
        <v>BARQUETTE ALUMINIUM 81760 (3COMP)</v>
      </c>
      <c r="G1006" s="247">
        <v>5000</v>
      </c>
      <c r="H1006" s="79">
        <v>0.79166666666666663</v>
      </c>
      <c r="I1006" s="95">
        <f t="shared" si="30"/>
        <v>3958.333333333333</v>
      </c>
      <c r="J1006" s="95">
        <f t="shared" si="31"/>
        <v>4749.9999999999991</v>
      </c>
      <c r="K1006" s="93">
        <f>IFERROR(VLOOKUP(E1006,'Inventaire des produits'!$B$4:$J$1000,5,FALSE),"")</f>
        <v>0</v>
      </c>
      <c r="L1006" s="301">
        <f>IFERROR(VLOOKUP(E1006,'Inventaire des produits'!$B$4:$J$1000,6,FALSE),"")</f>
        <v>0.72</v>
      </c>
      <c r="M1006" s="62">
        <v>4749.9999999999991</v>
      </c>
    </row>
    <row r="1007" spans="2:13" x14ac:dyDescent="0.3">
      <c r="B1007" s="378" t="s">
        <v>1704</v>
      </c>
      <c r="C1007" s="340">
        <v>45490</v>
      </c>
      <c r="D1007" s="337" t="s">
        <v>1103</v>
      </c>
      <c r="E1007" s="239" t="s">
        <v>773</v>
      </c>
      <c r="F1007" s="271" t="str">
        <f>IFERROR(VLOOKUP(E1007,'Inventaire des produits'!$B$4:$K$1000,2,0),"")</f>
        <v>ROULEAU ALUMINIUM GOLDEN 200M</v>
      </c>
      <c r="G1007" s="247">
        <v>30</v>
      </c>
      <c r="H1007" s="79">
        <v>62.5</v>
      </c>
      <c r="I1007" s="95">
        <f t="shared" si="30"/>
        <v>1875</v>
      </c>
      <c r="J1007" s="95">
        <f t="shared" si="31"/>
        <v>2250</v>
      </c>
      <c r="K1007" s="93">
        <f>IFERROR(VLOOKUP(E1007,'Inventaire des produits'!$B$4:$J$1000,5,FALSE),"")</f>
        <v>0</v>
      </c>
      <c r="L1007" s="301">
        <f>IFERROR(VLOOKUP(E1007,'Inventaire des produits'!$B$4:$J$1000,6,FALSE),"")</f>
        <v>58.333333332999999</v>
      </c>
      <c r="M1007" s="62">
        <v>3010</v>
      </c>
    </row>
    <row r="1008" spans="2:13" x14ac:dyDescent="0.3">
      <c r="B1008" s="378" t="s">
        <v>1704</v>
      </c>
      <c r="C1008" s="341"/>
      <c r="D1008" s="338"/>
      <c r="E1008" s="239" t="s">
        <v>1040</v>
      </c>
      <c r="F1008" s="271" t="str">
        <f>IFERROR(VLOOKUP(E1008,'Inventaire des produits'!$B$4:$K$1000,2,0),"")</f>
        <v>FILM ALIMENTAIRE ELEGENCE</v>
      </c>
      <c r="G1008" s="247">
        <v>18</v>
      </c>
      <c r="H1008" s="79">
        <v>25</v>
      </c>
      <c r="I1008" s="95">
        <f t="shared" si="30"/>
        <v>450</v>
      </c>
      <c r="J1008" s="95">
        <f t="shared" si="31"/>
        <v>540</v>
      </c>
      <c r="K1008" s="93">
        <f>IFERROR(VLOOKUP(E1008,'Inventaire des produits'!$B$4:$J$1000,5,FALSE),"")</f>
        <v>0</v>
      </c>
      <c r="L1008" s="301">
        <f>IFERROR(VLOOKUP(E1008,'Inventaire des produits'!$B$4:$J$1000,6,FALSE),"")</f>
        <v>20</v>
      </c>
      <c r="M1008" s="62"/>
    </row>
    <row r="1009" spans="2:13" x14ac:dyDescent="0.3">
      <c r="B1009" s="378" t="s">
        <v>1704</v>
      </c>
      <c r="C1009" s="342"/>
      <c r="D1009" s="339"/>
      <c r="E1009" s="235" t="s">
        <v>619</v>
      </c>
      <c r="F1009" s="271" t="str">
        <f>IFERROR(VLOOKUP(E1009,'Inventaire des produits'!$B$4:$K$1000,2,0),"")</f>
        <v>POT DE SAUCE 1OZ 30ML HP</v>
      </c>
      <c r="G1009" s="247">
        <v>1100</v>
      </c>
      <c r="H1009" s="79">
        <v>0.16666666666666669</v>
      </c>
      <c r="I1009" s="95">
        <f t="shared" si="30"/>
        <v>183.33333333333334</v>
      </c>
      <c r="J1009" s="95">
        <f t="shared" si="31"/>
        <v>220</v>
      </c>
      <c r="K1009" s="93">
        <f>IFERROR(VLOOKUP(E1009,'Inventaire des produits'!$B$4:$J$1000,5,FALSE),"")</f>
        <v>0</v>
      </c>
      <c r="L1009" s="301">
        <f>IFERROR(VLOOKUP(E1009,'Inventaire des produits'!$B$4:$J$1000,6,FALSE),"")</f>
        <v>0.13450000000000001</v>
      </c>
      <c r="M1009" s="62"/>
    </row>
    <row r="1010" spans="2:13" x14ac:dyDescent="0.3">
      <c r="B1010" s="378" t="s">
        <v>1704</v>
      </c>
      <c r="C1010" s="340">
        <v>45490</v>
      </c>
      <c r="D1010" s="337" t="s">
        <v>1104</v>
      </c>
      <c r="E1010" s="235" t="s">
        <v>702</v>
      </c>
      <c r="F1010" s="271" t="str">
        <f>IFERROR(VLOOKUP(E1010,'Inventaire des produits'!$B$4:$K$1000,2,0),"")</f>
        <v>FOURCHETTE ECOLUXE NOIRE</v>
      </c>
      <c r="G1010" s="247">
        <v>7</v>
      </c>
      <c r="H1010" s="79">
        <v>23.12</v>
      </c>
      <c r="I1010" s="95">
        <f t="shared" si="30"/>
        <v>161.84</v>
      </c>
      <c r="J1010" s="95">
        <f t="shared" si="31"/>
        <v>194.208</v>
      </c>
      <c r="K1010" s="93">
        <f>IFERROR(VLOOKUP(E1010,'Inventaire des produits'!$B$4:$J$1000,5,FALSE),"")</f>
        <v>0</v>
      </c>
      <c r="L1010" s="301">
        <f>IFERROR(VLOOKUP(E1010,'Inventaire des produits'!$B$4:$J$1000,6,FALSE),"")</f>
        <v>17.5</v>
      </c>
      <c r="M1010" s="62">
        <f>SUM(J1010:J1014)</f>
        <v>1459.9967999999999</v>
      </c>
    </row>
    <row r="1011" spans="2:13" x14ac:dyDescent="0.3">
      <c r="B1011" s="378" t="s">
        <v>1704</v>
      </c>
      <c r="C1011" s="341"/>
      <c r="D1011" s="338"/>
      <c r="E1011" s="235" t="s">
        <v>183</v>
      </c>
      <c r="F1011" s="271" t="str">
        <f>IFERROR(VLOOKUP(E1011,'Inventaire des produits'!$B$4:$K$1000,2,0),"")</f>
        <v>GOBLET EN CARTON 8OZ AVEC CVL</v>
      </c>
      <c r="G1011" s="247">
        <v>800</v>
      </c>
      <c r="H1011" s="79">
        <v>0.45313999999999999</v>
      </c>
      <c r="I1011" s="95">
        <f t="shared" si="30"/>
        <v>362.512</v>
      </c>
      <c r="J1011" s="95">
        <f t="shared" si="31"/>
        <v>435.01439999999997</v>
      </c>
      <c r="K1011" s="93">
        <f>IFERROR(VLOOKUP(E1011,'Inventaire des produits'!$B$4:$J$1000,5,FALSE),"")</f>
        <v>0</v>
      </c>
      <c r="L1011" s="301">
        <f>IFERROR(VLOOKUP(E1011,'Inventaire des produits'!$B$4:$J$1000,6,FALSE),"")</f>
        <v>0.41660000000000003</v>
      </c>
      <c r="M1011" s="62"/>
    </row>
    <row r="1012" spans="2:13" x14ac:dyDescent="0.3">
      <c r="B1012" s="378" t="s">
        <v>1704</v>
      </c>
      <c r="C1012" s="341"/>
      <c r="D1012" s="338"/>
      <c r="E1012" s="235" t="s">
        <v>337</v>
      </c>
      <c r="F1012" s="271" t="str">
        <f>IFERROR(VLOOKUP(E1012,'Inventaire des produits'!$B$4:$K$1000,2,0),"")</f>
        <v>GOBLET 8OZ</v>
      </c>
      <c r="G1012" s="247">
        <v>500</v>
      </c>
      <c r="H1012" s="79">
        <v>0.45329999999999998</v>
      </c>
      <c r="I1012" s="95">
        <f t="shared" si="30"/>
        <v>226.64999999999998</v>
      </c>
      <c r="J1012" s="95">
        <f t="shared" si="31"/>
        <v>271.97999999999996</v>
      </c>
      <c r="K1012" s="93">
        <f>IFERROR(VLOOKUP(E1012,'Inventaire des produits'!$B$4:$J$1000,5,FALSE),"")</f>
        <v>0</v>
      </c>
      <c r="L1012" s="301">
        <f>IFERROR(VLOOKUP(E1012,'Inventaire des produits'!$B$4:$J$1000,6,FALSE),"")</f>
        <v>0.4</v>
      </c>
      <c r="M1012" s="62"/>
    </row>
    <row r="1013" spans="2:13" x14ac:dyDescent="0.3">
      <c r="B1013" s="378" t="s">
        <v>1704</v>
      </c>
      <c r="C1013" s="341"/>
      <c r="D1013" s="338"/>
      <c r="E1013" s="235" t="s">
        <v>725</v>
      </c>
      <c r="F1013" s="271" t="str">
        <f>IFERROR(VLOOKUP(E1013,'Inventaire des produits'!$B$4:$K$1000,2,0),"")</f>
        <v>PALETTE A GLACE BLANC</v>
      </c>
      <c r="G1013" s="247">
        <v>11</v>
      </c>
      <c r="H1013" s="79">
        <v>23.5</v>
      </c>
      <c r="I1013" s="95">
        <f t="shared" si="30"/>
        <v>258.5</v>
      </c>
      <c r="J1013" s="95">
        <f t="shared" si="31"/>
        <v>310.2</v>
      </c>
      <c r="K1013" s="93">
        <f>IFERROR(VLOOKUP(E1013,'Inventaire des produits'!$B$4:$J$1000,5,FALSE),"")</f>
        <v>0</v>
      </c>
      <c r="L1013" s="301">
        <f>IFERROR(VLOOKUP(E1013,'Inventaire des produits'!$B$4:$J$1000,6,FALSE),"")</f>
        <v>16.5</v>
      </c>
      <c r="M1013" s="62"/>
    </row>
    <row r="1014" spans="2:13" x14ac:dyDescent="0.3">
      <c r="B1014" s="378" t="s">
        <v>1704</v>
      </c>
      <c r="C1014" s="342"/>
      <c r="D1014" s="339"/>
      <c r="E1014" s="235" t="s">
        <v>726</v>
      </c>
      <c r="F1014" s="271" t="str">
        <f>IFERROR(VLOOKUP(E1014,'Inventaire des produits'!$B$4:$K$1000,2,0),"")</f>
        <v>PALETTE A GLACE BLANC</v>
      </c>
      <c r="G1014" s="247">
        <v>9</v>
      </c>
      <c r="H1014" s="79">
        <v>23.018000000000001</v>
      </c>
      <c r="I1014" s="95">
        <f t="shared" si="30"/>
        <v>207.16200000000001</v>
      </c>
      <c r="J1014" s="95">
        <f t="shared" si="31"/>
        <v>248.59440000000001</v>
      </c>
      <c r="K1014" s="93">
        <f>IFERROR(VLOOKUP(E1014,'Inventaire des produits'!$B$4:$J$1000,5,FALSE),"")</f>
        <v>0</v>
      </c>
      <c r="L1014" s="301">
        <f>IFERROR(VLOOKUP(E1014,'Inventaire des produits'!$B$4:$J$1000,6,FALSE),"")</f>
        <v>16.03</v>
      </c>
      <c r="M1014" s="62"/>
    </row>
    <row r="1015" spans="2:13" x14ac:dyDescent="0.3">
      <c r="B1015" s="378" t="s">
        <v>1704</v>
      </c>
      <c r="C1015" s="340">
        <v>45495</v>
      </c>
      <c r="D1015" s="337" t="s">
        <v>1106</v>
      </c>
      <c r="E1015" s="235" t="s">
        <v>929</v>
      </c>
      <c r="F1015" s="271" t="str">
        <f>IFERROR(VLOOKUP(E1015,'Inventaire des produits'!$B$4:$K$1000,2,0),"")</f>
        <v xml:space="preserve">SERVIETTE DE TABLE </v>
      </c>
      <c r="G1015" s="247">
        <v>300</v>
      </c>
      <c r="H1015" s="79">
        <v>3.75</v>
      </c>
      <c r="I1015" s="95">
        <f t="shared" si="30"/>
        <v>1125</v>
      </c>
      <c r="J1015" s="95">
        <f t="shared" si="31"/>
        <v>1350</v>
      </c>
      <c r="K1015" s="93">
        <f>IFERROR(VLOOKUP(E1015,'Inventaire des produits'!$B$4:$J$1000,5,FALSE),"")</f>
        <v>0</v>
      </c>
      <c r="L1015" s="301">
        <f>IFERROR(VLOOKUP(E1015,'Inventaire des produits'!$B$4:$J$1000,6,FALSE),"")</f>
        <v>2.9169999999999998</v>
      </c>
      <c r="M1015" s="62">
        <v>2850</v>
      </c>
    </row>
    <row r="1016" spans="2:13" ht="16.5" customHeight="1" x14ac:dyDescent="0.3">
      <c r="B1016" s="378" t="s">
        <v>1704</v>
      </c>
      <c r="C1016" s="341"/>
      <c r="D1016" s="338"/>
      <c r="E1016" s="235" t="s">
        <v>773</v>
      </c>
      <c r="F1016" s="271" t="str">
        <f>IFERROR(VLOOKUP(E1016,'Inventaire des produits'!$B$4:$K$1000,2,0),"")</f>
        <v>ROULEAU ALUMINIUM GOLDEN 200M</v>
      </c>
      <c r="G1016" s="247">
        <v>8</v>
      </c>
      <c r="H1016" s="79">
        <v>66.666666666666671</v>
      </c>
      <c r="I1016" s="95">
        <f t="shared" si="30"/>
        <v>533.33333333333337</v>
      </c>
      <c r="J1016" s="95">
        <f t="shared" si="31"/>
        <v>640</v>
      </c>
      <c r="K1016" s="93">
        <f>IFERROR(VLOOKUP(E1016,'Inventaire des produits'!$B$4:$J$1000,5,FALSE),"")</f>
        <v>0</v>
      </c>
      <c r="L1016" s="301">
        <f>IFERROR(VLOOKUP(E1016,'Inventaire des produits'!$B$4:$J$1000,6,FALSE),"")</f>
        <v>58.333333332999999</v>
      </c>
      <c r="M1016" s="62"/>
    </row>
    <row r="1017" spans="2:13" ht="16.5" customHeight="1" x14ac:dyDescent="0.3">
      <c r="B1017" s="378" t="s">
        <v>1704</v>
      </c>
      <c r="C1017" s="341"/>
      <c r="D1017" s="338"/>
      <c r="E1017" s="235" t="s">
        <v>1097</v>
      </c>
      <c r="F1017" s="271" t="str">
        <f>IFERROR(VLOOKUP(E1017,'Inventaire des produits'!$B$4:$K$1000,2,0),"")</f>
        <v>POT DE SAUCE EN PLAST TRANSP 20ML</v>
      </c>
      <c r="G1017" s="247">
        <v>3600</v>
      </c>
      <c r="H1017" s="79">
        <v>0.12490800000000001</v>
      </c>
      <c r="I1017" s="95">
        <f t="shared" si="30"/>
        <v>449.66880000000003</v>
      </c>
      <c r="J1017" s="95">
        <f t="shared" si="31"/>
        <v>539.60256000000004</v>
      </c>
      <c r="K1017" s="93">
        <f>IFERROR(VLOOKUP(E1017,'Inventaire des produits'!$B$4:$J$1000,5,FALSE),"")</f>
        <v>0</v>
      </c>
      <c r="L1017" s="301">
        <f>IFERROR(VLOOKUP(E1017,'Inventaire des produits'!$B$4:$J$1000,6,FALSE),"")</f>
        <v>8.9166666666666672E-2</v>
      </c>
      <c r="M1017" s="62"/>
    </row>
    <row r="1018" spans="2:13" ht="16.5" customHeight="1" x14ac:dyDescent="0.3">
      <c r="B1018" s="378" t="s">
        <v>1704</v>
      </c>
      <c r="C1018" s="342"/>
      <c r="D1018" s="339"/>
      <c r="E1018" s="235" t="s">
        <v>116</v>
      </c>
      <c r="F1018" s="271" t="str">
        <f>IFERROR(VLOOKUP(E1018,'Inventaire des produits'!$B$4:$K$1000,2,0),"")</f>
        <v>BOITE REPAS KRAFT 2000CC CARTON 150PCS</v>
      </c>
      <c r="G1018" s="247">
        <v>1</v>
      </c>
      <c r="H1018" s="79">
        <v>267</v>
      </c>
      <c r="I1018" s="95">
        <f t="shared" si="30"/>
        <v>267</v>
      </c>
      <c r="J1018" s="95">
        <f t="shared" si="31"/>
        <v>320.39999999999998</v>
      </c>
      <c r="K1018" s="93">
        <f>IFERROR(VLOOKUP(E1018,'Inventaire des produits'!$B$4:$J$1000,5,FALSE),"")</f>
        <v>0</v>
      </c>
      <c r="L1018" s="301">
        <f>IFERROR(VLOOKUP(E1018,'Inventaire des produits'!$B$4:$J$1000,6,FALSE),"")</f>
        <v>250</v>
      </c>
      <c r="M1018" s="62"/>
    </row>
    <row r="1019" spans="2:13" ht="16.5" customHeight="1" x14ac:dyDescent="0.3">
      <c r="B1019" s="378" t="s">
        <v>1704</v>
      </c>
      <c r="C1019" s="340">
        <v>45496</v>
      </c>
      <c r="D1019" s="337" t="s">
        <v>1107</v>
      </c>
      <c r="E1019" s="235" t="s">
        <v>319</v>
      </c>
      <c r="F1019" s="271" t="str">
        <f>IFERROR(VLOOKUP(E1019,'Inventaire des produits'!$B$4:$K$1000,2,0),"")</f>
        <v>FOURCHETTE ECOLUXE TRANSPARENTE</v>
      </c>
      <c r="G1019" s="247">
        <v>6</v>
      </c>
      <c r="H1019" s="79">
        <v>23.333333333333336</v>
      </c>
      <c r="I1019" s="95">
        <f t="shared" si="30"/>
        <v>140</v>
      </c>
      <c r="J1019" s="95">
        <f t="shared" si="31"/>
        <v>168</v>
      </c>
      <c r="K1019" s="93">
        <f>IFERROR(VLOOKUP(E1019,'Inventaire des produits'!$B$4:$J$1000,5,FALSE),"")</f>
        <v>0</v>
      </c>
      <c r="L1019" s="301">
        <f>IFERROR(VLOOKUP(E1019,'Inventaire des produits'!$B$4:$J$1000,6,FALSE),"")</f>
        <v>17.5</v>
      </c>
      <c r="M1019" s="62">
        <v>1396</v>
      </c>
    </row>
    <row r="1020" spans="2:13" x14ac:dyDescent="0.3">
      <c r="B1020" s="378" t="s">
        <v>1704</v>
      </c>
      <c r="C1020" s="341"/>
      <c r="D1020" s="338"/>
      <c r="E1020" s="235" t="s">
        <v>929</v>
      </c>
      <c r="F1020" s="271" t="str">
        <f>IFERROR(VLOOKUP(E1020,'Inventaire des produits'!$B$4:$K$1000,2,0),"")</f>
        <v xml:space="preserve">SERVIETTE DE TABLE </v>
      </c>
      <c r="G1020" s="247">
        <v>60</v>
      </c>
      <c r="H1020" s="79">
        <v>4</v>
      </c>
      <c r="I1020" s="95">
        <f t="shared" si="30"/>
        <v>240</v>
      </c>
      <c r="J1020" s="95">
        <f t="shared" si="31"/>
        <v>288</v>
      </c>
      <c r="K1020" s="93">
        <f>IFERROR(VLOOKUP(E1020,'Inventaire des produits'!$B$4:$J$1000,5,FALSE),"")</f>
        <v>0</v>
      </c>
      <c r="L1020" s="301">
        <f>IFERROR(VLOOKUP(E1020,'Inventaire des produits'!$B$4:$J$1000,6,FALSE),"")</f>
        <v>2.9169999999999998</v>
      </c>
      <c r="M1020" s="62"/>
    </row>
    <row r="1021" spans="2:13" x14ac:dyDescent="0.3">
      <c r="B1021" s="378" t="s">
        <v>1704</v>
      </c>
      <c r="C1021" s="341"/>
      <c r="D1021" s="338"/>
      <c r="E1021" s="239" t="s">
        <v>158</v>
      </c>
      <c r="F1021" s="271" t="str">
        <f>IFERROR(VLOOKUP(E1021,'Inventaire des produits'!$B$4:$K$1000,2,0),"")</f>
        <v>CUILLERE PETIT</v>
      </c>
      <c r="G1021" s="247">
        <v>800</v>
      </c>
      <c r="H1021" s="79">
        <v>0.74582999999999999</v>
      </c>
      <c r="I1021" s="95">
        <f t="shared" si="30"/>
        <v>596.66399999999999</v>
      </c>
      <c r="J1021" s="95">
        <f t="shared" si="31"/>
        <v>715.99680000000001</v>
      </c>
      <c r="K1021" s="93">
        <f>IFERROR(VLOOKUP(E1021,'Inventaire des produits'!$B$4:$J$1000,5,FALSE),"")</f>
        <v>0</v>
      </c>
      <c r="L1021" s="301">
        <f>IFERROR(VLOOKUP(E1021,'Inventaire des produits'!$B$4:$J$1000,6,FALSE),"")</f>
        <v>5.8329499999999999E-2</v>
      </c>
      <c r="M1021" s="62"/>
    </row>
    <row r="1022" spans="2:13" ht="16.5" customHeight="1" x14ac:dyDescent="0.3">
      <c r="B1022" s="378" t="s">
        <v>1704</v>
      </c>
      <c r="C1022" s="342"/>
      <c r="D1022" s="339"/>
      <c r="E1022" s="239" t="s">
        <v>726</v>
      </c>
      <c r="F1022" s="271" t="str">
        <f>IFERROR(VLOOKUP(E1022,'Inventaire des produits'!$B$4:$K$1000,2,0),"")</f>
        <v>PALETTE A GLACE BLANC</v>
      </c>
      <c r="G1022" s="247">
        <v>8</v>
      </c>
      <c r="H1022" s="79">
        <v>23.333333333333336</v>
      </c>
      <c r="I1022" s="95">
        <f t="shared" si="30"/>
        <v>186.66666666666669</v>
      </c>
      <c r="J1022" s="95">
        <f t="shared" si="31"/>
        <v>224.00000000000003</v>
      </c>
      <c r="K1022" s="93">
        <f>IFERROR(VLOOKUP(E1022,'Inventaire des produits'!$B$4:$J$1000,5,FALSE),"")</f>
        <v>0</v>
      </c>
      <c r="L1022" s="301">
        <f>IFERROR(VLOOKUP(E1022,'Inventaire des produits'!$B$4:$J$1000,6,FALSE),"")</f>
        <v>16.03</v>
      </c>
      <c r="M1022" s="62"/>
    </row>
    <row r="1023" spans="2:13" ht="16.5" customHeight="1" x14ac:dyDescent="0.3">
      <c r="B1023" s="378" t="s">
        <v>1704</v>
      </c>
      <c r="C1023" s="340">
        <v>45496</v>
      </c>
      <c r="D1023" s="337" t="s">
        <v>1108</v>
      </c>
      <c r="E1023" s="235" t="s">
        <v>821</v>
      </c>
      <c r="F1023" s="271" t="str">
        <f>IFERROR(VLOOKUP(E1023,'Inventaire des produits'!$B$4:$K$1000,2,0),"")</f>
        <v>SAC PN BLANC NI 30*40*10</v>
      </c>
      <c r="G1023" s="247">
        <v>2700</v>
      </c>
      <c r="H1023" s="79">
        <v>0.50884499999999999</v>
      </c>
      <c r="I1023" s="95">
        <f t="shared" si="30"/>
        <v>1373.8815</v>
      </c>
      <c r="J1023" s="95">
        <f t="shared" si="31"/>
        <v>1648.6578</v>
      </c>
      <c r="K1023" s="93">
        <f>IFERROR(VLOOKUP(E1023,'Inventaire des produits'!$B$4:$J$1000,5,FALSE),"")</f>
        <v>0</v>
      </c>
      <c r="L1023" s="301">
        <f>IFERROR(VLOOKUP(E1023,'Inventaire des produits'!$B$4:$J$1000,6,FALSE),"")</f>
        <v>0.33333333329999998</v>
      </c>
      <c r="M1023" s="62">
        <v>8400</v>
      </c>
    </row>
    <row r="1024" spans="2:13" x14ac:dyDescent="0.3">
      <c r="B1024" s="378" t="s">
        <v>1704</v>
      </c>
      <c r="C1024" s="341"/>
      <c r="D1024" s="338"/>
      <c r="E1024" s="235" t="s">
        <v>822</v>
      </c>
      <c r="F1024" s="271" t="str">
        <f>IFERROR(VLOOKUP(E1024,'Inventaire des produits'!$B$4:$K$1000,2,0),"")</f>
        <v>SAC PN BLANC UNI 40*45*10</v>
      </c>
      <c r="G1024" s="247">
        <v>2800</v>
      </c>
      <c r="H1024" s="79">
        <v>0.58740000000000003</v>
      </c>
      <c r="I1024" s="95">
        <f t="shared" si="30"/>
        <v>1644.72</v>
      </c>
      <c r="J1024" s="95">
        <f t="shared" si="31"/>
        <v>1973.664</v>
      </c>
      <c r="K1024" s="93">
        <f>IFERROR(VLOOKUP(E1024,'Inventaire des produits'!$B$4:$J$1000,5,FALSE),"")</f>
        <v>0</v>
      </c>
      <c r="L1024" s="301">
        <f>IFERROR(VLOOKUP(E1024,'Inventaire des produits'!$B$4:$J$1000,6,FALSE),"")</f>
        <v>0.45834000000000003</v>
      </c>
      <c r="M1024" s="62"/>
    </row>
    <row r="1025" spans="2:13" x14ac:dyDescent="0.3">
      <c r="B1025" s="378" t="s">
        <v>1704</v>
      </c>
      <c r="C1025" s="341"/>
      <c r="D1025" s="338"/>
      <c r="E1025" s="235" t="s">
        <v>361</v>
      </c>
      <c r="F1025" s="271" t="str">
        <f>IFERROR(VLOOKUP(E1025,'Inventaire des produits'!$B$4:$K$1000,2,0),"")</f>
        <v>FILM ETIRABLE VIOLET 290mm kg</v>
      </c>
      <c r="G1025" s="247">
        <v>24</v>
      </c>
      <c r="H1025" s="79">
        <v>31</v>
      </c>
      <c r="I1025" s="95">
        <f t="shared" si="30"/>
        <v>744</v>
      </c>
      <c r="J1025" s="95">
        <f t="shared" si="31"/>
        <v>892.8</v>
      </c>
      <c r="K1025" s="93">
        <f>IFERROR(VLOOKUP(E1025,'Inventaire des produits'!$B$4:$J$1000,5,FALSE),"")</f>
        <v>0</v>
      </c>
      <c r="L1025" s="301">
        <f>IFERROR(VLOOKUP(E1025,'Inventaire des produits'!$B$4:$J$1000,6,FALSE),"")</f>
        <v>25</v>
      </c>
      <c r="M1025" s="62"/>
    </row>
    <row r="1026" spans="2:13" x14ac:dyDescent="0.3">
      <c r="B1026" s="378" t="s">
        <v>1704</v>
      </c>
      <c r="C1026" s="341"/>
      <c r="D1026" s="338"/>
      <c r="E1026" s="235" t="s">
        <v>767</v>
      </c>
      <c r="F1026" s="271" t="str">
        <f>IFERROR(VLOOKUP(E1026,'Inventaire des produits'!$B$4:$K$1000,2,0),"")</f>
        <v>ROULEAU ALUMINIUM GOLDEN 300M</v>
      </c>
      <c r="G1026" s="247">
        <v>14</v>
      </c>
      <c r="H1026" s="79">
        <v>75</v>
      </c>
      <c r="I1026" s="95">
        <f t="shared" si="30"/>
        <v>1050</v>
      </c>
      <c r="J1026" s="95">
        <f t="shared" si="31"/>
        <v>1260</v>
      </c>
      <c r="K1026" s="93">
        <f>IFERROR(VLOOKUP(E1026,'Inventaire des produits'!$B$4:$J$1000,5,FALSE),"")</f>
        <v>6</v>
      </c>
      <c r="L1026" s="301">
        <f>IFERROR(VLOOKUP(E1026,'Inventaire des produits'!$B$4:$J$1000,6,FALSE),"")</f>
        <v>75</v>
      </c>
      <c r="M1026" s="62"/>
    </row>
    <row r="1027" spans="2:13" x14ac:dyDescent="0.3">
      <c r="B1027" s="378" t="s">
        <v>1704</v>
      </c>
      <c r="C1027" s="341"/>
      <c r="D1027" s="338"/>
      <c r="E1027" s="235" t="s">
        <v>74</v>
      </c>
      <c r="F1027" s="271" t="str">
        <f>IFERROR(VLOOKUP(E1027,'Inventaire des produits'!$B$4:$K$1000,2,0),"")</f>
        <v>PAPIER SANDWISH INGRAISSABLE GRIS PACK 2,5KG</v>
      </c>
      <c r="G1027" s="247">
        <v>5</v>
      </c>
      <c r="H1027" s="79">
        <v>74</v>
      </c>
      <c r="I1027" s="95">
        <f t="shared" si="30"/>
        <v>370</v>
      </c>
      <c r="J1027" s="95">
        <f t="shared" si="31"/>
        <v>444</v>
      </c>
      <c r="K1027" s="93">
        <f>IFERROR(VLOOKUP(E1027,'Inventaire des produits'!$B$4:$J$1000,5,FALSE),"")</f>
        <v>0</v>
      </c>
      <c r="L1027" s="301">
        <f>IFERROR(VLOOKUP(E1027,'Inventaire des produits'!$B$4:$J$1000,6,FALSE),"")</f>
        <v>65</v>
      </c>
      <c r="M1027" s="62"/>
    </row>
    <row r="1028" spans="2:13" x14ac:dyDescent="0.3">
      <c r="B1028" s="378" t="s">
        <v>1704</v>
      </c>
      <c r="C1028" s="341"/>
      <c r="D1028" s="338"/>
      <c r="E1028" s="235" t="s">
        <v>107</v>
      </c>
      <c r="F1028" s="271" t="str">
        <f>IFERROR(VLOOKUP(E1028,'Inventaire des produits'!$B$4:$K$1000,2,0),"")</f>
        <v>GOBLET 16OZ TRSP SMART +CV BB</v>
      </c>
      <c r="G1028" s="247">
        <v>500</v>
      </c>
      <c r="H1028" s="79">
        <v>0.56000000000000005</v>
      </c>
      <c r="I1028" s="95">
        <f t="shared" si="30"/>
        <v>280</v>
      </c>
      <c r="J1028" s="95">
        <f t="shared" si="31"/>
        <v>336</v>
      </c>
      <c r="K1028" s="93">
        <f>IFERROR(VLOOKUP(E1028,'Inventaire des produits'!$B$4:$J$1000,5,FALSE),"")</f>
        <v>0</v>
      </c>
      <c r="L1028" s="301">
        <f>IFERROR(VLOOKUP(E1028,'Inventaire des produits'!$B$4:$J$1000,6,FALSE),"")</f>
        <v>0.53</v>
      </c>
      <c r="M1028" s="62"/>
    </row>
    <row r="1029" spans="2:13" x14ac:dyDescent="0.3">
      <c r="B1029" s="378" t="s">
        <v>1704</v>
      </c>
      <c r="C1029" s="341"/>
      <c r="D1029" s="338"/>
      <c r="E1029" s="235" t="s">
        <v>659</v>
      </c>
      <c r="F1029" s="271" t="str">
        <f>IFERROR(VLOOKUP(E1029,'Inventaire des produits'!$B$4:$K$1000,2,0),"")</f>
        <v>BARQUETTE MICRON ONDABLE 2 COMP AVEC CVL</v>
      </c>
      <c r="G1029" s="247">
        <v>300</v>
      </c>
      <c r="H1029" s="79">
        <v>2.149</v>
      </c>
      <c r="I1029" s="95">
        <f t="shared" ref="I1029:I1092" si="32">IF(OR(G1029="",H1029=""),"",G1029*H1029)</f>
        <v>644.70000000000005</v>
      </c>
      <c r="J1029" s="95">
        <f t="shared" ref="J1029:J1092" si="33">IF(OR(I1029=""),"",I1029*1.2)</f>
        <v>773.64</v>
      </c>
      <c r="K1029" s="93">
        <f>IFERROR(VLOOKUP(E1029,'Inventaire des produits'!$B$4:$J$1000,5,FALSE),"")</f>
        <v>0</v>
      </c>
      <c r="L1029" s="301">
        <f>IFERROR(VLOOKUP(E1029,'Inventaire des produits'!$B$4:$J$1000,6,FALSE),"")</f>
        <v>1.625</v>
      </c>
      <c r="M1029" s="62"/>
    </row>
    <row r="1030" spans="2:13" x14ac:dyDescent="0.3">
      <c r="B1030" s="378" t="s">
        <v>1704</v>
      </c>
      <c r="C1030" s="341"/>
      <c r="D1030" s="338"/>
      <c r="E1030" s="239" t="s">
        <v>760</v>
      </c>
      <c r="F1030" s="271" t="str">
        <f>IFERROR(VLOOKUP(E1030,'Inventaire des produits'!$B$4:$K$1000,2,0),"")</f>
        <v>BARQUETTE MICRON ONDABLE 2 COMP AVEC CVL</v>
      </c>
      <c r="G1030" s="247">
        <v>300</v>
      </c>
      <c r="H1030" s="79">
        <v>2.149</v>
      </c>
      <c r="I1030" s="95">
        <f t="shared" si="32"/>
        <v>644.70000000000005</v>
      </c>
      <c r="J1030" s="95">
        <f t="shared" si="33"/>
        <v>773.64</v>
      </c>
      <c r="K1030" s="93">
        <f>IFERROR(VLOOKUP(E1030,'Inventaire des produits'!$B$4:$J$1000,5,FALSE),"")</f>
        <v>0</v>
      </c>
      <c r="L1030" s="301">
        <f>IFERROR(VLOOKUP(E1030,'Inventaire des produits'!$B$4:$J$1000,6,FALSE),"")</f>
        <v>1.5</v>
      </c>
      <c r="M1030" s="62"/>
    </row>
    <row r="1031" spans="2:13" x14ac:dyDescent="0.3">
      <c r="B1031" s="378" t="s">
        <v>1704</v>
      </c>
      <c r="C1031" s="342"/>
      <c r="D1031" s="339"/>
      <c r="E1031" s="239" t="s">
        <v>109</v>
      </c>
      <c r="F1031" s="271" t="str">
        <f>IFERROR(VLOOKUP(E1031,'Inventaire des produits'!$B$4:$K$1000,2,0),"")</f>
        <v>FILM PVC ETIRABLE EXTRA 500*45 1,5KG</v>
      </c>
      <c r="G1031" s="247">
        <v>8</v>
      </c>
      <c r="H1031" s="79">
        <v>31</v>
      </c>
      <c r="I1031" s="95">
        <f t="shared" si="32"/>
        <v>248</v>
      </c>
      <c r="J1031" s="95">
        <f t="shared" si="33"/>
        <v>297.59999999999997</v>
      </c>
      <c r="K1031" s="93">
        <f>IFERROR(VLOOKUP(E1031,'Inventaire des produits'!$B$4:$J$1000,5,FALSE),"")</f>
        <v>0</v>
      </c>
      <c r="L1031" s="301">
        <f>IFERROR(VLOOKUP(E1031,'Inventaire des produits'!$B$4:$J$1000,6,FALSE),"")</f>
        <v>37.407499999999999</v>
      </c>
      <c r="M1031" s="62"/>
    </row>
    <row r="1032" spans="2:13" x14ac:dyDescent="0.3">
      <c r="B1032" s="378" t="s">
        <v>1704</v>
      </c>
      <c r="C1032" s="340">
        <v>45497</v>
      </c>
      <c r="D1032" s="337" t="s">
        <v>1109</v>
      </c>
      <c r="E1032" s="235" t="s">
        <v>821</v>
      </c>
      <c r="F1032" s="271" t="str">
        <f>IFERROR(VLOOKUP(E1032,'Inventaire des produits'!$B$4:$K$1000,2,0),"")</f>
        <v>SAC PN BLANC NI 30*40*10</v>
      </c>
      <c r="G1032" s="247">
        <v>2000</v>
      </c>
      <c r="H1032" s="79">
        <v>0.50870000000000004</v>
      </c>
      <c r="I1032" s="95">
        <f t="shared" si="32"/>
        <v>1017.4000000000001</v>
      </c>
      <c r="J1032" s="95">
        <f t="shared" si="33"/>
        <v>1220.8800000000001</v>
      </c>
      <c r="K1032" s="93">
        <f>IFERROR(VLOOKUP(E1032,'Inventaire des produits'!$B$4:$J$1000,5,FALSE),"")</f>
        <v>0</v>
      </c>
      <c r="L1032" s="301">
        <f>IFERROR(VLOOKUP(E1032,'Inventaire des produits'!$B$4:$J$1000,6,FALSE),"")</f>
        <v>0.33333333329999998</v>
      </c>
      <c r="M1032" s="62">
        <f>SUM(J1032:J1036)</f>
        <v>3825.0048000000002</v>
      </c>
    </row>
    <row r="1033" spans="2:13" x14ac:dyDescent="0.3">
      <c r="B1033" s="378" t="s">
        <v>1704</v>
      </c>
      <c r="C1033" s="341"/>
      <c r="D1033" s="338"/>
      <c r="E1033" s="235" t="s">
        <v>829</v>
      </c>
      <c r="F1033" s="271" t="str">
        <f>IFERROR(VLOOKUP(E1033,'Inventaire des produits'!$B$4:$K$1000,2,0),"")</f>
        <v>SAC PN BLANC 40*45</v>
      </c>
      <c r="G1033" s="247">
        <v>1400</v>
      </c>
      <c r="H1033" s="79">
        <v>0.58760999999999997</v>
      </c>
      <c r="I1033" s="95">
        <f t="shared" si="32"/>
        <v>822.654</v>
      </c>
      <c r="J1033" s="95">
        <f t="shared" si="33"/>
        <v>987.1848</v>
      </c>
      <c r="K1033" s="93">
        <f>IFERROR(VLOOKUP(E1033,'Inventaire des produits'!$B$4:$J$1000,5,FALSE),"")</f>
        <v>0</v>
      </c>
      <c r="L1033" s="301">
        <f>IFERROR(VLOOKUP(E1033,'Inventaire des produits'!$B$4:$J$1000,6,FALSE),"")</f>
        <v>0.45833333300000001</v>
      </c>
      <c r="M1033" s="62"/>
    </row>
    <row r="1034" spans="2:13" x14ac:dyDescent="0.3">
      <c r="B1034" s="378" t="s">
        <v>1704</v>
      </c>
      <c r="C1034" s="341"/>
      <c r="D1034" s="338"/>
      <c r="E1034" s="235" t="s">
        <v>245</v>
      </c>
      <c r="F1034" s="271" t="str">
        <f>IFERROR(VLOOKUP(E1034,'Inventaire des produits'!$B$4:$K$1000,2,0),"")</f>
        <v>BARQUETTE ALUMINIUM 802</v>
      </c>
      <c r="G1034" s="247">
        <v>500</v>
      </c>
      <c r="H1034" s="79">
        <v>0.70430000000000004</v>
      </c>
      <c r="I1034" s="95">
        <f t="shared" si="32"/>
        <v>352.15000000000003</v>
      </c>
      <c r="J1034" s="95">
        <f t="shared" si="33"/>
        <v>422.58000000000004</v>
      </c>
      <c r="K1034" s="93">
        <f>IFERROR(VLOOKUP(E1034,'Inventaire des produits'!$B$4:$J$1000,5,FALSE),"")</f>
        <v>0</v>
      </c>
      <c r="L1034" s="301">
        <f>IFERROR(VLOOKUP(E1034,'Inventaire des produits'!$B$4:$J$1000,6,FALSE),"")</f>
        <v>0.53390000000000004</v>
      </c>
      <c r="M1034" s="62"/>
    </row>
    <row r="1035" spans="2:13" x14ac:dyDescent="0.3">
      <c r="B1035" s="378" t="s">
        <v>1704</v>
      </c>
      <c r="C1035" s="341"/>
      <c r="D1035" s="338"/>
      <c r="E1035" s="244" t="s">
        <v>192</v>
      </c>
      <c r="F1035" s="271" t="str">
        <f>IFERROR(VLOOKUP(E1035,'Inventaire des produits'!$B$4:$K$1000,2,0),"")</f>
        <v>FOURCHETTE BLANC 60PCS</v>
      </c>
      <c r="G1035" s="268">
        <v>60</v>
      </c>
      <c r="H1035" s="90">
        <v>6.2</v>
      </c>
      <c r="I1035" s="95">
        <f t="shared" si="32"/>
        <v>372</v>
      </c>
      <c r="J1035" s="95">
        <f t="shared" si="33"/>
        <v>446.4</v>
      </c>
      <c r="K1035" s="93">
        <f>IFERROR(VLOOKUP(E1035,'Inventaire des produits'!$B$4:$J$1000,5,FALSE),"")</f>
        <v>0</v>
      </c>
      <c r="L1035" s="301">
        <f>IFERROR(VLOOKUP(E1035,'Inventaire des produits'!$B$4:$J$1000,6,FALSE),"")</f>
        <v>5.8333333329999997</v>
      </c>
      <c r="M1035" s="62"/>
    </row>
    <row r="1036" spans="2:13" x14ac:dyDescent="0.3">
      <c r="B1036" s="378" t="s">
        <v>1704</v>
      </c>
      <c r="C1036" s="342"/>
      <c r="D1036" s="339"/>
      <c r="E1036" s="244" t="s">
        <v>256</v>
      </c>
      <c r="F1036" s="271" t="str">
        <f>IFERROR(VLOOKUP(E1036,'Inventaire des produits'!$B$4:$K$1000,2,0),"")</f>
        <v>FILM ALIMENTAIRE VIOLET</v>
      </c>
      <c r="G1036" s="268">
        <v>23</v>
      </c>
      <c r="H1036" s="90">
        <v>27.1</v>
      </c>
      <c r="I1036" s="95">
        <f t="shared" si="32"/>
        <v>623.30000000000007</v>
      </c>
      <c r="J1036" s="95">
        <f t="shared" si="33"/>
        <v>747.96</v>
      </c>
      <c r="K1036" s="93">
        <f>IFERROR(VLOOKUP(E1036,'Inventaire des produits'!$B$4:$J$1000,5,FALSE),"")</f>
        <v>0</v>
      </c>
      <c r="L1036" s="301">
        <f>IFERROR(VLOOKUP(E1036,'Inventaire des produits'!$B$4:$J$1000,6,FALSE),"")</f>
        <v>28.333333333300001</v>
      </c>
      <c r="M1036" s="62"/>
    </row>
    <row r="1037" spans="2:13" x14ac:dyDescent="0.3">
      <c r="B1037" s="378" t="s">
        <v>1704</v>
      </c>
      <c r="C1037" s="340">
        <v>45498</v>
      </c>
      <c r="D1037" s="337" t="s">
        <v>1110</v>
      </c>
      <c r="E1037" s="235" t="s">
        <v>282</v>
      </c>
      <c r="F1037" s="271" t="str">
        <f>IFERROR(VLOOKUP(E1037,'Inventaire des produits'!$B$4:$K$1000,2,0),"")</f>
        <v>BARQUETTE 150CC</v>
      </c>
      <c r="G1037" s="247">
        <v>2</v>
      </c>
      <c r="H1037" s="79">
        <v>250</v>
      </c>
      <c r="I1037" s="95">
        <f t="shared" si="32"/>
        <v>500</v>
      </c>
      <c r="J1037" s="95">
        <f t="shared" si="33"/>
        <v>600</v>
      </c>
      <c r="K1037" s="93">
        <f>IFERROR(VLOOKUP(E1037,'Inventaire des produits'!$B$4:$J$1000,5,FALSE),"")</f>
        <v>0</v>
      </c>
      <c r="L1037" s="301">
        <f>IFERROR(VLOOKUP(E1037,'Inventaire des produits'!$B$4:$J$1000,6,FALSE),"")</f>
        <v>208.33</v>
      </c>
      <c r="M1037" s="62">
        <v>5348</v>
      </c>
    </row>
    <row r="1038" spans="2:13" x14ac:dyDescent="0.3">
      <c r="B1038" s="378" t="s">
        <v>1704</v>
      </c>
      <c r="C1038" s="341"/>
      <c r="D1038" s="338"/>
      <c r="E1038" s="235" t="s">
        <v>295</v>
      </c>
      <c r="F1038" s="271" t="str">
        <f>IFERROR(VLOOKUP(E1038,'Inventaire des produits'!$B$4:$K$1000,2,0),"")</f>
        <v>BARQUETTE VITA PACK 1000ML+CV</v>
      </c>
      <c r="G1038" s="247">
        <v>200</v>
      </c>
      <c r="H1038" s="79">
        <v>1.55</v>
      </c>
      <c r="I1038" s="95">
        <f t="shared" si="32"/>
        <v>310</v>
      </c>
      <c r="J1038" s="95">
        <f t="shared" si="33"/>
        <v>372</v>
      </c>
      <c r="K1038" s="93">
        <f>IFERROR(VLOOKUP(E1038,'Inventaire des produits'!$B$4:$J$1000,5,FALSE),"")</f>
        <v>0</v>
      </c>
      <c r="L1038" s="301">
        <f>IFERROR(VLOOKUP(E1038,'Inventaire des produits'!$B$4:$J$1000,6,FALSE),"")</f>
        <v>1.41</v>
      </c>
      <c r="M1038" s="62"/>
    </row>
    <row r="1039" spans="2:13" x14ac:dyDescent="0.3">
      <c r="B1039" s="378" t="s">
        <v>1704</v>
      </c>
      <c r="C1039" s="341"/>
      <c r="D1039" s="338"/>
      <c r="E1039" s="235" t="s">
        <v>894</v>
      </c>
      <c r="F1039" s="271" t="str">
        <f>IFERROR(VLOOKUP(E1039,'Inventaire des produits'!$B$4:$K$1000,2,0),"")</f>
        <v>COQUILLE MEAL BOX 2 COMP BLANC</v>
      </c>
      <c r="G1039" s="247">
        <v>800</v>
      </c>
      <c r="H1039" s="79">
        <v>1.0416666666666667</v>
      </c>
      <c r="I1039" s="95">
        <f t="shared" si="32"/>
        <v>833.33333333333337</v>
      </c>
      <c r="J1039" s="95">
        <f t="shared" si="33"/>
        <v>1000</v>
      </c>
      <c r="K1039" s="93">
        <f>IFERROR(VLOOKUP(E1039,'Inventaire des produits'!$B$4:$J$1000,5,FALSE),"")</f>
        <v>0</v>
      </c>
      <c r="L1039" s="301">
        <f>IFERROR(VLOOKUP(E1039,'Inventaire des produits'!$B$4:$J$1000,6,FALSE),"")</f>
        <v>0.91666666669999997</v>
      </c>
      <c r="M1039" s="62"/>
    </row>
    <row r="1040" spans="2:13" ht="16.5" customHeight="1" x14ac:dyDescent="0.3">
      <c r="B1040" s="378" t="s">
        <v>1704</v>
      </c>
      <c r="C1040" s="341"/>
      <c r="D1040" s="338"/>
      <c r="E1040" s="235" t="s">
        <v>1097</v>
      </c>
      <c r="F1040" s="271" t="str">
        <f>IFERROR(VLOOKUP(E1040,'Inventaire des produits'!$B$4:$K$1000,2,0),"")</f>
        <v>POT DE SAUCE EN PLAST TRANSP 20ML</v>
      </c>
      <c r="G1040" s="247">
        <v>4000</v>
      </c>
      <c r="H1040" s="79">
        <v>0.1</v>
      </c>
      <c r="I1040" s="95">
        <f t="shared" si="32"/>
        <v>400</v>
      </c>
      <c r="J1040" s="95">
        <f t="shared" si="33"/>
        <v>480</v>
      </c>
      <c r="K1040" s="93">
        <f>IFERROR(VLOOKUP(E1040,'Inventaire des produits'!$B$4:$J$1000,5,FALSE),"")</f>
        <v>0</v>
      </c>
      <c r="L1040" s="301">
        <f>IFERROR(VLOOKUP(E1040,'Inventaire des produits'!$B$4:$J$1000,6,FALSE),"")</f>
        <v>8.9166666666666672E-2</v>
      </c>
      <c r="M1040" s="62"/>
    </row>
    <row r="1041" spans="2:13" ht="16.5" customHeight="1" x14ac:dyDescent="0.3">
      <c r="B1041" s="378" t="s">
        <v>1704</v>
      </c>
      <c r="C1041" s="341"/>
      <c r="D1041" s="338"/>
      <c r="E1041" s="235" t="s">
        <v>134</v>
      </c>
      <c r="F1041" s="271" t="str">
        <f>IFERROR(VLOOKUP(E1041,'Inventaire des produits'!$B$4:$K$1000,2,0),"")</f>
        <v>PAPIER HYGIENIQUE INDUSTRIEL 280</v>
      </c>
      <c r="G1041" s="247">
        <v>38</v>
      </c>
      <c r="H1041" s="79">
        <v>7.5</v>
      </c>
      <c r="I1041" s="95">
        <f t="shared" si="32"/>
        <v>285</v>
      </c>
      <c r="J1041" s="95">
        <f t="shared" si="33"/>
        <v>342</v>
      </c>
      <c r="K1041" s="93">
        <f>IFERROR(VLOOKUP(E1041,'Inventaire des produits'!$B$4:$J$1000,5,FALSE),"")</f>
        <v>0</v>
      </c>
      <c r="L1041" s="301">
        <f>IFERROR(VLOOKUP(E1041,'Inventaire des produits'!$B$4:$J$1000,6,FALSE),"")</f>
        <v>6.5833300000000001</v>
      </c>
      <c r="M1041" s="62"/>
    </row>
    <row r="1042" spans="2:13" x14ac:dyDescent="0.3">
      <c r="B1042" s="378" t="s">
        <v>1704</v>
      </c>
      <c r="C1042" s="341"/>
      <c r="D1042" s="338"/>
      <c r="E1042" s="235" t="s">
        <v>192</v>
      </c>
      <c r="F1042" s="271" t="str">
        <f>IFERROR(VLOOKUP(E1042,'Inventaire des produits'!$B$4:$K$1000,2,0),"")</f>
        <v>FOURCHETTE BLANC 60PCS</v>
      </c>
      <c r="G1042" s="247">
        <v>60</v>
      </c>
      <c r="H1042" s="79">
        <v>6.25</v>
      </c>
      <c r="I1042" s="95">
        <f t="shared" si="32"/>
        <v>375</v>
      </c>
      <c r="J1042" s="95">
        <f t="shared" si="33"/>
        <v>450</v>
      </c>
      <c r="K1042" s="93">
        <f>IFERROR(VLOOKUP(E1042,'Inventaire des produits'!$B$4:$J$1000,5,FALSE),"")</f>
        <v>0</v>
      </c>
      <c r="L1042" s="301">
        <f>IFERROR(VLOOKUP(E1042,'Inventaire des produits'!$B$4:$J$1000,6,FALSE),"")</f>
        <v>5.8333333329999997</v>
      </c>
      <c r="M1042" s="62"/>
    </row>
    <row r="1043" spans="2:13" x14ac:dyDescent="0.3">
      <c r="B1043" s="378" t="s">
        <v>1704</v>
      </c>
      <c r="C1043" s="341"/>
      <c r="D1043" s="338"/>
      <c r="E1043" s="235" t="s">
        <v>222</v>
      </c>
      <c r="F1043" s="271" t="str">
        <f>IFERROR(VLOOKUP(E1043,'Inventaire des produits'!$B$4:$K$1000,2,0),"")</f>
        <v>FILM ALIMENTAIRE ELEGENCE</v>
      </c>
      <c r="G1043" s="247">
        <v>5</v>
      </c>
      <c r="H1043" s="79">
        <v>30.12</v>
      </c>
      <c r="I1043" s="95">
        <f t="shared" si="32"/>
        <v>150.6</v>
      </c>
      <c r="J1043" s="95">
        <f t="shared" si="33"/>
        <v>180.72</v>
      </c>
      <c r="K1043" s="93">
        <f>IFERROR(VLOOKUP(E1043,'Inventaire des produits'!$B$4:$J$1000,5,FALSE),"")</f>
        <v>0</v>
      </c>
      <c r="L1043" s="301">
        <f>IFERROR(VLOOKUP(E1043,'Inventaire des produits'!$B$4:$J$1000,6,FALSE),"")</f>
        <v>20</v>
      </c>
      <c r="M1043" s="62"/>
    </row>
    <row r="1044" spans="2:13" x14ac:dyDescent="0.3">
      <c r="B1044" s="378" t="s">
        <v>1704</v>
      </c>
      <c r="C1044" s="341"/>
      <c r="D1044" s="338"/>
      <c r="E1044" s="239" t="s">
        <v>283</v>
      </c>
      <c r="F1044" s="271" t="str">
        <f>IFERROR(VLOOKUP(E1044,'Inventaire des produits'!$B$4:$K$1000,2,0),"")</f>
        <v>FILM ALIMENTAIRE 900G PET</v>
      </c>
      <c r="G1044" s="247">
        <v>4</v>
      </c>
      <c r="H1044" s="79">
        <v>30.12</v>
      </c>
      <c r="I1044" s="95">
        <f t="shared" si="32"/>
        <v>120.48</v>
      </c>
      <c r="J1044" s="95">
        <f t="shared" si="33"/>
        <v>144.57599999999999</v>
      </c>
      <c r="K1044" s="93">
        <f>IFERROR(VLOOKUP(E1044,'Inventaire des produits'!$B$4:$J$1000,5,FALSE),"")</f>
        <v>0</v>
      </c>
      <c r="L1044" s="301">
        <f>IFERROR(VLOOKUP(E1044,'Inventaire des produits'!$B$4:$J$1000,6,FALSE),"")</f>
        <v>21.84</v>
      </c>
      <c r="M1044" s="62"/>
    </row>
    <row r="1045" spans="2:13" x14ac:dyDescent="0.3">
      <c r="B1045" s="378" t="s">
        <v>1704</v>
      </c>
      <c r="C1045" s="341"/>
      <c r="D1045" s="338"/>
      <c r="E1045" s="239" t="s">
        <v>604</v>
      </c>
      <c r="F1045" s="271" t="str">
        <f>IFERROR(VLOOKUP(E1045,'Inventaire des produits'!$B$4:$K$1000,2,0),"")</f>
        <v>FILM PVC STRECH VIOLET</v>
      </c>
      <c r="G1045" s="247">
        <v>9</v>
      </c>
      <c r="H1045" s="79">
        <v>58.333333333333336</v>
      </c>
      <c r="I1045" s="95">
        <f t="shared" si="32"/>
        <v>525</v>
      </c>
      <c r="J1045" s="95">
        <f t="shared" si="33"/>
        <v>630</v>
      </c>
      <c r="K1045" s="93">
        <f>IFERROR(VLOOKUP(E1045,'Inventaire des produits'!$B$4:$J$1000,5,FALSE),"")</f>
        <v>0</v>
      </c>
      <c r="L1045" s="301">
        <f>IFERROR(VLOOKUP(E1045,'Inventaire des produits'!$B$4:$J$1000,6,FALSE),"")</f>
        <v>54.17</v>
      </c>
      <c r="M1045" s="62"/>
    </row>
    <row r="1046" spans="2:13" ht="16.5" customHeight="1" x14ac:dyDescent="0.3">
      <c r="B1046" s="378" t="s">
        <v>1704</v>
      </c>
      <c r="C1046" s="342"/>
      <c r="D1046" s="339"/>
      <c r="E1046" s="235" t="s">
        <v>228</v>
      </c>
      <c r="F1046" s="271" t="str">
        <f>IFERROR(VLOOKUP(E1046,'Inventaire des produits'!$B$4:$K$1000,2,0),"")</f>
        <v>BARQUETTE ALUMINIUM RECT 1200ML AVEC CVL</v>
      </c>
      <c r="G1046" s="247">
        <v>1000</v>
      </c>
      <c r="H1046" s="79">
        <v>0.95725000000000005</v>
      </c>
      <c r="I1046" s="95">
        <f t="shared" si="32"/>
        <v>957.25</v>
      </c>
      <c r="J1046" s="95">
        <f t="shared" si="33"/>
        <v>1148.7</v>
      </c>
      <c r="K1046" s="93">
        <f>IFERROR(VLOOKUP(E1046,'Inventaire des produits'!$B$4:$J$1000,5,FALSE),"")</f>
        <v>0</v>
      </c>
      <c r="L1046" s="301">
        <f>IFERROR(VLOOKUP(E1046,'Inventaire des produits'!$B$4:$J$1000,6,FALSE),"")</f>
        <v>0.72499999999999998</v>
      </c>
      <c r="M1046" s="62"/>
    </row>
    <row r="1047" spans="2:13" ht="16.5" customHeight="1" x14ac:dyDescent="0.3">
      <c r="B1047" s="378" t="s">
        <v>1704</v>
      </c>
      <c r="C1047" s="340">
        <v>45499</v>
      </c>
      <c r="D1047" s="337" t="s">
        <v>1111</v>
      </c>
      <c r="E1047" s="235" t="s">
        <v>929</v>
      </c>
      <c r="F1047" s="271" t="str">
        <f>IFERROR(VLOOKUP(E1047,'Inventaire des produits'!$B$4:$K$1000,2,0),"")</f>
        <v xml:space="preserve">SERVIETTE DE TABLE </v>
      </c>
      <c r="G1047" s="247">
        <v>120</v>
      </c>
      <c r="H1047" s="79">
        <v>3.7450000000000001</v>
      </c>
      <c r="I1047" s="95">
        <f t="shared" si="32"/>
        <v>449.40000000000003</v>
      </c>
      <c r="J1047" s="95">
        <f t="shared" si="33"/>
        <v>539.28</v>
      </c>
      <c r="K1047" s="93">
        <f>IFERROR(VLOOKUP(E1047,'Inventaire des produits'!$B$4:$J$1000,5,FALSE),"")</f>
        <v>0</v>
      </c>
      <c r="L1047" s="301">
        <f>IFERROR(VLOOKUP(E1047,'Inventaire des produits'!$B$4:$J$1000,6,FALSE),"")</f>
        <v>2.9169999999999998</v>
      </c>
      <c r="M1047" s="62">
        <v>1560</v>
      </c>
    </row>
    <row r="1048" spans="2:13" ht="16.5" customHeight="1" x14ac:dyDescent="0.3">
      <c r="B1048" s="378" t="s">
        <v>1704</v>
      </c>
      <c r="C1048" s="341"/>
      <c r="D1048" s="338"/>
      <c r="E1048" s="235" t="s">
        <v>895</v>
      </c>
      <c r="F1048" s="271" t="str">
        <f>IFERROR(VLOOKUP(E1048,'Inventaire des produits'!$B$4:$K$1000,2,0),"")</f>
        <v>ROULEAU ALUMINIUM GOLDEN 200M</v>
      </c>
      <c r="G1048" s="247">
        <v>5</v>
      </c>
      <c r="H1048" s="79">
        <v>66.599999999999994</v>
      </c>
      <c r="I1048" s="95">
        <f t="shared" si="32"/>
        <v>333</v>
      </c>
      <c r="J1048" s="95">
        <f t="shared" si="33"/>
        <v>399.59999999999997</v>
      </c>
      <c r="K1048" s="93">
        <f>IFERROR(VLOOKUP(E1048,'Inventaire des produits'!$B$4:$J$1000,5,FALSE),"")</f>
        <v>0</v>
      </c>
      <c r="L1048" s="301">
        <f>IFERROR(VLOOKUP(E1048,'Inventaire des produits'!$B$4:$J$1000,6,FALSE),"")</f>
        <v>57.5</v>
      </c>
      <c r="M1048" s="62"/>
    </row>
    <row r="1049" spans="2:13" ht="16.5" customHeight="1" x14ac:dyDescent="0.3">
      <c r="B1049" s="378" t="s">
        <v>1704</v>
      </c>
      <c r="C1049" s="341"/>
      <c r="D1049" s="338"/>
      <c r="E1049" s="235" t="s">
        <v>1097</v>
      </c>
      <c r="F1049" s="271" t="str">
        <f>IFERROR(VLOOKUP(E1049,'Inventaire des produits'!$B$4:$K$1000,2,0),"")</f>
        <v>POT DE SAUCE EN PLAST TRANSP 20ML</v>
      </c>
      <c r="G1049" s="247">
        <v>1200</v>
      </c>
      <c r="H1049" s="79">
        <v>0.123</v>
      </c>
      <c r="I1049" s="95">
        <f t="shared" si="32"/>
        <v>147.6</v>
      </c>
      <c r="J1049" s="95">
        <f t="shared" si="33"/>
        <v>177.11999999999998</v>
      </c>
      <c r="K1049" s="93">
        <f>IFERROR(VLOOKUP(E1049,'Inventaire des produits'!$B$4:$J$1000,5,FALSE),"")</f>
        <v>0</v>
      </c>
      <c r="L1049" s="301">
        <f>IFERROR(VLOOKUP(E1049,'Inventaire des produits'!$B$4:$J$1000,6,FALSE),"")</f>
        <v>8.9166666666666672E-2</v>
      </c>
      <c r="M1049" s="62"/>
    </row>
    <row r="1050" spans="2:13" ht="16.5" customHeight="1" x14ac:dyDescent="0.3">
      <c r="B1050" s="378" t="s">
        <v>1704</v>
      </c>
      <c r="C1050" s="342"/>
      <c r="D1050" s="339"/>
      <c r="E1050" s="235" t="s">
        <v>115</v>
      </c>
      <c r="F1050" s="271" t="str">
        <f>IFERROR(VLOOKUP(E1050,'Inventaire des produits'!$B$4:$K$1000,2,0),"")</f>
        <v>BOITE REPAS KRAFT 1000CC CARTON 250PCS</v>
      </c>
      <c r="G1050" s="247">
        <v>1</v>
      </c>
      <c r="H1050" s="79">
        <v>370</v>
      </c>
      <c r="I1050" s="95">
        <f t="shared" si="32"/>
        <v>370</v>
      </c>
      <c r="J1050" s="95">
        <f t="shared" si="33"/>
        <v>444</v>
      </c>
      <c r="K1050" s="93">
        <f>IFERROR(VLOOKUP(E1050,'Inventaire des produits'!$B$4:$J$1000,5,FALSE),"")</f>
        <v>0</v>
      </c>
      <c r="L1050" s="301">
        <f>IFERROR(VLOOKUP(E1050,'Inventaire des produits'!$B$4:$J$1000,6,FALSE),"")</f>
        <v>354.1666666667</v>
      </c>
      <c r="M1050" s="62"/>
    </row>
    <row r="1051" spans="2:13" ht="16.5" customHeight="1" x14ac:dyDescent="0.3">
      <c r="B1051" s="378" t="s">
        <v>1704</v>
      </c>
      <c r="C1051" s="340">
        <v>45499</v>
      </c>
      <c r="D1051" s="337" t="s">
        <v>1112</v>
      </c>
      <c r="E1051" s="235" t="s">
        <v>894</v>
      </c>
      <c r="F1051" s="271" t="str">
        <f>IFERROR(VLOOKUP(E1051,'Inventaire des produits'!$B$4:$K$1000,2,0),"")</f>
        <v>COQUILLE MEAL BOX 2 COMP BLANC</v>
      </c>
      <c r="G1051" s="247">
        <v>700</v>
      </c>
      <c r="H1051" s="79">
        <v>1.25</v>
      </c>
      <c r="I1051" s="95">
        <f t="shared" si="32"/>
        <v>875</v>
      </c>
      <c r="J1051" s="95">
        <f t="shared" si="33"/>
        <v>1050</v>
      </c>
      <c r="K1051" s="93">
        <f>IFERROR(VLOOKUP(E1051,'Inventaire des produits'!$B$4:$J$1000,5,FALSE),"")</f>
        <v>0</v>
      </c>
      <c r="L1051" s="301">
        <f>IFERROR(VLOOKUP(E1051,'Inventaire des produits'!$B$4:$J$1000,6,FALSE),"")</f>
        <v>0.91666666669999997</v>
      </c>
      <c r="M1051" s="62">
        <f>SUM(J1051:J1056)</f>
        <v>4246.9949999999999</v>
      </c>
    </row>
    <row r="1052" spans="2:13" ht="16.5" customHeight="1" x14ac:dyDescent="0.3">
      <c r="B1052" s="378" t="s">
        <v>1704</v>
      </c>
      <c r="C1052" s="341"/>
      <c r="D1052" s="338"/>
      <c r="E1052" s="235" t="s">
        <v>162</v>
      </c>
      <c r="F1052" s="271" t="str">
        <f>IFERROR(VLOOKUP(E1052,'Inventaire des produits'!$B$4:$K$1000,2,0),"")</f>
        <v>COQUILLE LUNCH BOX LARGE HB10 BLANC</v>
      </c>
      <c r="G1052" s="247">
        <v>600</v>
      </c>
      <c r="H1052" s="79">
        <v>1</v>
      </c>
      <c r="I1052" s="95">
        <f t="shared" si="32"/>
        <v>600</v>
      </c>
      <c r="J1052" s="95">
        <f t="shared" si="33"/>
        <v>720</v>
      </c>
      <c r="K1052" s="93">
        <f>IFERROR(VLOOKUP(E1052,'Inventaire des produits'!$B$4:$J$1000,5,FALSE),"")</f>
        <v>0</v>
      </c>
      <c r="L1052" s="301">
        <f>IFERROR(VLOOKUP(E1052,'Inventaire des produits'!$B$4:$J$1000,6,FALSE),"")</f>
        <v>0.75</v>
      </c>
      <c r="M1052" s="62"/>
    </row>
    <row r="1053" spans="2:13" ht="16.5" customHeight="1" x14ac:dyDescent="0.3">
      <c r="B1053" s="378" t="s">
        <v>1704</v>
      </c>
      <c r="C1053" s="341"/>
      <c r="D1053" s="338"/>
      <c r="E1053" s="235" t="s">
        <v>361</v>
      </c>
      <c r="F1053" s="271" t="str">
        <f>IFERROR(VLOOKUP(E1053,'Inventaire des produits'!$B$4:$K$1000,2,0),"")</f>
        <v>FILM ETIRABLE VIOLET 290mm kg</v>
      </c>
      <c r="G1053" s="247">
        <v>25</v>
      </c>
      <c r="H1053" s="79">
        <v>31.1325</v>
      </c>
      <c r="I1053" s="95">
        <f t="shared" si="32"/>
        <v>778.3125</v>
      </c>
      <c r="J1053" s="95">
        <f t="shared" si="33"/>
        <v>933.97499999999991</v>
      </c>
      <c r="K1053" s="93">
        <f>IFERROR(VLOOKUP(E1053,'Inventaire des produits'!$B$4:$J$1000,5,FALSE),"")</f>
        <v>0</v>
      </c>
      <c r="L1053" s="301">
        <f>IFERROR(VLOOKUP(E1053,'Inventaire des produits'!$B$4:$J$1000,6,FALSE),"")</f>
        <v>25</v>
      </c>
      <c r="M1053" s="62"/>
    </row>
    <row r="1054" spans="2:13" ht="16.5" customHeight="1" x14ac:dyDescent="0.3">
      <c r="B1054" s="378" t="s">
        <v>1704</v>
      </c>
      <c r="C1054" s="341"/>
      <c r="D1054" s="338"/>
      <c r="E1054" s="235" t="s">
        <v>1097</v>
      </c>
      <c r="F1054" s="271" t="str">
        <f>IFERROR(VLOOKUP(E1054,'Inventaire des produits'!$B$4:$K$1000,2,0),"")</f>
        <v>POT DE SAUCE EN PLAST TRANSP 20ML</v>
      </c>
      <c r="G1054" s="247">
        <v>4000</v>
      </c>
      <c r="H1054" s="79">
        <v>0.125</v>
      </c>
      <c r="I1054" s="95">
        <f t="shared" si="32"/>
        <v>500</v>
      </c>
      <c r="J1054" s="95">
        <f t="shared" si="33"/>
        <v>600</v>
      </c>
      <c r="K1054" s="93">
        <f>IFERROR(VLOOKUP(E1054,'Inventaire des produits'!$B$4:$J$1000,5,FALSE),"")</f>
        <v>0</v>
      </c>
      <c r="L1054" s="301">
        <f>IFERROR(VLOOKUP(E1054,'Inventaire des produits'!$B$4:$J$1000,6,FALSE),"")</f>
        <v>8.9166666666666672E-2</v>
      </c>
      <c r="M1054" s="62"/>
    </row>
    <row r="1055" spans="2:13" ht="19.5" customHeight="1" x14ac:dyDescent="0.3">
      <c r="B1055" s="378" t="s">
        <v>1704</v>
      </c>
      <c r="C1055" s="341"/>
      <c r="D1055" s="338"/>
      <c r="E1055" s="235" t="s">
        <v>137</v>
      </c>
      <c r="F1055" s="271" t="str">
        <f>IFERROR(VLOOKUP(E1055,'Inventaire des produits'!$B$4:$K$1000,2,0),"")</f>
        <v>GOBLET 14OZ TRANSP SMART +CVBB</v>
      </c>
      <c r="G1055" s="247">
        <v>100</v>
      </c>
      <c r="H1055" s="79">
        <v>0.65</v>
      </c>
      <c r="I1055" s="95">
        <f t="shared" si="32"/>
        <v>65</v>
      </c>
      <c r="J1055" s="95">
        <f t="shared" si="33"/>
        <v>78</v>
      </c>
      <c r="K1055" s="93">
        <f>IFERROR(VLOOKUP(E1055,'Inventaire des produits'!$B$4:$J$1000,5,FALSE),"")</f>
        <v>0</v>
      </c>
      <c r="L1055" s="301">
        <f>IFERROR(VLOOKUP(E1055,'Inventaire des produits'!$B$4:$J$1000,6,FALSE),"")</f>
        <v>0.53</v>
      </c>
      <c r="M1055" s="62"/>
    </row>
    <row r="1056" spans="2:13" ht="16.5" customHeight="1" x14ac:dyDescent="0.3">
      <c r="B1056" s="378" t="s">
        <v>1704</v>
      </c>
      <c r="C1056" s="342"/>
      <c r="D1056" s="339"/>
      <c r="E1056" s="235" t="s">
        <v>135</v>
      </c>
      <c r="F1056" s="271" t="str">
        <f>IFERROR(VLOOKUP(E1056,'Inventaire des produits'!$B$4:$K$1000,2,0),"")</f>
        <v>GOBLET 14OZ EN PLAST TRANS SMART + CV PLAT</v>
      </c>
      <c r="G1056" s="247">
        <v>1109</v>
      </c>
      <c r="H1056" s="79">
        <v>0.65</v>
      </c>
      <c r="I1056" s="95">
        <f t="shared" si="32"/>
        <v>720.85</v>
      </c>
      <c r="J1056" s="95">
        <f t="shared" si="33"/>
        <v>865.02</v>
      </c>
      <c r="K1056" s="93">
        <f>IFERROR(VLOOKUP(E1056,'Inventaire des produits'!$B$4:$J$1000,5,FALSE),"")</f>
        <v>0</v>
      </c>
      <c r="L1056" s="301">
        <f>IFERROR(VLOOKUP(E1056,'Inventaire des produits'!$B$4:$J$1000,6,FALSE),"")</f>
        <v>0.46875</v>
      </c>
      <c r="M1056" s="62"/>
    </row>
    <row r="1057" spans="2:13" ht="16.5" customHeight="1" x14ac:dyDescent="0.3">
      <c r="B1057" s="378" t="s">
        <v>1704</v>
      </c>
      <c r="C1057" s="340">
        <v>45503</v>
      </c>
      <c r="D1057" s="337" t="s">
        <v>1113</v>
      </c>
      <c r="E1057" s="235" t="s">
        <v>546</v>
      </c>
      <c r="F1057" s="271" t="str">
        <f>IFERROR(VLOOKUP(E1057,'Inventaire des produits'!$B$4:$K$1000,2,0),"")</f>
        <v>ROULEAU ALUMINIUM EXTRA PACK 200M</v>
      </c>
      <c r="G1057" s="266">
        <v>3</v>
      </c>
      <c r="H1057" s="85">
        <v>52</v>
      </c>
      <c r="I1057" s="95">
        <f t="shared" si="32"/>
        <v>156</v>
      </c>
      <c r="J1057" s="95">
        <f t="shared" si="33"/>
        <v>187.2</v>
      </c>
      <c r="K1057" s="93">
        <f>IFERROR(VLOOKUP(E1057,'Inventaire des produits'!$B$4:$J$1000,5,FALSE),"")</f>
        <v>0</v>
      </c>
      <c r="L1057" s="301">
        <f>IFERROR(VLOOKUP(E1057,'Inventaire des produits'!$B$4:$J$1000,6,FALSE),"")</f>
        <v>48.333333333299997</v>
      </c>
      <c r="M1057" s="62">
        <v>41610</v>
      </c>
    </row>
    <row r="1058" spans="2:13" x14ac:dyDescent="0.3">
      <c r="B1058" s="378" t="s">
        <v>1704</v>
      </c>
      <c r="C1058" s="341"/>
      <c r="D1058" s="338"/>
      <c r="E1058" s="235" t="s">
        <v>584</v>
      </c>
      <c r="F1058" s="271" t="str">
        <f>IFERROR(VLOOKUP(E1058,'Inventaire des produits'!$B$4:$K$1000,2,0),"")</f>
        <v>ROULEAU ALUMINIUM EXTRA PACK 200M</v>
      </c>
      <c r="G1058" s="265">
        <v>23</v>
      </c>
      <c r="H1058" s="80">
        <v>52</v>
      </c>
      <c r="I1058" s="95">
        <f t="shared" si="32"/>
        <v>1196</v>
      </c>
      <c r="J1058" s="95">
        <f t="shared" si="33"/>
        <v>1435.2</v>
      </c>
      <c r="K1058" s="93">
        <f>IFERROR(VLOOKUP(E1058,'Inventaire des produits'!$B$4:$J$1000,5,FALSE),"")</f>
        <v>0</v>
      </c>
      <c r="L1058" s="301">
        <f>IFERROR(VLOOKUP(E1058,'Inventaire des produits'!$B$4:$J$1000,6,FALSE),"")</f>
        <v>50</v>
      </c>
      <c r="M1058" s="62"/>
    </row>
    <row r="1059" spans="2:13" x14ac:dyDescent="0.3">
      <c r="B1059" s="378" t="s">
        <v>1704</v>
      </c>
      <c r="C1059" s="341"/>
      <c r="D1059" s="338"/>
      <c r="E1059" s="235" t="s">
        <v>544</v>
      </c>
      <c r="F1059" s="271" t="str">
        <f>IFERROR(VLOOKUP(E1059,'Inventaire des produits'!$B$4:$K$1000,2,0),"")</f>
        <v>ROULEAU ALUMINIUM SOFTIS 200 ECO</v>
      </c>
      <c r="G1059" s="265">
        <v>100</v>
      </c>
      <c r="H1059" s="80">
        <v>20</v>
      </c>
      <c r="I1059" s="95">
        <f t="shared" si="32"/>
        <v>2000</v>
      </c>
      <c r="J1059" s="95">
        <f t="shared" si="33"/>
        <v>2400</v>
      </c>
      <c r="K1059" s="93">
        <f>IFERROR(VLOOKUP(E1059,'Inventaire des produits'!$B$4:$J$1000,5,FALSE),"")</f>
        <v>160</v>
      </c>
      <c r="L1059" s="301">
        <f>IFERROR(VLOOKUP(E1059,'Inventaire des produits'!$B$4:$J$1000,6,FALSE),"")</f>
        <v>16.666666666699999</v>
      </c>
      <c r="M1059" s="62"/>
    </row>
    <row r="1060" spans="2:13" x14ac:dyDescent="0.3">
      <c r="B1060" s="378" t="s">
        <v>1704</v>
      </c>
      <c r="C1060" s="341"/>
      <c r="D1060" s="338"/>
      <c r="E1060" s="235" t="s">
        <v>980</v>
      </c>
      <c r="F1060" s="271" t="str">
        <f>IFERROR(VLOOKUP(E1060,'Inventaire des produits'!$B$4:$K$1000,2,0),"")</f>
        <v>POT DE SAUCE 2OZ NOIRE</v>
      </c>
      <c r="G1060" s="265">
        <v>25000</v>
      </c>
      <c r="H1060" s="80">
        <v>0.2</v>
      </c>
      <c r="I1060" s="95">
        <f t="shared" si="32"/>
        <v>5000</v>
      </c>
      <c r="J1060" s="95">
        <f t="shared" si="33"/>
        <v>6000</v>
      </c>
      <c r="K1060" s="93">
        <f>IFERROR(VLOOKUP(E1060,'Inventaire des produits'!$B$4:$J$1000,5,FALSE),"")</f>
        <v>0</v>
      </c>
      <c r="L1060" s="301">
        <f>IFERROR(VLOOKUP(E1060,'Inventaire des produits'!$B$4:$J$1000,6,FALSE),"")</f>
        <v>0.17499999999999999</v>
      </c>
      <c r="M1060" s="62"/>
    </row>
    <row r="1061" spans="2:13" x14ac:dyDescent="0.3">
      <c r="B1061" s="378" t="s">
        <v>1704</v>
      </c>
      <c r="C1061" s="341"/>
      <c r="D1061" s="338"/>
      <c r="E1061" s="235" t="s">
        <v>309</v>
      </c>
      <c r="F1061" s="271" t="str">
        <f>IFERROR(VLOOKUP(E1061,'Inventaire des produits'!$B$4:$K$1000,2,0),"")</f>
        <v>SALADIER ROND 750</v>
      </c>
      <c r="G1061" s="265">
        <v>3600</v>
      </c>
      <c r="H1061" s="80">
        <v>0.7</v>
      </c>
      <c r="I1061" s="95">
        <f t="shared" si="32"/>
        <v>2520</v>
      </c>
      <c r="J1061" s="95">
        <f t="shared" si="33"/>
        <v>3024</v>
      </c>
      <c r="K1061" s="93">
        <f>IFERROR(VLOOKUP(E1061,'Inventaire des produits'!$B$4:$J$1000,5,FALSE),"")</f>
        <v>0</v>
      </c>
      <c r="L1061" s="301">
        <f>IFERROR(VLOOKUP(E1061,'Inventaire des produits'!$B$4:$J$1000,6,FALSE),"")</f>
        <v>0.6</v>
      </c>
      <c r="M1061" s="62"/>
    </row>
    <row r="1062" spans="2:13" x14ac:dyDescent="0.3">
      <c r="B1062" s="378" t="s">
        <v>1704</v>
      </c>
      <c r="C1062" s="341"/>
      <c r="D1062" s="338"/>
      <c r="E1062" s="235" t="s">
        <v>836</v>
      </c>
      <c r="F1062" s="271" t="str">
        <f>IFERROR(VLOOKUP(E1062,'Inventaire des produits'!$B$4:$K$1000,2,0),"")</f>
        <v xml:space="preserve">SERVIETTE DE TABLE </v>
      </c>
      <c r="G1062" s="265">
        <v>440</v>
      </c>
      <c r="H1062" s="80">
        <v>3.2069999999999999</v>
      </c>
      <c r="I1062" s="95">
        <f t="shared" si="32"/>
        <v>1411.08</v>
      </c>
      <c r="J1062" s="95">
        <f t="shared" si="33"/>
        <v>1693.2959999999998</v>
      </c>
      <c r="K1062" s="93">
        <f>IFERROR(VLOOKUP(E1062,'Inventaire des produits'!$B$4:$J$1000,5,FALSE),"")</f>
        <v>0</v>
      </c>
      <c r="L1062" s="301">
        <f>IFERROR(VLOOKUP(E1062,'Inventaire des produits'!$B$4:$J$1000,6,FALSE),"")</f>
        <v>2.8330000000000002</v>
      </c>
      <c r="M1062" s="62"/>
    </row>
    <row r="1063" spans="2:13" x14ac:dyDescent="0.3">
      <c r="B1063" s="378" t="s">
        <v>1704</v>
      </c>
      <c r="C1063" s="341"/>
      <c r="D1063" s="338"/>
      <c r="E1063" s="235" t="s">
        <v>306</v>
      </c>
      <c r="F1063" s="271" t="str">
        <f>IFERROR(VLOOKUP(E1063,'Inventaire des produits'!$B$4:$K$1000,2,0),"")</f>
        <v>BARQUETTE SUSHI 216*136 ET CVL CARTON 400PCS</v>
      </c>
      <c r="G1063" s="265">
        <v>1600</v>
      </c>
      <c r="H1063" s="80">
        <v>1.54</v>
      </c>
      <c r="I1063" s="95">
        <f t="shared" si="32"/>
        <v>2464</v>
      </c>
      <c r="J1063" s="95">
        <f t="shared" si="33"/>
        <v>2956.7999999999997</v>
      </c>
      <c r="K1063" s="93">
        <f>IFERROR(VLOOKUP(E1063,'Inventaire des produits'!$B$4:$J$1000,5,FALSE),"")</f>
        <v>0</v>
      </c>
      <c r="L1063" s="301">
        <f>IFERROR(VLOOKUP(E1063,'Inventaire des produits'!$B$4:$J$1000,6,FALSE),"")</f>
        <v>1.5</v>
      </c>
      <c r="M1063" s="62"/>
    </row>
    <row r="1064" spans="2:13" x14ac:dyDescent="0.3">
      <c r="B1064" s="378" t="s">
        <v>1704</v>
      </c>
      <c r="C1064" s="341"/>
      <c r="D1064" s="338"/>
      <c r="E1064" s="235" t="s">
        <v>148</v>
      </c>
      <c r="F1064" s="271" t="str">
        <f>IFERROR(VLOOKUP(E1064,'Inventaire des produits'!$B$4:$K$1000,2,0),"")</f>
        <v>BARQUETTE SUSHI ST1 160*91*20</v>
      </c>
      <c r="G1064" s="265">
        <v>800</v>
      </c>
      <c r="H1064" s="80">
        <v>0.875</v>
      </c>
      <c r="I1064" s="95">
        <f t="shared" si="32"/>
        <v>700</v>
      </c>
      <c r="J1064" s="95">
        <f t="shared" si="33"/>
        <v>840</v>
      </c>
      <c r="K1064" s="93">
        <f>IFERROR(VLOOKUP(E1064,'Inventaire des produits'!$B$4:$J$1000,5,FALSE),"")</f>
        <v>0</v>
      </c>
      <c r="L1064" s="301">
        <f>IFERROR(VLOOKUP(E1064,'Inventaire des produits'!$B$4:$J$1000,6,FALSE),"")</f>
        <v>0.75833333329999997</v>
      </c>
      <c r="M1064" s="62"/>
    </row>
    <row r="1065" spans="2:13" x14ac:dyDescent="0.3">
      <c r="B1065" s="378" t="s">
        <v>1704</v>
      </c>
      <c r="C1065" s="341"/>
      <c r="D1065" s="338"/>
      <c r="E1065" s="235" t="s">
        <v>149</v>
      </c>
      <c r="F1065" s="271" t="str">
        <f>IFERROR(VLOOKUP(E1065,'Inventaire des produits'!$B$4:$K$1000,2,0),"")</f>
        <v>BARQUETTE SUSHI ST2 218*90*20+CVRC</v>
      </c>
      <c r="G1065" s="265">
        <v>800</v>
      </c>
      <c r="H1065" s="80">
        <v>1.2</v>
      </c>
      <c r="I1065" s="95">
        <f t="shared" si="32"/>
        <v>960</v>
      </c>
      <c r="J1065" s="95">
        <f t="shared" si="33"/>
        <v>1152</v>
      </c>
      <c r="K1065" s="93">
        <f>IFERROR(VLOOKUP(E1065,'Inventaire des produits'!$B$4:$J$1000,5,FALSE),"")</f>
        <v>0</v>
      </c>
      <c r="L1065" s="301">
        <f>IFERROR(VLOOKUP(E1065,'Inventaire des produits'!$B$4:$J$1000,6,FALSE),"")</f>
        <v>1</v>
      </c>
      <c r="M1065" s="62"/>
    </row>
    <row r="1066" spans="2:13" x14ac:dyDescent="0.3">
      <c r="B1066" s="378" t="s">
        <v>1704</v>
      </c>
      <c r="C1066" s="341"/>
      <c r="D1066" s="338"/>
      <c r="E1066" s="235" t="s">
        <v>464</v>
      </c>
      <c r="F1066" s="271" t="str">
        <f>IFERROR(VLOOKUP(E1066,'Inventaire des produits'!$B$4:$K$1000,2,0),"")</f>
        <v>PAPIER ZIGZAG</v>
      </c>
      <c r="G1066" s="267">
        <v>120</v>
      </c>
      <c r="H1066" s="80">
        <v>8.3330000000000002</v>
      </c>
      <c r="I1066" s="95">
        <f t="shared" si="32"/>
        <v>999.96</v>
      </c>
      <c r="J1066" s="95">
        <f t="shared" si="33"/>
        <v>1199.952</v>
      </c>
      <c r="K1066" s="93">
        <f>IFERROR(VLOOKUP(E1066,'Inventaire des produits'!$B$4:$J$1000,5,FALSE),"")</f>
        <v>120</v>
      </c>
      <c r="L1066" s="301">
        <f>IFERROR(VLOOKUP(E1066,'Inventaire des produits'!$B$4:$J$1000,6,FALSE),"")</f>
        <v>7.5</v>
      </c>
      <c r="M1066" s="62"/>
    </row>
    <row r="1067" spans="2:13" x14ac:dyDescent="0.3">
      <c r="B1067" s="378" t="s">
        <v>1704</v>
      </c>
      <c r="C1067" s="341"/>
      <c r="D1067" s="338"/>
      <c r="E1067" s="235" t="s">
        <v>245</v>
      </c>
      <c r="F1067" s="271" t="str">
        <f>IFERROR(VLOOKUP(E1067,'Inventaire des produits'!$B$4:$K$1000,2,0),"")</f>
        <v>BARQUETTE ALUMINIUM 802</v>
      </c>
      <c r="G1067" s="267">
        <v>13000</v>
      </c>
      <c r="H1067" s="80">
        <v>0.66304300000000005</v>
      </c>
      <c r="I1067" s="95">
        <f t="shared" si="32"/>
        <v>8619.5590000000011</v>
      </c>
      <c r="J1067" s="95">
        <f t="shared" si="33"/>
        <v>10343.470800000001</v>
      </c>
      <c r="K1067" s="93">
        <f>IFERROR(VLOOKUP(E1067,'Inventaire des produits'!$B$4:$J$1000,5,FALSE),"")</f>
        <v>0</v>
      </c>
      <c r="L1067" s="301">
        <f>IFERROR(VLOOKUP(E1067,'Inventaire des produits'!$B$4:$J$1000,6,FALSE),"")</f>
        <v>0.53390000000000004</v>
      </c>
      <c r="M1067" s="62"/>
    </row>
    <row r="1068" spans="2:13" x14ac:dyDescent="0.3">
      <c r="B1068" s="378" t="s">
        <v>1704</v>
      </c>
      <c r="C1068" s="341"/>
      <c r="D1068" s="338"/>
      <c r="E1068" s="235" t="s">
        <v>551</v>
      </c>
      <c r="F1068" s="271" t="str">
        <f>IFERROR(VLOOKUP(E1068,'Inventaire des produits'!$B$4:$K$1000,2,0),"")</f>
        <v>BARQUETTE ALUMINIUM 808</v>
      </c>
      <c r="G1068" s="267">
        <v>9600</v>
      </c>
      <c r="H1068" s="80">
        <v>0.65</v>
      </c>
      <c r="I1068" s="95">
        <f t="shared" si="32"/>
        <v>6240</v>
      </c>
      <c r="J1068" s="95">
        <f t="shared" si="33"/>
        <v>7488</v>
      </c>
      <c r="K1068" s="93">
        <f>IFERROR(VLOOKUP(E1068,'Inventaire des produits'!$B$4:$J$1000,5,FALSE),"")</f>
        <v>0</v>
      </c>
      <c r="L1068" s="301">
        <f>IFERROR(VLOOKUP(E1068,'Inventaire des produits'!$B$4:$J$1000,6,FALSE),"")</f>
        <v>0.53333330000000001</v>
      </c>
      <c r="M1068" s="62"/>
    </row>
    <row r="1069" spans="2:13" x14ac:dyDescent="0.3">
      <c r="B1069" s="378" t="s">
        <v>1704</v>
      </c>
      <c r="C1069" s="341"/>
      <c r="D1069" s="338"/>
      <c r="E1069" s="235" t="s">
        <v>361</v>
      </c>
      <c r="F1069" s="271" t="str">
        <f>IFERROR(VLOOKUP(E1069,'Inventaire des produits'!$B$4:$K$1000,2,0),"")</f>
        <v>FILM ETIRABLE VIOLET 290mm kg</v>
      </c>
      <c r="G1069" s="267">
        <v>57</v>
      </c>
      <c r="H1069" s="80">
        <v>31</v>
      </c>
      <c r="I1069" s="95">
        <f t="shared" si="32"/>
        <v>1767</v>
      </c>
      <c r="J1069" s="95">
        <f t="shared" si="33"/>
        <v>2120.4</v>
      </c>
      <c r="K1069" s="93">
        <f>IFERROR(VLOOKUP(E1069,'Inventaire des produits'!$B$4:$J$1000,5,FALSE),"")</f>
        <v>0</v>
      </c>
      <c r="L1069" s="301">
        <f>IFERROR(VLOOKUP(E1069,'Inventaire des produits'!$B$4:$J$1000,6,FALSE),"")</f>
        <v>25</v>
      </c>
      <c r="M1069" s="62"/>
    </row>
    <row r="1070" spans="2:13" x14ac:dyDescent="0.3">
      <c r="B1070" s="378" t="s">
        <v>1704</v>
      </c>
      <c r="C1070" s="342"/>
      <c r="D1070" s="339"/>
      <c r="E1070" s="235" t="s">
        <v>929</v>
      </c>
      <c r="F1070" s="271" t="str">
        <f>IFERROR(VLOOKUP(E1070,'Inventaire des produits'!$B$4:$K$1000,2,0),"")</f>
        <v xml:space="preserve">SERVIETTE DE TABLE </v>
      </c>
      <c r="G1070" s="246">
        <v>200</v>
      </c>
      <c r="H1070" s="78">
        <v>3.2069999999999999</v>
      </c>
      <c r="I1070" s="95">
        <f t="shared" si="32"/>
        <v>641.4</v>
      </c>
      <c r="J1070" s="95">
        <f t="shared" si="33"/>
        <v>769.68</v>
      </c>
      <c r="K1070" s="93">
        <f>IFERROR(VLOOKUP(E1070,'Inventaire des produits'!$B$4:$J$1000,5,FALSE),"")</f>
        <v>0</v>
      </c>
      <c r="L1070" s="301">
        <f>IFERROR(VLOOKUP(E1070,'Inventaire des produits'!$B$4:$J$1000,6,FALSE),"")</f>
        <v>2.9169999999999998</v>
      </c>
      <c r="M1070" s="62"/>
    </row>
    <row r="1071" spans="2:13" x14ac:dyDescent="0.3">
      <c r="B1071" s="378" t="s">
        <v>1704</v>
      </c>
      <c r="C1071" s="340">
        <v>45505</v>
      </c>
      <c r="D1071" s="337" t="s">
        <v>1114</v>
      </c>
      <c r="E1071" s="235" t="s">
        <v>821</v>
      </c>
      <c r="F1071" s="271" t="str">
        <f>IFERROR(VLOOKUP(E1071,'Inventaire des produits'!$B$4:$K$1000,2,0),"")</f>
        <v>SAC PN BLANC NI 30*40*10</v>
      </c>
      <c r="G1071" s="247">
        <v>2000</v>
      </c>
      <c r="H1071" s="79">
        <v>0.50900000000000001</v>
      </c>
      <c r="I1071" s="95">
        <f t="shared" si="32"/>
        <v>1018</v>
      </c>
      <c r="J1071" s="95">
        <f t="shared" si="33"/>
        <v>1221.5999999999999</v>
      </c>
      <c r="K1071" s="93">
        <f>IFERROR(VLOOKUP(E1071,'Inventaire des produits'!$B$4:$J$1000,5,FALSE),"")</f>
        <v>0</v>
      </c>
      <c r="L1071" s="301">
        <f>IFERROR(VLOOKUP(E1071,'Inventaire des produits'!$B$4:$J$1000,6,FALSE),"")</f>
        <v>0.33333333329999998</v>
      </c>
      <c r="M1071" s="62">
        <f>SUM(J1071:J1076)</f>
        <v>5338.9974600000005</v>
      </c>
    </row>
    <row r="1072" spans="2:13" x14ac:dyDescent="0.3">
      <c r="B1072" s="378" t="s">
        <v>1704</v>
      </c>
      <c r="C1072" s="341"/>
      <c r="D1072" s="338"/>
      <c r="E1072" s="235" t="s">
        <v>829</v>
      </c>
      <c r="F1072" s="271" t="str">
        <f>IFERROR(VLOOKUP(E1072,'Inventaire des produits'!$B$4:$K$1000,2,0),"")</f>
        <v>SAC PN BLANC 40*45</v>
      </c>
      <c r="G1072" s="247">
        <v>2000</v>
      </c>
      <c r="H1072" s="79">
        <v>0.58799999999999997</v>
      </c>
      <c r="I1072" s="95">
        <f t="shared" si="32"/>
        <v>1176</v>
      </c>
      <c r="J1072" s="95">
        <f t="shared" si="33"/>
        <v>1411.2</v>
      </c>
      <c r="K1072" s="93">
        <f>IFERROR(VLOOKUP(E1072,'Inventaire des produits'!$B$4:$J$1000,5,FALSE),"")</f>
        <v>0</v>
      </c>
      <c r="L1072" s="301">
        <f>IFERROR(VLOOKUP(E1072,'Inventaire des produits'!$B$4:$J$1000,6,FALSE),"")</f>
        <v>0.45833333300000001</v>
      </c>
      <c r="M1072" s="62"/>
    </row>
    <row r="1073" spans="2:13" x14ac:dyDescent="0.3">
      <c r="B1073" s="378" t="s">
        <v>1704</v>
      </c>
      <c r="C1073" s="341"/>
      <c r="D1073" s="338"/>
      <c r="E1073" s="235" t="s">
        <v>130</v>
      </c>
      <c r="F1073" s="271" t="str">
        <f>IFERROR(VLOOKUP(E1073,'Inventaire des produits'!$B$4:$K$1000,2,0),"")</f>
        <v>BARQUETTE CARRE TRANS EN PET 12OZ</v>
      </c>
      <c r="G1073" s="247">
        <v>500</v>
      </c>
      <c r="H1073" s="79">
        <v>0.96</v>
      </c>
      <c r="I1073" s="95">
        <f t="shared" si="32"/>
        <v>480</v>
      </c>
      <c r="J1073" s="95">
        <f t="shared" si="33"/>
        <v>576</v>
      </c>
      <c r="K1073" s="93">
        <f>IFERROR(VLOOKUP(E1073,'Inventaire des produits'!$B$4:$J$1000,5,FALSE),"")</f>
        <v>0</v>
      </c>
      <c r="L1073" s="301">
        <f>IFERROR(VLOOKUP(E1073,'Inventaire des produits'!$B$4:$J$1000,6,FALSE),"")</f>
        <v>0.92469999999999997</v>
      </c>
      <c r="M1073" s="62"/>
    </row>
    <row r="1074" spans="2:13" x14ac:dyDescent="0.3">
      <c r="B1074" s="378" t="s">
        <v>1704</v>
      </c>
      <c r="C1074" s="341"/>
      <c r="D1074" s="338"/>
      <c r="E1074" s="235" t="s">
        <v>131</v>
      </c>
      <c r="F1074" s="271" t="str">
        <f>IFERROR(VLOOKUP(E1074,'Inventaire des produits'!$B$4:$K$1000,2,0),"")</f>
        <v>CVL PLAT POUR BARQUETTE CARRE TRANS EN PET</v>
      </c>
      <c r="G1074" s="247">
        <v>500</v>
      </c>
      <c r="H1074" s="79">
        <v>0.7</v>
      </c>
      <c r="I1074" s="95">
        <f t="shared" si="32"/>
        <v>350</v>
      </c>
      <c r="J1074" s="95">
        <f t="shared" si="33"/>
        <v>420</v>
      </c>
      <c r="K1074" s="93">
        <f>IFERROR(VLOOKUP(E1074,'Inventaire des produits'!$B$4:$J$1000,5,FALSE),"")</f>
        <v>0</v>
      </c>
      <c r="L1074" s="301">
        <f>IFERROR(VLOOKUP(E1074,'Inventaire des produits'!$B$4:$J$1000,6,FALSE),"")</f>
        <v>0.64100000000000001</v>
      </c>
      <c r="M1074" s="62"/>
    </row>
    <row r="1075" spans="2:13" x14ac:dyDescent="0.3">
      <c r="B1075" s="378" t="s">
        <v>1704</v>
      </c>
      <c r="C1075" s="341"/>
      <c r="D1075" s="338"/>
      <c r="E1075" s="235" t="s">
        <v>192</v>
      </c>
      <c r="F1075" s="271" t="str">
        <f>IFERROR(VLOOKUP(E1075,'Inventaire des produits'!$B$4:$K$1000,2,0),"")</f>
        <v>FOURCHETTE BLANC 60PCS</v>
      </c>
      <c r="G1075" s="247">
        <v>167</v>
      </c>
      <c r="H1075" s="79">
        <v>6.1686500000000004</v>
      </c>
      <c r="I1075" s="95">
        <f t="shared" si="32"/>
        <v>1030.16455</v>
      </c>
      <c r="J1075" s="95">
        <f t="shared" si="33"/>
        <v>1236.1974599999999</v>
      </c>
      <c r="K1075" s="93">
        <f>IFERROR(VLOOKUP(E1075,'Inventaire des produits'!$B$4:$J$1000,5,FALSE),"")</f>
        <v>0</v>
      </c>
      <c r="L1075" s="301">
        <f>IFERROR(VLOOKUP(E1075,'Inventaire des produits'!$B$4:$J$1000,6,FALSE),"")</f>
        <v>5.8333333329999997</v>
      </c>
      <c r="M1075" s="62"/>
    </row>
    <row r="1076" spans="2:13" x14ac:dyDescent="0.3">
      <c r="B1076" s="378" t="s">
        <v>1704</v>
      </c>
      <c r="C1076" s="342"/>
      <c r="D1076" s="339"/>
      <c r="E1076" s="235" t="s">
        <v>124</v>
      </c>
      <c r="F1076" s="271" t="str">
        <f>IFERROR(VLOOKUP(E1076,'Inventaire des produits'!$B$4:$K$1000,2,0),"")</f>
        <v>BOITE BURGER KRAFT 11,5*11,5*7 CARTON 460PCS</v>
      </c>
      <c r="G1076" s="247">
        <v>1</v>
      </c>
      <c r="H1076" s="79">
        <v>395</v>
      </c>
      <c r="I1076" s="95">
        <f t="shared" si="32"/>
        <v>395</v>
      </c>
      <c r="J1076" s="95">
        <f t="shared" si="33"/>
        <v>474</v>
      </c>
      <c r="K1076" s="93">
        <f>IFERROR(VLOOKUP(E1076,'Inventaire des produits'!$B$4:$J$1000,5,FALSE),"")</f>
        <v>0</v>
      </c>
      <c r="L1076" s="301">
        <f>IFERROR(VLOOKUP(E1076,'Inventaire des produits'!$B$4:$J$1000,6,FALSE),"")</f>
        <v>383.3333333333</v>
      </c>
      <c r="M1076" s="62"/>
    </row>
    <row r="1077" spans="2:13" x14ac:dyDescent="0.3">
      <c r="B1077" s="378" t="s">
        <v>1704</v>
      </c>
      <c r="C1077" s="340">
        <v>45506</v>
      </c>
      <c r="D1077" s="337" t="s">
        <v>1115</v>
      </c>
      <c r="E1077" s="235" t="s">
        <v>220</v>
      </c>
      <c r="F1077" s="271" t="str">
        <f>IFERROR(VLOOKUP(E1077,'Inventaire des produits'!$B$4:$K$1000,2,0),"")</f>
        <v>SALADIER R 750</v>
      </c>
      <c r="G1077" s="247">
        <v>200</v>
      </c>
      <c r="H1077" s="79">
        <v>0.90700000000000003</v>
      </c>
      <c r="I1077" s="95">
        <f t="shared" si="32"/>
        <v>181.4</v>
      </c>
      <c r="J1077" s="95">
        <f t="shared" si="33"/>
        <v>217.68</v>
      </c>
      <c r="K1077" s="93">
        <f>IFERROR(VLOOKUP(E1077,'Inventaire des produits'!$B$4:$J$1000,5,FALSE),"")</f>
        <v>0</v>
      </c>
      <c r="L1077" s="301">
        <f>IFERROR(VLOOKUP(E1077,'Inventaire des produits'!$B$4:$J$1000,6,FALSE),"")</f>
        <v>0.75</v>
      </c>
      <c r="M1077" s="62">
        <f>SUM(J1077:J1082)</f>
        <v>1543.5005999999998</v>
      </c>
    </row>
    <row r="1078" spans="2:13" x14ac:dyDescent="0.3">
      <c r="B1078" s="378" t="s">
        <v>1704</v>
      </c>
      <c r="C1078" s="341"/>
      <c r="D1078" s="338"/>
      <c r="E1078" s="235" t="s">
        <v>894</v>
      </c>
      <c r="F1078" s="271" t="str">
        <f>IFERROR(VLOOKUP(E1078,'Inventaire des produits'!$B$4:$K$1000,2,0),"")</f>
        <v>COQUILLE MEAL BOX 2 COMP BLANC</v>
      </c>
      <c r="G1078" s="247">
        <v>300</v>
      </c>
      <c r="H1078" s="79">
        <v>1.079</v>
      </c>
      <c r="I1078" s="95">
        <f t="shared" si="32"/>
        <v>323.7</v>
      </c>
      <c r="J1078" s="95">
        <f t="shared" si="33"/>
        <v>388.44</v>
      </c>
      <c r="K1078" s="93">
        <f>IFERROR(VLOOKUP(E1078,'Inventaire des produits'!$B$4:$J$1000,5,FALSE),"")</f>
        <v>0</v>
      </c>
      <c r="L1078" s="301">
        <f>IFERROR(VLOOKUP(E1078,'Inventaire des produits'!$B$4:$J$1000,6,FALSE),"")</f>
        <v>0.91666666669999997</v>
      </c>
      <c r="M1078" s="62"/>
    </row>
    <row r="1079" spans="2:13" x14ac:dyDescent="0.3">
      <c r="B1079" s="378" t="s">
        <v>1704</v>
      </c>
      <c r="C1079" s="341"/>
      <c r="D1079" s="338"/>
      <c r="E1079" s="239" t="s">
        <v>929</v>
      </c>
      <c r="F1079" s="271" t="str">
        <f>IFERROR(VLOOKUP(E1079,'Inventaire des produits'!$B$4:$K$1000,2,0),"")</f>
        <v xml:space="preserve">SERVIETTE DE TABLE </v>
      </c>
      <c r="G1079" s="247">
        <v>20</v>
      </c>
      <c r="H1079" s="79">
        <v>3.75</v>
      </c>
      <c r="I1079" s="95">
        <f t="shared" si="32"/>
        <v>75</v>
      </c>
      <c r="J1079" s="95">
        <f t="shared" si="33"/>
        <v>90</v>
      </c>
      <c r="K1079" s="93">
        <f>IFERROR(VLOOKUP(E1079,'Inventaire des produits'!$B$4:$J$1000,5,FALSE),"")</f>
        <v>0</v>
      </c>
      <c r="L1079" s="301">
        <f>IFERROR(VLOOKUP(E1079,'Inventaire des produits'!$B$4:$J$1000,6,FALSE),"")</f>
        <v>2.9169999999999998</v>
      </c>
      <c r="M1079" s="62"/>
    </row>
    <row r="1080" spans="2:13" x14ac:dyDescent="0.3">
      <c r="B1080" s="378" t="s">
        <v>1704</v>
      </c>
      <c r="C1080" s="341"/>
      <c r="D1080" s="338"/>
      <c r="E1080" s="235" t="s">
        <v>895</v>
      </c>
      <c r="F1080" s="271" t="str">
        <f>IFERROR(VLOOKUP(E1080,'Inventaire des produits'!$B$4:$K$1000,2,0),"")</f>
        <v>ROULEAU ALUMINIUM GOLDEN 200M</v>
      </c>
      <c r="G1080" s="247">
        <v>3</v>
      </c>
      <c r="H1080" s="79">
        <v>62.5</v>
      </c>
      <c r="I1080" s="95">
        <f t="shared" si="32"/>
        <v>187.5</v>
      </c>
      <c r="J1080" s="95">
        <f t="shared" si="33"/>
        <v>225</v>
      </c>
      <c r="K1080" s="93">
        <f>IFERROR(VLOOKUP(E1080,'Inventaire des produits'!$B$4:$J$1000,5,FALSE),"")</f>
        <v>0</v>
      </c>
      <c r="L1080" s="301">
        <f>IFERROR(VLOOKUP(E1080,'Inventaire des produits'!$B$4:$J$1000,6,FALSE),"")</f>
        <v>57.5</v>
      </c>
      <c r="M1080" s="62"/>
    </row>
    <row r="1081" spans="2:13" x14ac:dyDescent="0.3">
      <c r="B1081" s="378" t="s">
        <v>1704</v>
      </c>
      <c r="C1081" s="341"/>
      <c r="D1081" s="338"/>
      <c r="E1081" s="239" t="s">
        <v>498</v>
      </c>
      <c r="F1081" s="271" t="str">
        <f>IFERROR(VLOOKUP(E1081,'Inventaire des produits'!$B$4:$K$1000,2,0),"")</f>
        <v>FILM ETIRABLE VIOLET 450MM KG</v>
      </c>
      <c r="G1081" s="247">
        <v>3</v>
      </c>
      <c r="H1081" s="79">
        <v>45.8</v>
      </c>
      <c r="I1081" s="95">
        <f t="shared" si="32"/>
        <v>137.39999999999998</v>
      </c>
      <c r="J1081" s="95">
        <f t="shared" si="33"/>
        <v>164.87999999999997</v>
      </c>
      <c r="K1081" s="93">
        <f>IFERROR(VLOOKUP(E1081,'Inventaire des produits'!$B$4:$J$1000,5,FALSE),"")</f>
        <v>0</v>
      </c>
      <c r="L1081" s="301">
        <f>IFERROR(VLOOKUP(E1081,'Inventaire des produits'!$B$4:$J$1000,6,FALSE),"")</f>
        <v>27.083333333300001</v>
      </c>
      <c r="M1081" s="62"/>
    </row>
    <row r="1082" spans="2:13" ht="16.5" customHeight="1" x14ac:dyDescent="0.3">
      <c r="B1082" s="378" t="s">
        <v>1704</v>
      </c>
      <c r="C1082" s="342"/>
      <c r="D1082" s="339"/>
      <c r="E1082" s="239" t="s">
        <v>171</v>
      </c>
      <c r="F1082" s="271" t="str">
        <f>IFERROR(VLOOKUP(E1082,'Inventaire des produits'!$B$4:$K$1000,2,0),"")</f>
        <v>GOBLET 4OZ EN CARTON BON APETIT ECO GB</v>
      </c>
      <c r="G1082" s="247">
        <v>850</v>
      </c>
      <c r="H1082" s="79">
        <v>0.44852999999999998</v>
      </c>
      <c r="I1082" s="95">
        <f t="shared" si="32"/>
        <v>381.25049999999999</v>
      </c>
      <c r="J1082" s="95">
        <f t="shared" si="33"/>
        <v>457.50059999999996</v>
      </c>
      <c r="K1082" s="93">
        <f>IFERROR(VLOOKUP(E1082,'Inventaire des produits'!$B$4:$J$1000,5,FALSE),"")</f>
        <v>0</v>
      </c>
      <c r="L1082" s="301">
        <f>IFERROR(VLOOKUP(E1082,'Inventaire des produits'!$B$4:$J$1000,6,FALSE),"")</f>
        <v>9.1874999999999998E-2</v>
      </c>
      <c r="M1082" s="62"/>
    </row>
    <row r="1083" spans="2:13" x14ac:dyDescent="0.3">
      <c r="B1083" s="378" t="s">
        <v>1704</v>
      </c>
      <c r="C1083" s="340">
        <v>45507</v>
      </c>
      <c r="D1083" s="337" t="s">
        <v>1121</v>
      </c>
      <c r="E1083" s="235" t="s">
        <v>1120</v>
      </c>
      <c r="F1083" s="271" t="str">
        <f>IFERROR(VLOOKUP(E1083,'Inventaire des produits'!$B$4:$K$1000,2,0),"")</f>
        <v>SAC FOND CARRE POIGNE PLAT 32*16*33</v>
      </c>
      <c r="G1083" s="247">
        <v>3500</v>
      </c>
      <c r="H1083" s="79">
        <f>1.45/1.2</f>
        <v>1.2083333333333333</v>
      </c>
      <c r="I1083" s="95">
        <f t="shared" si="32"/>
        <v>4229.1666666666661</v>
      </c>
      <c r="J1083" s="95">
        <f t="shared" si="33"/>
        <v>5074.9999999999991</v>
      </c>
      <c r="K1083" s="93">
        <f>IFERROR(VLOOKUP(E1083,'Inventaire des produits'!$B$4:$J$1000,5,FALSE),"")</f>
        <v>0</v>
      </c>
      <c r="L1083" s="301">
        <f>IFERROR(VLOOKUP(E1083,'Inventaire des produits'!$B$4:$J$1000,6,FALSE),"")</f>
        <v>1.0417000000000001</v>
      </c>
      <c r="M1083" s="62">
        <v>5275</v>
      </c>
    </row>
    <row r="1084" spans="2:13" x14ac:dyDescent="0.3">
      <c r="B1084" s="378" t="s">
        <v>1704</v>
      </c>
      <c r="C1084" s="342"/>
      <c r="D1084" s="339"/>
      <c r="E1084" s="235" t="s">
        <v>220</v>
      </c>
      <c r="F1084" s="271" t="str">
        <f>IFERROR(VLOOKUP(E1084,'Inventaire des produits'!$B$4:$K$1000,2,0),"")</f>
        <v>SALADIER R 750</v>
      </c>
      <c r="G1084" s="247">
        <v>200</v>
      </c>
      <c r="H1084" s="79">
        <v>0.83333333333333337</v>
      </c>
      <c r="I1084" s="95">
        <f t="shared" si="32"/>
        <v>166.66666666666669</v>
      </c>
      <c r="J1084" s="95">
        <f t="shared" si="33"/>
        <v>200.00000000000003</v>
      </c>
      <c r="K1084" s="93">
        <f>IFERROR(VLOOKUP(E1084,'Inventaire des produits'!$B$4:$J$1000,5,FALSE),"")</f>
        <v>0</v>
      </c>
      <c r="L1084" s="301">
        <f>IFERROR(VLOOKUP(E1084,'Inventaire des produits'!$B$4:$J$1000,6,FALSE),"")</f>
        <v>0.75</v>
      </c>
      <c r="M1084" s="62"/>
    </row>
    <row r="1085" spans="2:13" x14ac:dyDescent="0.3">
      <c r="B1085" s="378" t="s">
        <v>1704</v>
      </c>
      <c r="C1085" s="55">
        <v>45508</v>
      </c>
      <c r="D1085" s="54" t="s">
        <v>1135</v>
      </c>
      <c r="E1085" s="235" t="s">
        <v>821</v>
      </c>
      <c r="F1085" s="271" t="str">
        <f>IFERROR(VLOOKUP(E1085,'Inventaire des produits'!$B$4:$K$1000,2,0),"")</f>
        <v>SAC PN BLANC NI 30*40*10</v>
      </c>
      <c r="G1085" s="247">
        <v>1666</v>
      </c>
      <c r="H1085" s="79">
        <v>0.50019999999999998</v>
      </c>
      <c r="I1085" s="95">
        <f t="shared" si="32"/>
        <v>833.33319999999992</v>
      </c>
      <c r="J1085" s="95">
        <f t="shared" si="33"/>
        <v>999.99983999999984</v>
      </c>
      <c r="K1085" s="93">
        <f>IFERROR(VLOOKUP(E1085,'Inventaire des produits'!$B$4:$J$1000,5,FALSE),"")</f>
        <v>0</v>
      </c>
      <c r="L1085" s="301">
        <f>IFERROR(VLOOKUP(E1085,'Inventaire des produits'!$B$4:$J$1000,6,FALSE),"")</f>
        <v>0.33333333329999998</v>
      </c>
      <c r="M1085" s="62">
        <v>1000</v>
      </c>
    </row>
    <row r="1086" spans="2:13" x14ac:dyDescent="0.3">
      <c r="B1086" s="378" t="s">
        <v>1704</v>
      </c>
      <c r="C1086" s="340">
        <v>45509</v>
      </c>
      <c r="D1086" s="337" t="s">
        <v>1136</v>
      </c>
      <c r="E1086" s="235" t="s">
        <v>192</v>
      </c>
      <c r="F1086" s="271" t="str">
        <f>IFERROR(VLOOKUP(E1086,'Inventaire des produits'!$B$4:$K$1000,2,0),"")</f>
        <v>FOURCHETTE BLANC 60PCS</v>
      </c>
      <c r="G1086" s="247">
        <v>18</v>
      </c>
      <c r="H1086" s="79">
        <v>6.27</v>
      </c>
      <c r="I1086" s="95">
        <f t="shared" si="32"/>
        <v>112.85999999999999</v>
      </c>
      <c r="J1086" s="95">
        <f t="shared" si="33"/>
        <v>135.43199999999999</v>
      </c>
      <c r="K1086" s="93">
        <f>IFERROR(VLOOKUP(E1086,'Inventaire des produits'!$B$4:$J$1000,5,FALSE),"")</f>
        <v>0</v>
      </c>
      <c r="L1086" s="301">
        <f>IFERROR(VLOOKUP(E1086,'Inventaire des produits'!$B$4:$J$1000,6,FALSE),"")</f>
        <v>5.8333333329999997</v>
      </c>
      <c r="M1086" s="62">
        <v>997</v>
      </c>
    </row>
    <row r="1087" spans="2:13" x14ac:dyDescent="0.3">
      <c r="B1087" s="378" t="s">
        <v>1704</v>
      </c>
      <c r="C1087" s="341"/>
      <c r="D1087" s="338"/>
      <c r="E1087" s="235" t="s">
        <v>319</v>
      </c>
      <c r="F1087" s="271" t="str">
        <f>IFERROR(VLOOKUP(E1087,'Inventaire des produits'!$B$4:$K$1000,2,0),"")</f>
        <v>FOURCHETTE ECOLUXE TRANSPARENTE</v>
      </c>
      <c r="G1087" s="247">
        <v>14</v>
      </c>
      <c r="H1087" s="79">
        <v>23</v>
      </c>
      <c r="I1087" s="95">
        <f t="shared" si="32"/>
        <v>322</v>
      </c>
      <c r="J1087" s="95">
        <f t="shared" si="33"/>
        <v>386.4</v>
      </c>
      <c r="K1087" s="93">
        <f>IFERROR(VLOOKUP(E1087,'Inventaire des produits'!$B$4:$J$1000,5,FALSE),"")</f>
        <v>0</v>
      </c>
      <c r="L1087" s="301">
        <f>IFERROR(VLOOKUP(E1087,'Inventaire des produits'!$B$4:$J$1000,6,FALSE),"")</f>
        <v>17.5</v>
      </c>
      <c r="M1087" s="62"/>
    </row>
    <row r="1088" spans="2:13" x14ac:dyDescent="0.3">
      <c r="B1088" s="378" t="s">
        <v>1704</v>
      </c>
      <c r="C1088" s="342"/>
      <c r="D1088" s="339"/>
      <c r="E1088" s="235" t="s">
        <v>135</v>
      </c>
      <c r="F1088" s="271" t="str">
        <f>IFERROR(VLOOKUP(E1088,'Inventaire des produits'!$B$4:$K$1000,2,0),"")</f>
        <v>GOBLET 14OZ EN PLAST TRANS SMART + CV PLAT</v>
      </c>
      <c r="G1088" s="247">
        <v>600</v>
      </c>
      <c r="H1088" s="79">
        <v>0.65995000000000004</v>
      </c>
      <c r="I1088" s="95">
        <f t="shared" si="32"/>
        <v>395.97</v>
      </c>
      <c r="J1088" s="95">
        <f t="shared" si="33"/>
        <v>475.16399999999999</v>
      </c>
      <c r="K1088" s="93">
        <f>IFERROR(VLOOKUP(E1088,'Inventaire des produits'!$B$4:$J$1000,5,FALSE),"")</f>
        <v>0</v>
      </c>
      <c r="L1088" s="301">
        <f>IFERROR(VLOOKUP(E1088,'Inventaire des produits'!$B$4:$J$1000,6,FALSE),"")</f>
        <v>0.46875</v>
      </c>
      <c r="M1088" s="62"/>
    </row>
    <row r="1089" spans="2:13" x14ac:dyDescent="0.3">
      <c r="B1089" s="378" t="s">
        <v>1704</v>
      </c>
      <c r="C1089" s="340">
        <v>45510</v>
      </c>
      <c r="D1089" s="337" t="s">
        <v>1137</v>
      </c>
      <c r="E1089" s="235" t="s">
        <v>258</v>
      </c>
      <c r="F1089" s="271" t="str">
        <f>IFERROR(VLOOKUP(E1089,'Inventaire des produits'!$B$4:$K$1000,2,0),"")</f>
        <v>BARQUETTE ST5</v>
      </c>
      <c r="G1089" s="266">
        <v>100</v>
      </c>
      <c r="H1089" s="85">
        <v>1.6666666666666667</v>
      </c>
      <c r="I1089" s="95">
        <f t="shared" si="32"/>
        <v>166.66666666666669</v>
      </c>
      <c r="J1089" s="95">
        <f t="shared" si="33"/>
        <v>200.00000000000003</v>
      </c>
      <c r="K1089" s="93">
        <f>IFERROR(VLOOKUP(E1089,'Inventaire des produits'!$B$4:$J$1000,5,FALSE),"")</f>
        <v>0</v>
      </c>
      <c r="L1089" s="301">
        <f>IFERROR(VLOOKUP(E1089,'Inventaire des produits'!$B$4:$J$1000,6,FALSE),"")</f>
        <v>1.3333333332999999</v>
      </c>
      <c r="M1089" s="62">
        <v>1293</v>
      </c>
    </row>
    <row r="1090" spans="2:13" x14ac:dyDescent="0.3">
      <c r="B1090" s="378" t="s">
        <v>1704</v>
      </c>
      <c r="C1090" s="341"/>
      <c r="D1090" s="338"/>
      <c r="E1090" s="235" t="s">
        <v>319</v>
      </c>
      <c r="F1090" s="271" t="str">
        <f>IFERROR(VLOOKUP(E1090,'Inventaire des produits'!$B$4:$K$1000,2,0),"")</f>
        <v>FOURCHETTE ECOLUXE TRANSPARENTE</v>
      </c>
      <c r="G1090" s="265">
        <v>6</v>
      </c>
      <c r="H1090" s="80">
        <v>23.333333333333336</v>
      </c>
      <c r="I1090" s="95">
        <f t="shared" si="32"/>
        <v>140</v>
      </c>
      <c r="J1090" s="95">
        <f t="shared" si="33"/>
        <v>168</v>
      </c>
      <c r="K1090" s="93">
        <f>IFERROR(VLOOKUP(E1090,'Inventaire des produits'!$B$4:$J$1000,5,FALSE),"")</f>
        <v>0</v>
      </c>
      <c r="L1090" s="301">
        <f>IFERROR(VLOOKUP(E1090,'Inventaire des produits'!$B$4:$J$1000,6,FALSE),"")</f>
        <v>17.5</v>
      </c>
      <c r="M1090" s="62"/>
    </row>
    <row r="1091" spans="2:13" x14ac:dyDescent="0.3">
      <c r="B1091" s="378" t="s">
        <v>1704</v>
      </c>
      <c r="C1091" s="341"/>
      <c r="D1091" s="338"/>
      <c r="E1091" s="235" t="s">
        <v>726</v>
      </c>
      <c r="F1091" s="271" t="str">
        <f>IFERROR(VLOOKUP(E1091,'Inventaire des produits'!$B$4:$K$1000,2,0),"")</f>
        <v>PALETTE A GLACE BLANC</v>
      </c>
      <c r="G1091" s="265">
        <v>14</v>
      </c>
      <c r="H1091" s="80">
        <v>23.3333333</v>
      </c>
      <c r="I1091" s="95">
        <f t="shared" si="32"/>
        <v>326.66666620000001</v>
      </c>
      <c r="J1091" s="95">
        <f t="shared" si="33"/>
        <v>391.99999944000001</v>
      </c>
      <c r="K1091" s="93">
        <f>IFERROR(VLOOKUP(E1091,'Inventaire des produits'!$B$4:$J$1000,5,FALSE),"")</f>
        <v>0</v>
      </c>
      <c r="L1091" s="301">
        <f>IFERROR(VLOOKUP(E1091,'Inventaire des produits'!$B$4:$J$1000,6,FALSE),"")</f>
        <v>16.03</v>
      </c>
      <c r="M1091" s="62"/>
    </row>
    <row r="1092" spans="2:13" x14ac:dyDescent="0.3">
      <c r="B1092" s="378" t="s">
        <v>1704</v>
      </c>
      <c r="C1092" s="342"/>
      <c r="D1092" s="339"/>
      <c r="E1092" s="235" t="s">
        <v>274</v>
      </c>
      <c r="F1092" s="271" t="str">
        <f>IFERROR(VLOOKUP(E1092,'Inventaire des produits'!$B$4:$K$1000,2,0),"")</f>
        <v>GOBLET 4OZ A CAFE EN CARTON KRAFT</v>
      </c>
      <c r="G1092" s="265">
        <v>800</v>
      </c>
      <c r="H1092" s="80">
        <v>0.55520999999999998</v>
      </c>
      <c r="I1092" s="95">
        <f t="shared" si="32"/>
        <v>444.16800000000001</v>
      </c>
      <c r="J1092" s="95">
        <f t="shared" si="33"/>
        <v>533.00159999999994</v>
      </c>
      <c r="K1092" s="93">
        <f>IFERROR(VLOOKUP(E1092,'Inventaire des produits'!$B$4:$J$1000,5,FALSE),"")</f>
        <v>0</v>
      </c>
      <c r="L1092" s="301">
        <f>IFERROR(VLOOKUP(E1092,'Inventaire des produits'!$B$4:$J$1000,6,FALSE),"")</f>
        <v>0.5</v>
      </c>
      <c r="M1092" s="62"/>
    </row>
    <row r="1093" spans="2:13" x14ac:dyDescent="0.3">
      <c r="B1093" s="378" t="s">
        <v>1704</v>
      </c>
      <c r="C1093" s="55">
        <v>45510</v>
      </c>
      <c r="D1093" s="54" t="s">
        <v>1152</v>
      </c>
      <c r="E1093" s="235" t="s">
        <v>252</v>
      </c>
      <c r="F1093" s="271" t="str">
        <f>IFERROR(VLOOKUP(E1093,'Inventaire des produits'!$B$4:$K$1000,2,0),"")</f>
        <v>ESSUIE MAIN GKEM1KG</v>
      </c>
      <c r="G1093" s="247">
        <v>197</v>
      </c>
      <c r="H1093" s="79">
        <v>23.265650000000001</v>
      </c>
      <c r="I1093" s="95">
        <f t="shared" ref="I1093:I1156" si="34">IF(OR(G1093="",H1093=""),"",G1093*H1093)</f>
        <v>4583.3330500000002</v>
      </c>
      <c r="J1093" s="95">
        <f t="shared" ref="J1093:J1156" si="35">IF(OR(I1093=""),"",I1093*1.2)</f>
        <v>5499.9996600000004</v>
      </c>
      <c r="K1093" s="93">
        <f>IFERROR(VLOOKUP(E1093,'Inventaire des produits'!$B$4:$J$1000,5,FALSE),"")</f>
        <v>0</v>
      </c>
      <c r="L1093" s="301">
        <f>IFERROR(VLOOKUP(E1093,'Inventaire des produits'!$B$4:$J$1000,6,FALSE),"")</f>
        <v>20.83</v>
      </c>
      <c r="M1093" s="62">
        <v>5499.9996600000004</v>
      </c>
    </row>
    <row r="1094" spans="2:13" x14ac:dyDescent="0.3">
      <c r="B1094" s="378" t="s">
        <v>1704</v>
      </c>
      <c r="C1094" s="340">
        <v>45510</v>
      </c>
      <c r="D1094" s="337" t="s">
        <v>1153</v>
      </c>
      <c r="E1094" s="235" t="s">
        <v>922</v>
      </c>
      <c r="F1094" s="271" t="str">
        <f>IFERROR(VLOOKUP(E1094,'Inventaire des produits'!$B$4:$K$1000,2,0),"")</f>
        <v>POT DE SAUCE 1OZ SANS CVL TRANSPARENT</v>
      </c>
      <c r="G1094" s="247">
        <v>12000</v>
      </c>
      <c r="H1094" s="79">
        <v>0.105625</v>
      </c>
      <c r="I1094" s="95">
        <f t="shared" si="34"/>
        <v>1267.5</v>
      </c>
      <c r="J1094" s="95">
        <f t="shared" si="35"/>
        <v>1521</v>
      </c>
      <c r="K1094" s="93">
        <f>IFERROR(VLOOKUP(E1094,'Inventaire des produits'!$B$4:$J$1000,5,FALSE),"")</f>
        <v>0</v>
      </c>
      <c r="L1094" s="301">
        <f>IFERROR(VLOOKUP(E1094,'Inventaire des produits'!$B$4:$J$1000,6,FALSE),"")</f>
        <v>0.1014</v>
      </c>
      <c r="M1094" s="62">
        <v>14820</v>
      </c>
    </row>
    <row r="1095" spans="2:13" x14ac:dyDescent="0.3">
      <c r="B1095" s="378" t="s">
        <v>1704</v>
      </c>
      <c r="C1095" s="341"/>
      <c r="D1095" s="338"/>
      <c r="E1095" s="235" t="s">
        <v>923</v>
      </c>
      <c r="F1095" s="271" t="str">
        <f>IFERROR(VLOOKUP(E1095,'Inventaire des produits'!$B$4:$K$1000,2,0),"")</f>
        <v>CVL DE POT DE SAUCE NOIR/TRANS 1OZ</v>
      </c>
      <c r="G1095" s="247">
        <v>12000</v>
      </c>
      <c r="H1095" s="79">
        <v>4.854166E-2</v>
      </c>
      <c r="I1095" s="95">
        <f t="shared" si="34"/>
        <v>582.49991999999997</v>
      </c>
      <c r="J1095" s="95">
        <f t="shared" si="35"/>
        <v>698.9999039999999</v>
      </c>
      <c r="K1095" s="93">
        <f>IFERROR(VLOOKUP(E1095,'Inventaire des produits'!$B$4:$J$1000,5,FALSE),"")</f>
        <v>0</v>
      </c>
      <c r="L1095" s="301">
        <f>IFERROR(VLOOKUP(E1095,'Inventaire des produits'!$B$4:$J$1000,6,FALSE),"")</f>
        <v>4.6600000000000003E-2</v>
      </c>
      <c r="M1095" s="62"/>
    </row>
    <row r="1096" spans="2:13" x14ac:dyDescent="0.3">
      <c r="B1096" s="378" t="s">
        <v>1704</v>
      </c>
      <c r="C1096" s="341"/>
      <c r="D1096" s="338"/>
      <c r="E1096" s="235" t="s">
        <v>1117</v>
      </c>
      <c r="F1096" s="271" t="str">
        <f>IFERROR(VLOOKUP(E1096,'Inventaire des produits'!$B$4:$K$1000,2,0),"")</f>
        <v>POT DE SAUCE 2OZ NOIRE</v>
      </c>
      <c r="G1096" s="247">
        <v>12500</v>
      </c>
      <c r="H1096" s="79">
        <v>0.21473349999999999</v>
      </c>
      <c r="I1096" s="95">
        <f t="shared" si="34"/>
        <v>2684.1687499999998</v>
      </c>
      <c r="J1096" s="95">
        <f t="shared" si="35"/>
        <v>3221.0024999999996</v>
      </c>
      <c r="K1096" s="93">
        <f>IFERROR(VLOOKUP(E1096,'Inventaire des produits'!$B$4:$J$1000,5,FALSE),"")</f>
        <v>0</v>
      </c>
      <c r="L1096" s="301">
        <f>IFERROR(VLOOKUP(E1096,'Inventaire des produits'!$B$4:$J$1000,6,FALSE),"")</f>
        <v>0.16489999999999999</v>
      </c>
      <c r="M1096" s="62"/>
    </row>
    <row r="1097" spans="2:13" x14ac:dyDescent="0.3">
      <c r="B1097" s="378" t="s">
        <v>1704</v>
      </c>
      <c r="C1097" s="341"/>
      <c r="D1097" s="338"/>
      <c r="E1097" s="235" t="s">
        <v>1149</v>
      </c>
      <c r="F1097" s="271" t="str">
        <f>IFERROR(VLOOKUP(E1097,'Inventaire des produits'!$B$4:$K$1000,2,0),"")</f>
        <v>ROULEAU DE CAISSE THERMIQUE 80X80</v>
      </c>
      <c r="G1097" s="247">
        <v>200</v>
      </c>
      <c r="H1097" s="79">
        <v>8.3333333333333339</v>
      </c>
      <c r="I1097" s="95">
        <f t="shared" si="34"/>
        <v>1666.6666666666667</v>
      </c>
      <c r="J1097" s="95">
        <f t="shared" si="35"/>
        <v>2000</v>
      </c>
      <c r="K1097" s="93">
        <f>IFERROR(VLOOKUP(E1097,'Inventaire des produits'!$B$4:$J$1000,5,FALSE),"")</f>
        <v>253</v>
      </c>
      <c r="L1097" s="301">
        <f>IFERROR(VLOOKUP(E1097,'Inventaire des produits'!$B$4:$J$1000,6,FALSE),"")</f>
        <v>7.5</v>
      </c>
      <c r="M1097" s="62"/>
    </row>
    <row r="1098" spans="2:13" x14ac:dyDescent="0.3">
      <c r="B1098" s="378" t="s">
        <v>1704</v>
      </c>
      <c r="C1098" s="341"/>
      <c r="D1098" s="338"/>
      <c r="E1098" s="235" t="s">
        <v>601</v>
      </c>
      <c r="F1098" s="271" t="str">
        <f>IFERROR(VLOOKUP(E1098,'Inventaire des produits'!$B$4:$K$1000,2,0),"")</f>
        <v>FILM ALIMENTAIRE VIOLET 280MM 500GR</v>
      </c>
      <c r="G1098" s="247">
        <v>48</v>
      </c>
      <c r="H1098" s="79">
        <v>25</v>
      </c>
      <c r="I1098" s="95">
        <f t="shared" si="34"/>
        <v>1200</v>
      </c>
      <c r="J1098" s="95">
        <f t="shared" si="35"/>
        <v>1440</v>
      </c>
      <c r="K1098" s="93">
        <f>IFERROR(VLOOKUP(E1098,'Inventaire des produits'!$B$4:$J$1000,5,FALSE),"")</f>
        <v>0</v>
      </c>
      <c r="L1098" s="301">
        <f>IFERROR(VLOOKUP(E1098,'Inventaire des produits'!$B$4:$J$1000,6,FALSE),"")</f>
        <v>29.17</v>
      </c>
      <c r="M1098" s="62"/>
    </row>
    <row r="1099" spans="2:13" x14ac:dyDescent="0.3">
      <c r="B1099" s="378" t="s">
        <v>1704</v>
      </c>
      <c r="C1099" s="341"/>
      <c r="D1099" s="338"/>
      <c r="E1099" s="235" t="s">
        <v>929</v>
      </c>
      <c r="F1099" s="271" t="str">
        <f>IFERROR(VLOOKUP(E1099,'Inventaire des produits'!$B$4:$K$1000,2,0),"")</f>
        <v xml:space="preserve">SERVIETTE DE TABLE </v>
      </c>
      <c r="G1099" s="247">
        <v>500</v>
      </c>
      <c r="H1099" s="79">
        <v>3.291666666666667</v>
      </c>
      <c r="I1099" s="95">
        <f t="shared" si="34"/>
        <v>1645.8333333333335</v>
      </c>
      <c r="J1099" s="95">
        <f t="shared" si="35"/>
        <v>1975</v>
      </c>
      <c r="K1099" s="93">
        <f>IFERROR(VLOOKUP(E1099,'Inventaire des produits'!$B$4:$J$1000,5,FALSE),"")</f>
        <v>0</v>
      </c>
      <c r="L1099" s="301">
        <f>IFERROR(VLOOKUP(E1099,'Inventaire des produits'!$B$4:$J$1000,6,FALSE),"")</f>
        <v>2.9169999999999998</v>
      </c>
      <c r="M1099" s="62"/>
    </row>
    <row r="1100" spans="2:13" x14ac:dyDescent="0.3">
      <c r="B1100" s="378" t="s">
        <v>1704</v>
      </c>
      <c r="C1100" s="341"/>
      <c r="D1100" s="338"/>
      <c r="E1100" s="235" t="s">
        <v>342</v>
      </c>
      <c r="F1100" s="271" t="str">
        <f>IFERROR(VLOOKUP(E1100,'Inventaire des produits'!$B$4:$K$1000,2,0),"")</f>
        <v>GANT VINYL NOIR EXTRA PREMIUM GLOVE MEDIUM</v>
      </c>
      <c r="G1100" s="247">
        <v>60</v>
      </c>
      <c r="H1100" s="79">
        <v>23.333333333333336</v>
      </c>
      <c r="I1100" s="95">
        <f t="shared" si="34"/>
        <v>1400.0000000000002</v>
      </c>
      <c r="J1100" s="95">
        <f t="shared" si="35"/>
        <v>1680.0000000000002</v>
      </c>
      <c r="K1100" s="93">
        <f>IFERROR(VLOOKUP(E1100,'Inventaire des produits'!$B$4:$J$1000,5,FALSE),"")</f>
        <v>0</v>
      </c>
      <c r="L1100" s="301">
        <f>IFERROR(VLOOKUP(E1100,'Inventaire des produits'!$B$4:$J$1000,6,FALSE),"")</f>
        <v>22.5</v>
      </c>
      <c r="M1100" s="62"/>
    </row>
    <row r="1101" spans="2:13" x14ac:dyDescent="0.3">
      <c r="B1101" s="378" t="s">
        <v>1704</v>
      </c>
      <c r="C1101" s="341"/>
      <c r="D1101" s="338"/>
      <c r="E1101" s="235" t="s">
        <v>582</v>
      </c>
      <c r="F1101" s="271" t="str">
        <f>IFERROR(VLOOKUP(E1101,'Inventaire des produits'!$B$4:$K$1000,2,0),"")</f>
        <v>GANT VINYL EXTRA PREMIUM GLOVE LARGE</v>
      </c>
      <c r="G1101" s="247">
        <v>43</v>
      </c>
      <c r="H1101" s="79">
        <v>23.333333333333336</v>
      </c>
      <c r="I1101" s="95">
        <f t="shared" si="34"/>
        <v>1003.3333333333335</v>
      </c>
      <c r="J1101" s="95">
        <f t="shared" si="35"/>
        <v>1204.0000000000002</v>
      </c>
      <c r="K1101" s="93">
        <f>IFERROR(VLOOKUP(E1101,'Inventaire des produits'!$B$4:$J$1000,5,FALSE),"")</f>
        <v>0</v>
      </c>
      <c r="L1101" s="301">
        <f>IFERROR(VLOOKUP(E1101,'Inventaire des produits'!$B$4:$J$1000,6,FALSE),"")</f>
        <v>19.166666666699999</v>
      </c>
      <c r="M1101" s="62"/>
    </row>
    <row r="1102" spans="2:13" x14ac:dyDescent="0.3">
      <c r="B1102" s="378" t="s">
        <v>1704</v>
      </c>
      <c r="C1102" s="342"/>
      <c r="D1102" s="339"/>
      <c r="E1102" s="235" t="s">
        <v>206</v>
      </c>
      <c r="F1102" s="271" t="str">
        <f>IFERROR(VLOOKUP(E1102,'Inventaire des produits'!$B$4:$K$1000,2,0),"")</f>
        <v>ESSUIE MAIN 1KG LISSE</v>
      </c>
      <c r="G1102" s="247">
        <v>36</v>
      </c>
      <c r="H1102" s="79">
        <v>25</v>
      </c>
      <c r="I1102" s="95">
        <f t="shared" si="34"/>
        <v>900</v>
      </c>
      <c r="J1102" s="95">
        <f t="shared" si="35"/>
        <v>1080</v>
      </c>
      <c r="K1102" s="93">
        <f>IFERROR(VLOOKUP(E1102,'Inventaire des produits'!$B$4:$J$1000,5,FALSE),"")</f>
        <v>0</v>
      </c>
      <c r="L1102" s="301">
        <f>IFERROR(VLOOKUP(E1102,'Inventaire des produits'!$B$4:$J$1000,6,FALSE),"")</f>
        <v>21.25</v>
      </c>
      <c r="M1102" s="62"/>
    </row>
    <row r="1103" spans="2:13" x14ac:dyDescent="0.3">
      <c r="B1103" s="378" t="s">
        <v>1704</v>
      </c>
      <c r="C1103" s="340">
        <v>45510</v>
      </c>
      <c r="D1103" s="337" t="s">
        <v>1154</v>
      </c>
      <c r="E1103" s="239" t="s">
        <v>895</v>
      </c>
      <c r="F1103" s="271" t="str">
        <f>IFERROR(VLOOKUP(E1103,'Inventaire des produits'!$B$4:$K$1000,2,0),"")</f>
        <v>ROULEAU ALUMINIUM GOLDEN 200M</v>
      </c>
      <c r="G1103" s="247">
        <v>24</v>
      </c>
      <c r="H1103" s="79">
        <v>62.5</v>
      </c>
      <c r="I1103" s="95">
        <f t="shared" si="34"/>
        <v>1500</v>
      </c>
      <c r="J1103" s="95">
        <f t="shared" si="35"/>
        <v>1800</v>
      </c>
      <c r="K1103" s="93">
        <f>IFERROR(VLOOKUP(E1103,'Inventaire des produits'!$B$4:$J$1000,5,FALSE),"")</f>
        <v>0</v>
      </c>
      <c r="L1103" s="301">
        <f>IFERROR(VLOOKUP(E1103,'Inventaire des produits'!$B$4:$J$1000,6,FALSE),"")</f>
        <v>57.5</v>
      </c>
      <c r="M1103" s="62">
        <v>3300</v>
      </c>
    </row>
    <row r="1104" spans="2:13" x14ac:dyDescent="0.3">
      <c r="B1104" s="378" t="s">
        <v>1704</v>
      </c>
      <c r="C1104" s="342"/>
      <c r="D1104" s="339"/>
      <c r="E1104" s="239" t="s">
        <v>619</v>
      </c>
      <c r="F1104" s="271" t="str">
        <f>IFERROR(VLOOKUP(E1104,'Inventaire des produits'!$B$4:$K$1000,2,0),"")</f>
        <v>POT DE SAUCE 1OZ 30ML HP</v>
      </c>
      <c r="G1104" s="247">
        <v>7500</v>
      </c>
      <c r="H1104" s="79">
        <v>0.16666666666666669</v>
      </c>
      <c r="I1104" s="95">
        <f t="shared" si="34"/>
        <v>1250.0000000000002</v>
      </c>
      <c r="J1104" s="95">
        <f t="shared" si="35"/>
        <v>1500.0000000000002</v>
      </c>
      <c r="K1104" s="93">
        <f>IFERROR(VLOOKUP(E1104,'Inventaire des produits'!$B$4:$J$1000,5,FALSE),"")</f>
        <v>0</v>
      </c>
      <c r="L1104" s="301">
        <f>IFERROR(VLOOKUP(E1104,'Inventaire des produits'!$B$4:$J$1000,6,FALSE),"")</f>
        <v>0.13450000000000001</v>
      </c>
      <c r="M1104" s="62"/>
    </row>
    <row r="1105" spans="2:13" x14ac:dyDescent="0.3">
      <c r="B1105" s="378" t="s">
        <v>1704</v>
      </c>
      <c r="C1105" s="55">
        <v>45511</v>
      </c>
      <c r="D1105" s="54" t="s">
        <v>1155</v>
      </c>
      <c r="E1105" s="239" t="s">
        <v>619</v>
      </c>
      <c r="F1105" s="271" t="str">
        <f>IFERROR(VLOOKUP(E1105,'Inventaire des produits'!$B$4:$K$1000,2,0),"")</f>
        <v>POT DE SAUCE 1OZ 30ML HP</v>
      </c>
      <c r="G1105" s="247">
        <f>2500*5</f>
        <v>12500</v>
      </c>
      <c r="H1105" s="79">
        <f>0.2/1.2</f>
        <v>0.16666666666666669</v>
      </c>
      <c r="I1105" s="95">
        <f t="shared" si="34"/>
        <v>2083.3333333333335</v>
      </c>
      <c r="J1105" s="95">
        <f t="shared" si="35"/>
        <v>2500</v>
      </c>
      <c r="K1105" s="93">
        <f>IFERROR(VLOOKUP(E1105,'Inventaire des produits'!$B$4:$J$1000,5,FALSE),"")</f>
        <v>0</v>
      </c>
      <c r="L1105" s="301">
        <f>IFERROR(VLOOKUP(E1105,'Inventaire des produits'!$B$4:$J$1000,6,FALSE),"")</f>
        <v>0.13450000000000001</v>
      </c>
      <c r="M1105" s="62">
        <v>2500</v>
      </c>
    </row>
    <row r="1106" spans="2:13" x14ac:dyDescent="0.3">
      <c r="B1106" s="378" t="s">
        <v>1704</v>
      </c>
      <c r="C1106" s="340">
        <v>45511</v>
      </c>
      <c r="D1106" s="337" t="s">
        <v>1156</v>
      </c>
      <c r="E1106" s="239" t="s">
        <v>387</v>
      </c>
      <c r="F1106" s="271" t="str">
        <f>IFERROR(VLOOKUP(E1106,'Inventaire des produits'!$B$4:$K$1000,2,0),"")</f>
        <v>GANT VINYL EXTRA PREMIUM GLOVE LARGE</v>
      </c>
      <c r="G1106" s="247">
        <v>28</v>
      </c>
      <c r="H1106" s="79">
        <v>33.333333333333336</v>
      </c>
      <c r="I1106" s="95">
        <f t="shared" si="34"/>
        <v>933.33333333333337</v>
      </c>
      <c r="J1106" s="95">
        <f t="shared" si="35"/>
        <v>1120</v>
      </c>
      <c r="K1106" s="93">
        <f>IFERROR(VLOOKUP(E1106,'Inventaire des produits'!$B$4:$J$1000,5,FALSE),"")</f>
        <v>0</v>
      </c>
      <c r="L1106" s="301">
        <f>IFERROR(VLOOKUP(E1106,'Inventaire des produits'!$B$4:$J$1000,6,FALSE),"")</f>
        <v>20</v>
      </c>
      <c r="M1106" s="62">
        <v>8050</v>
      </c>
    </row>
    <row r="1107" spans="2:13" x14ac:dyDescent="0.3">
      <c r="B1107" s="378" t="s">
        <v>1704</v>
      </c>
      <c r="C1107" s="341"/>
      <c r="D1107" s="338"/>
      <c r="E1107" s="235" t="s">
        <v>206</v>
      </c>
      <c r="F1107" s="271" t="str">
        <f>IFERROR(VLOOKUP(E1107,'Inventaire des produits'!$B$4:$K$1000,2,0),"")</f>
        <v>ESSUIE MAIN 1KG LISSE</v>
      </c>
      <c r="G1107" s="247">
        <v>30</v>
      </c>
      <c r="H1107" s="79">
        <v>29.1221</v>
      </c>
      <c r="I1107" s="95">
        <f t="shared" si="34"/>
        <v>873.66300000000001</v>
      </c>
      <c r="J1107" s="95">
        <f t="shared" si="35"/>
        <v>1048.3956000000001</v>
      </c>
      <c r="K1107" s="93">
        <f>IFERROR(VLOOKUP(E1107,'Inventaire des produits'!$B$4:$J$1000,5,FALSE),"")</f>
        <v>0</v>
      </c>
      <c r="L1107" s="301">
        <f>IFERROR(VLOOKUP(E1107,'Inventaire des produits'!$B$4:$J$1000,6,FALSE),"")</f>
        <v>21.25</v>
      </c>
      <c r="M1107" s="62"/>
    </row>
    <row r="1108" spans="2:13" x14ac:dyDescent="0.3">
      <c r="B1108" s="378" t="s">
        <v>1704</v>
      </c>
      <c r="C1108" s="341"/>
      <c r="D1108" s="338"/>
      <c r="E1108" s="235" t="s">
        <v>929</v>
      </c>
      <c r="F1108" s="271" t="str">
        <f>IFERROR(VLOOKUP(E1108,'Inventaire des produits'!$B$4:$K$1000,2,0),"")</f>
        <v xml:space="preserve">SERVIETTE DE TABLE </v>
      </c>
      <c r="G1108" s="247">
        <v>100</v>
      </c>
      <c r="H1108" s="79">
        <v>3.75</v>
      </c>
      <c r="I1108" s="95">
        <f t="shared" si="34"/>
        <v>375</v>
      </c>
      <c r="J1108" s="95">
        <f t="shared" si="35"/>
        <v>450</v>
      </c>
      <c r="K1108" s="93">
        <f>IFERROR(VLOOKUP(E1108,'Inventaire des produits'!$B$4:$J$1000,5,FALSE),"")</f>
        <v>0</v>
      </c>
      <c r="L1108" s="301">
        <f>IFERROR(VLOOKUP(E1108,'Inventaire des produits'!$B$4:$J$1000,6,FALSE),"")</f>
        <v>2.9169999999999998</v>
      </c>
      <c r="M1108" s="62"/>
    </row>
    <row r="1109" spans="2:13" x14ac:dyDescent="0.3">
      <c r="B1109" s="378" t="s">
        <v>1704</v>
      </c>
      <c r="C1109" s="341"/>
      <c r="D1109" s="338"/>
      <c r="E1109" s="235" t="s">
        <v>895</v>
      </c>
      <c r="F1109" s="271" t="str">
        <f>IFERROR(VLOOKUP(E1109,'Inventaire des produits'!$B$4:$K$1000,2,0),"")</f>
        <v>ROULEAU ALUMINIUM GOLDEN 200M</v>
      </c>
      <c r="G1109" s="247">
        <v>5</v>
      </c>
      <c r="H1109" s="79">
        <v>66.666666666666671</v>
      </c>
      <c r="I1109" s="95">
        <f t="shared" si="34"/>
        <v>333.33333333333337</v>
      </c>
      <c r="J1109" s="95">
        <f t="shared" si="35"/>
        <v>400.00000000000006</v>
      </c>
      <c r="K1109" s="93">
        <f>IFERROR(VLOOKUP(E1109,'Inventaire des produits'!$B$4:$J$1000,5,FALSE),"")</f>
        <v>0</v>
      </c>
      <c r="L1109" s="301">
        <f>IFERROR(VLOOKUP(E1109,'Inventaire des produits'!$B$4:$J$1000,6,FALSE),"")</f>
        <v>57.5</v>
      </c>
      <c r="M1109" s="62"/>
    </row>
    <row r="1110" spans="2:13" x14ac:dyDescent="0.3">
      <c r="B1110" s="378" t="s">
        <v>1704</v>
      </c>
      <c r="C1110" s="341"/>
      <c r="D1110" s="338"/>
      <c r="E1110" s="235" t="s">
        <v>309</v>
      </c>
      <c r="F1110" s="271" t="str">
        <f>IFERROR(VLOOKUP(E1110,'Inventaire des produits'!$B$4:$K$1000,2,0),"")</f>
        <v>SALADIER ROND 750</v>
      </c>
      <c r="G1110" s="247">
        <v>600</v>
      </c>
      <c r="H1110" s="79">
        <v>0.83</v>
      </c>
      <c r="I1110" s="95">
        <f t="shared" si="34"/>
        <v>498</v>
      </c>
      <c r="J1110" s="95">
        <f t="shared" si="35"/>
        <v>597.6</v>
      </c>
      <c r="K1110" s="93">
        <f>IFERROR(VLOOKUP(E1110,'Inventaire des produits'!$B$4:$J$1000,5,FALSE),"")</f>
        <v>0</v>
      </c>
      <c r="L1110" s="301">
        <f>IFERROR(VLOOKUP(E1110,'Inventaire des produits'!$B$4:$J$1000,6,FALSE),"")</f>
        <v>0.6</v>
      </c>
      <c r="M1110" s="62"/>
    </row>
    <row r="1111" spans="2:13" x14ac:dyDescent="0.3">
      <c r="B1111" s="378" t="s">
        <v>1704</v>
      </c>
      <c r="C1111" s="341"/>
      <c r="D1111" s="338"/>
      <c r="E1111" s="235" t="s">
        <v>188</v>
      </c>
      <c r="F1111" s="271" t="str">
        <f>IFERROR(VLOOKUP(E1111,'Inventaire des produits'!$B$4:$K$1000,2,0),"")</f>
        <v>BOX KRAFT 18*10,5*7CM CARTON 500PCS</v>
      </c>
      <c r="G1111" s="247">
        <v>1</v>
      </c>
      <c r="H1111" s="79">
        <v>555</v>
      </c>
      <c r="I1111" s="95">
        <f t="shared" si="34"/>
        <v>555</v>
      </c>
      <c r="J1111" s="95">
        <f t="shared" si="35"/>
        <v>666</v>
      </c>
      <c r="K1111" s="93">
        <f>IFERROR(VLOOKUP(E1111,'Inventaire des produits'!$B$4:$J$1000,5,FALSE),"")</f>
        <v>0</v>
      </c>
      <c r="L1111" s="301">
        <f>IFERROR(VLOOKUP(E1111,'Inventaire des produits'!$B$4:$J$1000,6,FALSE),"")</f>
        <v>541.66666666670005</v>
      </c>
      <c r="M1111" s="62"/>
    </row>
    <row r="1112" spans="2:13" x14ac:dyDescent="0.3">
      <c r="B1112" s="378" t="s">
        <v>1704</v>
      </c>
      <c r="C1112" s="341"/>
      <c r="D1112" s="338"/>
      <c r="E1112" s="235" t="s">
        <v>186</v>
      </c>
      <c r="F1112" s="271" t="str">
        <f>IFERROR(VLOOKUP(E1112,'Inventaire des produits'!$B$4:$K$1000,2,0),"")</f>
        <v>BOL SALADE ET CVL KRAFT 32OZ CARTON 300PCS</v>
      </c>
      <c r="G1112" s="247">
        <v>2</v>
      </c>
      <c r="H1112" s="79">
        <v>685</v>
      </c>
      <c r="I1112" s="95">
        <f t="shared" si="34"/>
        <v>1370</v>
      </c>
      <c r="J1112" s="95">
        <f t="shared" si="35"/>
        <v>1644</v>
      </c>
      <c r="K1112" s="93">
        <f>IFERROR(VLOOKUP(E1112,'Inventaire des produits'!$B$4:$J$1000,5,FALSE),"")</f>
        <v>0</v>
      </c>
      <c r="L1112" s="301">
        <f>IFERROR(VLOOKUP(E1112,'Inventaire des produits'!$B$4:$J$1000,6,FALSE),"")</f>
        <v>675</v>
      </c>
      <c r="M1112" s="62"/>
    </row>
    <row r="1113" spans="2:13" x14ac:dyDescent="0.3">
      <c r="B1113" s="378" t="s">
        <v>1704</v>
      </c>
      <c r="C1113" s="341"/>
      <c r="D1113" s="338"/>
      <c r="E1113" s="235" t="s">
        <v>691</v>
      </c>
      <c r="F1113" s="271" t="str">
        <f>IFERROR(VLOOKUP(E1113,'Inventaire des produits'!$B$4:$K$1000,2,0),"")</f>
        <v>POT DE SAUCE 2OZ ET CVL</v>
      </c>
      <c r="G1113" s="247">
        <v>5100</v>
      </c>
      <c r="H1113" s="79">
        <v>0.3</v>
      </c>
      <c r="I1113" s="95">
        <f t="shared" si="34"/>
        <v>1530</v>
      </c>
      <c r="J1113" s="95">
        <f t="shared" si="35"/>
        <v>1836</v>
      </c>
      <c r="K1113" s="93">
        <f>IFERROR(VLOOKUP(E1113,'Inventaire des produits'!$B$4:$J$1000,5,FALSE),"")</f>
        <v>0</v>
      </c>
      <c r="L1113" s="301">
        <f>IFERROR(VLOOKUP(E1113,'Inventaire des produits'!$B$4:$J$1000,6,FALSE),"")</f>
        <v>0.2020833333</v>
      </c>
      <c r="M1113" s="62"/>
    </row>
    <row r="1114" spans="2:13" x14ac:dyDescent="0.3">
      <c r="B1114" s="378" t="s">
        <v>1704</v>
      </c>
      <c r="C1114" s="342"/>
      <c r="D1114" s="339"/>
      <c r="E1114" s="235" t="s">
        <v>361</v>
      </c>
      <c r="F1114" s="271" t="str">
        <f>IFERROR(VLOOKUP(E1114,'Inventaire des produits'!$B$4:$K$1000,2,0),"")</f>
        <v>FILM ETIRABLE VIOLET 290mm kg</v>
      </c>
      <c r="G1114" s="247">
        <v>8</v>
      </c>
      <c r="H1114" s="79">
        <v>30</v>
      </c>
      <c r="I1114" s="95">
        <f t="shared" si="34"/>
        <v>240</v>
      </c>
      <c r="J1114" s="95">
        <f t="shared" si="35"/>
        <v>288</v>
      </c>
      <c r="K1114" s="93">
        <f>IFERROR(VLOOKUP(E1114,'Inventaire des produits'!$B$4:$J$1000,5,FALSE),"")</f>
        <v>0</v>
      </c>
      <c r="L1114" s="301">
        <f>IFERROR(VLOOKUP(E1114,'Inventaire des produits'!$B$4:$J$1000,6,FALSE),"")</f>
        <v>25</v>
      </c>
      <c r="M1114" s="62"/>
    </row>
    <row r="1115" spans="2:13" x14ac:dyDescent="0.3">
      <c r="B1115" s="378" t="s">
        <v>1704</v>
      </c>
      <c r="C1115" s="340">
        <v>45511</v>
      </c>
      <c r="D1115" s="337" t="s">
        <v>1157</v>
      </c>
      <c r="E1115" s="235" t="s">
        <v>843</v>
      </c>
      <c r="F1115" s="271" t="str">
        <f>IFERROR(VLOOKUP(E1115,'Inventaire des produits'!$B$4:$K$1000,2,0),"")</f>
        <v>GOBLET 14OZ EN PLAST TRANS SMART + CV PLAT</v>
      </c>
      <c r="G1115" s="247">
        <v>2000</v>
      </c>
      <c r="H1115" s="79">
        <f>0.78/1.2</f>
        <v>0.65</v>
      </c>
      <c r="I1115" s="95">
        <f t="shared" si="34"/>
        <v>1300</v>
      </c>
      <c r="J1115" s="95">
        <f t="shared" si="35"/>
        <v>1560</v>
      </c>
      <c r="K1115" s="93">
        <f>IFERROR(VLOOKUP(E1115,'Inventaire des produits'!$B$4:$J$1000,5,FALSE),"")</f>
        <v>0</v>
      </c>
      <c r="L1115" s="301">
        <f>IFERROR(VLOOKUP(E1115,'Inventaire des produits'!$B$4:$J$1000,6,FALSE),"")</f>
        <v>0.43333749999999999</v>
      </c>
      <c r="M1115" s="62">
        <v>5460</v>
      </c>
    </row>
    <row r="1116" spans="2:13" x14ac:dyDescent="0.3">
      <c r="B1116" s="378" t="s">
        <v>1704</v>
      </c>
      <c r="C1116" s="342"/>
      <c r="D1116" s="339"/>
      <c r="E1116" s="240" t="s">
        <v>927</v>
      </c>
      <c r="F1116" s="271" t="str">
        <f>IFERROR(VLOOKUP(E1116,'Inventaire des produits'!$B$4:$K$1000,2,0),"")</f>
        <v>GOBLET 14OZ TRANS SMART + CVL BB</v>
      </c>
      <c r="G1116" s="247">
        <v>5000</v>
      </c>
      <c r="H1116" s="79">
        <f>0.78/1.2</f>
        <v>0.65</v>
      </c>
      <c r="I1116" s="95">
        <f t="shared" si="34"/>
        <v>3250</v>
      </c>
      <c r="J1116" s="95">
        <f t="shared" si="35"/>
        <v>3900</v>
      </c>
      <c r="K1116" s="93">
        <f>IFERROR(VLOOKUP(E1116,'Inventaire des produits'!$B$4:$J$1000,5,FALSE),"")</f>
        <v>0</v>
      </c>
      <c r="L1116" s="301">
        <f>IFERROR(VLOOKUP(E1116,'Inventaire des produits'!$B$4:$J$1000,6,FALSE),"")</f>
        <v>0.5</v>
      </c>
      <c r="M1116" s="62"/>
    </row>
    <row r="1117" spans="2:13" x14ac:dyDescent="0.3">
      <c r="B1117" s="378" t="s">
        <v>1704</v>
      </c>
      <c r="C1117" s="340">
        <v>45511</v>
      </c>
      <c r="D1117" s="337" t="s">
        <v>1158</v>
      </c>
      <c r="E1117" s="235" t="s">
        <v>911</v>
      </c>
      <c r="F1117" s="271" t="str">
        <f>IFERROR(VLOOKUP(E1117,'Inventaire des produits'!$B$4:$K$1000,2,0),"")</f>
        <v>BARQUETTE ALUMINIUM RECT 1200ML AVEC CVL</v>
      </c>
      <c r="G1117" s="247">
        <v>400</v>
      </c>
      <c r="H1117" s="79">
        <f>1.3/1.2</f>
        <v>1.0833333333333335</v>
      </c>
      <c r="I1117" s="95">
        <f t="shared" si="34"/>
        <v>433.33333333333337</v>
      </c>
      <c r="J1117" s="95">
        <f t="shared" si="35"/>
        <v>520</v>
      </c>
      <c r="K1117" s="93">
        <f>IFERROR(VLOOKUP(E1117,'Inventaire des produits'!$B$4:$J$1000,5,FALSE),"")</f>
        <v>0</v>
      </c>
      <c r="L1117" s="301">
        <f>IFERROR(VLOOKUP(E1117,'Inventaire des produits'!$B$4:$J$1000,6,FALSE),"")</f>
        <v>0.97499800000000003</v>
      </c>
      <c r="M1117" s="62">
        <v>1715</v>
      </c>
    </row>
    <row r="1118" spans="2:13" x14ac:dyDescent="0.3">
      <c r="B1118" s="378" t="s">
        <v>1704</v>
      </c>
      <c r="C1118" s="341"/>
      <c r="D1118" s="338"/>
      <c r="E1118" s="240" t="s">
        <v>440</v>
      </c>
      <c r="F1118" s="271" t="str">
        <f>IFERROR(VLOOKUP(E1118,'Inventaire des produits'!$B$4:$K$1000,2,0),"")</f>
        <v>COUPE MACEDONIA</v>
      </c>
      <c r="G1118" s="247">
        <v>500</v>
      </c>
      <c r="H1118" s="79">
        <f>1.1/1.2</f>
        <v>0.91666666666666674</v>
      </c>
      <c r="I1118" s="95">
        <f t="shared" si="34"/>
        <v>458.33333333333337</v>
      </c>
      <c r="J1118" s="95">
        <f t="shared" si="35"/>
        <v>550</v>
      </c>
      <c r="K1118" s="93">
        <f>IFERROR(VLOOKUP(E1118,'Inventaire des produits'!$B$4:$J$1000,5,FALSE),"")</f>
        <v>0</v>
      </c>
      <c r="L1118" s="301">
        <f>IFERROR(VLOOKUP(E1118,'Inventaire des produits'!$B$4:$J$1000,6,FALSE),"")</f>
        <v>0.47</v>
      </c>
      <c r="M1118" s="62"/>
    </row>
    <row r="1119" spans="2:13" x14ac:dyDescent="0.3">
      <c r="B1119" s="378" t="s">
        <v>1704</v>
      </c>
      <c r="C1119" s="341"/>
      <c r="D1119" s="338"/>
      <c r="E1119" s="235" t="s">
        <v>895</v>
      </c>
      <c r="F1119" s="271" t="str">
        <f>IFERROR(VLOOKUP(E1119,'Inventaire des produits'!$B$4:$K$1000,2,0),"")</f>
        <v>ROULEAU ALUMINIUM GOLDEN 200M</v>
      </c>
      <c r="G1119" s="247">
        <v>1</v>
      </c>
      <c r="H1119" s="79">
        <f>85/1.2</f>
        <v>70.833333333333343</v>
      </c>
      <c r="I1119" s="95">
        <f t="shared" si="34"/>
        <v>70.833333333333343</v>
      </c>
      <c r="J1119" s="95">
        <f t="shared" si="35"/>
        <v>85.000000000000014</v>
      </c>
      <c r="K1119" s="93">
        <f>IFERROR(VLOOKUP(E1119,'Inventaire des produits'!$B$4:$J$1000,5,FALSE),"")</f>
        <v>0</v>
      </c>
      <c r="L1119" s="301">
        <f>IFERROR(VLOOKUP(E1119,'Inventaire des produits'!$B$4:$J$1000,6,FALSE),"")</f>
        <v>57.5</v>
      </c>
      <c r="M1119" s="62"/>
    </row>
    <row r="1120" spans="2:13" x14ac:dyDescent="0.3">
      <c r="B1120" s="378" t="s">
        <v>1704</v>
      </c>
      <c r="C1120" s="341"/>
      <c r="D1120" s="338"/>
      <c r="E1120" s="235" t="s">
        <v>869</v>
      </c>
      <c r="F1120" s="271" t="str">
        <f>IFERROR(VLOOKUP(E1120,'Inventaire des produits'!$B$4:$K$1000,2,0),"")</f>
        <v>PAILLE ENVELOPPEE CODE 100 TRANS</v>
      </c>
      <c r="G1120" s="247">
        <v>25</v>
      </c>
      <c r="H1120" s="79">
        <f>8/1.2</f>
        <v>6.666666666666667</v>
      </c>
      <c r="I1120" s="95">
        <f t="shared" si="34"/>
        <v>166.66666666666669</v>
      </c>
      <c r="J1120" s="95">
        <f t="shared" si="35"/>
        <v>200.00000000000003</v>
      </c>
      <c r="K1120" s="93">
        <f>IFERROR(VLOOKUP(E1120,'Inventaire des produits'!$B$4:$J$1000,5,FALSE),"")</f>
        <v>898</v>
      </c>
      <c r="L1120" s="301">
        <f>IFERROR(VLOOKUP(E1120,'Inventaire des produits'!$B$4:$J$1000,6,FALSE),"")</f>
        <v>3.9166666659999998</v>
      </c>
      <c r="M1120" s="62"/>
    </row>
    <row r="1121" spans="2:13" x14ac:dyDescent="0.3">
      <c r="B1121" s="378" t="s">
        <v>1704</v>
      </c>
      <c r="C1121" s="342"/>
      <c r="D1121" s="339"/>
      <c r="E1121" s="235" t="s">
        <v>929</v>
      </c>
      <c r="F1121" s="271" t="str">
        <f>IFERROR(VLOOKUP(E1121,'Inventaire des produits'!$B$4:$K$1000,2,0),"")</f>
        <v xml:space="preserve">SERVIETTE DE TABLE </v>
      </c>
      <c r="G1121" s="247">
        <v>80</v>
      </c>
      <c r="H1121" s="79">
        <f>4.5/1.2</f>
        <v>3.75</v>
      </c>
      <c r="I1121" s="95">
        <f t="shared" si="34"/>
        <v>300</v>
      </c>
      <c r="J1121" s="95">
        <f t="shared" si="35"/>
        <v>360</v>
      </c>
      <c r="K1121" s="93">
        <f>IFERROR(VLOOKUP(E1121,'Inventaire des produits'!$B$4:$J$1000,5,FALSE),"")</f>
        <v>0</v>
      </c>
      <c r="L1121" s="301">
        <f>IFERROR(VLOOKUP(E1121,'Inventaire des produits'!$B$4:$J$1000,6,FALSE),"")</f>
        <v>2.9169999999999998</v>
      </c>
      <c r="M1121" s="62"/>
    </row>
    <row r="1122" spans="2:13" x14ac:dyDescent="0.3">
      <c r="B1122" s="378" t="s">
        <v>1704</v>
      </c>
      <c r="C1122" s="340">
        <v>45511</v>
      </c>
      <c r="D1122" s="337" t="s">
        <v>1159</v>
      </c>
      <c r="E1122" s="235" t="s">
        <v>911</v>
      </c>
      <c r="F1122" s="271" t="str">
        <f>IFERROR(VLOOKUP(E1122,'Inventaire des produits'!$B$4:$K$1000,2,0),"")</f>
        <v>BARQUETTE ALUMINIUM RECT 1200ML AVEC CVL</v>
      </c>
      <c r="G1122" s="247">
        <v>700</v>
      </c>
      <c r="H1122" s="79">
        <v>1.0833333333333335</v>
      </c>
      <c r="I1122" s="95">
        <f t="shared" si="34"/>
        <v>758.33333333333348</v>
      </c>
      <c r="J1122" s="95">
        <f t="shared" si="35"/>
        <v>910.00000000000011</v>
      </c>
      <c r="K1122" s="93">
        <f>IFERROR(VLOOKUP(E1122,'Inventaire des produits'!$B$4:$J$1000,5,FALSE),"")</f>
        <v>0</v>
      </c>
      <c r="L1122" s="301">
        <f>IFERROR(VLOOKUP(E1122,'Inventaire des produits'!$B$4:$J$1000,6,FALSE),"")</f>
        <v>0.97499800000000003</v>
      </c>
      <c r="M1122" s="62">
        <v>3020</v>
      </c>
    </row>
    <row r="1123" spans="2:13" x14ac:dyDescent="0.3">
      <c r="B1123" s="378" t="s">
        <v>1704</v>
      </c>
      <c r="C1123" s="341"/>
      <c r="D1123" s="338"/>
      <c r="E1123" s="235" t="s">
        <v>440</v>
      </c>
      <c r="F1123" s="271" t="str">
        <f>IFERROR(VLOOKUP(E1123,'Inventaire des produits'!$B$4:$K$1000,2,0),"")</f>
        <v>COUPE MACEDONIA</v>
      </c>
      <c r="G1123" s="247">
        <v>600</v>
      </c>
      <c r="H1123" s="79">
        <v>0.91666666666666674</v>
      </c>
      <c r="I1123" s="95">
        <f t="shared" si="34"/>
        <v>550</v>
      </c>
      <c r="J1123" s="95">
        <f t="shared" si="35"/>
        <v>660</v>
      </c>
      <c r="K1123" s="93">
        <f>IFERROR(VLOOKUP(E1123,'Inventaire des produits'!$B$4:$J$1000,5,FALSE),"")</f>
        <v>0</v>
      </c>
      <c r="L1123" s="301">
        <f>IFERROR(VLOOKUP(E1123,'Inventaire des produits'!$B$4:$J$1000,6,FALSE),"")</f>
        <v>0.47</v>
      </c>
      <c r="M1123" s="62"/>
    </row>
    <row r="1124" spans="2:13" x14ac:dyDescent="0.3">
      <c r="B1124" s="378" t="s">
        <v>1704</v>
      </c>
      <c r="C1124" s="341"/>
      <c r="D1124" s="338"/>
      <c r="E1124" s="235" t="s">
        <v>895</v>
      </c>
      <c r="F1124" s="271" t="str">
        <f>IFERROR(VLOOKUP(E1124,'Inventaire des produits'!$B$4:$K$1000,2,0),"")</f>
        <v>ROULEAU ALUMINIUM GOLDEN 200M</v>
      </c>
      <c r="G1124" s="247">
        <v>10</v>
      </c>
      <c r="H1124" s="79">
        <v>70.833333333333343</v>
      </c>
      <c r="I1124" s="95">
        <f t="shared" si="34"/>
        <v>708.33333333333348</v>
      </c>
      <c r="J1124" s="95">
        <f t="shared" si="35"/>
        <v>850.00000000000011</v>
      </c>
      <c r="K1124" s="93">
        <f>IFERROR(VLOOKUP(E1124,'Inventaire des produits'!$B$4:$J$1000,5,FALSE),"")</f>
        <v>0</v>
      </c>
      <c r="L1124" s="301">
        <f>IFERROR(VLOOKUP(E1124,'Inventaire des produits'!$B$4:$J$1000,6,FALSE),"")</f>
        <v>57.5</v>
      </c>
      <c r="M1124" s="62"/>
    </row>
    <row r="1125" spans="2:13" x14ac:dyDescent="0.3">
      <c r="B1125" s="378" t="s">
        <v>1704</v>
      </c>
      <c r="C1125" s="341"/>
      <c r="D1125" s="338"/>
      <c r="E1125" s="235" t="s">
        <v>869</v>
      </c>
      <c r="F1125" s="271" t="str">
        <f>IFERROR(VLOOKUP(E1125,'Inventaire des produits'!$B$4:$K$1000,2,0),"")</f>
        <v>PAILLE ENVELOPPEE CODE 100 TRANS</v>
      </c>
      <c r="G1125" s="247">
        <v>30</v>
      </c>
      <c r="H1125" s="79">
        <v>6.666666666666667</v>
      </c>
      <c r="I1125" s="95">
        <f t="shared" si="34"/>
        <v>200</v>
      </c>
      <c r="J1125" s="95">
        <f t="shared" si="35"/>
        <v>240</v>
      </c>
      <c r="K1125" s="93">
        <f>IFERROR(VLOOKUP(E1125,'Inventaire des produits'!$B$4:$J$1000,5,FALSE),"")</f>
        <v>898</v>
      </c>
      <c r="L1125" s="301">
        <f>IFERROR(VLOOKUP(E1125,'Inventaire des produits'!$B$4:$J$1000,6,FALSE),"")</f>
        <v>3.9166666659999998</v>
      </c>
      <c r="M1125" s="62"/>
    </row>
    <row r="1126" spans="2:13" x14ac:dyDescent="0.3">
      <c r="B1126" s="378" t="s">
        <v>1704</v>
      </c>
      <c r="C1126" s="342"/>
      <c r="D1126" s="339"/>
      <c r="E1126" s="235" t="s">
        <v>929</v>
      </c>
      <c r="F1126" s="271" t="str">
        <f>IFERROR(VLOOKUP(E1126,'Inventaire des produits'!$B$4:$K$1000,2,0),"")</f>
        <v xml:space="preserve">SERVIETTE DE TABLE </v>
      </c>
      <c r="G1126" s="247">
        <v>80</v>
      </c>
      <c r="H1126" s="79">
        <v>3.75</v>
      </c>
      <c r="I1126" s="95">
        <f t="shared" si="34"/>
        <v>300</v>
      </c>
      <c r="J1126" s="95">
        <f t="shared" si="35"/>
        <v>360</v>
      </c>
      <c r="K1126" s="93">
        <f>IFERROR(VLOOKUP(E1126,'Inventaire des produits'!$B$4:$J$1000,5,FALSE),"")</f>
        <v>0</v>
      </c>
      <c r="L1126" s="301">
        <f>IFERROR(VLOOKUP(E1126,'Inventaire des produits'!$B$4:$J$1000,6,FALSE),"")</f>
        <v>2.9169999999999998</v>
      </c>
      <c r="M1126" s="62"/>
    </row>
    <row r="1127" spans="2:13" x14ac:dyDescent="0.3">
      <c r="B1127" s="378" t="s">
        <v>1704</v>
      </c>
      <c r="C1127" s="55">
        <v>45512</v>
      </c>
      <c r="D1127" s="54" t="s">
        <v>1160</v>
      </c>
      <c r="E1127" s="235" t="s">
        <v>553</v>
      </c>
      <c r="F1127" s="271" t="str">
        <f>IFERROR(VLOOKUP(E1127,'Inventaire des produits'!$B$4:$K$1000,2,0),"")</f>
        <v>FOURCHETTE ECOLUXE TRANSPARENTE</v>
      </c>
      <c r="G1127" s="247">
        <v>40</v>
      </c>
      <c r="H1127" s="79">
        <f>28/1.2</f>
        <v>23.333333333333336</v>
      </c>
      <c r="I1127" s="95">
        <f t="shared" si="34"/>
        <v>933.33333333333348</v>
      </c>
      <c r="J1127" s="95">
        <f t="shared" si="35"/>
        <v>1120.0000000000002</v>
      </c>
      <c r="K1127" s="93">
        <f>IFERROR(VLOOKUP(E1127,'Inventaire des produits'!$B$4:$J$1000,5,FALSE),"")</f>
        <v>0</v>
      </c>
      <c r="L1127" s="301">
        <f>IFERROR(VLOOKUP(E1127,'Inventaire des produits'!$B$4:$J$1000,6,FALSE),"")</f>
        <v>17.5</v>
      </c>
      <c r="M1127" s="62">
        <v>1120.0000000000002</v>
      </c>
    </row>
    <row r="1128" spans="2:13" x14ac:dyDescent="0.3">
      <c r="B1128" s="378" t="s">
        <v>1704</v>
      </c>
      <c r="C1128" s="340">
        <v>45512</v>
      </c>
      <c r="D1128" s="337" t="s">
        <v>1161</v>
      </c>
      <c r="E1128" s="235" t="s">
        <v>821</v>
      </c>
      <c r="F1128" s="271" t="str">
        <f>IFERROR(VLOOKUP(E1128,'Inventaire des produits'!$B$4:$K$1000,2,0),"")</f>
        <v>SAC PN BLANC NI 30*40*10</v>
      </c>
      <c r="G1128" s="247">
        <v>834</v>
      </c>
      <c r="H1128" s="79">
        <v>0.50800000000000001</v>
      </c>
      <c r="I1128" s="95">
        <f t="shared" si="34"/>
        <v>423.67200000000003</v>
      </c>
      <c r="J1128" s="95">
        <f t="shared" si="35"/>
        <v>508.40640000000002</v>
      </c>
      <c r="K1128" s="93">
        <f>IFERROR(VLOOKUP(E1128,'Inventaire des produits'!$B$4:$J$1000,5,FALSE),"")</f>
        <v>0</v>
      </c>
      <c r="L1128" s="301">
        <f>IFERROR(VLOOKUP(E1128,'Inventaire des produits'!$B$4:$J$1000,6,FALSE),"")</f>
        <v>0.33333333329999998</v>
      </c>
      <c r="M1128" s="62">
        <f>SUM(J1128:J1143)</f>
        <v>21000.004000000001</v>
      </c>
    </row>
    <row r="1129" spans="2:13" x14ac:dyDescent="0.3">
      <c r="B1129" s="378" t="s">
        <v>1704</v>
      </c>
      <c r="C1129" s="341"/>
      <c r="D1129" s="338"/>
      <c r="E1129" s="235" t="s">
        <v>828</v>
      </c>
      <c r="F1129" s="271" t="str">
        <f>IFERROR(VLOOKUP(E1129,'Inventaire des produits'!$B$4:$K$1000,2,0),"")</f>
        <v>SAC PN BLANC 40*30</v>
      </c>
      <c r="G1129" s="247">
        <v>4600</v>
      </c>
      <c r="H1129" s="79">
        <v>0.50800000000000001</v>
      </c>
      <c r="I1129" s="95">
        <f t="shared" si="34"/>
        <v>2336.8000000000002</v>
      </c>
      <c r="J1129" s="95">
        <f t="shared" si="35"/>
        <v>2804.1600000000003</v>
      </c>
      <c r="K1129" s="93">
        <f>IFERROR(VLOOKUP(E1129,'Inventaire des produits'!$B$4:$J$1000,5,FALSE),"")</f>
        <v>0</v>
      </c>
      <c r="L1129" s="301">
        <f>IFERROR(VLOOKUP(E1129,'Inventaire des produits'!$B$4:$J$1000,6,FALSE),"")</f>
        <v>0.33333332999999998</v>
      </c>
      <c r="M1129" s="62"/>
    </row>
    <row r="1130" spans="2:13" x14ac:dyDescent="0.3">
      <c r="B1130" s="378" t="s">
        <v>1704</v>
      </c>
      <c r="C1130" s="341"/>
      <c r="D1130" s="338"/>
      <c r="E1130" s="235" t="s">
        <v>829</v>
      </c>
      <c r="F1130" s="271" t="str">
        <f>IFERROR(VLOOKUP(E1130,'Inventaire des produits'!$B$4:$K$1000,2,0),"")</f>
        <v>SAC PN BLANC 40*45</v>
      </c>
      <c r="G1130" s="247">
        <v>500</v>
      </c>
      <c r="H1130" s="79">
        <v>0.58609999999999995</v>
      </c>
      <c r="I1130" s="95">
        <f t="shared" si="34"/>
        <v>293.04999999999995</v>
      </c>
      <c r="J1130" s="95">
        <f t="shared" si="35"/>
        <v>351.65999999999991</v>
      </c>
      <c r="K1130" s="93">
        <f>IFERROR(VLOOKUP(E1130,'Inventaire des produits'!$B$4:$J$1000,5,FALSE),"")</f>
        <v>0</v>
      </c>
      <c r="L1130" s="301">
        <f>IFERROR(VLOOKUP(E1130,'Inventaire des produits'!$B$4:$J$1000,6,FALSE),"")</f>
        <v>0.45833333300000001</v>
      </c>
      <c r="M1130" s="62"/>
    </row>
    <row r="1131" spans="2:13" x14ac:dyDescent="0.3">
      <c r="B1131" s="378" t="s">
        <v>1704</v>
      </c>
      <c r="C1131" s="341"/>
      <c r="D1131" s="338"/>
      <c r="E1131" s="235" t="s">
        <v>1097</v>
      </c>
      <c r="F1131" s="271" t="str">
        <f>IFERROR(VLOOKUP(E1131,'Inventaire des produits'!$B$4:$K$1000,2,0),"")</f>
        <v>POT DE SAUCE EN PLAST TRANSP 20ML</v>
      </c>
      <c r="G1131" s="247">
        <v>6000</v>
      </c>
      <c r="H1131" s="79">
        <v>6.6666666666666666E-2</v>
      </c>
      <c r="I1131" s="95">
        <f t="shared" si="34"/>
        <v>400</v>
      </c>
      <c r="J1131" s="95">
        <f t="shared" si="35"/>
        <v>480</v>
      </c>
      <c r="K1131" s="93">
        <f>IFERROR(VLOOKUP(E1131,'Inventaire des produits'!$B$4:$J$1000,5,FALSE),"")</f>
        <v>0</v>
      </c>
      <c r="L1131" s="301">
        <f>IFERROR(VLOOKUP(E1131,'Inventaire des produits'!$B$4:$J$1000,6,FALSE),"")</f>
        <v>8.9166666666666672E-2</v>
      </c>
      <c r="M1131" s="62"/>
    </row>
    <row r="1132" spans="2:13" x14ac:dyDescent="0.3">
      <c r="B1132" s="378" t="s">
        <v>1704</v>
      </c>
      <c r="C1132" s="341"/>
      <c r="D1132" s="338"/>
      <c r="E1132" s="235" t="s">
        <v>158</v>
      </c>
      <c r="F1132" s="271" t="str">
        <f>IFERROR(VLOOKUP(E1132,'Inventaire des produits'!$B$4:$K$1000,2,0),"")</f>
        <v>CUILLERE PETIT</v>
      </c>
      <c r="G1132" s="247">
        <v>6000</v>
      </c>
      <c r="H1132" s="79">
        <v>7.4857999999999994E-2</v>
      </c>
      <c r="I1132" s="95">
        <f t="shared" si="34"/>
        <v>449.14799999999997</v>
      </c>
      <c r="J1132" s="95">
        <f t="shared" si="35"/>
        <v>538.97759999999994</v>
      </c>
      <c r="K1132" s="93">
        <f>IFERROR(VLOOKUP(E1132,'Inventaire des produits'!$B$4:$J$1000,5,FALSE),"")</f>
        <v>0</v>
      </c>
      <c r="L1132" s="301">
        <f>IFERROR(VLOOKUP(E1132,'Inventaire des produits'!$B$4:$J$1000,6,FALSE),"")</f>
        <v>5.8329499999999999E-2</v>
      </c>
      <c r="M1132" s="62"/>
    </row>
    <row r="1133" spans="2:13" x14ac:dyDescent="0.3">
      <c r="B1133" s="378" t="s">
        <v>1704</v>
      </c>
      <c r="C1133" s="341"/>
      <c r="D1133" s="338"/>
      <c r="E1133" s="235" t="s">
        <v>206</v>
      </c>
      <c r="F1133" s="271" t="str">
        <f>IFERROR(VLOOKUP(E1133,'Inventaire des produits'!$B$4:$K$1000,2,0),"")</f>
        <v>ESSUIE MAIN 1KG LISSE</v>
      </c>
      <c r="G1133" s="247">
        <v>180</v>
      </c>
      <c r="H1133" s="79">
        <v>28.8</v>
      </c>
      <c r="I1133" s="95">
        <f t="shared" si="34"/>
        <v>5184</v>
      </c>
      <c r="J1133" s="95">
        <f t="shared" si="35"/>
        <v>6220.8</v>
      </c>
      <c r="K1133" s="93">
        <f>IFERROR(VLOOKUP(E1133,'Inventaire des produits'!$B$4:$J$1000,5,FALSE),"")</f>
        <v>0</v>
      </c>
      <c r="L1133" s="301">
        <f>IFERROR(VLOOKUP(E1133,'Inventaire des produits'!$B$4:$J$1000,6,FALSE),"")</f>
        <v>21.25</v>
      </c>
      <c r="M1133" s="62"/>
    </row>
    <row r="1134" spans="2:13" x14ac:dyDescent="0.3">
      <c r="B1134" s="378" t="s">
        <v>1704</v>
      </c>
      <c r="C1134" s="341"/>
      <c r="D1134" s="338"/>
      <c r="E1134" s="235" t="s">
        <v>141</v>
      </c>
      <c r="F1134" s="271" t="str">
        <f>IFERROR(VLOOKUP(E1134,'Inventaire des produits'!$B$4:$K$1000,2,0),"")</f>
        <v>LUNCH BOX KRAFT 19*11*7,5 CARTON 200</v>
      </c>
      <c r="G1134" s="247">
        <v>1</v>
      </c>
      <c r="H1134" s="79">
        <v>290</v>
      </c>
      <c r="I1134" s="95">
        <f t="shared" si="34"/>
        <v>290</v>
      </c>
      <c r="J1134" s="95">
        <f t="shared" si="35"/>
        <v>348</v>
      </c>
      <c r="K1134" s="93">
        <f>IFERROR(VLOOKUP(E1134,'Inventaire des produits'!$B$4:$J$1000,5,FALSE),"")</f>
        <v>0</v>
      </c>
      <c r="L1134" s="301">
        <f>IFERROR(VLOOKUP(E1134,'Inventaire des produits'!$B$4:$J$1000,6,FALSE),"")</f>
        <v>256</v>
      </c>
      <c r="M1134" s="62"/>
    </row>
    <row r="1135" spans="2:13" x14ac:dyDescent="0.3">
      <c r="B1135" s="378" t="s">
        <v>1704</v>
      </c>
      <c r="C1135" s="341"/>
      <c r="D1135" s="338"/>
      <c r="E1135" s="235" t="s">
        <v>145</v>
      </c>
      <c r="F1135" s="271" t="str">
        <f>IFERROR(VLOOKUP(E1135,'Inventaire des produits'!$B$4:$K$1000,2,0),"")</f>
        <v>GOBLET 14OZ TRANSP SMART +CVBB</v>
      </c>
      <c r="G1135" s="247">
        <v>700</v>
      </c>
      <c r="H1135" s="79">
        <v>0.65</v>
      </c>
      <c r="I1135" s="95">
        <f t="shared" si="34"/>
        <v>455</v>
      </c>
      <c r="J1135" s="95">
        <f t="shared" si="35"/>
        <v>546</v>
      </c>
      <c r="K1135" s="93">
        <f>IFERROR(VLOOKUP(E1135,'Inventaire des produits'!$B$4:$J$1000,5,FALSE),"")</f>
        <v>0</v>
      </c>
      <c r="L1135" s="301">
        <f>IFERROR(VLOOKUP(E1135,'Inventaire des produits'!$B$4:$J$1000,6,FALSE),"")</f>
        <v>0.52</v>
      </c>
      <c r="M1135" s="62"/>
    </row>
    <row r="1136" spans="2:13" x14ac:dyDescent="0.3">
      <c r="B1136" s="378" t="s">
        <v>1704</v>
      </c>
      <c r="C1136" s="341"/>
      <c r="D1136" s="338"/>
      <c r="E1136" s="235" t="s">
        <v>895</v>
      </c>
      <c r="F1136" s="271" t="str">
        <f>IFERROR(VLOOKUP(E1136,'Inventaire des produits'!$B$4:$K$1000,2,0),"")</f>
        <v>ROULEAU ALUMINIUM GOLDEN 200M</v>
      </c>
      <c r="G1136" s="247">
        <v>28</v>
      </c>
      <c r="H1136" s="79">
        <v>66.666666666666671</v>
      </c>
      <c r="I1136" s="95">
        <f t="shared" si="34"/>
        <v>1866.6666666666667</v>
      </c>
      <c r="J1136" s="95">
        <f t="shared" si="35"/>
        <v>2240</v>
      </c>
      <c r="K1136" s="93">
        <f>IFERROR(VLOOKUP(E1136,'Inventaire des produits'!$B$4:$J$1000,5,FALSE),"")</f>
        <v>0</v>
      </c>
      <c r="L1136" s="301">
        <f>IFERROR(VLOOKUP(E1136,'Inventaire des produits'!$B$4:$J$1000,6,FALSE),"")</f>
        <v>57.5</v>
      </c>
      <c r="M1136" s="62"/>
    </row>
    <row r="1137" spans="2:13" x14ac:dyDescent="0.3">
      <c r="B1137" s="378" t="s">
        <v>1704</v>
      </c>
      <c r="C1137" s="341"/>
      <c r="D1137" s="338"/>
      <c r="E1137" s="235" t="s">
        <v>929</v>
      </c>
      <c r="F1137" s="271" t="str">
        <f>IFERROR(VLOOKUP(E1137,'Inventaire des produits'!$B$4:$K$1000,2,0),"")</f>
        <v xml:space="preserve">SERVIETTE DE TABLE </v>
      </c>
      <c r="G1137" s="247">
        <v>420</v>
      </c>
      <c r="H1137" s="79">
        <v>3.75</v>
      </c>
      <c r="I1137" s="95">
        <f t="shared" si="34"/>
        <v>1575</v>
      </c>
      <c r="J1137" s="95">
        <f t="shared" si="35"/>
        <v>1890</v>
      </c>
      <c r="K1137" s="93">
        <f>IFERROR(VLOOKUP(E1137,'Inventaire des produits'!$B$4:$J$1000,5,FALSE),"")</f>
        <v>0</v>
      </c>
      <c r="L1137" s="301">
        <f>IFERROR(VLOOKUP(E1137,'Inventaire des produits'!$B$4:$J$1000,6,FALSE),"")</f>
        <v>2.9169999999999998</v>
      </c>
      <c r="M1137" s="62"/>
    </row>
    <row r="1138" spans="2:13" x14ac:dyDescent="0.3">
      <c r="B1138" s="378" t="s">
        <v>1704</v>
      </c>
      <c r="C1138" s="341"/>
      <c r="D1138" s="338"/>
      <c r="E1138" s="235" t="s">
        <v>501</v>
      </c>
      <c r="F1138" s="271" t="str">
        <f>IFERROR(VLOOKUP(E1138,'Inventaire des produits'!$B$4:$K$1000,2,0),"")</f>
        <v>BARQUETTE ALUMINIUM 83420</v>
      </c>
      <c r="G1138" s="247">
        <v>900</v>
      </c>
      <c r="H1138" s="79">
        <v>0.45833333333333337</v>
      </c>
      <c r="I1138" s="95">
        <f t="shared" si="34"/>
        <v>412.50000000000006</v>
      </c>
      <c r="J1138" s="95">
        <f t="shared" si="35"/>
        <v>495.00000000000006</v>
      </c>
      <c r="K1138" s="93">
        <f>IFERROR(VLOOKUP(E1138,'Inventaire des produits'!$B$4:$J$1000,5,FALSE),"")</f>
        <v>10000</v>
      </c>
      <c r="L1138" s="301">
        <f>IFERROR(VLOOKUP(E1138,'Inventaire des produits'!$B$4:$J$1000,6,FALSE),"")</f>
        <v>0.31666666669999999</v>
      </c>
      <c r="M1138" s="62"/>
    </row>
    <row r="1139" spans="2:13" x14ac:dyDescent="0.3">
      <c r="B1139" s="378" t="s">
        <v>1704</v>
      </c>
      <c r="C1139" s="341"/>
      <c r="D1139" s="338"/>
      <c r="E1139" s="235" t="s">
        <v>572</v>
      </c>
      <c r="F1139" s="271" t="str">
        <f>IFERROR(VLOOKUP(E1139,'Inventaire des produits'!$B$4:$K$1000,2,0),"")</f>
        <v>BARQUETTE ALUMINIUM 83420</v>
      </c>
      <c r="G1139" s="247">
        <v>1000</v>
      </c>
      <c r="H1139" s="79">
        <v>0.45833333333333337</v>
      </c>
      <c r="I1139" s="95">
        <f t="shared" si="34"/>
        <v>458.33333333333337</v>
      </c>
      <c r="J1139" s="95">
        <f t="shared" si="35"/>
        <v>550</v>
      </c>
      <c r="K1139" s="93">
        <f>IFERROR(VLOOKUP(E1139,'Inventaire des produits'!$B$4:$J$1000,5,FALSE),"")</f>
        <v>0</v>
      </c>
      <c r="L1139" s="301">
        <f>IFERROR(VLOOKUP(E1139,'Inventaire des produits'!$B$4:$J$1000,6,FALSE),"")</f>
        <v>0.38</v>
      </c>
      <c r="M1139" s="62"/>
    </row>
    <row r="1140" spans="2:13" x14ac:dyDescent="0.3">
      <c r="B1140" s="378" t="s">
        <v>1704</v>
      </c>
      <c r="C1140" s="341"/>
      <c r="D1140" s="338"/>
      <c r="E1140" s="235" t="s">
        <v>724</v>
      </c>
      <c r="F1140" s="271" t="str">
        <f>IFERROR(VLOOKUP(E1140,'Inventaire des produits'!$B$4:$K$1000,2,0),"")</f>
        <v>BARQUETTE ALUMINIUM 83420</v>
      </c>
      <c r="G1140" s="247">
        <v>1000</v>
      </c>
      <c r="H1140" s="79">
        <v>0.45833333333333337</v>
      </c>
      <c r="I1140" s="95">
        <f t="shared" si="34"/>
        <v>458.33333333333337</v>
      </c>
      <c r="J1140" s="95">
        <f t="shared" si="35"/>
        <v>550</v>
      </c>
      <c r="K1140" s="93">
        <f>IFERROR(VLOOKUP(E1140,'Inventaire des produits'!$B$4:$J$1000,5,FALSE),"")</f>
        <v>0</v>
      </c>
      <c r="L1140" s="301">
        <f>IFERROR(VLOOKUP(E1140,'Inventaire des produits'!$B$4:$J$1000,6,FALSE),"")</f>
        <v>0.31</v>
      </c>
      <c r="M1140" s="62"/>
    </row>
    <row r="1141" spans="2:13" x14ac:dyDescent="0.3">
      <c r="B1141" s="378" t="s">
        <v>1704</v>
      </c>
      <c r="C1141" s="341"/>
      <c r="D1141" s="338"/>
      <c r="E1141" s="235" t="s">
        <v>500</v>
      </c>
      <c r="F1141" s="271" t="str">
        <f>IFERROR(VLOOKUP(E1141,'Inventaire des produits'!$B$4:$K$1000,2,0),"")</f>
        <v>BARQUETTE ALUMINIUM 83670</v>
      </c>
      <c r="G1141" s="247">
        <v>1750</v>
      </c>
      <c r="H1141" s="79">
        <v>0.75</v>
      </c>
      <c r="I1141" s="95">
        <f t="shared" si="34"/>
        <v>1312.5</v>
      </c>
      <c r="J1141" s="95">
        <f t="shared" si="35"/>
        <v>1575</v>
      </c>
      <c r="K1141" s="93">
        <f>IFERROR(VLOOKUP(E1141,'Inventaire des produits'!$B$4:$J$1000,5,FALSE),"")</f>
        <v>0</v>
      </c>
      <c r="L1141" s="301">
        <f>IFERROR(VLOOKUP(E1141,'Inventaire des produits'!$B$4:$J$1000,6,FALSE),"")</f>
        <v>0.55000000000000004</v>
      </c>
      <c r="M1141" s="62"/>
    </row>
    <row r="1142" spans="2:13" x14ac:dyDescent="0.3">
      <c r="B1142" s="378" t="s">
        <v>1704</v>
      </c>
      <c r="C1142" s="341"/>
      <c r="D1142" s="338"/>
      <c r="E1142" s="235" t="s">
        <v>126</v>
      </c>
      <c r="F1142" s="271" t="str">
        <f>IFERROR(VLOOKUP(E1142,'Inventaire des produits'!$B$4:$K$1000,2,0),"")</f>
        <v>PAPIER SANDWISH INGRAISSABLE GRIS PACK 2,5KG</v>
      </c>
      <c r="G1142" s="247">
        <v>4</v>
      </c>
      <c r="H1142" s="79">
        <v>65</v>
      </c>
      <c r="I1142" s="95">
        <f t="shared" si="34"/>
        <v>260</v>
      </c>
      <c r="J1142" s="95">
        <f t="shared" si="35"/>
        <v>312</v>
      </c>
      <c r="K1142" s="93">
        <f>IFERROR(VLOOKUP(E1142,'Inventaire des produits'!$B$4:$J$1000,5,FALSE),"")</f>
        <v>0</v>
      </c>
      <c r="L1142" s="301">
        <f>IFERROR(VLOOKUP(E1142,'Inventaire des produits'!$B$4:$J$1000,6,FALSE),"")</f>
        <v>54.75</v>
      </c>
      <c r="M1142" s="62"/>
    </row>
    <row r="1143" spans="2:13" x14ac:dyDescent="0.3">
      <c r="B1143" s="378" t="s">
        <v>1704</v>
      </c>
      <c r="C1143" s="342"/>
      <c r="D1143" s="339"/>
      <c r="E1143" s="235" t="s">
        <v>190</v>
      </c>
      <c r="F1143" s="271" t="str">
        <f>IFERROR(VLOOKUP(E1143,'Inventaire des produits'!$B$4:$K$1000,2,0),"")</f>
        <v>LUNCH BOX KRAFT BONNE APETIT 19*11*7,5 CARTON 200</v>
      </c>
      <c r="G1143" s="247">
        <v>5</v>
      </c>
      <c r="H1143" s="79">
        <v>265</v>
      </c>
      <c r="I1143" s="95">
        <f t="shared" si="34"/>
        <v>1325</v>
      </c>
      <c r="J1143" s="95">
        <f t="shared" si="35"/>
        <v>1590</v>
      </c>
      <c r="K1143" s="93">
        <f>IFERROR(VLOOKUP(E1143,'Inventaire des produits'!$B$4:$J$1000,5,FALSE),"")</f>
        <v>0</v>
      </c>
      <c r="L1143" s="301">
        <f>IFERROR(VLOOKUP(E1143,'Inventaire des produits'!$B$4:$J$1000,6,FALSE),"")</f>
        <v>253.33333333339999</v>
      </c>
      <c r="M1143" s="62"/>
    </row>
    <row r="1144" spans="2:13" x14ac:dyDescent="0.3">
      <c r="B1144" s="378" t="s">
        <v>1704</v>
      </c>
      <c r="C1144" s="340">
        <v>45513</v>
      </c>
      <c r="D1144" s="337" t="s">
        <v>1164</v>
      </c>
      <c r="E1144" s="235" t="s">
        <v>1162</v>
      </c>
      <c r="F1144" s="271" t="str">
        <f>IFERROR(VLOOKUP(E1144,'Inventaire des produits'!$B$4:$K$1000,2,0),"")</f>
        <v>BOITE PIZZA N°40</v>
      </c>
      <c r="G1144" s="247">
        <v>300</v>
      </c>
      <c r="H1144" s="79">
        <v>3.4166666666666665</v>
      </c>
      <c r="I1144" s="95">
        <f t="shared" si="34"/>
        <v>1025</v>
      </c>
      <c r="J1144" s="95">
        <f t="shared" si="35"/>
        <v>1230</v>
      </c>
      <c r="K1144" s="93">
        <f>IFERROR(VLOOKUP(E1144,'Inventaire des produits'!$B$4:$J$1000,5,FALSE),"")</f>
        <v>0</v>
      </c>
      <c r="L1144" s="301">
        <f>IFERROR(VLOOKUP(E1144,'Inventaire des produits'!$B$4:$J$1000,6,FALSE),"")</f>
        <v>2.78</v>
      </c>
      <c r="M1144" s="62">
        <f>SUM(J1144:J1146)</f>
        <v>1845</v>
      </c>
    </row>
    <row r="1145" spans="2:13" x14ac:dyDescent="0.3">
      <c r="B1145" s="378" t="s">
        <v>1704</v>
      </c>
      <c r="C1145" s="341"/>
      <c r="D1145" s="338"/>
      <c r="E1145" s="235" t="s">
        <v>290</v>
      </c>
      <c r="F1145" s="271" t="str">
        <f>IFERROR(VLOOKUP(E1145,'Inventaire des produits'!$B$4:$K$1000,2,0),"")</f>
        <v>GOBLET 14OZ EN PLASTIQUE TRANS SMART AVEC CVL PLAT</v>
      </c>
      <c r="G1145" s="247">
        <v>500</v>
      </c>
      <c r="H1145" s="79">
        <f>0.75/1.2</f>
        <v>0.625</v>
      </c>
      <c r="I1145" s="95">
        <f t="shared" si="34"/>
        <v>312.5</v>
      </c>
      <c r="J1145" s="95">
        <f t="shared" si="35"/>
        <v>375</v>
      </c>
      <c r="K1145" s="93">
        <f>IFERROR(VLOOKUP(E1145,'Inventaire des produits'!$B$4:$J$1000,5,FALSE),"")</f>
        <v>0</v>
      </c>
      <c r="L1145" s="301">
        <f>IFERROR(VLOOKUP(E1145,'Inventaire des produits'!$B$4:$J$1000,6,FALSE),"")</f>
        <v>0.43333749999999999</v>
      </c>
      <c r="M1145" s="62"/>
    </row>
    <row r="1146" spans="2:13" x14ac:dyDescent="0.3">
      <c r="B1146" s="378" t="s">
        <v>1704</v>
      </c>
      <c r="C1146" s="342"/>
      <c r="D1146" s="339"/>
      <c r="E1146" s="235" t="s">
        <v>1097</v>
      </c>
      <c r="F1146" s="271" t="str">
        <f>IFERROR(VLOOKUP(E1146,'Inventaire des produits'!$B$4:$K$1000,2,0),"")</f>
        <v>POT DE SAUCE EN PLAST TRANSP 20ML</v>
      </c>
      <c r="G1146" s="247">
        <v>2000</v>
      </c>
      <c r="H1146" s="79">
        <f>0.12/1.2</f>
        <v>0.1</v>
      </c>
      <c r="I1146" s="95">
        <f t="shared" si="34"/>
        <v>200</v>
      </c>
      <c r="J1146" s="95">
        <f t="shared" si="35"/>
        <v>240</v>
      </c>
      <c r="K1146" s="93">
        <f>IFERROR(VLOOKUP(E1146,'Inventaire des produits'!$B$4:$J$1000,5,FALSE),"")</f>
        <v>0</v>
      </c>
      <c r="L1146" s="301">
        <f>IFERROR(VLOOKUP(E1146,'Inventaire des produits'!$B$4:$J$1000,6,FALSE),"")</f>
        <v>8.9166666666666672E-2</v>
      </c>
      <c r="M1146" s="62"/>
    </row>
    <row r="1147" spans="2:13" x14ac:dyDescent="0.3">
      <c r="B1147" s="378" t="s">
        <v>1704</v>
      </c>
      <c r="C1147" s="340">
        <v>45514</v>
      </c>
      <c r="D1147" s="337" t="s">
        <v>1165</v>
      </c>
      <c r="E1147" s="235" t="s">
        <v>206</v>
      </c>
      <c r="F1147" s="271" t="str">
        <f>IFERROR(VLOOKUP(E1147,'Inventaire des produits'!$B$4:$K$1000,2,0),"")</f>
        <v>ESSUIE MAIN 1KG LISSE</v>
      </c>
      <c r="G1147" s="247">
        <v>20</v>
      </c>
      <c r="H1147" s="79">
        <v>29.1</v>
      </c>
      <c r="I1147" s="95">
        <f t="shared" si="34"/>
        <v>582</v>
      </c>
      <c r="J1147" s="95">
        <f t="shared" si="35"/>
        <v>698.4</v>
      </c>
      <c r="K1147" s="93">
        <f>IFERROR(VLOOKUP(E1147,'Inventaire des produits'!$B$4:$J$1000,5,FALSE),"")</f>
        <v>0</v>
      </c>
      <c r="L1147" s="301">
        <f>IFERROR(VLOOKUP(E1147,'Inventaire des produits'!$B$4:$J$1000,6,FALSE),"")</f>
        <v>21.25</v>
      </c>
      <c r="M1147" s="62">
        <f>SUM(J1147:J1155)</f>
        <v>5000.0015999999996</v>
      </c>
    </row>
    <row r="1148" spans="2:13" x14ac:dyDescent="0.3">
      <c r="B1148" s="378" t="s">
        <v>1704</v>
      </c>
      <c r="C1148" s="341"/>
      <c r="D1148" s="338"/>
      <c r="E1148" s="235" t="s">
        <v>929</v>
      </c>
      <c r="F1148" s="271" t="str">
        <f>IFERROR(VLOOKUP(E1148,'Inventaire des produits'!$B$4:$K$1000,2,0),"")</f>
        <v xml:space="preserve">SERVIETTE DE TABLE </v>
      </c>
      <c r="G1148" s="247">
        <v>100</v>
      </c>
      <c r="H1148" s="79">
        <v>3.75</v>
      </c>
      <c r="I1148" s="95">
        <f t="shared" si="34"/>
        <v>375</v>
      </c>
      <c r="J1148" s="95">
        <f t="shared" si="35"/>
        <v>450</v>
      </c>
      <c r="K1148" s="93">
        <f>IFERROR(VLOOKUP(E1148,'Inventaire des produits'!$B$4:$J$1000,5,FALSE),"")</f>
        <v>0</v>
      </c>
      <c r="L1148" s="301">
        <f>IFERROR(VLOOKUP(E1148,'Inventaire des produits'!$B$4:$J$1000,6,FALSE),"")</f>
        <v>2.9169999999999998</v>
      </c>
      <c r="M1148" s="62"/>
    </row>
    <row r="1149" spans="2:13" x14ac:dyDescent="0.3">
      <c r="B1149" s="378" t="s">
        <v>1704</v>
      </c>
      <c r="C1149" s="341"/>
      <c r="D1149" s="338"/>
      <c r="E1149" s="235" t="s">
        <v>895</v>
      </c>
      <c r="F1149" s="271" t="str">
        <f>IFERROR(VLOOKUP(E1149,'Inventaire des produits'!$B$4:$K$1000,2,0),"")</f>
        <v>ROULEAU ALUMINIUM GOLDEN 200M</v>
      </c>
      <c r="G1149" s="247">
        <v>8</v>
      </c>
      <c r="H1149" s="79">
        <v>66.646000000000001</v>
      </c>
      <c r="I1149" s="95">
        <f t="shared" si="34"/>
        <v>533.16800000000001</v>
      </c>
      <c r="J1149" s="95">
        <f t="shared" si="35"/>
        <v>639.80160000000001</v>
      </c>
      <c r="K1149" s="93">
        <f>IFERROR(VLOOKUP(E1149,'Inventaire des produits'!$B$4:$J$1000,5,FALSE),"")</f>
        <v>0</v>
      </c>
      <c r="L1149" s="301">
        <f>IFERROR(VLOOKUP(E1149,'Inventaire des produits'!$B$4:$J$1000,6,FALSE),"")</f>
        <v>57.5</v>
      </c>
      <c r="M1149" s="62"/>
    </row>
    <row r="1150" spans="2:13" x14ac:dyDescent="0.3">
      <c r="B1150" s="378" t="s">
        <v>1704</v>
      </c>
      <c r="C1150" s="341"/>
      <c r="D1150" s="338"/>
      <c r="E1150" s="235" t="s">
        <v>691</v>
      </c>
      <c r="F1150" s="271" t="str">
        <f>IFERROR(VLOOKUP(E1150,'Inventaire des produits'!$B$4:$K$1000,2,0),"")</f>
        <v>POT DE SAUCE 2OZ ET CVL</v>
      </c>
      <c r="G1150" s="247">
        <v>900</v>
      </c>
      <c r="H1150" s="79">
        <v>0.3</v>
      </c>
      <c r="I1150" s="95">
        <f t="shared" si="34"/>
        <v>270</v>
      </c>
      <c r="J1150" s="95">
        <f t="shared" si="35"/>
        <v>324</v>
      </c>
      <c r="K1150" s="93">
        <f>IFERROR(VLOOKUP(E1150,'Inventaire des produits'!$B$4:$J$1000,5,FALSE),"")</f>
        <v>0</v>
      </c>
      <c r="L1150" s="301">
        <f>IFERROR(VLOOKUP(E1150,'Inventaire des produits'!$B$4:$J$1000,6,FALSE),"")</f>
        <v>0.2020833333</v>
      </c>
      <c r="M1150" s="62"/>
    </row>
    <row r="1151" spans="2:13" x14ac:dyDescent="0.3">
      <c r="B1151" s="378" t="s">
        <v>1704</v>
      </c>
      <c r="C1151" s="341"/>
      <c r="D1151" s="338"/>
      <c r="E1151" s="235" t="s">
        <v>361</v>
      </c>
      <c r="F1151" s="271" t="str">
        <f>IFERROR(VLOOKUP(E1151,'Inventaire des produits'!$B$4:$K$1000,2,0),"")</f>
        <v>FILM ETIRABLE VIOLET 290mm kg</v>
      </c>
      <c r="G1151" s="247">
        <v>9</v>
      </c>
      <c r="H1151" s="79">
        <v>30</v>
      </c>
      <c r="I1151" s="95">
        <f t="shared" si="34"/>
        <v>270</v>
      </c>
      <c r="J1151" s="95">
        <f t="shared" si="35"/>
        <v>324</v>
      </c>
      <c r="K1151" s="93">
        <f>IFERROR(VLOOKUP(E1151,'Inventaire des produits'!$B$4:$J$1000,5,FALSE),"")</f>
        <v>0</v>
      </c>
      <c r="L1151" s="301">
        <f>IFERROR(VLOOKUP(E1151,'Inventaire des produits'!$B$4:$J$1000,6,FALSE),"")</f>
        <v>25</v>
      </c>
      <c r="M1151" s="62"/>
    </row>
    <row r="1152" spans="2:13" x14ac:dyDescent="0.3">
      <c r="B1152" s="378" t="s">
        <v>1704</v>
      </c>
      <c r="C1152" s="341"/>
      <c r="D1152" s="338"/>
      <c r="E1152" s="235" t="s">
        <v>295</v>
      </c>
      <c r="F1152" s="271" t="str">
        <f>IFERROR(VLOOKUP(E1152,'Inventaire des produits'!$B$4:$K$1000,2,0),"")</f>
        <v>BARQUETTE VITA PACK 1000ML+CV</v>
      </c>
      <c r="G1152" s="247">
        <v>250</v>
      </c>
      <c r="H1152" s="79">
        <v>1.55</v>
      </c>
      <c r="I1152" s="95">
        <f t="shared" si="34"/>
        <v>387.5</v>
      </c>
      <c r="J1152" s="95">
        <f t="shared" si="35"/>
        <v>465</v>
      </c>
      <c r="K1152" s="93">
        <f>IFERROR(VLOOKUP(E1152,'Inventaire des produits'!$B$4:$J$1000,5,FALSE),"")</f>
        <v>0</v>
      </c>
      <c r="L1152" s="301">
        <f>IFERROR(VLOOKUP(E1152,'Inventaire des produits'!$B$4:$J$1000,6,FALSE),"")</f>
        <v>1.41</v>
      </c>
      <c r="M1152" s="62"/>
    </row>
    <row r="1153" spans="2:13" x14ac:dyDescent="0.3">
      <c r="B1153" s="378" t="s">
        <v>1704</v>
      </c>
      <c r="C1153" s="341"/>
      <c r="D1153" s="338"/>
      <c r="E1153" s="235" t="s">
        <v>299</v>
      </c>
      <c r="F1153" s="271" t="str">
        <f>IFERROR(VLOOKUP(E1153,'Inventaire des produits'!$B$4:$K$1000,2,0),"")</f>
        <v>BOITE CARRE 500</v>
      </c>
      <c r="G1153" s="247">
        <v>1000</v>
      </c>
      <c r="H1153" s="79">
        <v>0.42</v>
      </c>
      <c r="I1153" s="95">
        <f t="shared" si="34"/>
        <v>420</v>
      </c>
      <c r="J1153" s="95">
        <f t="shared" si="35"/>
        <v>504</v>
      </c>
      <c r="K1153" s="93">
        <f>IFERROR(VLOOKUP(E1153,'Inventaire des produits'!$B$4:$J$1000,5,FALSE),"")</f>
        <v>0</v>
      </c>
      <c r="L1153" s="301">
        <f>IFERROR(VLOOKUP(E1153,'Inventaire des produits'!$B$4:$J$1000,6,FALSE),"")</f>
        <v>0.3</v>
      </c>
      <c r="M1153" s="62"/>
    </row>
    <row r="1154" spans="2:13" x14ac:dyDescent="0.3">
      <c r="B1154" s="378" t="s">
        <v>1704</v>
      </c>
      <c r="C1154" s="341"/>
      <c r="D1154" s="338"/>
      <c r="E1154" s="235" t="s">
        <v>148</v>
      </c>
      <c r="F1154" s="271" t="str">
        <f>IFERROR(VLOOKUP(E1154,'Inventaire des produits'!$B$4:$K$1000,2,0),"")</f>
        <v>BARQUETTE SUSHI ST1 160*91*20</v>
      </c>
      <c r="G1154" s="247">
        <v>800</v>
      </c>
      <c r="H1154" s="79">
        <v>0.84</v>
      </c>
      <c r="I1154" s="95">
        <f t="shared" si="34"/>
        <v>672</v>
      </c>
      <c r="J1154" s="95">
        <f t="shared" si="35"/>
        <v>806.4</v>
      </c>
      <c r="K1154" s="93">
        <f>IFERROR(VLOOKUP(E1154,'Inventaire des produits'!$B$4:$J$1000,5,FALSE),"")</f>
        <v>0</v>
      </c>
      <c r="L1154" s="301">
        <f>IFERROR(VLOOKUP(E1154,'Inventaire des produits'!$B$4:$J$1000,6,FALSE),"")</f>
        <v>0.75833333329999997</v>
      </c>
      <c r="M1154" s="62"/>
    </row>
    <row r="1155" spans="2:13" x14ac:dyDescent="0.3">
      <c r="B1155" s="378" t="s">
        <v>1704</v>
      </c>
      <c r="C1155" s="342"/>
      <c r="D1155" s="339"/>
      <c r="E1155" s="235" t="s">
        <v>156</v>
      </c>
      <c r="F1155" s="271" t="str">
        <f>IFERROR(VLOOKUP(E1155,'Inventaire des produits'!$B$4:$K$1000,2,0),"")</f>
        <v>PLATEAU 5 COMP THERMOFORME BLANC</v>
      </c>
      <c r="G1155" s="247">
        <v>300</v>
      </c>
      <c r="H1155" s="79">
        <v>2.19</v>
      </c>
      <c r="I1155" s="95">
        <f t="shared" si="34"/>
        <v>657</v>
      </c>
      <c r="J1155" s="95">
        <f t="shared" si="35"/>
        <v>788.4</v>
      </c>
      <c r="K1155" s="93">
        <f>IFERROR(VLOOKUP(E1155,'Inventaire des produits'!$B$4:$J$1000,5,FALSE),"")</f>
        <v>0</v>
      </c>
      <c r="L1155" s="301">
        <f>IFERROR(VLOOKUP(E1155,'Inventaire des produits'!$B$4:$J$1000,6,FALSE),"")</f>
        <v>2.0832999999999999</v>
      </c>
      <c r="M1155" s="62"/>
    </row>
    <row r="1156" spans="2:13" x14ac:dyDescent="0.3">
      <c r="B1156" s="378" t="s">
        <v>1704</v>
      </c>
      <c r="C1156" s="340">
        <v>45516</v>
      </c>
      <c r="D1156" s="337" t="s">
        <v>1166</v>
      </c>
      <c r="E1156" s="235" t="s">
        <v>894</v>
      </c>
      <c r="F1156" s="271" t="str">
        <f>IFERROR(VLOOKUP(E1156,'Inventaire des produits'!$B$4:$K$1000,2,0),"")</f>
        <v>COQUILLE MEAL BOX 2 COMP BLANC</v>
      </c>
      <c r="G1156" s="247">
        <v>4000</v>
      </c>
      <c r="H1156" s="79">
        <v>1.0414600000000001</v>
      </c>
      <c r="I1156" s="95">
        <f t="shared" si="34"/>
        <v>4165.84</v>
      </c>
      <c r="J1156" s="95">
        <f t="shared" si="35"/>
        <v>4999.0079999999998</v>
      </c>
      <c r="K1156" s="93">
        <f>IFERROR(VLOOKUP(E1156,'Inventaire des produits'!$B$4:$J$1000,5,FALSE),"")</f>
        <v>0</v>
      </c>
      <c r="L1156" s="301">
        <f>IFERROR(VLOOKUP(E1156,'Inventaire des produits'!$B$4:$J$1000,6,FALSE),"")</f>
        <v>0.91666666669999997</v>
      </c>
      <c r="M1156" s="62">
        <f>SUM(J1156:J1167)</f>
        <v>17710.996800000001</v>
      </c>
    </row>
    <row r="1157" spans="2:13" x14ac:dyDescent="0.3">
      <c r="B1157" s="378" t="s">
        <v>1704</v>
      </c>
      <c r="C1157" s="341"/>
      <c r="D1157" s="338"/>
      <c r="E1157" s="235" t="s">
        <v>373</v>
      </c>
      <c r="F1157" s="271" t="str">
        <f>IFERROR(VLOOKUP(E1157,'Inventaire des produits'!$B$4:$K$1000,2,0),"")</f>
        <v>SALADIER ROND 750</v>
      </c>
      <c r="G1157" s="247">
        <v>200</v>
      </c>
      <c r="H1157" s="79">
        <v>0.79161999999999999</v>
      </c>
      <c r="I1157" s="95">
        <f t="shared" ref="I1157:I1220" si="36">IF(OR(G1157="",H1157=""),"",G1157*H1157)</f>
        <v>158.32400000000001</v>
      </c>
      <c r="J1157" s="95">
        <f t="shared" ref="J1157:J1220" si="37">IF(OR(I1157=""),"",I1157*1.2)</f>
        <v>189.9888</v>
      </c>
      <c r="K1157" s="93">
        <f>IFERROR(VLOOKUP(E1157,'Inventaire des produits'!$B$4:$J$1000,5,FALSE),"")</f>
        <v>0</v>
      </c>
      <c r="L1157" s="301">
        <f>IFERROR(VLOOKUP(E1157,'Inventaire des produits'!$B$4:$J$1000,6,FALSE),"")</f>
        <v>0.71</v>
      </c>
      <c r="M1157" s="62"/>
    </row>
    <row r="1158" spans="2:13" x14ac:dyDescent="0.3">
      <c r="B1158" s="378" t="s">
        <v>1704</v>
      </c>
      <c r="C1158" s="341"/>
      <c r="D1158" s="338"/>
      <c r="E1158" s="235" t="s">
        <v>264</v>
      </c>
      <c r="F1158" s="271" t="str">
        <f>IFERROR(VLOOKUP(E1158,'Inventaire des produits'!$B$4:$K$1000,2,0),"")</f>
        <v>SALADIER PLAST ROND 375CC</v>
      </c>
      <c r="G1158" s="247">
        <v>500</v>
      </c>
      <c r="H1158" s="79">
        <v>0.625</v>
      </c>
      <c r="I1158" s="95">
        <f t="shared" si="36"/>
        <v>312.5</v>
      </c>
      <c r="J1158" s="95">
        <f t="shared" si="37"/>
        <v>375</v>
      </c>
      <c r="K1158" s="93">
        <f>IFERROR(VLOOKUP(E1158,'Inventaire des produits'!$B$4:$J$1000,5,FALSE),"")</f>
        <v>0</v>
      </c>
      <c r="L1158" s="301">
        <f>IFERROR(VLOOKUP(E1158,'Inventaire des produits'!$B$4:$J$1000,6,FALSE),"")</f>
        <v>0.51666666670000005</v>
      </c>
      <c r="M1158" s="62"/>
    </row>
    <row r="1159" spans="2:13" x14ac:dyDescent="0.3">
      <c r="B1159" s="378" t="s">
        <v>1704</v>
      </c>
      <c r="C1159" s="341"/>
      <c r="D1159" s="338"/>
      <c r="E1159" s="235" t="s">
        <v>911</v>
      </c>
      <c r="F1159" s="271" t="str">
        <f>IFERROR(VLOOKUP(E1159,'Inventaire des produits'!$B$4:$K$1000,2,0),"")</f>
        <v>BARQUETTE ALUMINIUM RECT 1200ML AVEC CVL</v>
      </c>
      <c r="G1159" s="247">
        <v>900</v>
      </c>
      <c r="H1159" s="79">
        <v>1</v>
      </c>
      <c r="I1159" s="95">
        <f t="shared" si="36"/>
        <v>900</v>
      </c>
      <c r="J1159" s="95">
        <f t="shared" si="37"/>
        <v>1080</v>
      </c>
      <c r="K1159" s="93">
        <f>IFERROR(VLOOKUP(E1159,'Inventaire des produits'!$B$4:$J$1000,5,FALSE),"")</f>
        <v>0</v>
      </c>
      <c r="L1159" s="301">
        <f>IFERROR(VLOOKUP(E1159,'Inventaire des produits'!$B$4:$J$1000,6,FALSE),"")</f>
        <v>0.97499800000000003</v>
      </c>
      <c r="M1159" s="62"/>
    </row>
    <row r="1160" spans="2:13" x14ac:dyDescent="0.3">
      <c r="B1160" s="378" t="s">
        <v>1704</v>
      </c>
      <c r="C1160" s="341"/>
      <c r="D1160" s="338"/>
      <c r="E1160" s="235" t="s">
        <v>779</v>
      </c>
      <c r="F1160" s="271" t="str">
        <f>IFERROR(VLOOKUP(E1160,'Inventaire des produits'!$B$4:$K$1000,2,0),"")</f>
        <v>BARQUETTE ALUMINIUM 83420</v>
      </c>
      <c r="G1160" s="247">
        <v>4500</v>
      </c>
      <c r="H1160" s="79">
        <v>0.45833333333333337</v>
      </c>
      <c r="I1160" s="95">
        <f t="shared" si="36"/>
        <v>2062.5</v>
      </c>
      <c r="J1160" s="95">
        <f t="shared" si="37"/>
        <v>2475</v>
      </c>
      <c r="K1160" s="93">
        <f>IFERROR(VLOOKUP(E1160,'Inventaire des produits'!$B$4:$J$1000,5,FALSE),"")</f>
        <v>0</v>
      </c>
      <c r="L1160" s="301">
        <f>IFERROR(VLOOKUP(E1160,'Inventaire des produits'!$B$4:$J$1000,6,FALSE),"")</f>
        <v>0.30833333330000001</v>
      </c>
      <c r="M1160" s="62"/>
    </row>
    <row r="1161" spans="2:13" x14ac:dyDescent="0.3">
      <c r="B1161" s="378" t="s">
        <v>1704</v>
      </c>
      <c r="C1161" s="341"/>
      <c r="D1161" s="338"/>
      <c r="E1161" s="235" t="s">
        <v>869</v>
      </c>
      <c r="F1161" s="271" t="str">
        <f>IFERROR(VLOOKUP(E1161,'Inventaire des produits'!$B$4:$K$1000,2,0),"")</f>
        <v>PAILLE ENVELOPPEE CODE 100 TRANS</v>
      </c>
      <c r="G1161" s="247">
        <v>86</v>
      </c>
      <c r="H1161" s="79">
        <v>6.25</v>
      </c>
      <c r="I1161" s="95">
        <f t="shared" si="36"/>
        <v>537.5</v>
      </c>
      <c r="J1161" s="95">
        <f t="shared" si="37"/>
        <v>645</v>
      </c>
      <c r="K1161" s="93">
        <f>IFERROR(VLOOKUP(E1161,'Inventaire des produits'!$B$4:$J$1000,5,FALSE),"")</f>
        <v>898</v>
      </c>
      <c r="L1161" s="301">
        <f>IFERROR(VLOOKUP(E1161,'Inventaire des produits'!$B$4:$J$1000,6,FALSE),"")</f>
        <v>3.9166666659999998</v>
      </c>
      <c r="M1161" s="62"/>
    </row>
    <row r="1162" spans="2:13" x14ac:dyDescent="0.3">
      <c r="B1162" s="378" t="s">
        <v>1704</v>
      </c>
      <c r="C1162" s="341"/>
      <c r="D1162" s="338"/>
      <c r="E1162" s="235" t="s">
        <v>630</v>
      </c>
      <c r="F1162" s="271" t="str">
        <f>IFERROR(VLOOKUP(E1162,'Inventaire des produits'!$B$4:$K$1000,2,0),"")</f>
        <v>BARQUETTE TRAITEUR 500CC</v>
      </c>
      <c r="G1162" s="247">
        <v>1000</v>
      </c>
      <c r="H1162" s="79">
        <v>1.2083333333333333</v>
      </c>
      <c r="I1162" s="95">
        <f t="shared" si="36"/>
        <v>1208.3333333333333</v>
      </c>
      <c r="J1162" s="95">
        <f t="shared" si="37"/>
        <v>1449.9999999999998</v>
      </c>
      <c r="K1162" s="93">
        <f>IFERROR(VLOOKUP(E1162,'Inventaire des produits'!$B$4:$J$1000,5,FALSE),"")</f>
        <v>0</v>
      </c>
      <c r="L1162" s="301">
        <f>IFERROR(VLOOKUP(E1162,'Inventaire des produits'!$B$4:$J$1000,6,FALSE),"")</f>
        <v>0.33333333329999998</v>
      </c>
      <c r="M1162" s="62"/>
    </row>
    <row r="1163" spans="2:13" x14ac:dyDescent="0.3">
      <c r="B1163" s="378" t="s">
        <v>1704</v>
      </c>
      <c r="C1163" s="341"/>
      <c r="D1163" s="338"/>
      <c r="E1163" s="235" t="s">
        <v>895</v>
      </c>
      <c r="F1163" s="271" t="str">
        <f>IFERROR(VLOOKUP(E1163,'Inventaire des produits'!$B$4:$K$1000,2,0),"")</f>
        <v>ROULEAU ALUMINIUM GOLDEN 200M</v>
      </c>
      <c r="G1163" s="247">
        <v>23</v>
      </c>
      <c r="H1163" s="79">
        <v>65</v>
      </c>
      <c r="I1163" s="95">
        <f t="shared" si="36"/>
        <v>1495</v>
      </c>
      <c r="J1163" s="95">
        <f t="shared" si="37"/>
        <v>1794</v>
      </c>
      <c r="K1163" s="93">
        <f>IFERROR(VLOOKUP(E1163,'Inventaire des produits'!$B$4:$J$1000,5,FALSE),"")</f>
        <v>0</v>
      </c>
      <c r="L1163" s="301">
        <f>IFERROR(VLOOKUP(E1163,'Inventaire des produits'!$B$4:$J$1000,6,FALSE),"")</f>
        <v>57.5</v>
      </c>
      <c r="M1163" s="62"/>
    </row>
    <row r="1164" spans="2:13" x14ac:dyDescent="0.3">
      <c r="B1164" s="378" t="s">
        <v>1704</v>
      </c>
      <c r="C1164" s="341"/>
      <c r="D1164" s="338"/>
      <c r="E1164" s="235" t="s">
        <v>601</v>
      </c>
      <c r="F1164" s="271" t="str">
        <f>IFERROR(VLOOKUP(E1164,'Inventaire des produits'!$B$4:$K$1000,2,0),"")</f>
        <v>FILM ALIMENTAIRE VIOLET 280MM 500GR</v>
      </c>
      <c r="G1164" s="247">
        <v>23</v>
      </c>
      <c r="H1164" s="79">
        <v>30</v>
      </c>
      <c r="I1164" s="95">
        <f t="shared" si="36"/>
        <v>690</v>
      </c>
      <c r="J1164" s="95">
        <f t="shared" si="37"/>
        <v>828</v>
      </c>
      <c r="K1164" s="93">
        <f>IFERROR(VLOOKUP(E1164,'Inventaire des produits'!$B$4:$J$1000,5,FALSE),"")</f>
        <v>0</v>
      </c>
      <c r="L1164" s="301">
        <f>IFERROR(VLOOKUP(E1164,'Inventaire des produits'!$B$4:$J$1000,6,FALSE),"")</f>
        <v>29.17</v>
      </c>
      <c r="M1164" s="62"/>
    </row>
    <row r="1165" spans="2:13" x14ac:dyDescent="0.3">
      <c r="B1165" s="378" t="s">
        <v>1704</v>
      </c>
      <c r="C1165" s="341"/>
      <c r="D1165" s="338"/>
      <c r="E1165" s="235" t="s">
        <v>1097</v>
      </c>
      <c r="F1165" s="271" t="str">
        <f>IFERROR(VLOOKUP(E1165,'Inventaire des produits'!$B$4:$K$1000,2,0),"")</f>
        <v>POT DE SAUCE EN PLAST TRANSP 20ML</v>
      </c>
      <c r="G1165" s="247">
        <v>7000</v>
      </c>
      <c r="H1165" s="79">
        <v>6.6666666666666666E-2</v>
      </c>
      <c r="I1165" s="95">
        <f t="shared" si="36"/>
        <v>466.66666666666669</v>
      </c>
      <c r="J1165" s="95">
        <f t="shared" si="37"/>
        <v>560</v>
      </c>
      <c r="K1165" s="93">
        <f>IFERROR(VLOOKUP(E1165,'Inventaire des produits'!$B$4:$J$1000,5,FALSE),"")</f>
        <v>0</v>
      </c>
      <c r="L1165" s="301">
        <f>IFERROR(VLOOKUP(E1165,'Inventaire des produits'!$B$4:$J$1000,6,FALSE),"")</f>
        <v>8.9166666666666672E-2</v>
      </c>
      <c r="M1165" s="62"/>
    </row>
    <row r="1166" spans="2:13" x14ac:dyDescent="0.3">
      <c r="B1166" s="378" t="s">
        <v>1704</v>
      </c>
      <c r="C1166" s="341"/>
      <c r="D1166" s="338"/>
      <c r="E1166" s="235" t="s">
        <v>290</v>
      </c>
      <c r="F1166" s="271" t="str">
        <f>IFERROR(VLOOKUP(E1166,'Inventaire des produits'!$B$4:$K$1000,2,0),"")</f>
        <v>GOBLET 14OZ EN PLASTIQUE TRANS SMART AVEC CVL PLAT</v>
      </c>
      <c r="G1166" s="247">
        <v>2500</v>
      </c>
      <c r="H1166" s="79">
        <v>0.625</v>
      </c>
      <c r="I1166" s="95">
        <f t="shared" si="36"/>
        <v>1562.5</v>
      </c>
      <c r="J1166" s="95">
        <f t="shared" si="37"/>
        <v>1875</v>
      </c>
      <c r="K1166" s="93">
        <f>IFERROR(VLOOKUP(E1166,'Inventaire des produits'!$B$4:$J$1000,5,FALSE),"")</f>
        <v>0</v>
      </c>
      <c r="L1166" s="301">
        <f>IFERROR(VLOOKUP(E1166,'Inventaire des produits'!$B$4:$J$1000,6,FALSE),"")</f>
        <v>0.43333749999999999</v>
      </c>
      <c r="M1166" s="62"/>
    </row>
    <row r="1167" spans="2:13" x14ac:dyDescent="0.3">
      <c r="B1167" s="378" t="s">
        <v>1704</v>
      </c>
      <c r="C1167" s="342"/>
      <c r="D1167" s="339"/>
      <c r="E1167" s="235" t="s">
        <v>206</v>
      </c>
      <c r="F1167" s="271" t="str">
        <f>IFERROR(VLOOKUP(E1167,'Inventaire des produits'!$B$4:$K$1000,2,0),"")</f>
        <v>ESSUIE MAIN 1KG LISSE</v>
      </c>
      <c r="G1167" s="247">
        <v>40</v>
      </c>
      <c r="H1167" s="79">
        <v>30</v>
      </c>
      <c r="I1167" s="95">
        <f t="shared" si="36"/>
        <v>1200</v>
      </c>
      <c r="J1167" s="95">
        <f t="shared" si="37"/>
        <v>1440</v>
      </c>
      <c r="K1167" s="93">
        <f>IFERROR(VLOOKUP(E1167,'Inventaire des produits'!$B$4:$J$1000,5,FALSE),"")</f>
        <v>0</v>
      </c>
      <c r="L1167" s="301">
        <f>IFERROR(VLOOKUP(E1167,'Inventaire des produits'!$B$4:$J$1000,6,FALSE),"")</f>
        <v>21.25</v>
      </c>
      <c r="M1167" s="62"/>
    </row>
    <row r="1168" spans="2:13" x14ac:dyDescent="0.3">
      <c r="B1168" s="378" t="s">
        <v>1704</v>
      </c>
      <c r="C1168" s="75">
        <v>45517</v>
      </c>
      <c r="D1168" s="74" t="s">
        <v>1167</v>
      </c>
      <c r="E1168" s="240" t="s">
        <v>1162</v>
      </c>
      <c r="F1168" s="271" t="str">
        <f>IFERROR(VLOOKUP(E1168,'Inventaire des produits'!$B$4:$K$1000,2,0),"")</f>
        <v>BOITE PIZZA N°40</v>
      </c>
      <c r="G1168" s="247">
        <v>800</v>
      </c>
      <c r="H1168" s="79">
        <v>3.4166666666666665</v>
      </c>
      <c r="I1168" s="95">
        <f t="shared" si="36"/>
        <v>2733.333333333333</v>
      </c>
      <c r="J1168" s="95">
        <f t="shared" si="37"/>
        <v>3279.9999999999995</v>
      </c>
      <c r="K1168" s="93">
        <f>IFERROR(VLOOKUP(E1168,'Inventaire des produits'!$B$4:$J$1000,5,FALSE),"")</f>
        <v>0</v>
      </c>
      <c r="L1168" s="301">
        <f>IFERROR(VLOOKUP(E1168,'Inventaire des produits'!$B$4:$J$1000,6,FALSE),"")</f>
        <v>2.78</v>
      </c>
      <c r="M1168" s="62"/>
    </row>
    <row r="1169" spans="2:13" x14ac:dyDescent="0.3">
      <c r="B1169" s="378" t="s">
        <v>1704</v>
      </c>
      <c r="C1169" s="340">
        <v>45517</v>
      </c>
      <c r="D1169" s="337" t="s">
        <v>1168</v>
      </c>
      <c r="E1169" s="235" t="s">
        <v>1079</v>
      </c>
      <c r="F1169" s="271" t="str">
        <f>IFERROR(VLOOKUP(E1169,'Inventaire des produits'!$B$4:$K$1000,2,0),"")</f>
        <v>FOURCHETTE ECOLUXE TRANSPARENTE</v>
      </c>
      <c r="G1169" s="247">
        <v>90</v>
      </c>
      <c r="H1169" s="79">
        <v>19.1666666666667</v>
      </c>
      <c r="I1169" s="95">
        <f t="shared" si="36"/>
        <v>1725.000000000003</v>
      </c>
      <c r="J1169" s="95">
        <f t="shared" si="37"/>
        <v>2070.0000000000036</v>
      </c>
      <c r="K1169" s="93">
        <f>IFERROR(VLOOKUP(E1169,'Inventaire des produits'!$B$4:$J$1000,5,FALSE),"")</f>
        <v>0</v>
      </c>
      <c r="L1169" s="301">
        <f>IFERROR(VLOOKUP(E1169,'Inventaire des produits'!$B$4:$J$1000,6,FALSE),"")</f>
        <v>14.166665999999999</v>
      </c>
      <c r="M1169" s="62">
        <f>SUM(J1169:J1186)</f>
        <v>13749.178464000004</v>
      </c>
    </row>
    <row r="1170" spans="2:13" x14ac:dyDescent="0.3">
      <c r="B1170" s="378" t="s">
        <v>1704</v>
      </c>
      <c r="C1170" s="341"/>
      <c r="D1170" s="338"/>
      <c r="E1170" s="235" t="s">
        <v>869</v>
      </c>
      <c r="F1170" s="271" t="str">
        <f>IFERROR(VLOOKUP(E1170,'Inventaire des produits'!$B$4:$K$1000,2,0),"")</f>
        <v>PAILLE ENVELOPPEE CODE 100 TRANS</v>
      </c>
      <c r="G1170" s="247">
        <v>40</v>
      </c>
      <c r="H1170" s="79">
        <v>6.666666666666667</v>
      </c>
      <c r="I1170" s="95">
        <f t="shared" si="36"/>
        <v>266.66666666666669</v>
      </c>
      <c r="J1170" s="95">
        <f t="shared" si="37"/>
        <v>320</v>
      </c>
      <c r="K1170" s="93">
        <f>IFERROR(VLOOKUP(E1170,'Inventaire des produits'!$B$4:$J$1000,5,FALSE),"")</f>
        <v>898</v>
      </c>
      <c r="L1170" s="301">
        <f>IFERROR(VLOOKUP(E1170,'Inventaire des produits'!$B$4:$J$1000,6,FALSE),"")</f>
        <v>3.9166666659999998</v>
      </c>
      <c r="M1170" s="62"/>
    </row>
    <row r="1171" spans="2:13" x14ac:dyDescent="0.3">
      <c r="B1171" s="378" t="s">
        <v>1704</v>
      </c>
      <c r="C1171" s="341"/>
      <c r="D1171" s="338"/>
      <c r="E1171" s="235" t="s">
        <v>1139</v>
      </c>
      <c r="F1171" s="271" t="str">
        <f>IFERROR(VLOOKUP(E1171,'Inventaire des produits'!$B$4:$K$1000,2,0),"")</f>
        <v>BARQUETTE ALUMINIUM 250</v>
      </c>
      <c r="G1171" s="247">
        <v>1500</v>
      </c>
      <c r="H1171" s="79">
        <v>0.375</v>
      </c>
      <c r="I1171" s="95">
        <f t="shared" si="36"/>
        <v>562.5</v>
      </c>
      <c r="J1171" s="95">
        <f t="shared" si="37"/>
        <v>675</v>
      </c>
      <c r="K1171" s="93">
        <f>IFERROR(VLOOKUP(E1171,'Inventaire des produits'!$B$4:$J$1000,5,FALSE),"")</f>
        <v>6400</v>
      </c>
      <c r="L1171" s="301">
        <f>IFERROR(VLOOKUP(E1171,'Inventaire des produits'!$B$4:$J$1000,6,FALSE),"")</f>
        <v>0.29167000000000004</v>
      </c>
      <c r="M1171" s="62"/>
    </row>
    <row r="1172" spans="2:13" x14ac:dyDescent="0.3">
      <c r="B1172" s="378" t="s">
        <v>1704</v>
      </c>
      <c r="C1172" s="341"/>
      <c r="D1172" s="338"/>
      <c r="E1172" s="235" t="s">
        <v>451</v>
      </c>
      <c r="F1172" s="271" t="str">
        <f>IFERROR(VLOOKUP(E1172,'Inventaire des produits'!$B$4:$K$1000,2,0),"")</f>
        <v>FILM ALIMENTAIRE 45CM 1.5KG</v>
      </c>
      <c r="G1172" s="247">
        <v>20</v>
      </c>
      <c r="H1172" s="79">
        <v>43.333333333333336</v>
      </c>
      <c r="I1172" s="95">
        <f t="shared" si="36"/>
        <v>866.66666666666674</v>
      </c>
      <c r="J1172" s="95">
        <f t="shared" si="37"/>
        <v>1040</v>
      </c>
      <c r="K1172" s="93">
        <f>IFERROR(VLOOKUP(E1172,'Inventaire des produits'!$B$4:$J$1000,5,FALSE),"")</f>
        <v>252</v>
      </c>
      <c r="L1172" s="301">
        <f>IFERROR(VLOOKUP(E1172,'Inventaire des produits'!$B$4:$J$1000,6,FALSE),"")</f>
        <v>29.19</v>
      </c>
      <c r="M1172" s="62"/>
    </row>
    <row r="1173" spans="2:13" x14ac:dyDescent="0.3">
      <c r="B1173" s="378" t="s">
        <v>1704</v>
      </c>
      <c r="C1173" s="341"/>
      <c r="D1173" s="338"/>
      <c r="E1173" s="235" t="s">
        <v>1040</v>
      </c>
      <c r="F1173" s="271" t="str">
        <f>IFERROR(VLOOKUP(E1173,'Inventaire des produits'!$B$4:$K$1000,2,0),"")</f>
        <v>FILM ALIMENTAIRE ELEGENCE</v>
      </c>
      <c r="G1173" s="247">
        <v>25</v>
      </c>
      <c r="H1173" s="79">
        <v>28.333333333333336</v>
      </c>
      <c r="I1173" s="95">
        <f t="shared" si="36"/>
        <v>708.33333333333337</v>
      </c>
      <c r="J1173" s="95">
        <f t="shared" si="37"/>
        <v>850</v>
      </c>
      <c r="K1173" s="93">
        <f>IFERROR(VLOOKUP(E1173,'Inventaire des produits'!$B$4:$J$1000,5,FALSE),"")</f>
        <v>0</v>
      </c>
      <c r="L1173" s="301">
        <f>IFERROR(VLOOKUP(E1173,'Inventaire des produits'!$B$4:$J$1000,6,FALSE),"")</f>
        <v>20</v>
      </c>
      <c r="M1173" s="62"/>
    </row>
    <row r="1174" spans="2:13" x14ac:dyDescent="0.3">
      <c r="B1174" s="378" t="s">
        <v>1704</v>
      </c>
      <c r="C1174" s="341"/>
      <c r="D1174" s="338"/>
      <c r="E1174" s="235" t="s">
        <v>666</v>
      </c>
      <c r="F1174" s="271" t="str">
        <f>IFERROR(VLOOKUP(E1174,'Inventaire des produits'!$B$4:$K$1000,2,0),"")</f>
        <v>GANT VINYL EXTRA PREMIUM GLOVE MEDIUM</v>
      </c>
      <c r="G1174" s="247">
        <v>30</v>
      </c>
      <c r="H1174" s="79">
        <v>33.333333333333336</v>
      </c>
      <c r="I1174" s="95">
        <f t="shared" si="36"/>
        <v>1000.0000000000001</v>
      </c>
      <c r="J1174" s="95">
        <f t="shared" si="37"/>
        <v>1200</v>
      </c>
      <c r="K1174" s="93">
        <f>IFERROR(VLOOKUP(E1174,'Inventaire des produits'!$B$4:$J$1000,5,FALSE),"")</f>
        <v>0</v>
      </c>
      <c r="L1174" s="301">
        <f>IFERROR(VLOOKUP(E1174,'Inventaire des produits'!$B$4:$J$1000,6,FALSE),"")</f>
        <v>20</v>
      </c>
      <c r="M1174" s="62"/>
    </row>
    <row r="1175" spans="2:13" x14ac:dyDescent="0.3">
      <c r="B1175" s="378" t="s">
        <v>1704</v>
      </c>
      <c r="C1175" s="341"/>
      <c r="D1175" s="338"/>
      <c r="E1175" s="235" t="s">
        <v>206</v>
      </c>
      <c r="F1175" s="271" t="str">
        <f>IFERROR(VLOOKUP(E1175,'Inventaire des produits'!$B$4:$K$1000,2,0),"")</f>
        <v>ESSUIE MAIN 1KG LISSE</v>
      </c>
      <c r="G1175" s="247">
        <v>25</v>
      </c>
      <c r="H1175" s="79">
        <v>28.333333333333336</v>
      </c>
      <c r="I1175" s="95">
        <f t="shared" si="36"/>
        <v>708.33333333333337</v>
      </c>
      <c r="J1175" s="95">
        <f t="shared" si="37"/>
        <v>850</v>
      </c>
      <c r="K1175" s="93">
        <f>IFERROR(VLOOKUP(E1175,'Inventaire des produits'!$B$4:$J$1000,5,FALSE),"")</f>
        <v>0</v>
      </c>
      <c r="L1175" s="301">
        <f>IFERROR(VLOOKUP(E1175,'Inventaire des produits'!$B$4:$J$1000,6,FALSE),"")</f>
        <v>21.25</v>
      </c>
      <c r="M1175" s="62"/>
    </row>
    <row r="1176" spans="2:13" x14ac:dyDescent="0.3">
      <c r="B1176" s="378" t="s">
        <v>1704</v>
      </c>
      <c r="C1176" s="341"/>
      <c r="D1176" s="338"/>
      <c r="E1176" s="235" t="s">
        <v>922</v>
      </c>
      <c r="F1176" s="271" t="str">
        <f>IFERROR(VLOOKUP(E1176,'Inventaire des produits'!$B$4:$K$1000,2,0),"")</f>
        <v>POT DE SAUCE 1OZ SANS CVL TRANSPARENT</v>
      </c>
      <c r="G1176" s="247">
        <v>15400</v>
      </c>
      <c r="H1176" s="79">
        <v>0.111278</v>
      </c>
      <c r="I1176" s="95">
        <f t="shared" si="36"/>
        <v>1713.6812</v>
      </c>
      <c r="J1176" s="95">
        <f t="shared" si="37"/>
        <v>2056.4174399999997</v>
      </c>
      <c r="K1176" s="93">
        <f>IFERROR(VLOOKUP(E1176,'Inventaire des produits'!$B$4:$J$1000,5,FALSE),"")</f>
        <v>0</v>
      </c>
      <c r="L1176" s="301">
        <f>IFERROR(VLOOKUP(E1176,'Inventaire des produits'!$B$4:$J$1000,6,FALSE),"")</f>
        <v>0.1014</v>
      </c>
      <c r="M1176" s="62"/>
    </row>
    <row r="1177" spans="2:13" x14ac:dyDescent="0.3">
      <c r="B1177" s="378" t="s">
        <v>1704</v>
      </c>
      <c r="C1177" s="341"/>
      <c r="D1177" s="338"/>
      <c r="E1177" s="235" t="s">
        <v>923</v>
      </c>
      <c r="F1177" s="271" t="str">
        <f>IFERROR(VLOOKUP(E1177,'Inventaire des produits'!$B$4:$K$1000,2,0),"")</f>
        <v>CVL DE POT DE SAUCE NOIR/TRANS 1OZ</v>
      </c>
      <c r="G1177" s="247">
        <v>15400</v>
      </c>
      <c r="H1177" s="79">
        <v>5.1768799999999997E-2</v>
      </c>
      <c r="I1177" s="95">
        <f t="shared" si="36"/>
        <v>797.23951999999997</v>
      </c>
      <c r="J1177" s="95">
        <f t="shared" si="37"/>
        <v>956.68742399999996</v>
      </c>
      <c r="K1177" s="93">
        <f>IFERROR(VLOOKUP(E1177,'Inventaire des produits'!$B$4:$J$1000,5,FALSE),"")</f>
        <v>0</v>
      </c>
      <c r="L1177" s="301">
        <f>IFERROR(VLOOKUP(E1177,'Inventaire des produits'!$B$4:$J$1000,6,FALSE),"")</f>
        <v>4.6600000000000003E-2</v>
      </c>
      <c r="M1177" s="62"/>
    </row>
    <row r="1178" spans="2:13" x14ac:dyDescent="0.3">
      <c r="B1178" s="378" t="s">
        <v>1704</v>
      </c>
      <c r="C1178" s="341"/>
      <c r="D1178" s="338"/>
      <c r="E1178" s="235" t="s">
        <v>619</v>
      </c>
      <c r="F1178" s="271" t="str">
        <f>IFERROR(VLOOKUP(E1178,'Inventaire des produits'!$B$4:$K$1000,2,0),"")</f>
        <v>POT DE SAUCE 1OZ 30ML HP</v>
      </c>
      <c r="G1178" s="247">
        <v>1800</v>
      </c>
      <c r="H1178" s="79">
        <v>0.16250000000000001</v>
      </c>
      <c r="I1178" s="95">
        <f t="shared" si="36"/>
        <v>292.5</v>
      </c>
      <c r="J1178" s="95">
        <f t="shared" si="37"/>
        <v>351</v>
      </c>
      <c r="K1178" s="93">
        <f>IFERROR(VLOOKUP(E1178,'Inventaire des produits'!$B$4:$J$1000,5,FALSE),"")</f>
        <v>0</v>
      </c>
      <c r="L1178" s="301">
        <f>IFERROR(VLOOKUP(E1178,'Inventaire des produits'!$B$4:$J$1000,6,FALSE),"")</f>
        <v>0.13450000000000001</v>
      </c>
      <c r="M1178" s="62"/>
    </row>
    <row r="1179" spans="2:13" x14ac:dyDescent="0.3">
      <c r="B1179" s="378" t="s">
        <v>1704</v>
      </c>
      <c r="C1179" s="341"/>
      <c r="D1179" s="338"/>
      <c r="E1179" s="235" t="s">
        <v>690</v>
      </c>
      <c r="F1179" s="271" t="str">
        <f>IFERROR(VLOOKUP(E1179,'Inventaire des produits'!$B$4:$K$1000,2,0),"")</f>
        <v>POT DE SAUCE 1OZ ET CVL</v>
      </c>
      <c r="G1179" s="247">
        <v>900</v>
      </c>
      <c r="H1179" s="79">
        <v>0.16250000000000001</v>
      </c>
      <c r="I1179" s="95">
        <f t="shared" si="36"/>
        <v>146.25</v>
      </c>
      <c r="J1179" s="95">
        <f t="shared" si="37"/>
        <v>175.5</v>
      </c>
      <c r="K1179" s="93">
        <f>IFERROR(VLOOKUP(E1179,'Inventaire des produits'!$B$4:$J$1000,5,FALSE),"")</f>
        <v>0</v>
      </c>
      <c r="L1179" s="301">
        <f>IFERROR(VLOOKUP(E1179,'Inventaire des produits'!$B$4:$J$1000,6,FALSE),"")</f>
        <v>0.15833333329999999</v>
      </c>
      <c r="M1179" s="62"/>
    </row>
    <row r="1180" spans="2:13" x14ac:dyDescent="0.3">
      <c r="B1180" s="378" t="s">
        <v>1704</v>
      </c>
      <c r="C1180" s="341"/>
      <c r="D1180" s="338"/>
      <c r="E1180" s="235" t="s">
        <v>859</v>
      </c>
      <c r="F1180" s="271" t="str">
        <f>IFERROR(VLOOKUP(E1180,'Inventaire des produits'!$B$4:$K$1000,2,0),"")</f>
        <v>POT DE SAUCE 1OZ AVEC CVL</v>
      </c>
      <c r="G1180" s="247">
        <v>200</v>
      </c>
      <c r="H1180" s="79">
        <v>0.16250000000000001</v>
      </c>
      <c r="I1180" s="95">
        <f t="shared" si="36"/>
        <v>32.5</v>
      </c>
      <c r="J1180" s="95">
        <f t="shared" si="37"/>
        <v>39</v>
      </c>
      <c r="K1180" s="93">
        <f>IFERROR(VLOOKUP(E1180,'Inventaire des produits'!$B$4:$J$1000,5,FALSE),"")</f>
        <v>0</v>
      </c>
      <c r="L1180" s="301">
        <f>IFERROR(VLOOKUP(E1180,'Inventaire des produits'!$B$4:$J$1000,6,FALSE),"")</f>
        <v>0.15833333329999999</v>
      </c>
      <c r="M1180" s="62"/>
    </row>
    <row r="1181" spans="2:13" x14ac:dyDescent="0.3">
      <c r="B1181" s="378" t="s">
        <v>1704</v>
      </c>
      <c r="C1181" s="341"/>
      <c r="D1181" s="338"/>
      <c r="E1181" s="240" t="s">
        <v>1149</v>
      </c>
      <c r="F1181" s="271" t="str">
        <f>IFERROR(VLOOKUP(E1181,'Inventaire des produits'!$B$4:$K$1000,2,0),"")</f>
        <v>ROULEAU DE CAISSE THERMIQUE 80X80</v>
      </c>
      <c r="G1181" s="247">
        <v>120</v>
      </c>
      <c r="H1181" s="79">
        <v>10.333333333333334</v>
      </c>
      <c r="I1181" s="95">
        <f t="shared" si="36"/>
        <v>1240</v>
      </c>
      <c r="J1181" s="95">
        <f t="shared" si="37"/>
        <v>1488</v>
      </c>
      <c r="K1181" s="93">
        <f>IFERROR(VLOOKUP(E1181,'Inventaire des produits'!$B$4:$J$1000,5,FALSE),"")</f>
        <v>253</v>
      </c>
      <c r="L1181" s="301">
        <f>IFERROR(VLOOKUP(E1181,'Inventaire des produits'!$B$4:$J$1000,6,FALSE),"")</f>
        <v>7.5</v>
      </c>
      <c r="M1181" s="62"/>
    </row>
    <row r="1182" spans="2:13" x14ac:dyDescent="0.3">
      <c r="B1182" s="378" t="s">
        <v>1704</v>
      </c>
      <c r="C1182" s="341"/>
      <c r="D1182" s="338"/>
      <c r="E1182" s="235" t="s">
        <v>143</v>
      </c>
      <c r="F1182" s="271" t="str">
        <f>IFERROR(VLOOKUP(E1182,'Inventaire des produits'!$B$4:$K$1000,2,0),"")</f>
        <v>TIGE BROCHETTE BAMBOU 20CM</v>
      </c>
      <c r="G1182" s="247">
        <v>5000</v>
      </c>
      <c r="H1182" s="79">
        <v>0.05</v>
      </c>
      <c r="I1182" s="95">
        <f t="shared" si="36"/>
        <v>250</v>
      </c>
      <c r="J1182" s="95">
        <f t="shared" si="37"/>
        <v>300</v>
      </c>
      <c r="K1182" s="93">
        <f>IFERROR(VLOOKUP(E1182,'Inventaire des produits'!$B$4:$J$1000,5,FALSE),"")</f>
        <v>0</v>
      </c>
      <c r="L1182" s="301">
        <f>IFERROR(VLOOKUP(E1182,'Inventaire des produits'!$B$4:$J$1000,6,FALSE),"")</f>
        <v>3.7499999999999999E-2</v>
      </c>
      <c r="M1182" s="62"/>
    </row>
    <row r="1183" spans="2:13" x14ac:dyDescent="0.3">
      <c r="B1183" s="378" t="s">
        <v>1704</v>
      </c>
      <c r="C1183" s="341"/>
      <c r="D1183" s="338"/>
      <c r="E1183" s="235" t="s">
        <v>870</v>
      </c>
      <c r="F1183" s="271" t="str">
        <f>IFERROR(VLOOKUP(E1183,'Inventaire des produits'!$B$4:$K$1000,2,0),"")</f>
        <v>PAILLE ENVELOPPEE CODE 100 NOIR</v>
      </c>
      <c r="G1183" s="247">
        <v>31</v>
      </c>
      <c r="H1183" s="79">
        <v>6.6660000000000004</v>
      </c>
      <c r="I1183" s="95">
        <f t="shared" si="36"/>
        <v>206.64600000000002</v>
      </c>
      <c r="J1183" s="95">
        <f t="shared" si="37"/>
        <v>247.9752</v>
      </c>
      <c r="K1183" s="93">
        <f>IFERROR(VLOOKUP(E1183,'Inventaire des produits'!$B$4:$J$1000,5,FALSE),"")</f>
        <v>15</v>
      </c>
      <c r="L1183" s="301">
        <f>IFERROR(VLOOKUP(E1183,'Inventaire des produits'!$B$4:$J$1000,6,FALSE),"")</f>
        <v>3.5833333330000001</v>
      </c>
      <c r="M1183" s="62"/>
    </row>
    <row r="1184" spans="2:13" x14ac:dyDescent="0.3">
      <c r="B1184" s="378" t="s">
        <v>1704</v>
      </c>
      <c r="C1184" s="341"/>
      <c r="D1184" s="338"/>
      <c r="E1184" s="235" t="s">
        <v>737</v>
      </c>
      <c r="F1184" s="271" t="str">
        <f>IFERROR(VLOOKUP(E1184,'Inventaire des produits'!$B$4:$K$1000,2,0),"")</f>
        <v>BOUTEILLE PLASTIQUE TRANS 330ML AVEC BOUCHON</v>
      </c>
      <c r="G1184" s="247">
        <v>204</v>
      </c>
      <c r="H1184" s="79">
        <v>2</v>
      </c>
      <c r="I1184" s="95">
        <f t="shared" si="36"/>
        <v>408</v>
      </c>
      <c r="J1184" s="95">
        <f t="shared" si="37"/>
        <v>489.59999999999997</v>
      </c>
      <c r="K1184" s="93">
        <f>IFERROR(VLOOKUP(E1184,'Inventaire des produits'!$B$4:$J$1000,5,FALSE),"")</f>
        <v>0</v>
      </c>
      <c r="L1184" s="301">
        <f>IFERROR(VLOOKUP(E1184,'Inventaire des produits'!$B$4:$J$1000,6,FALSE),"")</f>
        <v>1.65</v>
      </c>
      <c r="M1184" s="62"/>
    </row>
    <row r="1185" spans="2:13" x14ac:dyDescent="0.3">
      <c r="B1185" s="378" t="s">
        <v>1704</v>
      </c>
      <c r="C1185" s="341"/>
      <c r="D1185" s="338"/>
      <c r="E1185" s="235" t="s">
        <v>464</v>
      </c>
      <c r="F1185" s="271" t="str">
        <f>IFERROR(VLOOKUP(E1185,'Inventaire des produits'!$B$4:$K$1000,2,0),"")</f>
        <v>PAPIER ZIGZAG</v>
      </c>
      <c r="G1185" s="247">
        <v>20</v>
      </c>
      <c r="H1185" s="79">
        <v>12.5</v>
      </c>
      <c r="I1185" s="95">
        <f t="shared" si="36"/>
        <v>250</v>
      </c>
      <c r="J1185" s="95">
        <f t="shared" si="37"/>
        <v>300</v>
      </c>
      <c r="K1185" s="93">
        <f>IFERROR(VLOOKUP(E1185,'Inventaire des produits'!$B$4:$J$1000,5,FALSE),"")</f>
        <v>120</v>
      </c>
      <c r="L1185" s="301">
        <f>IFERROR(VLOOKUP(E1185,'Inventaire des produits'!$B$4:$J$1000,6,FALSE),"")</f>
        <v>7.5</v>
      </c>
      <c r="M1185" s="62"/>
    </row>
    <row r="1186" spans="2:13" x14ac:dyDescent="0.3">
      <c r="B1186" s="378" t="s">
        <v>1704</v>
      </c>
      <c r="C1186" s="342"/>
      <c r="D1186" s="339"/>
      <c r="E1186" s="235" t="s">
        <v>895</v>
      </c>
      <c r="F1186" s="271" t="str">
        <f>IFERROR(VLOOKUP(E1186,'Inventaire des produits'!$B$4:$K$1000,2,0),"")</f>
        <v>ROULEAU ALUMINIUM GOLDEN 200M</v>
      </c>
      <c r="G1186" s="247">
        <v>4</v>
      </c>
      <c r="H1186" s="79">
        <v>70.832999999999998</v>
      </c>
      <c r="I1186" s="95">
        <f t="shared" si="36"/>
        <v>283.33199999999999</v>
      </c>
      <c r="J1186" s="95">
        <f t="shared" si="37"/>
        <v>339.9984</v>
      </c>
      <c r="K1186" s="93">
        <f>IFERROR(VLOOKUP(E1186,'Inventaire des produits'!$B$4:$J$1000,5,FALSE),"")</f>
        <v>0</v>
      </c>
      <c r="L1186" s="301">
        <f>IFERROR(VLOOKUP(E1186,'Inventaire des produits'!$B$4:$J$1000,6,FALSE),"")</f>
        <v>57.5</v>
      </c>
      <c r="M1186" s="62"/>
    </row>
    <row r="1187" spans="2:13" x14ac:dyDescent="0.3">
      <c r="B1187" s="378" t="s">
        <v>1704</v>
      </c>
      <c r="C1187" s="340">
        <v>45517</v>
      </c>
      <c r="D1187" s="337" t="s">
        <v>1169</v>
      </c>
      <c r="E1187" s="235" t="s">
        <v>1079</v>
      </c>
      <c r="F1187" s="271" t="str">
        <f>IFERROR(VLOOKUP(E1187,'Inventaire des produits'!$B$4:$K$1000,2,0),"")</f>
        <v>FOURCHETTE ECOLUXE TRANSPARENTE</v>
      </c>
      <c r="G1187" s="247">
        <v>80</v>
      </c>
      <c r="H1187" s="79">
        <v>19.1666666666667</v>
      </c>
      <c r="I1187" s="95">
        <f t="shared" si="36"/>
        <v>1533.333333333336</v>
      </c>
      <c r="J1187" s="95">
        <f t="shared" si="37"/>
        <v>1840.0000000000032</v>
      </c>
      <c r="K1187" s="93">
        <f>IFERROR(VLOOKUP(E1187,'Inventaire des produits'!$B$4:$J$1000,5,FALSE),"")</f>
        <v>0</v>
      </c>
      <c r="L1187" s="301">
        <f>IFERROR(VLOOKUP(E1187,'Inventaire des produits'!$B$4:$J$1000,6,FALSE),"")</f>
        <v>14.166665999999999</v>
      </c>
      <c r="M1187" s="62">
        <f>SUM(J1187:J1201)</f>
        <v>12003.580064000003</v>
      </c>
    </row>
    <row r="1188" spans="2:13" x14ac:dyDescent="0.3">
      <c r="B1188" s="378" t="s">
        <v>1704</v>
      </c>
      <c r="C1188" s="341"/>
      <c r="D1188" s="338"/>
      <c r="E1188" s="235" t="s">
        <v>869</v>
      </c>
      <c r="F1188" s="271" t="str">
        <f>IFERROR(VLOOKUP(E1188,'Inventaire des produits'!$B$4:$K$1000,2,0),"")</f>
        <v>PAILLE ENVELOPPEE CODE 100 TRANS</v>
      </c>
      <c r="G1188" s="247">
        <v>36</v>
      </c>
      <c r="H1188" s="79">
        <v>6.666666666666667</v>
      </c>
      <c r="I1188" s="95">
        <f t="shared" si="36"/>
        <v>240</v>
      </c>
      <c r="J1188" s="95">
        <f t="shared" si="37"/>
        <v>288</v>
      </c>
      <c r="K1188" s="93">
        <f>IFERROR(VLOOKUP(E1188,'Inventaire des produits'!$B$4:$J$1000,5,FALSE),"")</f>
        <v>898</v>
      </c>
      <c r="L1188" s="301">
        <f>IFERROR(VLOOKUP(E1188,'Inventaire des produits'!$B$4:$J$1000,6,FALSE),"")</f>
        <v>3.9166666659999998</v>
      </c>
      <c r="M1188" s="62"/>
    </row>
    <row r="1189" spans="2:13" x14ac:dyDescent="0.3">
      <c r="B1189" s="378" t="s">
        <v>1704</v>
      </c>
      <c r="C1189" s="341"/>
      <c r="D1189" s="338"/>
      <c r="E1189" s="235" t="s">
        <v>1139</v>
      </c>
      <c r="F1189" s="271" t="str">
        <f>IFERROR(VLOOKUP(E1189,'Inventaire des produits'!$B$4:$K$1000,2,0),"")</f>
        <v>BARQUETTE ALUMINIUM 250</v>
      </c>
      <c r="G1189" s="247">
        <v>1450</v>
      </c>
      <c r="H1189" s="79">
        <v>0.375</v>
      </c>
      <c r="I1189" s="95">
        <f t="shared" si="36"/>
        <v>543.75</v>
      </c>
      <c r="J1189" s="95">
        <f t="shared" si="37"/>
        <v>652.5</v>
      </c>
      <c r="K1189" s="93">
        <f>IFERROR(VLOOKUP(E1189,'Inventaire des produits'!$B$4:$J$1000,5,FALSE),"")</f>
        <v>6400</v>
      </c>
      <c r="L1189" s="301">
        <f>IFERROR(VLOOKUP(E1189,'Inventaire des produits'!$B$4:$J$1000,6,FALSE),"")</f>
        <v>0.29167000000000004</v>
      </c>
      <c r="M1189" s="62"/>
    </row>
    <row r="1190" spans="2:13" x14ac:dyDescent="0.3">
      <c r="B1190" s="378" t="s">
        <v>1704</v>
      </c>
      <c r="C1190" s="341"/>
      <c r="D1190" s="338"/>
      <c r="E1190" s="235" t="s">
        <v>451</v>
      </c>
      <c r="F1190" s="271" t="str">
        <f>IFERROR(VLOOKUP(E1190,'Inventaire des produits'!$B$4:$K$1000,2,0),"")</f>
        <v>FILM ALIMENTAIRE 45CM 1.5KG</v>
      </c>
      <c r="G1190" s="247">
        <v>19</v>
      </c>
      <c r="H1190" s="79">
        <v>43.333333333333336</v>
      </c>
      <c r="I1190" s="95">
        <f t="shared" si="36"/>
        <v>823.33333333333337</v>
      </c>
      <c r="J1190" s="95">
        <f t="shared" si="37"/>
        <v>988</v>
      </c>
      <c r="K1190" s="93">
        <f>IFERROR(VLOOKUP(E1190,'Inventaire des produits'!$B$4:$J$1000,5,FALSE),"")</f>
        <v>252</v>
      </c>
      <c r="L1190" s="301">
        <f>IFERROR(VLOOKUP(E1190,'Inventaire des produits'!$B$4:$J$1000,6,FALSE),"")</f>
        <v>29.19</v>
      </c>
      <c r="M1190" s="62"/>
    </row>
    <row r="1191" spans="2:13" x14ac:dyDescent="0.3">
      <c r="B1191" s="378" t="s">
        <v>1704</v>
      </c>
      <c r="C1191" s="341"/>
      <c r="D1191" s="338"/>
      <c r="E1191" s="235" t="s">
        <v>1040</v>
      </c>
      <c r="F1191" s="271" t="str">
        <f>IFERROR(VLOOKUP(E1191,'Inventaire des produits'!$B$4:$K$1000,2,0),"")</f>
        <v>FILM ALIMENTAIRE ELEGENCE</v>
      </c>
      <c r="G1191" s="247">
        <v>24</v>
      </c>
      <c r="H1191" s="79">
        <v>28.333333333333336</v>
      </c>
      <c r="I1191" s="95">
        <f t="shared" si="36"/>
        <v>680</v>
      </c>
      <c r="J1191" s="95">
        <f t="shared" si="37"/>
        <v>816</v>
      </c>
      <c r="K1191" s="93">
        <f>IFERROR(VLOOKUP(E1191,'Inventaire des produits'!$B$4:$J$1000,5,FALSE),"")</f>
        <v>0</v>
      </c>
      <c r="L1191" s="301">
        <f>IFERROR(VLOOKUP(E1191,'Inventaire des produits'!$B$4:$J$1000,6,FALSE),"")</f>
        <v>20</v>
      </c>
      <c r="M1191" s="62"/>
    </row>
    <row r="1192" spans="2:13" x14ac:dyDescent="0.3">
      <c r="B1192" s="378" t="s">
        <v>1704</v>
      </c>
      <c r="C1192" s="341"/>
      <c r="D1192" s="338"/>
      <c r="E1192" s="235" t="s">
        <v>666</v>
      </c>
      <c r="F1192" s="271" t="str">
        <f>IFERROR(VLOOKUP(E1192,'Inventaire des produits'!$B$4:$K$1000,2,0),"")</f>
        <v>GANT VINYL EXTRA PREMIUM GLOVE MEDIUM</v>
      </c>
      <c r="G1192" s="247">
        <v>30</v>
      </c>
      <c r="H1192" s="79">
        <v>33.333333333333336</v>
      </c>
      <c r="I1192" s="95">
        <f t="shared" si="36"/>
        <v>1000.0000000000001</v>
      </c>
      <c r="J1192" s="95">
        <f t="shared" si="37"/>
        <v>1200</v>
      </c>
      <c r="K1192" s="93">
        <f>IFERROR(VLOOKUP(E1192,'Inventaire des produits'!$B$4:$J$1000,5,FALSE),"")</f>
        <v>0</v>
      </c>
      <c r="L1192" s="301">
        <f>IFERROR(VLOOKUP(E1192,'Inventaire des produits'!$B$4:$J$1000,6,FALSE),"")</f>
        <v>20</v>
      </c>
      <c r="M1192" s="62"/>
    </row>
    <row r="1193" spans="2:13" x14ac:dyDescent="0.3">
      <c r="B1193" s="378" t="s">
        <v>1704</v>
      </c>
      <c r="C1193" s="341"/>
      <c r="D1193" s="338"/>
      <c r="E1193" s="235" t="s">
        <v>206</v>
      </c>
      <c r="F1193" s="271" t="str">
        <f>IFERROR(VLOOKUP(E1193,'Inventaire des produits'!$B$4:$K$1000,2,0),"")</f>
        <v>ESSUIE MAIN 1KG LISSE</v>
      </c>
      <c r="G1193" s="247">
        <v>22</v>
      </c>
      <c r="H1193" s="79">
        <v>28.333333333333336</v>
      </c>
      <c r="I1193" s="95">
        <f t="shared" si="36"/>
        <v>623.33333333333337</v>
      </c>
      <c r="J1193" s="95">
        <f t="shared" si="37"/>
        <v>748</v>
      </c>
      <c r="K1193" s="93">
        <f>IFERROR(VLOOKUP(E1193,'Inventaire des produits'!$B$4:$J$1000,5,FALSE),"")</f>
        <v>0</v>
      </c>
      <c r="L1193" s="301">
        <f>IFERROR(VLOOKUP(E1193,'Inventaire des produits'!$B$4:$J$1000,6,FALSE),"")</f>
        <v>21.25</v>
      </c>
      <c r="M1193" s="62"/>
    </row>
    <row r="1194" spans="2:13" x14ac:dyDescent="0.3">
      <c r="B1194" s="378" t="s">
        <v>1704</v>
      </c>
      <c r="C1194" s="341"/>
      <c r="D1194" s="338"/>
      <c r="E1194" s="235" t="s">
        <v>922</v>
      </c>
      <c r="F1194" s="271" t="str">
        <f>IFERROR(VLOOKUP(E1194,'Inventaire des produits'!$B$4:$K$1000,2,0),"")</f>
        <v>POT DE SAUCE 1OZ SANS CVL TRANSPARENT</v>
      </c>
      <c r="G1194" s="247">
        <v>15400</v>
      </c>
      <c r="H1194" s="79">
        <v>0.111278</v>
      </c>
      <c r="I1194" s="95">
        <f t="shared" si="36"/>
        <v>1713.6812</v>
      </c>
      <c r="J1194" s="95">
        <f t="shared" si="37"/>
        <v>2056.4174399999997</v>
      </c>
      <c r="K1194" s="93">
        <f>IFERROR(VLOOKUP(E1194,'Inventaire des produits'!$B$4:$J$1000,5,FALSE),"")</f>
        <v>0</v>
      </c>
      <c r="L1194" s="301">
        <f>IFERROR(VLOOKUP(E1194,'Inventaire des produits'!$B$4:$J$1000,6,FALSE),"")</f>
        <v>0.1014</v>
      </c>
      <c r="M1194" s="62"/>
    </row>
    <row r="1195" spans="2:13" x14ac:dyDescent="0.3">
      <c r="B1195" s="378" t="s">
        <v>1704</v>
      </c>
      <c r="C1195" s="341"/>
      <c r="D1195" s="338"/>
      <c r="E1195" s="235" t="s">
        <v>923</v>
      </c>
      <c r="F1195" s="271" t="str">
        <f>IFERROR(VLOOKUP(E1195,'Inventaire des produits'!$B$4:$K$1000,2,0),"")</f>
        <v>CVL DE POT DE SAUCE NOIR/TRANS 1OZ</v>
      </c>
      <c r="G1195" s="247">
        <v>15400</v>
      </c>
      <c r="H1195" s="79">
        <v>5.1768799999999997E-2</v>
      </c>
      <c r="I1195" s="95">
        <f t="shared" si="36"/>
        <v>797.23951999999997</v>
      </c>
      <c r="J1195" s="95">
        <f t="shared" si="37"/>
        <v>956.68742399999996</v>
      </c>
      <c r="K1195" s="93">
        <f>IFERROR(VLOOKUP(E1195,'Inventaire des produits'!$B$4:$J$1000,5,FALSE),"")</f>
        <v>0</v>
      </c>
      <c r="L1195" s="301">
        <f>IFERROR(VLOOKUP(E1195,'Inventaire des produits'!$B$4:$J$1000,6,FALSE),"")</f>
        <v>4.6600000000000003E-2</v>
      </c>
      <c r="M1195" s="62"/>
    </row>
    <row r="1196" spans="2:13" x14ac:dyDescent="0.3">
      <c r="B1196" s="378" t="s">
        <v>1704</v>
      </c>
      <c r="C1196" s="341"/>
      <c r="D1196" s="338"/>
      <c r="E1196" s="235" t="s">
        <v>619</v>
      </c>
      <c r="F1196" s="271" t="str">
        <f>IFERROR(VLOOKUP(E1196,'Inventaire des produits'!$B$4:$K$1000,2,0),"")</f>
        <v>POT DE SAUCE 1OZ 30ML HP</v>
      </c>
      <c r="G1196" s="247">
        <v>1800</v>
      </c>
      <c r="H1196" s="79">
        <v>0.16250000000000001</v>
      </c>
      <c r="I1196" s="95">
        <f t="shared" si="36"/>
        <v>292.5</v>
      </c>
      <c r="J1196" s="95">
        <f t="shared" si="37"/>
        <v>351</v>
      </c>
      <c r="K1196" s="93">
        <f>IFERROR(VLOOKUP(E1196,'Inventaire des produits'!$B$4:$J$1000,5,FALSE),"")</f>
        <v>0</v>
      </c>
      <c r="L1196" s="301">
        <f>IFERROR(VLOOKUP(E1196,'Inventaire des produits'!$B$4:$J$1000,6,FALSE),"")</f>
        <v>0.13450000000000001</v>
      </c>
      <c r="M1196" s="62"/>
    </row>
    <row r="1197" spans="2:13" x14ac:dyDescent="0.3">
      <c r="B1197" s="378" t="s">
        <v>1704</v>
      </c>
      <c r="C1197" s="341"/>
      <c r="D1197" s="338"/>
      <c r="E1197" s="235" t="s">
        <v>690</v>
      </c>
      <c r="F1197" s="271" t="str">
        <f>IFERROR(VLOOKUP(E1197,'Inventaire des produits'!$B$4:$K$1000,2,0),"")</f>
        <v>POT DE SAUCE 1OZ ET CVL</v>
      </c>
      <c r="G1197" s="247">
        <v>800</v>
      </c>
      <c r="H1197" s="79">
        <v>0.16250000000000001</v>
      </c>
      <c r="I1197" s="95">
        <f t="shared" si="36"/>
        <v>130</v>
      </c>
      <c r="J1197" s="95">
        <f t="shared" si="37"/>
        <v>156</v>
      </c>
      <c r="K1197" s="93">
        <f>IFERROR(VLOOKUP(E1197,'Inventaire des produits'!$B$4:$J$1000,5,FALSE),"")</f>
        <v>0</v>
      </c>
      <c r="L1197" s="301">
        <f>IFERROR(VLOOKUP(E1197,'Inventaire des produits'!$B$4:$J$1000,6,FALSE),"")</f>
        <v>0.15833333329999999</v>
      </c>
      <c r="M1197" s="62"/>
    </row>
    <row r="1198" spans="2:13" x14ac:dyDescent="0.3">
      <c r="B1198" s="378" t="s">
        <v>1704</v>
      </c>
      <c r="C1198" s="341"/>
      <c r="D1198" s="338"/>
      <c r="E1198" s="235" t="s">
        <v>859</v>
      </c>
      <c r="F1198" s="271" t="str">
        <f>IFERROR(VLOOKUP(E1198,'Inventaire des produits'!$B$4:$K$1000,2,0),"")</f>
        <v>POT DE SAUCE 1OZ AVEC CVL</v>
      </c>
      <c r="G1198" s="247">
        <v>200</v>
      </c>
      <c r="H1198" s="79">
        <v>0.16250000000000001</v>
      </c>
      <c r="I1198" s="95">
        <f t="shared" si="36"/>
        <v>32.5</v>
      </c>
      <c r="J1198" s="95">
        <f t="shared" si="37"/>
        <v>39</v>
      </c>
      <c r="K1198" s="93">
        <f>IFERROR(VLOOKUP(E1198,'Inventaire des produits'!$B$4:$J$1000,5,FALSE),"")</f>
        <v>0</v>
      </c>
      <c r="L1198" s="301">
        <f>IFERROR(VLOOKUP(E1198,'Inventaire des produits'!$B$4:$J$1000,6,FALSE),"")</f>
        <v>0.15833333329999999</v>
      </c>
      <c r="M1198" s="62"/>
    </row>
    <row r="1199" spans="2:13" x14ac:dyDescent="0.3">
      <c r="B1199" s="378" t="s">
        <v>1704</v>
      </c>
      <c r="C1199" s="341"/>
      <c r="D1199" s="338"/>
      <c r="E1199" s="240" t="s">
        <v>1149</v>
      </c>
      <c r="F1199" s="271" t="str">
        <f>IFERROR(VLOOKUP(E1199,'Inventaire des produits'!$B$4:$K$1000,2,0),"")</f>
        <v>ROULEAU DE CAISSE THERMIQUE 80X80</v>
      </c>
      <c r="G1199" s="247">
        <v>110</v>
      </c>
      <c r="H1199" s="79">
        <v>10.333333333333334</v>
      </c>
      <c r="I1199" s="95">
        <f t="shared" si="36"/>
        <v>1136.6666666666667</v>
      </c>
      <c r="J1199" s="95">
        <f t="shared" si="37"/>
        <v>1364</v>
      </c>
      <c r="K1199" s="93">
        <f>IFERROR(VLOOKUP(E1199,'Inventaire des produits'!$B$4:$J$1000,5,FALSE),"")</f>
        <v>253</v>
      </c>
      <c r="L1199" s="301">
        <f>IFERROR(VLOOKUP(E1199,'Inventaire des produits'!$B$4:$J$1000,6,FALSE),"")</f>
        <v>7.5</v>
      </c>
      <c r="M1199" s="62"/>
    </row>
    <row r="1200" spans="2:13" x14ac:dyDescent="0.3">
      <c r="B1200" s="378" t="s">
        <v>1704</v>
      </c>
      <c r="C1200" s="341"/>
      <c r="D1200" s="338"/>
      <c r="E1200" s="235" t="s">
        <v>143</v>
      </c>
      <c r="F1200" s="271" t="str">
        <f>IFERROR(VLOOKUP(E1200,'Inventaire des produits'!$B$4:$K$1000,2,0),"")</f>
        <v>TIGE BROCHETTE BAMBOU 20CM</v>
      </c>
      <c r="G1200" s="247">
        <v>5000</v>
      </c>
      <c r="H1200" s="79">
        <v>0.05</v>
      </c>
      <c r="I1200" s="95">
        <f t="shared" si="36"/>
        <v>250</v>
      </c>
      <c r="J1200" s="95">
        <f t="shared" si="37"/>
        <v>300</v>
      </c>
      <c r="K1200" s="93">
        <f>IFERROR(VLOOKUP(E1200,'Inventaire des produits'!$B$4:$J$1000,5,FALSE),"")</f>
        <v>0</v>
      </c>
      <c r="L1200" s="301">
        <f>IFERROR(VLOOKUP(E1200,'Inventaire des produits'!$B$4:$J$1000,6,FALSE),"")</f>
        <v>3.7499999999999999E-2</v>
      </c>
      <c r="M1200" s="62"/>
    </row>
    <row r="1201" spans="2:13" x14ac:dyDescent="0.3">
      <c r="B1201" s="378" t="s">
        <v>1704</v>
      </c>
      <c r="C1201" s="342"/>
      <c r="D1201" s="339"/>
      <c r="E1201" s="235" t="s">
        <v>870</v>
      </c>
      <c r="F1201" s="271" t="str">
        <f>IFERROR(VLOOKUP(E1201,'Inventaire des produits'!$B$4:$K$1000,2,0),"")</f>
        <v>PAILLE ENVELOPPEE CODE 100 NOIR</v>
      </c>
      <c r="G1201" s="247">
        <v>31</v>
      </c>
      <c r="H1201" s="79">
        <v>6.6660000000000004</v>
      </c>
      <c r="I1201" s="95">
        <f t="shared" si="36"/>
        <v>206.64600000000002</v>
      </c>
      <c r="J1201" s="95">
        <f t="shared" si="37"/>
        <v>247.9752</v>
      </c>
      <c r="K1201" s="93">
        <f>IFERROR(VLOOKUP(E1201,'Inventaire des produits'!$B$4:$J$1000,5,FALSE),"")</f>
        <v>15</v>
      </c>
      <c r="L1201" s="301">
        <f>IFERROR(VLOOKUP(E1201,'Inventaire des produits'!$B$4:$J$1000,6,FALSE),"")</f>
        <v>3.5833333330000001</v>
      </c>
      <c r="M1201" s="62"/>
    </row>
    <row r="1202" spans="2:13" x14ac:dyDescent="0.3">
      <c r="B1202" s="378" t="s">
        <v>1704</v>
      </c>
      <c r="C1202" s="340">
        <v>45517</v>
      </c>
      <c r="D1202" s="337" t="s">
        <v>1170</v>
      </c>
      <c r="E1202" s="235" t="s">
        <v>1079</v>
      </c>
      <c r="F1202" s="271" t="str">
        <f>IFERROR(VLOOKUP(E1202,'Inventaire des produits'!$B$4:$K$1000,2,0),"")</f>
        <v>FOURCHETTE ECOLUXE TRANSPARENTE</v>
      </c>
      <c r="G1202" s="247">
        <v>78</v>
      </c>
      <c r="H1202" s="79">
        <v>19.1666666666667</v>
      </c>
      <c r="I1202" s="95">
        <f t="shared" si="36"/>
        <v>1495.0000000000025</v>
      </c>
      <c r="J1202" s="95">
        <f t="shared" si="37"/>
        <v>1794.000000000003</v>
      </c>
      <c r="K1202" s="93">
        <f>IFERROR(VLOOKUP(E1202,'Inventaire des produits'!$B$4:$J$1000,5,FALSE),"")</f>
        <v>0</v>
      </c>
      <c r="L1202" s="301">
        <f>IFERROR(VLOOKUP(E1202,'Inventaire des produits'!$B$4:$J$1000,6,FALSE),"")</f>
        <v>14.166665999999999</v>
      </c>
      <c r="M1202" s="62">
        <f>SUM(J1202:J1216)</f>
        <v>11435.580064000003</v>
      </c>
    </row>
    <row r="1203" spans="2:13" x14ac:dyDescent="0.3">
      <c r="B1203" s="378" t="s">
        <v>1704</v>
      </c>
      <c r="C1203" s="341"/>
      <c r="D1203" s="338"/>
      <c r="E1203" s="235" t="s">
        <v>869</v>
      </c>
      <c r="F1203" s="271" t="str">
        <f>IFERROR(VLOOKUP(E1203,'Inventaire des produits'!$B$4:$K$1000,2,0),"")</f>
        <v>PAILLE ENVELOPPEE CODE 100 TRANS</v>
      </c>
      <c r="G1203" s="247">
        <v>32</v>
      </c>
      <c r="H1203" s="79">
        <v>6.666666666666667</v>
      </c>
      <c r="I1203" s="95">
        <f t="shared" si="36"/>
        <v>213.33333333333334</v>
      </c>
      <c r="J1203" s="95">
        <f t="shared" si="37"/>
        <v>256</v>
      </c>
      <c r="K1203" s="93">
        <f>IFERROR(VLOOKUP(E1203,'Inventaire des produits'!$B$4:$J$1000,5,FALSE),"")</f>
        <v>898</v>
      </c>
      <c r="L1203" s="301">
        <f>IFERROR(VLOOKUP(E1203,'Inventaire des produits'!$B$4:$J$1000,6,FALSE),"")</f>
        <v>3.9166666659999998</v>
      </c>
      <c r="M1203" s="62"/>
    </row>
    <row r="1204" spans="2:13" x14ac:dyDescent="0.3">
      <c r="B1204" s="378" t="s">
        <v>1704</v>
      </c>
      <c r="C1204" s="341"/>
      <c r="D1204" s="338"/>
      <c r="E1204" s="235" t="s">
        <v>1139</v>
      </c>
      <c r="F1204" s="271" t="str">
        <f>IFERROR(VLOOKUP(E1204,'Inventaire des produits'!$B$4:$K$1000,2,0),"")</f>
        <v>BARQUETTE ALUMINIUM 250</v>
      </c>
      <c r="G1204" s="247">
        <v>1410</v>
      </c>
      <c r="H1204" s="79">
        <v>0.375</v>
      </c>
      <c r="I1204" s="95">
        <f t="shared" si="36"/>
        <v>528.75</v>
      </c>
      <c r="J1204" s="95">
        <f t="shared" si="37"/>
        <v>634.5</v>
      </c>
      <c r="K1204" s="93">
        <f>IFERROR(VLOOKUP(E1204,'Inventaire des produits'!$B$4:$J$1000,5,FALSE),"")</f>
        <v>6400</v>
      </c>
      <c r="L1204" s="301">
        <f>IFERROR(VLOOKUP(E1204,'Inventaire des produits'!$B$4:$J$1000,6,FALSE),"")</f>
        <v>0.29167000000000004</v>
      </c>
      <c r="M1204" s="62"/>
    </row>
    <row r="1205" spans="2:13" x14ac:dyDescent="0.3">
      <c r="B1205" s="378" t="s">
        <v>1704</v>
      </c>
      <c r="C1205" s="341"/>
      <c r="D1205" s="338"/>
      <c r="E1205" s="235" t="s">
        <v>451</v>
      </c>
      <c r="F1205" s="271" t="str">
        <f>IFERROR(VLOOKUP(E1205,'Inventaire des produits'!$B$4:$K$1000,2,0),"")</f>
        <v>FILM ALIMENTAIRE 45CM 1.5KG</v>
      </c>
      <c r="G1205" s="247">
        <v>15</v>
      </c>
      <c r="H1205" s="79">
        <v>43.333333333333336</v>
      </c>
      <c r="I1205" s="95">
        <f t="shared" si="36"/>
        <v>650</v>
      </c>
      <c r="J1205" s="95">
        <f t="shared" si="37"/>
        <v>780</v>
      </c>
      <c r="K1205" s="93">
        <f>IFERROR(VLOOKUP(E1205,'Inventaire des produits'!$B$4:$J$1000,5,FALSE),"")</f>
        <v>252</v>
      </c>
      <c r="L1205" s="301">
        <f>IFERROR(VLOOKUP(E1205,'Inventaire des produits'!$B$4:$J$1000,6,FALSE),"")</f>
        <v>29.19</v>
      </c>
      <c r="M1205" s="62"/>
    </row>
    <row r="1206" spans="2:13" x14ac:dyDescent="0.3">
      <c r="B1206" s="378" t="s">
        <v>1704</v>
      </c>
      <c r="C1206" s="341"/>
      <c r="D1206" s="338"/>
      <c r="E1206" s="235" t="s">
        <v>1040</v>
      </c>
      <c r="F1206" s="271" t="str">
        <f>IFERROR(VLOOKUP(E1206,'Inventaire des produits'!$B$4:$K$1000,2,0),"")</f>
        <v>FILM ALIMENTAIRE ELEGENCE</v>
      </c>
      <c r="G1206" s="247">
        <v>22</v>
      </c>
      <c r="H1206" s="79">
        <v>28.333333333333336</v>
      </c>
      <c r="I1206" s="95">
        <f t="shared" si="36"/>
        <v>623.33333333333337</v>
      </c>
      <c r="J1206" s="95">
        <f t="shared" si="37"/>
        <v>748</v>
      </c>
      <c r="K1206" s="93">
        <f>IFERROR(VLOOKUP(E1206,'Inventaire des produits'!$B$4:$J$1000,5,FALSE),"")</f>
        <v>0</v>
      </c>
      <c r="L1206" s="301">
        <f>IFERROR(VLOOKUP(E1206,'Inventaire des produits'!$B$4:$J$1000,6,FALSE),"")</f>
        <v>20</v>
      </c>
      <c r="M1206" s="62"/>
    </row>
    <row r="1207" spans="2:13" x14ac:dyDescent="0.3">
      <c r="B1207" s="378" t="s">
        <v>1704</v>
      </c>
      <c r="C1207" s="341"/>
      <c r="D1207" s="338"/>
      <c r="E1207" s="235" t="s">
        <v>666</v>
      </c>
      <c r="F1207" s="271" t="str">
        <f>IFERROR(VLOOKUP(E1207,'Inventaire des produits'!$B$4:$K$1000,2,0),"")</f>
        <v>GANT VINYL EXTRA PREMIUM GLOVE MEDIUM</v>
      </c>
      <c r="G1207" s="247">
        <v>28</v>
      </c>
      <c r="H1207" s="79">
        <v>33.333333333333336</v>
      </c>
      <c r="I1207" s="95">
        <f t="shared" si="36"/>
        <v>933.33333333333337</v>
      </c>
      <c r="J1207" s="95">
        <f t="shared" si="37"/>
        <v>1120</v>
      </c>
      <c r="K1207" s="93">
        <f>IFERROR(VLOOKUP(E1207,'Inventaire des produits'!$B$4:$J$1000,5,FALSE),"")</f>
        <v>0</v>
      </c>
      <c r="L1207" s="301">
        <f>IFERROR(VLOOKUP(E1207,'Inventaire des produits'!$B$4:$J$1000,6,FALSE),"")</f>
        <v>20</v>
      </c>
      <c r="M1207" s="62"/>
    </row>
    <row r="1208" spans="2:13" x14ac:dyDescent="0.3">
      <c r="B1208" s="378" t="s">
        <v>1704</v>
      </c>
      <c r="C1208" s="341"/>
      <c r="D1208" s="338"/>
      <c r="E1208" s="235" t="s">
        <v>206</v>
      </c>
      <c r="F1208" s="271" t="str">
        <f>IFERROR(VLOOKUP(E1208,'Inventaire des produits'!$B$4:$K$1000,2,0),"")</f>
        <v>ESSUIE MAIN 1KG LISSE</v>
      </c>
      <c r="G1208" s="247">
        <v>24</v>
      </c>
      <c r="H1208" s="79">
        <v>28.333333333333336</v>
      </c>
      <c r="I1208" s="95">
        <f t="shared" si="36"/>
        <v>680</v>
      </c>
      <c r="J1208" s="95">
        <f t="shared" si="37"/>
        <v>816</v>
      </c>
      <c r="K1208" s="93">
        <f>IFERROR(VLOOKUP(E1208,'Inventaire des produits'!$B$4:$J$1000,5,FALSE),"")</f>
        <v>0</v>
      </c>
      <c r="L1208" s="301">
        <f>IFERROR(VLOOKUP(E1208,'Inventaire des produits'!$B$4:$J$1000,6,FALSE),"")</f>
        <v>21.25</v>
      </c>
      <c r="M1208" s="62"/>
    </row>
    <row r="1209" spans="2:13" x14ac:dyDescent="0.3">
      <c r="B1209" s="378" t="s">
        <v>1704</v>
      </c>
      <c r="C1209" s="341"/>
      <c r="D1209" s="338"/>
      <c r="E1209" s="235" t="s">
        <v>922</v>
      </c>
      <c r="F1209" s="271" t="str">
        <f>IFERROR(VLOOKUP(E1209,'Inventaire des produits'!$B$4:$K$1000,2,0),"")</f>
        <v>POT DE SAUCE 1OZ SANS CVL TRANSPARENT</v>
      </c>
      <c r="G1209" s="247">
        <v>15400</v>
      </c>
      <c r="H1209" s="79">
        <v>0.111278</v>
      </c>
      <c r="I1209" s="95">
        <f t="shared" si="36"/>
        <v>1713.6812</v>
      </c>
      <c r="J1209" s="95">
        <f t="shared" si="37"/>
        <v>2056.4174399999997</v>
      </c>
      <c r="K1209" s="93">
        <f>IFERROR(VLOOKUP(E1209,'Inventaire des produits'!$B$4:$J$1000,5,FALSE),"")</f>
        <v>0</v>
      </c>
      <c r="L1209" s="301">
        <f>IFERROR(VLOOKUP(E1209,'Inventaire des produits'!$B$4:$J$1000,6,FALSE),"")</f>
        <v>0.1014</v>
      </c>
      <c r="M1209" s="62"/>
    </row>
    <row r="1210" spans="2:13" x14ac:dyDescent="0.3">
      <c r="B1210" s="378" t="s">
        <v>1704</v>
      </c>
      <c r="C1210" s="341"/>
      <c r="D1210" s="338"/>
      <c r="E1210" s="235" t="s">
        <v>923</v>
      </c>
      <c r="F1210" s="271" t="str">
        <f>IFERROR(VLOOKUP(E1210,'Inventaire des produits'!$B$4:$K$1000,2,0),"")</f>
        <v>CVL DE POT DE SAUCE NOIR/TRANS 1OZ</v>
      </c>
      <c r="G1210" s="247">
        <v>15400</v>
      </c>
      <c r="H1210" s="79">
        <v>5.1768799999999997E-2</v>
      </c>
      <c r="I1210" s="95">
        <f t="shared" si="36"/>
        <v>797.23951999999997</v>
      </c>
      <c r="J1210" s="95">
        <f t="shared" si="37"/>
        <v>956.68742399999996</v>
      </c>
      <c r="K1210" s="93">
        <f>IFERROR(VLOOKUP(E1210,'Inventaire des produits'!$B$4:$J$1000,5,FALSE),"")</f>
        <v>0</v>
      </c>
      <c r="L1210" s="301">
        <f>IFERROR(VLOOKUP(E1210,'Inventaire des produits'!$B$4:$J$1000,6,FALSE),"")</f>
        <v>4.6600000000000003E-2</v>
      </c>
      <c r="M1210" s="62"/>
    </row>
    <row r="1211" spans="2:13" x14ac:dyDescent="0.3">
      <c r="B1211" s="378" t="s">
        <v>1704</v>
      </c>
      <c r="C1211" s="341"/>
      <c r="D1211" s="338"/>
      <c r="E1211" s="235" t="s">
        <v>619</v>
      </c>
      <c r="F1211" s="271" t="str">
        <f>IFERROR(VLOOKUP(E1211,'Inventaire des produits'!$B$4:$K$1000,2,0),"")</f>
        <v>POT DE SAUCE 1OZ 30ML HP</v>
      </c>
      <c r="G1211" s="247">
        <v>1800</v>
      </c>
      <c r="H1211" s="79">
        <v>0.16250000000000001</v>
      </c>
      <c r="I1211" s="95">
        <f t="shared" si="36"/>
        <v>292.5</v>
      </c>
      <c r="J1211" s="95">
        <f t="shared" si="37"/>
        <v>351</v>
      </c>
      <c r="K1211" s="93">
        <f>IFERROR(VLOOKUP(E1211,'Inventaire des produits'!$B$4:$J$1000,5,FALSE),"")</f>
        <v>0</v>
      </c>
      <c r="L1211" s="301">
        <f>IFERROR(VLOOKUP(E1211,'Inventaire des produits'!$B$4:$J$1000,6,FALSE),"")</f>
        <v>0.13450000000000001</v>
      </c>
      <c r="M1211" s="62"/>
    </row>
    <row r="1212" spans="2:13" x14ac:dyDescent="0.3">
      <c r="B1212" s="378" t="s">
        <v>1704</v>
      </c>
      <c r="C1212" s="341"/>
      <c r="D1212" s="338"/>
      <c r="E1212" s="235" t="s">
        <v>690</v>
      </c>
      <c r="F1212" s="271" t="str">
        <f>IFERROR(VLOOKUP(E1212,'Inventaire des produits'!$B$4:$K$1000,2,0),"")</f>
        <v>POT DE SAUCE 1OZ ET CVL</v>
      </c>
      <c r="G1212" s="247">
        <v>800</v>
      </c>
      <c r="H1212" s="79">
        <v>0.16250000000000001</v>
      </c>
      <c r="I1212" s="95">
        <f t="shared" si="36"/>
        <v>130</v>
      </c>
      <c r="J1212" s="95">
        <f t="shared" si="37"/>
        <v>156</v>
      </c>
      <c r="K1212" s="93">
        <f>IFERROR(VLOOKUP(E1212,'Inventaire des produits'!$B$4:$J$1000,5,FALSE),"")</f>
        <v>0</v>
      </c>
      <c r="L1212" s="301">
        <f>IFERROR(VLOOKUP(E1212,'Inventaire des produits'!$B$4:$J$1000,6,FALSE),"")</f>
        <v>0.15833333329999999</v>
      </c>
      <c r="M1212" s="62"/>
    </row>
    <row r="1213" spans="2:13" x14ac:dyDescent="0.3">
      <c r="B1213" s="378" t="s">
        <v>1704</v>
      </c>
      <c r="C1213" s="341"/>
      <c r="D1213" s="338"/>
      <c r="E1213" s="235" t="s">
        <v>859</v>
      </c>
      <c r="F1213" s="271" t="str">
        <f>IFERROR(VLOOKUP(E1213,'Inventaire des produits'!$B$4:$K$1000,2,0),"")</f>
        <v>POT DE SAUCE 1OZ AVEC CVL</v>
      </c>
      <c r="G1213" s="247">
        <v>200</v>
      </c>
      <c r="H1213" s="79">
        <v>0.16250000000000001</v>
      </c>
      <c r="I1213" s="95">
        <f t="shared" si="36"/>
        <v>32.5</v>
      </c>
      <c r="J1213" s="95">
        <f t="shared" si="37"/>
        <v>39</v>
      </c>
      <c r="K1213" s="93">
        <f>IFERROR(VLOOKUP(E1213,'Inventaire des produits'!$B$4:$J$1000,5,FALSE),"")</f>
        <v>0</v>
      </c>
      <c r="L1213" s="301">
        <f>IFERROR(VLOOKUP(E1213,'Inventaire des produits'!$B$4:$J$1000,6,FALSE),"")</f>
        <v>0.15833333329999999</v>
      </c>
      <c r="M1213" s="62"/>
    </row>
    <row r="1214" spans="2:13" x14ac:dyDescent="0.3">
      <c r="B1214" s="378" t="s">
        <v>1704</v>
      </c>
      <c r="C1214" s="341"/>
      <c r="D1214" s="338"/>
      <c r="E1214" s="240" t="s">
        <v>1149</v>
      </c>
      <c r="F1214" s="271" t="str">
        <f>IFERROR(VLOOKUP(E1214,'Inventaire des produits'!$B$4:$K$1000,2,0),"")</f>
        <v>ROULEAU DE CAISSE THERMIQUE 80X80</v>
      </c>
      <c r="G1214" s="247">
        <v>100</v>
      </c>
      <c r="H1214" s="79">
        <v>10.333333333333334</v>
      </c>
      <c r="I1214" s="95">
        <f t="shared" si="36"/>
        <v>1033.3333333333335</v>
      </c>
      <c r="J1214" s="95">
        <f t="shared" si="37"/>
        <v>1240.0000000000002</v>
      </c>
      <c r="K1214" s="93">
        <f>IFERROR(VLOOKUP(E1214,'Inventaire des produits'!$B$4:$J$1000,5,FALSE),"")</f>
        <v>253</v>
      </c>
      <c r="L1214" s="301">
        <f>IFERROR(VLOOKUP(E1214,'Inventaire des produits'!$B$4:$J$1000,6,FALSE),"")</f>
        <v>7.5</v>
      </c>
      <c r="M1214" s="62"/>
    </row>
    <row r="1215" spans="2:13" x14ac:dyDescent="0.3">
      <c r="B1215" s="378" t="s">
        <v>1704</v>
      </c>
      <c r="C1215" s="341"/>
      <c r="D1215" s="338"/>
      <c r="E1215" s="235" t="s">
        <v>143</v>
      </c>
      <c r="F1215" s="271" t="str">
        <f>IFERROR(VLOOKUP(E1215,'Inventaire des produits'!$B$4:$K$1000,2,0),"")</f>
        <v>TIGE BROCHETTE BAMBOU 20CM</v>
      </c>
      <c r="G1215" s="247">
        <v>4000</v>
      </c>
      <c r="H1215" s="79">
        <v>0.05</v>
      </c>
      <c r="I1215" s="95">
        <f t="shared" si="36"/>
        <v>200</v>
      </c>
      <c r="J1215" s="95">
        <f t="shared" si="37"/>
        <v>240</v>
      </c>
      <c r="K1215" s="93">
        <f>IFERROR(VLOOKUP(E1215,'Inventaire des produits'!$B$4:$J$1000,5,FALSE),"")</f>
        <v>0</v>
      </c>
      <c r="L1215" s="301">
        <f>IFERROR(VLOOKUP(E1215,'Inventaire des produits'!$B$4:$J$1000,6,FALSE),"")</f>
        <v>3.7499999999999999E-2</v>
      </c>
      <c r="M1215" s="62"/>
    </row>
    <row r="1216" spans="2:13" x14ac:dyDescent="0.3">
      <c r="B1216" s="378" t="s">
        <v>1704</v>
      </c>
      <c r="C1216" s="342"/>
      <c r="D1216" s="339"/>
      <c r="E1216" s="235" t="s">
        <v>870</v>
      </c>
      <c r="F1216" s="271" t="str">
        <f>IFERROR(VLOOKUP(E1216,'Inventaire des produits'!$B$4:$K$1000,2,0),"")</f>
        <v>PAILLE ENVELOPPEE CODE 100 NOIR</v>
      </c>
      <c r="G1216" s="247">
        <v>31</v>
      </c>
      <c r="H1216" s="79">
        <v>6.6660000000000004</v>
      </c>
      <c r="I1216" s="95">
        <f t="shared" si="36"/>
        <v>206.64600000000002</v>
      </c>
      <c r="J1216" s="95">
        <f t="shared" si="37"/>
        <v>247.9752</v>
      </c>
      <c r="K1216" s="93">
        <f>IFERROR(VLOOKUP(E1216,'Inventaire des produits'!$B$4:$J$1000,5,FALSE),"")</f>
        <v>15</v>
      </c>
      <c r="L1216" s="301">
        <f>IFERROR(VLOOKUP(E1216,'Inventaire des produits'!$B$4:$J$1000,6,FALSE),"")</f>
        <v>3.5833333330000001</v>
      </c>
      <c r="M1216" s="62"/>
    </row>
    <row r="1217" spans="2:13" x14ac:dyDescent="0.3">
      <c r="B1217" s="378" t="s">
        <v>1704</v>
      </c>
      <c r="C1217" s="340">
        <v>45517</v>
      </c>
      <c r="D1217" s="337" t="s">
        <v>1171</v>
      </c>
      <c r="E1217" s="235" t="s">
        <v>1079</v>
      </c>
      <c r="F1217" s="271" t="str">
        <f>IFERROR(VLOOKUP(E1217,'Inventaire des produits'!$B$4:$K$1000,2,0),"")</f>
        <v>FOURCHETTE ECOLUXE TRANSPARENTE</v>
      </c>
      <c r="G1217" s="247">
        <v>53</v>
      </c>
      <c r="H1217" s="79">
        <v>19.1666666666667</v>
      </c>
      <c r="I1217" s="95">
        <f t="shared" si="36"/>
        <v>1015.8333333333351</v>
      </c>
      <c r="J1217" s="95">
        <f t="shared" si="37"/>
        <v>1219.000000000002</v>
      </c>
      <c r="K1217" s="93">
        <f>IFERROR(VLOOKUP(E1217,'Inventaire des produits'!$B$4:$J$1000,5,FALSE),"")</f>
        <v>0</v>
      </c>
      <c r="L1217" s="301">
        <f>IFERROR(VLOOKUP(E1217,'Inventaire des produits'!$B$4:$J$1000,6,FALSE),"")</f>
        <v>14.166665999999999</v>
      </c>
      <c r="M1217" s="62">
        <f>SUM(J1217:J1231)</f>
        <v>10326.580064000002</v>
      </c>
    </row>
    <row r="1218" spans="2:13" x14ac:dyDescent="0.3">
      <c r="B1218" s="378" t="s">
        <v>1704</v>
      </c>
      <c r="C1218" s="341"/>
      <c r="D1218" s="338"/>
      <c r="E1218" s="235" t="s">
        <v>869</v>
      </c>
      <c r="F1218" s="271" t="str">
        <f>IFERROR(VLOOKUP(E1218,'Inventaire des produits'!$B$4:$K$1000,2,0),"")</f>
        <v>PAILLE ENVELOPPEE CODE 100 TRANS</v>
      </c>
      <c r="G1218" s="247">
        <v>28</v>
      </c>
      <c r="H1218" s="79">
        <v>6.666666666666667</v>
      </c>
      <c r="I1218" s="95">
        <f t="shared" si="36"/>
        <v>186.66666666666669</v>
      </c>
      <c r="J1218" s="95">
        <f t="shared" si="37"/>
        <v>224.00000000000003</v>
      </c>
      <c r="K1218" s="93">
        <f>IFERROR(VLOOKUP(E1218,'Inventaire des produits'!$B$4:$J$1000,5,FALSE),"")</f>
        <v>898</v>
      </c>
      <c r="L1218" s="301">
        <f>IFERROR(VLOOKUP(E1218,'Inventaire des produits'!$B$4:$J$1000,6,FALSE),"")</f>
        <v>3.9166666659999998</v>
      </c>
      <c r="M1218" s="62"/>
    </row>
    <row r="1219" spans="2:13" x14ac:dyDescent="0.3">
      <c r="B1219" s="378" t="s">
        <v>1704</v>
      </c>
      <c r="C1219" s="341"/>
      <c r="D1219" s="338"/>
      <c r="E1219" s="235" t="s">
        <v>1139</v>
      </c>
      <c r="F1219" s="271" t="str">
        <f>IFERROR(VLOOKUP(E1219,'Inventaire des produits'!$B$4:$K$1000,2,0),"")</f>
        <v>BARQUETTE ALUMINIUM 250</v>
      </c>
      <c r="G1219" s="247">
        <v>1240</v>
      </c>
      <c r="H1219" s="79">
        <v>0.375</v>
      </c>
      <c r="I1219" s="95">
        <f t="shared" si="36"/>
        <v>465</v>
      </c>
      <c r="J1219" s="95">
        <f t="shared" si="37"/>
        <v>558</v>
      </c>
      <c r="K1219" s="93">
        <f>IFERROR(VLOOKUP(E1219,'Inventaire des produits'!$B$4:$J$1000,5,FALSE),"")</f>
        <v>6400</v>
      </c>
      <c r="L1219" s="301">
        <f>IFERROR(VLOOKUP(E1219,'Inventaire des produits'!$B$4:$J$1000,6,FALSE),"")</f>
        <v>0.29167000000000004</v>
      </c>
      <c r="M1219" s="62"/>
    </row>
    <row r="1220" spans="2:13" x14ac:dyDescent="0.3">
      <c r="B1220" s="378" t="s">
        <v>1704</v>
      </c>
      <c r="C1220" s="341"/>
      <c r="D1220" s="338"/>
      <c r="E1220" s="235" t="s">
        <v>451</v>
      </c>
      <c r="F1220" s="271" t="str">
        <f>IFERROR(VLOOKUP(E1220,'Inventaire des produits'!$B$4:$K$1000,2,0),"")</f>
        <v>FILM ALIMENTAIRE 45CM 1.5KG</v>
      </c>
      <c r="G1220" s="247">
        <v>12</v>
      </c>
      <c r="H1220" s="79">
        <v>43.333333333333336</v>
      </c>
      <c r="I1220" s="95">
        <f t="shared" si="36"/>
        <v>520</v>
      </c>
      <c r="J1220" s="95">
        <f t="shared" si="37"/>
        <v>624</v>
      </c>
      <c r="K1220" s="93">
        <f>IFERROR(VLOOKUP(E1220,'Inventaire des produits'!$B$4:$J$1000,5,FALSE),"")</f>
        <v>252</v>
      </c>
      <c r="L1220" s="301">
        <f>IFERROR(VLOOKUP(E1220,'Inventaire des produits'!$B$4:$J$1000,6,FALSE),"")</f>
        <v>29.19</v>
      </c>
      <c r="M1220" s="62"/>
    </row>
    <row r="1221" spans="2:13" x14ac:dyDescent="0.3">
      <c r="B1221" s="378" t="s">
        <v>1704</v>
      </c>
      <c r="C1221" s="341"/>
      <c r="D1221" s="338"/>
      <c r="E1221" s="235" t="s">
        <v>1040</v>
      </c>
      <c r="F1221" s="271" t="str">
        <f>IFERROR(VLOOKUP(E1221,'Inventaire des produits'!$B$4:$K$1000,2,0),"")</f>
        <v>FILM ALIMENTAIRE ELEGENCE</v>
      </c>
      <c r="G1221" s="247">
        <v>22</v>
      </c>
      <c r="H1221" s="79">
        <v>28.333333333333336</v>
      </c>
      <c r="I1221" s="95">
        <f t="shared" ref="I1221:I1279" si="38">IF(OR(G1221="",H1221=""),"",G1221*H1221)</f>
        <v>623.33333333333337</v>
      </c>
      <c r="J1221" s="95">
        <f t="shared" ref="J1221:J1279" si="39">IF(OR(I1221=""),"",I1221*1.2)</f>
        <v>748</v>
      </c>
      <c r="K1221" s="93">
        <f>IFERROR(VLOOKUP(E1221,'Inventaire des produits'!$B$4:$J$1000,5,FALSE),"")</f>
        <v>0</v>
      </c>
      <c r="L1221" s="301">
        <f>IFERROR(VLOOKUP(E1221,'Inventaire des produits'!$B$4:$J$1000,6,FALSE),"")</f>
        <v>20</v>
      </c>
      <c r="M1221" s="62"/>
    </row>
    <row r="1222" spans="2:13" x14ac:dyDescent="0.3">
      <c r="B1222" s="378" t="s">
        <v>1704</v>
      </c>
      <c r="C1222" s="341"/>
      <c r="D1222" s="338"/>
      <c r="E1222" s="235" t="s">
        <v>666</v>
      </c>
      <c r="F1222" s="271" t="str">
        <f>IFERROR(VLOOKUP(E1222,'Inventaire des produits'!$B$4:$K$1000,2,0),"")</f>
        <v>GANT VINYL EXTRA PREMIUM GLOVE MEDIUM</v>
      </c>
      <c r="G1222" s="247">
        <v>26</v>
      </c>
      <c r="H1222" s="79">
        <v>33.333333333333336</v>
      </c>
      <c r="I1222" s="95">
        <f t="shared" si="38"/>
        <v>866.66666666666674</v>
      </c>
      <c r="J1222" s="95">
        <f t="shared" si="39"/>
        <v>1040</v>
      </c>
      <c r="K1222" s="93">
        <f>IFERROR(VLOOKUP(E1222,'Inventaire des produits'!$B$4:$J$1000,5,FALSE),"")</f>
        <v>0</v>
      </c>
      <c r="L1222" s="301">
        <f>IFERROR(VLOOKUP(E1222,'Inventaire des produits'!$B$4:$J$1000,6,FALSE),"")</f>
        <v>20</v>
      </c>
      <c r="M1222" s="62"/>
    </row>
    <row r="1223" spans="2:13" x14ac:dyDescent="0.3">
      <c r="B1223" s="378" t="s">
        <v>1704</v>
      </c>
      <c r="C1223" s="341"/>
      <c r="D1223" s="338"/>
      <c r="E1223" s="235" t="s">
        <v>206</v>
      </c>
      <c r="F1223" s="271" t="str">
        <f>IFERROR(VLOOKUP(E1223,'Inventaire des produits'!$B$4:$K$1000,2,0),"")</f>
        <v>ESSUIE MAIN 1KG LISSE</v>
      </c>
      <c r="G1223" s="247">
        <v>19</v>
      </c>
      <c r="H1223" s="79">
        <v>28.333333333333336</v>
      </c>
      <c r="I1223" s="95">
        <f t="shared" si="38"/>
        <v>538.33333333333337</v>
      </c>
      <c r="J1223" s="95">
        <f t="shared" si="39"/>
        <v>646</v>
      </c>
      <c r="K1223" s="93">
        <f>IFERROR(VLOOKUP(E1223,'Inventaire des produits'!$B$4:$J$1000,5,FALSE),"")</f>
        <v>0</v>
      </c>
      <c r="L1223" s="301">
        <f>IFERROR(VLOOKUP(E1223,'Inventaire des produits'!$B$4:$J$1000,6,FALSE),"")</f>
        <v>21.25</v>
      </c>
      <c r="M1223" s="62"/>
    </row>
    <row r="1224" spans="2:13" x14ac:dyDescent="0.3">
      <c r="B1224" s="378" t="s">
        <v>1704</v>
      </c>
      <c r="C1224" s="341"/>
      <c r="D1224" s="338"/>
      <c r="E1224" s="235" t="s">
        <v>922</v>
      </c>
      <c r="F1224" s="271" t="str">
        <f>IFERROR(VLOOKUP(E1224,'Inventaire des produits'!$B$4:$K$1000,2,0),"")</f>
        <v>POT DE SAUCE 1OZ SANS CVL TRANSPARENT</v>
      </c>
      <c r="G1224" s="247">
        <v>15400</v>
      </c>
      <c r="H1224" s="79">
        <v>0.111278</v>
      </c>
      <c r="I1224" s="95">
        <f t="shared" si="38"/>
        <v>1713.6812</v>
      </c>
      <c r="J1224" s="95">
        <f t="shared" si="39"/>
        <v>2056.4174399999997</v>
      </c>
      <c r="K1224" s="93">
        <f>IFERROR(VLOOKUP(E1224,'Inventaire des produits'!$B$4:$J$1000,5,FALSE),"")</f>
        <v>0</v>
      </c>
      <c r="L1224" s="301">
        <f>IFERROR(VLOOKUP(E1224,'Inventaire des produits'!$B$4:$J$1000,6,FALSE),"")</f>
        <v>0.1014</v>
      </c>
      <c r="M1224" s="62"/>
    </row>
    <row r="1225" spans="2:13" x14ac:dyDescent="0.3">
      <c r="B1225" s="378" t="s">
        <v>1704</v>
      </c>
      <c r="C1225" s="341"/>
      <c r="D1225" s="338"/>
      <c r="E1225" s="235" t="s">
        <v>923</v>
      </c>
      <c r="F1225" s="271" t="str">
        <f>IFERROR(VLOOKUP(E1225,'Inventaire des produits'!$B$4:$K$1000,2,0),"")</f>
        <v>CVL DE POT DE SAUCE NOIR/TRANS 1OZ</v>
      </c>
      <c r="G1225" s="247">
        <v>15400</v>
      </c>
      <c r="H1225" s="79">
        <v>5.1768799999999997E-2</v>
      </c>
      <c r="I1225" s="95">
        <f t="shared" si="38"/>
        <v>797.23951999999997</v>
      </c>
      <c r="J1225" s="95">
        <f t="shared" si="39"/>
        <v>956.68742399999996</v>
      </c>
      <c r="K1225" s="93">
        <f>IFERROR(VLOOKUP(E1225,'Inventaire des produits'!$B$4:$J$1000,5,FALSE),"")</f>
        <v>0</v>
      </c>
      <c r="L1225" s="301">
        <f>IFERROR(VLOOKUP(E1225,'Inventaire des produits'!$B$4:$J$1000,6,FALSE),"")</f>
        <v>4.6600000000000003E-2</v>
      </c>
      <c r="M1225" s="62"/>
    </row>
    <row r="1226" spans="2:13" x14ac:dyDescent="0.3">
      <c r="B1226" s="378" t="s">
        <v>1704</v>
      </c>
      <c r="C1226" s="341"/>
      <c r="D1226" s="338"/>
      <c r="E1226" s="235" t="s">
        <v>619</v>
      </c>
      <c r="F1226" s="271" t="str">
        <f>IFERROR(VLOOKUP(E1226,'Inventaire des produits'!$B$4:$K$1000,2,0),"")</f>
        <v>POT DE SAUCE 1OZ 30ML HP</v>
      </c>
      <c r="G1226" s="247">
        <v>1800</v>
      </c>
      <c r="H1226" s="79">
        <v>0.16250000000000001</v>
      </c>
      <c r="I1226" s="95">
        <f t="shared" si="38"/>
        <v>292.5</v>
      </c>
      <c r="J1226" s="95">
        <f t="shared" si="39"/>
        <v>351</v>
      </c>
      <c r="K1226" s="93">
        <f>IFERROR(VLOOKUP(E1226,'Inventaire des produits'!$B$4:$J$1000,5,FALSE),"")</f>
        <v>0</v>
      </c>
      <c r="L1226" s="301">
        <f>IFERROR(VLOOKUP(E1226,'Inventaire des produits'!$B$4:$J$1000,6,FALSE),"")</f>
        <v>0.13450000000000001</v>
      </c>
      <c r="M1226" s="62"/>
    </row>
    <row r="1227" spans="2:13" x14ac:dyDescent="0.3">
      <c r="B1227" s="378" t="s">
        <v>1704</v>
      </c>
      <c r="C1227" s="341"/>
      <c r="D1227" s="338"/>
      <c r="E1227" s="235" t="s">
        <v>690</v>
      </c>
      <c r="F1227" s="271" t="str">
        <f>IFERROR(VLOOKUP(E1227,'Inventaire des produits'!$B$4:$K$1000,2,0),"")</f>
        <v>POT DE SAUCE 1OZ ET CVL</v>
      </c>
      <c r="G1227" s="247">
        <v>700</v>
      </c>
      <c r="H1227" s="79">
        <v>0.16250000000000001</v>
      </c>
      <c r="I1227" s="95">
        <f t="shared" si="38"/>
        <v>113.75</v>
      </c>
      <c r="J1227" s="95">
        <f t="shared" si="39"/>
        <v>136.5</v>
      </c>
      <c r="K1227" s="93">
        <f>IFERROR(VLOOKUP(E1227,'Inventaire des produits'!$B$4:$J$1000,5,FALSE),"")</f>
        <v>0</v>
      </c>
      <c r="L1227" s="301">
        <f>IFERROR(VLOOKUP(E1227,'Inventaire des produits'!$B$4:$J$1000,6,FALSE),"")</f>
        <v>0.15833333329999999</v>
      </c>
      <c r="M1227" s="62"/>
    </row>
    <row r="1228" spans="2:13" x14ac:dyDescent="0.3">
      <c r="B1228" s="378" t="s">
        <v>1704</v>
      </c>
      <c r="C1228" s="341"/>
      <c r="D1228" s="338"/>
      <c r="E1228" s="235" t="s">
        <v>859</v>
      </c>
      <c r="F1228" s="271" t="str">
        <f>IFERROR(VLOOKUP(E1228,'Inventaire des produits'!$B$4:$K$1000,2,0),"")</f>
        <v>POT DE SAUCE 1OZ AVEC CVL</v>
      </c>
      <c r="G1228" s="247">
        <v>200</v>
      </c>
      <c r="H1228" s="79">
        <v>0.16250000000000001</v>
      </c>
      <c r="I1228" s="95">
        <f t="shared" si="38"/>
        <v>32.5</v>
      </c>
      <c r="J1228" s="95">
        <f t="shared" si="39"/>
        <v>39</v>
      </c>
      <c r="K1228" s="93">
        <f>IFERROR(VLOOKUP(E1228,'Inventaire des produits'!$B$4:$J$1000,5,FALSE),"")</f>
        <v>0</v>
      </c>
      <c r="L1228" s="301">
        <f>IFERROR(VLOOKUP(E1228,'Inventaire des produits'!$B$4:$J$1000,6,FALSE),"")</f>
        <v>0.15833333329999999</v>
      </c>
      <c r="M1228" s="62"/>
    </row>
    <row r="1229" spans="2:13" x14ac:dyDescent="0.3">
      <c r="B1229" s="378" t="s">
        <v>1704</v>
      </c>
      <c r="C1229" s="341"/>
      <c r="D1229" s="338"/>
      <c r="E1229" s="240" t="s">
        <v>1149</v>
      </c>
      <c r="F1229" s="271" t="str">
        <f>IFERROR(VLOOKUP(E1229,'Inventaire des produits'!$B$4:$K$1000,2,0),"")</f>
        <v>ROULEAU DE CAISSE THERMIQUE 80X80</v>
      </c>
      <c r="G1229" s="247">
        <v>100</v>
      </c>
      <c r="H1229" s="79">
        <v>10.333333333333334</v>
      </c>
      <c r="I1229" s="95">
        <f t="shared" si="38"/>
        <v>1033.3333333333335</v>
      </c>
      <c r="J1229" s="95">
        <f t="shared" si="39"/>
        <v>1240.0000000000002</v>
      </c>
      <c r="K1229" s="93">
        <f>IFERROR(VLOOKUP(E1229,'Inventaire des produits'!$B$4:$J$1000,5,FALSE),"")</f>
        <v>253</v>
      </c>
      <c r="L1229" s="301">
        <f>IFERROR(VLOOKUP(E1229,'Inventaire des produits'!$B$4:$J$1000,6,FALSE),"")</f>
        <v>7.5</v>
      </c>
      <c r="M1229" s="62"/>
    </row>
    <row r="1230" spans="2:13" x14ac:dyDescent="0.3">
      <c r="B1230" s="378" t="s">
        <v>1704</v>
      </c>
      <c r="C1230" s="341"/>
      <c r="D1230" s="338"/>
      <c r="E1230" s="235" t="s">
        <v>143</v>
      </c>
      <c r="F1230" s="271" t="str">
        <f>IFERROR(VLOOKUP(E1230,'Inventaire des produits'!$B$4:$K$1000,2,0),"")</f>
        <v>TIGE BROCHETTE BAMBOU 20CM</v>
      </c>
      <c r="G1230" s="247">
        <v>4000</v>
      </c>
      <c r="H1230" s="79">
        <v>0.05</v>
      </c>
      <c r="I1230" s="95">
        <f t="shared" si="38"/>
        <v>200</v>
      </c>
      <c r="J1230" s="95">
        <f t="shared" si="39"/>
        <v>240</v>
      </c>
      <c r="K1230" s="93">
        <f>IFERROR(VLOOKUP(E1230,'Inventaire des produits'!$B$4:$J$1000,5,FALSE),"")</f>
        <v>0</v>
      </c>
      <c r="L1230" s="301">
        <f>IFERROR(VLOOKUP(E1230,'Inventaire des produits'!$B$4:$J$1000,6,FALSE),"")</f>
        <v>3.7499999999999999E-2</v>
      </c>
      <c r="M1230" s="62"/>
    </row>
    <row r="1231" spans="2:13" x14ac:dyDescent="0.3">
      <c r="B1231" s="378" t="s">
        <v>1704</v>
      </c>
      <c r="C1231" s="342"/>
      <c r="D1231" s="339"/>
      <c r="E1231" s="235" t="s">
        <v>870</v>
      </c>
      <c r="F1231" s="271" t="str">
        <f>IFERROR(VLOOKUP(E1231,'Inventaire des produits'!$B$4:$K$1000,2,0),"")</f>
        <v>PAILLE ENVELOPPEE CODE 100 NOIR</v>
      </c>
      <c r="G1231" s="247">
        <v>31</v>
      </c>
      <c r="H1231" s="79">
        <v>6.6660000000000004</v>
      </c>
      <c r="I1231" s="95">
        <f t="shared" si="38"/>
        <v>206.64600000000002</v>
      </c>
      <c r="J1231" s="95">
        <f t="shared" si="39"/>
        <v>247.9752</v>
      </c>
      <c r="K1231" s="93">
        <f>IFERROR(VLOOKUP(E1231,'Inventaire des produits'!$B$4:$J$1000,5,FALSE),"")</f>
        <v>15</v>
      </c>
      <c r="L1231" s="301">
        <f>IFERROR(VLOOKUP(E1231,'Inventaire des produits'!$B$4:$J$1000,6,FALSE),"")</f>
        <v>3.5833333330000001</v>
      </c>
      <c r="M1231" s="62"/>
    </row>
    <row r="1232" spans="2:13" x14ac:dyDescent="0.3">
      <c r="B1232" s="378" t="s">
        <v>1704</v>
      </c>
      <c r="C1232" s="340">
        <v>45517</v>
      </c>
      <c r="D1232" s="337" t="s">
        <v>1172</v>
      </c>
      <c r="E1232" s="235" t="s">
        <v>1079</v>
      </c>
      <c r="F1232" s="271" t="str">
        <f>IFERROR(VLOOKUP(E1232,'Inventaire des produits'!$B$4:$K$1000,2,0),"")</f>
        <v>FOURCHETTE ECOLUXE TRANSPARENTE</v>
      </c>
      <c r="G1232" s="247">
        <v>45</v>
      </c>
      <c r="H1232" s="79">
        <v>19.1666666666667</v>
      </c>
      <c r="I1232" s="95">
        <f t="shared" si="38"/>
        <v>862.50000000000148</v>
      </c>
      <c r="J1232" s="95">
        <f t="shared" si="39"/>
        <v>1035.0000000000018</v>
      </c>
      <c r="K1232" s="93">
        <f>IFERROR(VLOOKUP(E1232,'Inventaire des produits'!$B$4:$J$1000,5,FALSE),"")</f>
        <v>0</v>
      </c>
      <c r="L1232" s="301">
        <f>IFERROR(VLOOKUP(E1232,'Inventaire des produits'!$B$4:$J$1000,6,FALSE),"")</f>
        <v>14.166665999999999</v>
      </c>
      <c r="M1232" s="62">
        <f t="shared" ref="M1232" si="40">SUM(J1232:J1246)</f>
        <v>8285.5800640000016</v>
      </c>
    </row>
    <row r="1233" spans="2:13" x14ac:dyDescent="0.3">
      <c r="B1233" s="378" t="s">
        <v>1704</v>
      </c>
      <c r="C1233" s="341"/>
      <c r="D1233" s="338"/>
      <c r="E1233" s="235" t="s">
        <v>869</v>
      </c>
      <c r="F1233" s="271" t="str">
        <f>IFERROR(VLOOKUP(E1233,'Inventaire des produits'!$B$4:$K$1000,2,0),"")</f>
        <v>PAILLE ENVELOPPEE CODE 100 TRANS</v>
      </c>
      <c r="G1233" s="247">
        <v>19</v>
      </c>
      <c r="H1233" s="79">
        <v>6.666666666666667</v>
      </c>
      <c r="I1233" s="95">
        <f t="shared" si="38"/>
        <v>126.66666666666667</v>
      </c>
      <c r="J1233" s="95">
        <f t="shared" si="39"/>
        <v>152</v>
      </c>
      <c r="K1233" s="93">
        <f>IFERROR(VLOOKUP(E1233,'Inventaire des produits'!$B$4:$J$1000,5,FALSE),"")</f>
        <v>898</v>
      </c>
      <c r="L1233" s="301">
        <f>IFERROR(VLOOKUP(E1233,'Inventaire des produits'!$B$4:$J$1000,6,FALSE),"")</f>
        <v>3.9166666659999998</v>
      </c>
      <c r="M1233" s="62"/>
    </row>
    <row r="1234" spans="2:13" x14ac:dyDescent="0.3">
      <c r="B1234" s="378" t="s">
        <v>1704</v>
      </c>
      <c r="C1234" s="341"/>
      <c r="D1234" s="338"/>
      <c r="E1234" s="235" t="s">
        <v>1139</v>
      </c>
      <c r="F1234" s="271" t="str">
        <f>IFERROR(VLOOKUP(E1234,'Inventaire des produits'!$B$4:$K$1000,2,0),"")</f>
        <v>BARQUETTE ALUMINIUM 250</v>
      </c>
      <c r="G1234" s="247">
        <v>1200</v>
      </c>
      <c r="H1234" s="79">
        <v>0.375</v>
      </c>
      <c r="I1234" s="95">
        <f t="shared" si="38"/>
        <v>450</v>
      </c>
      <c r="J1234" s="95">
        <f t="shared" si="39"/>
        <v>540</v>
      </c>
      <c r="K1234" s="93">
        <f>IFERROR(VLOOKUP(E1234,'Inventaire des produits'!$B$4:$J$1000,5,FALSE),"")</f>
        <v>6400</v>
      </c>
      <c r="L1234" s="301">
        <f>IFERROR(VLOOKUP(E1234,'Inventaire des produits'!$B$4:$J$1000,6,FALSE),"")</f>
        <v>0.29167000000000004</v>
      </c>
      <c r="M1234" s="62"/>
    </row>
    <row r="1235" spans="2:13" x14ac:dyDescent="0.3">
      <c r="B1235" s="378" t="s">
        <v>1704</v>
      </c>
      <c r="C1235" s="341"/>
      <c r="D1235" s="338"/>
      <c r="E1235" s="235" t="s">
        <v>451</v>
      </c>
      <c r="F1235" s="271" t="str">
        <f>IFERROR(VLOOKUP(E1235,'Inventaire des produits'!$B$4:$K$1000,2,0),"")</f>
        <v>FILM ALIMENTAIRE 45CM 1.5KG</v>
      </c>
      <c r="G1235" s="247">
        <v>4</v>
      </c>
      <c r="H1235" s="79">
        <v>43.333333333333336</v>
      </c>
      <c r="I1235" s="95">
        <f t="shared" si="38"/>
        <v>173.33333333333334</v>
      </c>
      <c r="J1235" s="95">
        <f t="shared" si="39"/>
        <v>208</v>
      </c>
      <c r="K1235" s="93">
        <f>IFERROR(VLOOKUP(E1235,'Inventaire des produits'!$B$4:$J$1000,5,FALSE),"")</f>
        <v>252</v>
      </c>
      <c r="L1235" s="301">
        <f>IFERROR(VLOOKUP(E1235,'Inventaire des produits'!$B$4:$J$1000,6,FALSE),"")</f>
        <v>29.19</v>
      </c>
      <c r="M1235" s="62"/>
    </row>
    <row r="1236" spans="2:13" x14ac:dyDescent="0.3">
      <c r="B1236" s="378" t="s">
        <v>1704</v>
      </c>
      <c r="C1236" s="341"/>
      <c r="D1236" s="338"/>
      <c r="E1236" s="235" t="s">
        <v>1040</v>
      </c>
      <c r="F1236" s="271" t="str">
        <f>IFERROR(VLOOKUP(E1236,'Inventaire des produits'!$B$4:$K$1000,2,0),"")</f>
        <v>FILM ALIMENTAIRE ELEGENCE</v>
      </c>
      <c r="G1236" s="247">
        <v>5</v>
      </c>
      <c r="H1236" s="79">
        <v>28.333333333333336</v>
      </c>
      <c r="I1236" s="95">
        <f t="shared" si="38"/>
        <v>141.66666666666669</v>
      </c>
      <c r="J1236" s="95">
        <f t="shared" si="39"/>
        <v>170.00000000000003</v>
      </c>
      <c r="K1236" s="93">
        <f>IFERROR(VLOOKUP(E1236,'Inventaire des produits'!$B$4:$J$1000,5,FALSE),"")</f>
        <v>0</v>
      </c>
      <c r="L1236" s="301">
        <f>IFERROR(VLOOKUP(E1236,'Inventaire des produits'!$B$4:$J$1000,6,FALSE),"")</f>
        <v>20</v>
      </c>
      <c r="M1236" s="62"/>
    </row>
    <row r="1237" spans="2:13" x14ac:dyDescent="0.3">
      <c r="B1237" s="378" t="s">
        <v>1704</v>
      </c>
      <c r="C1237" s="341"/>
      <c r="D1237" s="338"/>
      <c r="E1237" s="235" t="s">
        <v>666</v>
      </c>
      <c r="F1237" s="271" t="str">
        <f>IFERROR(VLOOKUP(E1237,'Inventaire des produits'!$B$4:$K$1000,2,0),"")</f>
        <v>GANT VINYL EXTRA PREMIUM GLOVE MEDIUM</v>
      </c>
      <c r="G1237" s="247">
        <v>26</v>
      </c>
      <c r="H1237" s="79">
        <v>33.333333333333336</v>
      </c>
      <c r="I1237" s="95">
        <f t="shared" si="38"/>
        <v>866.66666666666674</v>
      </c>
      <c r="J1237" s="95">
        <f t="shared" si="39"/>
        <v>1040</v>
      </c>
      <c r="K1237" s="93">
        <f>IFERROR(VLOOKUP(E1237,'Inventaire des produits'!$B$4:$J$1000,5,FALSE),"")</f>
        <v>0</v>
      </c>
      <c r="L1237" s="301">
        <f>IFERROR(VLOOKUP(E1237,'Inventaire des produits'!$B$4:$J$1000,6,FALSE),"")</f>
        <v>20</v>
      </c>
      <c r="M1237" s="62"/>
    </row>
    <row r="1238" spans="2:13" x14ac:dyDescent="0.3">
      <c r="B1238" s="378" t="s">
        <v>1704</v>
      </c>
      <c r="C1238" s="341"/>
      <c r="D1238" s="338"/>
      <c r="E1238" s="235" t="s">
        <v>206</v>
      </c>
      <c r="F1238" s="271" t="str">
        <f>IFERROR(VLOOKUP(E1238,'Inventaire des produits'!$B$4:$K$1000,2,0),"")</f>
        <v>ESSUIE MAIN 1KG LISSE</v>
      </c>
      <c r="G1238" s="247">
        <v>7</v>
      </c>
      <c r="H1238" s="79">
        <v>28.333333333333336</v>
      </c>
      <c r="I1238" s="95">
        <f t="shared" si="38"/>
        <v>198.33333333333334</v>
      </c>
      <c r="J1238" s="95">
        <f t="shared" si="39"/>
        <v>238</v>
      </c>
      <c r="K1238" s="93">
        <f>IFERROR(VLOOKUP(E1238,'Inventaire des produits'!$B$4:$J$1000,5,FALSE),"")</f>
        <v>0</v>
      </c>
      <c r="L1238" s="301">
        <f>IFERROR(VLOOKUP(E1238,'Inventaire des produits'!$B$4:$J$1000,6,FALSE),"")</f>
        <v>21.25</v>
      </c>
      <c r="M1238" s="62"/>
    </row>
    <row r="1239" spans="2:13" x14ac:dyDescent="0.3">
      <c r="B1239" s="378" t="s">
        <v>1704</v>
      </c>
      <c r="C1239" s="341"/>
      <c r="D1239" s="338"/>
      <c r="E1239" s="235" t="s">
        <v>922</v>
      </c>
      <c r="F1239" s="271" t="str">
        <f>IFERROR(VLOOKUP(E1239,'Inventaire des produits'!$B$4:$K$1000,2,0),"")</f>
        <v>POT DE SAUCE 1OZ SANS CVL TRANSPARENT</v>
      </c>
      <c r="G1239" s="247">
        <v>15400</v>
      </c>
      <c r="H1239" s="79">
        <v>0.111278</v>
      </c>
      <c r="I1239" s="95">
        <f t="shared" si="38"/>
        <v>1713.6812</v>
      </c>
      <c r="J1239" s="95">
        <f t="shared" si="39"/>
        <v>2056.4174399999997</v>
      </c>
      <c r="K1239" s="93">
        <f>IFERROR(VLOOKUP(E1239,'Inventaire des produits'!$B$4:$J$1000,5,FALSE),"")</f>
        <v>0</v>
      </c>
      <c r="L1239" s="301">
        <f>IFERROR(VLOOKUP(E1239,'Inventaire des produits'!$B$4:$J$1000,6,FALSE),"")</f>
        <v>0.1014</v>
      </c>
      <c r="M1239" s="62"/>
    </row>
    <row r="1240" spans="2:13" x14ac:dyDescent="0.3">
      <c r="B1240" s="378" t="s">
        <v>1704</v>
      </c>
      <c r="C1240" s="341"/>
      <c r="D1240" s="338"/>
      <c r="E1240" s="235" t="s">
        <v>923</v>
      </c>
      <c r="F1240" s="271" t="str">
        <f>IFERROR(VLOOKUP(E1240,'Inventaire des produits'!$B$4:$K$1000,2,0),"")</f>
        <v>CVL DE POT DE SAUCE NOIR/TRANS 1OZ</v>
      </c>
      <c r="G1240" s="247">
        <v>15400</v>
      </c>
      <c r="H1240" s="79">
        <v>5.1768799999999997E-2</v>
      </c>
      <c r="I1240" s="95">
        <f t="shared" si="38"/>
        <v>797.23951999999997</v>
      </c>
      <c r="J1240" s="95">
        <f t="shared" si="39"/>
        <v>956.68742399999996</v>
      </c>
      <c r="K1240" s="93">
        <f>IFERROR(VLOOKUP(E1240,'Inventaire des produits'!$B$4:$J$1000,5,FALSE),"")</f>
        <v>0</v>
      </c>
      <c r="L1240" s="301">
        <f>IFERROR(VLOOKUP(E1240,'Inventaire des produits'!$B$4:$J$1000,6,FALSE),"")</f>
        <v>4.6600000000000003E-2</v>
      </c>
      <c r="M1240" s="62"/>
    </row>
    <row r="1241" spans="2:13" x14ac:dyDescent="0.3">
      <c r="B1241" s="378" t="s">
        <v>1704</v>
      </c>
      <c r="C1241" s="341"/>
      <c r="D1241" s="338"/>
      <c r="E1241" s="235" t="s">
        <v>619</v>
      </c>
      <c r="F1241" s="271" t="str">
        <f>IFERROR(VLOOKUP(E1241,'Inventaire des produits'!$B$4:$K$1000,2,0),"")</f>
        <v>POT DE SAUCE 1OZ 30ML HP</v>
      </c>
      <c r="G1241" s="247">
        <v>1800</v>
      </c>
      <c r="H1241" s="79">
        <v>0.16250000000000001</v>
      </c>
      <c r="I1241" s="95">
        <f t="shared" si="38"/>
        <v>292.5</v>
      </c>
      <c r="J1241" s="95">
        <f t="shared" si="39"/>
        <v>351</v>
      </c>
      <c r="K1241" s="93">
        <f>IFERROR(VLOOKUP(E1241,'Inventaire des produits'!$B$4:$J$1000,5,FALSE),"")</f>
        <v>0</v>
      </c>
      <c r="L1241" s="301">
        <f>IFERROR(VLOOKUP(E1241,'Inventaire des produits'!$B$4:$J$1000,6,FALSE),"")</f>
        <v>0.13450000000000001</v>
      </c>
      <c r="M1241" s="62"/>
    </row>
    <row r="1242" spans="2:13" x14ac:dyDescent="0.3">
      <c r="B1242" s="378" t="s">
        <v>1704</v>
      </c>
      <c r="C1242" s="341"/>
      <c r="D1242" s="338"/>
      <c r="E1242" s="235" t="s">
        <v>690</v>
      </c>
      <c r="F1242" s="271" t="str">
        <f>IFERROR(VLOOKUP(E1242,'Inventaire des produits'!$B$4:$K$1000,2,0),"")</f>
        <v>POT DE SAUCE 1OZ ET CVL</v>
      </c>
      <c r="G1242" s="247">
        <v>700</v>
      </c>
      <c r="H1242" s="79">
        <v>0.16250000000000001</v>
      </c>
      <c r="I1242" s="95">
        <f t="shared" si="38"/>
        <v>113.75</v>
      </c>
      <c r="J1242" s="95">
        <f t="shared" si="39"/>
        <v>136.5</v>
      </c>
      <c r="K1242" s="93">
        <f>IFERROR(VLOOKUP(E1242,'Inventaire des produits'!$B$4:$J$1000,5,FALSE),"")</f>
        <v>0</v>
      </c>
      <c r="L1242" s="301">
        <f>IFERROR(VLOOKUP(E1242,'Inventaire des produits'!$B$4:$J$1000,6,FALSE),"")</f>
        <v>0.15833333329999999</v>
      </c>
      <c r="M1242" s="62"/>
    </row>
    <row r="1243" spans="2:13" x14ac:dyDescent="0.3">
      <c r="B1243" s="378" t="s">
        <v>1704</v>
      </c>
      <c r="C1243" s="341"/>
      <c r="D1243" s="338"/>
      <c r="E1243" s="235" t="s">
        <v>859</v>
      </c>
      <c r="F1243" s="271" t="str">
        <f>IFERROR(VLOOKUP(E1243,'Inventaire des produits'!$B$4:$K$1000,2,0),"")</f>
        <v>POT DE SAUCE 1OZ AVEC CVL</v>
      </c>
      <c r="G1243" s="247">
        <v>200</v>
      </c>
      <c r="H1243" s="79">
        <v>0.16250000000000001</v>
      </c>
      <c r="I1243" s="95">
        <f t="shared" si="38"/>
        <v>32.5</v>
      </c>
      <c r="J1243" s="95">
        <f t="shared" si="39"/>
        <v>39</v>
      </c>
      <c r="K1243" s="93">
        <f>IFERROR(VLOOKUP(E1243,'Inventaire des produits'!$B$4:$J$1000,5,FALSE),"")</f>
        <v>0</v>
      </c>
      <c r="L1243" s="301">
        <f>IFERROR(VLOOKUP(E1243,'Inventaire des produits'!$B$4:$J$1000,6,FALSE),"")</f>
        <v>0.15833333329999999</v>
      </c>
      <c r="M1243" s="62"/>
    </row>
    <row r="1244" spans="2:13" x14ac:dyDescent="0.3">
      <c r="B1244" s="378" t="s">
        <v>1704</v>
      </c>
      <c r="C1244" s="341"/>
      <c r="D1244" s="338"/>
      <c r="E1244" s="240" t="s">
        <v>1149</v>
      </c>
      <c r="F1244" s="271" t="str">
        <f>IFERROR(VLOOKUP(E1244,'Inventaire des produits'!$B$4:$K$1000,2,0),"")</f>
        <v>ROULEAU DE CAISSE THERMIQUE 80X80</v>
      </c>
      <c r="G1244" s="247">
        <v>80</v>
      </c>
      <c r="H1244" s="79">
        <v>10.333333333333334</v>
      </c>
      <c r="I1244" s="95">
        <f t="shared" si="38"/>
        <v>826.66666666666674</v>
      </c>
      <c r="J1244" s="95">
        <f t="shared" si="39"/>
        <v>992</v>
      </c>
      <c r="K1244" s="93">
        <f>IFERROR(VLOOKUP(E1244,'Inventaire des produits'!$B$4:$J$1000,5,FALSE),"")</f>
        <v>253</v>
      </c>
      <c r="L1244" s="301">
        <f>IFERROR(VLOOKUP(E1244,'Inventaire des produits'!$B$4:$J$1000,6,FALSE),"")</f>
        <v>7.5</v>
      </c>
      <c r="M1244" s="62"/>
    </row>
    <row r="1245" spans="2:13" x14ac:dyDescent="0.3">
      <c r="B1245" s="378" t="s">
        <v>1704</v>
      </c>
      <c r="C1245" s="341"/>
      <c r="D1245" s="338"/>
      <c r="E1245" s="235" t="s">
        <v>143</v>
      </c>
      <c r="F1245" s="271" t="str">
        <f>IFERROR(VLOOKUP(E1245,'Inventaire des produits'!$B$4:$K$1000,2,0),"")</f>
        <v>TIGE BROCHETTE BAMBOU 20CM</v>
      </c>
      <c r="G1245" s="247">
        <v>2000</v>
      </c>
      <c r="H1245" s="79">
        <v>5.1249999999999997E-2</v>
      </c>
      <c r="I1245" s="95">
        <f t="shared" si="38"/>
        <v>102.5</v>
      </c>
      <c r="J1245" s="95">
        <f t="shared" si="39"/>
        <v>123</v>
      </c>
      <c r="K1245" s="93">
        <f>IFERROR(VLOOKUP(E1245,'Inventaire des produits'!$B$4:$J$1000,5,FALSE),"")</f>
        <v>0</v>
      </c>
      <c r="L1245" s="301">
        <f>IFERROR(VLOOKUP(E1245,'Inventaire des produits'!$B$4:$J$1000,6,FALSE),"")</f>
        <v>3.7499999999999999E-2</v>
      </c>
      <c r="M1245" s="62"/>
    </row>
    <row r="1246" spans="2:13" x14ac:dyDescent="0.3">
      <c r="B1246" s="378" t="s">
        <v>1704</v>
      </c>
      <c r="C1246" s="342"/>
      <c r="D1246" s="339"/>
      <c r="E1246" s="235" t="s">
        <v>870</v>
      </c>
      <c r="F1246" s="271" t="str">
        <f>IFERROR(VLOOKUP(E1246,'Inventaire des produits'!$B$4:$K$1000,2,0),"")</f>
        <v>PAILLE ENVELOPPEE CODE 100 NOIR</v>
      </c>
      <c r="G1246" s="247">
        <v>31</v>
      </c>
      <c r="H1246" s="79">
        <v>6.6660000000000004</v>
      </c>
      <c r="I1246" s="95">
        <f t="shared" si="38"/>
        <v>206.64600000000002</v>
      </c>
      <c r="J1246" s="95">
        <f t="shared" si="39"/>
        <v>247.9752</v>
      </c>
      <c r="K1246" s="93">
        <f>IFERROR(VLOOKUP(E1246,'Inventaire des produits'!$B$4:$J$1000,5,FALSE),"")</f>
        <v>15</v>
      </c>
      <c r="L1246" s="301">
        <f>IFERROR(VLOOKUP(E1246,'Inventaire des produits'!$B$4:$J$1000,6,FALSE),"")</f>
        <v>3.5833333330000001</v>
      </c>
      <c r="M1246" s="62"/>
    </row>
    <row r="1247" spans="2:13" x14ac:dyDescent="0.3">
      <c r="B1247" s="378" t="s">
        <v>1704</v>
      </c>
      <c r="C1247" s="340">
        <v>45517</v>
      </c>
      <c r="D1247" s="337" t="s">
        <v>1173</v>
      </c>
      <c r="E1247" s="235" t="s">
        <v>1040</v>
      </c>
      <c r="F1247" s="271" t="str">
        <f>IFERROR(VLOOKUP(E1247,'Inventaire des produits'!$B$4:$K$1000,2,0),"")</f>
        <v>FILM ALIMENTAIRE ELEGENCE</v>
      </c>
      <c r="G1247" s="247">
        <f>12+9+16+6+4</f>
        <v>47</v>
      </c>
      <c r="H1247" s="79">
        <v>28.333333333333336</v>
      </c>
      <c r="I1247" s="95">
        <f t="shared" si="38"/>
        <v>1331.6666666666667</v>
      </c>
      <c r="J1247" s="95">
        <f t="shared" si="39"/>
        <v>1598</v>
      </c>
      <c r="K1247" s="93">
        <f>IFERROR(VLOOKUP(E1247,'Inventaire des produits'!$B$4:$J$1000,5,FALSE),"")</f>
        <v>0</v>
      </c>
      <c r="L1247" s="301">
        <f>IFERROR(VLOOKUP(E1247,'Inventaire des produits'!$B$4:$J$1000,6,FALSE),"")</f>
        <v>20</v>
      </c>
      <c r="M1247" s="62">
        <f>SUM(J1247:J1251)</f>
        <v>2866</v>
      </c>
    </row>
    <row r="1248" spans="2:13" x14ac:dyDescent="0.3">
      <c r="B1248" s="378" t="s">
        <v>1704</v>
      </c>
      <c r="C1248" s="341"/>
      <c r="D1248" s="338"/>
      <c r="E1248" s="235" t="s">
        <v>451</v>
      </c>
      <c r="F1248" s="271" t="str">
        <f>IFERROR(VLOOKUP(E1248,'Inventaire des produits'!$B$4:$K$1000,2,0),"")</f>
        <v>FILM ALIMENTAIRE 45CM 1.5KG</v>
      </c>
      <c r="G1248" s="247">
        <v>1</v>
      </c>
      <c r="H1248" s="79">
        <v>43.333333333333336</v>
      </c>
      <c r="I1248" s="95">
        <f t="shared" si="38"/>
        <v>43.333333333333336</v>
      </c>
      <c r="J1248" s="95">
        <f t="shared" si="39"/>
        <v>52</v>
      </c>
      <c r="K1248" s="93">
        <f>IFERROR(VLOOKUP(E1248,'Inventaire des produits'!$B$4:$J$1000,5,FALSE),"")</f>
        <v>252</v>
      </c>
      <c r="L1248" s="301">
        <f>IFERROR(VLOOKUP(E1248,'Inventaire des produits'!$B$4:$J$1000,6,FALSE),"")</f>
        <v>29.19</v>
      </c>
      <c r="M1248" s="62"/>
    </row>
    <row r="1249" spans="2:13" x14ac:dyDescent="0.3">
      <c r="B1249" s="378" t="s">
        <v>1704</v>
      </c>
      <c r="C1249" s="341"/>
      <c r="D1249" s="338"/>
      <c r="E1249" s="235" t="s">
        <v>666</v>
      </c>
      <c r="F1249" s="271" t="str">
        <f>IFERROR(VLOOKUP(E1249,'Inventaire des produits'!$B$4:$K$1000,2,0),"")</f>
        <v>GANT VINYL EXTRA PREMIUM GLOVE MEDIUM</v>
      </c>
      <c r="G1249" s="247">
        <v>14</v>
      </c>
      <c r="H1249" s="79">
        <v>33.333333333333336</v>
      </c>
      <c r="I1249" s="95">
        <f t="shared" si="38"/>
        <v>466.66666666666669</v>
      </c>
      <c r="J1249" s="95">
        <f t="shared" si="39"/>
        <v>560</v>
      </c>
      <c r="K1249" s="93">
        <f>IFERROR(VLOOKUP(E1249,'Inventaire des produits'!$B$4:$J$1000,5,FALSE),"")</f>
        <v>0</v>
      </c>
      <c r="L1249" s="301">
        <f>IFERROR(VLOOKUP(E1249,'Inventaire des produits'!$B$4:$J$1000,6,FALSE),"")</f>
        <v>20</v>
      </c>
      <c r="M1249" s="62"/>
    </row>
    <row r="1250" spans="2:13" x14ac:dyDescent="0.3">
      <c r="B1250" s="378" t="s">
        <v>1704</v>
      </c>
      <c r="C1250" s="341"/>
      <c r="D1250" s="338"/>
      <c r="E1250" s="235" t="s">
        <v>206</v>
      </c>
      <c r="F1250" s="271" t="str">
        <f>IFERROR(VLOOKUP(E1250,'Inventaire des produits'!$B$4:$K$1000,2,0),"")</f>
        <v>ESSUIE MAIN 1KG LISSE</v>
      </c>
      <c r="G1250" s="247">
        <v>14</v>
      </c>
      <c r="H1250" s="79">
        <v>28.333333333333336</v>
      </c>
      <c r="I1250" s="95">
        <f t="shared" si="38"/>
        <v>396.66666666666669</v>
      </c>
      <c r="J1250" s="95">
        <f t="shared" si="39"/>
        <v>476</v>
      </c>
      <c r="K1250" s="93">
        <f>IFERROR(VLOOKUP(E1250,'Inventaire des produits'!$B$4:$J$1000,5,FALSE),"")</f>
        <v>0</v>
      </c>
      <c r="L1250" s="301">
        <f>IFERROR(VLOOKUP(E1250,'Inventaire des produits'!$B$4:$J$1000,6,FALSE),"")</f>
        <v>21.25</v>
      </c>
      <c r="M1250" s="62"/>
    </row>
    <row r="1251" spans="2:13" x14ac:dyDescent="0.3">
      <c r="B1251" s="378" t="s">
        <v>1704</v>
      </c>
      <c r="C1251" s="342"/>
      <c r="D1251" s="339"/>
      <c r="E1251" s="235" t="s">
        <v>870</v>
      </c>
      <c r="F1251" s="271" t="str">
        <f>IFERROR(VLOOKUP(E1251,'Inventaire des produits'!$B$4:$K$1000,2,0),"")</f>
        <v>PAILLE ENVELOPPEE CODE 100 NOIR</v>
      </c>
      <c r="G1251" s="247">
        <v>30</v>
      </c>
      <c r="H1251" s="79">
        <v>5</v>
      </c>
      <c r="I1251" s="95">
        <f t="shared" si="38"/>
        <v>150</v>
      </c>
      <c r="J1251" s="95">
        <f t="shared" si="39"/>
        <v>180</v>
      </c>
      <c r="K1251" s="93">
        <f>IFERROR(VLOOKUP(E1251,'Inventaire des produits'!$B$4:$J$1000,5,FALSE),"")</f>
        <v>15</v>
      </c>
      <c r="L1251" s="301">
        <f>IFERROR(VLOOKUP(E1251,'Inventaire des produits'!$B$4:$J$1000,6,FALSE),"")</f>
        <v>3.5833333330000001</v>
      </c>
      <c r="M1251" s="62"/>
    </row>
    <row r="1252" spans="2:13" x14ac:dyDescent="0.3">
      <c r="B1252" s="378" t="s">
        <v>1704</v>
      </c>
      <c r="C1252" s="340">
        <v>45518</v>
      </c>
      <c r="D1252" s="337" t="s">
        <v>1174</v>
      </c>
      <c r="E1252" s="235" t="s">
        <v>929</v>
      </c>
      <c r="F1252" s="271" t="str">
        <f>IFERROR(VLOOKUP(E1252,'Inventaire des produits'!$B$4:$K$1000,2,0),"")</f>
        <v xml:space="preserve">SERVIETTE DE TABLE </v>
      </c>
      <c r="G1252" s="247">
        <v>100</v>
      </c>
      <c r="H1252" s="79">
        <v>4</v>
      </c>
      <c r="I1252" s="95">
        <f t="shared" si="38"/>
        <v>400</v>
      </c>
      <c r="J1252" s="95">
        <f t="shared" si="39"/>
        <v>480</v>
      </c>
      <c r="K1252" s="93">
        <f>IFERROR(VLOOKUP(E1252,'Inventaire des produits'!$B$4:$J$1000,5,FALSE),"")</f>
        <v>0</v>
      </c>
      <c r="L1252" s="301">
        <f>IFERROR(VLOOKUP(E1252,'Inventaire des produits'!$B$4:$J$1000,6,FALSE),"")</f>
        <v>2.9169999999999998</v>
      </c>
      <c r="M1252" s="62">
        <f>SUM(J1252:J1256)</f>
        <v>1007.0022</v>
      </c>
    </row>
    <row r="1253" spans="2:13" x14ac:dyDescent="0.3">
      <c r="B1253" s="378" t="s">
        <v>1704</v>
      </c>
      <c r="C1253" s="341"/>
      <c r="D1253" s="338"/>
      <c r="E1253" s="235" t="s">
        <v>1038</v>
      </c>
      <c r="F1253" s="271" t="str">
        <f>IFERROR(VLOOKUP(E1253,'Inventaire des produits'!$B$4:$K$1000,2,0),"")</f>
        <v>FOURCHETTE ECOLUXE NOIRE</v>
      </c>
      <c r="G1253" s="247">
        <v>3</v>
      </c>
      <c r="H1253" s="79">
        <v>23.333333333333336</v>
      </c>
      <c r="I1253" s="95">
        <f t="shared" si="38"/>
        <v>70</v>
      </c>
      <c r="J1253" s="95">
        <f t="shared" si="39"/>
        <v>84</v>
      </c>
      <c r="K1253" s="93">
        <f>IFERROR(VLOOKUP(E1253,'Inventaire des produits'!$B$4:$J$1000,5,FALSE),"")</f>
        <v>0</v>
      </c>
      <c r="L1253" s="301">
        <f>IFERROR(VLOOKUP(E1253,'Inventaire des produits'!$B$4:$J$1000,6,FALSE),"")</f>
        <v>13.69</v>
      </c>
      <c r="M1253" s="62"/>
    </row>
    <row r="1254" spans="2:13" x14ac:dyDescent="0.3">
      <c r="B1254" s="378" t="s">
        <v>1704</v>
      </c>
      <c r="C1254" s="341"/>
      <c r="D1254" s="338"/>
      <c r="E1254" s="235" t="s">
        <v>171</v>
      </c>
      <c r="F1254" s="271" t="str">
        <f>IFERROR(VLOOKUP(E1254,'Inventaire des produits'!$B$4:$K$1000,2,0),"")</f>
        <v>GOBLET 4OZ EN CARTON BON APETIT ECO GB</v>
      </c>
      <c r="G1254" s="247">
        <v>750</v>
      </c>
      <c r="H1254" s="79">
        <v>0.1699</v>
      </c>
      <c r="I1254" s="95">
        <f t="shared" si="38"/>
        <v>127.425</v>
      </c>
      <c r="J1254" s="95">
        <f t="shared" si="39"/>
        <v>152.91</v>
      </c>
      <c r="K1254" s="93">
        <f>IFERROR(VLOOKUP(E1254,'Inventaire des produits'!$B$4:$J$1000,5,FALSE),"")</f>
        <v>0</v>
      </c>
      <c r="L1254" s="301">
        <f>IFERROR(VLOOKUP(E1254,'Inventaire des produits'!$B$4:$J$1000,6,FALSE),"")</f>
        <v>9.1874999999999998E-2</v>
      </c>
      <c r="M1254" s="62"/>
    </row>
    <row r="1255" spans="2:13" x14ac:dyDescent="0.3">
      <c r="B1255" s="378" t="s">
        <v>1704</v>
      </c>
      <c r="C1255" s="341"/>
      <c r="D1255" s="338"/>
      <c r="E1255" s="235" t="s">
        <v>172</v>
      </c>
      <c r="F1255" s="271" t="str">
        <f>IFERROR(VLOOKUP(E1255,'Inventaire des produits'!$B$4:$K$1000,2,0),"")</f>
        <v>CVL GOBLET 4OZ BLANC BON APETIT</v>
      </c>
      <c r="G1255" s="247">
        <v>750</v>
      </c>
      <c r="H1255" s="79">
        <v>0.16641</v>
      </c>
      <c r="I1255" s="95">
        <f t="shared" si="38"/>
        <v>124.8075</v>
      </c>
      <c r="J1255" s="95">
        <f t="shared" si="39"/>
        <v>149.76900000000001</v>
      </c>
      <c r="K1255" s="93">
        <f>IFERROR(VLOOKUP(E1255,'Inventaire des produits'!$B$4:$J$1000,5,FALSE),"")</f>
        <v>0</v>
      </c>
      <c r="L1255" s="301">
        <f>IFERROR(VLOOKUP(E1255,'Inventaire des produits'!$B$4:$J$1000,6,FALSE),"")</f>
        <v>9.1874999999999998E-2</v>
      </c>
      <c r="M1255" s="62"/>
    </row>
    <row r="1256" spans="2:13" x14ac:dyDescent="0.3">
      <c r="B1256" s="378" t="s">
        <v>1704</v>
      </c>
      <c r="C1256" s="342"/>
      <c r="D1256" s="339"/>
      <c r="E1256" s="235" t="s">
        <v>206</v>
      </c>
      <c r="F1256" s="271" t="str">
        <f>IFERROR(VLOOKUP(E1256,'Inventaire des produits'!$B$4:$K$1000,2,0),"")</f>
        <v>ESSUIE MAIN 1KG LISSE</v>
      </c>
      <c r="G1256" s="247">
        <v>4</v>
      </c>
      <c r="H1256" s="79">
        <v>29.234000000000002</v>
      </c>
      <c r="I1256" s="95">
        <f t="shared" si="38"/>
        <v>116.93600000000001</v>
      </c>
      <c r="J1256" s="95">
        <f t="shared" si="39"/>
        <v>140.32320000000001</v>
      </c>
      <c r="K1256" s="93">
        <f>IFERROR(VLOOKUP(E1256,'Inventaire des produits'!$B$4:$J$1000,5,FALSE),"")</f>
        <v>0</v>
      </c>
      <c r="L1256" s="301">
        <f>IFERROR(VLOOKUP(E1256,'Inventaire des produits'!$B$4:$J$1000,6,FALSE),"")</f>
        <v>21.25</v>
      </c>
      <c r="M1256" s="62"/>
    </row>
    <row r="1257" spans="2:13" x14ac:dyDescent="0.3">
      <c r="B1257" s="378" t="s">
        <v>1704</v>
      </c>
      <c r="C1257" s="340">
        <v>45518</v>
      </c>
      <c r="D1257" s="337" t="s">
        <v>1176</v>
      </c>
      <c r="E1257" s="235" t="s">
        <v>929</v>
      </c>
      <c r="F1257" s="271" t="str">
        <f>IFERROR(VLOOKUP(E1257,'Inventaire des produits'!$B$4:$K$1000,2,0),"")</f>
        <v xml:space="preserve">SERVIETTE DE TABLE </v>
      </c>
      <c r="G1257" s="247">
        <v>60</v>
      </c>
      <c r="H1257" s="79">
        <v>4</v>
      </c>
      <c r="I1257" s="95">
        <f t="shared" si="38"/>
        <v>240</v>
      </c>
      <c r="J1257" s="95">
        <f t="shared" si="39"/>
        <v>288</v>
      </c>
      <c r="K1257" s="93">
        <f>IFERROR(VLOOKUP(E1257,'Inventaire des produits'!$B$4:$J$1000,5,FALSE),"")</f>
        <v>0</v>
      </c>
      <c r="L1257" s="301">
        <f>IFERROR(VLOOKUP(E1257,'Inventaire des produits'!$B$4:$J$1000,6,FALSE),"")</f>
        <v>2.9169999999999998</v>
      </c>
      <c r="M1257" s="62">
        <f t="shared" ref="M1257" si="41">SUM(J1257:J1261)</f>
        <v>3015.0032000000001</v>
      </c>
    </row>
    <row r="1258" spans="2:13" x14ac:dyDescent="0.3">
      <c r="B1258" s="378" t="s">
        <v>1704</v>
      </c>
      <c r="C1258" s="341"/>
      <c r="D1258" s="338"/>
      <c r="E1258" s="235" t="s">
        <v>1038</v>
      </c>
      <c r="F1258" s="271" t="str">
        <f>IFERROR(VLOOKUP(E1258,'Inventaire des produits'!$B$4:$K$1000,2,0),"")</f>
        <v>FOURCHETTE ECOLUXE NOIRE</v>
      </c>
      <c r="G1258" s="247">
        <v>5</v>
      </c>
      <c r="H1258" s="79">
        <v>23.333333333333336</v>
      </c>
      <c r="I1258" s="95">
        <f t="shared" si="38"/>
        <v>116.66666666666669</v>
      </c>
      <c r="J1258" s="95">
        <f t="shared" si="39"/>
        <v>140.00000000000003</v>
      </c>
      <c r="K1258" s="93">
        <f>IFERROR(VLOOKUP(E1258,'Inventaire des produits'!$B$4:$J$1000,5,FALSE),"")</f>
        <v>0</v>
      </c>
      <c r="L1258" s="301">
        <f>IFERROR(VLOOKUP(E1258,'Inventaire des produits'!$B$4:$J$1000,6,FALSE),"")</f>
        <v>13.69</v>
      </c>
      <c r="M1258" s="62"/>
    </row>
    <row r="1259" spans="2:13" x14ac:dyDescent="0.3">
      <c r="B1259" s="378" t="s">
        <v>1704</v>
      </c>
      <c r="C1259" s="341"/>
      <c r="D1259" s="338"/>
      <c r="E1259" s="235" t="s">
        <v>206</v>
      </c>
      <c r="F1259" s="271" t="str">
        <f>IFERROR(VLOOKUP(E1259,'Inventaire des produits'!$B$4:$K$1000,2,0),"")</f>
        <v>ESSUIE MAIN 1KG LISSE</v>
      </c>
      <c r="G1259" s="247">
        <v>4</v>
      </c>
      <c r="H1259" s="79">
        <v>28.584</v>
      </c>
      <c r="I1259" s="95">
        <f t="shared" si="38"/>
        <v>114.336</v>
      </c>
      <c r="J1259" s="95">
        <f t="shared" si="39"/>
        <v>137.20319999999998</v>
      </c>
      <c r="K1259" s="93">
        <f>IFERROR(VLOOKUP(E1259,'Inventaire des produits'!$B$4:$J$1000,5,FALSE),"")</f>
        <v>0</v>
      </c>
      <c r="L1259" s="301">
        <f>IFERROR(VLOOKUP(E1259,'Inventaire des produits'!$B$4:$J$1000,6,FALSE),"")</f>
        <v>21.25</v>
      </c>
      <c r="M1259" s="62"/>
    </row>
    <row r="1260" spans="2:13" x14ac:dyDescent="0.3">
      <c r="B1260" s="378" t="s">
        <v>1704</v>
      </c>
      <c r="C1260" s="342"/>
      <c r="D1260" s="339"/>
      <c r="E1260" s="235" t="s">
        <v>726</v>
      </c>
      <c r="F1260" s="271" t="str">
        <f>IFERROR(VLOOKUP(E1260,'Inventaire des produits'!$B$4:$K$1000,2,0),"")</f>
        <v>PALETTE A GLACE BLANC</v>
      </c>
      <c r="G1260" s="247">
        <v>10</v>
      </c>
      <c r="H1260" s="79">
        <v>22.9</v>
      </c>
      <c r="I1260" s="95">
        <f t="shared" si="38"/>
        <v>229</v>
      </c>
      <c r="J1260" s="95">
        <f t="shared" si="39"/>
        <v>274.8</v>
      </c>
      <c r="K1260" s="93">
        <f>IFERROR(VLOOKUP(E1260,'Inventaire des produits'!$B$4:$J$1000,5,FALSE),"")</f>
        <v>0</v>
      </c>
      <c r="L1260" s="301">
        <f>IFERROR(VLOOKUP(E1260,'Inventaire des produits'!$B$4:$J$1000,6,FALSE),"")</f>
        <v>16.03</v>
      </c>
      <c r="M1260" s="62"/>
    </row>
    <row r="1261" spans="2:13" x14ac:dyDescent="0.3">
      <c r="B1261" s="378" t="s">
        <v>1704</v>
      </c>
      <c r="C1261" s="349">
        <v>45519</v>
      </c>
      <c r="D1261" s="346" t="s">
        <v>1179</v>
      </c>
      <c r="E1261" s="244" t="s">
        <v>185</v>
      </c>
      <c r="F1261" s="271" t="str">
        <f>IFERROR(VLOOKUP(E1261,'Inventaire des produits'!$B$4:$K$1000,2,0),"")</f>
        <v>POT A NOUILLE 26OZ BLANC</v>
      </c>
      <c r="G1261" s="268">
        <v>1500</v>
      </c>
      <c r="H1261" s="90">
        <f>1.45/1.2</f>
        <v>1.2083333333333333</v>
      </c>
      <c r="I1261" s="95">
        <f t="shared" si="38"/>
        <v>1812.5</v>
      </c>
      <c r="J1261" s="95">
        <f t="shared" si="39"/>
        <v>2175</v>
      </c>
      <c r="K1261" s="93">
        <f>IFERROR(VLOOKUP(E1261,'Inventaire des produits'!$B$4:$J$1000,5,FALSE),"")</f>
        <v>0</v>
      </c>
      <c r="L1261" s="301">
        <f>IFERROR(VLOOKUP(E1261,'Inventaire des produits'!$B$4:$J$1000,6,FALSE),"")</f>
        <v>0.91666666669999997</v>
      </c>
      <c r="M1261" s="62">
        <v>4575</v>
      </c>
    </row>
    <row r="1262" spans="2:13" x14ac:dyDescent="0.3">
      <c r="B1262" s="378" t="s">
        <v>1704</v>
      </c>
      <c r="C1262" s="350"/>
      <c r="D1262" s="348"/>
      <c r="E1262" s="244" t="s">
        <v>619</v>
      </c>
      <c r="F1262" s="271" t="str">
        <f>IFERROR(VLOOKUP(E1262,'Inventaire des produits'!$B$4:$K$1000,2,0),"")</f>
        <v>POT DE SAUCE 1OZ 30ML HP</v>
      </c>
      <c r="G1262" s="268">
        <v>12000</v>
      </c>
      <c r="H1262" s="90">
        <f>0.2/1.2</f>
        <v>0.16666666666666669</v>
      </c>
      <c r="I1262" s="95">
        <f t="shared" si="38"/>
        <v>2000.0000000000002</v>
      </c>
      <c r="J1262" s="95">
        <f t="shared" si="39"/>
        <v>2400</v>
      </c>
      <c r="K1262" s="93">
        <f>IFERROR(VLOOKUP(E1262,'Inventaire des produits'!$B$4:$J$1000,5,FALSE),"")</f>
        <v>0</v>
      </c>
      <c r="L1262" s="301">
        <f>IFERROR(VLOOKUP(E1262,'Inventaire des produits'!$B$4:$J$1000,6,FALSE),"")</f>
        <v>0.13450000000000001</v>
      </c>
      <c r="M1262" s="62"/>
    </row>
    <row r="1263" spans="2:13" x14ac:dyDescent="0.3">
      <c r="B1263" s="378" t="s">
        <v>1704</v>
      </c>
      <c r="C1263" s="340">
        <v>45519</v>
      </c>
      <c r="D1263" s="337" t="s">
        <v>1188</v>
      </c>
      <c r="E1263" s="235" t="s">
        <v>403</v>
      </c>
      <c r="F1263" s="271" t="str">
        <f>IFERROR(VLOOKUP(E1263,'Inventaire des produits'!$B$4:$K$1000,2,0),"")</f>
        <v>GOBLET 4OZ SANS CVL EN CARTON BON APETIT ECO GB</v>
      </c>
      <c r="G1263" s="247">
        <v>4000</v>
      </c>
      <c r="H1263" s="79">
        <f>0.46/1.2/2</f>
        <v>0.19166666666666668</v>
      </c>
      <c r="I1263" s="95">
        <f t="shared" si="38"/>
        <v>766.66666666666674</v>
      </c>
      <c r="J1263" s="95">
        <f t="shared" si="39"/>
        <v>920.00000000000011</v>
      </c>
      <c r="K1263" s="93">
        <f>IFERROR(VLOOKUP(E1263,'Inventaire des produits'!$B$4:$J$1000,5,FALSE),"")</f>
        <v>0</v>
      </c>
      <c r="L1263" s="301">
        <f>IFERROR(VLOOKUP(E1263,'Inventaire des produits'!$B$4:$J$1000,6,FALSE),"")</f>
        <v>8.3375000000000005E-2</v>
      </c>
      <c r="M1263" s="62">
        <f>SUM(J1263:J1264)</f>
        <v>1840.0000000000002</v>
      </c>
    </row>
    <row r="1264" spans="2:13" x14ac:dyDescent="0.3">
      <c r="B1264" s="378" t="s">
        <v>1704</v>
      </c>
      <c r="C1264" s="342"/>
      <c r="D1264" s="339"/>
      <c r="E1264" s="235" t="s">
        <v>404</v>
      </c>
      <c r="F1264" s="271" t="str">
        <f>IFERROR(VLOOKUP(E1264,'Inventaire des produits'!$B$4:$K$1000,2,0),"")</f>
        <v>CVL GOBLET 4OZ BLANC BON APETIT</v>
      </c>
      <c r="G1264" s="247">
        <v>4000</v>
      </c>
      <c r="H1264" s="79">
        <f>0.46/1.2/2</f>
        <v>0.19166666666666668</v>
      </c>
      <c r="I1264" s="95">
        <f t="shared" si="38"/>
        <v>766.66666666666674</v>
      </c>
      <c r="J1264" s="95">
        <f t="shared" si="39"/>
        <v>920.00000000000011</v>
      </c>
      <c r="K1264" s="93">
        <f>IFERROR(VLOOKUP(E1264,'Inventaire des produits'!$B$4:$J$1000,5,FALSE),"")</f>
        <v>0</v>
      </c>
      <c r="L1264" s="301">
        <f>IFERROR(VLOOKUP(E1264,'Inventaire des produits'!$B$4:$J$1000,6,FALSE),"")</f>
        <v>8.3375000000000005E-2</v>
      </c>
      <c r="M1264" s="62"/>
    </row>
    <row r="1265" spans="2:13" x14ac:dyDescent="0.3">
      <c r="B1265" s="378" t="s">
        <v>1704</v>
      </c>
      <c r="C1265" s="340">
        <v>45520</v>
      </c>
      <c r="D1265" s="337" t="s">
        <v>1192</v>
      </c>
      <c r="E1265" s="235" t="s">
        <v>1117</v>
      </c>
      <c r="F1265" s="271" t="str">
        <f>IFERROR(VLOOKUP(E1265,'Inventaire des produits'!$B$4:$K$1000,2,0),"")</f>
        <v>POT DE SAUCE 2OZ NOIRE</v>
      </c>
      <c r="G1265" s="247">
        <v>10000</v>
      </c>
      <c r="H1265" s="79">
        <v>0.16700000000000001</v>
      </c>
      <c r="I1265" s="95">
        <f t="shared" si="38"/>
        <v>1670</v>
      </c>
      <c r="J1265" s="95">
        <f t="shared" si="39"/>
        <v>2004</v>
      </c>
      <c r="K1265" s="93">
        <f>IFERROR(VLOOKUP(E1265,'Inventaire des produits'!$B$4:$J$1000,5,FALSE),"")</f>
        <v>0</v>
      </c>
      <c r="L1265" s="301">
        <f>IFERROR(VLOOKUP(E1265,'Inventaire des produits'!$B$4:$J$1000,6,FALSE),"")</f>
        <v>0.16489999999999999</v>
      </c>
      <c r="M1265" s="62">
        <v>2529</v>
      </c>
    </row>
    <row r="1266" spans="2:13" x14ac:dyDescent="0.3">
      <c r="B1266" s="378" t="s">
        <v>1704</v>
      </c>
      <c r="C1266" s="342"/>
      <c r="D1266" s="339"/>
      <c r="E1266" s="235" t="s">
        <v>601</v>
      </c>
      <c r="F1266" s="271" t="str">
        <f>IFERROR(VLOOKUP(E1266,'Inventaire des produits'!$B$4:$K$1000,2,0),"")</f>
        <v>FILM ALIMENTAIRE VIOLET 280MM 500GR</v>
      </c>
      <c r="G1266" s="247">
        <v>15</v>
      </c>
      <c r="H1266" s="79">
        <v>29.1666666666667</v>
      </c>
      <c r="I1266" s="95">
        <f t="shared" si="38"/>
        <v>437.50000000000051</v>
      </c>
      <c r="J1266" s="95">
        <f t="shared" si="39"/>
        <v>525.00000000000057</v>
      </c>
      <c r="K1266" s="93">
        <f>IFERROR(VLOOKUP(E1266,'Inventaire des produits'!$B$4:$J$1000,5,FALSE),"")</f>
        <v>0</v>
      </c>
      <c r="L1266" s="301">
        <f>IFERROR(VLOOKUP(E1266,'Inventaire des produits'!$B$4:$J$1000,6,FALSE),"")</f>
        <v>29.17</v>
      </c>
      <c r="M1266" s="62"/>
    </row>
    <row r="1267" spans="2:13" x14ac:dyDescent="0.3">
      <c r="B1267" s="378" t="s">
        <v>1704</v>
      </c>
      <c r="C1267" s="340">
        <v>45523</v>
      </c>
      <c r="D1267" s="337" t="s">
        <v>1225</v>
      </c>
      <c r="E1267" s="235" t="s">
        <v>306</v>
      </c>
      <c r="F1267" s="271" t="str">
        <f>IFERROR(VLOOKUP(E1267,'Inventaire des produits'!$B$4:$K$1000,2,0),"")</f>
        <v>BARQUETTE SUSHI 216*136 ET CVL CARTON 400PCS</v>
      </c>
      <c r="G1267" s="247">
        <v>1350</v>
      </c>
      <c r="H1267" s="79">
        <v>1.6750959999999999</v>
      </c>
      <c r="I1267" s="95">
        <f t="shared" si="38"/>
        <v>2261.3795999999998</v>
      </c>
      <c r="J1267" s="95">
        <f t="shared" si="39"/>
        <v>2713.6555199999998</v>
      </c>
      <c r="K1267" s="93">
        <f>IFERROR(VLOOKUP(E1267,'Inventaire des produits'!$B$4:$J$1000,5,FALSE),"")</f>
        <v>0</v>
      </c>
      <c r="L1267" s="301">
        <f>IFERROR(VLOOKUP(E1267,'Inventaire des produits'!$B$4:$J$1000,6,FALSE),"")</f>
        <v>1.5</v>
      </c>
      <c r="M1267" s="62">
        <f>SUM(J1267:J1272)</f>
        <v>5200.0015199999998</v>
      </c>
    </row>
    <row r="1268" spans="2:13" x14ac:dyDescent="0.3">
      <c r="B1268" s="378" t="s">
        <v>1704</v>
      </c>
      <c r="C1268" s="341"/>
      <c r="D1268" s="338"/>
      <c r="E1268" s="235" t="s">
        <v>955</v>
      </c>
      <c r="F1268" s="271" t="str">
        <f>IFERROR(VLOOKUP(E1268,'Inventaire des produits'!$B$4:$K$1000,2,0),"")</f>
        <v>BOX NOUILLE ET PATE 32OZ BLANC</v>
      </c>
      <c r="G1268" s="247">
        <v>250</v>
      </c>
      <c r="H1268" s="79">
        <v>2.3330000000000002</v>
      </c>
      <c r="I1268" s="95">
        <f t="shared" si="38"/>
        <v>583.25</v>
      </c>
      <c r="J1268" s="95">
        <f t="shared" si="39"/>
        <v>699.9</v>
      </c>
      <c r="K1268" s="93">
        <f>IFERROR(VLOOKUP(E1268,'Inventaire des produits'!$B$4:$J$1000,5,FALSE),"")</f>
        <v>0</v>
      </c>
      <c r="L1268" s="301">
        <f>IFERROR(VLOOKUP(E1268,'Inventaire des produits'!$B$4:$J$1000,6,FALSE),"")</f>
        <v>1.125</v>
      </c>
      <c r="M1268" s="62"/>
    </row>
    <row r="1269" spans="2:13" x14ac:dyDescent="0.3">
      <c r="B1269" s="378" t="s">
        <v>1704</v>
      </c>
      <c r="C1269" s="341"/>
      <c r="D1269" s="338"/>
      <c r="E1269" s="235" t="s">
        <v>640</v>
      </c>
      <c r="F1269" s="271" t="str">
        <f>IFERROR(VLOOKUP(E1269,'Inventaire des produits'!$B$4:$K$1000,2,0),"")</f>
        <v>BARQUETTE TRAITEUR 500CC MICRON-ONDABLE TRANS</v>
      </c>
      <c r="G1269" s="247">
        <v>200</v>
      </c>
      <c r="H1269" s="79">
        <v>1.5559000000000001</v>
      </c>
      <c r="I1269" s="95">
        <f t="shared" si="38"/>
        <v>311.18</v>
      </c>
      <c r="J1269" s="95">
        <f t="shared" si="39"/>
        <v>373.416</v>
      </c>
      <c r="K1269" s="93">
        <f>IFERROR(VLOOKUP(E1269,'Inventaire des produits'!$B$4:$J$1000,5,FALSE),"")</f>
        <v>0</v>
      </c>
      <c r="L1269" s="301">
        <f>IFERROR(VLOOKUP(E1269,'Inventaire des produits'!$B$4:$J$1000,6,FALSE),"")</f>
        <v>1.125</v>
      </c>
      <c r="M1269" s="62"/>
    </row>
    <row r="1270" spans="2:13" x14ac:dyDescent="0.3">
      <c r="B1270" s="378" t="s">
        <v>1704</v>
      </c>
      <c r="C1270" s="341"/>
      <c r="D1270" s="338"/>
      <c r="E1270" s="235" t="s">
        <v>677</v>
      </c>
      <c r="F1270" s="271" t="str">
        <f>IFERROR(VLOOKUP(E1270,'Inventaire des produits'!$B$4:$K$1000,2,0),"")</f>
        <v>BARQUETTE TRAITEUR 750CC MICRON ONDABLE</v>
      </c>
      <c r="G1270" s="247">
        <v>200</v>
      </c>
      <c r="H1270" s="79">
        <v>1.589</v>
      </c>
      <c r="I1270" s="95">
        <f t="shared" si="38"/>
        <v>317.8</v>
      </c>
      <c r="J1270" s="95">
        <f t="shared" si="39"/>
        <v>381.36</v>
      </c>
      <c r="K1270" s="93">
        <f>IFERROR(VLOOKUP(E1270,'Inventaire des produits'!$B$4:$J$1000,5,FALSE),"")</f>
        <v>0</v>
      </c>
      <c r="L1270" s="301">
        <f>IFERROR(VLOOKUP(E1270,'Inventaire des produits'!$B$4:$J$1000,6,FALSE),"")</f>
        <v>1.1479166667</v>
      </c>
      <c r="M1270" s="62"/>
    </row>
    <row r="1271" spans="2:13" x14ac:dyDescent="0.3">
      <c r="B1271" s="378" t="s">
        <v>1704</v>
      </c>
      <c r="C1271" s="341"/>
      <c r="D1271" s="338"/>
      <c r="E1271" s="235" t="s">
        <v>1210</v>
      </c>
      <c r="F1271" s="271" t="str">
        <f>IFERROR(VLOOKUP(E1271,'Inventaire des produits'!$B$4:$K$1000,2,0),"")</f>
        <v>BOL SALADE ET CVL KRAFT 750CC CARTON 400PCS</v>
      </c>
      <c r="G1271" s="247">
        <v>150</v>
      </c>
      <c r="H1271" s="79">
        <v>1.5489999999999999</v>
      </c>
      <c r="I1271" s="95">
        <f t="shared" si="38"/>
        <v>232.35</v>
      </c>
      <c r="J1271" s="95">
        <f t="shared" si="39"/>
        <v>278.82</v>
      </c>
      <c r="K1271" s="93">
        <f>IFERROR(VLOOKUP(E1271,'Inventaire des produits'!$B$4:$J$1000,5,FALSE),"")</f>
        <v>0</v>
      </c>
      <c r="L1271" s="301">
        <f>IFERROR(VLOOKUP(E1271,'Inventaire des produits'!$B$4:$J$1000,6,FALSE),"")</f>
        <v>1.3333333333333335</v>
      </c>
      <c r="M1271" s="62"/>
    </row>
    <row r="1272" spans="2:13" x14ac:dyDescent="0.3">
      <c r="B1272" s="378" t="s">
        <v>1704</v>
      </c>
      <c r="C1272" s="341"/>
      <c r="D1272" s="338"/>
      <c r="E1272" s="235" t="s">
        <v>643</v>
      </c>
      <c r="F1272" s="271" t="str">
        <f>IFERROR(VLOOKUP(E1272,'Inventaire des produits'!$B$4:$K$1000,2,0),"")</f>
        <v>BOL SALADE ET CVL BLANC 38OZ</v>
      </c>
      <c r="G1272" s="247">
        <v>250</v>
      </c>
      <c r="H1272" s="79">
        <v>2.5095000000000001</v>
      </c>
      <c r="I1272" s="95">
        <f t="shared" si="38"/>
        <v>627.375</v>
      </c>
      <c r="J1272" s="95">
        <f t="shared" si="39"/>
        <v>752.85</v>
      </c>
      <c r="K1272" s="93">
        <f>IFERROR(VLOOKUP(E1272,'Inventaire des produits'!$B$4:$J$1000,5,FALSE),"")</f>
        <v>0</v>
      </c>
      <c r="L1272" s="301">
        <f>IFERROR(VLOOKUP(E1272,'Inventaire des produits'!$B$4:$J$1000,6,FALSE),"")</f>
        <v>2.25</v>
      </c>
      <c r="M1272" s="62"/>
    </row>
    <row r="1273" spans="2:13" x14ac:dyDescent="0.3">
      <c r="B1273" s="378" t="s">
        <v>1704</v>
      </c>
      <c r="C1273" s="55">
        <v>45524</v>
      </c>
      <c r="D1273" s="54" t="s">
        <v>1226</v>
      </c>
      <c r="E1273" s="240" t="s">
        <v>1416</v>
      </c>
      <c r="F1273" s="271" t="str">
        <f>IFERROR(VLOOKUP(E1273,'Inventaire des produits'!$B$4:$K$1000,2,0),"")</f>
        <v>POTE GOBLET 2 COMP EN CARTON</v>
      </c>
      <c r="G1273" s="247">
        <v>960</v>
      </c>
      <c r="H1273" s="79">
        <v>1</v>
      </c>
      <c r="I1273" s="95">
        <f t="shared" si="38"/>
        <v>960</v>
      </c>
      <c r="J1273" s="95">
        <f t="shared" si="39"/>
        <v>1152</v>
      </c>
      <c r="K1273" s="93">
        <f>IFERROR(VLOOKUP(E1273,'Inventaire des produits'!$B$4:$J$1000,5,FALSE),"")</f>
        <v>0</v>
      </c>
      <c r="L1273" s="301">
        <f>IFERROR(VLOOKUP(E1273,'Inventaire des produits'!$B$4:$J$1000,6,FALSE),"")</f>
        <v>0.75</v>
      </c>
      <c r="M1273" s="62">
        <v>1152</v>
      </c>
    </row>
    <row r="1274" spans="2:13" x14ac:dyDescent="0.3">
      <c r="B1274" s="378" t="s">
        <v>1704</v>
      </c>
      <c r="C1274" s="55">
        <v>45524</v>
      </c>
      <c r="D1274" s="54" t="s">
        <v>1227</v>
      </c>
      <c r="E1274" s="235" t="s">
        <v>1092</v>
      </c>
      <c r="F1274" s="271" t="str">
        <f>IFERROR(VLOOKUP(E1274,'Inventaire des produits'!$B$4:$K$1000,2,0),"")</f>
        <v>BARQUETTE ALUMINIUM 83820/2 COMP</v>
      </c>
      <c r="G1274" s="247">
        <v>20000</v>
      </c>
      <c r="H1274" s="79">
        <v>0.79166665999999997</v>
      </c>
      <c r="I1274" s="95">
        <f t="shared" ref="I1274" si="42">IF(OR(G1274="",H1274=""),"",G1274*H1274)</f>
        <v>15833.333199999999</v>
      </c>
      <c r="J1274" s="95">
        <f t="shared" ref="J1274" si="43">IF(OR(I1274=""),"",I1274*1.2)</f>
        <v>18999.999839999997</v>
      </c>
      <c r="K1274" s="93">
        <f>IFERROR(VLOOKUP(E1274,'Inventaire des produits'!$B$4:$J$1000,5,FALSE),"")</f>
        <v>0</v>
      </c>
      <c r="L1274" s="301">
        <f>IFERROR(VLOOKUP(E1274,'Inventaire des produits'!$B$4:$J$1000,6,FALSE),"")</f>
        <v>0.75</v>
      </c>
      <c r="M1274" s="62">
        <f>SUM(J1274)</f>
        <v>18999.999839999997</v>
      </c>
    </row>
    <row r="1275" spans="2:13" x14ac:dyDescent="0.3">
      <c r="B1275" s="378" t="s">
        <v>1704</v>
      </c>
      <c r="C1275" s="340">
        <v>45526</v>
      </c>
      <c r="D1275" s="337" t="s">
        <v>1247</v>
      </c>
      <c r="E1275" s="235" t="s">
        <v>839</v>
      </c>
      <c r="F1275" s="271" t="str">
        <f>IFERROR(VLOOKUP(E1275,'Inventaire des produits'!$B$4:$K$1000,2,0),"")</f>
        <v>FILM ALIMENTAIRE 900GR GM 30X300</v>
      </c>
      <c r="G1275" s="247">
        <v>60</v>
      </c>
      <c r="H1275" s="79">
        <v>21.6666666666667</v>
      </c>
      <c r="I1275" s="95">
        <f t="shared" si="38"/>
        <v>1300.000000000002</v>
      </c>
      <c r="J1275" s="95">
        <f t="shared" si="39"/>
        <v>1560.0000000000025</v>
      </c>
      <c r="K1275" s="93">
        <f>IFERROR(VLOOKUP(E1275,'Inventaire des produits'!$B$4:$J$1000,5,FALSE),"")</f>
        <v>0</v>
      </c>
      <c r="L1275" s="301">
        <f>IFERROR(VLOOKUP(E1275,'Inventaire des produits'!$B$4:$J$1000,6,FALSE),"")</f>
        <v>20</v>
      </c>
      <c r="M1275" s="62">
        <f>SUM(J1275:J1276)</f>
        <v>4552.0000000000027</v>
      </c>
    </row>
    <row r="1276" spans="2:13" x14ac:dyDescent="0.3">
      <c r="B1276" s="378" t="s">
        <v>1704</v>
      </c>
      <c r="C1276" s="342"/>
      <c r="D1276" s="339"/>
      <c r="E1276" s="235" t="s">
        <v>979</v>
      </c>
      <c r="F1276" s="271" t="str">
        <f>IFERROR(VLOOKUP(E1276,'Inventaire des produits'!$B$4:$K$1000,2,0),"")</f>
        <v>ROULEAU ALUMINIUM 200</v>
      </c>
      <c r="G1276" s="247">
        <v>44</v>
      </c>
      <c r="H1276" s="79">
        <v>56.666666666666671</v>
      </c>
      <c r="I1276" s="95">
        <f t="shared" si="38"/>
        <v>2493.3333333333335</v>
      </c>
      <c r="J1276" s="95">
        <f t="shared" si="39"/>
        <v>2992</v>
      </c>
      <c r="K1276" s="93">
        <f>IFERROR(VLOOKUP(E1276,'Inventaire des produits'!$B$4:$J$1000,5,FALSE),"")</f>
        <v>44</v>
      </c>
      <c r="L1276" s="301">
        <f>IFERROR(VLOOKUP(E1276,'Inventaire des produits'!$B$4:$J$1000,6,FALSE),"")</f>
        <v>48.23</v>
      </c>
      <c r="M1276" s="62"/>
    </row>
    <row r="1277" spans="2:13" x14ac:dyDescent="0.3">
      <c r="B1277" s="378" t="s">
        <v>1704</v>
      </c>
      <c r="C1277" s="340">
        <v>45526</v>
      </c>
      <c r="D1277" s="337" t="s">
        <v>1248</v>
      </c>
      <c r="E1277" s="235" t="s">
        <v>839</v>
      </c>
      <c r="F1277" s="271" t="str">
        <f>IFERROR(VLOOKUP(E1277,'Inventaire des produits'!$B$4:$K$1000,2,0),"")</f>
        <v>FILM ALIMENTAIRE 900GR GM 30X300</v>
      </c>
      <c r="G1277" s="247">
        <v>66</v>
      </c>
      <c r="H1277" s="79">
        <v>21.666666666666668</v>
      </c>
      <c r="I1277" s="95">
        <f t="shared" si="38"/>
        <v>1430</v>
      </c>
      <c r="J1277" s="95">
        <f t="shared" si="39"/>
        <v>1716</v>
      </c>
      <c r="K1277" s="93">
        <f>IFERROR(VLOOKUP(E1277,'Inventaire des produits'!$B$4:$J$1000,5,FALSE),"")</f>
        <v>0</v>
      </c>
      <c r="L1277" s="301">
        <f>IFERROR(VLOOKUP(E1277,'Inventaire des produits'!$B$4:$J$1000,6,FALSE),"")</f>
        <v>20</v>
      </c>
      <c r="M1277" s="62">
        <f>SUM(J1277:J1278)</f>
        <v>4028</v>
      </c>
    </row>
    <row r="1278" spans="2:13" x14ac:dyDescent="0.3">
      <c r="B1278" s="378" t="s">
        <v>1704</v>
      </c>
      <c r="C1278" s="342"/>
      <c r="D1278" s="339"/>
      <c r="E1278" s="235" t="s">
        <v>979</v>
      </c>
      <c r="F1278" s="271" t="str">
        <f>IFERROR(VLOOKUP(E1278,'Inventaire des produits'!$B$4:$K$1000,2,0),"")</f>
        <v>ROULEAU ALUMINIUM 200</v>
      </c>
      <c r="G1278" s="247">
        <v>34</v>
      </c>
      <c r="H1278" s="79">
        <v>56.666666666666671</v>
      </c>
      <c r="I1278" s="95">
        <f t="shared" si="38"/>
        <v>1926.6666666666667</v>
      </c>
      <c r="J1278" s="95">
        <f t="shared" si="39"/>
        <v>2312</v>
      </c>
      <c r="K1278" s="93">
        <f>IFERROR(VLOOKUP(E1278,'Inventaire des produits'!$B$4:$J$1000,5,FALSE),"")</f>
        <v>44</v>
      </c>
      <c r="L1278" s="301">
        <f>IFERROR(VLOOKUP(E1278,'Inventaire des produits'!$B$4:$J$1000,6,FALSE),"")</f>
        <v>48.23</v>
      </c>
      <c r="M1278" s="62"/>
    </row>
    <row r="1279" spans="2:13" x14ac:dyDescent="0.3">
      <c r="B1279" s="378" t="s">
        <v>1704</v>
      </c>
      <c r="C1279" s="340">
        <v>45527</v>
      </c>
      <c r="D1279" s="337" t="s">
        <v>1249</v>
      </c>
      <c r="E1279" s="235" t="s">
        <v>319</v>
      </c>
      <c r="F1279" s="271" t="str">
        <f>IFERROR(VLOOKUP(E1279,'Inventaire des produits'!$B$4:$K$1000,2,0),"")</f>
        <v>FOURCHETTE ECOLUXE TRANSPARENTE</v>
      </c>
      <c r="G1279" s="247">
        <v>6</v>
      </c>
      <c r="H1279" s="79">
        <f>0.28/1.2*100</f>
        <v>23.333333333333336</v>
      </c>
      <c r="I1279" s="95">
        <f t="shared" si="38"/>
        <v>140</v>
      </c>
      <c r="J1279" s="95">
        <f t="shared" si="39"/>
        <v>168</v>
      </c>
      <c r="K1279" s="93">
        <f>IFERROR(VLOOKUP(E1279,'Inventaire des produits'!$B$4:$J$1000,5,FALSE),"")</f>
        <v>0</v>
      </c>
      <c r="L1279" s="301">
        <f>IFERROR(VLOOKUP(E1279,'Inventaire des produits'!$B$4:$J$1000,6,FALSE),"")</f>
        <v>17.5</v>
      </c>
      <c r="M1279" s="62">
        <f>SUM(J1279:J1284)</f>
        <v>720.99999976000004</v>
      </c>
    </row>
    <row r="1280" spans="2:13" x14ac:dyDescent="0.3">
      <c r="B1280" s="378" t="s">
        <v>1704</v>
      </c>
      <c r="C1280" s="341"/>
      <c r="D1280" s="338"/>
      <c r="E1280" s="235" t="s">
        <v>583</v>
      </c>
      <c r="F1280" s="271" t="str">
        <f>IFERROR(VLOOKUP(E1280,'Inventaire des produits'!$B$4:$K$1000,2,0),"")</f>
        <v>GANT VINYL EXTRA PREMIUM GLOVE MEDIUM</v>
      </c>
      <c r="G1280" s="247">
        <v>1</v>
      </c>
      <c r="H1280" s="79">
        <f>45/1.2</f>
        <v>37.5</v>
      </c>
      <c r="I1280" s="95">
        <f t="shared" ref="I1280:I1349" si="44">IF(OR(G1280="",H1280=""),"",G1280*H1280)</f>
        <v>37.5</v>
      </c>
      <c r="J1280" s="95">
        <f t="shared" ref="J1280:J1349" si="45">IF(OR(I1280=""),"",I1280*1.2)</f>
        <v>45</v>
      </c>
      <c r="K1280" s="93">
        <f>IFERROR(VLOOKUP(E1280,'Inventaire des produits'!$B$4:$J$1000,5,FALSE),"")</f>
        <v>0</v>
      </c>
      <c r="L1280" s="301">
        <f>IFERROR(VLOOKUP(E1280,'Inventaire des produits'!$B$4:$J$1000,6,FALSE),"")</f>
        <v>19.166666666699999</v>
      </c>
      <c r="M1280" s="62"/>
    </row>
    <row r="1281" spans="2:13" x14ac:dyDescent="0.3">
      <c r="B1281" s="378" t="s">
        <v>1704</v>
      </c>
      <c r="C1281" s="341"/>
      <c r="D1281" s="338"/>
      <c r="E1281" s="235" t="s">
        <v>275</v>
      </c>
      <c r="F1281" s="271" t="str">
        <f>IFERROR(VLOOKUP(E1281,'Inventaire des produits'!$B$4:$K$1000,2,0),"")</f>
        <v>GOBLET 8OZ A CAFE EN CARTON KRAFT</v>
      </c>
      <c r="G1281" s="247">
        <v>300</v>
      </c>
      <c r="H1281" s="79">
        <f>0.55/1.2</f>
        <v>0.45833333333333337</v>
      </c>
      <c r="I1281" s="95">
        <f t="shared" si="44"/>
        <v>137.5</v>
      </c>
      <c r="J1281" s="95">
        <f t="shared" si="45"/>
        <v>165</v>
      </c>
      <c r="K1281" s="93">
        <f>IFERROR(VLOOKUP(E1281,'Inventaire des produits'!$B$4:$J$1000,5,FALSE),"")</f>
        <v>0</v>
      </c>
      <c r="L1281" s="301">
        <f>IFERROR(VLOOKUP(E1281,'Inventaire des produits'!$B$4:$J$1000,6,FALSE),"")</f>
        <v>0.6</v>
      </c>
      <c r="M1281" s="62"/>
    </row>
    <row r="1282" spans="2:13" x14ac:dyDescent="0.3">
      <c r="B1282" s="378" t="s">
        <v>1704</v>
      </c>
      <c r="C1282" s="341"/>
      <c r="D1282" s="338"/>
      <c r="E1282" s="235" t="s">
        <v>1149</v>
      </c>
      <c r="F1282" s="271" t="str">
        <f>IFERROR(VLOOKUP(E1282,'Inventaire des produits'!$B$4:$K$1000,2,0),"")</f>
        <v>ROULEAU DE CAISSE THERMIQUE 80X80</v>
      </c>
      <c r="G1282" s="247">
        <v>10</v>
      </c>
      <c r="H1282" s="79">
        <f>12/1.2</f>
        <v>10</v>
      </c>
      <c r="I1282" s="95">
        <f t="shared" si="44"/>
        <v>100</v>
      </c>
      <c r="J1282" s="95">
        <f t="shared" si="45"/>
        <v>120</v>
      </c>
      <c r="K1282" s="93">
        <f>IFERROR(VLOOKUP(E1282,'Inventaire des produits'!$B$4:$J$1000,5,FALSE),"")</f>
        <v>253</v>
      </c>
      <c r="L1282" s="301">
        <f>IFERROR(VLOOKUP(E1282,'Inventaire des produits'!$B$4:$J$1000,6,FALSE),"")</f>
        <v>7.5</v>
      </c>
      <c r="M1282" s="62"/>
    </row>
    <row r="1283" spans="2:13" x14ac:dyDescent="0.3">
      <c r="B1283" s="378" t="s">
        <v>1704</v>
      </c>
      <c r="C1283" s="341"/>
      <c r="D1283" s="338"/>
      <c r="E1283" s="235" t="s">
        <v>726</v>
      </c>
      <c r="F1283" s="271" t="str">
        <f>IFERROR(VLOOKUP(E1283,'Inventaire des produits'!$B$4:$K$1000,2,0),"")</f>
        <v>PALETTE A GLACE BLANC</v>
      </c>
      <c r="G1283" s="247">
        <v>6</v>
      </c>
      <c r="H1283" s="79">
        <v>23.3333333</v>
      </c>
      <c r="I1283" s="95">
        <f t="shared" si="44"/>
        <v>139.99999980000001</v>
      </c>
      <c r="J1283" s="95">
        <f t="shared" si="45"/>
        <v>167.99999976000001</v>
      </c>
      <c r="K1283" s="93">
        <f>IFERROR(VLOOKUP(E1283,'Inventaire des produits'!$B$4:$J$1000,5,FALSE),"")</f>
        <v>0</v>
      </c>
      <c r="L1283" s="301">
        <f>IFERROR(VLOOKUP(E1283,'Inventaire des produits'!$B$4:$J$1000,6,FALSE),"")</f>
        <v>16.03</v>
      </c>
      <c r="M1283" s="62"/>
    </row>
    <row r="1284" spans="2:13" x14ac:dyDescent="0.3">
      <c r="B1284" s="378" t="s">
        <v>1704</v>
      </c>
      <c r="C1284" s="342"/>
      <c r="D1284" s="339"/>
      <c r="E1284" s="235" t="s">
        <v>461</v>
      </c>
      <c r="F1284" s="271" t="str">
        <f>IFERROR(VLOOKUP(E1284,'Inventaire des produits'!$B$4:$K$1000,2,0),"")</f>
        <v>GOBLET 8OZ AVEC CVL</v>
      </c>
      <c r="G1284" s="247">
        <v>100</v>
      </c>
      <c r="H1284" s="79">
        <v>0.45833333333333337</v>
      </c>
      <c r="I1284" s="95">
        <f t="shared" si="44"/>
        <v>45.833333333333336</v>
      </c>
      <c r="J1284" s="95">
        <f t="shared" si="45"/>
        <v>55</v>
      </c>
      <c r="K1284" s="93">
        <f>IFERROR(VLOOKUP(E1284,'Inventaire des produits'!$B$4:$J$1000,5,FALSE),"")</f>
        <v>1900</v>
      </c>
      <c r="L1284" s="301">
        <f>IFERROR(VLOOKUP(E1284,'Inventaire des produits'!$B$4:$J$1000,6,FALSE),"")</f>
        <v>0.5</v>
      </c>
      <c r="M1284" s="62"/>
    </row>
    <row r="1285" spans="2:13" x14ac:dyDescent="0.3">
      <c r="B1285" s="378" t="s">
        <v>1704</v>
      </c>
      <c r="C1285" s="340">
        <v>45527</v>
      </c>
      <c r="D1285" s="337" t="s">
        <v>1251</v>
      </c>
      <c r="E1285" s="235" t="s">
        <v>778</v>
      </c>
      <c r="F1285" s="271" t="str">
        <f>IFERROR(VLOOKUP(E1285,'Inventaire des produits'!$B$4:$K$1000,2,0),"")</f>
        <v>POT DE SAUCE EN PLAST TRANSP 20ML</v>
      </c>
      <c r="G1285" s="247">
        <v>8000</v>
      </c>
      <c r="H1285" s="79">
        <v>6.6666666666666666E-2</v>
      </c>
      <c r="I1285" s="95">
        <f t="shared" si="44"/>
        <v>533.33333333333337</v>
      </c>
      <c r="J1285" s="95">
        <f t="shared" si="45"/>
        <v>640</v>
      </c>
      <c r="K1285" s="93">
        <f>IFERROR(VLOOKUP(E1285,'Inventaire des produits'!$B$4:$J$1000,5,FALSE),"")</f>
        <v>0</v>
      </c>
      <c r="L1285" s="301">
        <f>IFERROR(VLOOKUP(E1285,'Inventaire des produits'!$B$4:$J$1000,6,FALSE),"")</f>
        <v>8.3333333300000006E-2</v>
      </c>
      <c r="M1285" s="62">
        <f>SUM(J1285:J1295)</f>
        <v>11000.004000000001</v>
      </c>
    </row>
    <row r="1286" spans="2:13" x14ac:dyDescent="0.3">
      <c r="B1286" s="378" t="s">
        <v>1704</v>
      </c>
      <c r="C1286" s="341"/>
      <c r="D1286" s="338"/>
      <c r="E1286" s="235" t="s">
        <v>206</v>
      </c>
      <c r="F1286" s="271" t="str">
        <f>IFERROR(VLOOKUP(E1286,'Inventaire des produits'!$B$4:$K$1000,2,0),"")</f>
        <v>ESSUIE MAIN 1KG LISSE</v>
      </c>
      <c r="G1286" s="247">
        <v>10</v>
      </c>
      <c r="H1286" s="79">
        <v>27.5</v>
      </c>
      <c r="I1286" s="95">
        <f t="shared" si="44"/>
        <v>275</v>
      </c>
      <c r="J1286" s="95">
        <f t="shared" si="45"/>
        <v>330</v>
      </c>
      <c r="K1286" s="93">
        <f>IFERROR(VLOOKUP(E1286,'Inventaire des produits'!$B$4:$J$1000,5,FALSE),"")</f>
        <v>0</v>
      </c>
      <c r="L1286" s="301">
        <f>IFERROR(VLOOKUP(E1286,'Inventaire des produits'!$B$4:$J$1000,6,FALSE),"")</f>
        <v>21.25</v>
      </c>
      <c r="M1286" s="62"/>
    </row>
    <row r="1287" spans="2:13" x14ac:dyDescent="0.3">
      <c r="B1287" s="378" t="s">
        <v>1704</v>
      </c>
      <c r="C1287" s="341"/>
      <c r="D1287" s="338"/>
      <c r="E1287" s="235" t="s">
        <v>929</v>
      </c>
      <c r="F1287" s="271" t="str">
        <f>IFERROR(VLOOKUP(E1287,'Inventaire des produits'!$B$4:$K$1000,2,0),"")</f>
        <v xml:space="preserve">SERVIETTE DE TABLE </v>
      </c>
      <c r="G1287" s="247">
        <v>100</v>
      </c>
      <c r="H1287" s="79">
        <v>3.9</v>
      </c>
      <c r="I1287" s="95">
        <f t="shared" si="44"/>
        <v>390</v>
      </c>
      <c r="J1287" s="95">
        <f t="shared" si="45"/>
        <v>468</v>
      </c>
      <c r="K1287" s="93">
        <f>IFERROR(VLOOKUP(E1287,'Inventaire des produits'!$B$4:$J$1000,5,FALSE),"")</f>
        <v>0</v>
      </c>
      <c r="L1287" s="301">
        <f>IFERROR(VLOOKUP(E1287,'Inventaire des produits'!$B$4:$J$1000,6,FALSE),"")</f>
        <v>2.9169999999999998</v>
      </c>
      <c r="M1287" s="62"/>
    </row>
    <row r="1288" spans="2:13" x14ac:dyDescent="0.3">
      <c r="B1288" s="378" t="s">
        <v>1704</v>
      </c>
      <c r="C1288" s="341"/>
      <c r="D1288" s="338"/>
      <c r="E1288" s="235" t="s">
        <v>895</v>
      </c>
      <c r="F1288" s="271" t="str">
        <f>IFERROR(VLOOKUP(E1288,'Inventaire des produits'!$B$4:$K$1000,2,0),"")</f>
        <v>ROULEAU ALUMINIUM GOLDEN 200M</v>
      </c>
      <c r="G1288" s="247">
        <v>10</v>
      </c>
      <c r="H1288" s="79">
        <v>73.333333333333343</v>
      </c>
      <c r="I1288" s="95">
        <f t="shared" si="44"/>
        <v>733.33333333333348</v>
      </c>
      <c r="J1288" s="95">
        <f t="shared" si="45"/>
        <v>880.00000000000011</v>
      </c>
      <c r="K1288" s="93">
        <f>IFERROR(VLOOKUP(E1288,'Inventaire des produits'!$B$4:$J$1000,5,FALSE),"")</f>
        <v>0</v>
      </c>
      <c r="L1288" s="301">
        <f>IFERROR(VLOOKUP(E1288,'Inventaire des produits'!$B$4:$J$1000,6,FALSE),"")</f>
        <v>57.5</v>
      </c>
      <c r="M1288" s="62"/>
    </row>
    <row r="1289" spans="2:13" x14ac:dyDescent="0.3">
      <c r="B1289" s="378" t="s">
        <v>1704</v>
      </c>
      <c r="C1289" s="341"/>
      <c r="D1289" s="338"/>
      <c r="E1289" s="235" t="s">
        <v>601</v>
      </c>
      <c r="F1289" s="271" t="str">
        <f>IFERROR(VLOOKUP(E1289,'Inventaire des produits'!$B$4:$K$1000,2,0),"")</f>
        <v>FILM ALIMENTAIRE VIOLET 280MM 500GR</v>
      </c>
      <c r="G1289" s="247">
        <v>30</v>
      </c>
      <c r="H1289" s="79">
        <v>27.5</v>
      </c>
      <c r="I1289" s="95">
        <f t="shared" si="44"/>
        <v>825</v>
      </c>
      <c r="J1289" s="95">
        <f t="shared" si="45"/>
        <v>990</v>
      </c>
      <c r="K1289" s="93">
        <f>IFERROR(VLOOKUP(E1289,'Inventaire des produits'!$B$4:$J$1000,5,FALSE),"")</f>
        <v>0</v>
      </c>
      <c r="L1289" s="301">
        <f>IFERROR(VLOOKUP(E1289,'Inventaire des produits'!$B$4:$J$1000,6,FALSE),"")</f>
        <v>29.17</v>
      </c>
      <c r="M1289" s="62"/>
    </row>
    <row r="1290" spans="2:13" x14ac:dyDescent="0.3">
      <c r="B1290" s="378" t="s">
        <v>1704</v>
      </c>
      <c r="C1290" s="341"/>
      <c r="D1290" s="338"/>
      <c r="E1290" s="235" t="s">
        <v>869</v>
      </c>
      <c r="F1290" s="271" t="str">
        <f>IFERROR(VLOOKUP(E1290,'Inventaire des produits'!$B$4:$K$1000,2,0),"")</f>
        <v>PAILLE ENVELOPPEE CODE 100 TRANS</v>
      </c>
      <c r="G1290" s="247">
        <v>25</v>
      </c>
      <c r="H1290" s="79">
        <v>6.666666666666667</v>
      </c>
      <c r="I1290" s="95">
        <f t="shared" si="44"/>
        <v>166.66666666666669</v>
      </c>
      <c r="J1290" s="95">
        <f t="shared" si="45"/>
        <v>200.00000000000003</v>
      </c>
      <c r="K1290" s="93">
        <f>IFERROR(VLOOKUP(E1290,'Inventaire des produits'!$B$4:$J$1000,5,FALSE),"")</f>
        <v>898</v>
      </c>
      <c r="L1290" s="301">
        <f>IFERROR(VLOOKUP(E1290,'Inventaire des produits'!$B$4:$J$1000,6,FALSE),"")</f>
        <v>3.9166666659999998</v>
      </c>
      <c r="M1290" s="62"/>
    </row>
    <row r="1291" spans="2:13" x14ac:dyDescent="0.3">
      <c r="B1291" s="378" t="s">
        <v>1704</v>
      </c>
      <c r="C1291" s="341"/>
      <c r="D1291" s="338"/>
      <c r="E1291" s="235" t="s">
        <v>788</v>
      </c>
      <c r="F1291" s="271" t="str">
        <f>IFERROR(VLOOKUP(E1291,'Inventaire des produits'!$B$4:$K$1000,2,0),"")</f>
        <v>BARQUETTE ALUMINIUM 83670</v>
      </c>
      <c r="G1291" s="247">
        <v>2000</v>
      </c>
      <c r="H1291" s="79">
        <v>0.66666666666666674</v>
      </c>
      <c r="I1291" s="95">
        <f t="shared" si="44"/>
        <v>1333.3333333333335</v>
      </c>
      <c r="J1291" s="95">
        <f t="shared" si="45"/>
        <v>1600.0000000000002</v>
      </c>
      <c r="K1291" s="93">
        <f>IFERROR(VLOOKUP(E1291,'Inventaire des produits'!$B$4:$J$1000,5,FALSE),"")</f>
        <v>0</v>
      </c>
      <c r="L1291" s="301">
        <f>IFERROR(VLOOKUP(E1291,'Inventaire des produits'!$B$4:$J$1000,6,FALSE),"")</f>
        <v>0.54</v>
      </c>
      <c r="M1291" s="62"/>
    </row>
    <row r="1292" spans="2:13" x14ac:dyDescent="0.3">
      <c r="B1292" s="378" t="s">
        <v>1704</v>
      </c>
      <c r="C1292" s="341"/>
      <c r="D1292" s="338"/>
      <c r="E1292" s="235" t="s">
        <v>779</v>
      </c>
      <c r="F1292" s="271" t="str">
        <f>IFERROR(VLOOKUP(E1292,'Inventaire des produits'!$B$4:$K$1000,2,0),"")</f>
        <v>BARQUETTE ALUMINIUM 83420</v>
      </c>
      <c r="G1292" s="247">
        <v>5000</v>
      </c>
      <c r="H1292" s="79">
        <v>0.41666666666666669</v>
      </c>
      <c r="I1292" s="95">
        <f t="shared" si="44"/>
        <v>2083.3333333333335</v>
      </c>
      <c r="J1292" s="95">
        <f t="shared" si="45"/>
        <v>2500</v>
      </c>
      <c r="K1292" s="93">
        <f>IFERROR(VLOOKUP(E1292,'Inventaire des produits'!$B$4:$J$1000,5,FALSE),"")</f>
        <v>0</v>
      </c>
      <c r="L1292" s="301">
        <f>IFERROR(VLOOKUP(E1292,'Inventaire des produits'!$B$4:$J$1000,6,FALSE),"")</f>
        <v>0.30833333330000001</v>
      </c>
      <c r="M1292" s="62"/>
    </row>
    <row r="1293" spans="2:13" x14ac:dyDescent="0.3">
      <c r="B1293" s="378" t="s">
        <v>1704</v>
      </c>
      <c r="C1293" s="341"/>
      <c r="D1293" s="338"/>
      <c r="E1293" s="235" t="s">
        <v>1149</v>
      </c>
      <c r="F1293" s="271" t="str">
        <f>IFERROR(VLOOKUP(E1293,'Inventaire des produits'!$B$4:$K$1000,2,0),"")</f>
        <v>ROULEAU DE CAISSE THERMIQUE 80X80</v>
      </c>
      <c r="G1293" s="247">
        <v>50</v>
      </c>
      <c r="H1293" s="79">
        <v>8.3333333333333339</v>
      </c>
      <c r="I1293" s="95">
        <f t="shared" si="44"/>
        <v>416.66666666666669</v>
      </c>
      <c r="J1293" s="95">
        <f t="shared" si="45"/>
        <v>500</v>
      </c>
      <c r="K1293" s="93">
        <f>IFERROR(VLOOKUP(E1293,'Inventaire des produits'!$B$4:$J$1000,5,FALSE),"")</f>
        <v>253</v>
      </c>
      <c r="L1293" s="301">
        <f>IFERROR(VLOOKUP(E1293,'Inventaire des produits'!$B$4:$J$1000,6,FALSE),"")</f>
        <v>7.5</v>
      </c>
      <c r="M1293" s="62"/>
    </row>
    <row r="1294" spans="2:13" x14ac:dyDescent="0.3">
      <c r="B1294" s="378" t="s">
        <v>1704</v>
      </c>
      <c r="C1294" s="341"/>
      <c r="D1294" s="338"/>
      <c r="E1294" s="235" t="s">
        <v>1105</v>
      </c>
      <c r="F1294" s="271" t="str">
        <f>IFERROR(VLOOKUP(E1294,'Inventaire des produits'!$B$4:$K$1000,2,0),"")</f>
        <v>BARQUETTE TRAITEUR 750CC MICRON ONDABLE TRANS</v>
      </c>
      <c r="G1294" s="247">
        <v>1000</v>
      </c>
      <c r="H1294" s="79">
        <v>1.58667</v>
      </c>
      <c r="I1294" s="95">
        <f t="shared" si="44"/>
        <v>1586.67</v>
      </c>
      <c r="J1294" s="95">
        <f t="shared" si="45"/>
        <v>1904.0039999999999</v>
      </c>
      <c r="K1294" s="93">
        <f>IFERROR(VLOOKUP(E1294,'Inventaire des produits'!$B$4:$J$1000,5,FALSE),"")</f>
        <v>0</v>
      </c>
      <c r="L1294" s="301">
        <f>IFERROR(VLOOKUP(E1294,'Inventaire des produits'!$B$4:$J$1000,6,FALSE),"")</f>
        <v>1.0508333333333333</v>
      </c>
      <c r="M1294" s="62"/>
    </row>
    <row r="1295" spans="2:13" x14ac:dyDescent="0.3">
      <c r="B1295" s="378" t="s">
        <v>1704</v>
      </c>
      <c r="C1295" s="342"/>
      <c r="D1295" s="339"/>
      <c r="E1295" s="235" t="s">
        <v>553</v>
      </c>
      <c r="F1295" s="271" t="str">
        <f>IFERROR(VLOOKUP(E1295,'Inventaire des produits'!$B$4:$K$1000,2,0),"")</f>
        <v>FOURCHETTE ECOLUXE TRANSPARENTE</v>
      </c>
      <c r="G1295" s="247">
        <v>38</v>
      </c>
      <c r="H1295" s="79">
        <v>21.666666666666668</v>
      </c>
      <c r="I1295" s="95">
        <f t="shared" si="44"/>
        <v>823.33333333333337</v>
      </c>
      <c r="J1295" s="95">
        <f t="shared" si="45"/>
        <v>988</v>
      </c>
      <c r="K1295" s="93">
        <f>IFERROR(VLOOKUP(E1295,'Inventaire des produits'!$B$4:$J$1000,5,FALSE),"")</f>
        <v>0</v>
      </c>
      <c r="L1295" s="301">
        <f>IFERROR(VLOOKUP(E1295,'Inventaire des produits'!$B$4:$J$1000,6,FALSE),"")</f>
        <v>17.5</v>
      </c>
      <c r="M1295" s="62"/>
    </row>
    <row r="1296" spans="2:13" x14ac:dyDescent="0.3">
      <c r="B1296" s="378" t="s">
        <v>1704</v>
      </c>
      <c r="C1296" s="340">
        <v>45528</v>
      </c>
      <c r="D1296" s="337" t="s">
        <v>1252</v>
      </c>
      <c r="E1296" s="235" t="s">
        <v>246</v>
      </c>
      <c r="F1296" s="271" t="str">
        <f>IFERROR(VLOOKUP(E1296,'Inventaire des produits'!$B$4:$K$1000,2,0),"")</f>
        <v>GOBLET 4OZ AVEC CVL</v>
      </c>
      <c r="G1296" s="247">
        <v>500</v>
      </c>
      <c r="H1296" s="79">
        <v>0.27</v>
      </c>
      <c r="I1296" s="95">
        <f t="shared" si="44"/>
        <v>135</v>
      </c>
      <c r="J1296" s="95">
        <f t="shared" si="45"/>
        <v>162</v>
      </c>
      <c r="K1296" s="93">
        <f>IFERROR(VLOOKUP(E1296,'Inventaire des produits'!$B$4:$J$1000,5,FALSE),"")</f>
        <v>0</v>
      </c>
      <c r="L1296" s="301">
        <f>IFERROR(VLOOKUP(E1296,'Inventaire des produits'!$B$4:$J$1000,6,FALSE),"")</f>
        <v>0.2</v>
      </c>
      <c r="M1296" s="62">
        <f>SUM(J1296:J1301)</f>
        <v>795.00400000000002</v>
      </c>
    </row>
    <row r="1297" spans="2:13" x14ac:dyDescent="0.3">
      <c r="B1297" s="378" t="s">
        <v>1704</v>
      </c>
      <c r="C1297" s="341"/>
      <c r="D1297" s="338"/>
      <c r="E1297" s="235" t="s">
        <v>172</v>
      </c>
      <c r="F1297" s="271" t="str">
        <f>IFERROR(VLOOKUP(E1297,'Inventaire des produits'!$B$4:$K$1000,2,0),"")</f>
        <v>CVL GOBLET 4OZ BLANC BON APETIT</v>
      </c>
      <c r="G1297" s="247">
        <v>500</v>
      </c>
      <c r="H1297" s="79">
        <v>0.12</v>
      </c>
      <c r="I1297" s="95">
        <f t="shared" si="44"/>
        <v>60</v>
      </c>
      <c r="J1297" s="95">
        <f t="shared" si="45"/>
        <v>72</v>
      </c>
      <c r="K1297" s="93">
        <f>IFERROR(VLOOKUP(E1297,'Inventaire des produits'!$B$4:$J$1000,5,FALSE),"")</f>
        <v>0</v>
      </c>
      <c r="L1297" s="301">
        <f>IFERROR(VLOOKUP(E1297,'Inventaire des produits'!$B$4:$J$1000,6,FALSE),"")</f>
        <v>9.1874999999999998E-2</v>
      </c>
      <c r="M1297" s="62"/>
    </row>
    <row r="1298" spans="2:13" x14ac:dyDescent="0.3">
      <c r="B1298" s="378" t="s">
        <v>1704</v>
      </c>
      <c r="C1298" s="341"/>
      <c r="D1298" s="338"/>
      <c r="E1298" s="235" t="s">
        <v>403</v>
      </c>
      <c r="F1298" s="271" t="str">
        <f>IFERROR(VLOOKUP(E1298,'Inventaire des produits'!$B$4:$K$1000,2,0),"")</f>
        <v>GOBLET 4OZ SANS CVL EN CARTON BON APETIT ECO GB</v>
      </c>
      <c r="G1298" s="247">
        <v>500</v>
      </c>
      <c r="H1298" s="79">
        <v>0.19</v>
      </c>
      <c r="I1298" s="95">
        <f t="shared" si="44"/>
        <v>95</v>
      </c>
      <c r="J1298" s="95">
        <f t="shared" si="45"/>
        <v>114</v>
      </c>
      <c r="K1298" s="93">
        <f>IFERROR(VLOOKUP(E1298,'Inventaire des produits'!$B$4:$J$1000,5,FALSE),"")</f>
        <v>0</v>
      </c>
      <c r="L1298" s="301">
        <f>IFERROR(VLOOKUP(E1298,'Inventaire des produits'!$B$4:$J$1000,6,FALSE),"")</f>
        <v>8.3375000000000005E-2</v>
      </c>
      <c r="M1298" s="62"/>
    </row>
    <row r="1299" spans="2:13" x14ac:dyDescent="0.3">
      <c r="B1299" s="378" t="s">
        <v>1704</v>
      </c>
      <c r="C1299" s="341"/>
      <c r="D1299" s="338"/>
      <c r="E1299" s="235" t="s">
        <v>404</v>
      </c>
      <c r="F1299" s="271" t="str">
        <f>IFERROR(VLOOKUP(E1299,'Inventaire des produits'!$B$4:$K$1000,2,0),"")</f>
        <v>CVL GOBLET 4OZ BLANC BON APETIT</v>
      </c>
      <c r="G1299" s="247">
        <v>500</v>
      </c>
      <c r="H1299" s="79">
        <v>0.18834000000000001</v>
      </c>
      <c r="I1299" s="95">
        <f t="shared" si="44"/>
        <v>94.17</v>
      </c>
      <c r="J1299" s="95">
        <f t="shared" si="45"/>
        <v>113.004</v>
      </c>
      <c r="K1299" s="93">
        <f>IFERROR(VLOOKUP(E1299,'Inventaire des produits'!$B$4:$J$1000,5,FALSE),"")</f>
        <v>0</v>
      </c>
      <c r="L1299" s="301">
        <f>IFERROR(VLOOKUP(E1299,'Inventaire des produits'!$B$4:$J$1000,6,FALSE),"")</f>
        <v>8.3375000000000005E-2</v>
      </c>
      <c r="M1299" s="62"/>
    </row>
    <row r="1300" spans="2:13" x14ac:dyDescent="0.3">
      <c r="B1300" s="378" t="s">
        <v>1704</v>
      </c>
      <c r="C1300" s="341"/>
      <c r="D1300" s="338"/>
      <c r="E1300" s="235" t="s">
        <v>158</v>
      </c>
      <c r="F1300" s="271" t="str">
        <f>IFERROR(VLOOKUP(E1300,'Inventaire des produits'!$B$4:$K$1000,2,0),"")</f>
        <v>CUILLERE PETIT</v>
      </c>
      <c r="G1300" s="247">
        <v>2600</v>
      </c>
      <c r="H1300" s="79">
        <v>7.4999999999999997E-2</v>
      </c>
      <c r="I1300" s="95">
        <f t="shared" si="44"/>
        <v>195</v>
      </c>
      <c r="J1300" s="95">
        <f t="shared" si="45"/>
        <v>234</v>
      </c>
      <c r="K1300" s="93">
        <f>IFERROR(VLOOKUP(E1300,'Inventaire des produits'!$B$4:$J$1000,5,FALSE),"")</f>
        <v>0</v>
      </c>
      <c r="L1300" s="301">
        <f>IFERROR(VLOOKUP(E1300,'Inventaire des produits'!$B$4:$J$1000,6,FALSE),"")</f>
        <v>5.8329499999999999E-2</v>
      </c>
      <c r="M1300" s="62"/>
    </row>
    <row r="1301" spans="2:13" x14ac:dyDescent="0.3">
      <c r="B1301" s="378" t="s">
        <v>1704</v>
      </c>
      <c r="C1301" s="341"/>
      <c r="D1301" s="338"/>
      <c r="E1301" s="235" t="s">
        <v>869</v>
      </c>
      <c r="F1301" s="271" t="str">
        <f>IFERROR(VLOOKUP(E1301,'Inventaire des produits'!$B$4:$K$1000,2,0),"")</f>
        <v>PAILLE ENVELOPPEE CODE 100 TRANS</v>
      </c>
      <c r="G1301" s="247">
        <v>10</v>
      </c>
      <c r="H1301" s="79">
        <v>8.3333333333333339</v>
      </c>
      <c r="I1301" s="95">
        <f t="shared" si="44"/>
        <v>83.333333333333343</v>
      </c>
      <c r="J1301" s="95">
        <f t="shared" si="45"/>
        <v>100.00000000000001</v>
      </c>
      <c r="K1301" s="93">
        <f>IFERROR(VLOOKUP(E1301,'Inventaire des produits'!$B$4:$J$1000,5,FALSE),"")</f>
        <v>898</v>
      </c>
      <c r="L1301" s="301">
        <f>IFERROR(VLOOKUP(E1301,'Inventaire des produits'!$B$4:$J$1000,6,FALSE),"")</f>
        <v>3.9166666659999998</v>
      </c>
      <c r="M1301" s="62"/>
    </row>
    <row r="1302" spans="2:13" x14ac:dyDescent="0.3">
      <c r="B1302" s="378" t="s">
        <v>1704</v>
      </c>
      <c r="C1302" s="340">
        <v>45528</v>
      </c>
      <c r="D1302" s="337" t="s">
        <v>1273</v>
      </c>
      <c r="E1302" s="235" t="s">
        <v>894</v>
      </c>
      <c r="F1302" s="271" t="str">
        <f>IFERROR(VLOOKUP(E1302,'Inventaire des produits'!$B$4:$K$1000,2,0),"")</f>
        <v>COQUILLE MEAL BOX 2 COMP BLANC</v>
      </c>
      <c r="G1302" s="247">
        <v>2100</v>
      </c>
      <c r="H1302" s="79">
        <v>1.0414600000000001</v>
      </c>
      <c r="I1302" s="95">
        <f t="shared" si="44"/>
        <v>2187.0660000000003</v>
      </c>
      <c r="J1302" s="95">
        <f t="shared" si="45"/>
        <v>2624.4792000000002</v>
      </c>
      <c r="K1302" s="93">
        <f>IFERROR(VLOOKUP(E1302,'Inventaire des produits'!$B$4:$J$1000,5,FALSE),"")</f>
        <v>0</v>
      </c>
      <c r="L1302" s="301">
        <f>IFERROR(VLOOKUP(E1302,'Inventaire des produits'!$B$4:$J$1000,6,FALSE),"")</f>
        <v>0.91666666669999997</v>
      </c>
      <c r="M1302" s="62">
        <f>SUM(J1302:J1312)</f>
        <v>8705.0031999999992</v>
      </c>
    </row>
    <row r="1303" spans="2:13" x14ac:dyDescent="0.3">
      <c r="B1303" s="378" t="s">
        <v>1704</v>
      </c>
      <c r="C1303" s="341"/>
      <c r="D1303" s="338"/>
      <c r="E1303" s="235" t="s">
        <v>1256</v>
      </c>
      <c r="F1303" s="271" t="str">
        <f>IFERROR(VLOOKUP(E1303,'Inventaire des produits'!$B$4:$K$1000,2,0),"")</f>
        <v>BARQUETTE ALUMINIUM 831200</v>
      </c>
      <c r="G1303" s="247">
        <v>400</v>
      </c>
      <c r="H1303" s="79">
        <v>1.1499999999999999</v>
      </c>
      <c r="I1303" s="95">
        <f t="shared" si="44"/>
        <v>459.99999999999994</v>
      </c>
      <c r="J1303" s="95">
        <f t="shared" si="45"/>
        <v>551.99999999999989</v>
      </c>
      <c r="K1303" s="93">
        <f>IFERROR(VLOOKUP(E1303,'Inventaire des produits'!$B$4:$J$1000,5,FALSE),"")</f>
        <v>0</v>
      </c>
      <c r="L1303" s="301">
        <f>IFERROR(VLOOKUP(E1303,'Inventaire des produits'!$B$4:$J$1000,6,FALSE),"")</f>
        <v>1</v>
      </c>
      <c r="M1303" s="62"/>
    </row>
    <row r="1304" spans="2:13" x14ac:dyDescent="0.3">
      <c r="B1304" s="378" t="s">
        <v>1704</v>
      </c>
      <c r="C1304" s="341"/>
      <c r="D1304" s="338"/>
      <c r="E1304" s="235" t="s">
        <v>640</v>
      </c>
      <c r="F1304" s="271" t="str">
        <f>IFERROR(VLOOKUP(E1304,'Inventaire des produits'!$B$4:$K$1000,2,0),"")</f>
        <v>BARQUETTE TRAITEUR 500CC MICRON-ONDABLE TRANS</v>
      </c>
      <c r="G1304" s="247">
        <v>50</v>
      </c>
      <c r="H1304" s="79">
        <v>1.2083333333333299</v>
      </c>
      <c r="I1304" s="95">
        <f t="shared" si="44"/>
        <v>60.416666666666494</v>
      </c>
      <c r="J1304" s="95">
        <f t="shared" si="45"/>
        <v>72.499999999999787</v>
      </c>
      <c r="K1304" s="93">
        <f>IFERROR(VLOOKUP(E1304,'Inventaire des produits'!$B$4:$J$1000,5,FALSE),"")</f>
        <v>0</v>
      </c>
      <c r="L1304" s="301">
        <f>IFERROR(VLOOKUP(E1304,'Inventaire des produits'!$B$4:$J$1000,6,FALSE),"")</f>
        <v>1.125</v>
      </c>
      <c r="M1304" s="62"/>
    </row>
    <row r="1305" spans="2:13" x14ac:dyDescent="0.3">
      <c r="B1305" s="378" t="s">
        <v>1704</v>
      </c>
      <c r="C1305" s="341"/>
      <c r="D1305" s="338"/>
      <c r="E1305" s="235" t="s">
        <v>652</v>
      </c>
      <c r="F1305" s="271" t="str">
        <f>IFERROR(VLOOKUP(E1305,'Inventaire des produits'!$B$4:$K$1000,2,0),"")</f>
        <v>BARQUETTE TRAITEUR 500CC MICRON-ONDABLE TRANS</v>
      </c>
      <c r="G1305" s="247">
        <v>250</v>
      </c>
      <c r="H1305" s="79">
        <v>1.2083333333333333</v>
      </c>
      <c r="I1305" s="95">
        <f t="shared" si="44"/>
        <v>302.08333333333331</v>
      </c>
      <c r="J1305" s="95">
        <f t="shared" si="45"/>
        <v>362.49999999999994</v>
      </c>
      <c r="K1305" s="93">
        <f>IFERROR(VLOOKUP(E1305,'Inventaire des produits'!$B$4:$J$1000,5,FALSE),"")</f>
        <v>0</v>
      </c>
      <c r="L1305" s="301">
        <f>IFERROR(VLOOKUP(E1305,'Inventaire des produits'!$B$4:$J$1000,6,FALSE),"")</f>
        <v>1.1666666666700001</v>
      </c>
      <c r="M1305" s="62"/>
    </row>
    <row r="1306" spans="2:13" x14ac:dyDescent="0.3">
      <c r="B1306" s="378" t="s">
        <v>1704</v>
      </c>
      <c r="C1306" s="341"/>
      <c r="D1306" s="338"/>
      <c r="E1306" s="235" t="s">
        <v>779</v>
      </c>
      <c r="F1306" s="271" t="str">
        <f>IFERROR(VLOOKUP(E1306,'Inventaire des produits'!$B$4:$K$1000,2,0),"")</f>
        <v>BARQUETTE ALUMINIUM 83420</v>
      </c>
      <c r="G1306" s="247">
        <v>2500</v>
      </c>
      <c r="H1306" s="79">
        <v>0.45833333333333298</v>
      </c>
      <c r="I1306" s="95">
        <f t="shared" si="44"/>
        <v>1145.8333333333323</v>
      </c>
      <c r="J1306" s="95">
        <f t="shared" si="45"/>
        <v>1374.9999999999989</v>
      </c>
      <c r="K1306" s="93">
        <f>IFERROR(VLOOKUP(E1306,'Inventaire des produits'!$B$4:$J$1000,5,FALSE),"")</f>
        <v>0</v>
      </c>
      <c r="L1306" s="301">
        <f>IFERROR(VLOOKUP(E1306,'Inventaire des produits'!$B$4:$J$1000,6,FALSE),"")</f>
        <v>0.30833333330000001</v>
      </c>
      <c r="M1306" s="62"/>
    </row>
    <row r="1307" spans="2:13" x14ac:dyDescent="0.3">
      <c r="B1307" s="378" t="s">
        <v>1704</v>
      </c>
      <c r="C1307" s="341"/>
      <c r="D1307" s="338"/>
      <c r="E1307" s="235" t="s">
        <v>869</v>
      </c>
      <c r="F1307" s="271" t="str">
        <f>IFERROR(VLOOKUP(E1307,'Inventaire des produits'!$B$4:$K$1000,2,0),"")</f>
        <v>PAILLE ENVELOPPEE CODE 100 TRANS</v>
      </c>
      <c r="G1307" s="247">
        <v>13</v>
      </c>
      <c r="H1307" s="79">
        <v>6.25</v>
      </c>
      <c r="I1307" s="95">
        <f t="shared" si="44"/>
        <v>81.25</v>
      </c>
      <c r="J1307" s="95">
        <f t="shared" si="45"/>
        <v>97.5</v>
      </c>
      <c r="K1307" s="93">
        <f>IFERROR(VLOOKUP(E1307,'Inventaire des produits'!$B$4:$J$1000,5,FALSE),"")</f>
        <v>898</v>
      </c>
      <c r="L1307" s="301">
        <f>IFERROR(VLOOKUP(E1307,'Inventaire des produits'!$B$4:$J$1000,6,FALSE),"")</f>
        <v>3.9166666659999998</v>
      </c>
      <c r="M1307" s="62"/>
    </row>
    <row r="1308" spans="2:13" x14ac:dyDescent="0.3">
      <c r="B1308" s="378" t="s">
        <v>1704</v>
      </c>
      <c r="C1308" s="341"/>
      <c r="D1308" s="338"/>
      <c r="E1308" s="235" t="s">
        <v>571</v>
      </c>
      <c r="F1308" s="271" t="str">
        <f>IFERROR(VLOOKUP(E1308,'Inventaire des produits'!$B$4:$K$1000,2,0),"")</f>
        <v>GOBLET 14OZ COCKTAIL SMART +CVBB</v>
      </c>
      <c r="G1308" s="247">
        <v>1000</v>
      </c>
      <c r="H1308" s="79">
        <v>0.62751999999999997</v>
      </c>
      <c r="I1308" s="95">
        <f t="shared" si="44"/>
        <v>627.52</v>
      </c>
      <c r="J1308" s="95">
        <f t="shared" si="45"/>
        <v>753.024</v>
      </c>
      <c r="K1308" s="93">
        <f>IFERROR(VLOOKUP(E1308,'Inventaire des produits'!$B$4:$J$1000,5,FALSE),"")</f>
        <v>0</v>
      </c>
      <c r="L1308" s="301">
        <f>IFERROR(VLOOKUP(E1308,'Inventaire des produits'!$B$4:$J$1000,6,FALSE),"")</f>
        <v>0.52</v>
      </c>
      <c r="M1308" s="62"/>
    </row>
    <row r="1309" spans="2:13" x14ac:dyDescent="0.3">
      <c r="B1309" s="378" t="s">
        <v>1704</v>
      </c>
      <c r="C1309" s="341"/>
      <c r="D1309" s="338"/>
      <c r="E1309" s="235" t="s">
        <v>895</v>
      </c>
      <c r="F1309" s="271" t="str">
        <f>IFERROR(VLOOKUP(E1309,'Inventaire des produits'!$B$4:$K$1000,2,0),"")</f>
        <v>ROULEAU ALUMINIUM GOLDEN 200M</v>
      </c>
      <c r="G1309" s="247">
        <v>12</v>
      </c>
      <c r="H1309" s="79">
        <v>65</v>
      </c>
      <c r="I1309" s="95">
        <f t="shared" si="44"/>
        <v>780</v>
      </c>
      <c r="J1309" s="95">
        <f t="shared" si="45"/>
        <v>936</v>
      </c>
      <c r="K1309" s="93">
        <f>IFERROR(VLOOKUP(E1309,'Inventaire des produits'!$B$4:$J$1000,5,FALSE),"")</f>
        <v>0</v>
      </c>
      <c r="L1309" s="301">
        <f>IFERROR(VLOOKUP(E1309,'Inventaire des produits'!$B$4:$J$1000,6,FALSE),"")</f>
        <v>57.5</v>
      </c>
      <c r="M1309" s="62"/>
    </row>
    <row r="1310" spans="2:13" x14ac:dyDescent="0.3">
      <c r="B1310" s="378" t="s">
        <v>1704</v>
      </c>
      <c r="C1310" s="341"/>
      <c r="D1310" s="338"/>
      <c r="E1310" s="235" t="s">
        <v>601</v>
      </c>
      <c r="F1310" s="271" t="str">
        <f>IFERROR(VLOOKUP(E1310,'Inventaire des produits'!$B$4:$K$1000,2,0),"")</f>
        <v>FILM ALIMENTAIRE VIOLET 280MM 500GR</v>
      </c>
      <c r="G1310" s="247">
        <v>24</v>
      </c>
      <c r="H1310" s="79">
        <v>30</v>
      </c>
      <c r="I1310" s="95">
        <f t="shared" si="44"/>
        <v>720</v>
      </c>
      <c r="J1310" s="95">
        <f t="shared" si="45"/>
        <v>864</v>
      </c>
      <c r="K1310" s="93">
        <f>IFERROR(VLOOKUP(E1310,'Inventaire des produits'!$B$4:$J$1000,5,FALSE),"")</f>
        <v>0</v>
      </c>
      <c r="L1310" s="301">
        <f>IFERROR(VLOOKUP(E1310,'Inventaire des produits'!$B$4:$J$1000,6,FALSE),"")</f>
        <v>29.17</v>
      </c>
      <c r="M1310" s="62"/>
    </row>
    <row r="1311" spans="2:13" x14ac:dyDescent="0.3">
      <c r="B1311" s="378" t="s">
        <v>1704</v>
      </c>
      <c r="C1311" s="341"/>
      <c r="D1311" s="338"/>
      <c r="E1311" s="235" t="s">
        <v>1097</v>
      </c>
      <c r="F1311" s="271" t="str">
        <f>IFERROR(VLOOKUP(E1311,'Inventaire des produits'!$B$4:$K$1000,2,0),"")</f>
        <v>POT DE SAUCE EN PLAST TRANSP 20ML</v>
      </c>
      <c r="G1311" s="247">
        <v>3000</v>
      </c>
      <c r="H1311" s="79">
        <v>6.6666666666666666E-2</v>
      </c>
      <c r="I1311" s="95">
        <f t="shared" si="44"/>
        <v>200</v>
      </c>
      <c r="J1311" s="95">
        <f t="shared" si="45"/>
        <v>240</v>
      </c>
      <c r="K1311" s="93">
        <f>IFERROR(VLOOKUP(E1311,'Inventaire des produits'!$B$4:$J$1000,5,FALSE),"")</f>
        <v>0</v>
      </c>
      <c r="L1311" s="301">
        <f>IFERROR(VLOOKUP(E1311,'Inventaire des produits'!$B$4:$J$1000,6,FALSE),"")</f>
        <v>8.9166666666666672E-2</v>
      </c>
      <c r="M1311" s="62"/>
    </row>
    <row r="1312" spans="2:13" x14ac:dyDescent="0.3">
      <c r="B1312" s="378" t="s">
        <v>1704</v>
      </c>
      <c r="C1312" s="342"/>
      <c r="D1312" s="339"/>
      <c r="E1312" s="235" t="s">
        <v>206</v>
      </c>
      <c r="F1312" s="271" t="str">
        <f>IFERROR(VLOOKUP(E1312,'Inventaire des produits'!$B$4:$K$1000,2,0),"")</f>
        <v>ESSUIE MAIN 1KG LISSE</v>
      </c>
      <c r="G1312" s="247">
        <v>23</v>
      </c>
      <c r="H1312" s="79">
        <v>30</v>
      </c>
      <c r="I1312" s="95">
        <f t="shared" si="44"/>
        <v>690</v>
      </c>
      <c r="J1312" s="95">
        <f t="shared" si="45"/>
        <v>828</v>
      </c>
      <c r="K1312" s="93">
        <f>IFERROR(VLOOKUP(E1312,'Inventaire des produits'!$B$4:$J$1000,5,FALSE),"")</f>
        <v>0</v>
      </c>
      <c r="L1312" s="301">
        <f>IFERROR(VLOOKUP(E1312,'Inventaire des produits'!$B$4:$J$1000,6,FALSE),"")</f>
        <v>21.25</v>
      </c>
      <c r="M1312" s="62"/>
    </row>
    <row r="1313" spans="2:13" x14ac:dyDescent="0.3">
      <c r="B1313" s="378" t="s">
        <v>1704</v>
      </c>
      <c r="C1313" s="340">
        <v>45530</v>
      </c>
      <c r="D1313" s="337" t="s">
        <v>1275</v>
      </c>
      <c r="E1313" s="235" t="s">
        <v>1190</v>
      </c>
      <c r="F1313" s="271" t="str">
        <f>IFERROR(VLOOKUP(E1313,'Inventaire des produits'!$B$4:$K$1000,2,0),"")</f>
        <v>GOBLET 12OZ EN PLAST TRANS SMART AVEC CVL PLAT</v>
      </c>
      <c r="G1313" s="247">
        <v>1000</v>
      </c>
      <c r="H1313" s="79">
        <f>0.75/1.2</f>
        <v>0.625</v>
      </c>
      <c r="I1313" s="95">
        <f t="shared" si="44"/>
        <v>625</v>
      </c>
      <c r="J1313" s="95">
        <f t="shared" si="45"/>
        <v>750</v>
      </c>
      <c r="K1313" s="93">
        <f>IFERROR(VLOOKUP(E1313,'Inventaire des produits'!$B$4:$J$1000,5,FALSE),"")</f>
        <v>0</v>
      </c>
      <c r="L1313" s="301">
        <f>IFERROR(VLOOKUP(E1313,'Inventaire des produits'!$B$4:$J$1000,6,FALSE),"")</f>
        <v>0.55555833333333338</v>
      </c>
      <c r="M1313" s="62">
        <v>2800</v>
      </c>
    </row>
    <row r="1314" spans="2:13" x14ac:dyDescent="0.3">
      <c r="B1314" s="378" t="s">
        <v>1704</v>
      </c>
      <c r="C1314" s="342"/>
      <c r="D1314" s="339"/>
      <c r="E1314" s="240" t="s">
        <v>1162</v>
      </c>
      <c r="F1314" s="271" t="str">
        <f>IFERROR(VLOOKUP(E1314,'Inventaire des produits'!$B$4:$K$1000,2,0),"")</f>
        <v>BOITE PIZZA N°40</v>
      </c>
      <c r="G1314" s="247">
        <v>500</v>
      </c>
      <c r="H1314" s="79">
        <v>3.4166666666666665</v>
      </c>
      <c r="I1314" s="95">
        <f t="shared" si="44"/>
        <v>1708.3333333333333</v>
      </c>
      <c r="J1314" s="95">
        <f t="shared" si="45"/>
        <v>2050</v>
      </c>
      <c r="K1314" s="93">
        <f>IFERROR(VLOOKUP(E1314,'Inventaire des produits'!$B$4:$J$1000,5,FALSE),"")</f>
        <v>0</v>
      </c>
      <c r="L1314" s="301">
        <f>IFERROR(VLOOKUP(E1314,'Inventaire des produits'!$B$4:$J$1000,6,FALSE),"")</f>
        <v>2.78</v>
      </c>
      <c r="M1314" s="62"/>
    </row>
    <row r="1315" spans="2:13" x14ac:dyDescent="0.3">
      <c r="B1315" s="378" t="s">
        <v>1704</v>
      </c>
      <c r="C1315" s="340">
        <v>45531</v>
      </c>
      <c r="D1315" s="337" t="s">
        <v>1276</v>
      </c>
      <c r="E1315" s="235" t="s">
        <v>1257</v>
      </c>
      <c r="F1315" s="271" t="str">
        <f>IFERROR(VLOOKUP(E1315,'Inventaire des produits'!$B$4:$K$1000,2,0),"")</f>
        <v>GOBLET 16OZ TRSP SMART +CV BB</v>
      </c>
      <c r="G1315" s="247">
        <v>800</v>
      </c>
      <c r="H1315" s="79">
        <v>0.8125</v>
      </c>
      <c r="I1315" s="95">
        <f t="shared" si="44"/>
        <v>650</v>
      </c>
      <c r="J1315" s="95">
        <f t="shared" si="45"/>
        <v>780</v>
      </c>
      <c r="K1315" s="93">
        <f>IFERROR(VLOOKUP(E1315,'Inventaire des produits'!$B$4:$J$1000,5,FALSE),"")</f>
        <v>200</v>
      </c>
      <c r="L1315" s="301">
        <f>IFERROR(VLOOKUP(E1315,'Inventaire des produits'!$B$4:$J$1000,6,FALSE),"")</f>
        <v>0.52</v>
      </c>
      <c r="M1315" s="62">
        <f>SUM(J1315:J1316)</f>
        <v>960</v>
      </c>
    </row>
    <row r="1316" spans="2:13" x14ac:dyDescent="0.3">
      <c r="B1316" s="378" t="s">
        <v>1704</v>
      </c>
      <c r="C1316" s="342"/>
      <c r="D1316" s="339"/>
      <c r="E1316" s="235" t="s">
        <v>929</v>
      </c>
      <c r="F1316" s="271" t="str">
        <f>IFERROR(VLOOKUP(E1316,'Inventaire des produits'!$B$4:$K$1000,2,0),"")</f>
        <v xml:space="preserve">SERVIETTE DE TABLE </v>
      </c>
      <c r="G1316" s="247">
        <v>40</v>
      </c>
      <c r="H1316" s="79">
        <v>3.75</v>
      </c>
      <c r="I1316" s="95">
        <f t="shared" si="44"/>
        <v>150</v>
      </c>
      <c r="J1316" s="95">
        <f t="shared" si="45"/>
        <v>180</v>
      </c>
      <c r="K1316" s="93">
        <f>IFERROR(VLOOKUP(E1316,'Inventaire des produits'!$B$4:$J$1000,5,FALSE),"")</f>
        <v>0</v>
      </c>
      <c r="L1316" s="301">
        <f>IFERROR(VLOOKUP(E1316,'Inventaire des produits'!$B$4:$J$1000,6,FALSE),"")</f>
        <v>2.9169999999999998</v>
      </c>
      <c r="M1316" s="62"/>
    </row>
    <row r="1317" spans="2:13" x14ac:dyDescent="0.3">
      <c r="B1317" s="378" t="s">
        <v>1704</v>
      </c>
      <c r="C1317" s="55">
        <v>45532</v>
      </c>
      <c r="D1317" s="54" t="s">
        <v>1285</v>
      </c>
      <c r="E1317" s="235" t="s">
        <v>907</v>
      </c>
      <c r="F1317" s="271" t="str">
        <f>IFERROR(VLOOKUP(E1317,'Inventaire des produits'!$B$4:$K$1000,2,0),"")</f>
        <v>GOBLET 4OZ EN CARTON BONNE APPETIT SANS CVL</v>
      </c>
      <c r="G1317" s="247">
        <v>8000</v>
      </c>
      <c r="H1317" s="79">
        <v>0.20833333333333334</v>
      </c>
      <c r="I1317" s="95">
        <f t="shared" si="44"/>
        <v>1666.6666666666667</v>
      </c>
      <c r="J1317" s="95">
        <f t="shared" si="45"/>
        <v>2000</v>
      </c>
      <c r="K1317" s="93">
        <f>IFERROR(VLOOKUP(E1317,'Inventaire des produits'!$B$4:$J$1000,5,FALSE),"")</f>
        <v>2000</v>
      </c>
      <c r="L1317" s="301">
        <f>IFERROR(VLOOKUP(E1317,'Inventaire des produits'!$B$4:$J$1000,6,FALSE),"")</f>
        <v>0.1116666667</v>
      </c>
      <c r="M1317" s="62">
        <v>2000</v>
      </c>
    </row>
    <row r="1318" spans="2:13" x14ac:dyDescent="0.3">
      <c r="B1318" s="378" t="s">
        <v>1704</v>
      </c>
      <c r="C1318" s="340">
        <v>45533</v>
      </c>
      <c r="D1318" s="337" t="s">
        <v>1286</v>
      </c>
      <c r="E1318" s="235" t="s">
        <v>929</v>
      </c>
      <c r="F1318" s="271" t="str">
        <f>IFERROR(VLOOKUP(E1318,'Inventaire des produits'!$B$4:$K$1000,2,0),"")</f>
        <v xml:space="preserve">SERVIETTE DE TABLE </v>
      </c>
      <c r="G1318" s="247">
        <v>120</v>
      </c>
      <c r="H1318" s="79">
        <v>3.75</v>
      </c>
      <c r="I1318" s="95">
        <f t="shared" ref="I1318:I1322" si="46">IF(OR(G1318="",H1318=""),"",G1318*H1318)</f>
        <v>450</v>
      </c>
      <c r="J1318" s="95">
        <f t="shared" ref="J1318:J1322" si="47">IF(OR(I1318=""),"",I1318*1.2)</f>
        <v>540</v>
      </c>
      <c r="K1318" s="93">
        <f>IFERROR(VLOOKUP(E1318,'Inventaire des produits'!$B$4:$J$1000,5,FALSE),"")</f>
        <v>0</v>
      </c>
      <c r="L1318" s="301">
        <f>IFERROR(VLOOKUP(E1318,'Inventaire des produits'!$B$4:$J$1000,6,FALSE),"")</f>
        <v>2.9169999999999998</v>
      </c>
      <c r="M1318" s="62">
        <f>SUM(J1318:J1322)</f>
        <v>1425</v>
      </c>
    </row>
    <row r="1319" spans="2:13" x14ac:dyDescent="0.3">
      <c r="B1319" s="378" t="s">
        <v>1704</v>
      </c>
      <c r="C1319" s="341"/>
      <c r="D1319" s="338"/>
      <c r="E1319" s="235" t="s">
        <v>778</v>
      </c>
      <c r="F1319" s="271" t="str">
        <f>IFERROR(VLOOKUP(E1319,'Inventaire des produits'!$B$4:$K$1000,2,0),"")</f>
        <v>POT DE SAUCE EN PLAST TRANSP 20ML</v>
      </c>
      <c r="G1319" s="247">
        <v>2600</v>
      </c>
      <c r="H1319" s="79">
        <v>0.125</v>
      </c>
      <c r="I1319" s="95">
        <f t="shared" si="46"/>
        <v>325</v>
      </c>
      <c r="J1319" s="95">
        <f t="shared" si="47"/>
        <v>390</v>
      </c>
      <c r="K1319" s="93">
        <f>IFERROR(VLOOKUP(E1319,'Inventaire des produits'!$B$4:$J$1000,5,FALSE),"")</f>
        <v>0</v>
      </c>
      <c r="L1319" s="301">
        <f>IFERROR(VLOOKUP(E1319,'Inventaire des produits'!$B$4:$J$1000,6,FALSE),"")</f>
        <v>8.3333333300000006E-2</v>
      </c>
      <c r="M1319" s="62"/>
    </row>
    <row r="1320" spans="2:13" x14ac:dyDescent="0.3">
      <c r="B1320" s="378" t="s">
        <v>1704</v>
      </c>
      <c r="C1320" s="341"/>
      <c r="D1320" s="338"/>
      <c r="E1320" s="235" t="s">
        <v>895</v>
      </c>
      <c r="F1320" s="271" t="str">
        <f>IFERROR(VLOOKUP(E1320,'Inventaire des produits'!$B$4:$K$1000,2,0),"")</f>
        <v>ROULEAU ALUMINIUM GOLDEN 200M</v>
      </c>
      <c r="G1320" s="247">
        <v>5</v>
      </c>
      <c r="H1320" s="79">
        <v>66.666666666666671</v>
      </c>
      <c r="I1320" s="95">
        <f t="shared" si="46"/>
        <v>333.33333333333337</v>
      </c>
      <c r="J1320" s="95">
        <f t="shared" si="47"/>
        <v>400.00000000000006</v>
      </c>
      <c r="K1320" s="93">
        <f>IFERROR(VLOOKUP(E1320,'Inventaire des produits'!$B$4:$J$1000,5,FALSE),"")</f>
        <v>0</v>
      </c>
      <c r="L1320" s="301">
        <f>IFERROR(VLOOKUP(E1320,'Inventaire des produits'!$B$4:$J$1000,6,FALSE),"")</f>
        <v>57.5</v>
      </c>
      <c r="M1320" s="62"/>
    </row>
    <row r="1321" spans="2:13" x14ac:dyDescent="0.3">
      <c r="B1321" s="378" t="s">
        <v>1704</v>
      </c>
      <c r="C1321" s="341"/>
      <c r="D1321" s="338"/>
      <c r="E1321" s="235" t="s">
        <v>869</v>
      </c>
      <c r="F1321" s="271" t="str">
        <f>IFERROR(VLOOKUP(E1321,'Inventaire des produits'!$B$4:$K$1000,2,0),"")</f>
        <v>PAILLE ENVELOPPEE CODE 100 TRANS</v>
      </c>
      <c r="G1321" s="247">
        <v>6</v>
      </c>
      <c r="H1321" s="79">
        <v>8.3333333333333339</v>
      </c>
      <c r="I1321" s="95">
        <f t="shared" si="46"/>
        <v>50</v>
      </c>
      <c r="J1321" s="95">
        <f t="shared" si="47"/>
        <v>60</v>
      </c>
      <c r="K1321" s="93">
        <f>IFERROR(VLOOKUP(E1321,'Inventaire des produits'!$B$4:$J$1000,5,FALSE),"")</f>
        <v>898</v>
      </c>
      <c r="L1321" s="301">
        <f>IFERROR(VLOOKUP(E1321,'Inventaire des produits'!$B$4:$J$1000,6,FALSE),"")</f>
        <v>3.9166666659999998</v>
      </c>
      <c r="M1321" s="62"/>
    </row>
    <row r="1322" spans="2:13" x14ac:dyDescent="0.3">
      <c r="B1322" s="378" t="s">
        <v>1704</v>
      </c>
      <c r="C1322" s="342"/>
      <c r="D1322" s="339"/>
      <c r="E1322" s="235" t="s">
        <v>498</v>
      </c>
      <c r="F1322" s="271" t="str">
        <f>IFERROR(VLOOKUP(E1322,'Inventaire des produits'!$B$4:$K$1000,2,0),"")</f>
        <v>FILM ETIRABLE VIOLET 450MM KG</v>
      </c>
      <c r="G1322" s="247">
        <v>1</v>
      </c>
      <c r="H1322" s="79">
        <v>29.166666666666668</v>
      </c>
      <c r="I1322" s="95">
        <f t="shared" si="46"/>
        <v>29.166666666666668</v>
      </c>
      <c r="J1322" s="95">
        <f t="shared" si="47"/>
        <v>35</v>
      </c>
      <c r="K1322" s="93">
        <f>IFERROR(VLOOKUP(E1322,'Inventaire des produits'!$B$4:$J$1000,5,FALSE),"")</f>
        <v>0</v>
      </c>
      <c r="L1322" s="301">
        <f>IFERROR(VLOOKUP(E1322,'Inventaire des produits'!$B$4:$J$1000,6,FALSE),"")</f>
        <v>27.083333333300001</v>
      </c>
      <c r="M1322" s="62"/>
    </row>
    <row r="1323" spans="2:13" x14ac:dyDescent="0.3">
      <c r="B1323" s="378" t="s">
        <v>1704</v>
      </c>
      <c r="C1323" s="340">
        <v>45533</v>
      </c>
      <c r="D1323" s="337" t="s">
        <v>1287</v>
      </c>
      <c r="E1323" s="235" t="s">
        <v>929</v>
      </c>
      <c r="F1323" s="271" t="str">
        <f>IFERROR(VLOOKUP(E1323,'Inventaire des produits'!$B$4:$K$1000,2,0),"")</f>
        <v xml:space="preserve">SERVIETTE DE TABLE </v>
      </c>
      <c r="G1323" s="247">
        <v>260</v>
      </c>
      <c r="H1323" s="79">
        <v>3.75</v>
      </c>
      <c r="I1323" s="95">
        <f t="shared" ref="I1323:I1325" si="48">IF(OR(G1323="",H1323=""),"",G1323*H1323)</f>
        <v>975</v>
      </c>
      <c r="J1323" s="95">
        <f t="shared" ref="J1323:J1325" si="49">IF(OR(I1323=""),"",I1323*1.2)</f>
        <v>1170</v>
      </c>
      <c r="K1323" s="93">
        <f>IFERROR(VLOOKUP(E1323,'Inventaire des produits'!$B$4:$J$1000,5,FALSE),"")</f>
        <v>0</v>
      </c>
      <c r="L1323" s="301">
        <f>IFERROR(VLOOKUP(E1323,'Inventaire des produits'!$B$4:$J$1000,6,FALSE),"")</f>
        <v>2.9169999999999998</v>
      </c>
      <c r="M1323" s="62">
        <f>SUM(J1323:J1326)</f>
        <v>3129.9999200000002</v>
      </c>
    </row>
    <row r="1324" spans="2:13" x14ac:dyDescent="0.3">
      <c r="B1324" s="378" t="s">
        <v>1704</v>
      </c>
      <c r="C1324" s="341"/>
      <c r="D1324" s="338"/>
      <c r="E1324" s="235" t="s">
        <v>895</v>
      </c>
      <c r="F1324" s="271" t="str">
        <f>IFERROR(VLOOKUP(E1324,'Inventaire des produits'!$B$4:$K$1000,2,0),"")</f>
        <v>ROULEAU ALUMINIUM GOLDEN 200M</v>
      </c>
      <c r="G1324" s="247">
        <v>8</v>
      </c>
      <c r="H1324" s="79">
        <v>66.666666666666671</v>
      </c>
      <c r="I1324" s="95">
        <f t="shared" si="48"/>
        <v>533.33333333333337</v>
      </c>
      <c r="J1324" s="95">
        <f t="shared" si="49"/>
        <v>640</v>
      </c>
      <c r="K1324" s="93">
        <f>IFERROR(VLOOKUP(E1324,'Inventaire des produits'!$B$4:$J$1000,5,FALSE),"")</f>
        <v>0</v>
      </c>
      <c r="L1324" s="301">
        <f>IFERROR(VLOOKUP(E1324,'Inventaire des produits'!$B$4:$J$1000,6,FALSE),"")</f>
        <v>57.5</v>
      </c>
      <c r="M1324" s="62"/>
    </row>
    <row r="1325" spans="2:13" x14ac:dyDescent="0.3">
      <c r="B1325" s="378" t="s">
        <v>1704</v>
      </c>
      <c r="C1325" s="341"/>
      <c r="D1325" s="338"/>
      <c r="E1325" s="235" t="s">
        <v>869</v>
      </c>
      <c r="F1325" s="271" t="str">
        <f>IFERROR(VLOOKUP(E1325,'Inventaire des produits'!$B$4:$K$1000,2,0),"")</f>
        <v>PAILLE ENVELOPPEE CODE 100 TRANS</v>
      </c>
      <c r="G1325" s="247">
        <v>7</v>
      </c>
      <c r="H1325" s="79">
        <v>8.3333333333333339</v>
      </c>
      <c r="I1325" s="95">
        <f t="shared" si="48"/>
        <v>58.333333333333336</v>
      </c>
      <c r="J1325" s="95">
        <f t="shared" si="49"/>
        <v>70</v>
      </c>
      <c r="K1325" s="93">
        <f>IFERROR(VLOOKUP(E1325,'Inventaire des produits'!$B$4:$J$1000,5,FALSE),"")</f>
        <v>898</v>
      </c>
      <c r="L1325" s="301">
        <f>IFERROR(VLOOKUP(E1325,'Inventaire des produits'!$B$4:$J$1000,6,FALSE),"")</f>
        <v>3.9166666659999998</v>
      </c>
      <c r="M1325" s="62"/>
    </row>
    <row r="1326" spans="2:13" x14ac:dyDescent="0.3">
      <c r="B1326" s="378" t="s">
        <v>1704</v>
      </c>
      <c r="C1326" s="342"/>
      <c r="D1326" s="339"/>
      <c r="E1326" s="235" t="s">
        <v>778</v>
      </c>
      <c r="F1326" s="271" t="str">
        <f>IFERROR(VLOOKUP(E1326,'Inventaire des produits'!$B$4:$K$1000,2,0),"")</f>
        <v>POT DE SAUCE EN PLAST TRANSP 20ML</v>
      </c>
      <c r="G1326" s="247">
        <v>8300</v>
      </c>
      <c r="H1326" s="79">
        <v>0.125502</v>
      </c>
      <c r="I1326" s="95">
        <f t="shared" si="44"/>
        <v>1041.6666</v>
      </c>
      <c r="J1326" s="95">
        <f t="shared" si="45"/>
        <v>1249.99992</v>
      </c>
      <c r="K1326" s="93">
        <f>IFERROR(VLOOKUP(E1326,'Inventaire des produits'!$B$4:$J$1000,5,FALSE),"")</f>
        <v>0</v>
      </c>
      <c r="L1326" s="301">
        <f>IFERROR(VLOOKUP(E1326,'Inventaire des produits'!$B$4:$J$1000,6,FALSE),"")</f>
        <v>8.3333333300000006E-2</v>
      </c>
      <c r="M1326" s="62"/>
    </row>
    <row r="1327" spans="2:13" x14ac:dyDescent="0.3">
      <c r="B1327" s="378" t="s">
        <v>1704</v>
      </c>
      <c r="C1327" s="340">
        <v>45533</v>
      </c>
      <c r="D1327" s="337" t="s">
        <v>1291</v>
      </c>
      <c r="E1327" s="235" t="s">
        <v>206</v>
      </c>
      <c r="F1327" s="271" t="str">
        <f>IFERROR(VLOOKUP(E1327,'Inventaire des produits'!$B$4:$K$1000,2,0),"")</f>
        <v>ESSUIE MAIN 1KG LISSE</v>
      </c>
      <c r="G1327" s="247">
        <v>33</v>
      </c>
      <c r="H1327" s="79">
        <v>29.119299999999999</v>
      </c>
      <c r="I1327" s="95">
        <f t="shared" si="44"/>
        <v>960.93689999999992</v>
      </c>
      <c r="J1327" s="95">
        <f t="shared" si="45"/>
        <v>1153.1242799999998</v>
      </c>
      <c r="K1327" s="93">
        <f>IFERROR(VLOOKUP(E1327,'Inventaire des produits'!$B$4:$J$1000,5,FALSE),"")</f>
        <v>0</v>
      </c>
      <c r="L1327" s="301">
        <f>IFERROR(VLOOKUP(E1327,'Inventaire des produits'!$B$4:$J$1000,6,FALSE),"")</f>
        <v>21.25</v>
      </c>
      <c r="M1327" s="62">
        <f>SUM(J1327:J1335)</f>
        <v>6184.0018799999998</v>
      </c>
    </row>
    <row r="1328" spans="2:13" x14ac:dyDescent="0.3">
      <c r="B1328" s="378" t="s">
        <v>1704</v>
      </c>
      <c r="C1328" s="341"/>
      <c r="D1328" s="338"/>
      <c r="E1328" s="235" t="s">
        <v>929</v>
      </c>
      <c r="F1328" s="271" t="str">
        <f>IFERROR(VLOOKUP(E1328,'Inventaire des produits'!$B$4:$K$1000,2,0),"")</f>
        <v xml:space="preserve">SERVIETTE DE TABLE </v>
      </c>
      <c r="G1328" s="247">
        <v>100</v>
      </c>
      <c r="H1328" s="79">
        <v>3.75</v>
      </c>
      <c r="I1328" s="95">
        <f t="shared" si="44"/>
        <v>375</v>
      </c>
      <c r="J1328" s="95">
        <f t="shared" si="45"/>
        <v>450</v>
      </c>
      <c r="K1328" s="93">
        <f>IFERROR(VLOOKUP(E1328,'Inventaire des produits'!$B$4:$J$1000,5,FALSE),"")</f>
        <v>0</v>
      </c>
      <c r="L1328" s="301">
        <f>IFERROR(VLOOKUP(E1328,'Inventaire des produits'!$B$4:$J$1000,6,FALSE),"")</f>
        <v>2.9169999999999998</v>
      </c>
      <c r="M1328" s="62"/>
    </row>
    <row r="1329" spans="2:13" x14ac:dyDescent="0.3">
      <c r="B1329" s="378" t="s">
        <v>1704</v>
      </c>
      <c r="C1329" s="341"/>
      <c r="D1329" s="338"/>
      <c r="E1329" s="235" t="s">
        <v>895</v>
      </c>
      <c r="F1329" s="271" t="str">
        <f>IFERROR(VLOOKUP(E1329,'Inventaire des produits'!$B$4:$K$1000,2,0),"")</f>
        <v>ROULEAU ALUMINIUM GOLDEN 200M</v>
      </c>
      <c r="G1329" s="247">
        <v>13</v>
      </c>
      <c r="H1329" s="79">
        <v>66.646000000000001</v>
      </c>
      <c r="I1329" s="95">
        <f t="shared" si="44"/>
        <v>866.39800000000002</v>
      </c>
      <c r="J1329" s="95">
        <f t="shared" si="45"/>
        <v>1039.6776</v>
      </c>
      <c r="K1329" s="93">
        <f>IFERROR(VLOOKUP(E1329,'Inventaire des produits'!$B$4:$J$1000,5,FALSE),"")</f>
        <v>0</v>
      </c>
      <c r="L1329" s="301">
        <f>IFERROR(VLOOKUP(E1329,'Inventaire des produits'!$B$4:$J$1000,6,FALSE),"")</f>
        <v>57.5</v>
      </c>
      <c r="M1329" s="62"/>
    </row>
    <row r="1330" spans="2:13" x14ac:dyDescent="0.3">
      <c r="B1330" s="378" t="s">
        <v>1704</v>
      </c>
      <c r="C1330" s="341"/>
      <c r="D1330" s="338"/>
      <c r="E1330" s="235" t="s">
        <v>1117</v>
      </c>
      <c r="F1330" s="271" t="str">
        <f>IFERROR(VLOOKUP(E1330,'Inventaire des produits'!$B$4:$K$1000,2,0),"")</f>
        <v>POT DE SAUCE 2OZ NOIRE</v>
      </c>
      <c r="G1330" s="247">
        <v>4000</v>
      </c>
      <c r="H1330" s="79">
        <v>0.3</v>
      </c>
      <c r="I1330" s="95">
        <f t="shared" si="44"/>
        <v>1200</v>
      </c>
      <c r="J1330" s="95">
        <f t="shared" si="45"/>
        <v>1440</v>
      </c>
      <c r="K1330" s="93">
        <f>IFERROR(VLOOKUP(E1330,'Inventaire des produits'!$B$4:$J$1000,5,FALSE),"")</f>
        <v>0</v>
      </c>
      <c r="L1330" s="301">
        <f>IFERROR(VLOOKUP(E1330,'Inventaire des produits'!$B$4:$J$1000,6,FALSE),"")</f>
        <v>0.16489999999999999</v>
      </c>
      <c r="M1330" s="62"/>
    </row>
    <row r="1331" spans="2:13" x14ac:dyDescent="0.3">
      <c r="B1331" s="378" t="s">
        <v>1704</v>
      </c>
      <c r="C1331" s="341"/>
      <c r="D1331" s="338"/>
      <c r="E1331" s="235" t="s">
        <v>361</v>
      </c>
      <c r="F1331" s="271" t="str">
        <f>IFERROR(VLOOKUP(E1331,'Inventaire des produits'!$B$4:$K$1000,2,0),"")</f>
        <v>FILM ETIRABLE VIOLET 290mm kg</v>
      </c>
      <c r="G1331" s="247">
        <v>8</v>
      </c>
      <c r="H1331" s="79">
        <v>30</v>
      </c>
      <c r="I1331" s="95">
        <f t="shared" si="44"/>
        <v>240</v>
      </c>
      <c r="J1331" s="95">
        <f t="shared" si="45"/>
        <v>288</v>
      </c>
      <c r="K1331" s="93">
        <f>IFERROR(VLOOKUP(E1331,'Inventaire des produits'!$B$4:$J$1000,5,FALSE),"")</f>
        <v>0</v>
      </c>
      <c r="L1331" s="301">
        <f>IFERROR(VLOOKUP(E1331,'Inventaire des produits'!$B$4:$J$1000,6,FALSE),"")</f>
        <v>25</v>
      </c>
      <c r="M1331" s="62"/>
    </row>
    <row r="1332" spans="2:13" x14ac:dyDescent="0.3">
      <c r="B1332" s="378" t="s">
        <v>1704</v>
      </c>
      <c r="C1332" s="341"/>
      <c r="D1332" s="338"/>
      <c r="E1332" s="235" t="s">
        <v>1105</v>
      </c>
      <c r="F1332" s="271" t="str">
        <f>IFERROR(VLOOKUP(E1332,'Inventaire des produits'!$B$4:$K$1000,2,0),"")</f>
        <v>BARQUETTE TRAITEUR 750CC MICRON ONDABLE TRANS</v>
      </c>
      <c r="G1332" s="247">
        <v>250</v>
      </c>
      <c r="H1332" s="79">
        <v>1.58</v>
      </c>
      <c r="I1332" s="95">
        <f t="shared" si="44"/>
        <v>395</v>
      </c>
      <c r="J1332" s="95">
        <f t="shared" si="45"/>
        <v>474</v>
      </c>
      <c r="K1332" s="93">
        <f>IFERROR(VLOOKUP(E1332,'Inventaire des produits'!$B$4:$J$1000,5,FALSE),"")</f>
        <v>0</v>
      </c>
      <c r="L1332" s="301">
        <f>IFERROR(VLOOKUP(E1332,'Inventaire des produits'!$B$4:$J$1000,6,FALSE),"")</f>
        <v>1.0508333333333333</v>
      </c>
      <c r="M1332" s="62"/>
    </row>
    <row r="1333" spans="2:13" x14ac:dyDescent="0.3">
      <c r="B1333" s="378" t="s">
        <v>1704</v>
      </c>
      <c r="C1333" s="341"/>
      <c r="D1333" s="338"/>
      <c r="E1333" s="235" t="s">
        <v>299</v>
      </c>
      <c r="F1333" s="271" t="str">
        <f>IFERROR(VLOOKUP(E1333,'Inventaire des produits'!$B$4:$K$1000,2,0),"")</f>
        <v>BOITE CARRE 500</v>
      </c>
      <c r="G1333" s="247">
        <v>500</v>
      </c>
      <c r="H1333" s="79">
        <v>0.42</v>
      </c>
      <c r="I1333" s="95">
        <f t="shared" si="44"/>
        <v>210</v>
      </c>
      <c r="J1333" s="95">
        <f t="shared" si="45"/>
        <v>252</v>
      </c>
      <c r="K1333" s="93">
        <f>IFERROR(VLOOKUP(E1333,'Inventaire des produits'!$B$4:$J$1000,5,FALSE),"")</f>
        <v>0</v>
      </c>
      <c r="L1333" s="301">
        <f>IFERROR(VLOOKUP(E1333,'Inventaire des produits'!$B$4:$J$1000,6,FALSE),"")</f>
        <v>0.3</v>
      </c>
      <c r="M1333" s="62"/>
    </row>
    <row r="1334" spans="2:13" x14ac:dyDescent="0.3">
      <c r="B1334" s="378" t="s">
        <v>1704</v>
      </c>
      <c r="C1334" s="341"/>
      <c r="D1334" s="338"/>
      <c r="E1334" s="235" t="s">
        <v>148</v>
      </c>
      <c r="F1334" s="271" t="str">
        <f>IFERROR(VLOOKUP(E1334,'Inventaire des produits'!$B$4:$K$1000,2,0),"")</f>
        <v>BARQUETTE SUSHI ST1 160*91*20</v>
      </c>
      <c r="G1334" s="247">
        <v>400</v>
      </c>
      <c r="H1334" s="79">
        <v>0.84</v>
      </c>
      <c r="I1334" s="95">
        <f t="shared" si="44"/>
        <v>336</v>
      </c>
      <c r="J1334" s="95">
        <f t="shared" si="45"/>
        <v>403.2</v>
      </c>
      <c r="K1334" s="93">
        <f>IFERROR(VLOOKUP(E1334,'Inventaire des produits'!$B$4:$J$1000,5,FALSE),"")</f>
        <v>0</v>
      </c>
      <c r="L1334" s="301">
        <f>IFERROR(VLOOKUP(E1334,'Inventaire des produits'!$B$4:$J$1000,6,FALSE),"")</f>
        <v>0.75833333329999997</v>
      </c>
      <c r="M1334" s="62"/>
    </row>
    <row r="1335" spans="2:13" x14ac:dyDescent="0.3">
      <c r="B1335" s="378" t="s">
        <v>1704</v>
      </c>
      <c r="C1335" s="342"/>
      <c r="D1335" s="339"/>
      <c r="E1335" s="235" t="s">
        <v>955</v>
      </c>
      <c r="F1335" s="271" t="str">
        <f>IFERROR(VLOOKUP(E1335,'Inventaire des produits'!$B$4:$K$1000,2,0),"")</f>
        <v>BOX NOUILLE ET PATE 32OZ BLANC</v>
      </c>
      <c r="G1335" s="247">
        <v>250</v>
      </c>
      <c r="H1335" s="79">
        <v>2.2799999999999998</v>
      </c>
      <c r="I1335" s="95">
        <f t="shared" si="44"/>
        <v>570</v>
      </c>
      <c r="J1335" s="95">
        <f t="shared" si="45"/>
        <v>684</v>
      </c>
      <c r="K1335" s="93">
        <f>IFERROR(VLOOKUP(E1335,'Inventaire des produits'!$B$4:$J$1000,5,FALSE),"")</f>
        <v>0</v>
      </c>
      <c r="L1335" s="301">
        <f>IFERROR(VLOOKUP(E1335,'Inventaire des produits'!$B$4:$J$1000,6,FALSE),"")</f>
        <v>1.125</v>
      </c>
      <c r="M1335" s="62"/>
    </row>
    <row r="1336" spans="2:13" x14ac:dyDescent="0.3">
      <c r="B1336" s="378" t="s">
        <v>1704</v>
      </c>
      <c r="C1336" s="55">
        <v>45533</v>
      </c>
      <c r="D1336" s="164" t="s">
        <v>1292</v>
      </c>
      <c r="E1336" s="235" t="s">
        <v>464</v>
      </c>
      <c r="F1336" s="271" t="str">
        <f>IFERROR(VLOOKUP(E1336,'Inventaire des produits'!$B$4:$K$1000,2,0),"")</f>
        <v>PAPIER ZIGZAG</v>
      </c>
      <c r="G1336" s="247">
        <v>20</v>
      </c>
      <c r="H1336" s="79">
        <v>12.5</v>
      </c>
      <c r="I1336" s="95">
        <f t="shared" si="44"/>
        <v>250</v>
      </c>
      <c r="J1336" s="95">
        <f t="shared" si="45"/>
        <v>300</v>
      </c>
      <c r="K1336" s="93">
        <f>IFERROR(VLOOKUP(E1336,'Inventaire des produits'!$B$4:$J$1000,5,FALSE),"")</f>
        <v>120</v>
      </c>
      <c r="L1336" s="301">
        <f>IFERROR(VLOOKUP(E1336,'Inventaire des produits'!$B$4:$J$1000,6,FALSE),"")</f>
        <v>7.5</v>
      </c>
      <c r="M1336" s="62">
        <v>300</v>
      </c>
    </row>
    <row r="1337" spans="2:13" x14ac:dyDescent="0.3">
      <c r="B1337" s="378" t="s">
        <v>1704</v>
      </c>
      <c r="C1337" s="55">
        <v>45534</v>
      </c>
      <c r="D1337" s="54" t="s">
        <v>1302</v>
      </c>
      <c r="E1337" s="240" t="s">
        <v>1311</v>
      </c>
      <c r="F1337" s="271" t="str">
        <f>IFERROR(VLOOKUP(E1337,'Inventaire des produits'!$B$4:$K$1000,2,0),"")</f>
        <v>POT CARTONIER BLANC 26OZ AVEC CVL</v>
      </c>
      <c r="G1337" s="247">
        <v>1500</v>
      </c>
      <c r="H1337" s="79">
        <v>2.4</v>
      </c>
      <c r="I1337" s="95">
        <f t="shared" si="44"/>
        <v>3600</v>
      </c>
      <c r="J1337" s="95">
        <f t="shared" si="45"/>
        <v>4320</v>
      </c>
      <c r="K1337" s="93">
        <f>IFERROR(VLOOKUP(E1337,'Inventaire des produits'!$B$4:$J$1000,5,FALSE),"")</f>
        <v>1000</v>
      </c>
      <c r="L1337" s="301">
        <f>IFERROR(VLOOKUP(E1337,'Inventaire des produits'!$B$4:$J$1000,6,FALSE),"")</f>
        <v>2</v>
      </c>
      <c r="M1337" s="62">
        <v>4320</v>
      </c>
    </row>
    <row r="1338" spans="2:13" x14ac:dyDescent="0.3">
      <c r="B1338" s="378" t="s">
        <v>1704</v>
      </c>
      <c r="C1338" s="340">
        <v>45537</v>
      </c>
      <c r="D1338" s="343" t="s">
        <v>1322</v>
      </c>
      <c r="E1338" s="235" t="s">
        <v>205</v>
      </c>
      <c r="F1338" s="271" t="str">
        <f>IFERROR(VLOOKUP(E1338,'Inventaire des produits'!$B$4:$K$1000,2,0),"")</f>
        <v>LUNCH BOX KRAFT BONNE APETIT 19*11*7,5 CARTON 200</v>
      </c>
      <c r="G1338" s="247">
        <v>4</v>
      </c>
      <c r="H1338" s="79">
        <f>1.45*200</f>
        <v>290</v>
      </c>
      <c r="I1338" s="95">
        <f t="shared" si="44"/>
        <v>1160</v>
      </c>
      <c r="J1338" s="95">
        <f t="shared" si="45"/>
        <v>1392</v>
      </c>
      <c r="K1338" s="93">
        <f>IFERROR(VLOOKUP(E1338,'Inventaire des produits'!$B$4:$J$1000,5,FALSE),"")</f>
        <v>0</v>
      </c>
      <c r="L1338" s="301">
        <f>IFERROR(VLOOKUP(E1338,'Inventaire des produits'!$B$4:$J$1000,6,FALSE),"")</f>
        <v>266.6666666667</v>
      </c>
      <c r="M1338" s="62">
        <f>SUM(J1338:J1348)</f>
        <v>9800</v>
      </c>
    </row>
    <row r="1339" spans="2:13" x14ac:dyDescent="0.3">
      <c r="B1339" s="378" t="s">
        <v>1704</v>
      </c>
      <c r="C1339" s="341"/>
      <c r="D1339" s="344"/>
      <c r="E1339" s="235" t="s">
        <v>828</v>
      </c>
      <c r="F1339" s="271" t="str">
        <f>IFERROR(VLOOKUP(E1339,'Inventaire des produits'!$B$4:$K$1000,2,0),"")</f>
        <v>SAC PN BLANC 40*30</v>
      </c>
      <c r="G1339" s="247">
        <v>1000</v>
      </c>
      <c r="H1339" s="79">
        <v>0.50800000000000001</v>
      </c>
      <c r="I1339" s="95">
        <f t="shared" si="44"/>
        <v>508</v>
      </c>
      <c r="J1339" s="95">
        <f t="shared" si="45"/>
        <v>609.6</v>
      </c>
      <c r="K1339" s="93">
        <f>IFERROR(VLOOKUP(E1339,'Inventaire des produits'!$B$4:$J$1000,5,FALSE),"")</f>
        <v>0</v>
      </c>
      <c r="L1339" s="301">
        <f>IFERROR(VLOOKUP(E1339,'Inventaire des produits'!$B$4:$J$1000,6,FALSE),"")</f>
        <v>0.33333332999999998</v>
      </c>
      <c r="M1339" s="62"/>
    </row>
    <row r="1340" spans="2:13" x14ac:dyDescent="0.3">
      <c r="B1340" s="378" t="s">
        <v>1704</v>
      </c>
      <c r="C1340" s="341"/>
      <c r="D1340" s="344"/>
      <c r="E1340" s="235" t="s">
        <v>1316</v>
      </c>
      <c r="F1340" s="271" t="str">
        <f>IFERROR(VLOOKUP(E1340,'Inventaire des produits'!$B$4:$K$1000,2,0),"")</f>
        <v>SAC PN BLANCE 40*45</v>
      </c>
      <c r="G1340" s="247">
        <v>500</v>
      </c>
      <c r="H1340" s="79">
        <v>0.58609999999999995</v>
      </c>
      <c r="I1340" s="95">
        <f t="shared" si="44"/>
        <v>293.04999999999995</v>
      </c>
      <c r="J1340" s="95">
        <f t="shared" si="45"/>
        <v>351.65999999999991</v>
      </c>
      <c r="K1340" s="93">
        <f>IFERROR(VLOOKUP(E1340,'Inventaire des produits'!$B$4:$J$1000,5,FALSE),"")</f>
        <v>5400</v>
      </c>
      <c r="L1340" s="301">
        <f>IFERROR(VLOOKUP(E1340,'Inventaire des produits'!$B$4:$J$1000,6,FALSE),"")</f>
        <v>0.41665999999999997</v>
      </c>
      <c r="M1340" s="62"/>
    </row>
    <row r="1341" spans="2:13" x14ac:dyDescent="0.3">
      <c r="B1341" s="378" t="s">
        <v>1704</v>
      </c>
      <c r="C1341" s="341"/>
      <c r="D1341" s="344"/>
      <c r="E1341" s="235" t="s">
        <v>1097</v>
      </c>
      <c r="F1341" s="271" t="str">
        <f>IFERROR(VLOOKUP(E1341,'Inventaire des produits'!$B$4:$K$1000,2,0),"")</f>
        <v>POT DE SAUCE EN PLAST TRANSP 20ML</v>
      </c>
      <c r="G1341" s="247">
        <v>3000</v>
      </c>
      <c r="H1341" s="79">
        <v>6.6666666666666666E-2</v>
      </c>
      <c r="I1341" s="95">
        <f t="shared" si="44"/>
        <v>200</v>
      </c>
      <c r="J1341" s="95">
        <f t="shared" si="45"/>
        <v>240</v>
      </c>
      <c r="K1341" s="93">
        <f>IFERROR(VLOOKUP(E1341,'Inventaire des produits'!$B$4:$J$1000,5,FALSE),"")</f>
        <v>0</v>
      </c>
      <c r="L1341" s="301">
        <f>IFERROR(VLOOKUP(E1341,'Inventaire des produits'!$B$4:$J$1000,6,FALSE),"")</f>
        <v>8.9166666666666672E-2</v>
      </c>
      <c r="M1341" s="62"/>
    </row>
    <row r="1342" spans="2:13" x14ac:dyDescent="0.3">
      <c r="B1342" s="378" t="s">
        <v>1704</v>
      </c>
      <c r="C1342" s="341"/>
      <c r="D1342" s="344"/>
      <c r="E1342" s="235" t="s">
        <v>501</v>
      </c>
      <c r="F1342" s="271" t="str">
        <f>IFERROR(VLOOKUP(E1342,'Inventaire des produits'!$B$4:$K$1000,2,0),"")</f>
        <v>BARQUETTE ALUMINIUM 83420</v>
      </c>
      <c r="G1342" s="247">
        <v>2000</v>
      </c>
      <c r="H1342" s="79">
        <v>0.45833333333333337</v>
      </c>
      <c r="I1342" s="95">
        <f t="shared" si="44"/>
        <v>916.66666666666674</v>
      </c>
      <c r="J1342" s="95">
        <f t="shared" si="45"/>
        <v>1100</v>
      </c>
      <c r="K1342" s="93">
        <f>IFERROR(VLOOKUP(E1342,'Inventaire des produits'!$B$4:$J$1000,5,FALSE),"")</f>
        <v>10000</v>
      </c>
      <c r="L1342" s="301">
        <f>IFERROR(VLOOKUP(E1342,'Inventaire des produits'!$B$4:$J$1000,6,FALSE),"")</f>
        <v>0.31666666669999999</v>
      </c>
      <c r="M1342" s="62"/>
    </row>
    <row r="1343" spans="2:13" x14ac:dyDescent="0.3">
      <c r="B1343" s="378" t="s">
        <v>1704</v>
      </c>
      <c r="C1343" s="341"/>
      <c r="D1343" s="344"/>
      <c r="E1343" s="235" t="s">
        <v>206</v>
      </c>
      <c r="F1343" s="271" t="str">
        <f>IFERROR(VLOOKUP(E1343,'Inventaire des produits'!$B$4:$K$1000,2,0),"")</f>
        <v>ESSUIE MAIN 1KG LISSE</v>
      </c>
      <c r="G1343" s="247">
        <v>48</v>
      </c>
      <c r="H1343" s="79">
        <v>28.8</v>
      </c>
      <c r="I1343" s="95">
        <f t="shared" si="44"/>
        <v>1382.4</v>
      </c>
      <c r="J1343" s="95">
        <f t="shared" si="45"/>
        <v>1658.88</v>
      </c>
      <c r="K1343" s="93">
        <f>IFERROR(VLOOKUP(E1343,'Inventaire des produits'!$B$4:$J$1000,5,FALSE),"")</f>
        <v>0</v>
      </c>
      <c r="L1343" s="301">
        <f>IFERROR(VLOOKUP(E1343,'Inventaire des produits'!$B$4:$J$1000,6,FALSE),"")</f>
        <v>21.25</v>
      </c>
      <c r="M1343" s="62"/>
    </row>
    <row r="1344" spans="2:13" x14ac:dyDescent="0.3">
      <c r="B1344" s="378" t="s">
        <v>1704</v>
      </c>
      <c r="C1344" s="341"/>
      <c r="D1344" s="344"/>
      <c r="E1344" s="235" t="s">
        <v>788</v>
      </c>
      <c r="F1344" s="271" t="str">
        <f>IFERROR(VLOOKUP(E1344,'Inventaire des produits'!$B$4:$K$1000,2,0),"")</f>
        <v>BARQUETTE ALUMINIUM 83670</v>
      </c>
      <c r="G1344" s="247">
        <v>1000</v>
      </c>
      <c r="H1344" s="79">
        <v>0.75</v>
      </c>
      <c r="I1344" s="95">
        <f t="shared" si="44"/>
        <v>750</v>
      </c>
      <c r="J1344" s="95">
        <f t="shared" si="45"/>
        <v>900</v>
      </c>
      <c r="K1344" s="93">
        <f>IFERROR(VLOOKUP(E1344,'Inventaire des produits'!$B$4:$J$1000,5,FALSE),"")</f>
        <v>0</v>
      </c>
      <c r="L1344" s="301">
        <f>IFERROR(VLOOKUP(E1344,'Inventaire des produits'!$B$4:$J$1000,6,FALSE),"")</f>
        <v>0.54</v>
      </c>
      <c r="M1344" s="62"/>
    </row>
    <row r="1345" spans="2:13" x14ac:dyDescent="0.3">
      <c r="B1345" s="378" t="s">
        <v>1704</v>
      </c>
      <c r="C1345" s="341"/>
      <c r="D1345" s="344"/>
      <c r="E1345" s="235" t="s">
        <v>1293</v>
      </c>
      <c r="F1345" s="271" t="str">
        <f>IFERROR(VLOOKUP(E1345,'Inventaire des produits'!$B$4:$K$1000,2,0),"")</f>
        <v>GOBLET 14OZ EN PLAST TRANS SMART + CV PLAT</v>
      </c>
      <c r="G1345" s="247">
        <v>2000</v>
      </c>
      <c r="H1345" s="79">
        <v>0.64827500000000005</v>
      </c>
      <c r="I1345" s="95">
        <f t="shared" si="44"/>
        <v>1296.5500000000002</v>
      </c>
      <c r="J1345" s="95">
        <f t="shared" si="45"/>
        <v>1555.8600000000001</v>
      </c>
      <c r="K1345" s="93">
        <f>IFERROR(VLOOKUP(E1345,'Inventaire des produits'!$B$4:$J$1000,5,FALSE),"")</f>
        <v>0</v>
      </c>
      <c r="L1345" s="301">
        <f>IFERROR(VLOOKUP(E1345,'Inventaire des produits'!$B$4:$J$1000,6,FALSE),"")</f>
        <v>0.57778333333333343</v>
      </c>
      <c r="M1345" s="62"/>
    </row>
    <row r="1346" spans="2:13" x14ac:dyDescent="0.3">
      <c r="B1346" s="378" t="s">
        <v>1704</v>
      </c>
      <c r="C1346" s="341"/>
      <c r="D1346" s="344"/>
      <c r="E1346" s="235" t="s">
        <v>895</v>
      </c>
      <c r="F1346" s="271" t="str">
        <f>IFERROR(VLOOKUP(E1346,'Inventaire des produits'!$B$4:$K$1000,2,0),"")</f>
        <v>ROULEAU ALUMINIUM GOLDEN 200M</v>
      </c>
      <c r="G1346" s="247">
        <v>12</v>
      </c>
      <c r="H1346" s="79">
        <v>66.6666666666667</v>
      </c>
      <c r="I1346" s="95">
        <f t="shared" si="44"/>
        <v>800.00000000000045</v>
      </c>
      <c r="J1346" s="95">
        <f t="shared" si="45"/>
        <v>960.00000000000045</v>
      </c>
      <c r="K1346" s="93">
        <f>IFERROR(VLOOKUP(E1346,'Inventaire des produits'!$B$4:$J$1000,5,FALSE),"")</f>
        <v>0</v>
      </c>
      <c r="L1346" s="301">
        <f>IFERROR(VLOOKUP(E1346,'Inventaire des produits'!$B$4:$J$1000,6,FALSE),"")</f>
        <v>57.5</v>
      </c>
      <c r="M1346" s="62"/>
    </row>
    <row r="1347" spans="2:13" x14ac:dyDescent="0.3">
      <c r="B1347" s="378" t="s">
        <v>1704</v>
      </c>
      <c r="C1347" s="341"/>
      <c r="D1347" s="344"/>
      <c r="E1347" s="235" t="s">
        <v>929</v>
      </c>
      <c r="F1347" s="271" t="str">
        <f>IFERROR(VLOOKUP(E1347,'Inventaire des produits'!$B$4:$K$1000,2,0),"")</f>
        <v xml:space="preserve">SERVIETTE DE TABLE </v>
      </c>
      <c r="G1347" s="247">
        <v>160</v>
      </c>
      <c r="H1347" s="79">
        <v>3.75</v>
      </c>
      <c r="I1347" s="95">
        <f t="shared" si="44"/>
        <v>600</v>
      </c>
      <c r="J1347" s="95">
        <f t="shared" si="45"/>
        <v>720</v>
      </c>
      <c r="K1347" s="93">
        <f>IFERROR(VLOOKUP(E1347,'Inventaire des produits'!$B$4:$J$1000,5,FALSE),"")</f>
        <v>0</v>
      </c>
      <c r="L1347" s="301">
        <f>IFERROR(VLOOKUP(E1347,'Inventaire des produits'!$B$4:$J$1000,6,FALSE),"")</f>
        <v>2.9169999999999998</v>
      </c>
      <c r="M1347" s="62"/>
    </row>
    <row r="1348" spans="2:13" x14ac:dyDescent="0.3">
      <c r="B1348" s="378" t="s">
        <v>1704</v>
      </c>
      <c r="C1348" s="342"/>
      <c r="D1348" s="345"/>
      <c r="E1348" s="235" t="s">
        <v>208</v>
      </c>
      <c r="F1348" s="271" t="str">
        <f>IFERROR(VLOOKUP(E1348,'Inventaire des produits'!$B$4:$K$1000,2,0),"")</f>
        <v>PAPIER SANDWISH INGRAISSABLE GRIS PACK 2,5KG</v>
      </c>
      <c r="G1348" s="247">
        <v>4</v>
      </c>
      <c r="H1348" s="79">
        <v>65</v>
      </c>
      <c r="I1348" s="95">
        <f t="shared" si="44"/>
        <v>260</v>
      </c>
      <c r="J1348" s="95">
        <f t="shared" si="45"/>
        <v>312</v>
      </c>
      <c r="K1348" s="93">
        <f>IFERROR(VLOOKUP(E1348,'Inventaire des produits'!$B$4:$J$1000,5,FALSE),"")</f>
        <v>0</v>
      </c>
      <c r="L1348" s="301">
        <f>IFERROR(VLOOKUP(E1348,'Inventaire des produits'!$B$4:$J$1000,6,FALSE),"")</f>
        <v>59.008333333300001</v>
      </c>
      <c r="M1348" s="62"/>
    </row>
    <row r="1349" spans="2:13" x14ac:dyDescent="0.3">
      <c r="B1349" s="378" t="s">
        <v>1704</v>
      </c>
      <c r="C1349" s="55">
        <v>45537</v>
      </c>
      <c r="D1349" s="54" t="s">
        <v>1324</v>
      </c>
      <c r="E1349" s="235" t="s">
        <v>988</v>
      </c>
      <c r="F1349" s="271" t="str">
        <f>IFERROR(VLOOKUP(E1349,'Inventaire des produits'!$B$4:$K$1000,2,0),"")</f>
        <v>ROULEAU ALUMINIUM DU CHEF PRO 300</v>
      </c>
      <c r="G1349" s="247">
        <v>50</v>
      </c>
      <c r="H1349" s="79">
        <f>110/1.2</f>
        <v>91.666666666666671</v>
      </c>
      <c r="I1349" s="95">
        <f t="shared" si="44"/>
        <v>4583.3333333333339</v>
      </c>
      <c r="J1349" s="95">
        <f t="shared" si="45"/>
        <v>5500.0000000000009</v>
      </c>
      <c r="K1349" s="93">
        <f>IFERROR(VLOOKUP(E1349,'Inventaire des produits'!$B$4:$J$1000,5,FALSE),"")</f>
        <v>40</v>
      </c>
      <c r="L1349" s="301">
        <f>IFERROR(VLOOKUP(E1349,'Inventaire des produits'!$B$4:$J$1000,6,FALSE),"")</f>
        <v>88.52</v>
      </c>
      <c r="M1349" s="62">
        <f>J1349</f>
        <v>5500.0000000000009</v>
      </c>
    </row>
    <row r="1350" spans="2:13" x14ac:dyDescent="0.3">
      <c r="B1350" s="378" t="s">
        <v>1704</v>
      </c>
      <c r="C1350" s="55">
        <v>45538</v>
      </c>
      <c r="D1350" s="54" t="s">
        <v>1325</v>
      </c>
      <c r="E1350" s="235" t="s">
        <v>1293</v>
      </c>
      <c r="F1350" s="271" t="str">
        <f>IFERROR(VLOOKUP(E1350,'Inventaire des produits'!$B$4:$K$1000,2,0),"")</f>
        <v>GOBLET 14OZ EN PLAST TRANS SMART + CV PLAT</v>
      </c>
      <c r="G1350" s="247">
        <v>5000</v>
      </c>
      <c r="H1350" s="79">
        <v>0.65</v>
      </c>
      <c r="I1350" s="95">
        <f t="shared" ref="I1350:I1414" si="50">IF(OR(G1350="",H1350=""),"",G1350*H1350)</f>
        <v>3250</v>
      </c>
      <c r="J1350" s="95">
        <f t="shared" ref="J1350:J1414" si="51">IF(OR(I1350=""),"",I1350*1.2)</f>
        <v>3900</v>
      </c>
      <c r="K1350" s="93">
        <f>IFERROR(VLOOKUP(E1350,'Inventaire des produits'!$B$4:$J$1000,5,FALSE),"")</f>
        <v>0</v>
      </c>
      <c r="L1350" s="301">
        <f>IFERROR(VLOOKUP(E1350,'Inventaire des produits'!$B$4:$J$1000,6,FALSE),"")</f>
        <v>0.57778333333333343</v>
      </c>
      <c r="M1350" s="62">
        <v>3900</v>
      </c>
    </row>
    <row r="1351" spans="2:13" x14ac:dyDescent="0.3">
      <c r="B1351" s="378" t="s">
        <v>1704</v>
      </c>
      <c r="C1351" s="340">
        <v>45538</v>
      </c>
      <c r="D1351" s="337" t="s">
        <v>1329</v>
      </c>
      <c r="E1351" s="235" t="s">
        <v>1184</v>
      </c>
      <c r="F1351" s="271" t="str">
        <f>IFERROR(VLOOKUP(E1351,'Inventaire des produits'!$B$4:$K$1000,2,0),"")</f>
        <v>COQUILLE MEAL BOX 2 COMP BLANC</v>
      </c>
      <c r="G1351" s="247">
        <v>600</v>
      </c>
      <c r="H1351" s="79">
        <v>1.25</v>
      </c>
      <c r="I1351" s="95">
        <f t="shared" si="50"/>
        <v>750</v>
      </c>
      <c r="J1351" s="95">
        <f t="shared" si="51"/>
        <v>900</v>
      </c>
      <c r="K1351" s="93">
        <f>IFERROR(VLOOKUP(E1351,'Inventaire des produits'!$B$4:$J$1000,5,FALSE),"")</f>
        <v>5800</v>
      </c>
      <c r="L1351" s="301">
        <f>IFERROR(VLOOKUP(E1351,'Inventaire des produits'!$B$4:$J$1000,6,FALSE),"")</f>
        <v>0.79166666666666663</v>
      </c>
      <c r="M1351" s="62">
        <f>SUM(J1351:J1358)</f>
        <v>4701.2980000000007</v>
      </c>
    </row>
    <row r="1352" spans="2:13" ht="16.5" customHeight="1" x14ac:dyDescent="0.3">
      <c r="B1352" s="378" t="s">
        <v>1704</v>
      </c>
      <c r="C1352" s="341"/>
      <c r="D1352" s="338"/>
      <c r="E1352" s="235" t="s">
        <v>514</v>
      </c>
      <c r="F1352" s="271" t="str">
        <f>IFERROR(VLOOKUP(E1352,'Inventaire des produits'!$B$4:$K$1000,2,0),"")</f>
        <v xml:space="preserve">BARQUETTE MICRON ONDABLE 2 COMP </v>
      </c>
      <c r="G1352" s="247">
        <v>300</v>
      </c>
      <c r="H1352" s="79">
        <v>2.75</v>
      </c>
      <c r="I1352" s="95">
        <f t="shared" si="50"/>
        <v>825</v>
      </c>
      <c r="J1352" s="95">
        <f t="shared" si="51"/>
        <v>990</v>
      </c>
      <c r="K1352" s="93">
        <f>IFERROR(VLOOKUP(E1352,'Inventaire des produits'!$B$4:$J$1000,5,FALSE),"")</f>
        <v>0</v>
      </c>
      <c r="L1352" s="301">
        <f>IFERROR(VLOOKUP(E1352,'Inventaire des produits'!$B$4:$J$1000,6,FALSE),"")</f>
        <v>1.625</v>
      </c>
      <c r="M1352" s="62"/>
    </row>
    <row r="1353" spans="2:13" ht="16.5" customHeight="1" x14ac:dyDescent="0.3">
      <c r="B1353" s="378" t="s">
        <v>1704</v>
      </c>
      <c r="C1353" s="341"/>
      <c r="D1353" s="338"/>
      <c r="E1353" s="235" t="s">
        <v>601</v>
      </c>
      <c r="F1353" s="271" t="str">
        <f>IFERROR(VLOOKUP(E1353,'Inventaire des produits'!$B$4:$K$1000,2,0),"")</f>
        <v>FILM ALIMENTAIRE VIOLET 280MM 500GR</v>
      </c>
      <c r="G1353" s="247">
        <v>5</v>
      </c>
      <c r="H1353" s="79">
        <v>31.669</v>
      </c>
      <c r="I1353" s="95">
        <f t="shared" si="50"/>
        <v>158.345</v>
      </c>
      <c r="J1353" s="95">
        <f t="shared" si="51"/>
        <v>190.01399999999998</v>
      </c>
      <c r="K1353" s="93">
        <f>IFERROR(VLOOKUP(E1353,'Inventaire des produits'!$B$4:$J$1000,5,FALSE),"")</f>
        <v>0</v>
      </c>
      <c r="L1353" s="301">
        <f>IFERROR(VLOOKUP(E1353,'Inventaire des produits'!$B$4:$J$1000,6,FALSE),"")</f>
        <v>29.17</v>
      </c>
      <c r="M1353" s="62"/>
    </row>
    <row r="1354" spans="2:13" x14ac:dyDescent="0.3">
      <c r="B1354" s="378" t="s">
        <v>1704</v>
      </c>
      <c r="C1354" s="341"/>
      <c r="D1354" s="338"/>
      <c r="E1354" s="235" t="s">
        <v>162</v>
      </c>
      <c r="F1354" s="271" t="str">
        <f>IFERROR(VLOOKUP(E1354,'Inventaire des produits'!$B$4:$K$1000,2,0),"")</f>
        <v>COQUILLE LUNCH BOX LARGE HB10 BLANC</v>
      </c>
      <c r="G1354" s="247">
        <v>1200</v>
      </c>
      <c r="H1354" s="79">
        <v>1</v>
      </c>
      <c r="I1354" s="95">
        <f t="shared" si="50"/>
        <v>1200</v>
      </c>
      <c r="J1354" s="95">
        <f t="shared" si="51"/>
        <v>1440</v>
      </c>
      <c r="K1354" s="93">
        <f>IFERROR(VLOOKUP(E1354,'Inventaire des produits'!$B$4:$J$1000,5,FALSE),"")</f>
        <v>0</v>
      </c>
      <c r="L1354" s="301">
        <f>IFERROR(VLOOKUP(E1354,'Inventaire des produits'!$B$4:$J$1000,6,FALSE),"")</f>
        <v>0.75</v>
      </c>
      <c r="M1354" s="62"/>
    </row>
    <row r="1355" spans="2:13" x14ac:dyDescent="0.3">
      <c r="B1355" s="378" t="s">
        <v>1704</v>
      </c>
      <c r="C1355" s="341"/>
      <c r="D1355" s="338"/>
      <c r="E1355" s="235" t="s">
        <v>778</v>
      </c>
      <c r="F1355" s="271" t="str">
        <f>IFERROR(VLOOKUP(E1355,'Inventaire des produits'!$B$4:$K$1000,2,0),"")</f>
        <v>POT DE SAUCE EN PLAST TRANSP 20ML</v>
      </c>
      <c r="G1355" s="247">
        <v>2000</v>
      </c>
      <c r="H1355" s="79">
        <v>0.12553500000000001</v>
      </c>
      <c r="I1355" s="95">
        <f t="shared" si="50"/>
        <v>251.07000000000002</v>
      </c>
      <c r="J1355" s="95">
        <f t="shared" si="51"/>
        <v>301.28399999999999</v>
      </c>
      <c r="K1355" s="93">
        <f>IFERROR(VLOOKUP(E1355,'Inventaire des produits'!$B$4:$J$1000,5,FALSE),"")</f>
        <v>0</v>
      </c>
      <c r="L1355" s="301">
        <f>IFERROR(VLOOKUP(E1355,'Inventaire des produits'!$B$4:$J$1000,6,FALSE),"")</f>
        <v>8.3333333300000006E-2</v>
      </c>
      <c r="M1355" s="62"/>
    </row>
    <row r="1356" spans="2:13" x14ac:dyDescent="0.3">
      <c r="B1356" s="378" t="s">
        <v>1704</v>
      </c>
      <c r="C1356" s="341"/>
      <c r="D1356" s="338"/>
      <c r="E1356" s="235" t="s">
        <v>929</v>
      </c>
      <c r="F1356" s="271" t="str">
        <f>IFERROR(VLOOKUP(E1356,'Inventaire des produits'!$B$4:$K$1000,2,0),"")</f>
        <v xml:space="preserve">SERVIETTE DE TABLE </v>
      </c>
      <c r="G1356" s="247">
        <v>120</v>
      </c>
      <c r="H1356" s="79">
        <v>3.75</v>
      </c>
      <c r="I1356" s="95">
        <f t="shared" si="50"/>
        <v>450</v>
      </c>
      <c r="J1356" s="95">
        <f t="shared" si="51"/>
        <v>540</v>
      </c>
      <c r="K1356" s="93">
        <f>IFERROR(VLOOKUP(E1356,'Inventaire des produits'!$B$4:$J$1000,5,FALSE),"")</f>
        <v>0</v>
      </c>
      <c r="L1356" s="301">
        <f>IFERROR(VLOOKUP(E1356,'Inventaire des produits'!$B$4:$J$1000,6,FALSE),"")</f>
        <v>2.9169999999999998</v>
      </c>
      <c r="M1356" s="62"/>
    </row>
    <row r="1357" spans="2:13" x14ac:dyDescent="0.3">
      <c r="B1357" s="378" t="s">
        <v>1704</v>
      </c>
      <c r="C1357" s="341"/>
      <c r="D1357" s="338"/>
      <c r="E1357" s="235" t="s">
        <v>464</v>
      </c>
      <c r="F1357" s="271" t="str">
        <f>IFERROR(VLOOKUP(E1357,'Inventaire des produits'!$B$4:$K$1000,2,0),"")</f>
        <v>PAPIER ZIGZAG</v>
      </c>
      <c r="G1357" s="247">
        <v>20</v>
      </c>
      <c r="H1357" s="79">
        <v>12.5</v>
      </c>
      <c r="I1357" s="95">
        <f t="shared" si="50"/>
        <v>250</v>
      </c>
      <c r="J1357" s="95">
        <f t="shared" si="51"/>
        <v>300</v>
      </c>
      <c r="K1357" s="93">
        <f>IFERROR(VLOOKUP(E1357,'Inventaire des produits'!$B$4:$J$1000,5,FALSE),"")</f>
        <v>120</v>
      </c>
      <c r="L1357" s="301">
        <f>IFERROR(VLOOKUP(E1357,'Inventaire des produits'!$B$4:$J$1000,6,FALSE),"")</f>
        <v>7.5</v>
      </c>
      <c r="M1357" s="62"/>
    </row>
    <row r="1358" spans="2:13" x14ac:dyDescent="0.3">
      <c r="B1358" s="378" t="s">
        <v>1704</v>
      </c>
      <c r="C1358" s="342"/>
      <c r="D1358" s="339"/>
      <c r="E1358" s="235" t="s">
        <v>869</v>
      </c>
      <c r="F1358" s="271" t="str">
        <f>IFERROR(VLOOKUP(E1358,'Inventaire des produits'!$B$4:$K$1000,2,0),"")</f>
        <v>PAILLE ENVELOPPEE CODE 100 TRANS</v>
      </c>
      <c r="G1358" s="247">
        <v>4</v>
      </c>
      <c r="H1358" s="79">
        <v>8.3333333333333339</v>
      </c>
      <c r="I1358" s="95">
        <f t="shared" si="50"/>
        <v>33.333333333333336</v>
      </c>
      <c r="J1358" s="95">
        <f t="shared" si="51"/>
        <v>40</v>
      </c>
      <c r="K1358" s="93">
        <f>IFERROR(VLOOKUP(E1358,'Inventaire des produits'!$B$4:$J$1000,5,FALSE),"")</f>
        <v>898</v>
      </c>
      <c r="L1358" s="301">
        <f>IFERROR(VLOOKUP(E1358,'Inventaire des produits'!$B$4:$J$1000,6,FALSE),"")</f>
        <v>3.9166666659999998</v>
      </c>
      <c r="M1358" s="62"/>
    </row>
    <row r="1359" spans="2:13" x14ac:dyDescent="0.3">
      <c r="B1359" s="378" t="s">
        <v>1704</v>
      </c>
      <c r="C1359" s="340">
        <v>45538</v>
      </c>
      <c r="D1359" s="337" t="s">
        <v>1330</v>
      </c>
      <c r="E1359" s="235" t="s">
        <v>258</v>
      </c>
      <c r="F1359" s="271" t="str">
        <f>IFERROR(VLOOKUP(E1359,'Inventaire des produits'!$B$4:$K$1000,2,0),"")</f>
        <v>BARQUETTE ST5</v>
      </c>
      <c r="G1359" s="247">
        <v>300</v>
      </c>
      <c r="H1359" s="79">
        <v>1.6722300000000001</v>
      </c>
      <c r="I1359" s="95">
        <f t="shared" si="50"/>
        <v>501.66900000000004</v>
      </c>
      <c r="J1359" s="95">
        <f t="shared" si="51"/>
        <v>602.00279999999998</v>
      </c>
      <c r="K1359" s="93">
        <f>IFERROR(VLOOKUP(E1359,'Inventaire des produits'!$B$4:$J$1000,5,FALSE),"")</f>
        <v>0</v>
      </c>
      <c r="L1359" s="301">
        <f>IFERROR(VLOOKUP(E1359,'Inventaire des produits'!$B$4:$J$1000,6,FALSE),"")</f>
        <v>1.3333333332999999</v>
      </c>
      <c r="M1359" s="62">
        <f>SUM(J1359:J1363)</f>
        <v>1564.0028</v>
      </c>
    </row>
    <row r="1360" spans="2:13" x14ac:dyDescent="0.3">
      <c r="B1360" s="378" t="s">
        <v>1704</v>
      </c>
      <c r="C1360" s="341"/>
      <c r="D1360" s="338"/>
      <c r="E1360" s="235" t="s">
        <v>929</v>
      </c>
      <c r="F1360" s="271" t="str">
        <f>IFERROR(VLOOKUP(E1360,'Inventaire des produits'!$B$4:$K$1000,2,0),"")</f>
        <v xml:space="preserve">SERVIETTE DE TABLE </v>
      </c>
      <c r="G1360" s="247">
        <v>100</v>
      </c>
      <c r="H1360" s="79">
        <v>4</v>
      </c>
      <c r="I1360" s="95">
        <f t="shared" si="50"/>
        <v>400</v>
      </c>
      <c r="J1360" s="95">
        <f t="shared" si="51"/>
        <v>480</v>
      </c>
      <c r="K1360" s="93">
        <f>IFERROR(VLOOKUP(E1360,'Inventaire des produits'!$B$4:$J$1000,5,FALSE),"")</f>
        <v>0</v>
      </c>
      <c r="L1360" s="301">
        <f>IFERROR(VLOOKUP(E1360,'Inventaire des produits'!$B$4:$J$1000,6,FALSE),"")</f>
        <v>2.9169999999999998</v>
      </c>
      <c r="M1360" s="62"/>
    </row>
    <row r="1361" spans="2:13" x14ac:dyDescent="0.3">
      <c r="B1361" s="378" t="s">
        <v>1704</v>
      </c>
      <c r="C1361" s="341"/>
      <c r="D1361" s="338"/>
      <c r="E1361" s="235" t="s">
        <v>869</v>
      </c>
      <c r="F1361" s="271" t="str">
        <f>IFERROR(VLOOKUP(E1361,'Inventaire des produits'!$B$4:$K$1000,2,0),"")</f>
        <v>PAILLE ENVELOPPEE CODE 100 TRANS</v>
      </c>
      <c r="G1361" s="247">
        <v>9</v>
      </c>
      <c r="H1361" s="79">
        <v>8.3333333333333339</v>
      </c>
      <c r="I1361" s="95">
        <f t="shared" si="50"/>
        <v>75</v>
      </c>
      <c r="J1361" s="95">
        <f t="shared" si="51"/>
        <v>90</v>
      </c>
      <c r="K1361" s="93">
        <f>IFERROR(VLOOKUP(E1361,'Inventaire des produits'!$B$4:$J$1000,5,FALSE),"")</f>
        <v>898</v>
      </c>
      <c r="L1361" s="301">
        <f>IFERROR(VLOOKUP(E1361,'Inventaire des produits'!$B$4:$J$1000,6,FALSE),"")</f>
        <v>3.9166666659999998</v>
      </c>
      <c r="M1361" s="62"/>
    </row>
    <row r="1362" spans="2:13" x14ac:dyDescent="0.3">
      <c r="B1362" s="378" t="s">
        <v>1704</v>
      </c>
      <c r="C1362" s="341"/>
      <c r="D1362" s="338"/>
      <c r="E1362" s="235" t="s">
        <v>723</v>
      </c>
      <c r="F1362" s="271" t="str">
        <f>IFERROR(VLOOKUP(E1362,'Inventaire des produits'!$B$4:$K$1000,2,0),"")</f>
        <v>PALETTE A GLACE BLANC</v>
      </c>
      <c r="G1362" s="247">
        <v>6</v>
      </c>
      <c r="H1362" s="79">
        <v>23.333333333333336</v>
      </c>
      <c r="I1362" s="95">
        <f t="shared" si="50"/>
        <v>140</v>
      </c>
      <c r="J1362" s="95">
        <f t="shared" si="51"/>
        <v>168</v>
      </c>
      <c r="K1362" s="93">
        <f>IFERROR(VLOOKUP(E1362,'Inventaire des produits'!$B$4:$J$1000,5,FALSE),"")</f>
        <v>0</v>
      </c>
      <c r="L1362" s="301">
        <f>IFERROR(VLOOKUP(E1362,'Inventaire des produits'!$B$4:$J$1000,6,FALSE),"")</f>
        <v>16</v>
      </c>
      <c r="M1362" s="62"/>
    </row>
    <row r="1363" spans="2:13" x14ac:dyDescent="0.3">
      <c r="B1363" s="378" t="s">
        <v>1704</v>
      </c>
      <c r="C1363" s="342"/>
      <c r="D1363" s="339"/>
      <c r="E1363" s="235" t="s">
        <v>726</v>
      </c>
      <c r="F1363" s="271" t="str">
        <f>IFERROR(VLOOKUP(E1363,'Inventaire des produits'!$B$4:$K$1000,2,0),"")</f>
        <v>PALETTE A GLACE BLANC</v>
      </c>
      <c r="G1363" s="247">
        <v>8</v>
      </c>
      <c r="H1363" s="79">
        <v>23.333333333333336</v>
      </c>
      <c r="I1363" s="95">
        <f t="shared" si="50"/>
        <v>186.66666666666669</v>
      </c>
      <c r="J1363" s="95">
        <f t="shared" si="51"/>
        <v>224.00000000000003</v>
      </c>
      <c r="K1363" s="93">
        <f>IFERROR(VLOOKUP(E1363,'Inventaire des produits'!$B$4:$J$1000,5,FALSE),"")</f>
        <v>0</v>
      </c>
      <c r="L1363" s="301">
        <f>IFERROR(VLOOKUP(E1363,'Inventaire des produits'!$B$4:$J$1000,6,FALSE),"")</f>
        <v>16.03</v>
      </c>
      <c r="M1363" s="62"/>
    </row>
    <row r="1364" spans="2:13" x14ac:dyDescent="0.3">
      <c r="B1364" s="378" t="s">
        <v>1704</v>
      </c>
      <c r="C1364" s="340">
        <v>45539</v>
      </c>
      <c r="D1364" s="337" t="s">
        <v>1331</v>
      </c>
      <c r="E1364" s="235" t="s">
        <v>802</v>
      </c>
      <c r="F1364" s="271" t="str">
        <f>IFERROR(VLOOKUP(E1364,'Inventaire des produits'!$B$4:$K$1000,2,0),"")</f>
        <v>BOITE PIZZA 29</v>
      </c>
      <c r="G1364" s="247">
        <v>82</v>
      </c>
      <c r="H1364" s="79">
        <v>58.5</v>
      </c>
      <c r="I1364" s="95">
        <f t="shared" si="50"/>
        <v>4797</v>
      </c>
      <c r="J1364" s="95">
        <f t="shared" si="51"/>
        <v>5756.4</v>
      </c>
      <c r="K1364" s="93">
        <f>IFERROR(VLOOKUP(E1364,'Inventaire des produits'!$B$4:$J$1000,5,FALSE),"")</f>
        <v>0</v>
      </c>
      <c r="L1364" s="301">
        <f>IFERROR(VLOOKUP(E1364,'Inventaire des produits'!$B$4:$J$1000,6,FALSE),"")</f>
        <v>40</v>
      </c>
      <c r="M1364" s="62">
        <f>SUM(J1364:J1367)</f>
        <v>7560.0107999999991</v>
      </c>
    </row>
    <row r="1365" spans="2:13" x14ac:dyDescent="0.3">
      <c r="B1365" s="378" t="s">
        <v>1704</v>
      </c>
      <c r="C1365" s="341"/>
      <c r="D1365" s="338"/>
      <c r="E1365" s="235" t="s">
        <v>1131</v>
      </c>
      <c r="F1365" s="271" t="str">
        <f>IFERROR(VLOOKUP(E1365,'Inventaire des produits'!$B$4:$K$1000,2,0),"")</f>
        <v>MOUCHOIR ROTANA 600</v>
      </c>
      <c r="G1365" s="247">
        <v>75</v>
      </c>
      <c r="H1365" s="79">
        <v>7.9290000000000003</v>
      </c>
      <c r="I1365" s="95">
        <f t="shared" si="50"/>
        <v>594.67500000000007</v>
      </c>
      <c r="J1365" s="95">
        <f t="shared" si="51"/>
        <v>713.61</v>
      </c>
      <c r="K1365" s="93">
        <f>IFERROR(VLOOKUP(E1365,'Inventaire des produits'!$B$4:$J$1000,5,FALSE),"")</f>
        <v>333</v>
      </c>
      <c r="L1365" s="301">
        <f>IFERROR(VLOOKUP(E1365,'Inventaire des produits'!$B$4:$J$1000,6,FALSE),"")</f>
        <v>6.6669999999999998</v>
      </c>
      <c r="M1365" s="62"/>
    </row>
    <row r="1366" spans="2:13" x14ac:dyDescent="0.3">
      <c r="B1366" s="378" t="s">
        <v>1704</v>
      </c>
      <c r="C1366" s="341"/>
      <c r="D1366" s="338"/>
      <c r="E1366" s="235" t="s">
        <v>204</v>
      </c>
      <c r="F1366" s="271" t="str">
        <f>IFERROR(VLOOKUP(E1366,'Inventaire des produits'!$B$4:$K$1000,2,0),"")</f>
        <v>LUNCH BOX KRAFT BONNE APETIT 19*11*7,5 CARTON 200</v>
      </c>
      <c r="G1366" s="247">
        <v>3</v>
      </c>
      <c r="H1366" s="79">
        <v>275</v>
      </c>
      <c r="I1366" s="95">
        <f t="shared" si="50"/>
        <v>825</v>
      </c>
      <c r="J1366" s="95">
        <f t="shared" si="51"/>
        <v>990</v>
      </c>
      <c r="K1366" s="93">
        <f>IFERROR(VLOOKUP(E1366,'Inventaire des produits'!$B$4:$J$1000,5,FALSE),"")</f>
        <v>0</v>
      </c>
      <c r="L1366" s="301">
        <f>IFERROR(VLOOKUP(E1366,'Inventaire des produits'!$B$4:$J$1000,6,FALSE),"")</f>
        <v>250.6666666667</v>
      </c>
      <c r="M1366" s="62"/>
    </row>
    <row r="1367" spans="2:13" x14ac:dyDescent="0.3">
      <c r="B1367" s="378" t="s">
        <v>1704</v>
      </c>
      <c r="C1367" s="342"/>
      <c r="D1367" s="339"/>
      <c r="E1367" s="235" t="s">
        <v>211</v>
      </c>
      <c r="F1367" s="271" t="str">
        <f>IFERROR(VLOOKUP(E1367,'Inventaire des produits'!$B$4:$K$1000,2,0),"")</f>
        <v>FILM PVC ETIRABLE EXTRA 500*45 1,5KG</v>
      </c>
      <c r="G1367" s="247">
        <v>2</v>
      </c>
      <c r="H1367" s="79">
        <v>41.667000000000002</v>
      </c>
      <c r="I1367" s="95">
        <f t="shared" si="50"/>
        <v>83.334000000000003</v>
      </c>
      <c r="J1367" s="95">
        <f t="shared" si="51"/>
        <v>100.0008</v>
      </c>
      <c r="K1367" s="93">
        <f>IFERROR(VLOOKUP(E1367,'Inventaire des produits'!$B$4:$J$1000,5,FALSE),"")</f>
        <v>0</v>
      </c>
      <c r="L1367" s="301">
        <f>IFERROR(VLOOKUP(E1367,'Inventaire des produits'!$B$4:$J$1000,6,FALSE),"")</f>
        <v>35</v>
      </c>
      <c r="M1367" s="62"/>
    </row>
    <row r="1368" spans="2:13" x14ac:dyDescent="0.3">
      <c r="B1368" s="378" t="s">
        <v>1704</v>
      </c>
      <c r="C1368" s="340">
        <v>45540</v>
      </c>
      <c r="D1368" s="337" t="s">
        <v>1340</v>
      </c>
      <c r="E1368" s="235" t="s">
        <v>895</v>
      </c>
      <c r="F1368" s="271" t="str">
        <f>IFERROR(VLOOKUP(E1368,'Inventaire des produits'!$B$4:$K$1000,2,0),"")</f>
        <v>ROULEAU ALUMINIUM GOLDEN 200M</v>
      </c>
      <c r="G1368" s="247">
        <v>24</v>
      </c>
      <c r="H1368" s="79">
        <f>75/1.2</f>
        <v>62.5</v>
      </c>
      <c r="I1368" s="95">
        <f t="shared" si="50"/>
        <v>1500</v>
      </c>
      <c r="J1368" s="95">
        <f t="shared" si="51"/>
        <v>1800</v>
      </c>
      <c r="K1368" s="93">
        <f>IFERROR(VLOOKUP(E1368,'Inventaire des produits'!$B$4:$J$1000,5,FALSE),"")</f>
        <v>0</v>
      </c>
      <c r="L1368" s="301">
        <f>IFERROR(VLOOKUP(E1368,'Inventaire des produits'!$B$4:$J$1000,6,FALSE),"")</f>
        <v>57.5</v>
      </c>
      <c r="M1368" s="62">
        <f>SUM(J1368:J1370)</f>
        <v>4430</v>
      </c>
    </row>
    <row r="1369" spans="2:13" x14ac:dyDescent="0.3">
      <c r="B1369" s="378" t="s">
        <v>1704</v>
      </c>
      <c r="C1369" s="341"/>
      <c r="D1369" s="338"/>
      <c r="E1369" s="235" t="s">
        <v>601</v>
      </c>
      <c r="F1369" s="271" t="str">
        <f>IFERROR(VLOOKUP(E1369,'Inventaire des produits'!$B$4:$K$1000,2,0),"")</f>
        <v>FILM ALIMENTAIRE VIOLET 280MM 500GR</v>
      </c>
      <c r="G1369" s="247">
        <v>18</v>
      </c>
      <c r="H1369" s="79">
        <f>35/1.2</f>
        <v>29.166666666666668</v>
      </c>
      <c r="I1369" s="95">
        <f t="shared" si="50"/>
        <v>525</v>
      </c>
      <c r="J1369" s="95">
        <f t="shared" si="51"/>
        <v>630</v>
      </c>
      <c r="K1369" s="93">
        <f>IFERROR(VLOOKUP(E1369,'Inventaire des produits'!$B$4:$J$1000,5,FALSE),"")</f>
        <v>0</v>
      </c>
      <c r="L1369" s="301">
        <f>IFERROR(VLOOKUP(E1369,'Inventaire des produits'!$B$4:$J$1000,6,FALSE),"")</f>
        <v>29.17</v>
      </c>
      <c r="M1369" s="62"/>
    </row>
    <row r="1370" spans="2:13" x14ac:dyDescent="0.3">
      <c r="B1370" s="378" t="s">
        <v>1704</v>
      </c>
      <c r="C1370" s="342"/>
      <c r="D1370" s="339"/>
      <c r="E1370" s="235" t="s">
        <v>1202</v>
      </c>
      <c r="F1370" s="271" t="str">
        <f>IFERROR(VLOOKUP(E1370,'Inventaire des produits'!$B$4:$K$1000,2,0),"")</f>
        <v>POT DE SAUCE 1OZ AVEC CVL</v>
      </c>
      <c r="G1370" s="247">
        <v>10000</v>
      </c>
      <c r="H1370" s="79">
        <f>0.2/1.2</f>
        <v>0.16666666666666669</v>
      </c>
      <c r="I1370" s="95">
        <f t="shared" ref="I1370" si="52">IF(OR(G1370="",H1370=""),"",G1370*H1370)</f>
        <v>1666.6666666666667</v>
      </c>
      <c r="J1370" s="95">
        <f t="shared" ref="J1370" si="53">IF(OR(I1370=""),"",I1370*1.2)</f>
        <v>2000</v>
      </c>
      <c r="K1370" s="93">
        <f>IFERROR(VLOOKUP(E1370,'Inventaire des produits'!$B$4:$J$1000,5,FALSE),"")</f>
        <v>4500</v>
      </c>
      <c r="L1370" s="301">
        <f>IFERROR(VLOOKUP(E1370,'Inventaire des produits'!$B$4:$J$1000,6,FALSE),"")</f>
        <v>0.14166666666666669</v>
      </c>
      <c r="M1370" s="62"/>
    </row>
    <row r="1371" spans="2:13" x14ac:dyDescent="0.3">
      <c r="B1371" s="378" t="s">
        <v>1704</v>
      </c>
      <c r="C1371" s="340">
        <v>45540</v>
      </c>
      <c r="D1371" s="337" t="s">
        <v>1341</v>
      </c>
      <c r="E1371" s="235" t="s">
        <v>1162</v>
      </c>
      <c r="F1371" s="271" t="str">
        <f>IFERROR(VLOOKUP(E1371,'Inventaire des produits'!$B$4:$K$1000,2,0),"")</f>
        <v>BOITE PIZZA N°40</v>
      </c>
      <c r="G1371" s="247">
        <v>450</v>
      </c>
      <c r="H1371" s="79">
        <v>3.4166666666666665</v>
      </c>
      <c r="I1371" s="95">
        <f t="shared" si="50"/>
        <v>1537.5</v>
      </c>
      <c r="J1371" s="95">
        <f t="shared" si="51"/>
        <v>1845</v>
      </c>
      <c r="K1371" s="93">
        <f>IFERROR(VLOOKUP(E1371,'Inventaire des produits'!$B$4:$J$1000,5,FALSE),"")</f>
        <v>0</v>
      </c>
      <c r="L1371" s="301">
        <f>IFERROR(VLOOKUP(E1371,'Inventaire des produits'!$B$4:$J$1000,6,FALSE),"")</f>
        <v>2.78</v>
      </c>
      <c r="M1371" s="62">
        <v>1845</v>
      </c>
    </row>
    <row r="1372" spans="2:13" x14ac:dyDescent="0.3">
      <c r="B1372" s="378" t="s">
        <v>1704</v>
      </c>
      <c r="C1372" s="342"/>
      <c r="D1372" s="339"/>
      <c r="E1372" s="235" t="s">
        <v>1339</v>
      </c>
      <c r="F1372" s="271" t="str">
        <f>IFERROR(VLOOKUP(E1372,'Inventaire des produits'!$B$4:$K$1000,2,0),"")</f>
        <v>BOITE PIZZA 29</v>
      </c>
      <c r="G1372" s="247">
        <v>40</v>
      </c>
      <c r="H1372" s="79">
        <f>100/1.2</f>
        <v>83.333333333333343</v>
      </c>
      <c r="I1372" s="95">
        <f t="shared" si="50"/>
        <v>3333.3333333333339</v>
      </c>
      <c r="J1372" s="95">
        <f t="shared" si="51"/>
        <v>4000.0000000000005</v>
      </c>
      <c r="K1372" s="93">
        <f>IFERROR(VLOOKUP(E1372,'Inventaire des produits'!$B$4:$J$1000,5,FALSE),"")</f>
        <v>1</v>
      </c>
      <c r="L1372" s="301">
        <f>IFERROR(VLOOKUP(E1372,'Inventaire des produits'!$B$4:$J$1000,6,FALSE),"")</f>
        <v>58</v>
      </c>
      <c r="M1372" s="62"/>
    </row>
    <row r="1373" spans="2:13" x14ac:dyDescent="0.3">
      <c r="B1373" s="378" t="s">
        <v>1704</v>
      </c>
      <c r="C1373" s="340">
        <v>45542</v>
      </c>
      <c r="D1373" s="337" t="s">
        <v>601</v>
      </c>
      <c r="E1373" s="235" t="s">
        <v>598</v>
      </c>
      <c r="F1373" s="271" t="str">
        <f>IFERROR(VLOOKUP(E1373,'Inventaire des produits'!$B$4:$K$1000,2,0),"")</f>
        <v>GOBLET EN CARTON 8OZ AVEC CVL</v>
      </c>
      <c r="G1373" s="247">
        <v>900</v>
      </c>
      <c r="H1373" s="79">
        <f>0.55/1.2</f>
        <v>0.45833333333333337</v>
      </c>
      <c r="I1373" s="95">
        <f t="shared" si="50"/>
        <v>412.50000000000006</v>
      </c>
      <c r="J1373" s="95">
        <f t="shared" si="51"/>
        <v>495.00000000000006</v>
      </c>
      <c r="K1373" s="93">
        <f>IFERROR(VLOOKUP(E1373,'Inventaire des produits'!$B$4:$J$1000,5,FALSE),"")</f>
        <v>0</v>
      </c>
      <c r="L1373" s="301">
        <f>IFERROR(VLOOKUP(E1373,'Inventaire des produits'!$B$4:$J$1000,6,FALSE),"")</f>
        <v>0.41699999999999998</v>
      </c>
      <c r="M1373" s="62">
        <f>SUM(J1373:J1374)</f>
        <v>889.9956360000001</v>
      </c>
    </row>
    <row r="1374" spans="2:13" x14ac:dyDescent="0.3">
      <c r="B1374" s="378" t="s">
        <v>1704</v>
      </c>
      <c r="C1374" s="342"/>
      <c r="D1374" s="339"/>
      <c r="E1374" s="235" t="s">
        <v>158</v>
      </c>
      <c r="F1374" s="271" t="str">
        <f>IFERROR(VLOOKUP(E1374,'Inventaire des produits'!$B$4:$K$1000,2,0),"")</f>
        <v>CUILLERE PETIT</v>
      </c>
      <c r="G1374" s="247">
        <v>4066</v>
      </c>
      <c r="H1374" s="79">
        <v>8.0954999999999999E-2</v>
      </c>
      <c r="I1374" s="95">
        <f t="shared" si="50"/>
        <v>329.16302999999999</v>
      </c>
      <c r="J1374" s="95">
        <f t="shared" si="51"/>
        <v>394.99563599999999</v>
      </c>
      <c r="K1374" s="93">
        <f>IFERROR(VLOOKUP(E1374,'Inventaire des produits'!$B$4:$J$1000,5,FALSE),"")</f>
        <v>0</v>
      </c>
      <c r="L1374" s="301">
        <f>IFERROR(VLOOKUP(E1374,'Inventaire des produits'!$B$4:$J$1000,6,FALSE),"")</f>
        <v>5.8329499999999999E-2</v>
      </c>
      <c r="M1374" s="62"/>
    </row>
    <row r="1375" spans="2:13" x14ac:dyDescent="0.3">
      <c r="B1375" s="378" t="s">
        <v>1704</v>
      </c>
      <c r="C1375" s="340">
        <v>45544</v>
      </c>
      <c r="D1375" s="337" t="s">
        <v>1343</v>
      </c>
      <c r="E1375" s="235" t="s">
        <v>1294</v>
      </c>
      <c r="F1375" s="271" t="str">
        <f>IFERROR(VLOOKUP(E1375,'Inventaire des produits'!$B$4:$K$1000,2,0),"")</f>
        <v>BARQUETTE ALUMINIUM RECT 1200ML AVEC CVL</v>
      </c>
      <c r="G1375" s="247">
        <v>400</v>
      </c>
      <c r="H1375" s="79">
        <f>1.3/1.2</f>
        <v>1.0833333333333335</v>
      </c>
      <c r="I1375" s="95">
        <f t="shared" si="50"/>
        <v>433.33333333333337</v>
      </c>
      <c r="J1375" s="95">
        <f t="shared" si="51"/>
        <v>520</v>
      </c>
      <c r="K1375" s="93">
        <f>IFERROR(VLOOKUP(E1375,'Inventaire des produits'!$B$4:$J$1000,5,FALSE),"")</f>
        <v>4000</v>
      </c>
      <c r="L1375" s="301">
        <f>IFERROR(VLOOKUP(E1375,'Inventaire des produits'!$B$4:$J$1000,6,FALSE),"")</f>
        <v>1.3666666667</v>
      </c>
      <c r="M1375" s="62">
        <f>SUM(J1375:J1379)</f>
        <v>1080</v>
      </c>
    </row>
    <row r="1376" spans="2:13" x14ac:dyDescent="0.3">
      <c r="B1376" s="378" t="s">
        <v>1704</v>
      </c>
      <c r="C1376" s="341"/>
      <c r="D1376" s="338"/>
      <c r="E1376" s="235" t="s">
        <v>1125</v>
      </c>
      <c r="F1376" s="271" t="str">
        <f>IFERROR(VLOOKUP(E1376,'Inventaire des produits'!$B$4:$K$1000,2,0),"")</f>
        <v>FILM ALIMENTAIRE 30*300</v>
      </c>
      <c r="G1376" s="247">
        <v>1</v>
      </c>
      <c r="H1376" s="79">
        <f>35/1.2</f>
        <v>29.166666666666668</v>
      </c>
      <c r="I1376" s="95">
        <f t="shared" si="50"/>
        <v>29.166666666666668</v>
      </c>
      <c r="J1376" s="95">
        <f t="shared" si="51"/>
        <v>35</v>
      </c>
      <c r="K1376" s="93">
        <f>IFERROR(VLOOKUP(E1376,'Inventaire des produits'!$B$4:$J$1000,5,FALSE),"")</f>
        <v>167</v>
      </c>
      <c r="L1376" s="301">
        <f>IFERROR(VLOOKUP(E1376,'Inventaire des produits'!$B$4:$J$1000,6,FALSE),"")</f>
        <v>21.667000000000002</v>
      </c>
      <c r="M1376" s="62"/>
    </row>
    <row r="1377" spans="2:13" x14ac:dyDescent="0.3">
      <c r="B1377" s="378" t="s">
        <v>1704</v>
      </c>
      <c r="C1377" s="341"/>
      <c r="D1377" s="338"/>
      <c r="E1377" s="235" t="s">
        <v>617</v>
      </c>
      <c r="F1377" s="271" t="str">
        <f>IFERROR(VLOOKUP(E1377,'Inventaire des produits'!$B$4:$K$1000,2,0),"")</f>
        <v>ROULEAU ALUMINIUM GOLDEN 200M</v>
      </c>
      <c r="G1377" s="247">
        <v>1</v>
      </c>
      <c r="H1377" s="79">
        <f>85/1.2</f>
        <v>70.833333333333343</v>
      </c>
      <c r="I1377" s="95">
        <f t="shared" si="50"/>
        <v>70.833333333333343</v>
      </c>
      <c r="J1377" s="95">
        <f t="shared" si="51"/>
        <v>85.000000000000014</v>
      </c>
      <c r="K1377" s="93">
        <f>IFERROR(VLOOKUP(E1377,'Inventaire des produits'!$B$4:$J$1000,5,FALSE),"")</f>
        <v>0</v>
      </c>
      <c r="L1377" s="301">
        <f>IFERROR(VLOOKUP(E1377,'Inventaire des produits'!$B$4:$J$1000,6,FALSE),"")</f>
        <v>63.333333333299997</v>
      </c>
      <c r="M1377" s="62"/>
    </row>
    <row r="1378" spans="2:13" x14ac:dyDescent="0.3">
      <c r="B1378" s="378" t="s">
        <v>1704</v>
      </c>
      <c r="C1378" s="341"/>
      <c r="D1378" s="338"/>
      <c r="E1378" s="235" t="s">
        <v>299</v>
      </c>
      <c r="F1378" s="271" t="str">
        <f>IFERROR(VLOOKUP(E1378,'Inventaire des produits'!$B$4:$K$1000,2,0),"")</f>
        <v>BOITE CARRE 500</v>
      </c>
      <c r="G1378" s="247">
        <v>200</v>
      </c>
      <c r="H1378" s="79">
        <f>0.85/1.2</f>
        <v>0.70833333333333337</v>
      </c>
      <c r="I1378" s="95">
        <f t="shared" si="50"/>
        <v>141.66666666666669</v>
      </c>
      <c r="J1378" s="95">
        <f t="shared" si="51"/>
        <v>170.00000000000003</v>
      </c>
      <c r="K1378" s="93">
        <f>IFERROR(VLOOKUP(E1378,'Inventaire des produits'!$B$4:$J$1000,5,FALSE),"")</f>
        <v>0</v>
      </c>
      <c r="L1378" s="301">
        <f>IFERROR(VLOOKUP(E1378,'Inventaire des produits'!$B$4:$J$1000,6,FALSE),"")</f>
        <v>0.3</v>
      </c>
      <c r="M1378" s="62"/>
    </row>
    <row r="1379" spans="2:13" x14ac:dyDescent="0.3">
      <c r="B1379" s="378" t="s">
        <v>1704</v>
      </c>
      <c r="C1379" s="342"/>
      <c r="D1379" s="339"/>
      <c r="E1379" s="235" t="s">
        <v>929</v>
      </c>
      <c r="F1379" s="271" t="str">
        <f>IFERROR(VLOOKUP(E1379,'Inventaire des produits'!$B$4:$K$1000,2,0),"")</f>
        <v xml:space="preserve">SERVIETTE DE TABLE </v>
      </c>
      <c r="G1379" s="247">
        <v>60</v>
      </c>
      <c r="H1379" s="79">
        <f>4.5/1.2</f>
        <v>3.75</v>
      </c>
      <c r="I1379" s="95">
        <f t="shared" si="50"/>
        <v>225</v>
      </c>
      <c r="J1379" s="95">
        <f t="shared" si="51"/>
        <v>270</v>
      </c>
      <c r="K1379" s="93">
        <f>IFERROR(VLOOKUP(E1379,'Inventaire des produits'!$B$4:$J$1000,5,FALSE),"")</f>
        <v>0</v>
      </c>
      <c r="L1379" s="301">
        <f>IFERROR(VLOOKUP(E1379,'Inventaire des produits'!$B$4:$J$1000,6,FALSE),"")</f>
        <v>2.9169999999999998</v>
      </c>
      <c r="M1379" s="62"/>
    </row>
    <row r="1380" spans="2:13" x14ac:dyDescent="0.3">
      <c r="B1380" s="378" t="s">
        <v>1704</v>
      </c>
      <c r="C1380" s="340">
        <v>45544</v>
      </c>
      <c r="D1380" s="337" t="s">
        <v>1344</v>
      </c>
      <c r="E1380" s="235" t="s">
        <v>492</v>
      </c>
      <c r="F1380" s="271" t="str">
        <f>IFERROR(VLOOKUP(E1380,'Inventaire des produits'!$B$4:$K$1000,2,0),"")</f>
        <v>GOBLET 4OZ EN CARTON BON APPETIT ECO GB</v>
      </c>
      <c r="G1380" s="247">
        <v>8000</v>
      </c>
      <c r="H1380" s="79">
        <f>0.25/1.2</f>
        <v>0.20833333333333334</v>
      </c>
      <c r="I1380" s="95">
        <f t="shared" si="50"/>
        <v>1666.6666666666667</v>
      </c>
      <c r="J1380" s="95">
        <f t="shared" si="51"/>
        <v>2000</v>
      </c>
      <c r="K1380" s="93">
        <f>IFERROR(VLOOKUP(E1380,'Inventaire des produits'!$B$4:$J$1000,5,FALSE),"")</f>
        <v>0</v>
      </c>
      <c r="L1380" s="301">
        <f>IFERROR(VLOOKUP(E1380,'Inventaire des produits'!$B$4:$J$1000,6,FALSE),"")</f>
        <v>8.3750000000000005E-2</v>
      </c>
      <c r="M1380" s="62">
        <f>SUM(J1380:J1381)</f>
        <v>2500</v>
      </c>
    </row>
    <row r="1381" spans="2:13" x14ac:dyDescent="0.3">
      <c r="B1381" s="378" t="s">
        <v>1704</v>
      </c>
      <c r="C1381" s="342"/>
      <c r="D1381" s="339"/>
      <c r="E1381" s="235" t="s">
        <v>907</v>
      </c>
      <c r="F1381" s="271" t="str">
        <f>IFERROR(VLOOKUP(E1381,'Inventaire des produits'!$B$4:$K$1000,2,0),"")</f>
        <v>GOBLET 4OZ EN CARTON BONNE APPETIT SANS CVL</v>
      </c>
      <c r="G1381" s="247">
        <v>2000</v>
      </c>
      <c r="H1381" s="79">
        <f>0.25/1.2</f>
        <v>0.20833333333333334</v>
      </c>
      <c r="I1381" s="95">
        <f t="shared" si="50"/>
        <v>416.66666666666669</v>
      </c>
      <c r="J1381" s="95">
        <f t="shared" si="51"/>
        <v>500</v>
      </c>
      <c r="K1381" s="93">
        <f>IFERROR(VLOOKUP(E1381,'Inventaire des produits'!$B$4:$J$1000,5,FALSE),"")</f>
        <v>2000</v>
      </c>
      <c r="L1381" s="301">
        <f>IFERROR(VLOOKUP(E1381,'Inventaire des produits'!$B$4:$J$1000,6,FALSE),"")</f>
        <v>0.1116666667</v>
      </c>
      <c r="M1381" s="62"/>
    </row>
    <row r="1382" spans="2:13" x14ac:dyDescent="0.3">
      <c r="B1382" s="378" t="s">
        <v>1704</v>
      </c>
      <c r="C1382" s="340">
        <v>45544</v>
      </c>
      <c r="D1382" s="337" t="s">
        <v>1345</v>
      </c>
      <c r="E1382" s="235" t="s">
        <v>319</v>
      </c>
      <c r="F1382" s="271" t="str">
        <f>IFERROR(VLOOKUP(E1382,'Inventaire des produits'!$B$4:$K$1000,2,0),"")</f>
        <v>FOURCHETTE ECOLUXE TRANSPARENTE</v>
      </c>
      <c r="G1382" s="247">
        <v>8</v>
      </c>
      <c r="H1382" s="79">
        <v>23.016999999999999</v>
      </c>
      <c r="I1382" s="95">
        <f t="shared" si="50"/>
        <v>184.136</v>
      </c>
      <c r="J1382" s="95">
        <f t="shared" si="51"/>
        <v>220.9632</v>
      </c>
      <c r="K1382" s="93">
        <f>IFERROR(VLOOKUP(E1382,'Inventaire des produits'!$B$4:$J$1000,5,FALSE),"")</f>
        <v>0</v>
      </c>
      <c r="L1382" s="301">
        <f>IFERROR(VLOOKUP(E1382,'Inventaire des produits'!$B$4:$J$1000,6,FALSE),"")</f>
        <v>17.5</v>
      </c>
      <c r="M1382" s="62">
        <f>SUM(J1382:J1384)</f>
        <v>730.00319999999999</v>
      </c>
    </row>
    <row r="1383" spans="2:13" x14ac:dyDescent="0.3">
      <c r="B1383" s="378" t="s">
        <v>1704</v>
      </c>
      <c r="C1383" s="341"/>
      <c r="D1383" s="338"/>
      <c r="E1383" s="235" t="s">
        <v>869</v>
      </c>
      <c r="F1383" s="271" t="str">
        <f>IFERROR(VLOOKUP(E1383,'Inventaire des produits'!$B$4:$K$1000,2,0),"")</f>
        <v>PAILLE ENVELOPPEE CODE 100 TRANS</v>
      </c>
      <c r="G1383" s="247">
        <v>20</v>
      </c>
      <c r="H1383" s="79">
        <v>8.01</v>
      </c>
      <c r="I1383" s="95">
        <f t="shared" si="50"/>
        <v>160.19999999999999</v>
      </c>
      <c r="J1383" s="95">
        <f t="shared" si="51"/>
        <v>192.23999999999998</v>
      </c>
      <c r="K1383" s="93">
        <f>IFERROR(VLOOKUP(E1383,'Inventaire des produits'!$B$4:$J$1000,5,FALSE),"")</f>
        <v>898</v>
      </c>
      <c r="L1383" s="301">
        <f>IFERROR(VLOOKUP(E1383,'Inventaire des produits'!$B$4:$J$1000,6,FALSE),"")</f>
        <v>3.9166666659999998</v>
      </c>
      <c r="M1383" s="62"/>
    </row>
    <row r="1384" spans="2:13" x14ac:dyDescent="0.3">
      <c r="B1384" s="378" t="s">
        <v>1704</v>
      </c>
      <c r="C1384" s="342"/>
      <c r="D1384" s="339"/>
      <c r="E1384" s="235" t="s">
        <v>598</v>
      </c>
      <c r="F1384" s="271" t="str">
        <f>IFERROR(VLOOKUP(E1384,'Inventaire des produits'!$B$4:$K$1000,2,0),"")</f>
        <v>GOBLET EN CARTON 8OZ AVEC CVL</v>
      </c>
      <c r="G1384" s="247">
        <v>600</v>
      </c>
      <c r="H1384" s="79">
        <v>0.44</v>
      </c>
      <c r="I1384" s="95">
        <f t="shared" si="50"/>
        <v>264</v>
      </c>
      <c r="J1384" s="95">
        <f t="shared" si="51"/>
        <v>316.8</v>
      </c>
      <c r="K1384" s="93">
        <f>IFERROR(VLOOKUP(E1384,'Inventaire des produits'!$B$4:$J$1000,5,FALSE),"")</f>
        <v>0</v>
      </c>
      <c r="L1384" s="301">
        <f>IFERROR(VLOOKUP(E1384,'Inventaire des produits'!$B$4:$J$1000,6,FALSE),"")</f>
        <v>0.41699999999999998</v>
      </c>
      <c r="M1384" s="62"/>
    </row>
    <row r="1385" spans="2:13" x14ac:dyDescent="0.3">
      <c r="B1385" s="378" t="s">
        <v>1704</v>
      </c>
      <c r="C1385" s="229">
        <v>45545</v>
      </c>
      <c r="D1385" s="228" t="s">
        <v>1346</v>
      </c>
      <c r="E1385" s="235"/>
      <c r="F1385" s="271" t="str">
        <f>IFERROR(VLOOKUP(E1385,'Inventaire des produits'!$B$4:$K$1000,2,0),"")</f>
        <v/>
      </c>
      <c r="G1385" s="247"/>
      <c r="H1385" s="79"/>
      <c r="I1385" s="95" t="str">
        <f t="shared" si="50"/>
        <v/>
      </c>
      <c r="J1385" s="95" t="str">
        <f t="shared" si="51"/>
        <v/>
      </c>
      <c r="K1385" s="93" t="str">
        <f>IFERROR(VLOOKUP(E1385,'Inventaire des produits'!$B$4:$J$1000,5,FALSE),"")</f>
        <v/>
      </c>
      <c r="L1385" s="301" t="str">
        <f>IFERROR(VLOOKUP(E1385,'Inventaire des produits'!$B$4:$J$1000,6,FALSE),"")</f>
        <v/>
      </c>
      <c r="M1385" s="62"/>
    </row>
    <row r="1386" spans="2:13" x14ac:dyDescent="0.3">
      <c r="B1386" s="378" t="s">
        <v>1704</v>
      </c>
      <c r="C1386" s="340">
        <v>45545</v>
      </c>
      <c r="D1386" s="337" t="s">
        <v>1347</v>
      </c>
      <c r="E1386" s="235" t="s">
        <v>828</v>
      </c>
      <c r="F1386" s="271" t="str">
        <f>IFERROR(VLOOKUP(E1386,'Inventaire des produits'!$B$4:$K$1000,2,0),"")</f>
        <v>SAC PN BLANC 40*30</v>
      </c>
      <c r="G1386" s="247">
        <v>4000</v>
      </c>
      <c r="H1386" s="79">
        <v>0.50800000000000001</v>
      </c>
      <c r="I1386" s="95">
        <f t="shared" si="50"/>
        <v>2032</v>
      </c>
      <c r="J1386" s="95">
        <f t="shared" si="51"/>
        <v>2438.4</v>
      </c>
      <c r="K1386" s="93">
        <f>IFERROR(VLOOKUP(E1386,'Inventaire des produits'!$B$4:$J$1000,5,FALSE),"")</f>
        <v>0</v>
      </c>
      <c r="L1386" s="301">
        <f>IFERROR(VLOOKUP(E1386,'Inventaire des produits'!$B$4:$J$1000,6,FALSE),"")</f>
        <v>0.33333332999999998</v>
      </c>
      <c r="M1386" s="62">
        <f>SUM(J1386:J1396)</f>
        <v>15900.004079999999</v>
      </c>
    </row>
    <row r="1387" spans="2:13" x14ac:dyDescent="0.3">
      <c r="B1387" s="378" t="s">
        <v>1704</v>
      </c>
      <c r="C1387" s="341"/>
      <c r="D1387" s="338"/>
      <c r="E1387" s="235" t="s">
        <v>1316</v>
      </c>
      <c r="F1387" s="271" t="str">
        <f>IFERROR(VLOOKUP(E1387,'Inventaire des produits'!$B$4:$K$1000,2,0),"")</f>
        <v>SAC PN BLANCE 40*45</v>
      </c>
      <c r="G1387" s="247">
        <v>1000</v>
      </c>
      <c r="H1387" s="79">
        <v>0.58609999999999995</v>
      </c>
      <c r="I1387" s="95">
        <f t="shared" si="50"/>
        <v>586.09999999999991</v>
      </c>
      <c r="J1387" s="95">
        <f t="shared" si="51"/>
        <v>703.31999999999982</v>
      </c>
      <c r="K1387" s="93">
        <f>IFERROR(VLOOKUP(E1387,'Inventaire des produits'!$B$4:$J$1000,5,FALSE),"")</f>
        <v>5400</v>
      </c>
      <c r="L1387" s="301">
        <f>IFERROR(VLOOKUP(E1387,'Inventaire des produits'!$B$4:$J$1000,6,FALSE),"")</f>
        <v>0.41665999999999997</v>
      </c>
      <c r="M1387" s="62"/>
    </row>
    <row r="1388" spans="2:13" x14ac:dyDescent="0.3">
      <c r="B1388" s="378" t="s">
        <v>1704</v>
      </c>
      <c r="C1388" s="341"/>
      <c r="D1388" s="338"/>
      <c r="E1388" s="235" t="s">
        <v>1097</v>
      </c>
      <c r="F1388" s="271" t="str">
        <f>IFERROR(VLOOKUP(E1388,'Inventaire des produits'!$B$4:$K$1000,2,0),"")</f>
        <v>POT DE SAUCE EN PLAST TRANSP 20ML</v>
      </c>
      <c r="G1388" s="247">
        <v>4000</v>
      </c>
      <c r="H1388" s="79">
        <v>6.6666666666666666E-2</v>
      </c>
      <c r="I1388" s="95">
        <f t="shared" si="50"/>
        <v>266.66666666666669</v>
      </c>
      <c r="J1388" s="95">
        <f t="shared" si="51"/>
        <v>320</v>
      </c>
      <c r="K1388" s="93">
        <f>IFERROR(VLOOKUP(E1388,'Inventaire des produits'!$B$4:$J$1000,5,FALSE),"")</f>
        <v>0</v>
      </c>
      <c r="L1388" s="301">
        <f>IFERROR(VLOOKUP(E1388,'Inventaire des produits'!$B$4:$J$1000,6,FALSE),"")</f>
        <v>8.9166666666666672E-2</v>
      </c>
      <c r="M1388" s="62"/>
    </row>
    <row r="1389" spans="2:13" x14ac:dyDescent="0.3">
      <c r="B1389" s="378" t="s">
        <v>1704</v>
      </c>
      <c r="C1389" s="341"/>
      <c r="D1389" s="338"/>
      <c r="E1389" s="235" t="s">
        <v>501</v>
      </c>
      <c r="F1389" s="271" t="str">
        <f>IFERROR(VLOOKUP(E1389,'Inventaire des produits'!$B$4:$K$1000,2,0),"")</f>
        <v>BARQUETTE ALUMINIUM 83420</v>
      </c>
      <c r="G1389" s="247">
        <v>4000</v>
      </c>
      <c r="H1389" s="79">
        <v>0.45833333333333337</v>
      </c>
      <c r="I1389" s="95">
        <f t="shared" si="50"/>
        <v>1833.3333333333335</v>
      </c>
      <c r="J1389" s="95">
        <f t="shared" si="51"/>
        <v>2200</v>
      </c>
      <c r="K1389" s="93">
        <f>IFERROR(VLOOKUP(E1389,'Inventaire des produits'!$B$4:$J$1000,5,FALSE),"")</f>
        <v>10000</v>
      </c>
      <c r="L1389" s="301">
        <f>IFERROR(VLOOKUP(E1389,'Inventaire des produits'!$B$4:$J$1000,6,FALSE),"")</f>
        <v>0.31666666669999999</v>
      </c>
      <c r="M1389" s="62"/>
    </row>
    <row r="1390" spans="2:13" x14ac:dyDescent="0.3">
      <c r="B1390" s="378" t="s">
        <v>1704</v>
      </c>
      <c r="C1390" s="341"/>
      <c r="D1390" s="338"/>
      <c r="E1390" s="235" t="s">
        <v>206</v>
      </c>
      <c r="F1390" s="271" t="str">
        <f>IFERROR(VLOOKUP(E1390,'Inventaire des produits'!$B$4:$K$1000,2,0),"")</f>
        <v>ESSUIE MAIN 1KG LISSE</v>
      </c>
      <c r="G1390" s="247">
        <v>72</v>
      </c>
      <c r="H1390" s="79">
        <v>28.8</v>
      </c>
      <c r="I1390" s="95">
        <f t="shared" si="50"/>
        <v>2073.6</v>
      </c>
      <c r="J1390" s="95">
        <f t="shared" si="51"/>
        <v>2488.3199999999997</v>
      </c>
      <c r="K1390" s="93">
        <f>IFERROR(VLOOKUP(E1390,'Inventaire des produits'!$B$4:$J$1000,5,FALSE),"")</f>
        <v>0</v>
      </c>
      <c r="L1390" s="301">
        <f>IFERROR(VLOOKUP(E1390,'Inventaire des produits'!$B$4:$J$1000,6,FALSE),"")</f>
        <v>21.25</v>
      </c>
      <c r="M1390" s="62"/>
    </row>
    <row r="1391" spans="2:13" x14ac:dyDescent="0.3">
      <c r="B1391" s="378" t="s">
        <v>1704</v>
      </c>
      <c r="C1391" s="341"/>
      <c r="D1391" s="338"/>
      <c r="E1391" s="235" t="s">
        <v>788</v>
      </c>
      <c r="F1391" s="271" t="str">
        <f>IFERROR(VLOOKUP(E1391,'Inventaire des produits'!$B$4:$K$1000,2,0),"")</f>
        <v>BARQUETTE ALUMINIUM 83670</v>
      </c>
      <c r="G1391" s="247">
        <v>1000</v>
      </c>
      <c r="H1391" s="79">
        <v>0.75</v>
      </c>
      <c r="I1391" s="95">
        <f t="shared" si="50"/>
        <v>750</v>
      </c>
      <c r="J1391" s="95">
        <f t="shared" si="51"/>
        <v>900</v>
      </c>
      <c r="K1391" s="93">
        <f>IFERROR(VLOOKUP(E1391,'Inventaire des produits'!$B$4:$J$1000,5,FALSE),"")</f>
        <v>0</v>
      </c>
      <c r="L1391" s="301">
        <f>IFERROR(VLOOKUP(E1391,'Inventaire des produits'!$B$4:$J$1000,6,FALSE),"")</f>
        <v>0.54</v>
      </c>
      <c r="M1391" s="62"/>
    </row>
    <row r="1392" spans="2:13" x14ac:dyDescent="0.3">
      <c r="B1392" s="378" t="s">
        <v>1704</v>
      </c>
      <c r="C1392" s="341"/>
      <c r="D1392" s="338"/>
      <c r="E1392" s="235" t="s">
        <v>1293</v>
      </c>
      <c r="F1392" s="271" t="str">
        <f>IFERROR(VLOOKUP(E1392,'Inventaire des produits'!$B$4:$K$1000,2,0),"")</f>
        <v>GOBLET 14OZ EN PLAST TRANS SMART + CV PLAT</v>
      </c>
      <c r="G1392" s="247">
        <v>3000</v>
      </c>
      <c r="H1392" s="79">
        <v>0.64827500000000005</v>
      </c>
      <c r="I1392" s="95">
        <f t="shared" si="50"/>
        <v>1944.825</v>
      </c>
      <c r="J1392" s="95">
        <f t="shared" si="51"/>
        <v>2333.79</v>
      </c>
      <c r="K1392" s="93">
        <f>IFERROR(VLOOKUP(E1392,'Inventaire des produits'!$B$4:$J$1000,5,FALSE),"")</f>
        <v>0</v>
      </c>
      <c r="L1392" s="301">
        <f>IFERROR(VLOOKUP(E1392,'Inventaire des produits'!$B$4:$J$1000,6,FALSE),"")</f>
        <v>0.57778333333333343</v>
      </c>
      <c r="M1392" s="62"/>
    </row>
    <row r="1393" spans="2:13" x14ac:dyDescent="0.3">
      <c r="B1393" s="378" t="s">
        <v>1704</v>
      </c>
      <c r="C1393" s="341"/>
      <c r="D1393" s="338"/>
      <c r="E1393" s="235" t="s">
        <v>895</v>
      </c>
      <c r="F1393" s="271" t="str">
        <f>IFERROR(VLOOKUP(E1393,'Inventaire des produits'!$B$4:$K$1000,2,0),"")</f>
        <v>ROULEAU ALUMINIUM GOLDEN 200M</v>
      </c>
      <c r="G1393" s="247">
        <v>21</v>
      </c>
      <c r="H1393" s="79">
        <v>67.070400000000006</v>
      </c>
      <c r="I1393" s="95">
        <f t="shared" si="50"/>
        <v>1408.4784000000002</v>
      </c>
      <c r="J1393" s="95">
        <f t="shared" si="51"/>
        <v>1690.1740800000002</v>
      </c>
      <c r="K1393" s="93">
        <f>IFERROR(VLOOKUP(E1393,'Inventaire des produits'!$B$4:$J$1000,5,FALSE),"")</f>
        <v>0</v>
      </c>
      <c r="L1393" s="301">
        <f>IFERROR(VLOOKUP(E1393,'Inventaire des produits'!$B$4:$J$1000,6,FALSE),"")</f>
        <v>57.5</v>
      </c>
      <c r="M1393" s="62"/>
    </row>
    <row r="1394" spans="2:13" x14ac:dyDescent="0.3">
      <c r="B1394" s="378" t="s">
        <v>1704</v>
      </c>
      <c r="C1394" s="341"/>
      <c r="D1394" s="338"/>
      <c r="E1394" s="235" t="s">
        <v>929</v>
      </c>
      <c r="F1394" s="271" t="str">
        <f>IFERROR(VLOOKUP(E1394,'Inventaire des produits'!$B$4:$K$1000,2,0),"")</f>
        <v xml:space="preserve">SERVIETTE DE TABLE </v>
      </c>
      <c r="G1394" s="247">
        <v>260</v>
      </c>
      <c r="H1394" s="79">
        <v>3.75</v>
      </c>
      <c r="I1394" s="95">
        <f t="shared" si="50"/>
        <v>975</v>
      </c>
      <c r="J1394" s="95">
        <f t="shared" si="51"/>
        <v>1170</v>
      </c>
      <c r="K1394" s="93">
        <f>IFERROR(VLOOKUP(E1394,'Inventaire des produits'!$B$4:$J$1000,5,FALSE),"")</f>
        <v>0</v>
      </c>
      <c r="L1394" s="301">
        <f>IFERROR(VLOOKUP(E1394,'Inventaire des produits'!$B$4:$J$1000,6,FALSE),"")</f>
        <v>2.9169999999999998</v>
      </c>
      <c r="M1394" s="62"/>
    </row>
    <row r="1395" spans="2:13" x14ac:dyDescent="0.3">
      <c r="B1395" s="378" t="s">
        <v>1704</v>
      </c>
      <c r="C1395" s="341"/>
      <c r="D1395" s="338"/>
      <c r="E1395" s="235" t="s">
        <v>162</v>
      </c>
      <c r="F1395" s="271" t="str">
        <f>IFERROR(VLOOKUP(E1395,'Inventaire des produits'!$B$4:$K$1000,2,0),"")</f>
        <v>COQUILLE LUNCH BOX LARGE HB10 BLANC</v>
      </c>
      <c r="G1395" s="247">
        <v>800</v>
      </c>
      <c r="H1395" s="79">
        <v>1</v>
      </c>
      <c r="I1395" s="95">
        <f t="shared" si="50"/>
        <v>800</v>
      </c>
      <c r="J1395" s="95">
        <f t="shared" si="51"/>
        <v>960</v>
      </c>
      <c r="K1395" s="93">
        <f>IFERROR(VLOOKUP(E1395,'Inventaire des produits'!$B$4:$J$1000,5,FALSE),"")</f>
        <v>0</v>
      </c>
      <c r="L1395" s="301">
        <f>IFERROR(VLOOKUP(E1395,'Inventaire des produits'!$B$4:$J$1000,6,FALSE),"")</f>
        <v>0.75</v>
      </c>
      <c r="M1395" s="62"/>
    </row>
    <row r="1396" spans="2:13" x14ac:dyDescent="0.3">
      <c r="B1396" s="378" t="s">
        <v>1704</v>
      </c>
      <c r="C1396" s="342"/>
      <c r="D1396" s="339"/>
      <c r="E1396" s="235" t="s">
        <v>751</v>
      </c>
      <c r="F1396" s="271" t="str">
        <f>IFERROR(VLOOKUP(E1396,'Inventaire des produits'!$B$4:$K$1000,2,0),"")</f>
        <v>BOL SALADE BLANC 500CC</v>
      </c>
      <c r="G1396" s="247">
        <v>400</v>
      </c>
      <c r="H1396" s="79">
        <v>1.45</v>
      </c>
      <c r="I1396" s="95">
        <f t="shared" si="50"/>
        <v>580</v>
      </c>
      <c r="J1396" s="95">
        <f t="shared" si="51"/>
        <v>696</v>
      </c>
      <c r="K1396" s="93">
        <f>IFERROR(VLOOKUP(E1396,'Inventaire des produits'!$B$4:$J$1000,5,FALSE),"")</f>
        <v>0</v>
      </c>
      <c r="L1396" s="301">
        <f>IFERROR(VLOOKUP(E1396,'Inventaire des produits'!$B$4:$J$1000,6,FALSE),"")</f>
        <v>1.2916666666000001</v>
      </c>
      <c r="M1396" s="62"/>
    </row>
    <row r="1397" spans="2:13" x14ac:dyDescent="0.3">
      <c r="B1397" s="378" t="s">
        <v>1704</v>
      </c>
      <c r="C1397" s="340">
        <v>45546</v>
      </c>
      <c r="D1397" s="337" t="s">
        <v>1348</v>
      </c>
      <c r="E1397" s="235" t="s">
        <v>955</v>
      </c>
      <c r="F1397" s="271" t="str">
        <f>IFERROR(VLOOKUP(E1397,'Inventaire des produits'!$B$4:$K$1000,2,0),"")</f>
        <v>BOX NOUILLE ET PATE 32OZ BLANC</v>
      </c>
      <c r="G1397" s="247">
        <v>400</v>
      </c>
      <c r="H1397" s="79">
        <v>2.36</v>
      </c>
      <c r="I1397" s="95">
        <f t="shared" si="50"/>
        <v>944</v>
      </c>
      <c r="J1397" s="95">
        <f t="shared" si="51"/>
        <v>1132.8</v>
      </c>
      <c r="K1397" s="93">
        <f>IFERROR(VLOOKUP(E1397,'Inventaire des produits'!$B$4:$J$1000,5,FALSE),"")</f>
        <v>0</v>
      </c>
      <c r="L1397" s="301">
        <f>IFERROR(VLOOKUP(E1397,'Inventaire des produits'!$B$4:$J$1000,6,FALSE),"")</f>
        <v>1.125</v>
      </c>
      <c r="M1397" s="62">
        <f>SUM(J1397:J1402)</f>
        <v>4490.0028000000002</v>
      </c>
    </row>
    <row r="1398" spans="2:13" x14ac:dyDescent="0.3">
      <c r="B1398" s="378" t="s">
        <v>1704</v>
      </c>
      <c r="C1398" s="341"/>
      <c r="D1398" s="338"/>
      <c r="E1398" s="235" t="s">
        <v>677</v>
      </c>
      <c r="F1398" s="271" t="str">
        <f>IFERROR(VLOOKUP(E1398,'Inventaire des produits'!$B$4:$K$1000,2,0),"")</f>
        <v>BARQUETTE TRAITEUR 750CC MICRON ONDABLE</v>
      </c>
      <c r="G1398" s="247">
        <v>250</v>
      </c>
      <c r="H1398" s="79">
        <v>1.59</v>
      </c>
      <c r="I1398" s="95">
        <f t="shared" si="50"/>
        <v>397.5</v>
      </c>
      <c r="J1398" s="95">
        <f t="shared" si="51"/>
        <v>477</v>
      </c>
      <c r="K1398" s="93">
        <f>IFERROR(VLOOKUP(E1398,'Inventaire des produits'!$B$4:$J$1000,5,FALSE),"")</f>
        <v>0</v>
      </c>
      <c r="L1398" s="301">
        <f>IFERROR(VLOOKUP(E1398,'Inventaire des produits'!$B$4:$J$1000,6,FALSE),"")</f>
        <v>1.1479166667</v>
      </c>
      <c r="M1398" s="62"/>
    </row>
    <row r="1399" spans="2:13" x14ac:dyDescent="0.3">
      <c r="B1399" s="378" t="s">
        <v>1704</v>
      </c>
      <c r="C1399" s="341"/>
      <c r="D1399" s="338"/>
      <c r="E1399" s="235" t="s">
        <v>643</v>
      </c>
      <c r="F1399" s="271" t="str">
        <f>IFERROR(VLOOKUP(E1399,'Inventaire des produits'!$B$4:$K$1000,2,0),"")</f>
        <v>BOL SALADE ET CVL BLANC 38OZ</v>
      </c>
      <c r="G1399" s="247">
        <v>400</v>
      </c>
      <c r="H1399" s="79">
        <v>2.5209999999999999</v>
      </c>
      <c r="I1399" s="95">
        <f t="shared" si="50"/>
        <v>1008.4</v>
      </c>
      <c r="J1399" s="95">
        <f t="shared" si="51"/>
        <v>1210.08</v>
      </c>
      <c r="K1399" s="93">
        <f>IFERROR(VLOOKUP(E1399,'Inventaire des produits'!$B$4:$J$1000,5,FALSE),"")</f>
        <v>0</v>
      </c>
      <c r="L1399" s="301">
        <f>IFERROR(VLOOKUP(E1399,'Inventaire des produits'!$B$4:$J$1000,6,FALSE),"")</f>
        <v>2.25</v>
      </c>
      <c r="M1399" s="62"/>
    </row>
    <row r="1400" spans="2:13" x14ac:dyDescent="0.3">
      <c r="B1400" s="378" t="s">
        <v>1704</v>
      </c>
      <c r="C1400" s="341"/>
      <c r="D1400" s="338"/>
      <c r="E1400" s="235" t="s">
        <v>583</v>
      </c>
      <c r="F1400" s="271" t="str">
        <f>IFERROR(VLOOKUP(E1400,'Inventaire des produits'!$B$4:$K$1000,2,0),"")</f>
        <v>GANT VINYL EXTRA PREMIUM GLOVE MEDIUM</v>
      </c>
      <c r="G1400" s="247">
        <v>13</v>
      </c>
      <c r="H1400" s="79">
        <v>33.313000000000002</v>
      </c>
      <c r="I1400" s="95">
        <f t="shared" si="50"/>
        <v>433.06900000000002</v>
      </c>
      <c r="J1400" s="95">
        <f t="shared" si="51"/>
        <v>519.68280000000004</v>
      </c>
      <c r="K1400" s="93">
        <f>IFERROR(VLOOKUP(E1400,'Inventaire des produits'!$B$4:$J$1000,5,FALSE),"")</f>
        <v>0</v>
      </c>
      <c r="L1400" s="301">
        <f>IFERROR(VLOOKUP(E1400,'Inventaire des produits'!$B$4:$J$1000,6,FALSE),"")</f>
        <v>19.166666666699999</v>
      </c>
      <c r="M1400" s="62"/>
    </row>
    <row r="1401" spans="2:13" x14ac:dyDescent="0.3">
      <c r="B1401" s="378" t="s">
        <v>1704</v>
      </c>
      <c r="C1401" s="341"/>
      <c r="D1401" s="338"/>
      <c r="E1401" s="235" t="s">
        <v>149</v>
      </c>
      <c r="F1401" s="271" t="str">
        <f>IFERROR(VLOOKUP(E1401,'Inventaire des produits'!$B$4:$K$1000,2,0),"")</f>
        <v>BARQUETTE SUSHI ST2 218*90*20+CVRC</v>
      </c>
      <c r="G1401" s="247">
        <v>400</v>
      </c>
      <c r="H1401" s="79">
        <v>1.25</v>
      </c>
      <c r="I1401" s="95">
        <f>IF(OR(G1401="",H1401=""),"",G1401*H1401)</f>
        <v>500</v>
      </c>
      <c r="J1401" s="95">
        <f t="shared" si="51"/>
        <v>600</v>
      </c>
      <c r="K1401" s="93">
        <f>IFERROR(VLOOKUP(E1401,'Inventaire des produits'!$B$4:$J$1000,5,FALSE),"")</f>
        <v>0</v>
      </c>
      <c r="L1401" s="301">
        <f>IFERROR(VLOOKUP(E1401,'Inventaire des produits'!$B$4:$J$1000,6,FALSE),"")</f>
        <v>1</v>
      </c>
      <c r="M1401" s="62"/>
    </row>
    <row r="1402" spans="2:13" x14ac:dyDescent="0.3">
      <c r="B1402" s="378" t="s">
        <v>1704</v>
      </c>
      <c r="C1402" s="342"/>
      <c r="D1402" s="339"/>
      <c r="E1402" s="235" t="s">
        <v>214</v>
      </c>
      <c r="F1402" s="271" t="str">
        <f>IFERROR(VLOOKUP(E1402,'Inventaire des produits'!$B$4:$K$1000,2,0),"")</f>
        <v>BARQUETTE SUSHI PET 160*91 L-ST1</v>
      </c>
      <c r="G1402" s="247">
        <v>500</v>
      </c>
      <c r="H1402" s="79">
        <v>0.91739999999999999</v>
      </c>
      <c r="I1402" s="95">
        <f>IF(OR(G1402="",H1402=""),"",G1402*H1402)</f>
        <v>458.7</v>
      </c>
      <c r="J1402" s="95">
        <f t="shared" si="51"/>
        <v>550.43999999999994</v>
      </c>
      <c r="K1402" s="93">
        <f>IFERROR(VLOOKUP(E1402,'Inventaire des produits'!$B$4:$J$1000,5,FALSE),"")</f>
        <v>0</v>
      </c>
      <c r="L1402" s="301">
        <f>IFERROR(VLOOKUP(E1402,'Inventaire des produits'!$B$4:$J$1000,6,FALSE),"")</f>
        <v>0.95833333330000003</v>
      </c>
      <c r="M1402" s="62"/>
    </row>
    <row r="1403" spans="2:13" x14ac:dyDescent="0.3">
      <c r="B1403" s="378" t="s">
        <v>1704</v>
      </c>
      <c r="C1403" s="55">
        <v>45546</v>
      </c>
      <c r="D1403" s="54" t="s">
        <v>1349</v>
      </c>
      <c r="E1403" s="235" t="s">
        <v>1149</v>
      </c>
      <c r="F1403" s="271" t="str">
        <f>IFERROR(VLOOKUP(E1403,'Inventaire des produits'!$B$4:$K$1000,2,0),"")</f>
        <v>ROULEAU DE CAISSE THERMIQUE 80X80</v>
      </c>
      <c r="G1403" s="247">
        <v>100</v>
      </c>
      <c r="H1403" s="79">
        <v>11.333333333000001</v>
      </c>
      <c r="I1403" s="95">
        <f>IF(OR(G1403="",H1403=""),"",G1403*H1403)</f>
        <v>1133.3333333</v>
      </c>
      <c r="J1403" s="95">
        <f t="shared" si="51"/>
        <v>1359.99999996</v>
      </c>
      <c r="K1403" s="93">
        <f>IFERROR(VLOOKUP(E1403,'Inventaire des produits'!$B$4:$J$1000,5,FALSE),"")</f>
        <v>253</v>
      </c>
      <c r="L1403" s="301">
        <f>IFERROR(VLOOKUP(E1403,'Inventaire des produits'!$B$4:$J$1000,6,FALSE),"")</f>
        <v>7.5</v>
      </c>
      <c r="M1403" s="62">
        <v>1359.99999996</v>
      </c>
    </row>
    <row r="1404" spans="2:13" x14ac:dyDescent="0.3">
      <c r="B1404" s="378" t="s">
        <v>1704</v>
      </c>
      <c r="C1404" s="55">
        <v>45546</v>
      </c>
      <c r="D1404" s="54" t="s">
        <v>1351</v>
      </c>
      <c r="E1404" s="235" t="s">
        <v>501</v>
      </c>
      <c r="F1404" s="271" t="str">
        <f>IFERROR(VLOOKUP(E1404,'Inventaire des produits'!$B$4:$K$1000,2,0),"")</f>
        <v>BARQUETTE ALUMINIUM 83420</v>
      </c>
      <c r="G1404" s="289">
        <v>10000</v>
      </c>
      <c r="H1404" s="290">
        <v>0.35833333333333334</v>
      </c>
      <c r="I1404" s="95">
        <f t="shared" si="50"/>
        <v>3583.3333333333335</v>
      </c>
      <c r="J1404" s="95">
        <f t="shared" si="51"/>
        <v>4300</v>
      </c>
      <c r="K1404" s="93">
        <f>IFERROR(VLOOKUP(E1404,'Inventaire des produits'!$B$4:$J$1000,5,FALSE),"")</f>
        <v>10000</v>
      </c>
      <c r="L1404" s="301">
        <f>IFERROR(VLOOKUP(E1404,'Inventaire des produits'!$B$4:$J$1000,6,FALSE),"")</f>
        <v>0.31666666669999999</v>
      </c>
      <c r="M1404" s="62">
        <v>4300</v>
      </c>
    </row>
    <row r="1405" spans="2:13" x14ac:dyDescent="0.3">
      <c r="B1405" s="378" t="s">
        <v>1704</v>
      </c>
      <c r="C1405" s="340">
        <v>45547</v>
      </c>
      <c r="D1405" s="337" t="s">
        <v>1352</v>
      </c>
      <c r="E1405" s="235" t="s">
        <v>1222</v>
      </c>
      <c r="F1405" s="271" t="str">
        <f>IFERROR(VLOOKUP(E1405,'Inventaire des produits'!$B$4:$K$1000,2,0),"")</f>
        <v>POT DE SAUCE 1OZ PROCLEAN</v>
      </c>
      <c r="G1405" s="247">
        <v>12000</v>
      </c>
      <c r="H1405" s="79">
        <v>0.16250000000000001</v>
      </c>
      <c r="I1405" s="95">
        <f t="shared" si="50"/>
        <v>1950</v>
      </c>
      <c r="J1405" s="95">
        <f t="shared" si="51"/>
        <v>2340</v>
      </c>
      <c r="K1405" s="93">
        <f>IFERROR(VLOOKUP(E1405,'Inventaire des produits'!$B$4:$J$1000,5,FALSE),"")</f>
        <v>557100</v>
      </c>
      <c r="L1405" s="301">
        <f>IFERROR(VLOOKUP(E1405,'Inventaire des produits'!$B$4:$J$1000,6,FALSE),"")</f>
        <v>0.1167</v>
      </c>
      <c r="M1405" s="62">
        <f>SUM(J1405:J1416)</f>
        <v>5834.0000000000009</v>
      </c>
    </row>
    <row r="1406" spans="2:13" x14ac:dyDescent="0.3">
      <c r="B1406" s="378" t="s">
        <v>1704</v>
      </c>
      <c r="C1406" s="341"/>
      <c r="D1406" s="338"/>
      <c r="E1406" s="235" t="s">
        <v>206</v>
      </c>
      <c r="F1406" s="271" t="str">
        <f>IFERROR(VLOOKUP(E1406,'Inventaire des produits'!$B$4:$K$1000,2,0),"")</f>
        <v>ESSUIE MAIN 1KG LISSE</v>
      </c>
      <c r="G1406" s="247">
        <v>15</v>
      </c>
      <c r="H1406" s="79">
        <v>28.333333333333336</v>
      </c>
      <c r="I1406" s="95">
        <f t="shared" si="50"/>
        <v>425.00000000000006</v>
      </c>
      <c r="J1406" s="95">
        <f t="shared" si="51"/>
        <v>510.00000000000006</v>
      </c>
      <c r="K1406" s="93">
        <f>IFERROR(VLOOKUP(E1406,'Inventaire des produits'!$B$4:$J$1000,5,FALSE),"")</f>
        <v>0</v>
      </c>
      <c r="L1406" s="301">
        <f>IFERROR(VLOOKUP(E1406,'Inventaire des produits'!$B$4:$J$1000,6,FALSE),"")</f>
        <v>21.25</v>
      </c>
      <c r="M1406" s="62"/>
    </row>
    <row r="1407" spans="2:13" x14ac:dyDescent="0.3">
      <c r="B1407" s="378" t="s">
        <v>1704</v>
      </c>
      <c r="C1407" s="341"/>
      <c r="D1407" s="338"/>
      <c r="E1407" s="235" t="s">
        <v>601</v>
      </c>
      <c r="F1407" s="271" t="str">
        <f>IFERROR(VLOOKUP(E1407,'Inventaire des produits'!$B$4:$K$1000,2,0),"")</f>
        <v>FILM ALIMENTAIRE VIOLET 280MM 500GR</v>
      </c>
      <c r="G1407" s="247">
        <v>9</v>
      </c>
      <c r="H1407" s="79">
        <v>28.333333333333336</v>
      </c>
      <c r="I1407" s="95">
        <f t="shared" si="50"/>
        <v>255.00000000000003</v>
      </c>
      <c r="J1407" s="95">
        <f t="shared" si="51"/>
        <v>306</v>
      </c>
      <c r="K1407" s="93">
        <f>IFERROR(VLOOKUP(E1407,'Inventaire des produits'!$B$4:$J$1000,5,FALSE),"")</f>
        <v>0</v>
      </c>
      <c r="L1407" s="301">
        <f>IFERROR(VLOOKUP(E1407,'Inventaire des produits'!$B$4:$J$1000,6,FALSE),"")</f>
        <v>29.17</v>
      </c>
      <c r="M1407" s="62"/>
    </row>
    <row r="1408" spans="2:13" x14ac:dyDescent="0.3">
      <c r="B1408" s="378" t="s">
        <v>1704</v>
      </c>
      <c r="C1408" s="341"/>
      <c r="D1408" s="338"/>
      <c r="E1408" s="235" t="s">
        <v>869</v>
      </c>
      <c r="F1408" s="271" t="str">
        <f>IFERROR(VLOOKUP(E1408,'Inventaire des produits'!$B$4:$K$1000,2,0),"")</f>
        <v>PAILLE ENVELOPPEE CODE 100 TRANS</v>
      </c>
      <c r="G1408" s="247">
        <v>23</v>
      </c>
      <c r="H1408" s="79">
        <v>6.666666666666667</v>
      </c>
      <c r="I1408" s="95">
        <f t="shared" si="50"/>
        <v>153.33333333333334</v>
      </c>
      <c r="J1408" s="95">
        <f t="shared" si="51"/>
        <v>184</v>
      </c>
      <c r="K1408" s="93">
        <f>IFERROR(VLOOKUP(E1408,'Inventaire des produits'!$B$4:$J$1000,5,FALSE),"")</f>
        <v>898</v>
      </c>
      <c r="L1408" s="301">
        <f>IFERROR(VLOOKUP(E1408,'Inventaire des produits'!$B$4:$J$1000,6,FALSE),"")</f>
        <v>3.9166666659999998</v>
      </c>
      <c r="M1408" s="62"/>
    </row>
    <row r="1409" spans="2:13" x14ac:dyDescent="0.3">
      <c r="B1409" s="378" t="s">
        <v>1704</v>
      </c>
      <c r="C1409" s="341"/>
      <c r="D1409" s="338"/>
      <c r="E1409" s="235" t="s">
        <v>583</v>
      </c>
      <c r="F1409" s="271" t="str">
        <f>IFERROR(VLOOKUP(E1409,'Inventaire des produits'!$B$4:$K$1000,2,0),"")</f>
        <v>GANT VINYL EXTRA PREMIUM GLOVE MEDIUM</v>
      </c>
      <c r="G1409" s="247">
        <v>18</v>
      </c>
      <c r="H1409" s="79">
        <v>33.333333333333336</v>
      </c>
      <c r="I1409" s="95">
        <f t="shared" si="50"/>
        <v>600</v>
      </c>
      <c r="J1409" s="95">
        <f t="shared" si="51"/>
        <v>720</v>
      </c>
      <c r="K1409" s="93">
        <f>IFERROR(VLOOKUP(E1409,'Inventaire des produits'!$B$4:$J$1000,5,FALSE),"")</f>
        <v>0</v>
      </c>
      <c r="L1409" s="301">
        <f>IFERROR(VLOOKUP(E1409,'Inventaire des produits'!$B$4:$J$1000,6,FALSE),"")</f>
        <v>19.166666666699999</v>
      </c>
      <c r="M1409" s="62"/>
    </row>
    <row r="1410" spans="2:13" x14ac:dyDescent="0.3">
      <c r="B1410" s="378" t="s">
        <v>1704</v>
      </c>
      <c r="C1410" s="341"/>
      <c r="D1410" s="338"/>
      <c r="E1410" s="239" t="s">
        <v>895</v>
      </c>
      <c r="F1410" s="271" t="str">
        <f>IFERROR(VLOOKUP(E1410,'Inventaire des produits'!$B$4:$K$1000,2,0),"")</f>
        <v>ROULEAU ALUMINIUM GOLDEN 200M</v>
      </c>
      <c r="G1410" s="247">
        <v>1</v>
      </c>
      <c r="H1410" s="79">
        <v>70.833333333333343</v>
      </c>
      <c r="I1410" s="95">
        <f t="shared" si="50"/>
        <v>70.833333333333343</v>
      </c>
      <c r="J1410" s="95">
        <f t="shared" si="51"/>
        <v>85.000000000000014</v>
      </c>
      <c r="K1410" s="93">
        <f>IFERROR(VLOOKUP(E1410,'Inventaire des produits'!$B$4:$J$1000,5,FALSE),"")</f>
        <v>0</v>
      </c>
      <c r="L1410" s="301">
        <f>IFERROR(VLOOKUP(E1410,'Inventaire des produits'!$B$4:$J$1000,6,FALSE),"")</f>
        <v>57.5</v>
      </c>
      <c r="M1410" s="62"/>
    </row>
    <row r="1411" spans="2:13" x14ac:dyDescent="0.3">
      <c r="B1411" s="378" t="s">
        <v>1704</v>
      </c>
      <c r="C1411" s="341"/>
      <c r="D1411" s="338"/>
      <c r="E1411" s="239" t="s">
        <v>702</v>
      </c>
      <c r="F1411" s="271" t="str">
        <f>IFERROR(VLOOKUP(E1411,'Inventaire des produits'!$B$4:$K$1000,2,0),"")</f>
        <v>FOURCHETTE ECOLUXE NOIRE</v>
      </c>
      <c r="G1411" s="247">
        <v>26</v>
      </c>
      <c r="H1411" s="79">
        <v>19.1666666666667</v>
      </c>
      <c r="I1411" s="95">
        <f t="shared" si="50"/>
        <v>498.33333333333417</v>
      </c>
      <c r="J1411" s="95">
        <f t="shared" si="51"/>
        <v>598.00000000000102</v>
      </c>
      <c r="K1411" s="93">
        <f>IFERROR(VLOOKUP(E1411,'Inventaire des produits'!$B$4:$J$1000,5,FALSE),"")</f>
        <v>0</v>
      </c>
      <c r="L1411" s="301">
        <f>IFERROR(VLOOKUP(E1411,'Inventaire des produits'!$B$4:$J$1000,6,FALSE),"")</f>
        <v>17.5</v>
      </c>
      <c r="M1411" s="62"/>
    </row>
    <row r="1412" spans="2:13" x14ac:dyDescent="0.3">
      <c r="B1412" s="378" t="s">
        <v>1704</v>
      </c>
      <c r="C1412" s="341"/>
      <c r="D1412" s="338"/>
      <c r="E1412" s="235" t="s">
        <v>542</v>
      </c>
      <c r="F1412" s="271" t="str">
        <f>IFERROR(VLOOKUP(E1412,'Inventaire des produits'!$B$4:$K$1000,2,0),"")</f>
        <v>BARQUETTE ALUMINIUM 250</v>
      </c>
      <c r="G1412" s="247">
        <v>700</v>
      </c>
      <c r="H1412" s="79">
        <v>0.375</v>
      </c>
      <c r="I1412" s="95">
        <f t="shared" si="50"/>
        <v>262.5</v>
      </c>
      <c r="J1412" s="95">
        <f t="shared" si="51"/>
        <v>315</v>
      </c>
      <c r="K1412" s="93">
        <f>IFERROR(VLOOKUP(E1412,'Inventaire des produits'!$B$4:$J$1000,5,FALSE),"")</f>
        <v>0</v>
      </c>
      <c r="L1412" s="301">
        <f>IFERROR(VLOOKUP(E1412,'Inventaire des produits'!$B$4:$J$1000,6,FALSE),"")</f>
        <v>0.20338000000000001</v>
      </c>
      <c r="M1412" s="62"/>
    </row>
    <row r="1413" spans="2:13" x14ac:dyDescent="0.3">
      <c r="B1413" s="378" t="s">
        <v>1704</v>
      </c>
      <c r="C1413" s="341"/>
      <c r="D1413" s="338"/>
      <c r="E1413" s="235" t="s">
        <v>1149</v>
      </c>
      <c r="F1413" s="271" t="str">
        <f>IFERROR(VLOOKUP(E1413,'Inventaire des produits'!$B$4:$K$1000,2,0),"")</f>
        <v>ROULEAU DE CAISSE THERMIQUE 80X80</v>
      </c>
      <c r="G1413" s="247">
        <v>25</v>
      </c>
      <c r="H1413" s="79">
        <v>10.333333333333334</v>
      </c>
      <c r="I1413" s="95">
        <f t="shared" si="50"/>
        <v>258.33333333333337</v>
      </c>
      <c r="J1413" s="95">
        <f t="shared" si="51"/>
        <v>310.00000000000006</v>
      </c>
      <c r="K1413" s="93">
        <f>IFERROR(VLOOKUP(E1413,'Inventaire des produits'!$B$4:$J$1000,5,FALSE),"")</f>
        <v>253</v>
      </c>
      <c r="L1413" s="301">
        <f>IFERROR(VLOOKUP(E1413,'Inventaire des produits'!$B$4:$J$1000,6,FALSE),"")</f>
        <v>7.5</v>
      </c>
      <c r="M1413" s="62"/>
    </row>
    <row r="1414" spans="2:13" x14ac:dyDescent="0.3">
      <c r="B1414" s="378" t="s">
        <v>1704</v>
      </c>
      <c r="C1414" s="341"/>
      <c r="D1414" s="338"/>
      <c r="E1414" s="235" t="s">
        <v>498</v>
      </c>
      <c r="F1414" s="271" t="str">
        <f>IFERROR(VLOOKUP(E1414,'Inventaire des produits'!$B$4:$K$1000,2,0),"")</f>
        <v>FILM ETIRABLE VIOLET 450MM KG</v>
      </c>
      <c r="G1414" s="247">
        <v>5</v>
      </c>
      <c r="H1414" s="79">
        <v>43.333333333333336</v>
      </c>
      <c r="I1414" s="95">
        <f t="shared" si="50"/>
        <v>216.66666666666669</v>
      </c>
      <c r="J1414" s="95">
        <f t="shared" si="51"/>
        <v>260</v>
      </c>
      <c r="K1414" s="93">
        <f>IFERROR(VLOOKUP(E1414,'Inventaire des produits'!$B$4:$J$1000,5,FALSE),"")</f>
        <v>0</v>
      </c>
      <c r="L1414" s="301">
        <f>IFERROR(VLOOKUP(E1414,'Inventaire des produits'!$B$4:$J$1000,6,FALSE),"")</f>
        <v>27.083333333300001</v>
      </c>
      <c r="M1414" s="62"/>
    </row>
    <row r="1415" spans="2:13" x14ac:dyDescent="0.3">
      <c r="B1415" s="378" t="s">
        <v>1704</v>
      </c>
      <c r="C1415" s="341"/>
      <c r="D1415" s="338"/>
      <c r="E1415" s="235" t="s">
        <v>1199</v>
      </c>
      <c r="F1415" s="271" t="str">
        <f>IFERROR(VLOOKUP(E1415,'Inventaire des produits'!$B$4:$K$1000,2,0),"")</f>
        <v>TAPIS SUSHI MAKISU</v>
      </c>
      <c r="G1415" s="247">
        <v>4</v>
      </c>
      <c r="H1415" s="79">
        <v>29.166666666666668</v>
      </c>
      <c r="I1415" s="95">
        <f t="shared" ref="I1415:I1478" si="54">IF(OR(G1415="",H1415=""),"",G1415*H1415)</f>
        <v>116.66666666666667</v>
      </c>
      <c r="J1415" s="95">
        <f t="shared" ref="J1415:J1478" si="55">IF(OR(I1415=""),"",I1415*1.2)</f>
        <v>140</v>
      </c>
      <c r="K1415" s="93">
        <f>IFERROR(VLOOKUP(E1415,'Inventaire des produits'!$B$4:$J$1000,5,FALSE),"")</f>
        <v>0</v>
      </c>
      <c r="L1415" s="301">
        <f>IFERROR(VLOOKUP(E1415,'Inventaire des produits'!$B$4:$J$1000,6,FALSE),"")</f>
        <v>29.167000000000002</v>
      </c>
      <c r="M1415" s="62"/>
    </row>
    <row r="1416" spans="2:13" x14ac:dyDescent="0.3">
      <c r="B1416" s="378" t="s">
        <v>1704</v>
      </c>
      <c r="C1416" s="342"/>
      <c r="D1416" s="339"/>
      <c r="E1416" s="235" t="s">
        <v>192</v>
      </c>
      <c r="F1416" s="271" t="str">
        <f>IFERROR(VLOOKUP(E1416,'Inventaire des produits'!$B$4:$K$1000,2,0),"")</f>
        <v>FOURCHETTE BLANC 60PCS</v>
      </c>
      <c r="G1416" s="247">
        <v>11</v>
      </c>
      <c r="H1416" s="79">
        <v>5</v>
      </c>
      <c r="I1416" s="95">
        <f t="shared" si="54"/>
        <v>55</v>
      </c>
      <c r="J1416" s="95">
        <f t="shared" si="55"/>
        <v>66</v>
      </c>
      <c r="K1416" s="93">
        <f>IFERROR(VLOOKUP(E1416,'Inventaire des produits'!$B$4:$J$1000,5,FALSE),"")</f>
        <v>0</v>
      </c>
      <c r="L1416" s="301">
        <f>IFERROR(VLOOKUP(E1416,'Inventaire des produits'!$B$4:$J$1000,6,FALSE),"")</f>
        <v>5.8333333329999997</v>
      </c>
      <c r="M1416" s="62"/>
    </row>
    <row r="1417" spans="2:13" x14ac:dyDescent="0.3">
      <c r="B1417" s="378" t="s">
        <v>1704</v>
      </c>
      <c r="C1417" s="55">
        <v>45547</v>
      </c>
      <c r="D1417" s="54" t="s">
        <v>1354</v>
      </c>
      <c r="E1417" s="235" t="s">
        <v>1260</v>
      </c>
      <c r="F1417" s="271" t="str">
        <f>IFERROR(VLOOKUP(E1417,'Inventaire des produits'!$B$4:$K$1000,2,0),"")</f>
        <v>GOBLET 16OZ COCKTAIL SMART + CVBB</v>
      </c>
      <c r="G1417" s="247">
        <v>3000</v>
      </c>
      <c r="H1417" s="79">
        <f>0.78/1.2</f>
        <v>0.65</v>
      </c>
      <c r="I1417" s="95">
        <f t="shared" si="54"/>
        <v>1950</v>
      </c>
      <c r="J1417" s="95">
        <f t="shared" si="55"/>
        <v>2340</v>
      </c>
      <c r="K1417" s="93">
        <f>IFERROR(VLOOKUP(E1417,'Inventaire des produits'!$B$4:$J$1000,5,FALSE),"")</f>
        <v>0</v>
      </c>
      <c r="L1417" s="301">
        <f>IFERROR(VLOOKUP(E1417,'Inventaire des produits'!$B$4:$J$1000,6,FALSE),"")</f>
        <v>0.49</v>
      </c>
      <c r="M1417" s="62">
        <v>2340</v>
      </c>
    </row>
    <row r="1418" spans="2:13" x14ac:dyDescent="0.3">
      <c r="B1418" s="378" t="s">
        <v>1704</v>
      </c>
      <c r="C1418" s="340">
        <v>45547</v>
      </c>
      <c r="D1418" s="337" t="s">
        <v>1355</v>
      </c>
      <c r="E1418" s="235" t="s">
        <v>192</v>
      </c>
      <c r="F1418" s="271" t="str">
        <f>IFERROR(VLOOKUP(E1418,'Inventaire des produits'!$B$4:$K$1000,2,0),"")</f>
        <v>FOURCHETTE BLANC 60PCS</v>
      </c>
      <c r="G1418" s="247">
        <v>29</v>
      </c>
      <c r="H1418" s="79">
        <v>6.25</v>
      </c>
      <c r="I1418" s="95">
        <f t="shared" si="54"/>
        <v>181.25</v>
      </c>
      <c r="J1418" s="95">
        <f t="shared" si="55"/>
        <v>217.5</v>
      </c>
      <c r="K1418" s="93">
        <f>IFERROR(VLOOKUP(E1418,'Inventaire des produits'!$B$4:$J$1000,5,FALSE),"")</f>
        <v>0</v>
      </c>
      <c r="L1418" s="301">
        <f>IFERROR(VLOOKUP(E1418,'Inventaire des produits'!$B$4:$J$1000,6,FALSE),"")</f>
        <v>5.8333333329999997</v>
      </c>
      <c r="M1418" s="62">
        <f>SUM(J1418:J1420)</f>
        <v>369.99599999999998</v>
      </c>
    </row>
    <row r="1419" spans="2:13" x14ac:dyDescent="0.3">
      <c r="B1419" s="378" t="s">
        <v>1704</v>
      </c>
      <c r="C1419" s="341"/>
      <c r="D1419" s="338"/>
      <c r="E1419" s="235" t="s">
        <v>111</v>
      </c>
      <c r="F1419" s="271" t="str">
        <f>IFERROR(VLOOKUP(E1419,'Inventaire des produits'!$B$4:$K$1000,2,0),"")</f>
        <v>SERVIETTE</v>
      </c>
      <c r="G1419" s="247">
        <v>4</v>
      </c>
      <c r="H1419" s="79">
        <v>3.75</v>
      </c>
      <c r="I1419" s="95">
        <f t="shared" si="54"/>
        <v>15</v>
      </c>
      <c r="J1419" s="95">
        <f t="shared" si="55"/>
        <v>18</v>
      </c>
      <c r="K1419" s="93">
        <f>IFERROR(VLOOKUP(E1419,'Inventaire des produits'!$B$4:$J$1000,5,FALSE),"")</f>
        <v>0</v>
      </c>
      <c r="L1419" s="301">
        <f>IFERROR(VLOOKUP(E1419,'Inventaire des produits'!$B$4:$J$1000,6,FALSE),"")</f>
        <v>2.6416666666999999</v>
      </c>
      <c r="M1419" s="62"/>
    </row>
    <row r="1420" spans="2:13" x14ac:dyDescent="0.3">
      <c r="B1420" s="378" t="s">
        <v>1704</v>
      </c>
      <c r="C1420" s="342"/>
      <c r="D1420" s="339"/>
      <c r="E1420" s="235" t="s">
        <v>274</v>
      </c>
      <c r="F1420" s="271" t="str">
        <f>IFERROR(VLOOKUP(E1420,'Inventaire des produits'!$B$4:$K$1000,2,0),"")</f>
        <v>GOBLET 4OZ A CAFE EN CARTON KRAFT</v>
      </c>
      <c r="G1420" s="247">
        <v>200</v>
      </c>
      <c r="H1420" s="79">
        <v>0.56040000000000001</v>
      </c>
      <c r="I1420" s="95">
        <f t="shared" si="54"/>
        <v>112.08</v>
      </c>
      <c r="J1420" s="95">
        <f t="shared" si="55"/>
        <v>134.49599999999998</v>
      </c>
      <c r="K1420" s="93">
        <f>IFERROR(VLOOKUP(E1420,'Inventaire des produits'!$B$4:$J$1000,5,FALSE),"")</f>
        <v>0</v>
      </c>
      <c r="L1420" s="301">
        <f>IFERROR(VLOOKUP(E1420,'Inventaire des produits'!$B$4:$J$1000,6,FALSE),"")</f>
        <v>0.5</v>
      </c>
      <c r="M1420" s="62"/>
    </row>
    <row r="1421" spans="2:13" x14ac:dyDescent="0.3">
      <c r="B1421" s="378" t="s">
        <v>1704</v>
      </c>
      <c r="C1421" s="340">
        <v>45547</v>
      </c>
      <c r="D1421" s="337" t="s">
        <v>1356</v>
      </c>
      <c r="E1421" s="235" t="s">
        <v>1149</v>
      </c>
      <c r="F1421" s="271" t="str">
        <f>IFERROR(VLOOKUP(E1421,'Inventaire des produits'!$B$4:$K$1000,2,0),"")</f>
        <v>ROULEAU DE CAISSE THERMIQUE 80X80</v>
      </c>
      <c r="G1421" s="247">
        <v>40</v>
      </c>
      <c r="H1421" s="79">
        <v>10.333333333333334</v>
      </c>
      <c r="I1421" s="95">
        <f t="shared" si="54"/>
        <v>413.33333333333337</v>
      </c>
      <c r="J1421" s="95">
        <f t="shared" si="55"/>
        <v>496</v>
      </c>
      <c r="K1421" s="93">
        <f>IFERROR(VLOOKUP(E1421,'Inventaire des produits'!$B$4:$J$1000,5,FALSE),"")</f>
        <v>253</v>
      </c>
      <c r="L1421" s="301">
        <f>IFERROR(VLOOKUP(E1421,'Inventaire des produits'!$B$4:$J$1000,6,FALSE),"")</f>
        <v>7.5</v>
      </c>
      <c r="M1421" s="62">
        <f>SUM(J1421:J1430)</f>
        <v>5829.0000000000009</v>
      </c>
    </row>
    <row r="1422" spans="2:13" x14ac:dyDescent="0.3">
      <c r="B1422" s="378" t="s">
        <v>1704</v>
      </c>
      <c r="C1422" s="341"/>
      <c r="D1422" s="338"/>
      <c r="E1422" s="235" t="s">
        <v>192</v>
      </c>
      <c r="F1422" s="271" t="str">
        <f>IFERROR(VLOOKUP(E1422,'Inventaire des produits'!$B$4:$K$1000,2,0),"")</f>
        <v>FOURCHETTE BLANC 60PCS</v>
      </c>
      <c r="G1422" s="247">
        <v>13</v>
      </c>
      <c r="H1422" s="79">
        <v>5</v>
      </c>
      <c r="I1422" s="95">
        <f t="shared" si="54"/>
        <v>65</v>
      </c>
      <c r="J1422" s="95">
        <f t="shared" si="55"/>
        <v>78</v>
      </c>
      <c r="K1422" s="93">
        <f>IFERROR(VLOOKUP(E1422,'Inventaire des produits'!$B$4:$J$1000,5,FALSE),"")</f>
        <v>0</v>
      </c>
      <c r="L1422" s="301">
        <f>IFERROR(VLOOKUP(E1422,'Inventaire des produits'!$B$4:$J$1000,6,FALSE),"")</f>
        <v>5.8333333329999997</v>
      </c>
      <c r="M1422" s="62"/>
    </row>
    <row r="1423" spans="2:13" x14ac:dyDescent="0.3">
      <c r="B1423" s="378" t="s">
        <v>1704</v>
      </c>
      <c r="C1423" s="341"/>
      <c r="D1423" s="338"/>
      <c r="E1423" s="235" t="s">
        <v>583</v>
      </c>
      <c r="F1423" s="271" t="str">
        <f>IFERROR(VLOOKUP(E1423,'Inventaire des produits'!$B$4:$K$1000,2,0),"")</f>
        <v>GANT VINYL EXTRA PREMIUM GLOVE MEDIUM</v>
      </c>
      <c r="G1423" s="247">
        <v>14</v>
      </c>
      <c r="H1423" s="79">
        <v>33.333333333333336</v>
      </c>
      <c r="I1423" s="95">
        <f t="shared" si="54"/>
        <v>466.66666666666669</v>
      </c>
      <c r="J1423" s="95">
        <f t="shared" si="55"/>
        <v>560</v>
      </c>
      <c r="K1423" s="93">
        <f>IFERROR(VLOOKUP(E1423,'Inventaire des produits'!$B$4:$J$1000,5,FALSE),"")</f>
        <v>0</v>
      </c>
      <c r="L1423" s="301">
        <f>IFERROR(VLOOKUP(E1423,'Inventaire des produits'!$B$4:$J$1000,6,FALSE),"")</f>
        <v>19.166666666699999</v>
      </c>
      <c r="M1423" s="62"/>
    </row>
    <row r="1424" spans="2:13" x14ac:dyDescent="0.3">
      <c r="B1424" s="378" t="s">
        <v>1704</v>
      </c>
      <c r="C1424" s="341"/>
      <c r="D1424" s="338"/>
      <c r="E1424" s="235" t="s">
        <v>869</v>
      </c>
      <c r="F1424" s="271" t="str">
        <f>IFERROR(VLOOKUP(E1424,'Inventaire des produits'!$B$4:$K$1000,2,0),"")</f>
        <v>PAILLE ENVELOPPEE CODE 100 TRANS</v>
      </c>
      <c r="G1424" s="247">
        <v>3</v>
      </c>
      <c r="H1424" s="79">
        <v>6.666666666666667</v>
      </c>
      <c r="I1424" s="95">
        <f t="shared" si="54"/>
        <v>20</v>
      </c>
      <c r="J1424" s="95">
        <f t="shared" si="55"/>
        <v>24</v>
      </c>
      <c r="K1424" s="93">
        <f>IFERROR(VLOOKUP(E1424,'Inventaire des produits'!$B$4:$J$1000,5,FALSE),"")</f>
        <v>898</v>
      </c>
      <c r="L1424" s="301">
        <f>IFERROR(VLOOKUP(E1424,'Inventaire des produits'!$B$4:$J$1000,6,FALSE),"")</f>
        <v>3.9166666659999998</v>
      </c>
      <c r="M1424" s="62"/>
    </row>
    <row r="1425" spans="2:13" x14ac:dyDescent="0.3">
      <c r="B1425" s="378" t="s">
        <v>1704</v>
      </c>
      <c r="C1425" s="341"/>
      <c r="D1425" s="338"/>
      <c r="E1425" s="235" t="s">
        <v>702</v>
      </c>
      <c r="F1425" s="271" t="str">
        <f>IFERROR(VLOOKUP(E1425,'Inventaire des produits'!$B$4:$K$1000,2,0),"")</f>
        <v>FOURCHETTE ECOLUXE NOIRE</v>
      </c>
      <c r="G1425" s="247">
        <v>20</v>
      </c>
      <c r="H1425" s="79">
        <v>19.1666666666667</v>
      </c>
      <c r="I1425" s="95">
        <f t="shared" si="54"/>
        <v>383.333333333334</v>
      </c>
      <c r="J1425" s="95">
        <f t="shared" si="55"/>
        <v>460.0000000000008</v>
      </c>
      <c r="K1425" s="93">
        <f>IFERROR(VLOOKUP(E1425,'Inventaire des produits'!$B$4:$J$1000,5,FALSE),"")</f>
        <v>0</v>
      </c>
      <c r="L1425" s="301">
        <f>IFERROR(VLOOKUP(E1425,'Inventaire des produits'!$B$4:$J$1000,6,FALSE),"")</f>
        <v>17.5</v>
      </c>
      <c r="M1425" s="62"/>
    </row>
    <row r="1426" spans="2:13" x14ac:dyDescent="0.3">
      <c r="B1426" s="378" t="s">
        <v>1704</v>
      </c>
      <c r="C1426" s="341"/>
      <c r="D1426" s="338"/>
      <c r="E1426" s="235" t="s">
        <v>601</v>
      </c>
      <c r="F1426" s="271" t="str">
        <f>IFERROR(VLOOKUP(E1426,'Inventaire des produits'!$B$4:$K$1000,2,0),"")</f>
        <v>FILM ALIMENTAIRE VIOLET 280MM 500GR</v>
      </c>
      <c r="G1426" s="247">
        <v>17</v>
      </c>
      <c r="H1426" s="79">
        <v>28.333333333333336</v>
      </c>
      <c r="I1426" s="95">
        <f t="shared" si="54"/>
        <v>481.66666666666669</v>
      </c>
      <c r="J1426" s="95">
        <f t="shared" si="55"/>
        <v>578</v>
      </c>
      <c r="K1426" s="93">
        <f>IFERROR(VLOOKUP(E1426,'Inventaire des produits'!$B$4:$J$1000,5,FALSE),"")</f>
        <v>0</v>
      </c>
      <c r="L1426" s="301">
        <f>IFERROR(VLOOKUP(E1426,'Inventaire des produits'!$B$4:$J$1000,6,FALSE),"")</f>
        <v>29.17</v>
      </c>
      <c r="M1426" s="62"/>
    </row>
    <row r="1427" spans="2:13" x14ac:dyDescent="0.3">
      <c r="B1427" s="378" t="s">
        <v>1704</v>
      </c>
      <c r="C1427" s="341"/>
      <c r="D1427" s="338"/>
      <c r="E1427" s="235" t="s">
        <v>206</v>
      </c>
      <c r="F1427" s="271" t="str">
        <f>IFERROR(VLOOKUP(E1427,'Inventaire des produits'!$B$4:$K$1000,2,0),"")</f>
        <v>ESSUIE MAIN 1KG LISSE</v>
      </c>
      <c r="G1427" s="247">
        <v>5</v>
      </c>
      <c r="H1427" s="79">
        <v>28.333333333333336</v>
      </c>
      <c r="I1427" s="95">
        <f t="shared" si="54"/>
        <v>141.66666666666669</v>
      </c>
      <c r="J1427" s="95">
        <f t="shared" si="55"/>
        <v>170.00000000000003</v>
      </c>
      <c r="K1427" s="93">
        <f>IFERROR(VLOOKUP(E1427,'Inventaire des produits'!$B$4:$J$1000,5,FALSE),"")</f>
        <v>0</v>
      </c>
      <c r="L1427" s="301">
        <f>IFERROR(VLOOKUP(E1427,'Inventaire des produits'!$B$4:$J$1000,6,FALSE),"")</f>
        <v>21.25</v>
      </c>
      <c r="M1427" s="62"/>
    </row>
    <row r="1428" spans="2:13" x14ac:dyDescent="0.3">
      <c r="B1428" s="378" t="s">
        <v>1704</v>
      </c>
      <c r="C1428" s="341"/>
      <c r="D1428" s="338"/>
      <c r="E1428" s="235" t="s">
        <v>1222</v>
      </c>
      <c r="F1428" s="271" t="str">
        <f>IFERROR(VLOOKUP(E1428,'Inventaire des produits'!$B$4:$K$1000,2,0),"")</f>
        <v>POT DE SAUCE 1OZ PROCLEAN</v>
      </c>
      <c r="G1428" s="247">
        <v>16000</v>
      </c>
      <c r="H1428" s="79">
        <v>0.16250000000000001</v>
      </c>
      <c r="I1428" s="95">
        <f t="shared" si="54"/>
        <v>2600</v>
      </c>
      <c r="J1428" s="95">
        <f t="shared" si="55"/>
        <v>3120</v>
      </c>
      <c r="K1428" s="93">
        <f>IFERROR(VLOOKUP(E1428,'Inventaire des produits'!$B$4:$J$1000,5,FALSE),"")</f>
        <v>557100</v>
      </c>
      <c r="L1428" s="301">
        <f>IFERROR(VLOOKUP(E1428,'Inventaire des produits'!$B$4:$J$1000,6,FALSE),"")</f>
        <v>0.1167</v>
      </c>
      <c r="M1428" s="62"/>
    </row>
    <row r="1429" spans="2:13" x14ac:dyDescent="0.3">
      <c r="B1429" s="378" t="s">
        <v>1704</v>
      </c>
      <c r="C1429" s="341"/>
      <c r="D1429" s="338"/>
      <c r="E1429" s="235" t="s">
        <v>542</v>
      </c>
      <c r="F1429" s="271" t="str">
        <f>IFERROR(VLOOKUP(E1429,'Inventaire des produits'!$B$4:$K$1000,2,0),"")</f>
        <v>BARQUETTE ALUMINIUM 250</v>
      </c>
      <c r="G1429" s="247">
        <v>300</v>
      </c>
      <c r="H1429" s="79">
        <v>0.375</v>
      </c>
      <c r="I1429" s="95">
        <f t="shared" si="54"/>
        <v>112.5</v>
      </c>
      <c r="J1429" s="95">
        <f t="shared" si="55"/>
        <v>135</v>
      </c>
      <c r="K1429" s="93">
        <f>IFERROR(VLOOKUP(E1429,'Inventaire des produits'!$B$4:$J$1000,5,FALSE),"")</f>
        <v>0</v>
      </c>
      <c r="L1429" s="301">
        <f>IFERROR(VLOOKUP(E1429,'Inventaire des produits'!$B$4:$J$1000,6,FALSE),"")</f>
        <v>0.20338000000000001</v>
      </c>
      <c r="M1429" s="62"/>
    </row>
    <row r="1430" spans="2:13" x14ac:dyDescent="0.3">
      <c r="B1430" s="378" t="s">
        <v>1704</v>
      </c>
      <c r="C1430" s="342"/>
      <c r="D1430" s="339"/>
      <c r="E1430" s="235" t="s">
        <v>498</v>
      </c>
      <c r="F1430" s="271" t="str">
        <f>IFERROR(VLOOKUP(E1430,'Inventaire des produits'!$B$4:$K$1000,2,0),"")</f>
        <v>FILM ETIRABLE VIOLET 450MM KG</v>
      </c>
      <c r="G1430" s="247">
        <v>4</v>
      </c>
      <c r="H1430" s="79">
        <v>43.333333333333336</v>
      </c>
      <c r="I1430" s="95">
        <f t="shared" si="54"/>
        <v>173.33333333333334</v>
      </c>
      <c r="J1430" s="95">
        <f t="shared" si="55"/>
        <v>208</v>
      </c>
      <c r="K1430" s="93">
        <f>IFERROR(VLOOKUP(E1430,'Inventaire des produits'!$B$4:$J$1000,5,FALSE),"")</f>
        <v>0</v>
      </c>
      <c r="L1430" s="301">
        <f>IFERROR(VLOOKUP(E1430,'Inventaire des produits'!$B$4:$J$1000,6,FALSE),"")</f>
        <v>27.083333333300001</v>
      </c>
      <c r="M1430" s="62"/>
    </row>
    <row r="1431" spans="2:13" x14ac:dyDescent="0.3">
      <c r="B1431" s="378" t="s">
        <v>1704</v>
      </c>
      <c r="C1431" s="340">
        <v>45547</v>
      </c>
      <c r="D1431" s="337" t="s">
        <v>1357</v>
      </c>
      <c r="E1431" s="235" t="s">
        <v>498</v>
      </c>
      <c r="F1431" s="271" t="str">
        <f>IFERROR(VLOOKUP(E1431,'Inventaire des produits'!$B$4:$K$1000,2,0),"")</f>
        <v>FILM ETIRABLE VIOLET 450MM KG</v>
      </c>
      <c r="G1431" s="247">
        <v>3</v>
      </c>
      <c r="H1431" s="79">
        <v>52</v>
      </c>
      <c r="I1431" s="95">
        <f t="shared" si="54"/>
        <v>156</v>
      </c>
      <c r="J1431" s="95">
        <f t="shared" si="55"/>
        <v>187.2</v>
      </c>
      <c r="K1431" s="93">
        <f>IFERROR(VLOOKUP(E1431,'Inventaire des produits'!$B$4:$J$1000,5,FALSE),"")</f>
        <v>0</v>
      </c>
      <c r="L1431" s="301">
        <f>IFERROR(VLOOKUP(E1431,'Inventaire des produits'!$B$4:$J$1000,6,FALSE),"")</f>
        <v>27.083333333300001</v>
      </c>
      <c r="M1431" s="62">
        <f>SUM(J1431:J1441)</f>
        <v>11293.9992</v>
      </c>
    </row>
    <row r="1432" spans="2:13" x14ac:dyDescent="0.3">
      <c r="B1432" s="378" t="s">
        <v>1704</v>
      </c>
      <c r="C1432" s="341"/>
      <c r="D1432" s="338"/>
      <c r="E1432" s="238" t="s">
        <v>1149</v>
      </c>
      <c r="F1432" s="271" t="str">
        <f>IFERROR(VLOOKUP(E1432,'Inventaire des produits'!$B$4:$K$1000,2,0),"")</f>
        <v>ROULEAU DE CAISSE THERMIQUE 80X80</v>
      </c>
      <c r="G1432" s="247">
        <v>65</v>
      </c>
      <c r="H1432" s="79">
        <v>12.4</v>
      </c>
      <c r="I1432" s="95">
        <f t="shared" si="54"/>
        <v>806</v>
      </c>
      <c r="J1432" s="95">
        <f t="shared" si="55"/>
        <v>967.19999999999993</v>
      </c>
      <c r="K1432" s="93">
        <f>IFERROR(VLOOKUP(E1432,'Inventaire des produits'!$B$4:$J$1000,5,FALSE),"")</f>
        <v>253</v>
      </c>
      <c r="L1432" s="301">
        <f>IFERROR(VLOOKUP(E1432,'Inventaire des produits'!$B$4:$J$1000,6,FALSE),"")</f>
        <v>7.5</v>
      </c>
      <c r="M1432" s="62"/>
    </row>
    <row r="1433" spans="2:13" x14ac:dyDescent="0.3">
      <c r="B1433" s="378" t="s">
        <v>1704</v>
      </c>
      <c r="C1433" s="341"/>
      <c r="D1433" s="338"/>
      <c r="E1433" s="240" t="s">
        <v>192</v>
      </c>
      <c r="F1433" s="271" t="str">
        <f>IFERROR(VLOOKUP(E1433,'Inventaire des produits'!$B$4:$K$1000,2,0),"")</f>
        <v>FOURCHETTE BLANC 60PCS</v>
      </c>
      <c r="G1433" s="270">
        <v>22</v>
      </c>
      <c r="H1433" s="233">
        <v>6</v>
      </c>
      <c r="I1433" s="95">
        <f t="shared" si="54"/>
        <v>132</v>
      </c>
      <c r="J1433" s="95">
        <f t="shared" si="55"/>
        <v>158.4</v>
      </c>
      <c r="K1433" s="93">
        <f>IFERROR(VLOOKUP(E1433,'Inventaire des produits'!$B$4:$J$1000,5,FALSE),"")</f>
        <v>0</v>
      </c>
      <c r="L1433" s="301">
        <f>IFERROR(VLOOKUP(E1433,'Inventaire des produits'!$B$4:$J$1000,6,FALSE),"")</f>
        <v>5.8333333329999997</v>
      </c>
      <c r="M1433" s="70"/>
    </row>
    <row r="1434" spans="2:13" x14ac:dyDescent="0.3">
      <c r="B1434" s="378" t="s">
        <v>1704</v>
      </c>
      <c r="C1434" s="341"/>
      <c r="D1434" s="338"/>
      <c r="E1434" s="245" t="s">
        <v>542</v>
      </c>
      <c r="F1434" s="271" t="str">
        <f>IFERROR(VLOOKUP(E1434,'Inventaire des produits'!$B$4:$K$1000,2,0),"")</f>
        <v>BARQUETTE ALUMINIUM 250</v>
      </c>
      <c r="G1434" s="247">
        <v>800</v>
      </c>
      <c r="H1434" s="79">
        <v>0.45</v>
      </c>
      <c r="I1434" s="95">
        <f t="shared" si="54"/>
        <v>360</v>
      </c>
      <c r="J1434" s="95">
        <f t="shared" si="55"/>
        <v>432</v>
      </c>
      <c r="K1434" s="93">
        <f>IFERROR(VLOOKUP(E1434,'Inventaire des produits'!$B$4:$J$1000,5,FALSE),"")</f>
        <v>0</v>
      </c>
      <c r="L1434" s="301">
        <f>IFERROR(VLOOKUP(E1434,'Inventaire des produits'!$B$4:$J$1000,6,FALSE),"")</f>
        <v>0.20338000000000001</v>
      </c>
      <c r="M1434" s="62"/>
    </row>
    <row r="1435" spans="2:13" x14ac:dyDescent="0.3">
      <c r="B1435" s="378" t="s">
        <v>1704</v>
      </c>
      <c r="C1435" s="341"/>
      <c r="D1435" s="338"/>
      <c r="E1435" s="235" t="s">
        <v>583</v>
      </c>
      <c r="F1435" s="271" t="str">
        <f>IFERROR(VLOOKUP(E1435,'Inventaire des produits'!$B$4:$K$1000,2,0),"")</f>
        <v>GANT VINYL EXTRA PREMIUM GLOVE MEDIUM</v>
      </c>
      <c r="G1435" s="247">
        <v>15</v>
      </c>
      <c r="H1435" s="79">
        <v>40</v>
      </c>
      <c r="I1435" s="95">
        <f t="shared" si="54"/>
        <v>600</v>
      </c>
      <c r="J1435" s="95">
        <f t="shared" si="55"/>
        <v>720</v>
      </c>
      <c r="K1435" s="93">
        <f>IFERROR(VLOOKUP(E1435,'Inventaire des produits'!$B$4:$J$1000,5,FALSE),"")</f>
        <v>0</v>
      </c>
      <c r="L1435" s="301">
        <f>IFERROR(VLOOKUP(E1435,'Inventaire des produits'!$B$4:$J$1000,6,FALSE),"")</f>
        <v>19.166666666699999</v>
      </c>
      <c r="M1435" s="62"/>
    </row>
    <row r="1436" spans="2:13" x14ac:dyDescent="0.3">
      <c r="B1436" s="378" t="s">
        <v>1704</v>
      </c>
      <c r="C1436" s="341"/>
      <c r="D1436" s="338"/>
      <c r="E1436" s="235" t="s">
        <v>869</v>
      </c>
      <c r="F1436" s="271" t="str">
        <f>IFERROR(VLOOKUP(E1436,'Inventaire des produits'!$B$4:$K$1000,2,0),"")</f>
        <v>PAILLE ENVELOPPEE CODE 100 TRANS</v>
      </c>
      <c r="G1436" s="247">
        <v>24</v>
      </c>
      <c r="H1436" s="79">
        <v>8</v>
      </c>
      <c r="I1436" s="95">
        <f t="shared" si="54"/>
        <v>192</v>
      </c>
      <c r="J1436" s="95">
        <f t="shared" si="55"/>
        <v>230.39999999999998</v>
      </c>
      <c r="K1436" s="93">
        <f>IFERROR(VLOOKUP(E1436,'Inventaire des produits'!$B$4:$J$1000,5,FALSE),"")</f>
        <v>898</v>
      </c>
      <c r="L1436" s="301">
        <f>IFERROR(VLOOKUP(E1436,'Inventaire des produits'!$B$4:$J$1000,6,FALSE),"")</f>
        <v>3.9166666659999998</v>
      </c>
      <c r="M1436" s="62"/>
    </row>
    <row r="1437" spans="2:13" x14ac:dyDescent="0.3">
      <c r="B1437" s="378" t="s">
        <v>1704</v>
      </c>
      <c r="C1437" s="341"/>
      <c r="D1437" s="338"/>
      <c r="E1437" s="235" t="s">
        <v>786</v>
      </c>
      <c r="F1437" s="271" t="str">
        <f>IFERROR(VLOOKUP(E1437,'Inventaire des produits'!$B$4:$K$1000,2,0),"")</f>
        <v>FOURCHETTE ECOLUXE TRANSPARENTE</v>
      </c>
      <c r="G1437" s="247">
        <v>27</v>
      </c>
      <c r="H1437" s="79">
        <v>23</v>
      </c>
      <c r="I1437" s="95">
        <f t="shared" si="54"/>
        <v>621</v>
      </c>
      <c r="J1437" s="95">
        <f t="shared" si="55"/>
        <v>745.19999999999993</v>
      </c>
      <c r="K1437" s="93">
        <f>IFERROR(VLOOKUP(E1437,'Inventaire des produits'!$B$4:$J$1000,5,FALSE),"")</f>
        <v>0</v>
      </c>
      <c r="L1437" s="301">
        <f>IFERROR(VLOOKUP(E1437,'Inventaire des produits'!$B$4:$J$1000,6,FALSE),"")</f>
        <v>15.83333333</v>
      </c>
      <c r="M1437" s="62"/>
    </row>
    <row r="1438" spans="2:13" x14ac:dyDescent="0.3">
      <c r="B1438" s="378" t="s">
        <v>1704</v>
      </c>
      <c r="C1438" s="341"/>
      <c r="D1438" s="338"/>
      <c r="E1438" s="235" t="s">
        <v>601</v>
      </c>
      <c r="F1438" s="271" t="str">
        <f>IFERROR(VLOOKUP(E1438,'Inventaire des produits'!$B$4:$K$1000,2,0),"")</f>
        <v>FILM ALIMENTAIRE VIOLET 280MM 500GR</v>
      </c>
      <c r="G1438" s="247">
        <v>29</v>
      </c>
      <c r="H1438" s="79">
        <v>34</v>
      </c>
      <c r="I1438" s="95">
        <f t="shared" si="54"/>
        <v>986</v>
      </c>
      <c r="J1438" s="95">
        <f t="shared" si="55"/>
        <v>1183.2</v>
      </c>
      <c r="K1438" s="93">
        <f>IFERROR(VLOOKUP(E1438,'Inventaire des produits'!$B$4:$J$1000,5,FALSE),"")</f>
        <v>0</v>
      </c>
      <c r="L1438" s="301">
        <f>IFERROR(VLOOKUP(E1438,'Inventaire des produits'!$B$4:$J$1000,6,FALSE),"")</f>
        <v>29.17</v>
      </c>
      <c r="M1438" s="62"/>
    </row>
    <row r="1439" spans="2:13" x14ac:dyDescent="0.3">
      <c r="B1439" s="378" t="s">
        <v>1704</v>
      </c>
      <c r="C1439" s="341"/>
      <c r="D1439" s="338"/>
      <c r="E1439" s="235" t="s">
        <v>206</v>
      </c>
      <c r="F1439" s="271" t="str">
        <f>IFERROR(VLOOKUP(E1439,'Inventaire des produits'!$B$4:$K$1000,2,0),"")</f>
        <v>ESSUIE MAIN 1KG LISSE</v>
      </c>
      <c r="G1439" s="247">
        <v>10</v>
      </c>
      <c r="H1439" s="79">
        <v>34</v>
      </c>
      <c r="I1439" s="95">
        <f t="shared" si="54"/>
        <v>340</v>
      </c>
      <c r="J1439" s="95">
        <f t="shared" si="55"/>
        <v>408</v>
      </c>
      <c r="K1439" s="93">
        <f>IFERROR(VLOOKUP(E1439,'Inventaire des produits'!$B$4:$J$1000,5,FALSE),"")</f>
        <v>0</v>
      </c>
      <c r="L1439" s="301">
        <f>IFERROR(VLOOKUP(E1439,'Inventaire des produits'!$B$4:$J$1000,6,FALSE),"")</f>
        <v>21.25</v>
      </c>
      <c r="M1439" s="62"/>
    </row>
    <row r="1440" spans="2:13" x14ac:dyDescent="0.3">
      <c r="B1440" s="378" t="s">
        <v>1704</v>
      </c>
      <c r="C1440" s="341"/>
      <c r="D1440" s="338"/>
      <c r="E1440" s="235" t="s">
        <v>1222</v>
      </c>
      <c r="F1440" s="271" t="str">
        <f>IFERROR(VLOOKUP(E1440,'Inventaire des produits'!$B$4:$K$1000,2,0),"")</f>
        <v>POT DE SAUCE 1OZ PROCLEAN</v>
      </c>
      <c r="G1440" s="247">
        <v>26000</v>
      </c>
      <c r="H1440" s="79">
        <v>0.19500000000000001</v>
      </c>
      <c r="I1440" s="95">
        <f t="shared" si="54"/>
        <v>5070</v>
      </c>
      <c r="J1440" s="95">
        <f t="shared" si="55"/>
        <v>6084</v>
      </c>
      <c r="K1440" s="93">
        <f>IFERROR(VLOOKUP(E1440,'Inventaire des produits'!$B$4:$J$1000,5,FALSE),"")</f>
        <v>557100</v>
      </c>
      <c r="L1440" s="301">
        <f>IFERROR(VLOOKUP(E1440,'Inventaire des produits'!$B$4:$J$1000,6,FALSE),"")</f>
        <v>0.1167</v>
      </c>
      <c r="M1440" s="62"/>
    </row>
    <row r="1441" spans="2:13" x14ac:dyDescent="0.3">
      <c r="B1441" s="378" t="s">
        <v>1704</v>
      </c>
      <c r="C1441" s="342"/>
      <c r="D1441" s="339"/>
      <c r="E1441" s="235" t="s">
        <v>722</v>
      </c>
      <c r="F1441" s="271" t="str">
        <f>IFERROR(VLOOKUP(E1441,'Inventaire des produits'!$B$4:$K$1000,2,0),"")</f>
        <v>GANT POLYETHLENE</v>
      </c>
      <c r="G1441" s="247">
        <v>37</v>
      </c>
      <c r="H1441" s="79">
        <v>4.0179999999999998</v>
      </c>
      <c r="I1441" s="95">
        <f t="shared" si="54"/>
        <v>148.666</v>
      </c>
      <c r="J1441" s="95">
        <f t="shared" si="55"/>
        <v>178.39919999999998</v>
      </c>
      <c r="K1441" s="93">
        <f>IFERROR(VLOOKUP(E1441,'Inventaire des produits'!$B$4:$J$1000,5,FALSE),"")</f>
        <v>0</v>
      </c>
      <c r="L1441" s="301">
        <f>IFERROR(VLOOKUP(E1441,'Inventaire des produits'!$B$4:$J$1000,6,FALSE),"")</f>
        <v>2.8</v>
      </c>
      <c r="M1441" s="62"/>
    </row>
    <row r="1442" spans="2:13" x14ac:dyDescent="0.3">
      <c r="B1442" s="378" t="s">
        <v>1704</v>
      </c>
      <c r="C1442" s="340">
        <v>45547</v>
      </c>
      <c r="D1442" s="337" t="s">
        <v>1358</v>
      </c>
      <c r="E1442" s="235" t="s">
        <v>1222</v>
      </c>
      <c r="F1442" s="271" t="str">
        <f>IFERROR(VLOOKUP(E1442,'Inventaire des produits'!$B$4:$K$1000,2,0),"")</f>
        <v>POT DE SAUCE 1OZ PROCLEAN</v>
      </c>
      <c r="G1442" s="247">
        <v>10000</v>
      </c>
      <c r="H1442" s="79">
        <v>0.16250000000000001</v>
      </c>
      <c r="I1442" s="95">
        <f t="shared" si="54"/>
        <v>1625</v>
      </c>
      <c r="J1442" s="95">
        <f t="shared" si="55"/>
        <v>1950</v>
      </c>
      <c r="K1442" s="93">
        <f>IFERROR(VLOOKUP(E1442,'Inventaire des produits'!$B$4:$J$1000,5,FALSE),"")</f>
        <v>557100</v>
      </c>
      <c r="L1442" s="301">
        <f>IFERROR(VLOOKUP(E1442,'Inventaire des produits'!$B$4:$J$1000,6,FALSE),"")</f>
        <v>0.1167</v>
      </c>
      <c r="M1442" s="62">
        <f>SUM(J1442:J1452)</f>
        <v>5506.0027999999993</v>
      </c>
    </row>
    <row r="1443" spans="2:13" x14ac:dyDescent="0.3">
      <c r="B1443" s="378" t="s">
        <v>1704</v>
      </c>
      <c r="C1443" s="341"/>
      <c r="D1443" s="338"/>
      <c r="E1443" s="235" t="s">
        <v>206</v>
      </c>
      <c r="F1443" s="271" t="str">
        <f>IFERROR(VLOOKUP(E1443,'Inventaire des produits'!$B$4:$K$1000,2,0),"")</f>
        <v>ESSUIE MAIN 1KG LISSE</v>
      </c>
      <c r="G1443" s="247">
        <v>8</v>
      </c>
      <c r="H1443" s="79">
        <v>28.3</v>
      </c>
      <c r="I1443" s="95">
        <f t="shared" si="54"/>
        <v>226.4</v>
      </c>
      <c r="J1443" s="95">
        <f t="shared" si="55"/>
        <v>271.68</v>
      </c>
      <c r="K1443" s="93">
        <f>IFERROR(VLOOKUP(E1443,'Inventaire des produits'!$B$4:$J$1000,5,FALSE),"")</f>
        <v>0</v>
      </c>
      <c r="L1443" s="301">
        <f>IFERROR(VLOOKUP(E1443,'Inventaire des produits'!$B$4:$J$1000,6,FALSE),"")</f>
        <v>21.25</v>
      </c>
      <c r="M1443" s="62"/>
    </row>
    <row r="1444" spans="2:13" x14ac:dyDescent="0.3">
      <c r="B1444" s="378" t="s">
        <v>1704</v>
      </c>
      <c r="C1444" s="341"/>
      <c r="D1444" s="338"/>
      <c r="E1444" s="235" t="s">
        <v>869</v>
      </c>
      <c r="F1444" s="271" t="str">
        <f>IFERROR(VLOOKUP(E1444,'Inventaire des produits'!$B$4:$K$1000,2,0),"")</f>
        <v>PAILLE ENVELOPPEE CODE 100 TRANS</v>
      </c>
      <c r="G1444" s="247">
        <v>25</v>
      </c>
      <c r="H1444" s="79">
        <v>6.66</v>
      </c>
      <c r="I1444" s="95">
        <f t="shared" si="54"/>
        <v>166.5</v>
      </c>
      <c r="J1444" s="95">
        <f t="shared" si="55"/>
        <v>199.79999999999998</v>
      </c>
      <c r="K1444" s="93">
        <f>IFERROR(VLOOKUP(E1444,'Inventaire des produits'!$B$4:$J$1000,5,FALSE),"")</f>
        <v>898</v>
      </c>
      <c r="L1444" s="301">
        <f>IFERROR(VLOOKUP(E1444,'Inventaire des produits'!$B$4:$J$1000,6,FALSE),"")</f>
        <v>3.9166666659999998</v>
      </c>
      <c r="M1444" s="62"/>
    </row>
    <row r="1445" spans="2:13" x14ac:dyDescent="0.3">
      <c r="B1445" s="378" t="s">
        <v>1704</v>
      </c>
      <c r="C1445" s="341"/>
      <c r="D1445" s="338"/>
      <c r="E1445" s="235" t="s">
        <v>666</v>
      </c>
      <c r="F1445" s="271" t="str">
        <f>IFERROR(VLOOKUP(E1445,'Inventaire des produits'!$B$4:$K$1000,2,0),"")</f>
        <v>GANT VINYL EXTRA PREMIUM GLOVE MEDIUM</v>
      </c>
      <c r="G1445" s="247">
        <v>14</v>
      </c>
      <c r="H1445" s="79">
        <v>33.33</v>
      </c>
      <c r="I1445" s="95">
        <f t="shared" si="54"/>
        <v>466.62</v>
      </c>
      <c r="J1445" s="95">
        <f t="shared" si="55"/>
        <v>559.94399999999996</v>
      </c>
      <c r="K1445" s="93">
        <f>IFERROR(VLOOKUP(E1445,'Inventaire des produits'!$B$4:$J$1000,5,FALSE),"")</f>
        <v>0</v>
      </c>
      <c r="L1445" s="301">
        <f>IFERROR(VLOOKUP(E1445,'Inventaire des produits'!$B$4:$J$1000,6,FALSE),"")</f>
        <v>20</v>
      </c>
      <c r="M1445" s="62"/>
    </row>
    <row r="1446" spans="2:13" x14ac:dyDescent="0.3">
      <c r="B1446" s="378" t="s">
        <v>1704</v>
      </c>
      <c r="C1446" s="341"/>
      <c r="D1446" s="338"/>
      <c r="E1446" s="235" t="s">
        <v>542</v>
      </c>
      <c r="F1446" s="271" t="str">
        <f>IFERROR(VLOOKUP(E1446,'Inventaire des produits'!$B$4:$K$1000,2,0),"")</f>
        <v>BARQUETTE ALUMINIUM 250</v>
      </c>
      <c r="G1446" s="247">
        <v>700</v>
      </c>
      <c r="H1446" s="79">
        <v>0.37236999999999998</v>
      </c>
      <c r="I1446" s="95">
        <f t="shared" si="54"/>
        <v>260.65899999999999</v>
      </c>
      <c r="J1446" s="95">
        <f t="shared" si="55"/>
        <v>312.79079999999999</v>
      </c>
      <c r="K1446" s="93">
        <f>IFERROR(VLOOKUP(E1446,'Inventaire des produits'!$B$4:$J$1000,5,FALSE),"")</f>
        <v>0</v>
      </c>
      <c r="L1446" s="301">
        <f>IFERROR(VLOOKUP(E1446,'Inventaire des produits'!$B$4:$J$1000,6,FALSE),"")</f>
        <v>0.20338000000000001</v>
      </c>
      <c r="M1446" s="62"/>
    </row>
    <row r="1447" spans="2:13" x14ac:dyDescent="0.3">
      <c r="B1447" s="378" t="s">
        <v>1704</v>
      </c>
      <c r="C1447" s="341"/>
      <c r="D1447" s="338"/>
      <c r="E1447" s="235" t="s">
        <v>192</v>
      </c>
      <c r="F1447" s="271" t="str">
        <f>IFERROR(VLOOKUP(E1447,'Inventaire des produits'!$B$4:$K$1000,2,0),"")</f>
        <v>FOURCHETTE BLANC 60PCS</v>
      </c>
      <c r="G1447" s="247">
        <v>15</v>
      </c>
      <c r="H1447" s="79">
        <v>5</v>
      </c>
      <c r="I1447" s="95">
        <f t="shared" si="54"/>
        <v>75</v>
      </c>
      <c r="J1447" s="95">
        <f t="shared" si="55"/>
        <v>90</v>
      </c>
      <c r="K1447" s="93">
        <f>IFERROR(VLOOKUP(E1447,'Inventaire des produits'!$B$4:$J$1000,5,FALSE),"")</f>
        <v>0</v>
      </c>
      <c r="L1447" s="301">
        <f>IFERROR(VLOOKUP(E1447,'Inventaire des produits'!$B$4:$J$1000,6,FALSE),"")</f>
        <v>5.8333333329999997</v>
      </c>
      <c r="M1447" s="62"/>
    </row>
    <row r="1448" spans="2:13" x14ac:dyDescent="0.3">
      <c r="B1448" s="378" t="s">
        <v>1704</v>
      </c>
      <c r="C1448" s="341"/>
      <c r="D1448" s="338"/>
      <c r="E1448" s="235" t="s">
        <v>1149</v>
      </c>
      <c r="F1448" s="271" t="str">
        <f>IFERROR(VLOOKUP(E1448,'Inventaire des produits'!$B$4:$K$1000,2,0),"")</f>
        <v>ROULEAU DE CAISSE THERMIQUE 80X80</v>
      </c>
      <c r="G1448" s="247">
        <v>35</v>
      </c>
      <c r="H1448" s="79">
        <v>10.33</v>
      </c>
      <c r="I1448" s="95">
        <f t="shared" si="54"/>
        <v>361.55</v>
      </c>
      <c r="J1448" s="95">
        <f t="shared" si="55"/>
        <v>433.86</v>
      </c>
      <c r="K1448" s="93">
        <f>IFERROR(VLOOKUP(E1448,'Inventaire des produits'!$B$4:$J$1000,5,FALSE),"")</f>
        <v>253</v>
      </c>
      <c r="L1448" s="301">
        <f>IFERROR(VLOOKUP(E1448,'Inventaire des produits'!$B$4:$J$1000,6,FALSE),"")</f>
        <v>7.5</v>
      </c>
      <c r="M1448" s="62"/>
    </row>
    <row r="1449" spans="2:13" x14ac:dyDescent="0.3">
      <c r="B1449" s="378" t="s">
        <v>1704</v>
      </c>
      <c r="C1449" s="341"/>
      <c r="D1449" s="338"/>
      <c r="E1449" s="235" t="s">
        <v>498</v>
      </c>
      <c r="F1449" s="271" t="str">
        <f>IFERROR(VLOOKUP(E1449,'Inventaire des produits'!$B$4:$K$1000,2,0),"")</f>
        <v>FILM ETIRABLE VIOLET 450MM KG</v>
      </c>
      <c r="G1449" s="247">
        <v>10</v>
      </c>
      <c r="H1449" s="79">
        <v>43.33</v>
      </c>
      <c r="I1449" s="95">
        <f t="shared" si="54"/>
        <v>433.29999999999995</v>
      </c>
      <c r="J1449" s="95">
        <f t="shared" si="55"/>
        <v>519.95999999999992</v>
      </c>
      <c r="K1449" s="93">
        <f>IFERROR(VLOOKUP(E1449,'Inventaire des produits'!$B$4:$J$1000,5,FALSE),"")</f>
        <v>0</v>
      </c>
      <c r="L1449" s="301">
        <f>IFERROR(VLOOKUP(E1449,'Inventaire des produits'!$B$4:$J$1000,6,FALSE),"")</f>
        <v>27.083333333300001</v>
      </c>
      <c r="M1449" s="62"/>
    </row>
    <row r="1450" spans="2:13" x14ac:dyDescent="0.3">
      <c r="B1450" s="378" t="s">
        <v>1704</v>
      </c>
      <c r="C1450" s="341"/>
      <c r="D1450" s="338"/>
      <c r="E1450" s="235" t="s">
        <v>722</v>
      </c>
      <c r="F1450" s="271" t="str">
        <f>IFERROR(VLOOKUP(E1450,'Inventaire des produits'!$B$4:$K$1000,2,0),"")</f>
        <v>GANT POLYETHLENE</v>
      </c>
      <c r="G1450" s="247">
        <v>30</v>
      </c>
      <c r="H1450" s="79">
        <v>5</v>
      </c>
      <c r="I1450" s="95">
        <f t="shared" si="54"/>
        <v>150</v>
      </c>
      <c r="J1450" s="95">
        <f t="shared" si="55"/>
        <v>180</v>
      </c>
      <c r="K1450" s="93">
        <f>IFERROR(VLOOKUP(E1450,'Inventaire des produits'!$B$4:$J$1000,5,FALSE),"")</f>
        <v>0</v>
      </c>
      <c r="L1450" s="301">
        <f>IFERROR(VLOOKUP(E1450,'Inventaire des produits'!$B$4:$J$1000,6,FALSE),"")</f>
        <v>2.8</v>
      </c>
      <c r="M1450" s="62"/>
    </row>
    <row r="1451" spans="2:13" x14ac:dyDescent="0.3">
      <c r="B1451" s="378" t="s">
        <v>1704</v>
      </c>
      <c r="C1451" s="341"/>
      <c r="D1451" s="338"/>
      <c r="E1451" s="235" t="s">
        <v>601</v>
      </c>
      <c r="F1451" s="271" t="str">
        <f>IFERROR(VLOOKUP(E1451,'Inventaire des produits'!$B$4:$K$1000,2,0),"")</f>
        <v>FILM ALIMENTAIRE VIOLET 280MM 500GR</v>
      </c>
      <c r="G1451" s="247">
        <v>2</v>
      </c>
      <c r="H1451" s="79">
        <v>28.333333333333336</v>
      </c>
      <c r="I1451" s="95">
        <f t="shared" si="54"/>
        <v>56.666666666666671</v>
      </c>
      <c r="J1451" s="95">
        <f t="shared" si="55"/>
        <v>68</v>
      </c>
      <c r="K1451" s="93">
        <f>IFERROR(VLOOKUP(E1451,'Inventaire des produits'!$B$4:$J$1000,5,FALSE),"")</f>
        <v>0</v>
      </c>
      <c r="L1451" s="301">
        <f>IFERROR(VLOOKUP(E1451,'Inventaire des produits'!$B$4:$J$1000,6,FALSE),"")</f>
        <v>29.17</v>
      </c>
      <c r="M1451" s="62"/>
    </row>
    <row r="1452" spans="2:13" x14ac:dyDescent="0.3">
      <c r="B1452" s="378" t="s">
        <v>1704</v>
      </c>
      <c r="C1452" s="342"/>
      <c r="D1452" s="339"/>
      <c r="E1452" s="235" t="s">
        <v>786</v>
      </c>
      <c r="F1452" s="271" t="str">
        <f>IFERROR(VLOOKUP(E1452,'Inventaire des produits'!$B$4:$K$1000,2,0),"")</f>
        <v>FOURCHETTE ECOLUXE TRANSPARENTE</v>
      </c>
      <c r="G1452" s="247">
        <v>40</v>
      </c>
      <c r="H1452" s="79">
        <v>19.166</v>
      </c>
      <c r="I1452" s="95">
        <f t="shared" si="54"/>
        <v>766.64</v>
      </c>
      <c r="J1452" s="95">
        <f t="shared" si="55"/>
        <v>919.96799999999996</v>
      </c>
      <c r="K1452" s="93">
        <f>IFERROR(VLOOKUP(E1452,'Inventaire des produits'!$B$4:$J$1000,5,FALSE),"")</f>
        <v>0</v>
      </c>
      <c r="L1452" s="301">
        <f>IFERROR(VLOOKUP(E1452,'Inventaire des produits'!$B$4:$J$1000,6,FALSE),"")</f>
        <v>15.83333333</v>
      </c>
      <c r="M1452" s="62"/>
    </row>
    <row r="1453" spans="2:13" x14ac:dyDescent="0.3">
      <c r="B1453" s="378" t="s">
        <v>1704</v>
      </c>
      <c r="C1453" s="340">
        <v>45547</v>
      </c>
      <c r="D1453" s="337" t="s">
        <v>1359</v>
      </c>
      <c r="E1453" s="235" t="s">
        <v>1222</v>
      </c>
      <c r="F1453" s="271" t="str">
        <f>IFERROR(VLOOKUP(E1453,'Inventaire des produits'!$B$4:$K$1000,2,0),"")</f>
        <v>POT DE SAUCE 1OZ PROCLEAN</v>
      </c>
      <c r="G1453" s="247">
        <v>13000</v>
      </c>
      <c r="H1453" s="79">
        <v>0.16250000000000001</v>
      </c>
      <c r="I1453" s="95">
        <f t="shared" si="54"/>
        <v>2112.5</v>
      </c>
      <c r="J1453" s="95">
        <f t="shared" si="55"/>
        <v>2535</v>
      </c>
      <c r="K1453" s="93">
        <f>IFERROR(VLOOKUP(E1453,'Inventaire des produits'!$B$4:$J$1000,5,FALSE),"")</f>
        <v>557100</v>
      </c>
      <c r="L1453" s="301">
        <f>IFERROR(VLOOKUP(E1453,'Inventaire des produits'!$B$4:$J$1000,6,FALSE),"")</f>
        <v>0.1167</v>
      </c>
      <c r="M1453" s="62">
        <f>SUM(J1453:J1461)</f>
        <v>7141.0000000000027</v>
      </c>
    </row>
    <row r="1454" spans="2:13" x14ac:dyDescent="0.3">
      <c r="B1454" s="378" t="s">
        <v>1704</v>
      </c>
      <c r="C1454" s="341"/>
      <c r="D1454" s="338"/>
      <c r="E1454" s="235" t="s">
        <v>206</v>
      </c>
      <c r="F1454" s="271" t="str">
        <f>IFERROR(VLOOKUP(E1454,'Inventaire des produits'!$B$4:$K$1000,2,0),"")</f>
        <v>ESSUIE MAIN 1KG LISSE</v>
      </c>
      <c r="G1454" s="247">
        <v>8</v>
      </c>
      <c r="H1454" s="79">
        <v>28.333333333333336</v>
      </c>
      <c r="I1454" s="95">
        <f t="shared" si="54"/>
        <v>226.66666666666669</v>
      </c>
      <c r="J1454" s="95">
        <f t="shared" si="55"/>
        <v>272</v>
      </c>
      <c r="K1454" s="93">
        <f>IFERROR(VLOOKUP(E1454,'Inventaire des produits'!$B$4:$J$1000,5,FALSE),"")</f>
        <v>0</v>
      </c>
      <c r="L1454" s="301">
        <f>IFERROR(VLOOKUP(E1454,'Inventaire des produits'!$B$4:$J$1000,6,FALSE),"")</f>
        <v>21.25</v>
      </c>
      <c r="M1454" s="62"/>
    </row>
    <row r="1455" spans="2:13" x14ac:dyDescent="0.3">
      <c r="B1455" s="378" t="s">
        <v>1704</v>
      </c>
      <c r="C1455" s="341"/>
      <c r="D1455" s="338"/>
      <c r="E1455" s="235" t="s">
        <v>786</v>
      </c>
      <c r="F1455" s="271" t="str">
        <f>IFERROR(VLOOKUP(E1455,'Inventaire des produits'!$B$4:$K$1000,2,0),"")</f>
        <v>FOURCHETTE ECOLUXE TRANSPARENTE</v>
      </c>
      <c r="G1455" s="247">
        <v>75</v>
      </c>
      <c r="H1455" s="79">
        <v>19.1666666666667</v>
      </c>
      <c r="I1455" s="95">
        <f t="shared" si="54"/>
        <v>1437.5000000000025</v>
      </c>
      <c r="J1455" s="95">
        <f t="shared" si="55"/>
        <v>1725.000000000003</v>
      </c>
      <c r="K1455" s="93">
        <f>IFERROR(VLOOKUP(E1455,'Inventaire des produits'!$B$4:$J$1000,5,FALSE),"")</f>
        <v>0</v>
      </c>
      <c r="L1455" s="301">
        <f>IFERROR(VLOOKUP(E1455,'Inventaire des produits'!$B$4:$J$1000,6,FALSE),"")</f>
        <v>15.83333333</v>
      </c>
      <c r="M1455" s="62"/>
    </row>
    <row r="1456" spans="2:13" x14ac:dyDescent="0.3">
      <c r="B1456" s="378" t="s">
        <v>1704</v>
      </c>
      <c r="C1456" s="341"/>
      <c r="D1456" s="338"/>
      <c r="E1456" s="235" t="s">
        <v>869</v>
      </c>
      <c r="F1456" s="271" t="str">
        <f>IFERROR(VLOOKUP(E1456,'Inventaire des produits'!$B$4:$K$1000,2,0),"")</f>
        <v>PAILLE ENVELOPPEE CODE 100 TRANS</v>
      </c>
      <c r="G1456" s="247">
        <v>32</v>
      </c>
      <c r="H1456" s="79">
        <v>6.666666666666667</v>
      </c>
      <c r="I1456" s="95">
        <f t="shared" si="54"/>
        <v>213.33333333333334</v>
      </c>
      <c r="J1456" s="95">
        <f t="shared" si="55"/>
        <v>256</v>
      </c>
      <c r="K1456" s="93">
        <f>IFERROR(VLOOKUP(E1456,'Inventaire des produits'!$B$4:$J$1000,5,FALSE),"")</f>
        <v>898</v>
      </c>
      <c r="L1456" s="301">
        <f>IFERROR(VLOOKUP(E1456,'Inventaire des produits'!$B$4:$J$1000,6,FALSE),"")</f>
        <v>3.9166666659999998</v>
      </c>
      <c r="M1456" s="62"/>
    </row>
    <row r="1457" spans="2:13" x14ac:dyDescent="0.3">
      <c r="B1457" s="378" t="s">
        <v>1704</v>
      </c>
      <c r="C1457" s="341"/>
      <c r="D1457" s="338"/>
      <c r="E1457" s="235" t="s">
        <v>666</v>
      </c>
      <c r="F1457" s="271" t="str">
        <f>IFERROR(VLOOKUP(E1457,'Inventaire des produits'!$B$4:$K$1000,2,0),"")</f>
        <v>GANT VINYL EXTRA PREMIUM GLOVE MEDIUM</v>
      </c>
      <c r="G1457" s="247">
        <v>16</v>
      </c>
      <c r="H1457" s="79">
        <v>33.333333333333336</v>
      </c>
      <c r="I1457" s="95">
        <f t="shared" si="54"/>
        <v>533.33333333333337</v>
      </c>
      <c r="J1457" s="95">
        <f t="shared" si="55"/>
        <v>640</v>
      </c>
      <c r="K1457" s="93">
        <f>IFERROR(VLOOKUP(E1457,'Inventaire des produits'!$B$4:$J$1000,5,FALSE),"")</f>
        <v>0</v>
      </c>
      <c r="L1457" s="301">
        <f>IFERROR(VLOOKUP(E1457,'Inventaire des produits'!$B$4:$J$1000,6,FALSE),"")</f>
        <v>20</v>
      </c>
      <c r="M1457" s="62"/>
    </row>
    <row r="1458" spans="2:13" x14ac:dyDescent="0.3">
      <c r="B1458" s="378" t="s">
        <v>1704</v>
      </c>
      <c r="C1458" s="341"/>
      <c r="D1458" s="338"/>
      <c r="E1458" s="235" t="s">
        <v>673</v>
      </c>
      <c r="F1458" s="271" t="str">
        <f>IFERROR(VLOOKUP(E1458,'Inventaire des produits'!$B$4:$K$1000,2,0),"")</f>
        <v>BARQUETTE ALUMINIUM 250</v>
      </c>
      <c r="G1458" s="247">
        <v>1000</v>
      </c>
      <c r="H1458" s="79">
        <v>0.375</v>
      </c>
      <c r="I1458" s="95">
        <f t="shared" si="54"/>
        <v>375</v>
      </c>
      <c r="J1458" s="95">
        <f t="shared" si="55"/>
        <v>450</v>
      </c>
      <c r="K1458" s="93">
        <f>IFERROR(VLOOKUP(E1458,'Inventaire des produits'!$B$4:$J$1000,5,FALSE),"")</f>
        <v>250</v>
      </c>
      <c r="L1458" s="301">
        <f>IFERROR(VLOOKUP(E1458,'Inventaire des produits'!$B$4:$J$1000,6,FALSE),"")</f>
        <v>0.25</v>
      </c>
      <c r="M1458" s="62"/>
    </row>
    <row r="1459" spans="2:13" x14ac:dyDescent="0.3">
      <c r="B1459" s="378" t="s">
        <v>1704</v>
      </c>
      <c r="C1459" s="341"/>
      <c r="D1459" s="338"/>
      <c r="E1459" s="235" t="s">
        <v>1149</v>
      </c>
      <c r="F1459" s="271" t="str">
        <f>IFERROR(VLOOKUP(E1459,'Inventaire des produits'!$B$4:$K$1000,2,0),"")</f>
        <v>ROULEAU DE CAISSE THERMIQUE 80X80</v>
      </c>
      <c r="G1459" s="247">
        <v>50</v>
      </c>
      <c r="H1459" s="79">
        <v>10.333333333333334</v>
      </c>
      <c r="I1459" s="95">
        <f t="shared" si="54"/>
        <v>516.66666666666674</v>
      </c>
      <c r="J1459" s="95">
        <f t="shared" si="55"/>
        <v>620.00000000000011</v>
      </c>
      <c r="K1459" s="93">
        <f>IFERROR(VLOOKUP(E1459,'Inventaire des produits'!$B$4:$J$1000,5,FALSE),"")</f>
        <v>253</v>
      </c>
      <c r="L1459" s="301">
        <f>IFERROR(VLOOKUP(E1459,'Inventaire des produits'!$B$4:$J$1000,6,FALSE),"")</f>
        <v>7.5</v>
      </c>
      <c r="M1459" s="62"/>
    </row>
    <row r="1460" spans="2:13" x14ac:dyDescent="0.3">
      <c r="B1460" s="378" t="s">
        <v>1704</v>
      </c>
      <c r="C1460" s="341"/>
      <c r="D1460" s="338"/>
      <c r="E1460" s="235" t="s">
        <v>498</v>
      </c>
      <c r="F1460" s="271" t="str">
        <f>IFERROR(VLOOKUP(E1460,'Inventaire des produits'!$B$4:$K$1000,2,0),"")</f>
        <v>FILM ETIRABLE VIOLET 450MM KG</v>
      </c>
      <c r="G1460" s="247">
        <v>9</v>
      </c>
      <c r="H1460" s="79">
        <v>43.333333333333336</v>
      </c>
      <c r="I1460" s="95">
        <f t="shared" si="54"/>
        <v>390</v>
      </c>
      <c r="J1460" s="95">
        <f t="shared" si="55"/>
        <v>468</v>
      </c>
      <c r="K1460" s="93">
        <f>IFERROR(VLOOKUP(E1460,'Inventaire des produits'!$B$4:$J$1000,5,FALSE),"")</f>
        <v>0</v>
      </c>
      <c r="L1460" s="301">
        <f>IFERROR(VLOOKUP(E1460,'Inventaire des produits'!$B$4:$J$1000,6,FALSE),"")</f>
        <v>27.083333333300001</v>
      </c>
      <c r="M1460" s="62"/>
    </row>
    <row r="1461" spans="2:13" x14ac:dyDescent="0.3">
      <c r="B1461" s="378" t="s">
        <v>1704</v>
      </c>
      <c r="C1461" s="342"/>
      <c r="D1461" s="339"/>
      <c r="E1461" s="235" t="s">
        <v>1200</v>
      </c>
      <c r="F1461" s="271" t="str">
        <f>IFERROR(VLOOKUP(E1461,'Inventaire des produits'!$B$4:$K$1000,2,0),"")</f>
        <v>TAPIS SUSHI MAKISU</v>
      </c>
      <c r="G1461" s="247">
        <v>5</v>
      </c>
      <c r="H1461" s="79">
        <v>29.166666666666668</v>
      </c>
      <c r="I1461" s="95">
        <f t="shared" si="54"/>
        <v>145.83333333333334</v>
      </c>
      <c r="J1461" s="95">
        <f t="shared" si="55"/>
        <v>175</v>
      </c>
      <c r="K1461" s="93">
        <f>IFERROR(VLOOKUP(E1461,'Inventaire des produits'!$B$4:$J$1000,5,FALSE),"")</f>
        <v>0</v>
      </c>
      <c r="L1461" s="301">
        <f>IFERROR(VLOOKUP(E1461,'Inventaire des produits'!$B$4:$J$1000,6,FALSE),"")</f>
        <v>29.169</v>
      </c>
      <c r="M1461" s="62"/>
    </row>
    <row r="1462" spans="2:13" x14ac:dyDescent="0.3">
      <c r="B1462" s="378" t="s">
        <v>1704</v>
      </c>
      <c r="C1462" s="340">
        <v>45547</v>
      </c>
      <c r="D1462" s="337" t="s">
        <v>1360</v>
      </c>
      <c r="E1462" s="235" t="s">
        <v>1222</v>
      </c>
      <c r="F1462" s="271" t="str">
        <f>IFERROR(VLOOKUP(E1462,'Inventaire des produits'!$B$4:$K$1000,2,0),"")</f>
        <v>POT DE SAUCE 1OZ PROCLEAN</v>
      </c>
      <c r="G1462" s="247">
        <v>26600</v>
      </c>
      <c r="H1462" s="79">
        <v>0.16266</v>
      </c>
      <c r="I1462" s="95">
        <f t="shared" si="54"/>
        <v>4326.7560000000003</v>
      </c>
      <c r="J1462" s="95">
        <f t="shared" si="55"/>
        <v>5192.1072000000004</v>
      </c>
      <c r="K1462" s="93">
        <f>IFERROR(VLOOKUP(E1462,'Inventaire des produits'!$B$4:$J$1000,5,FALSE),"")</f>
        <v>557100</v>
      </c>
      <c r="L1462" s="301">
        <f>IFERROR(VLOOKUP(E1462,'Inventaire des produits'!$B$4:$J$1000,6,FALSE),"")</f>
        <v>0.1167</v>
      </c>
      <c r="M1462" s="62">
        <f>SUM(J1462:J1473)</f>
        <v>9930.001400000001</v>
      </c>
    </row>
    <row r="1463" spans="2:13" x14ac:dyDescent="0.3">
      <c r="B1463" s="378" t="s">
        <v>1704</v>
      </c>
      <c r="C1463" s="341"/>
      <c r="D1463" s="338"/>
      <c r="E1463" s="235" t="s">
        <v>206</v>
      </c>
      <c r="F1463" s="271" t="str">
        <f>IFERROR(VLOOKUP(E1463,'Inventaire des produits'!$B$4:$K$1000,2,0),"")</f>
        <v>ESSUIE MAIN 1KG LISSE</v>
      </c>
      <c r="G1463" s="247">
        <v>5</v>
      </c>
      <c r="H1463" s="79">
        <v>28.3333333333333</v>
      </c>
      <c r="I1463" s="95">
        <f t="shared" si="54"/>
        <v>141.66666666666652</v>
      </c>
      <c r="J1463" s="95">
        <f t="shared" si="55"/>
        <v>169.9999999999998</v>
      </c>
      <c r="K1463" s="93">
        <f>IFERROR(VLOOKUP(E1463,'Inventaire des produits'!$B$4:$J$1000,5,FALSE),"")</f>
        <v>0</v>
      </c>
      <c r="L1463" s="301">
        <f>IFERROR(VLOOKUP(E1463,'Inventaire des produits'!$B$4:$J$1000,6,FALSE),"")</f>
        <v>21.25</v>
      </c>
      <c r="M1463" s="62"/>
    </row>
    <row r="1464" spans="2:13" x14ac:dyDescent="0.3">
      <c r="B1464" s="378" t="s">
        <v>1704</v>
      </c>
      <c r="C1464" s="341"/>
      <c r="D1464" s="338"/>
      <c r="E1464" s="235" t="s">
        <v>1079</v>
      </c>
      <c r="F1464" s="271" t="str">
        <f>IFERROR(VLOOKUP(E1464,'Inventaire des produits'!$B$4:$K$1000,2,0),"")</f>
        <v>FOURCHETTE ECOLUXE TRANSPARENTE</v>
      </c>
      <c r="G1464" s="247">
        <v>28</v>
      </c>
      <c r="H1464" s="79">
        <v>19.1666666666667</v>
      </c>
      <c r="I1464" s="95">
        <f t="shared" si="54"/>
        <v>536.66666666666765</v>
      </c>
      <c r="J1464" s="95">
        <f t="shared" si="55"/>
        <v>644.00000000000114</v>
      </c>
      <c r="K1464" s="93">
        <f>IFERROR(VLOOKUP(E1464,'Inventaire des produits'!$B$4:$J$1000,5,FALSE),"")</f>
        <v>0</v>
      </c>
      <c r="L1464" s="301">
        <f>IFERROR(VLOOKUP(E1464,'Inventaire des produits'!$B$4:$J$1000,6,FALSE),"")</f>
        <v>14.166665999999999</v>
      </c>
      <c r="M1464" s="62"/>
    </row>
    <row r="1465" spans="2:13" x14ac:dyDescent="0.3">
      <c r="B1465" s="378" t="s">
        <v>1704</v>
      </c>
      <c r="C1465" s="341"/>
      <c r="D1465" s="338"/>
      <c r="E1465" s="235" t="s">
        <v>869</v>
      </c>
      <c r="F1465" s="271" t="str">
        <f>IFERROR(VLOOKUP(E1465,'Inventaire des produits'!$B$4:$K$1000,2,0),"")</f>
        <v>PAILLE ENVELOPPEE CODE 100 TRANS</v>
      </c>
      <c r="G1465" s="247">
        <v>22</v>
      </c>
      <c r="H1465" s="79">
        <v>6.666666666666667</v>
      </c>
      <c r="I1465" s="95">
        <f t="shared" si="54"/>
        <v>146.66666666666669</v>
      </c>
      <c r="J1465" s="95">
        <f t="shared" si="55"/>
        <v>176.00000000000003</v>
      </c>
      <c r="K1465" s="93">
        <f>IFERROR(VLOOKUP(E1465,'Inventaire des produits'!$B$4:$J$1000,5,FALSE),"")</f>
        <v>898</v>
      </c>
      <c r="L1465" s="301">
        <f>IFERROR(VLOOKUP(E1465,'Inventaire des produits'!$B$4:$J$1000,6,FALSE),"")</f>
        <v>3.9166666659999998</v>
      </c>
      <c r="M1465" s="62"/>
    </row>
    <row r="1466" spans="2:13" x14ac:dyDescent="0.3">
      <c r="B1466" s="378" t="s">
        <v>1704</v>
      </c>
      <c r="C1466" s="341"/>
      <c r="D1466" s="338"/>
      <c r="E1466" s="235" t="s">
        <v>666</v>
      </c>
      <c r="F1466" s="271" t="str">
        <f>IFERROR(VLOOKUP(E1466,'Inventaire des produits'!$B$4:$K$1000,2,0),"")</f>
        <v>GANT VINYL EXTRA PREMIUM GLOVE MEDIUM</v>
      </c>
      <c r="G1466" s="247">
        <v>19</v>
      </c>
      <c r="H1466" s="79">
        <v>33.3333333333333</v>
      </c>
      <c r="I1466" s="95">
        <f t="shared" si="54"/>
        <v>633.33333333333269</v>
      </c>
      <c r="J1466" s="95">
        <f t="shared" si="55"/>
        <v>759.9999999999992</v>
      </c>
      <c r="K1466" s="93">
        <f>IFERROR(VLOOKUP(E1466,'Inventaire des produits'!$B$4:$J$1000,5,FALSE),"")</f>
        <v>0</v>
      </c>
      <c r="L1466" s="301">
        <f>IFERROR(VLOOKUP(E1466,'Inventaire des produits'!$B$4:$J$1000,6,FALSE),"")</f>
        <v>20</v>
      </c>
      <c r="M1466" s="62"/>
    </row>
    <row r="1467" spans="2:13" x14ac:dyDescent="0.3">
      <c r="B1467" s="378" t="s">
        <v>1704</v>
      </c>
      <c r="C1467" s="341"/>
      <c r="D1467" s="338"/>
      <c r="E1467" s="235" t="s">
        <v>673</v>
      </c>
      <c r="F1467" s="271" t="str">
        <f>IFERROR(VLOOKUP(E1467,'Inventaire des produits'!$B$4:$K$1000,2,0),"")</f>
        <v>BARQUETTE ALUMINIUM 250</v>
      </c>
      <c r="G1467" s="247">
        <v>750</v>
      </c>
      <c r="H1467" s="79">
        <v>0.38099</v>
      </c>
      <c r="I1467" s="95">
        <f t="shared" si="54"/>
        <v>285.74250000000001</v>
      </c>
      <c r="J1467" s="95">
        <f t="shared" si="55"/>
        <v>342.89100000000002</v>
      </c>
      <c r="K1467" s="93">
        <f>IFERROR(VLOOKUP(E1467,'Inventaire des produits'!$B$4:$J$1000,5,FALSE),"")</f>
        <v>250</v>
      </c>
      <c r="L1467" s="301">
        <f>IFERROR(VLOOKUP(E1467,'Inventaire des produits'!$B$4:$J$1000,6,FALSE),"")</f>
        <v>0.25</v>
      </c>
      <c r="M1467" s="62"/>
    </row>
    <row r="1468" spans="2:13" x14ac:dyDescent="0.3">
      <c r="B1468" s="378" t="s">
        <v>1704</v>
      </c>
      <c r="C1468" s="341"/>
      <c r="D1468" s="338"/>
      <c r="E1468" s="235" t="s">
        <v>1197</v>
      </c>
      <c r="F1468" s="271" t="str">
        <f>IFERROR(VLOOKUP(E1468,'Inventaire des produits'!$B$4:$K$1000,2,0),"")</f>
        <v>TAPIS SUSHI MAKISU</v>
      </c>
      <c r="G1468" s="247">
        <v>2</v>
      </c>
      <c r="H1468" s="79">
        <v>29.167999999999999</v>
      </c>
      <c r="I1468" s="95">
        <f t="shared" si="54"/>
        <v>58.335999999999999</v>
      </c>
      <c r="J1468" s="95">
        <f t="shared" si="55"/>
        <v>70.003199999999993</v>
      </c>
      <c r="K1468" s="93">
        <f>IFERROR(VLOOKUP(E1468,'Inventaire des produits'!$B$4:$J$1000,5,FALSE),"")</f>
        <v>0</v>
      </c>
      <c r="L1468" s="301">
        <f>IFERROR(VLOOKUP(E1468,'Inventaire des produits'!$B$4:$J$1000,6,FALSE),"")</f>
        <v>25</v>
      </c>
      <c r="M1468" s="62"/>
    </row>
    <row r="1469" spans="2:13" x14ac:dyDescent="0.3">
      <c r="B1469" s="378" t="s">
        <v>1704</v>
      </c>
      <c r="C1469" s="341"/>
      <c r="D1469" s="338"/>
      <c r="E1469" s="235" t="s">
        <v>498</v>
      </c>
      <c r="F1469" s="271" t="str">
        <f>IFERROR(VLOOKUP(E1469,'Inventaire des produits'!$B$4:$K$1000,2,0),"")</f>
        <v>FILM ETIRABLE VIOLET 450MM KG</v>
      </c>
      <c r="G1469" s="247">
        <v>17</v>
      </c>
      <c r="H1469" s="79">
        <v>43.333333333333336</v>
      </c>
      <c r="I1469" s="95">
        <f t="shared" si="54"/>
        <v>736.66666666666674</v>
      </c>
      <c r="J1469" s="95">
        <f t="shared" si="55"/>
        <v>884.00000000000011</v>
      </c>
      <c r="K1469" s="93">
        <f>IFERROR(VLOOKUP(E1469,'Inventaire des produits'!$B$4:$J$1000,5,FALSE),"")</f>
        <v>0</v>
      </c>
      <c r="L1469" s="301">
        <f>IFERROR(VLOOKUP(E1469,'Inventaire des produits'!$B$4:$J$1000,6,FALSE),"")</f>
        <v>27.083333333300001</v>
      </c>
      <c r="M1469" s="62"/>
    </row>
    <row r="1470" spans="2:13" x14ac:dyDescent="0.3">
      <c r="B1470" s="378" t="s">
        <v>1704</v>
      </c>
      <c r="C1470" s="341"/>
      <c r="D1470" s="338"/>
      <c r="E1470" s="235" t="s">
        <v>601</v>
      </c>
      <c r="F1470" s="271" t="str">
        <f>IFERROR(VLOOKUP(E1470,'Inventaire des produits'!$B$4:$K$1000,2,0),"")</f>
        <v>FILM ALIMENTAIRE VIOLET 280MM 500GR</v>
      </c>
      <c r="G1470" s="247">
        <v>22</v>
      </c>
      <c r="H1470" s="79">
        <v>28.333333333333336</v>
      </c>
      <c r="I1470" s="95">
        <f t="shared" si="54"/>
        <v>623.33333333333337</v>
      </c>
      <c r="J1470" s="95">
        <f t="shared" si="55"/>
        <v>748</v>
      </c>
      <c r="K1470" s="93">
        <f>IFERROR(VLOOKUP(E1470,'Inventaire des produits'!$B$4:$J$1000,5,FALSE),"")</f>
        <v>0</v>
      </c>
      <c r="L1470" s="301">
        <f>IFERROR(VLOOKUP(E1470,'Inventaire des produits'!$B$4:$J$1000,6,FALSE),"")</f>
        <v>29.17</v>
      </c>
      <c r="M1470" s="62"/>
    </row>
    <row r="1471" spans="2:13" x14ac:dyDescent="0.3">
      <c r="B1471" s="378" t="s">
        <v>1704</v>
      </c>
      <c r="C1471" s="341"/>
      <c r="D1471" s="338"/>
      <c r="E1471" s="235" t="s">
        <v>192</v>
      </c>
      <c r="F1471" s="271" t="str">
        <f>IFERROR(VLOOKUP(E1471,'Inventaire des produits'!$B$4:$K$1000,2,0),"")</f>
        <v>FOURCHETTE BLANC 60PCS</v>
      </c>
      <c r="G1471" s="247">
        <v>19</v>
      </c>
      <c r="H1471" s="79">
        <v>5</v>
      </c>
      <c r="I1471" s="95">
        <f t="shared" si="54"/>
        <v>95</v>
      </c>
      <c r="J1471" s="95">
        <f t="shared" si="55"/>
        <v>114</v>
      </c>
      <c r="K1471" s="93">
        <f>IFERROR(VLOOKUP(E1471,'Inventaire des produits'!$B$4:$J$1000,5,FALSE),"")</f>
        <v>0</v>
      </c>
      <c r="L1471" s="301">
        <f>IFERROR(VLOOKUP(E1471,'Inventaire des produits'!$B$4:$J$1000,6,FALSE),"")</f>
        <v>5.8333333329999997</v>
      </c>
      <c r="M1471" s="62"/>
    </row>
    <row r="1472" spans="2:13" x14ac:dyDescent="0.3">
      <c r="B1472" s="378" t="s">
        <v>1704</v>
      </c>
      <c r="C1472" s="341"/>
      <c r="D1472" s="338"/>
      <c r="E1472" s="235" t="s">
        <v>1149</v>
      </c>
      <c r="F1472" s="271" t="str">
        <f>IFERROR(VLOOKUP(E1472,'Inventaire des produits'!$B$4:$K$1000,2,0),"")</f>
        <v>ROULEAU DE CAISSE THERMIQUE 80X80</v>
      </c>
      <c r="G1472" s="247">
        <v>60</v>
      </c>
      <c r="H1472" s="79">
        <v>10.333333333333334</v>
      </c>
      <c r="I1472" s="95">
        <f t="shared" si="54"/>
        <v>620</v>
      </c>
      <c r="J1472" s="95">
        <f t="shared" si="55"/>
        <v>744</v>
      </c>
      <c r="K1472" s="93">
        <f>IFERROR(VLOOKUP(E1472,'Inventaire des produits'!$B$4:$J$1000,5,FALSE),"")</f>
        <v>253</v>
      </c>
      <c r="L1472" s="301">
        <f>IFERROR(VLOOKUP(E1472,'Inventaire des produits'!$B$4:$J$1000,6,FALSE),"")</f>
        <v>7.5</v>
      </c>
      <c r="M1472" s="62"/>
    </row>
    <row r="1473" spans="2:13" x14ac:dyDescent="0.3">
      <c r="B1473" s="378" t="s">
        <v>1704</v>
      </c>
      <c r="C1473" s="342"/>
      <c r="D1473" s="339"/>
      <c r="E1473" s="235" t="s">
        <v>895</v>
      </c>
      <c r="F1473" s="271" t="str">
        <f>IFERROR(VLOOKUP(E1473,'Inventaire des produits'!$B$4:$K$1000,2,0),"")</f>
        <v>ROULEAU ALUMINIUM GOLDEN 200M</v>
      </c>
      <c r="G1473" s="247">
        <v>1</v>
      </c>
      <c r="H1473" s="79">
        <v>70.833333333333343</v>
      </c>
      <c r="I1473" s="95">
        <f t="shared" si="54"/>
        <v>70.833333333333343</v>
      </c>
      <c r="J1473" s="95">
        <f t="shared" si="55"/>
        <v>85.000000000000014</v>
      </c>
      <c r="K1473" s="93">
        <f>IFERROR(VLOOKUP(E1473,'Inventaire des produits'!$B$4:$J$1000,5,FALSE),"")</f>
        <v>0</v>
      </c>
      <c r="L1473" s="301">
        <f>IFERROR(VLOOKUP(E1473,'Inventaire des produits'!$B$4:$J$1000,6,FALSE),"")</f>
        <v>57.5</v>
      </c>
      <c r="M1473" s="62"/>
    </row>
    <row r="1474" spans="2:13" x14ac:dyDescent="0.3">
      <c r="B1474" s="378" t="s">
        <v>1704</v>
      </c>
      <c r="C1474" s="340">
        <v>45547</v>
      </c>
      <c r="D1474" s="337" t="s">
        <v>1361</v>
      </c>
      <c r="E1474" s="235" t="s">
        <v>1222</v>
      </c>
      <c r="F1474" s="271" t="str">
        <f>IFERROR(VLOOKUP(E1474,'Inventaire des produits'!$B$4:$K$1000,2,0),"")</f>
        <v>POT DE SAUCE 1OZ PROCLEAN</v>
      </c>
      <c r="G1474" s="247">
        <v>15000</v>
      </c>
      <c r="H1474" s="79">
        <v>0.16250000000000001</v>
      </c>
      <c r="I1474" s="95">
        <f t="shared" si="54"/>
        <v>2437.5</v>
      </c>
      <c r="J1474" s="95">
        <f t="shared" si="55"/>
        <v>2925</v>
      </c>
      <c r="K1474" s="93">
        <f>IFERROR(VLOOKUP(E1474,'Inventaire des produits'!$B$4:$J$1000,5,FALSE),"")</f>
        <v>557100</v>
      </c>
      <c r="L1474" s="301">
        <f>IFERROR(VLOOKUP(E1474,'Inventaire des produits'!$B$4:$J$1000,6,FALSE),"")</f>
        <v>0.1167</v>
      </c>
      <c r="M1474" s="62">
        <f>SUM(J1474:J1483)</f>
        <v>7662.4986000000017</v>
      </c>
    </row>
    <row r="1475" spans="2:13" x14ac:dyDescent="0.3">
      <c r="B1475" s="378" t="s">
        <v>1704</v>
      </c>
      <c r="C1475" s="341"/>
      <c r="D1475" s="338"/>
      <c r="E1475" s="235" t="s">
        <v>206</v>
      </c>
      <c r="F1475" s="271" t="str">
        <f>IFERROR(VLOOKUP(E1475,'Inventaire des produits'!$B$4:$K$1000,2,0),"")</f>
        <v>ESSUIE MAIN 1KG LISSE</v>
      </c>
      <c r="G1475" s="247">
        <v>16</v>
      </c>
      <c r="H1475" s="79">
        <v>28.333333333333336</v>
      </c>
      <c r="I1475" s="95">
        <f t="shared" si="54"/>
        <v>453.33333333333337</v>
      </c>
      <c r="J1475" s="95">
        <f t="shared" si="55"/>
        <v>544</v>
      </c>
      <c r="K1475" s="93">
        <f>IFERROR(VLOOKUP(E1475,'Inventaire des produits'!$B$4:$J$1000,5,FALSE),"")</f>
        <v>0</v>
      </c>
      <c r="L1475" s="301">
        <f>IFERROR(VLOOKUP(E1475,'Inventaire des produits'!$B$4:$J$1000,6,FALSE),"")</f>
        <v>21.25</v>
      </c>
      <c r="M1475" s="62"/>
    </row>
    <row r="1476" spans="2:13" x14ac:dyDescent="0.3">
      <c r="B1476" s="378" t="s">
        <v>1704</v>
      </c>
      <c r="C1476" s="341"/>
      <c r="D1476" s="338"/>
      <c r="E1476" s="235" t="s">
        <v>601</v>
      </c>
      <c r="F1476" s="271" t="str">
        <f>IFERROR(VLOOKUP(E1476,'Inventaire des produits'!$B$4:$K$1000,2,0),"")</f>
        <v>FILM ALIMENTAIRE VIOLET 280MM 500GR</v>
      </c>
      <c r="G1476" s="247">
        <v>7</v>
      </c>
      <c r="H1476" s="79">
        <v>28.333333333333336</v>
      </c>
      <c r="I1476" s="95">
        <f t="shared" si="54"/>
        <v>198.33333333333334</v>
      </c>
      <c r="J1476" s="95">
        <f t="shared" si="55"/>
        <v>238</v>
      </c>
      <c r="K1476" s="93">
        <f>IFERROR(VLOOKUP(E1476,'Inventaire des produits'!$B$4:$J$1000,5,FALSE),"")</f>
        <v>0</v>
      </c>
      <c r="L1476" s="301">
        <f>IFERROR(VLOOKUP(E1476,'Inventaire des produits'!$B$4:$J$1000,6,FALSE),"")</f>
        <v>29.17</v>
      </c>
      <c r="M1476" s="62"/>
    </row>
    <row r="1477" spans="2:13" x14ac:dyDescent="0.3">
      <c r="B1477" s="378" t="s">
        <v>1704</v>
      </c>
      <c r="C1477" s="341"/>
      <c r="D1477" s="338"/>
      <c r="E1477" s="235" t="s">
        <v>1079</v>
      </c>
      <c r="F1477" s="271" t="str">
        <f>IFERROR(VLOOKUP(E1477,'Inventaire des produits'!$B$4:$K$1000,2,0),"")</f>
        <v>FOURCHETTE ECOLUXE TRANSPARENTE</v>
      </c>
      <c r="G1477" s="247">
        <v>57</v>
      </c>
      <c r="H1477" s="79">
        <v>19.1666666666667</v>
      </c>
      <c r="I1477" s="95">
        <f t="shared" si="54"/>
        <v>1092.5000000000018</v>
      </c>
      <c r="J1477" s="95">
        <f t="shared" si="55"/>
        <v>1311.000000000002</v>
      </c>
      <c r="K1477" s="93">
        <f>IFERROR(VLOOKUP(E1477,'Inventaire des produits'!$B$4:$J$1000,5,FALSE),"")</f>
        <v>0</v>
      </c>
      <c r="L1477" s="301">
        <f>IFERROR(VLOOKUP(E1477,'Inventaire des produits'!$B$4:$J$1000,6,FALSE),"")</f>
        <v>14.166665999999999</v>
      </c>
      <c r="M1477" s="62"/>
    </row>
    <row r="1478" spans="2:13" x14ac:dyDescent="0.3">
      <c r="B1478" s="378" t="s">
        <v>1704</v>
      </c>
      <c r="C1478" s="341"/>
      <c r="D1478" s="338"/>
      <c r="E1478" s="235" t="s">
        <v>869</v>
      </c>
      <c r="F1478" s="271" t="str">
        <f>IFERROR(VLOOKUP(E1478,'Inventaire des produits'!$B$4:$K$1000,2,0),"")</f>
        <v>PAILLE ENVELOPPEE CODE 100 TRANS</v>
      </c>
      <c r="G1478" s="247">
        <v>36</v>
      </c>
      <c r="H1478" s="79">
        <v>6.666666666666667</v>
      </c>
      <c r="I1478" s="95">
        <f t="shared" si="54"/>
        <v>240</v>
      </c>
      <c r="J1478" s="95">
        <f t="shared" si="55"/>
        <v>288</v>
      </c>
      <c r="K1478" s="93">
        <f>IFERROR(VLOOKUP(E1478,'Inventaire des produits'!$B$4:$J$1000,5,FALSE),"")</f>
        <v>898</v>
      </c>
      <c r="L1478" s="301">
        <f>IFERROR(VLOOKUP(E1478,'Inventaire des produits'!$B$4:$J$1000,6,FALSE),"")</f>
        <v>3.9166666659999998</v>
      </c>
      <c r="M1478" s="62"/>
    </row>
    <row r="1479" spans="2:13" x14ac:dyDescent="0.3">
      <c r="B1479" s="378" t="s">
        <v>1704</v>
      </c>
      <c r="C1479" s="341"/>
      <c r="D1479" s="338"/>
      <c r="E1479" s="235" t="s">
        <v>666</v>
      </c>
      <c r="F1479" s="271" t="str">
        <f>IFERROR(VLOOKUP(E1479,'Inventaire des produits'!$B$4:$K$1000,2,0),"")</f>
        <v>GANT VINYL EXTRA PREMIUM GLOVE MEDIUM</v>
      </c>
      <c r="G1479" s="247">
        <v>16</v>
      </c>
      <c r="H1479" s="79">
        <v>33.332999999999998</v>
      </c>
      <c r="I1479" s="95">
        <f t="shared" ref="I1479:I1555" si="56">IF(OR(G1479="",H1479=""),"",G1479*H1479)</f>
        <v>533.32799999999997</v>
      </c>
      <c r="J1479" s="95">
        <f t="shared" ref="J1479:J1555" si="57">IF(OR(I1479=""),"",I1479*1.2)</f>
        <v>639.9935999999999</v>
      </c>
      <c r="K1479" s="93">
        <f>IFERROR(VLOOKUP(E1479,'Inventaire des produits'!$B$4:$J$1000,5,FALSE),"")</f>
        <v>0</v>
      </c>
      <c r="L1479" s="301">
        <f>IFERROR(VLOOKUP(E1479,'Inventaire des produits'!$B$4:$J$1000,6,FALSE),"")</f>
        <v>20</v>
      </c>
      <c r="M1479" s="62"/>
    </row>
    <row r="1480" spans="2:13" x14ac:dyDescent="0.3">
      <c r="B1480" s="378" t="s">
        <v>1704</v>
      </c>
      <c r="C1480" s="341"/>
      <c r="D1480" s="338"/>
      <c r="E1480" s="235" t="s">
        <v>805</v>
      </c>
      <c r="F1480" s="271" t="str">
        <f>IFERROR(VLOOKUP(E1480,'Inventaire des produits'!$B$4:$K$1000,2,0),"")</f>
        <v>BARQUETTE ALUMINIUM 250</v>
      </c>
      <c r="G1480" s="247">
        <v>1250</v>
      </c>
      <c r="H1480" s="79">
        <v>0.37614999999999998</v>
      </c>
      <c r="I1480" s="95">
        <f t="shared" si="56"/>
        <v>470.1875</v>
      </c>
      <c r="J1480" s="95">
        <f t="shared" si="57"/>
        <v>564.22500000000002</v>
      </c>
      <c r="K1480" s="93">
        <f>IFERROR(VLOOKUP(E1480,'Inventaire des produits'!$B$4:$J$1000,5,FALSE),"")</f>
        <v>0</v>
      </c>
      <c r="L1480" s="301">
        <f>IFERROR(VLOOKUP(E1480,'Inventaire des produits'!$B$4:$J$1000,6,FALSE),"")</f>
        <v>0.23333329999999999</v>
      </c>
      <c r="M1480" s="62"/>
    </row>
    <row r="1481" spans="2:13" x14ac:dyDescent="0.3">
      <c r="B1481" s="378" t="s">
        <v>1704</v>
      </c>
      <c r="C1481" s="341"/>
      <c r="D1481" s="338"/>
      <c r="E1481" s="235" t="s">
        <v>192</v>
      </c>
      <c r="F1481" s="271" t="str">
        <f>IFERROR(VLOOKUP(E1481,'Inventaire des produits'!$B$4:$K$1000,2,0),"")</f>
        <v>FOURCHETTE BLANC 60PCS</v>
      </c>
      <c r="G1481" s="247">
        <v>7</v>
      </c>
      <c r="H1481" s="79">
        <v>5</v>
      </c>
      <c r="I1481" s="95">
        <f t="shared" si="56"/>
        <v>35</v>
      </c>
      <c r="J1481" s="95">
        <f t="shared" si="57"/>
        <v>42</v>
      </c>
      <c r="K1481" s="93">
        <f>IFERROR(VLOOKUP(E1481,'Inventaire des produits'!$B$4:$J$1000,5,FALSE),"")</f>
        <v>0</v>
      </c>
      <c r="L1481" s="301">
        <f>IFERROR(VLOOKUP(E1481,'Inventaire des produits'!$B$4:$J$1000,6,FALSE),"")</f>
        <v>5.8333333329999997</v>
      </c>
      <c r="M1481" s="62"/>
    </row>
    <row r="1482" spans="2:13" x14ac:dyDescent="0.3">
      <c r="B1482" s="378" t="s">
        <v>1704</v>
      </c>
      <c r="C1482" s="341"/>
      <c r="D1482" s="338"/>
      <c r="E1482" s="235" t="s">
        <v>1149</v>
      </c>
      <c r="F1482" s="271" t="str">
        <f>IFERROR(VLOOKUP(E1482,'Inventaire des produits'!$B$4:$K$1000,2,0),"")</f>
        <v>ROULEAU DE CAISSE THERMIQUE 80X80</v>
      </c>
      <c r="G1482" s="247">
        <v>35</v>
      </c>
      <c r="H1482" s="79">
        <v>10.34</v>
      </c>
      <c r="I1482" s="95">
        <f t="shared" si="56"/>
        <v>361.9</v>
      </c>
      <c r="J1482" s="95">
        <f t="shared" si="57"/>
        <v>434.28</v>
      </c>
      <c r="K1482" s="93">
        <f>IFERROR(VLOOKUP(E1482,'Inventaire des produits'!$B$4:$J$1000,5,FALSE),"")</f>
        <v>253</v>
      </c>
      <c r="L1482" s="301">
        <f>IFERROR(VLOOKUP(E1482,'Inventaire des produits'!$B$4:$J$1000,6,FALSE),"")</f>
        <v>7.5</v>
      </c>
      <c r="M1482" s="62"/>
    </row>
    <row r="1483" spans="2:13" x14ac:dyDescent="0.3">
      <c r="B1483" s="378" t="s">
        <v>1704</v>
      </c>
      <c r="C1483" s="342"/>
      <c r="D1483" s="339"/>
      <c r="E1483" s="235" t="s">
        <v>498</v>
      </c>
      <c r="F1483" s="271" t="str">
        <f>IFERROR(VLOOKUP(E1483,'Inventaire des produits'!$B$4:$K$1000,2,0),"")</f>
        <v>FILM ETIRABLE VIOLET 450MM KG</v>
      </c>
      <c r="G1483" s="247">
        <v>13</v>
      </c>
      <c r="H1483" s="79">
        <v>43.333333333333336</v>
      </c>
      <c r="I1483" s="95">
        <f t="shared" si="56"/>
        <v>563.33333333333337</v>
      </c>
      <c r="J1483" s="95">
        <f t="shared" si="57"/>
        <v>676</v>
      </c>
      <c r="K1483" s="93">
        <f>IFERROR(VLOOKUP(E1483,'Inventaire des produits'!$B$4:$J$1000,5,FALSE),"")</f>
        <v>0</v>
      </c>
      <c r="L1483" s="301">
        <f>IFERROR(VLOOKUP(E1483,'Inventaire des produits'!$B$4:$J$1000,6,FALSE),"")</f>
        <v>27.083333333300001</v>
      </c>
      <c r="M1483" s="62"/>
    </row>
    <row r="1484" spans="2:13" x14ac:dyDescent="0.3">
      <c r="B1484" s="378" t="s">
        <v>1704</v>
      </c>
      <c r="C1484" s="340">
        <v>45547</v>
      </c>
      <c r="D1484" s="337" t="s">
        <v>1362</v>
      </c>
      <c r="E1484" s="235" t="s">
        <v>1222</v>
      </c>
      <c r="F1484" s="271" t="str">
        <f>IFERROR(VLOOKUP(E1484,'Inventaire des produits'!$B$4:$K$1000,2,0),"")</f>
        <v>POT DE SAUCE 1OZ PROCLEAN</v>
      </c>
      <c r="G1484" s="247">
        <v>25000</v>
      </c>
      <c r="H1484" s="79">
        <v>0.16250000000000001</v>
      </c>
      <c r="I1484" s="95">
        <f t="shared" si="56"/>
        <v>4062.5</v>
      </c>
      <c r="J1484" s="95">
        <f t="shared" si="57"/>
        <v>4875</v>
      </c>
      <c r="K1484" s="93">
        <f>IFERROR(VLOOKUP(E1484,'Inventaire des produits'!$B$4:$J$1000,5,FALSE),"")</f>
        <v>557100</v>
      </c>
      <c r="L1484" s="301">
        <f>IFERROR(VLOOKUP(E1484,'Inventaire des produits'!$B$4:$J$1000,6,FALSE),"")</f>
        <v>0.1167</v>
      </c>
      <c r="M1484" s="62">
        <f>SUM(J1484:J1494)</f>
        <v>8958.5</v>
      </c>
    </row>
    <row r="1485" spans="2:13" x14ac:dyDescent="0.3">
      <c r="B1485" s="378" t="s">
        <v>1704</v>
      </c>
      <c r="C1485" s="341"/>
      <c r="D1485" s="338"/>
      <c r="E1485" s="235" t="s">
        <v>206</v>
      </c>
      <c r="F1485" s="271" t="str">
        <f>IFERROR(VLOOKUP(E1485,'Inventaire des produits'!$B$4:$K$1000,2,0),"")</f>
        <v>ESSUIE MAIN 1KG LISSE</v>
      </c>
      <c r="G1485" s="247">
        <v>10</v>
      </c>
      <c r="H1485" s="79">
        <v>28.333333333333336</v>
      </c>
      <c r="I1485" s="95">
        <f t="shared" si="56"/>
        <v>283.33333333333337</v>
      </c>
      <c r="J1485" s="95">
        <f t="shared" si="57"/>
        <v>340.00000000000006</v>
      </c>
      <c r="K1485" s="93">
        <f>IFERROR(VLOOKUP(E1485,'Inventaire des produits'!$B$4:$J$1000,5,FALSE),"")</f>
        <v>0</v>
      </c>
      <c r="L1485" s="301">
        <f>IFERROR(VLOOKUP(E1485,'Inventaire des produits'!$B$4:$J$1000,6,FALSE),"")</f>
        <v>21.25</v>
      </c>
      <c r="M1485" s="62"/>
    </row>
    <row r="1486" spans="2:13" x14ac:dyDescent="0.3">
      <c r="B1486" s="378" t="s">
        <v>1704</v>
      </c>
      <c r="C1486" s="341"/>
      <c r="D1486" s="338"/>
      <c r="E1486" s="235" t="s">
        <v>1079</v>
      </c>
      <c r="F1486" s="271" t="str">
        <f>IFERROR(VLOOKUP(E1486,'Inventaire des produits'!$B$4:$K$1000,2,0),"")</f>
        <v>FOURCHETTE ECOLUXE TRANSPARENTE</v>
      </c>
      <c r="G1486" s="247">
        <v>32</v>
      </c>
      <c r="H1486" s="79">
        <v>19.1666666666667</v>
      </c>
      <c r="I1486" s="95">
        <f t="shared" si="56"/>
        <v>613.33333333333439</v>
      </c>
      <c r="J1486" s="95">
        <f t="shared" si="57"/>
        <v>736.00000000000125</v>
      </c>
      <c r="K1486" s="93">
        <f>IFERROR(VLOOKUP(E1486,'Inventaire des produits'!$B$4:$J$1000,5,FALSE),"")</f>
        <v>0</v>
      </c>
      <c r="L1486" s="301">
        <f>IFERROR(VLOOKUP(E1486,'Inventaire des produits'!$B$4:$J$1000,6,FALSE),"")</f>
        <v>14.166665999999999</v>
      </c>
      <c r="M1486" s="62"/>
    </row>
    <row r="1487" spans="2:13" x14ac:dyDescent="0.3">
      <c r="B1487" s="378" t="s">
        <v>1704</v>
      </c>
      <c r="C1487" s="341"/>
      <c r="D1487" s="338"/>
      <c r="E1487" s="235" t="s">
        <v>666</v>
      </c>
      <c r="F1487" s="271" t="str">
        <f>IFERROR(VLOOKUP(E1487,'Inventaire des produits'!$B$4:$K$1000,2,0),"")</f>
        <v>GANT VINYL EXTRA PREMIUM GLOVE MEDIUM</v>
      </c>
      <c r="G1487" s="247">
        <v>16</v>
      </c>
      <c r="H1487" s="79">
        <v>33.333333333333336</v>
      </c>
      <c r="I1487" s="95">
        <f t="shared" si="56"/>
        <v>533.33333333333337</v>
      </c>
      <c r="J1487" s="95">
        <f t="shared" si="57"/>
        <v>640</v>
      </c>
      <c r="K1487" s="93">
        <f>IFERROR(VLOOKUP(E1487,'Inventaire des produits'!$B$4:$J$1000,5,FALSE),"")</f>
        <v>0</v>
      </c>
      <c r="L1487" s="301">
        <f>IFERROR(VLOOKUP(E1487,'Inventaire des produits'!$B$4:$J$1000,6,FALSE),"")</f>
        <v>20</v>
      </c>
      <c r="M1487" s="62"/>
    </row>
    <row r="1488" spans="2:13" x14ac:dyDescent="0.3">
      <c r="B1488" s="378" t="s">
        <v>1704</v>
      </c>
      <c r="C1488" s="341"/>
      <c r="D1488" s="338"/>
      <c r="E1488" s="235" t="s">
        <v>805</v>
      </c>
      <c r="F1488" s="271" t="str">
        <f>IFERROR(VLOOKUP(E1488,'Inventaire des produits'!$B$4:$K$1000,2,0),"")</f>
        <v>BARQUETTE ALUMINIUM 250</v>
      </c>
      <c r="G1488" s="247">
        <v>750</v>
      </c>
      <c r="H1488" s="79">
        <v>0.375</v>
      </c>
      <c r="I1488" s="95">
        <f t="shared" si="56"/>
        <v>281.25</v>
      </c>
      <c r="J1488" s="95">
        <f t="shared" si="57"/>
        <v>337.5</v>
      </c>
      <c r="K1488" s="93">
        <f>IFERROR(VLOOKUP(E1488,'Inventaire des produits'!$B$4:$J$1000,5,FALSE),"")</f>
        <v>0</v>
      </c>
      <c r="L1488" s="301">
        <f>IFERROR(VLOOKUP(E1488,'Inventaire des produits'!$B$4:$J$1000,6,FALSE),"")</f>
        <v>0.23333329999999999</v>
      </c>
      <c r="M1488" s="62"/>
    </row>
    <row r="1489" spans="2:13" x14ac:dyDescent="0.3">
      <c r="B1489" s="378" t="s">
        <v>1704</v>
      </c>
      <c r="C1489" s="341"/>
      <c r="D1489" s="338"/>
      <c r="E1489" s="235" t="s">
        <v>192</v>
      </c>
      <c r="F1489" s="271" t="str">
        <f>IFERROR(VLOOKUP(E1489,'Inventaire des produits'!$B$4:$K$1000,2,0),"")</f>
        <v>FOURCHETTE BLANC 60PCS</v>
      </c>
      <c r="G1489" s="247">
        <v>22</v>
      </c>
      <c r="H1489" s="79">
        <v>5</v>
      </c>
      <c r="I1489" s="95">
        <f t="shared" si="56"/>
        <v>110</v>
      </c>
      <c r="J1489" s="95">
        <f t="shared" si="57"/>
        <v>132</v>
      </c>
      <c r="K1489" s="93">
        <f>IFERROR(VLOOKUP(E1489,'Inventaire des produits'!$B$4:$J$1000,5,FALSE),"")</f>
        <v>0</v>
      </c>
      <c r="L1489" s="301">
        <f>IFERROR(VLOOKUP(E1489,'Inventaire des produits'!$B$4:$J$1000,6,FALSE),"")</f>
        <v>5.8333333329999997</v>
      </c>
      <c r="M1489" s="62"/>
    </row>
    <row r="1490" spans="2:13" x14ac:dyDescent="0.3">
      <c r="B1490" s="378" t="s">
        <v>1704</v>
      </c>
      <c r="C1490" s="341"/>
      <c r="D1490" s="338"/>
      <c r="E1490" s="235" t="s">
        <v>1149</v>
      </c>
      <c r="F1490" s="271" t="str">
        <f>IFERROR(VLOOKUP(E1490,'Inventaire des produits'!$B$4:$K$1000,2,0),"")</f>
        <v>ROULEAU DE CAISSE THERMIQUE 80X80</v>
      </c>
      <c r="G1490" s="247">
        <v>60</v>
      </c>
      <c r="H1490" s="79">
        <v>10.333333333333334</v>
      </c>
      <c r="I1490" s="95">
        <f t="shared" si="56"/>
        <v>620</v>
      </c>
      <c r="J1490" s="95">
        <f t="shared" si="57"/>
        <v>744</v>
      </c>
      <c r="K1490" s="93">
        <f>IFERROR(VLOOKUP(E1490,'Inventaire des produits'!$B$4:$J$1000,5,FALSE),"")</f>
        <v>253</v>
      </c>
      <c r="L1490" s="301">
        <f>IFERROR(VLOOKUP(E1490,'Inventaire des produits'!$B$4:$J$1000,6,FALSE),"")</f>
        <v>7.5</v>
      </c>
      <c r="M1490" s="62"/>
    </row>
    <row r="1491" spans="2:13" x14ac:dyDescent="0.3">
      <c r="B1491" s="378" t="s">
        <v>1704</v>
      </c>
      <c r="C1491" s="341"/>
      <c r="D1491" s="338"/>
      <c r="E1491" s="235" t="s">
        <v>601</v>
      </c>
      <c r="F1491" s="271" t="str">
        <f>IFERROR(VLOOKUP(E1491,'Inventaire des produits'!$B$4:$K$1000,2,0),"")</f>
        <v>FILM ALIMENTAIRE VIOLET 280MM 500GR</v>
      </c>
      <c r="G1491" s="247">
        <v>10</v>
      </c>
      <c r="H1491" s="79">
        <v>28.333333333333336</v>
      </c>
      <c r="I1491" s="95">
        <f t="shared" si="56"/>
        <v>283.33333333333337</v>
      </c>
      <c r="J1491" s="95">
        <f t="shared" si="57"/>
        <v>340.00000000000006</v>
      </c>
      <c r="K1491" s="93">
        <f>IFERROR(VLOOKUP(E1491,'Inventaire des produits'!$B$4:$J$1000,5,FALSE),"")</f>
        <v>0</v>
      </c>
      <c r="L1491" s="301">
        <f>IFERROR(VLOOKUP(E1491,'Inventaire des produits'!$B$4:$J$1000,6,FALSE),"")</f>
        <v>29.17</v>
      </c>
      <c r="M1491" s="62"/>
    </row>
    <row r="1492" spans="2:13" x14ac:dyDescent="0.3">
      <c r="B1492" s="378" t="s">
        <v>1704</v>
      </c>
      <c r="C1492" s="341"/>
      <c r="D1492" s="338"/>
      <c r="E1492" s="235" t="s">
        <v>869</v>
      </c>
      <c r="F1492" s="271" t="str">
        <f>IFERROR(VLOOKUP(E1492,'Inventaire des produits'!$B$4:$K$1000,2,0),"")</f>
        <v>PAILLE ENVELOPPEE CODE 100 TRANS</v>
      </c>
      <c r="G1492" s="247">
        <v>9</v>
      </c>
      <c r="H1492" s="79">
        <v>6.666666666666667</v>
      </c>
      <c r="I1492" s="95">
        <f t="shared" si="56"/>
        <v>60</v>
      </c>
      <c r="J1492" s="95">
        <f t="shared" si="57"/>
        <v>72</v>
      </c>
      <c r="K1492" s="93">
        <f>IFERROR(VLOOKUP(E1492,'Inventaire des produits'!$B$4:$J$1000,5,FALSE),"")</f>
        <v>898</v>
      </c>
      <c r="L1492" s="301">
        <f>IFERROR(VLOOKUP(E1492,'Inventaire des produits'!$B$4:$J$1000,6,FALSE),"")</f>
        <v>3.9166666659999998</v>
      </c>
      <c r="M1492" s="62"/>
    </row>
    <row r="1493" spans="2:13" x14ac:dyDescent="0.3">
      <c r="B1493" s="378" t="s">
        <v>1704</v>
      </c>
      <c r="C1493" s="341"/>
      <c r="D1493" s="338"/>
      <c r="E1493" s="235" t="s">
        <v>895</v>
      </c>
      <c r="F1493" s="271" t="str">
        <f>IFERROR(VLOOKUP(E1493,'Inventaire des produits'!$B$4:$K$1000,2,0),"")</f>
        <v>ROULEAU ALUMINIUM GOLDEN 200M</v>
      </c>
      <c r="G1493" s="247">
        <v>2</v>
      </c>
      <c r="H1493" s="79">
        <v>70.833333333333343</v>
      </c>
      <c r="I1493" s="95">
        <f t="shared" si="56"/>
        <v>141.66666666666669</v>
      </c>
      <c r="J1493" s="95">
        <f t="shared" si="57"/>
        <v>170.00000000000003</v>
      </c>
      <c r="K1493" s="93">
        <f>IFERROR(VLOOKUP(E1493,'Inventaire des produits'!$B$4:$J$1000,5,FALSE),"")</f>
        <v>0</v>
      </c>
      <c r="L1493" s="301">
        <f>IFERROR(VLOOKUP(E1493,'Inventaire des produits'!$B$4:$J$1000,6,FALSE),"")</f>
        <v>57.5</v>
      </c>
      <c r="M1493" s="62"/>
    </row>
    <row r="1494" spans="2:13" x14ac:dyDescent="0.3">
      <c r="B1494" s="378" t="s">
        <v>1704</v>
      </c>
      <c r="C1494" s="342"/>
      <c r="D1494" s="339"/>
      <c r="E1494" s="235" t="s">
        <v>498</v>
      </c>
      <c r="F1494" s="271" t="str">
        <f>IFERROR(VLOOKUP(E1494,'Inventaire des produits'!$B$4:$K$1000,2,0),"")</f>
        <v>FILM ETIRABLE VIOLET 450MM KG</v>
      </c>
      <c r="G1494" s="247">
        <v>11</v>
      </c>
      <c r="H1494" s="79">
        <v>43.3333333333333</v>
      </c>
      <c r="I1494" s="95">
        <f t="shared" si="56"/>
        <v>476.66666666666629</v>
      </c>
      <c r="J1494" s="95">
        <f t="shared" si="57"/>
        <v>571.99999999999955</v>
      </c>
      <c r="K1494" s="93">
        <f>IFERROR(VLOOKUP(E1494,'Inventaire des produits'!$B$4:$J$1000,5,FALSE),"")</f>
        <v>0</v>
      </c>
      <c r="L1494" s="301">
        <f>IFERROR(VLOOKUP(E1494,'Inventaire des produits'!$B$4:$J$1000,6,FALSE),"")</f>
        <v>27.083333333300001</v>
      </c>
      <c r="M1494" s="62"/>
    </row>
    <row r="1495" spans="2:13" x14ac:dyDescent="0.3">
      <c r="B1495" s="378" t="s">
        <v>1704</v>
      </c>
      <c r="C1495" s="340">
        <v>45548</v>
      </c>
      <c r="D1495" s="337" t="s">
        <v>1363</v>
      </c>
      <c r="E1495" s="235" t="s">
        <v>779</v>
      </c>
      <c r="F1495" s="271" t="str">
        <f>IFERROR(VLOOKUP(E1495,'Inventaire des produits'!$B$4:$K$1000,2,0),"")</f>
        <v>BARQUETTE ALUMINIUM 83420</v>
      </c>
      <c r="G1495" s="247">
        <v>3700</v>
      </c>
      <c r="H1495" s="79">
        <v>0.46938400000000002</v>
      </c>
      <c r="I1495" s="95">
        <f t="shared" si="56"/>
        <v>1736.7208000000001</v>
      </c>
      <c r="J1495" s="95">
        <f t="shared" si="57"/>
        <v>2084.0649600000002</v>
      </c>
      <c r="K1495" s="93">
        <f>IFERROR(VLOOKUP(E1495,'Inventaire des produits'!$B$4:$J$1000,5,FALSE),"")</f>
        <v>0</v>
      </c>
      <c r="L1495" s="301">
        <f>IFERROR(VLOOKUP(E1495,'Inventaire des produits'!$B$4:$J$1000,6,FALSE),"")</f>
        <v>0.30833333330000001</v>
      </c>
      <c r="M1495" s="62">
        <f>SUM(J1495:J1507)</f>
        <v>13284.00496</v>
      </c>
    </row>
    <row r="1496" spans="2:13" x14ac:dyDescent="0.3">
      <c r="B1496" s="378" t="s">
        <v>1704</v>
      </c>
      <c r="C1496" s="341"/>
      <c r="D1496" s="338"/>
      <c r="E1496" s="235" t="s">
        <v>869</v>
      </c>
      <c r="F1496" s="271" t="str">
        <f>IFERROR(VLOOKUP(E1496,'Inventaire des produits'!$B$4:$K$1000,2,0),"")</f>
        <v>PAILLE ENVELOPPEE CODE 100 TRANS</v>
      </c>
      <c r="G1496" s="247">
        <v>32</v>
      </c>
      <c r="H1496" s="79">
        <v>6.25</v>
      </c>
      <c r="I1496" s="95">
        <f t="shared" si="56"/>
        <v>200</v>
      </c>
      <c r="J1496" s="95">
        <f t="shared" si="57"/>
        <v>240</v>
      </c>
      <c r="K1496" s="93">
        <f>IFERROR(VLOOKUP(E1496,'Inventaire des produits'!$B$4:$J$1000,5,FALSE),"")</f>
        <v>898</v>
      </c>
      <c r="L1496" s="301">
        <f>IFERROR(VLOOKUP(E1496,'Inventaire des produits'!$B$4:$J$1000,6,FALSE),"")</f>
        <v>3.9166666659999998</v>
      </c>
      <c r="M1496" s="62"/>
    </row>
    <row r="1497" spans="2:13" x14ac:dyDescent="0.3">
      <c r="B1497" s="378" t="s">
        <v>1704</v>
      </c>
      <c r="C1497" s="341"/>
      <c r="D1497" s="338"/>
      <c r="E1497" s="235" t="s">
        <v>895</v>
      </c>
      <c r="F1497" s="271" t="str">
        <f>IFERROR(VLOOKUP(E1497,'Inventaire des produits'!$B$4:$K$1000,2,0),"")</f>
        <v>ROULEAU ALUMINIUM GOLDEN 200M</v>
      </c>
      <c r="G1497" s="247">
        <v>19</v>
      </c>
      <c r="H1497" s="79">
        <v>65</v>
      </c>
      <c r="I1497" s="95">
        <f t="shared" si="56"/>
        <v>1235</v>
      </c>
      <c r="J1497" s="95">
        <f t="shared" si="57"/>
        <v>1482</v>
      </c>
      <c r="K1497" s="93">
        <f>IFERROR(VLOOKUP(E1497,'Inventaire des produits'!$B$4:$J$1000,5,FALSE),"")</f>
        <v>0</v>
      </c>
      <c r="L1497" s="301">
        <f>IFERROR(VLOOKUP(E1497,'Inventaire des produits'!$B$4:$J$1000,6,FALSE),"")</f>
        <v>57.5</v>
      </c>
      <c r="M1497" s="62"/>
    </row>
    <row r="1498" spans="2:13" x14ac:dyDescent="0.3">
      <c r="B1498" s="378" t="s">
        <v>1704</v>
      </c>
      <c r="C1498" s="341"/>
      <c r="D1498" s="338"/>
      <c r="E1498" s="235" t="s">
        <v>601</v>
      </c>
      <c r="F1498" s="271" t="str">
        <f>IFERROR(VLOOKUP(E1498,'Inventaire des produits'!$B$4:$K$1000,2,0),"")</f>
        <v>FILM ALIMENTAIRE VIOLET 280MM 500GR</v>
      </c>
      <c r="G1498" s="247">
        <v>28</v>
      </c>
      <c r="H1498" s="79">
        <v>30</v>
      </c>
      <c r="I1498" s="95">
        <f t="shared" si="56"/>
        <v>840</v>
      </c>
      <c r="J1498" s="95">
        <f t="shared" si="57"/>
        <v>1008</v>
      </c>
      <c r="K1498" s="93">
        <f>IFERROR(VLOOKUP(E1498,'Inventaire des produits'!$B$4:$J$1000,5,FALSE),"")</f>
        <v>0</v>
      </c>
      <c r="L1498" s="301">
        <f>IFERROR(VLOOKUP(E1498,'Inventaire des produits'!$B$4:$J$1000,6,FALSE),"")</f>
        <v>29.17</v>
      </c>
      <c r="M1498" s="62"/>
    </row>
    <row r="1499" spans="2:13" x14ac:dyDescent="0.3">
      <c r="B1499" s="378" t="s">
        <v>1704</v>
      </c>
      <c r="C1499" s="341"/>
      <c r="D1499" s="338"/>
      <c r="E1499" s="235" t="s">
        <v>681</v>
      </c>
      <c r="F1499" s="271" t="str">
        <f>IFERROR(VLOOKUP(E1499,'Inventaire des produits'!$B$4:$K$1000,2,0),"")</f>
        <v>BARQUETTE TRAITEUR 500CC MICRON-ONDABLE TRANS</v>
      </c>
      <c r="G1499" s="247">
        <v>500</v>
      </c>
      <c r="H1499" s="79">
        <v>1.2110000000000001</v>
      </c>
      <c r="I1499" s="95">
        <f t="shared" si="56"/>
        <v>605.5</v>
      </c>
      <c r="J1499" s="95">
        <f t="shared" si="57"/>
        <v>726.6</v>
      </c>
      <c r="K1499" s="93">
        <f>IFERROR(VLOOKUP(E1499,'Inventaire des produits'!$B$4:$J$1000,5,FALSE),"")</f>
        <v>300</v>
      </c>
      <c r="L1499" s="301">
        <f>IFERROR(VLOOKUP(E1499,'Inventaire des produits'!$B$4:$J$1000,6,FALSE),"")</f>
        <v>1.0833333332999999</v>
      </c>
      <c r="M1499" s="62"/>
    </row>
    <row r="1500" spans="2:13" x14ac:dyDescent="0.3">
      <c r="B1500" s="378" t="s">
        <v>1704</v>
      </c>
      <c r="C1500" s="341"/>
      <c r="D1500" s="338"/>
      <c r="E1500" s="235" t="s">
        <v>1097</v>
      </c>
      <c r="F1500" s="271" t="str">
        <f>IFERROR(VLOOKUP(E1500,'Inventaire des produits'!$B$4:$K$1000,2,0),"")</f>
        <v>POT DE SAUCE EN PLAST TRANSP 20ML</v>
      </c>
      <c r="G1500" s="247">
        <v>2000</v>
      </c>
      <c r="H1500" s="79">
        <v>6.6666666666666693E-2</v>
      </c>
      <c r="I1500" s="95">
        <f t="shared" si="56"/>
        <v>133.3333333333334</v>
      </c>
      <c r="J1500" s="95">
        <f t="shared" si="57"/>
        <v>160.00000000000009</v>
      </c>
      <c r="K1500" s="93">
        <f>IFERROR(VLOOKUP(E1500,'Inventaire des produits'!$B$4:$J$1000,5,FALSE),"")</f>
        <v>0</v>
      </c>
      <c r="L1500" s="301">
        <f>IFERROR(VLOOKUP(E1500,'Inventaire des produits'!$B$4:$J$1000,6,FALSE),"")</f>
        <v>8.9166666666666672E-2</v>
      </c>
      <c r="M1500" s="62"/>
    </row>
    <row r="1501" spans="2:13" x14ac:dyDescent="0.3">
      <c r="B1501" s="378" t="s">
        <v>1704</v>
      </c>
      <c r="C1501" s="341"/>
      <c r="D1501" s="338"/>
      <c r="E1501" s="235" t="s">
        <v>1190</v>
      </c>
      <c r="F1501" s="271" t="str">
        <f>IFERROR(VLOOKUP(E1501,'Inventaire des produits'!$B$4:$K$1000,2,0),"")</f>
        <v>GOBLET 12OZ EN PLAST TRANS SMART AVEC CVL PLAT</v>
      </c>
      <c r="G1501" s="247">
        <v>2000</v>
      </c>
      <c r="H1501" s="79">
        <v>0.5</v>
      </c>
      <c r="I1501" s="95">
        <f t="shared" si="56"/>
        <v>1000</v>
      </c>
      <c r="J1501" s="95">
        <f t="shared" si="57"/>
        <v>1200</v>
      </c>
      <c r="K1501" s="93">
        <f>IFERROR(VLOOKUP(E1501,'Inventaire des produits'!$B$4:$J$1000,5,FALSE),"")</f>
        <v>0</v>
      </c>
      <c r="L1501" s="301">
        <f>IFERROR(VLOOKUP(E1501,'Inventaire des produits'!$B$4:$J$1000,6,FALSE),"")</f>
        <v>0.55555833333333338</v>
      </c>
      <c r="M1501" s="62"/>
    </row>
    <row r="1502" spans="2:13" x14ac:dyDescent="0.3">
      <c r="B1502" s="378" t="s">
        <v>1704</v>
      </c>
      <c r="C1502" s="341"/>
      <c r="D1502" s="338"/>
      <c r="E1502" s="235" t="s">
        <v>1294</v>
      </c>
      <c r="F1502" s="271" t="str">
        <f>IFERROR(VLOOKUP(E1502,'Inventaire des produits'!$B$4:$K$1000,2,0),"")</f>
        <v>BARQUETTE ALUMINIUM RECT 1200ML AVEC CVL</v>
      </c>
      <c r="G1502" s="247">
        <v>1600</v>
      </c>
      <c r="H1502" s="79">
        <v>0.90000000000000013</v>
      </c>
      <c r="I1502" s="95">
        <f t="shared" si="56"/>
        <v>1440.0000000000002</v>
      </c>
      <c r="J1502" s="95">
        <f t="shared" si="57"/>
        <v>1728.0000000000002</v>
      </c>
      <c r="K1502" s="93">
        <f>IFERROR(VLOOKUP(E1502,'Inventaire des produits'!$B$4:$J$1000,5,FALSE),"")</f>
        <v>4000</v>
      </c>
      <c r="L1502" s="301">
        <f>IFERROR(VLOOKUP(E1502,'Inventaire des produits'!$B$4:$J$1000,6,FALSE),"")</f>
        <v>1.3666666667</v>
      </c>
      <c r="M1502" s="62"/>
    </row>
    <row r="1503" spans="2:13" x14ac:dyDescent="0.3">
      <c r="B1503" s="378" t="s">
        <v>1704</v>
      </c>
      <c r="C1503" s="341"/>
      <c r="D1503" s="338"/>
      <c r="E1503" s="235" t="s">
        <v>162</v>
      </c>
      <c r="F1503" s="271" t="str">
        <f>IFERROR(VLOOKUP(E1503,'Inventaire des produits'!$B$4:$K$1000,2,0),"")</f>
        <v>COQUILLE LUNCH BOX LARGE HB10 BLANC</v>
      </c>
      <c r="G1503" s="247">
        <v>1300</v>
      </c>
      <c r="H1503" s="79">
        <v>1</v>
      </c>
      <c r="I1503" s="95">
        <f t="shared" si="56"/>
        <v>1300</v>
      </c>
      <c r="J1503" s="95">
        <f t="shared" si="57"/>
        <v>1560</v>
      </c>
      <c r="K1503" s="93">
        <f>IFERROR(VLOOKUP(E1503,'Inventaire des produits'!$B$4:$J$1000,5,FALSE),"")</f>
        <v>0</v>
      </c>
      <c r="L1503" s="301">
        <f>IFERROR(VLOOKUP(E1503,'Inventaire des produits'!$B$4:$J$1000,6,FALSE),"")</f>
        <v>0.75</v>
      </c>
      <c r="M1503" s="62"/>
    </row>
    <row r="1504" spans="2:13" x14ac:dyDescent="0.3">
      <c r="B1504" s="378" t="s">
        <v>1704</v>
      </c>
      <c r="C1504" s="341"/>
      <c r="D1504" s="338"/>
      <c r="E1504" s="235" t="s">
        <v>282</v>
      </c>
      <c r="F1504" s="271" t="str">
        <f>IFERROR(VLOOKUP(E1504,'Inventaire des produits'!$B$4:$K$1000,2,0),"")</f>
        <v>BARQUETTE 150CC</v>
      </c>
      <c r="G1504" s="247">
        <v>1</v>
      </c>
      <c r="H1504" s="79">
        <v>250</v>
      </c>
      <c r="I1504" s="95">
        <f t="shared" si="56"/>
        <v>250</v>
      </c>
      <c r="J1504" s="95">
        <f t="shared" si="57"/>
        <v>300</v>
      </c>
      <c r="K1504" s="93">
        <f>IFERROR(VLOOKUP(E1504,'Inventaire des produits'!$B$4:$J$1000,5,FALSE),"")</f>
        <v>0</v>
      </c>
      <c r="L1504" s="301">
        <f>IFERROR(VLOOKUP(E1504,'Inventaire des produits'!$B$4:$J$1000,6,FALSE),"")</f>
        <v>208.33</v>
      </c>
      <c r="M1504" s="62"/>
    </row>
    <row r="1505" spans="2:13" x14ac:dyDescent="0.3">
      <c r="B1505" s="378" t="s">
        <v>1704</v>
      </c>
      <c r="C1505" s="341"/>
      <c r="D1505" s="338"/>
      <c r="E1505" s="235" t="s">
        <v>1038</v>
      </c>
      <c r="F1505" s="271" t="str">
        <f>IFERROR(VLOOKUP(E1505,'Inventaire des produits'!$B$4:$K$1000,2,0),"")</f>
        <v>FOURCHETTE ECOLUXE NOIRE</v>
      </c>
      <c r="G1505" s="247">
        <v>24</v>
      </c>
      <c r="H1505" s="79">
        <v>17.5</v>
      </c>
      <c r="I1505" s="95">
        <f t="shared" si="56"/>
        <v>420</v>
      </c>
      <c r="J1505" s="95">
        <f t="shared" si="57"/>
        <v>504</v>
      </c>
      <c r="K1505" s="93">
        <f>IFERROR(VLOOKUP(E1505,'Inventaire des produits'!$B$4:$J$1000,5,FALSE),"")</f>
        <v>0</v>
      </c>
      <c r="L1505" s="301">
        <f>IFERROR(VLOOKUP(E1505,'Inventaire des produits'!$B$4:$J$1000,6,FALSE),"")</f>
        <v>13.69</v>
      </c>
      <c r="M1505" s="62"/>
    </row>
    <row r="1506" spans="2:13" x14ac:dyDescent="0.3">
      <c r="B1506" s="378" t="s">
        <v>1704</v>
      </c>
      <c r="C1506" s="341"/>
      <c r="D1506" s="338"/>
      <c r="E1506" s="235" t="s">
        <v>1073</v>
      </c>
      <c r="F1506" s="271" t="str">
        <f>IFERROR(VLOOKUP(E1506,'Inventaire des produits'!$B$4:$K$1000,2,0),"")</f>
        <v>BARQUETTE TRAITEUR 750CC MICRON ONDABLE</v>
      </c>
      <c r="G1506" s="247">
        <v>500</v>
      </c>
      <c r="H1506" s="79">
        <v>1.4189000000000001</v>
      </c>
      <c r="I1506" s="95">
        <f t="shared" si="56"/>
        <v>709.45</v>
      </c>
      <c r="J1506" s="95">
        <f t="shared" si="57"/>
        <v>851.34</v>
      </c>
      <c r="K1506" s="93">
        <f>IFERROR(VLOOKUP(E1506,'Inventaire des produits'!$B$4:$J$1000,5,FALSE),"")</f>
        <v>0</v>
      </c>
      <c r="L1506" s="301">
        <f>IFERROR(VLOOKUP(E1506,'Inventaire des produits'!$B$4:$J$1000,6,FALSE),"")</f>
        <v>1.2083333333333335</v>
      </c>
      <c r="M1506" s="62"/>
    </row>
    <row r="1507" spans="2:13" x14ac:dyDescent="0.3">
      <c r="B1507" s="378" t="s">
        <v>1704</v>
      </c>
      <c r="C1507" s="342"/>
      <c r="D1507" s="339"/>
      <c r="E1507" s="235" t="s">
        <v>206</v>
      </c>
      <c r="F1507" s="271" t="str">
        <f>IFERROR(VLOOKUP(E1507,'Inventaire des produits'!$B$4:$K$1000,2,0),"")</f>
        <v>ESSUIE MAIN 1KG LISSE</v>
      </c>
      <c r="G1507" s="247">
        <v>40</v>
      </c>
      <c r="H1507" s="79">
        <v>30</v>
      </c>
      <c r="I1507" s="95">
        <f t="shared" si="56"/>
        <v>1200</v>
      </c>
      <c r="J1507" s="95">
        <f t="shared" si="57"/>
        <v>1440</v>
      </c>
      <c r="K1507" s="93">
        <f>IFERROR(VLOOKUP(E1507,'Inventaire des produits'!$B$4:$J$1000,5,FALSE),"")</f>
        <v>0</v>
      </c>
      <c r="L1507" s="301">
        <f>IFERROR(VLOOKUP(E1507,'Inventaire des produits'!$B$4:$J$1000,6,FALSE),"")</f>
        <v>21.25</v>
      </c>
      <c r="M1507" s="62"/>
    </row>
    <row r="1508" spans="2:13" x14ac:dyDescent="0.3">
      <c r="B1508" s="378" t="s">
        <v>1704</v>
      </c>
      <c r="C1508" s="340">
        <v>45548</v>
      </c>
      <c r="D1508" s="337" t="s">
        <v>1364</v>
      </c>
      <c r="E1508" s="235" t="s">
        <v>206</v>
      </c>
      <c r="F1508" s="271" t="str">
        <f>IFERROR(VLOOKUP(E1508,'Inventaire des produits'!$B$4:$K$1000,2,0),"")</f>
        <v>ESSUIE MAIN 1KG LISSE</v>
      </c>
      <c r="G1508" s="247">
        <v>9</v>
      </c>
      <c r="H1508" s="79">
        <v>28.332999999999998</v>
      </c>
      <c r="I1508" s="95">
        <f t="shared" si="56"/>
        <v>254.99699999999999</v>
      </c>
      <c r="J1508" s="95">
        <f t="shared" si="57"/>
        <v>305.99639999999999</v>
      </c>
      <c r="K1508" s="93">
        <f>IFERROR(VLOOKUP(E1508,'Inventaire des produits'!$B$4:$J$1000,5,FALSE),"")</f>
        <v>0</v>
      </c>
      <c r="L1508" s="301">
        <f>IFERROR(VLOOKUP(E1508,'Inventaire des produits'!$B$4:$J$1000,6,FALSE),"")</f>
        <v>21.25</v>
      </c>
      <c r="M1508" s="62">
        <f>SUM(J1508:J1511)</f>
        <v>3599.9986000000017</v>
      </c>
    </row>
    <row r="1509" spans="2:13" x14ac:dyDescent="0.3">
      <c r="B1509" s="378" t="s">
        <v>1704</v>
      </c>
      <c r="C1509" s="341"/>
      <c r="D1509" s="338"/>
      <c r="E1509" s="235" t="s">
        <v>1040</v>
      </c>
      <c r="F1509" s="271" t="str">
        <f>IFERROR(VLOOKUP(E1509,'Inventaire des produits'!$B$4:$K$1000,2,0),"")</f>
        <v>FILM ALIMENTAIRE ELEGENCE</v>
      </c>
      <c r="G1509" s="247">
        <v>27</v>
      </c>
      <c r="H1509" s="79">
        <v>28.541499999999999</v>
      </c>
      <c r="I1509" s="95">
        <f t="shared" si="56"/>
        <v>770.62049999999999</v>
      </c>
      <c r="J1509" s="95">
        <f t="shared" si="57"/>
        <v>924.74459999999999</v>
      </c>
      <c r="K1509" s="93">
        <f>IFERROR(VLOOKUP(E1509,'Inventaire des produits'!$B$4:$J$1000,5,FALSE),"")</f>
        <v>0</v>
      </c>
      <c r="L1509" s="301">
        <f>IFERROR(VLOOKUP(E1509,'Inventaire des produits'!$B$4:$J$1000,6,FALSE),"")</f>
        <v>20</v>
      </c>
      <c r="M1509" s="62"/>
    </row>
    <row r="1510" spans="2:13" x14ac:dyDescent="0.3">
      <c r="B1510" s="378" t="s">
        <v>1704</v>
      </c>
      <c r="C1510" s="341"/>
      <c r="D1510" s="338"/>
      <c r="E1510" s="235" t="s">
        <v>666</v>
      </c>
      <c r="F1510" s="271" t="str">
        <f>IFERROR(VLOOKUP(E1510,'Inventaire des produits'!$B$4:$K$1000,2,0),"")</f>
        <v>GANT VINYL EXTRA PREMIUM GLOVE MEDIUM</v>
      </c>
      <c r="G1510" s="247">
        <v>8</v>
      </c>
      <c r="H1510" s="79">
        <v>33.256</v>
      </c>
      <c r="I1510" s="95">
        <f t="shared" si="56"/>
        <v>266.048</v>
      </c>
      <c r="J1510" s="95">
        <f t="shared" si="57"/>
        <v>319.25759999999997</v>
      </c>
      <c r="K1510" s="93">
        <f>IFERROR(VLOOKUP(E1510,'Inventaire des produits'!$B$4:$J$1000,5,FALSE),"")</f>
        <v>0</v>
      </c>
      <c r="L1510" s="301">
        <f>IFERROR(VLOOKUP(E1510,'Inventaire des produits'!$B$4:$J$1000,6,FALSE),"")</f>
        <v>20</v>
      </c>
      <c r="M1510" s="62"/>
    </row>
    <row r="1511" spans="2:13" x14ac:dyDescent="0.3">
      <c r="B1511" s="378" t="s">
        <v>1704</v>
      </c>
      <c r="C1511" s="340">
        <v>45549</v>
      </c>
      <c r="D1511" s="337" t="s">
        <v>1365</v>
      </c>
      <c r="E1511" s="235" t="s">
        <v>1162</v>
      </c>
      <c r="F1511" s="271" t="str">
        <f>IFERROR(VLOOKUP(E1511,'Inventaire des produits'!$B$4:$K$1000,2,0),"")</f>
        <v>BOITE PIZZA N°40</v>
      </c>
      <c r="G1511" s="247">
        <v>500</v>
      </c>
      <c r="H1511" s="79">
        <v>3.4166666666666701</v>
      </c>
      <c r="I1511" s="95">
        <f t="shared" si="56"/>
        <v>1708.3333333333351</v>
      </c>
      <c r="J1511" s="95">
        <f t="shared" si="57"/>
        <v>2050.0000000000018</v>
      </c>
      <c r="K1511" s="93">
        <f>IFERROR(VLOOKUP(E1511,'Inventaire des produits'!$B$4:$J$1000,5,FALSE),"")</f>
        <v>0</v>
      </c>
      <c r="L1511" s="301">
        <f>IFERROR(VLOOKUP(E1511,'Inventaire des produits'!$B$4:$J$1000,6,FALSE),"")</f>
        <v>2.78</v>
      </c>
      <c r="M1511" s="62">
        <f>SUM(J1511:J1513)</f>
        <v>3509.9999999200018</v>
      </c>
    </row>
    <row r="1512" spans="2:13" x14ac:dyDescent="0.3">
      <c r="B1512" s="378" t="s">
        <v>1704</v>
      </c>
      <c r="C1512" s="341"/>
      <c r="D1512" s="338"/>
      <c r="E1512" s="235" t="s">
        <v>875</v>
      </c>
      <c r="F1512" s="271" t="str">
        <f>IFERROR(VLOOKUP(E1512,'Inventaire des produits'!$B$4:$K$1000,2,0),"")</f>
        <v>TRIPOD PIZZA EN PLASTIQUE</v>
      </c>
      <c r="G1512" s="247">
        <v>2000</v>
      </c>
      <c r="H1512" s="79">
        <v>0.5</v>
      </c>
      <c r="I1512" s="95">
        <f t="shared" si="56"/>
        <v>1000</v>
      </c>
      <c r="J1512" s="95">
        <f t="shared" si="57"/>
        <v>1200</v>
      </c>
      <c r="K1512" s="93">
        <f>IFERROR(VLOOKUP(E1512,'Inventaire des produits'!$B$4:$J$1000,5,FALSE),"")</f>
        <v>0</v>
      </c>
      <c r="L1512" s="301">
        <f>IFERROR(VLOOKUP(E1512,'Inventaire des produits'!$B$4:$J$1000,6,FALSE),"")</f>
        <v>0.32</v>
      </c>
      <c r="M1512" s="62"/>
    </row>
    <row r="1513" spans="2:13" x14ac:dyDescent="0.3">
      <c r="B1513" s="378" t="s">
        <v>1704</v>
      </c>
      <c r="C1513" s="341"/>
      <c r="D1513" s="339"/>
      <c r="E1513" s="235" t="s">
        <v>1097</v>
      </c>
      <c r="F1513" s="271" t="str">
        <f>IFERROR(VLOOKUP(E1513,'Inventaire des produits'!$B$4:$K$1000,2,0),"")</f>
        <v>POT DE SAUCE EN PLAST TRANSP 20ML</v>
      </c>
      <c r="G1513" s="247">
        <v>2000</v>
      </c>
      <c r="H1513" s="79">
        <v>0.1083333333</v>
      </c>
      <c r="I1513" s="95">
        <f t="shared" si="56"/>
        <v>216.66666660000001</v>
      </c>
      <c r="J1513" s="95">
        <f t="shared" si="57"/>
        <v>259.99999991999999</v>
      </c>
      <c r="K1513" s="93">
        <f>IFERROR(VLOOKUP(E1513,'Inventaire des produits'!$B$4:$J$1000,5,FALSE),"")</f>
        <v>0</v>
      </c>
      <c r="L1513" s="301">
        <f>IFERROR(VLOOKUP(E1513,'Inventaire des produits'!$B$4:$J$1000,6,FALSE),"")</f>
        <v>8.9166666666666672E-2</v>
      </c>
      <c r="M1513" s="62"/>
    </row>
    <row r="1514" spans="2:13" x14ac:dyDescent="0.3">
      <c r="B1514" s="378" t="s">
        <v>1704</v>
      </c>
      <c r="C1514" s="340">
        <v>45549</v>
      </c>
      <c r="D1514" s="337" t="s">
        <v>1366</v>
      </c>
      <c r="E1514" s="235" t="s">
        <v>1222</v>
      </c>
      <c r="F1514" s="271" t="str">
        <f>IFERROR(VLOOKUP(E1514,'Inventaire des produits'!$B$4:$K$1000,2,0),"")</f>
        <v>POT DE SAUCE 1OZ PROCLEAN</v>
      </c>
      <c r="G1514" s="247">
        <v>100000</v>
      </c>
      <c r="H1514" s="79">
        <v>0.15456900000000001</v>
      </c>
      <c r="I1514" s="95">
        <f t="shared" ref="I1514:I1520" si="58">IF(OR(G1514="",H1514=""),"",G1514*H1514)</f>
        <v>15456.900000000001</v>
      </c>
      <c r="J1514" s="95">
        <f t="shared" ref="J1514:J1520" si="59">IF(OR(I1514=""),"",I1514*1.2)</f>
        <v>18548.280000000002</v>
      </c>
      <c r="K1514" s="93">
        <f>IFERROR(VLOOKUP(E1514,'Inventaire des produits'!$B$4:$J$1000,5,FALSE),"")</f>
        <v>557100</v>
      </c>
      <c r="L1514" s="301">
        <f>IFERROR(VLOOKUP(E1514,'Inventaire des produits'!$B$4:$J$1000,6,FALSE),"")</f>
        <v>0.1167</v>
      </c>
      <c r="M1514" s="62">
        <f>SUM(J1514:J1527)</f>
        <v>42905.000800000002</v>
      </c>
    </row>
    <row r="1515" spans="2:13" x14ac:dyDescent="0.3">
      <c r="B1515" s="378" t="s">
        <v>1704</v>
      </c>
      <c r="C1515" s="341"/>
      <c r="D1515" s="338"/>
      <c r="E1515" s="235" t="s">
        <v>869</v>
      </c>
      <c r="F1515" s="271" t="str">
        <f>IFERROR(VLOOKUP(E1515,'Inventaire des produits'!$B$4:$K$1000,2,0),"")</f>
        <v>PAILLE ENVELOPPEE CODE 100 TRANS</v>
      </c>
      <c r="G1515" s="247">
        <v>70</v>
      </c>
      <c r="H1515" s="79">
        <v>5.5561999999999996</v>
      </c>
      <c r="I1515" s="95">
        <f t="shared" si="58"/>
        <v>388.93399999999997</v>
      </c>
      <c r="J1515" s="95">
        <f t="shared" si="59"/>
        <v>466.72079999999994</v>
      </c>
      <c r="K1515" s="93">
        <f>IFERROR(VLOOKUP(E1515,'Inventaire des produits'!$B$4:$J$1000,5,FALSE),"")</f>
        <v>898</v>
      </c>
      <c r="L1515" s="301">
        <f>IFERROR(VLOOKUP(E1515,'Inventaire des produits'!$B$4:$J$1000,6,FALSE),"")</f>
        <v>3.9166666659999998</v>
      </c>
      <c r="M1515" s="62"/>
    </row>
    <row r="1516" spans="2:13" x14ac:dyDescent="0.3">
      <c r="B1516" s="378" t="s">
        <v>1704</v>
      </c>
      <c r="C1516" s="341"/>
      <c r="D1516" s="338"/>
      <c r="E1516" s="235" t="s">
        <v>258</v>
      </c>
      <c r="F1516" s="271" t="str">
        <f>IFERROR(VLOOKUP(E1516,'Inventaire des produits'!$B$4:$K$1000,2,0),"")</f>
        <v>BARQUETTE ST5</v>
      </c>
      <c r="G1516" s="247">
        <v>1400</v>
      </c>
      <c r="H1516" s="79">
        <v>1.25</v>
      </c>
      <c r="I1516" s="95">
        <f t="shared" si="58"/>
        <v>1750</v>
      </c>
      <c r="J1516" s="95">
        <f t="shared" si="59"/>
        <v>2100</v>
      </c>
      <c r="K1516" s="93">
        <f>IFERROR(VLOOKUP(E1516,'Inventaire des produits'!$B$4:$J$1000,5,FALSE),"")</f>
        <v>0</v>
      </c>
      <c r="L1516" s="301">
        <f>IFERROR(VLOOKUP(E1516,'Inventaire des produits'!$B$4:$J$1000,6,FALSE),"")</f>
        <v>1.3333333332999999</v>
      </c>
      <c r="M1516" s="62"/>
    </row>
    <row r="1517" spans="2:13" x14ac:dyDescent="0.3">
      <c r="B1517" s="378" t="s">
        <v>1704</v>
      </c>
      <c r="C1517" s="341"/>
      <c r="D1517" s="338"/>
      <c r="E1517" s="235" t="s">
        <v>214</v>
      </c>
      <c r="F1517" s="271" t="str">
        <f>IFERROR(VLOOKUP(E1517,'Inventaire des produits'!$B$4:$K$1000,2,0),"")</f>
        <v>BARQUETTE SUSHI PET 160*91 L-ST1</v>
      </c>
      <c r="G1517" s="247">
        <v>700</v>
      </c>
      <c r="H1517" s="79">
        <v>0.79166666666666663</v>
      </c>
      <c r="I1517" s="95">
        <f t="shared" si="58"/>
        <v>554.16666666666663</v>
      </c>
      <c r="J1517" s="95">
        <f t="shared" si="59"/>
        <v>664.99999999999989</v>
      </c>
      <c r="K1517" s="93">
        <f>IFERROR(VLOOKUP(E1517,'Inventaire des produits'!$B$4:$J$1000,5,FALSE),"")</f>
        <v>0</v>
      </c>
      <c r="L1517" s="301">
        <f>IFERROR(VLOOKUP(E1517,'Inventaire des produits'!$B$4:$J$1000,6,FALSE),"")</f>
        <v>0.95833333330000003</v>
      </c>
      <c r="M1517" s="62"/>
    </row>
    <row r="1518" spans="2:13" x14ac:dyDescent="0.3">
      <c r="B1518" s="378" t="s">
        <v>1704</v>
      </c>
      <c r="C1518" s="341"/>
      <c r="D1518" s="338"/>
      <c r="E1518" s="235" t="s">
        <v>929</v>
      </c>
      <c r="F1518" s="271" t="str">
        <f>IFERROR(VLOOKUP(E1518,'Inventaire des produits'!$B$4:$K$1000,2,0),"")</f>
        <v xml:space="preserve">SERVIETTE DE TABLE </v>
      </c>
      <c r="G1518" s="247">
        <v>600</v>
      </c>
      <c r="H1518" s="79">
        <v>3.291666666666667</v>
      </c>
      <c r="I1518" s="95">
        <f t="shared" si="58"/>
        <v>1975.0000000000002</v>
      </c>
      <c r="J1518" s="95">
        <f t="shared" si="59"/>
        <v>2370</v>
      </c>
      <c r="K1518" s="93">
        <f>IFERROR(VLOOKUP(E1518,'Inventaire des produits'!$B$4:$J$1000,5,FALSE),"")</f>
        <v>0</v>
      </c>
      <c r="L1518" s="301">
        <f>IFERROR(VLOOKUP(E1518,'Inventaire des produits'!$B$4:$J$1000,6,FALSE),"")</f>
        <v>2.9169999999999998</v>
      </c>
      <c r="M1518" s="62"/>
    </row>
    <row r="1519" spans="2:13" x14ac:dyDescent="0.3">
      <c r="B1519" s="378" t="s">
        <v>1704</v>
      </c>
      <c r="C1519" s="341"/>
      <c r="D1519" s="338"/>
      <c r="E1519" s="235" t="s">
        <v>464</v>
      </c>
      <c r="F1519" s="271" t="str">
        <f>IFERROR(VLOOKUP(E1519,'Inventaire des produits'!$B$4:$K$1000,2,0),"")</f>
        <v>PAPIER ZIGZAG</v>
      </c>
      <c r="G1519" s="247">
        <v>120</v>
      </c>
      <c r="H1519" s="79">
        <v>8.3333333333333339</v>
      </c>
      <c r="I1519" s="95">
        <f t="shared" si="58"/>
        <v>1000.0000000000001</v>
      </c>
      <c r="J1519" s="95">
        <f t="shared" si="59"/>
        <v>1200</v>
      </c>
      <c r="K1519" s="93">
        <f>IFERROR(VLOOKUP(E1519,'Inventaire des produits'!$B$4:$J$1000,5,FALSE),"")</f>
        <v>120</v>
      </c>
      <c r="L1519" s="301">
        <f>IFERROR(VLOOKUP(E1519,'Inventaire des produits'!$B$4:$J$1000,6,FALSE),"")</f>
        <v>7.5</v>
      </c>
      <c r="M1519" s="62"/>
    </row>
    <row r="1520" spans="2:13" x14ac:dyDescent="0.3">
      <c r="B1520" s="378" t="s">
        <v>1704</v>
      </c>
      <c r="C1520" s="341"/>
      <c r="D1520" s="338"/>
      <c r="E1520" s="235" t="s">
        <v>950</v>
      </c>
      <c r="F1520" s="271" t="str">
        <f>IFERROR(VLOOKUP(E1520,'Inventaire des produits'!$B$4:$K$1000,2,0),"")</f>
        <v>BARQUETTE TRAITEUR 500CC MICRON-ONDABLE TRANS</v>
      </c>
      <c r="G1520" s="247">
        <v>1000</v>
      </c>
      <c r="H1520" s="79">
        <v>1.5</v>
      </c>
      <c r="I1520" s="95">
        <f t="shared" si="58"/>
        <v>1500</v>
      </c>
      <c r="J1520" s="95">
        <f t="shared" si="59"/>
        <v>1800</v>
      </c>
      <c r="K1520" s="93">
        <f>IFERROR(VLOOKUP(E1520,'Inventaire des produits'!$B$4:$J$1000,5,FALSE),"")</f>
        <v>2250</v>
      </c>
      <c r="L1520" s="301">
        <f>IFERROR(VLOOKUP(E1520,'Inventaire des produits'!$B$4:$J$1000,6,FALSE),"")</f>
        <v>1.0166666666666666</v>
      </c>
      <c r="M1520" s="62"/>
    </row>
    <row r="1521" spans="2:13" x14ac:dyDescent="0.3">
      <c r="B1521" s="378" t="s">
        <v>1704</v>
      </c>
      <c r="C1521" s="341"/>
      <c r="D1521" s="338"/>
      <c r="E1521" s="235" t="s">
        <v>769</v>
      </c>
      <c r="F1521" s="271" t="str">
        <f>IFERROR(VLOOKUP(E1521,'Inventaire des produits'!$B$4:$K$1000,2,0),"")</f>
        <v>GANT NOIR VINYL EXTRA PREMIUM GLOVE LARGE</v>
      </c>
      <c r="G1521" s="247">
        <v>150</v>
      </c>
      <c r="H1521" s="79">
        <v>23.333333333333336</v>
      </c>
      <c r="I1521" s="95">
        <f t="shared" ref="I1521:I1527" si="60">IF(OR(G1521="",H1521=""),"",G1521*H1521)</f>
        <v>3500.0000000000005</v>
      </c>
      <c r="J1521" s="95">
        <f t="shared" ref="J1521:J1527" si="61">IF(OR(I1521=""),"",I1521*1.2)</f>
        <v>4200</v>
      </c>
      <c r="K1521" s="93">
        <f>IFERROR(VLOOKUP(E1521,'Inventaire des produits'!$B$4:$J$1000,5,FALSE),"")</f>
        <v>8</v>
      </c>
      <c r="L1521" s="301">
        <f>IFERROR(VLOOKUP(E1521,'Inventaire des produits'!$B$4:$J$1000,6,FALSE),"")</f>
        <v>20.833333333300001</v>
      </c>
      <c r="M1521" s="62"/>
    </row>
    <row r="1522" spans="2:13" x14ac:dyDescent="0.3">
      <c r="B1522" s="378" t="s">
        <v>1704</v>
      </c>
      <c r="C1522" s="341"/>
      <c r="D1522" s="338"/>
      <c r="E1522" s="235" t="s">
        <v>603</v>
      </c>
      <c r="F1522" s="271" t="str">
        <f>IFERROR(VLOOKUP(E1522,'Inventaire des produits'!$B$4:$K$1000,2,0),"")</f>
        <v>ESSUIE MAIN 1KG LISSE</v>
      </c>
      <c r="G1522" s="247">
        <v>140</v>
      </c>
      <c r="H1522" s="79">
        <v>25</v>
      </c>
      <c r="I1522" s="95">
        <f t="shared" si="60"/>
        <v>3500</v>
      </c>
      <c r="J1522" s="95">
        <f t="shared" si="61"/>
        <v>4200</v>
      </c>
      <c r="K1522" s="93">
        <f>IFERROR(VLOOKUP(E1522,'Inventaire des produits'!$B$4:$J$1000,5,FALSE),"")</f>
        <v>0</v>
      </c>
      <c r="L1522" s="301">
        <f>IFERROR(VLOOKUP(E1522,'Inventaire des produits'!$B$4:$J$1000,6,FALSE),"")</f>
        <v>25</v>
      </c>
      <c r="M1522" s="62"/>
    </row>
    <row r="1523" spans="2:13" x14ac:dyDescent="0.3">
      <c r="B1523" s="378" t="s">
        <v>1704</v>
      </c>
      <c r="C1523" s="341"/>
      <c r="D1523" s="338"/>
      <c r="E1523" s="235" t="s">
        <v>192</v>
      </c>
      <c r="F1523" s="271" t="str">
        <f>IFERROR(VLOOKUP(E1523,'Inventaire des produits'!$B$4:$K$1000,2,0),"")</f>
        <v>FOURCHETTE BLANC 60PCS</v>
      </c>
      <c r="G1523" s="247">
        <v>80</v>
      </c>
      <c r="H1523" s="79">
        <v>7.0833333333333339</v>
      </c>
      <c r="I1523" s="95">
        <f t="shared" si="60"/>
        <v>566.66666666666674</v>
      </c>
      <c r="J1523" s="95">
        <f t="shared" si="61"/>
        <v>680.00000000000011</v>
      </c>
      <c r="K1523" s="93">
        <f>IFERROR(VLOOKUP(E1523,'Inventaire des produits'!$B$4:$J$1000,5,FALSE),"")</f>
        <v>0</v>
      </c>
      <c r="L1523" s="301">
        <f>IFERROR(VLOOKUP(E1523,'Inventaire des produits'!$B$4:$J$1000,6,FALSE),"")</f>
        <v>5.8333333329999997</v>
      </c>
      <c r="M1523" s="62"/>
    </row>
    <row r="1524" spans="2:13" x14ac:dyDescent="0.3">
      <c r="B1524" s="378" t="s">
        <v>1704</v>
      </c>
      <c r="C1524" s="341"/>
      <c r="D1524" s="338"/>
      <c r="E1524" s="235" t="s">
        <v>1376</v>
      </c>
      <c r="F1524" s="271" t="str">
        <f>IFERROR(VLOOKUP(E1524,'Inventaire des produits'!$B$4:$K$1000,2,0),"")</f>
        <v>MOUCHOIR SWEET 600</v>
      </c>
      <c r="G1524" s="247">
        <v>200</v>
      </c>
      <c r="H1524" s="79">
        <f>9/1.2</f>
        <v>7.5</v>
      </c>
      <c r="I1524" s="95">
        <f t="shared" si="60"/>
        <v>1500</v>
      </c>
      <c r="J1524" s="95">
        <f t="shared" si="61"/>
        <v>1800</v>
      </c>
      <c r="K1524" s="93">
        <f>IFERROR(VLOOKUP(E1524,'Inventaire des produits'!$B$4:$J$1000,5,FALSE),"")</f>
        <v>160</v>
      </c>
      <c r="L1524" s="301">
        <f>IFERROR(VLOOKUP(E1524,'Inventaire des produits'!$B$4:$J$1000,6,FALSE),"")</f>
        <v>6</v>
      </c>
      <c r="M1524" s="62"/>
    </row>
    <row r="1525" spans="2:13" x14ac:dyDescent="0.3">
      <c r="B1525" s="378" t="s">
        <v>1704</v>
      </c>
      <c r="C1525" s="341"/>
      <c r="D1525" s="338"/>
      <c r="E1525" s="235" t="s">
        <v>1117</v>
      </c>
      <c r="F1525" s="271" t="str">
        <f>IFERROR(VLOOKUP(E1525,'Inventaire des produits'!$B$4:$K$1000,2,0),"")</f>
        <v>POT DE SAUCE 2OZ NOIRE</v>
      </c>
      <c r="G1525" s="247">
        <v>6500</v>
      </c>
      <c r="H1525" s="79">
        <f>0.25/1.2</f>
        <v>0.20833333333333334</v>
      </c>
      <c r="I1525" s="95">
        <f t="shared" si="60"/>
        <v>1354.1666666666667</v>
      </c>
      <c r="J1525" s="95">
        <f t="shared" si="61"/>
        <v>1625</v>
      </c>
      <c r="K1525" s="93">
        <f>IFERROR(VLOOKUP(E1525,'Inventaire des produits'!$B$4:$J$1000,5,FALSE),"")</f>
        <v>0</v>
      </c>
      <c r="L1525" s="301">
        <f>IFERROR(VLOOKUP(E1525,'Inventaire des produits'!$B$4:$J$1000,6,FALSE),"")</f>
        <v>0.16489999999999999</v>
      </c>
      <c r="M1525" s="62"/>
    </row>
    <row r="1526" spans="2:13" x14ac:dyDescent="0.3">
      <c r="B1526" s="378" t="s">
        <v>1704</v>
      </c>
      <c r="C1526" s="341"/>
      <c r="D1526" s="338"/>
      <c r="E1526" s="235" t="s">
        <v>215</v>
      </c>
      <c r="F1526" s="271" t="str">
        <f>IFERROR(VLOOKUP(E1526,'Inventaire des produits'!$B$4:$K$1000,2,0),"")</f>
        <v>POT A NOUILLE PATE BLANC 26OZ</v>
      </c>
      <c r="G1526" s="247">
        <v>1500</v>
      </c>
      <c r="H1526" s="79">
        <f>1.3/1.2</f>
        <v>1.0833333333333335</v>
      </c>
      <c r="I1526" s="95">
        <f t="shared" ref="I1526" si="62">IF(OR(G1526="",H1526=""),"",G1526*H1526)</f>
        <v>1625.0000000000002</v>
      </c>
      <c r="J1526" s="95">
        <f t="shared" ref="J1526" si="63">IF(OR(I1526=""),"",I1526*1.2)</f>
        <v>1950.0000000000002</v>
      </c>
      <c r="K1526" s="93">
        <f>IFERROR(VLOOKUP(E1526,'Inventaire des produits'!$B$4:$J$1000,5,FALSE),"")</f>
        <v>0</v>
      </c>
      <c r="L1526" s="301">
        <f>IFERROR(VLOOKUP(E1526,'Inventaire des produits'!$B$4:$J$1000,6,FALSE),"")</f>
        <v>0.91666666669999997</v>
      </c>
      <c r="M1526" s="62"/>
    </row>
    <row r="1527" spans="2:13" x14ac:dyDescent="0.3">
      <c r="B1527" s="378" t="s">
        <v>1704</v>
      </c>
      <c r="C1527" s="342"/>
      <c r="D1527" s="339"/>
      <c r="E1527" s="235" t="s">
        <v>185</v>
      </c>
      <c r="F1527" s="271" t="str">
        <f>IFERROR(VLOOKUP(E1527,'Inventaire des produits'!$B$4:$K$1000,2,0),"")</f>
        <v>POT A NOUILLE 26OZ BLANC</v>
      </c>
      <c r="G1527" s="247">
        <v>1000</v>
      </c>
      <c r="H1527" s="79">
        <f>1.3/1.2</f>
        <v>1.0833333333333335</v>
      </c>
      <c r="I1527" s="95">
        <f t="shared" si="60"/>
        <v>1083.3333333333335</v>
      </c>
      <c r="J1527" s="95">
        <f t="shared" si="61"/>
        <v>1300.0000000000002</v>
      </c>
      <c r="K1527" s="93">
        <f>IFERROR(VLOOKUP(E1527,'Inventaire des produits'!$B$4:$J$1000,5,FALSE),"")</f>
        <v>0</v>
      </c>
      <c r="L1527" s="301">
        <f>IFERROR(VLOOKUP(E1527,'Inventaire des produits'!$B$4:$J$1000,6,FALSE),"")</f>
        <v>0.91666666669999997</v>
      </c>
      <c r="M1527" s="62"/>
    </row>
    <row r="1528" spans="2:13" x14ac:dyDescent="0.3">
      <c r="B1528" s="378" t="s">
        <v>1704</v>
      </c>
      <c r="C1528" s="340">
        <v>45551</v>
      </c>
      <c r="D1528" s="337" t="s">
        <v>1379</v>
      </c>
      <c r="E1528" s="235" t="s">
        <v>211</v>
      </c>
      <c r="F1528" s="271" t="str">
        <f>IFERROR(VLOOKUP(E1528,'Inventaire des produits'!$B$4:$K$1000,2,0),"")</f>
        <v>FILM PVC ETIRABLE EXTRA 500*45 1,5KG</v>
      </c>
      <c r="G1528" s="247">
        <v>6</v>
      </c>
      <c r="H1528" s="79">
        <v>45.246000000000002</v>
      </c>
      <c r="I1528" s="95">
        <f t="shared" si="56"/>
        <v>271.476</v>
      </c>
      <c r="J1528" s="95">
        <f t="shared" si="57"/>
        <v>325.77119999999996</v>
      </c>
      <c r="K1528" s="93">
        <f>IFERROR(VLOOKUP(E1528,'Inventaire des produits'!$B$4:$J$1000,5,FALSE),"")</f>
        <v>0</v>
      </c>
      <c r="L1528" s="301">
        <f>IFERROR(VLOOKUP(E1528,'Inventaire des produits'!$B$4:$J$1000,6,FALSE),"")</f>
        <v>35</v>
      </c>
      <c r="M1528" s="62">
        <f>SUM(J1528:J1532)</f>
        <v>1550.0016000000001</v>
      </c>
    </row>
    <row r="1529" spans="2:13" x14ac:dyDescent="0.3">
      <c r="B1529" s="378" t="s">
        <v>1704</v>
      </c>
      <c r="C1529" s="341"/>
      <c r="D1529" s="338"/>
      <c r="E1529" s="235" t="s">
        <v>596</v>
      </c>
      <c r="F1529" s="271" t="str">
        <f>IFERROR(VLOOKUP(E1529,'Inventaire des produits'!$B$4:$K$1000,2,0),"")</f>
        <v>FILM ALIMENTAIRE ROTANA 45*500</v>
      </c>
      <c r="G1529" s="247">
        <v>1</v>
      </c>
      <c r="H1529" s="79">
        <v>45.2</v>
      </c>
      <c r="I1529" s="95">
        <f t="shared" si="56"/>
        <v>45.2</v>
      </c>
      <c r="J1529" s="95">
        <f t="shared" si="57"/>
        <v>54.24</v>
      </c>
      <c r="K1529" s="93">
        <f>IFERROR(VLOOKUP(E1529,'Inventaire des produits'!$B$4:$J$1000,5,FALSE),"")</f>
        <v>0</v>
      </c>
      <c r="L1529" s="301">
        <f>IFERROR(VLOOKUP(E1529,'Inventaire des produits'!$B$4:$J$1000,6,FALSE),"")</f>
        <v>40</v>
      </c>
      <c r="M1529" s="62"/>
    </row>
    <row r="1530" spans="2:13" x14ac:dyDescent="0.3">
      <c r="B1530" s="378" t="s">
        <v>1704</v>
      </c>
      <c r="C1530" s="341"/>
      <c r="D1530" s="338"/>
      <c r="E1530" s="235" t="s">
        <v>778</v>
      </c>
      <c r="F1530" s="271" t="str">
        <f>IFERROR(VLOOKUP(E1530,'Inventaire des produits'!$B$4:$K$1000,2,0),"")</f>
        <v>POT DE SAUCE EN PLAST TRANSP 20ML</v>
      </c>
      <c r="G1530" s="247">
        <v>2800</v>
      </c>
      <c r="H1530" s="79">
        <v>0.10714</v>
      </c>
      <c r="I1530" s="95">
        <f t="shared" si="56"/>
        <v>299.99200000000002</v>
      </c>
      <c r="J1530" s="95">
        <f t="shared" si="57"/>
        <v>359.99040000000002</v>
      </c>
      <c r="K1530" s="93">
        <f>IFERROR(VLOOKUP(E1530,'Inventaire des produits'!$B$4:$J$1000,5,FALSE),"")</f>
        <v>0</v>
      </c>
      <c r="L1530" s="301">
        <f>IFERROR(VLOOKUP(E1530,'Inventaire des produits'!$B$4:$J$1000,6,FALSE),"")</f>
        <v>8.3333333300000006E-2</v>
      </c>
      <c r="M1530" s="62"/>
    </row>
    <row r="1531" spans="2:13" x14ac:dyDescent="0.3">
      <c r="B1531" s="378" t="s">
        <v>1704</v>
      </c>
      <c r="C1531" s="341"/>
      <c r="D1531" s="338"/>
      <c r="E1531" s="235" t="s">
        <v>929</v>
      </c>
      <c r="F1531" s="271" t="str">
        <f>IFERROR(VLOOKUP(E1531,'Inventaire des produits'!$B$4:$K$1000,2,0),"")</f>
        <v xml:space="preserve">SERVIETTE DE TABLE </v>
      </c>
      <c r="G1531" s="247">
        <v>80</v>
      </c>
      <c r="H1531" s="79">
        <v>3.75</v>
      </c>
      <c r="I1531" s="95">
        <f t="shared" si="56"/>
        <v>300</v>
      </c>
      <c r="J1531" s="95">
        <f t="shared" si="57"/>
        <v>360</v>
      </c>
      <c r="K1531" s="93">
        <f>IFERROR(VLOOKUP(E1531,'Inventaire des produits'!$B$4:$J$1000,5,FALSE),"")</f>
        <v>0</v>
      </c>
      <c r="L1531" s="301">
        <f>IFERROR(VLOOKUP(E1531,'Inventaire des produits'!$B$4:$J$1000,6,FALSE),"")</f>
        <v>2.9169999999999998</v>
      </c>
      <c r="M1531" s="62"/>
    </row>
    <row r="1532" spans="2:13" x14ac:dyDescent="0.3">
      <c r="B1532" s="378" t="s">
        <v>1704</v>
      </c>
      <c r="C1532" s="342"/>
      <c r="D1532" s="339"/>
      <c r="E1532" s="235" t="s">
        <v>781</v>
      </c>
      <c r="F1532" s="271" t="str">
        <f>IFERROR(VLOOKUP(E1532,'Inventaire des produits'!$B$4:$K$1000,2,0),"")</f>
        <v>BARQUETTE ALUMINIUM 31808 ROND</v>
      </c>
      <c r="G1532" s="247">
        <v>500</v>
      </c>
      <c r="H1532" s="79">
        <f>0.9/1.2</f>
        <v>0.75</v>
      </c>
      <c r="I1532" s="95">
        <f t="shared" si="56"/>
        <v>375</v>
      </c>
      <c r="J1532" s="95">
        <f t="shared" si="57"/>
        <v>450</v>
      </c>
      <c r="K1532" s="93">
        <f>IFERROR(VLOOKUP(E1532,'Inventaire des produits'!$B$4:$J$1000,5,FALSE),"")</f>
        <v>0</v>
      </c>
      <c r="L1532" s="301">
        <f>IFERROR(VLOOKUP(E1532,'Inventaire des produits'!$B$4:$J$1000,6,FALSE),"")</f>
        <v>0.6</v>
      </c>
      <c r="M1532" s="62"/>
    </row>
    <row r="1533" spans="2:13" x14ac:dyDescent="0.3">
      <c r="B1533" s="378" t="s">
        <v>1704</v>
      </c>
      <c r="C1533" s="55">
        <v>45552</v>
      </c>
      <c r="D1533" s="54" t="s">
        <v>1380</v>
      </c>
      <c r="E1533" s="235" t="s">
        <v>1311</v>
      </c>
      <c r="F1533" s="271" t="str">
        <f>IFERROR(VLOOKUP(E1533,'Inventaire des produits'!$B$4:$K$1000,2,0),"")</f>
        <v>POT CARTONIER BLANC 26OZ AVEC CVL</v>
      </c>
      <c r="G1533" s="273">
        <v>1500</v>
      </c>
      <c r="H1533" s="76">
        <v>2.4</v>
      </c>
      <c r="I1533" s="95">
        <f t="shared" si="56"/>
        <v>3600</v>
      </c>
      <c r="J1533" s="95">
        <f t="shared" si="57"/>
        <v>4320</v>
      </c>
      <c r="K1533" s="93">
        <f>IFERROR(VLOOKUP(E1533,'Inventaire des produits'!$B$4:$J$1000,5,FALSE),"")</f>
        <v>1000</v>
      </c>
      <c r="L1533" s="301">
        <f>IFERROR(VLOOKUP(E1533,'Inventaire des produits'!$B$4:$J$1000,6,FALSE),"")</f>
        <v>2</v>
      </c>
      <c r="M1533" s="62">
        <v>4320</v>
      </c>
    </row>
    <row r="1534" spans="2:13" x14ac:dyDescent="0.3">
      <c r="B1534" s="378" t="s">
        <v>1704</v>
      </c>
      <c r="C1534" s="340">
        <v>45552</v>
      </c>
      <c r="D1534" s="337" t="s">
        <v>1381</v>
      </c>
      <c r="E1534" s="235" t="s">
        <v>828</v>
      </c>
      <c r="F1534" s="274" t="str">
        <f>IFERROR(VLOOKUP(E1534,'Inventaire des produits'!$B$4:$K$1000,2,0),"")</f>
        <v>SAC PN BLANC 40*30</v>
      </c>
      <c r="G1534" s="54">
        <v>1000</v>
      </c>
      <c r="H1534" s="60">
        <v>0.50990000000000002</v>
      </c>
      <c r="I1534" s="275">
        <f t="shared" si="56"/>
        <v>509.90000000000003</v>
      </c>
      <c r="J1534" s="95">
        <f t="shared" si="57"/>
        <v>611.88</v>
      </c>
      <c r="K1534" s="93">
        <f>IFERROR(VLOOKUP(E1534,'Inventaire des produits'!$B$4:$J$1000,5,FALSE),"")</f>
        <v>0</v>
      </c>
      <c r="L1534" s="301">
        <f>IFERROR(VLOOKUP(E1534,'Inventaire des produits'!$B$4:$J$1000,6,FALSE),"")</f>
        <v>0.33333332999999998</v>
      </c>
      <c r="M1534" s="62">
        <f>SUM(J1534:J1538)</f>
        <v>2849.0039999999999</v>
      </c>
    </row>
    <row r="1535" spans="2:13" x14ac:dyDescent="0.3">
      <c r="B1535" s="378" t="s">
        <v>1704</v>
      </c>
      <c r="C1535" s="341"/>
      <c r="D1535" s="338"/>
      <c r="E1535" s="235" t="s">
        <v>1316</v>
      </c>
      <c r="F1535" s="274" t="str">
        <f>IFERROR(VLOOKUP(E1535,'Inventaire des produits'!$B$4:$K$1000,2,0),"")</f>
        <v>SAC PN BLANCE 40*45</v>
      </c>
      <c r="G1535" s="54">
        <v>500</v>
      </c>
      <c r="H1535" s="60">
        <v>0.58799999999999997</v>
      </c>
      <c r="I1535" s="275">
        <f t="shared" si="56"/>
        <v>294</v>
      </c>
      <c r="J1535" s="95">
        <f t="shared" si="57"/>
        <v>352.8</v>
      </c>
      <c r="K1535" s="93">
        <f>IFERROR(VLOOKUP(E1535,'Inventaire des produits'!$B$4:$J$1000,5,FALSE),"")</f>
        <v>5400</v>
      </c>
      <c r="L1535" s="301">
        <f>IFERROR(VLOOKUP(E1535,'Inventaire des produits'!$B$4:$J$1000,6,FALSE),"")</f>
        <v>0.41665999999999997</v>
      </c>
      <c r="M1535" s="62"/>
    </row>
    <row r="1536" spans="2:13" x14ac:dyDescent="0.3">
      <c r="B1536" s="378" t="s">
        <v>1704</v>
      </c>
      <c r="C1536" s="341"/>
      <c r="D1536" s="338"/>
      <c r="E1536" s="235" t="s">
        <v>1222</v>
      </c>
      <c r="F1536" s="274" t="str">
        <f>IFERROR(VLOOKUP(E1536,'Inventaire des produits'!$B$4:$K$1000,2,0),"")</f>
        <v>POT DE SAUCE 1OZ PROCLEAN</v>
      </c>
      <c r="G1536" s="54">
        <v>5100</v>
      </c>
      <c r="H1536" s="60">
        <v>0.1709</v>
      </c>
      <c r="I1536" s="275">
        <f t="shared" si="56"/>
        <v>871.59</v>
      </c>
      <c r="J1536" s="95">
        <f t="shared" si="57"/>
        <v>1045.9079999999999</v>
      </c>
      <c r="K1536" s="93">
        <f>IFERROR(VLOOKUP(E1536,'Inventaire des produits'!$B$4:$J$1000,5,FALSE),"")</f>
        <v>557100</v>
      </c>
      <c r="L1536" s="301">
        <f>IFERROR(VLOOKUP(E1536,'Inventaire des produits'!$B$4:$J$1000,6,FALSE),"")</f>
        <v>0.1167</v>
      </c>
      <c r="M1536" s="62"/>
    </row>
    <row r="1537" spans="2:13" x14ac:dyDescent="0.3">
      <c r="B1537" s="378" t="s">
        <v>1704</v>
      </c>
      <c r="C1537" s="341"/>
      <c r="D1537" s="338"/>
      <c r="E1537" s="235" t="s">
        <v>270</v>
      </c>
      <c r="F1537" s="274" t="str">
        <f>IFERROR(VLOOKUP(E1537,'Inventaire des produits'!$B$4:$K$1000,2,0),"")</f>
        <v>BOITE BURGER KRAFT 11,5*11,5*7 CARTON</v>
      </c>
      <c r="G1537" s="54">
        <v>400</v>
      </c>
      <c r="H1537" s="60">
        <v>0.873</v>
      </c>
      <c r="I1537" s="275">
        <f t="shared" si="56"/>
        <v>349.2</v>
      </c>
      <c r="J1537" s="95">
        <f t="shared" si="57"/>
        <v>419.03999999999996</v>
      </c>
      <c r="K1537" s="93">
        <f>IFERROR(VLOOKUP(E1537,'Inventaire des produits'!$B$4:$J$1000,5,FALSE),"")</f>
        <v>0</v>
      </c>
      <c r="L1537" s="301">
        <f>IFERROR(VLOOKUP(E1537,'Inventaire des produits'!$B$4:$J$1000,6,FALSE),"")</f>
        <v>0.83333333300000001</v>
      </c>
      <c r="M1537" s="62"/>
    </row>
    <row r="1538" spans="2:13" x14ac:dyDescent="0.3">
      <c r="B1538" s="378" t="s">
        <v>1704</v>
      </c>
      <c r="C1538" s="342"/>
      <c r="D1538" s="339"/>
      <c r="E1538" s="235" t="s">
        <v>962</v>
      </c>
      <c r="F1538" s="274" t="str">
        <f>IFERROR(VLOOKUP(E1538,'Inventaire des produits'!$B$4:$K$1000,2,0),"")</f>
        <v>BOITE BURGER KRAFT BONNE APPETIT 11,5*11,5*7 CARTON</v>
      </c>
      <c r="G1538" s="54">
        <v>400</v>
      </c>
      <c r="H1538" s="60">
        <v>0.87370000000000003</v>
      </c>
      <c r="I1538" s="275">
        <f t="shared" si="56"/>
        <v>349.48</v>
      </c>
      <c r="J1538" s="95">
        <f t="shared" si="57"/>
        <v>419.37600000000003</v>
      </c>
      <c r="K1538" s="93">
        <f>IFERROR(VLOOKUP(E1538,'Inventaire des produits'!$B$4:$J$1000,5,FALSE),"")</f>
        <v>0</v>
      </c>
      <c r="L1538" s="301">
        <f>IFERROR(VLOOKUP(E1538,'Inventaire des produits'!$B$4:$J$1000,6,FALSE),"")</f>
        <v>0.83333333333333304</v>
      </c>
      <c r="M1538" s="62"/>
    </row>
    <row r="1539" spans="2:13" x14ac:dyDescent="0.3">
      <c r="B1539" s="378" t="s">
        <v>1704</v>
      </c>
      <c r="C1539" s="340">
        <v>45553</v>
      </c>
      <c r="D1539" s="337" t="s">
        <v>1382</v>
      </c>
      <c r="E1539" s="235" t="s">
        <v>702</v>
      </c>
      <c r="F1539" s="274" t="str">
        <f>IFERROR(VLOOKUP(E1539,'Inventaire des produits'!$B$4:$K$1000,2,0),"")</f>
        <v>FOURCHETTE ECOLUXE NOIRE</v>
      </c>
      <c r="G1539" s="54">
        <v>12</v>
      </c>
      <c r="H1539" s="60">
        <v>23.333333333333336</v>
      </c>
      <c r="I1539" s="275">
        <f t="shared" si="56"/>
        <v>280</v>
      </c>
      <c r="J1539" s="95">
        <f t="shared" si="57"/>
        <v>336</v>
      </c>
      <c r="K1539" s="93">
        <f>IFERROR(VLOOKUP(E1539,'Inventaire des produits'!$B$4:$J$1000,5,FALSE),"")</f>
        <v>0</v>
      </c>
      <c r="L1539" s="301">
        <f>IFERROR(VLOOKUP(E1539,'Inventaire des produits'!$B$4:$J$1000,6,FALSE),"")</f>
        <v>17.5</v>
      </c>
      <c r="M1539" s="62">
        <f>SUM(J1539:J1542)</f>
        <v>815.27520000000004</v>
      </c>
    </row>
    <row r="1540" spans="2:13" x14ac:dyDescent="0.3">
      <c r="B1540" s="378" t="s">
        <v>1704</v>
      </c>
      <c r="C1540" s="341"/>
      <c r="D1540" s="338"/>
      <c r="E1540" s="235" t="s">
        <v>929</v>
      </c>
      <c r="F1540" s="274" t="str">
        <f>IFERROR(VLOOKUP(E1540,'Inventaire des produits'!$B$4:$K$1000,2,0),"")</f>
        <v xml:space="preserve">SERVIETTE DE TABLE </v>
      </c>
      <c r="G1540" s="54">
        <v>20</v>
      </c>
      <c r="H1540" s="60">
        <f>4.5/1.2</f>
        <v>3.75</v>
      </c>
      <c r="I1540" s="275">
        <f t="shared" si="56"/>
        <v>75</v>
      </c>
      <c r="J1540" s="95">
        <f t="shared" si="57"/>
        <v>90</v>
      </c>
      <c r="K1540" s="93">
        <f>IFERROR(VLOOKUP(E1540,'Inventaire des produits'!$B$4:$J$1000,5,FALSE),"")</f>
        <v>0</v>
      </c>
      <c r="L1540" s="301">
        <f>IFERROR(VLOOKUP(E1540,'Inventaire des produits'!$B$4:$J$1000,6,FALSE),"")</f>
        <v>2.9169999999999998</v>
      </c>
      <c r="M1540" s="62"/>
    </row>
    <row r="1541" spans="2:13" x14ac:dyDescent="0.3">
      <c r="B1541" s="378" t="s">
        <v>1704</v>
      </c>
      <c r="C1541" s="341"/>
      <c r="D1541" s="338"/>
      <c r="E1541" s="235" t="s">
        <v>206</v>
      </c>
      <c r="F1541" s="274" t="str">
        <f>IFERROR(VLOOKUP(E1541,'Inventaire des produits'!$B$4:$K$1000,2,0),"")</f>
        <v>ESSUIE MAIN 1KG LISSE</v>
      </c>
      <c r="G1541" s="54">
        <v>6</v>
      </c>
      <c r="H1541" s="60">
        <v>29.166</v>
      </c>
      <c r="I1541" s="275">
        <f t="shared" si="56"/>
        <v>174.99600000000001</v>
      </c>
      <c r="J1541" s="95">
        <f t="shared" si="57"/>
        <v>209.99520000000001</v>
      </c>
      <c r="K1541" s="93">
        <f>IFERROR(VLOOKUP(E1541,'Inventaire des produits'!$B$4:$J$1000,5,FALSE),"")</f>
        <v>0</v>
      </c>
      <c r="L1541" s="301">
        <f>IFERROR(VLOOKUP(E1541,'Inventaire des produits'!$B$4:$J$1000,6,FALSE),"")</f>
        <v>21.25</v>
      </c>
      <c r="M1541" s="62"/>
    </row>
    <row r="1542" spans="2:13" x14ac:dyDescent="0.3">
      <c r="B1542" s="378" t="s">
        <v>1704</v>
      </c>
      <c r="C1542" s="342"/>
      <c r="D1542" s="339"/>
      <c r="E1542" s="235" t="s">
        <v>1222</v>
      </c>
      <c r="F1542" s="274" t="str">
        <f>IFERROR(VLOOKUP(E1542,'Inventaire des produits'!$B$4:$K$1000,2,0),"")</f>
        <v>POT DE SAUCE 1OZ PROCLEAN</v>
      </c>
      <c r="G1542" s="54">
        <v>900</v>
      </c>
      <c r="H1542" s="60">
        <v>0.16600000000000001</v>
      </c>
      <c r="I1542" s="275">
        <f t="shared" si="56"/>
        <v>149.4</v>
      </c>
      <c r="J1542" s="95">
        <f t="shared" si="57"/>
        <v>179.28</v>
      </c>
      <c r="K1542" s="93">
        <f>IFERROR(VLOOKUP(E1542,'Inventaire des produits'!$B$4:$J$1000,5,FALSE),"")</f>
        <v>557100</v>
      </c>
      <c r="L1542" s="301">
        <f>IFERROR(VLOOKUP(E1542,'Inventaire des produits'!$B$4:$J$1000,6,FALSE),"")</f>
        <v>0.1167</v>
      </c>
      <c r="M1542" s="62"/>
    </row>
    <row r="1543" spans="2:13" x14ac:dyDescent="0.3">
      <c r="B1543" s="378" t="s">
        <v>1704</v>
      </c>
      <c r="C1543" s="340">
        <v>45553</v>
      </c>
      <c r="D1543" s="337" t="s">
        <v>1383</v>
      </c>
      <c r="E1543" s="234" t="s">
        <v>779</v>
      </c>
      <c r="F1543" s="274" t="str">
        <f>IFERROR(VLOOKUP(E1543,'Inventaire des produits'!$B$4:$K$1000,2,0),"")</f>
        <v>BARQUETTE ALUMINIUM 83420</v>
      </c>
      <c r="G1543" s="54">
        <v>800</v>
      </c>
      <c r="H1543" s="60">
        <v>0.47969000000000001</v>
      </c>
      <c r="I1543" s="275">
        <f t="shared" si="56"/>
        <v>383.75200000000001</v>
      </c>
      <c r="J1543" s="95">
        <f t="shared" si="57"/>
        <v>460.50239999999997</v>
      </c>
      <c r="K1543" s="93">
        <f>IFERROR(VLOOKUP(E1543,'Inventaire des produits'!$B$4:$J$1000,5,FALSE),"")</f>
        <v>0</v>
      </c>
      <c r="L1543" s="301">
        <f>IFERROR(VLOOKUP(E1543,'Inventaire des produits'!$B$4:$J$1000,6,FALSE),"")</f>
        <v>0.30833333330000001</v>
      </c>
      <c r="M1543" s="62">
        <f>SUM(J1543:J1547)</f>
        <v>1237.0023999999999</v>
      </c>
    </row>
    <row r="1544" spans="2:13" x14ac:dyDescent="0.3">
      <c r="B1544" s="378" t="s">
        <v>1704</v>
      </c>
      <c r="C1544" s="341"/>
      <c r="D1544" s="338"/>
      <c r="E1544" s="234" t="s">
        <v>869</v>
      </c>
      <c r="F1544" s="274" t="str">
        <f>IFERROR(VLOOKUP(E1544,'Inventaire des produits'!$B$4:$K$1000,2,0),"")</f>
        <v>PAILLE ENVELOPPEE CODE 100 TRANS</v>
      </c>
      <c r="G1544" s="54">
        <v>11</v>
      </c>
      <c r="H1544" s="60">
        <v>6.25</v>
      </c>
      <c r="I1544" s="275">
        <f t="shared" si="56"/>
        <v>68.75</v>
      </c>
      <c r="J1544" s="95">
        <f t="shared" si="57"/>
        <v>82.5</v>
      </c>
      <c r="K1544" s="93">
        <f>IFERROR(VLOOKUP(E1544,'Inventaire des produits'!$B$4:$J$1000,5,FALSE),"")</f>
        <v>898</v>
      </c>
      <c r="L1544" s="301">
        <f>IFERROR(VLOOKUP(E1544,'Inventaire des produits'!$B$4:$J$1000,6,FALSE),"")</f>
        <v>3.9166666659999998</v>
      </c>
      <c r="M1544" s="62"/>
    </row>
    <row r="1545" spans="2:13" x14ac:dyDescent="0.3">
      <c r="B1545" s="378" t="s">
        <v>1704</v>
      </c>
      <c r="C1545" s="341"/>
      <c r="D1545" s="338"/>
      <c r="E1545" s="234" t="s">
        <v>895</v>
      </c>
      <c r="F1545" s="274" t="str">
        <f>IFERROR(VLOOKUP(E1545,'Inventaire des produits'!$B$4:$K$1000,2,0),"")</f>
        <v>ROULEAU ALUMINIUM GOLDEN 200M</v>
      </c>
      <c r="G1545" s="54">
        <v>5</v>
      </c>
      <c r="H1545" s="60">
        <v>65</v>
      </c>
      <c r="I1545" s="275">
        <f t="shared" si="56"/>
        <v>325</v>
      </c>
      <c r="J1545" s="95">
        <f t="shared" si="57"/>
        <v>390</v>
      </c>
      <c r="K1545" s="93">
        <f>IFERROR(VLOOKUP(E1545,'Inventaire des produits'!$B$4:$J$1000,5,FALSE),"")</f>
        <v>0</v>
      </c>
      <c r="L1545" s="301">
        <f>IFERROR(VLOOKUP(E1545,'Inventaire des produits'!$B$4:$J$1000,6,FALSE),"")</f>
        <v>57.5</v>
      </c>
      <c r="M1545" s="62"/>
    </row>
    <row r="1546" spans="2:13" x14ac:dyDescent="0.3">
      <c r="B1546" s="378" t="s">
        <v>1704</v>
      </c>
      <c r="C1546" s="341"/>
      <c r="D1546" s="338"/>
      <c r="E1546" s="234" t="s">
        <v>1097</v>
      </c>
      <c r="F1546" s="274" t="str">
        <f>IFERROR(VLOOKUP(E1546,'Inventaire des produits'!$B$4:$K$1000,2,0),"")</f>
        <v>POT DE SAUCE EN PLAST TRANSP 20ML</v>
      </c>
      <c r="G1546" s="54">
        <v>200</v>
      </c>
      <c r="H1546" s="60">
        <v>6.6666666666666693E-2</v>
      </c>
      <c r="I1546" s="275">
        <f t="shared" si="56"/>
        <v>13.333333333333339</v>
      </c>
      <c r="J1546" s="95">
        <f t="shared" si="57"/>
        <v>16.000000000000007</v>
      </c>
      <c r="K1546" s="93">
        <f>IFERROR(VLOOKUP(E1546,'Inventaire des produits'!$B$4:$J$1000,5,FALSE),"")</f>
        <v>0</v>
      </c>
      <c r="L1546" s="301">
        <f>IFERROR(VLOOKUP(E1546,'Inventaire des produits'!$B$4:$J$1000,6,FALSE),"")</f>
        <v>8.9166666666666672E-2</v>
      </c>
      <c r="M1546" s="62"/>
    </row>
    <row r="1547" spans="2:13" x14ac:dyDescent="0.3">
      <c r="B1547" s="378" t="s">
        <v>1704</v>
      </c>
      <c r="C1547" s="342"/>
      <c r="D1547" s="339"/>
      <c r="E1547" s="234" t="s">
        <v>1190</v>
      </c>
      <c r="F1547" s="274" t="str">
        <f>IFERROR(VLOOKUP(E1547,'Inventaire des produits'!$B$4:$K$1000,2,0),"")</f>
        <v>GOBLET 12OZ EN PLAST TRANS SMART AVEC CVL PLAT</v>
      </c>
      <c r="G1547" s="54">
        <v>400</v>
      </c>
      <c r="H1547" s="60">
        <v>0.6</v>
      </c>
      <c r="I1547" s="275">
        <f t="shared" si="56"/>
        <v>240</v>
      </c>
      <c r="J1547" s="95">
        <f t="shared" si="57"/>
        <v>288</v>
      </c>
      <c r="K1547" s="93">
        <f>IFERROR(VLOOKUP(E1547,'Inventaire des produits'!$B$4:$J$1000,5,FALSE),"")</f>
        <v>0</v>
      </c>
      <c r="L1547" s="301">
        <f>IFERROR(VLOOKUP(E1547,'Inventaire des produits'!$B$4:$J$1000,6,FALSE),"")</f>
        <v>0.55555833333333338</v>
      </c>
      <c r="M1547" s="62"/>
    </row>
    <row r="1548" spans="2:13" x14ac:dyDescent="0.3">
      <c r="B1548" s="378" t="s">
        <v>1704</v>
      </c>
      <c r="C1548" s="340">
        <v>45554</v>
      </c>
      <c r="D1548" s="337" t="s">
        <v>1389</v>
      </c>
      <c r="E1548" s="234" t="s">
        <v>828</v>
      </c>
      <c r="F1548" s="274" t="str">
        <f>IFERROR(VLOOKUP(E1548,'Inventaire des produits'!$B$4:$K$1000,2,0),"")</f>
        <v>SAC PN BLANC 40*30</v>
      </c>
      <c r="G1548" s="54">
        <v>2000</v>
      </c>
      <c r="H1548" s="60">
        <v>0.50800000000000001</v>
      </c>
      <c r="I1548" s="275">
        <f t="shared" si="56"/>
        <v>1016</v>
      </c>
      <c r="J1548" s="95">
        <f t="shared" si="57"/>
        <v>1219.2</v>
      </c>
      <c r="K1548" s="93">
        <f>IFERROR(VLOOKUP(E1548,'Inventaire des produits'!$B$4:$J$1000,5,FALSE),"")</f>
        <v>0</v>
      </c>
      <c r="L1548" s="301">
        <f>IFERROR(VLOOKUP(E1548,'Inventaire des produits'!$B$4:$J$1000,6,FALSE),"")</f>
        <v>0.33333332999999998</v>
      </c>
      <c r="M1548" s="62">
        <f>SUM(J1548:J1556)</f>
        <v>12900.000199999997</v>
      </c>
    </row>
    <row r="1549" spans="2:13" x14ac:dyDescent="0.3">
      <c r="B1549" s="378" t="s">
        <v>1704</v>
      </c>
      <c r="C1549" s="341"/>
      <c r="D1549" s="338"/>
      <c r="E1549" s="234" t="s">
        <v>501</v>
      </c>
      <c r="F1549" s="274" t="str">
        <f>IFERROR(VLOOKUP(E1549,'Inventaire des produits'!$B$4:$K$1000,2,0),"")</f>
        <v>BARQUETTE ALUMINIUM 83420</v>
      </c>
      <c r="G1549" s="54">
        <v>2000</v>
      </c>
      <c r="H1549" s="60">
        <v>0.45833333333333298</v>
      </c>
      <c r="I1549" s="275">
        <f t="shared" si="56"/>
        <v>916.66666666666595</v>
      </c>
      <c r="J1549" s="95">
        <f t="shared" si="57"/>
        <v>1099.9999999999991</v>
      </c>
      <c r="K1549" s="93">
        <f>IFERROR(VLOOKUP(E1549,'Inventaire des produits'!$B$4:$J$1000,5,FALSE),"")</f>
        <v>10000</v>
      </c>
      <c r="L1549" s="301">
        <f>IFERROR(VLOOKUP(E1549,'Inventaire des produits'!$B$4:$J$1000,6,FALSE),"")</f>
        <v>0.31666666669999999</v>
      </c>
      <c r="M1549" s="62"/>
    </row>
    <row r="1550" spans="2:13" x14ac:dyDescent="0.3">
      <c r="B1550" s="378" t="s">
        <v>1704</v>
      </c>
      <c r="C1550" s="341"/>
      <c r="D1550" s="338"/>
      <c r="E1550" s="234" t="s">
        <v>206</v>
      </c>
      <c r="F1550" s="274" t="str">
        <f>IFERROR(VLOOKUP(E1550,'Inventaire des produits'!$B$4:$K$1000,2,0),"")</f>
        <v>ESSUIE MAIN 1KG LISSE</v>
      </c>
      <c r="G1550" s="54">
        <v>40</v>
      </c>
      <c r="H1550" s="60">
        <v>28.8</v>
      </c>
      <c r="I1550" s="275">
        <f t="shared" si="56"/>
        <v>1152</v>
      </c>
      <c r="J1550" s="95">
        <f t="shared" si="57"/>
        <v>1382.3999999999999</v>
      </c>
      <c r="K1550" s="93">
        <f>IFERROR(VLOOKUP(E1550,'Inventaire des produits'!$B$4:$J$1000,5,FALSE),"")</f>
        <v>0</v>
      </c>
      <c r="L1550" s="301">
        <f>IFERROR(VLOOKUP(E1550,'Inventaire des produits'!$B$4:$J$1000,6,FALSE),"")</f>
        <v>21.25</v>
      </c>
      <c r="M1550" s="62"/>
    </row>
    <row r="1551" spans="2:13" x14ac:dyDescent="0.3">
      <c r="B1551" s="378" t="s">
        <v>1704</v>
      </c>
      <c r="C1551" s="341"/>
      <c r="D1551" s="338"/>
      <c r="E1551" s="234" t="s">
        <v>895</v>
      </c>
      <c r="F1551" s="274" t="str">
        <f>IFERROR(VLOOKUP(E1551,'Inventaire des produits'!$B$4:$K$1000,2,0),"")</f>
        <v>ROULEAU ALUMINIUM GOLDEN 200M</v>
      </c>
      <c r="G1551" s="54">
        <v>30</v>
      </c>
      <c r="H1551" s="60">
        <v>67</v>
      </c>
      <c r="I1551" s="275">
        <f t="shared" si="56"/>
        <v>2010</v>
      </c>
      <c r="J1551" s="95">
        <f t="shared" si="57"/>
        <v>2412</v>
      </c>
      <c r="K1551" s="93">
        <f>IFERROR(VLOOKUP(E1551,'Inventaire des produits'!$B$4:$J$1000,5,FALSE),"")</f>
        <v>0</v>
      </c>
      <c r="L1551" s="301">
        <f>IFERROR(VLOOKUP(E1551,'Inventaire des produits'!$B$4:$J$1000,6,FALSE),"")</f>
        <v>57.5</v>
      </c>
      <c r="M1551" s="62"/>
    </row>
    <row r="1552" spans="2:13" x14ac:dyDescent="0.3">
      <c r="B1552" s="378" t="s">
        <v>1704</v>
      </c>
      <c r="C1552" s="341"/>
      <c r="D1552" s="338"/>
      <c r="E1552" s="234" t="s">
        <v>929</v>
      </c>
      <c r="F1552" s="274" t="str">
        <f>IFERROR(VLOOKUP(E1552,'Inventaire des produits'!$B$4:$K$1000,2,0),"")</f>
        <v xml:space="preserve">SERVIETTE DE TABLE </v>
      </c>
      <c r="G1552" s="54">
        <v>180</v>
      </c>
      <c r="H1552" s="60">
        <v>3.75</v>
      </c>
      <c r="I1552" s="275">
        <f t="shared" si="56"/>
        <v>675</v>
      </c>
      <c r="J1552" s="95">
        <f t="shared" si="57"/>
        <v>810</v>
      </c>
      <c r="K1552" s="93">
        <f>IFERROR(VLOOKUP(E1552,'Inventaire des produits'!$B$4:$J$1000,5,FALSE),"")</f>
        <v>0</v>
      </c>
      <c r="L1552" s="301">
        <f>IFERROR(VLOOKUP(E1552,'Inventaire des produits'!$B$4:$J$1000,6,FALSE),"")</f>
        <v>2.9169999999999998</v>
      </c>
      <c r="M1552" s="62"/>
    </row>
    <row r="1553" spans="2:13" x14ac:dyDescent="0.3">
      <c r="B1553" s="378" t="s">
        <v>1704</v>
      </c>
      <c r="C1553" s="341"/>
      <c r="D1553" s="338"/>
      <c r="E1553" s="234" t="s">
        <v>1184</v>
      </c>
      <c r="F1553" s="274" t="str">
        <f>IFERROR(VLOOKUP(E1553,'Inventaire des produits'!$B$4:$K$1000,2,0),"")</f>
        <v>COQUILLE MEAL BOX 2 COMP BLANC</v>
      </c>
      <c r="G1553" s="54">
        <v>2400</v>
      </c>
      <c r="H1553" s="60">
        <v>1.25</v>
      </c>
      <c r="I1553" s="275">
        <f t="shared" si="56"/>
        <v>3000</v>
      </c>
      <c r="J1553" s="95">
        <f t="shared" si="57"/>
        <v>3600</v>
      </c>
      <c r="K1553" s="93">
        <f>IFERROR(VLOOKUP(E1553,'Inventaire des produits'!$B$4:$J$1000,5,FALSE),"")</f>
        <v>5800</v>
      </c>
      <c r="L1553" s="301">
        <f>IFERROR(VLOOKUP(E1553,'Inventaire des produits'!$B$4:$J$1000,6,FALSE),"")</f>
        <v>0.79166666666666663</v>
      </c>
      <c r="M1553" s="62"/>
    </row>
    <row r="1554" spans="2:13" x14ac:dyDescent="0.3">
      <c r="B1554" s="378" t="s">
        <v>1704</v>
      </c>
      <c r="C1554" s="341"/>
      <c r="D1554" s="338"/>
      <c r="E1554" s="234" t="s">
        <v>751</v>
      </c>
      <c r="F1554" s="274" t="str">
        <f>IFERROR(VLOOKUP(E1554,'Inventaire des produits'!$B$4:$K$1000,2,0),"")</f>
        <v>BOL SALADE BLANC 500CC</v>
      </c>
      <c r="G1554" s="54">
        <v>400</v>
      </c>
      <c r="H1554" s="60">
        <v>1.45</v>
      </c>
      <c r="I1554" s="275">
        <f t="shared" si="56"/>
        <v>580</v>
      </c>
      <c r="J1554" s="95">
        <f t="shared" si="57"/>
        <v>696</v>
      </c>
      <c r="K1554" s="93">
        <f>IFERROR(VLOOKUP(E1554,'Inventaire des produits'!$B$4:$J$1000,5,FALSE),"")</f>
        <v>0</v>
      </c>
      <c r="L1554" s="301">
        <f>IFERROR(VLOOKUP(E1554,'Inventaire des produits'!$B$4:$J$1000,6,FALSE),"")</f>
        <v>1.2916666666000001</v>
      </c>
      <c r="M1554" s="62"/>
    </row>
    <row r="1555" spans="2:13" x14ac:dyDescent="0.3">
      <c r="B1555" s="378" t="s">
        <v>1704</v>
      </c>
      <c r="C1555" s="341"/>
      <c r="D1555" s="338"/>
      <c r="E1555" s="234" t="s">
        <v>201</v>
      </c>
      <c r="F1555" s="274" t="str">
        <f>IFERROR(VLOOKUP(E1555,'Inventaire des produits'!$B$4:$K$1000,2,0),"")</f>
        <v>COQUILLE HAMBURGER BOX LARGE HB6</v>
      </c>
      <c r="G1555" s="54">
        <v>900</v>
      </c>
      <c r="H1555" s="60">
        <v>0.83951500000000001</v>
      </c>
      <c r="I1555" s="275">
        <f t="shared" si="56"/>
        <v>755.56349999999998</v>
      </c>
      <c r="J1555" s="95">
        <f t="shared" si="57"/>
        <v>906.67619999999999</v>
      </c>
      <c r="K1555" s="93">
        <f>IFERROR(VLOOKUP(E1555,'Inventaire des produits'!$B$4:$J$1000,5,FALSE),"")</f>
        <v>0</v>
      </c>
      <c r="L1555" s="301">
        <f>IFERROR(VLOOKUP(E1555,'Inventaire des produits'!$B$4:$J$1000,6,FALSE),"")</f>
        <v>0.66666666669999997</v>
      </c>
      <c r="M1555" s="62"/>
    </row>
    <row r="1556" spans="2:13" x14ac:dyDescent="0.3">
      <c r="B1556" s="378" t="s">
        <v>1704</v>
      </c>
      <c r="C1556" s="342"/>
      <c r="D1556" s="339"/>
      <c r="E1556" s="234" t="s">
        <v>862</v>
      </c>
      <c r="F1556" s="274" t="str">
        <f>IFERROR(VLOOKUP(E1556,'Inventaire des produits'!$B$4:$K$1000,2,0),"")</f>
        <v>BARQUETTE MICRON ONDABLE 3 COMP AVEC CVL</v>
      </c>
      <c r="G1556" s="54">
        <v>300</v>
      </c>
      <c r="H1556" s="60">
        <v>2.14923333333333</v>
      </c>
      <c r="I1556" s="275">
        <f t="shared" ref="I1556:I1619" si="64">IF(OR(G1556="",H1556=""),"",G1556*H1556)</f>
        <v>644.76999999999896</v>
      </c>
      <c r="J1556" s="95">
        <f t="shared" ref="J1556:J1619" si="65">IF(OR(I1556=""),"",I1556*1.2)</f>
        <v>773.72399999999868</v>
      </c>
      <c r="K1556" s="93">
        <f>IFERROR(VLOOKUP(E1556,'Inventaire des produits'!$B$4:$J$1000,5,FALSE),"")</f>
        <v>0</v>
      </c>
      <c r="L1556" s="301">
        <f>IFERROR(VLOOKUP(E1556,'Inventaire des produits'!$B$4:$J$1000,6,FALSE),"")</f>
        <v>1.5833333332999999</v>
      </c>
      <c r="M1556" s="62"/>
    </row>
    <row r="1557" spans="2:13" x14ac:dyDescent="0.3">
      <c r="B1557" s="378" t="s">
        <v>1704</v>
      </c>
      <c r="C1557" s="340">
        <v>45555</v>
      </c>
      <c r="D1557" s="337" t="s">
        <v>1392</v>
      </c>
      <c r="E1557" s="234" t="s">
        <v>1105</v>
      </c>
      <c r="F1557" s="274" t="str">
        <f>IFERROR(VLOOKUP(E1557,'Inventaire des produits'!$B$4:$K$1000,2,0),"")</f>
        <v>BARQUETTE TRAITEUR 750CC MICRON ONDABLE TRANS</v>
      </c>
      <c r="G1557" s="54">
        <v>250</v>
      </c>
      <c r="H1557" s="60">
        <v>1.58</v>
      </c>
      <c r="I1557" s="275">
        <f t="shared" si="64"/>
        <v>395</v>
      </c>
      <c r="J1557" s="95">
        <f t="shared" si="65"/>
        <v>474</v>
      </c>
      <c r="K1557" s="93">
        <f>IFERROR(VLOOKUP(E1557,'Inventaire des produits'!$B$4:$J$1000,5,FALSE),"")</f>
        <v>0</v>
      </c>
      <c r="L1557" s="301">
        <f>IFERROR(VLOOKUP(E1557,'Inventaire des produits'!$B$4:$J$1000,6,FALSE),"")</f>
        <v>1.0508333333333333</v>
      </c>
      <c r="M1557" s="62">
        <f>SUM(J1557:J1563)</f>
        <v>3180.0020399999999</v>
      </c>
    </row>
    <row r="1558" spans="2:13" x14ac:dyDescent="0.3">
      <c r="B1558" s="378" t="s">
        <v>1704</v>
      </c>
      <c r="C1558" s="341"/>
      <c r="D1558" s="338"/>
      <c r="E1558" s="234" t="s">
        <v>299</v>
      </c>
      <c r="F1558" s="274" t="str">
        <f>IFERROR(VLOOKUP(E1558,'Inventaire des produits'!$B$4:$K$1000,2,0),"")</f>
        <v>BOITE CARRE 500</v>
      </c>
      <c r="G1558" s="54">
        <v>300</v>
      </c>
      <c r="H1558" s="60">
        <v>0.43802000000000002</v>
      </c>
      <c r="I1558" s="275">
        <f t="shared" si="64"/>
        <v>131.40600000000001</v>
      </c>
      <c r="J1558" s="95">
        <f t="shared" si="65"/>
        <v>157.68719999999999</v>
      </c>
      <c r="K1558" s="93">
        <f>IFERROR(VLOOKUP(E1558,'Inventaire des produits'!$B$4:$J$1000,5,FALSE),"")</f>
        <v>0</v>
      </c>
      <c r="L1558" s="301">
        <f>IFERROR(VLOOKUP(E1558,'Inventaire des produits'!$B$4:$J$1000,6,FALSE),"")</f>
        <v>0.3</v>
      </c>
      <c r="M1558" s="62"/>
    </row>
    <row r="1559" spans="2:13" x14ac:dyDescent="0.3">
      <c r="B1559" s="378" t="s">
        <v>1704</v>
      </c>
      <c r="C1559" s="341"/>
      <c r="D1559" s="338"/>
      <c r="E1559" s="234" t="s">
        <v>148</v>
      </c>
      <c r="F1559" s="274" t="str">
        <f>IFERROR(VLOOKUP(E1559,'Inventaire des produits'!$B$4:$K$1000,2,0),"")</f>
        <v>BARQUETTE SUSHI ST1 160*91*20</v>
      </c>
      <c r="G1559" s="54">
        <v>300</v>
      </c>
      <c r="H1559" s="60">
        <v>0.84</v>
      </c>
      <c r="I1559" s="275">
        <f t="shared" si="64"/>
        <v>252</v>
      </c>
      <c r="J1559" s="95">
        <f t="shared" si="65"/>
        <v>302.39999999999998</v>
      </c>
      <c r="K1559" s="93">
        <f>IFERROR(VLOOKUP(E1559,'Inventaire des produits'!$B$4:$J$1000,5,FALSE),"")</f>
        <v>0</v>
      </c>
      <c r="L1559" s="301">
        <f>IFERROR(VLOOKUP(E1559,'Inventaire des produits'!$B$4:$J$1000,6,FALSE),"")</f>
        <v>0.75833333329999997</v>
      </c>
      <c r="M1559" s="62"/>
    </row>
    <row r="1560" spans="2:13" x14ac:dyDescent="0.3">
      <c r="B1560" s="378" t="s">
        <v>1704</v>
      </c>
      <c r="C1560" s="341"/>
      <c r="D1560" s="338"/>
      <c r="E1560" s="234" t="s">
        <v>955</v>
      </c>
      <c r="F1560" s="274" t="str">
        <f>IFERROR(VLOOKUP(E1560,'Inventaire des produits'!$B$4:$K$1000,2,0),"")</f>
        <v>BOX NOUILLE ET PATE 32OZ BLANC</v>
      </c>
      <c r="G1560" s="54">
        <v>400</v>
      </c>
      <c r="H1560" s="60">
        <v>2.2949999999999999</v>
      </c>
      <c r="I1560" s="275">
        <f t="shared" si="64"/>
        <v>918</v>
      </c>
      <c r="J1560" s="95">
        <f t="shared" si="65"/>
        <v>1101.5999999999999</v>
      </c>
      <c r="K1560" s="93">
        <f>IFERROR(VLOOKUP(E1560,'Inventaire des produits'!$B$4:$J$1000,5,FALSE),"")</f>
        <v>0</v>
      </c>
      <c r="L1560" s="301">
        <f>IFERROR(VLOOKUP(E1560,'Inventaire des produits'!$B$4:$J$1000,6,FALSE),"")</f>
        <v>1.125</v>
      </c>
      <c r="M1560" s="62"/>
    </row>
    <row r="1561" spans="2:13" x14ac:dyDescent="0.3">
      <c r="B1561" s="378" t="s">
        <v>1704</v>
      </c>
      <c r="C1561" s="341"/>
      <c r="D1561" s="338"/>
      <c r="E1561" s="234" t="s">
        <v>206</v>
      </c>
      <c r="F1561" s="274" t="str">
        <f>IFERROR(VLOOKUP(E1561,'Inventaire des produits'!$B$4:$K$1000,2,0),"")</f>
        <v>ESSUIE MAIN 1KG LISSE</v>
      </c>
      <c r="G1561" s="54">
        <v>9</v>
      </c>
      <c r="H1561" s="60">
        <v>29.119299999999999</v>
      </c>
      <c r="I1561" s="275">
        <f t="shared" si="64"/>
        <v>262.07369999999997</v>
      </c>
      <c r="J1561" s="95">
        <f t="shared" si="65"/>
        <v>314.48843999999997</v>
      </c>
      <c r="K1561" s="93">
        <f>IFERROR(VLOOKUP(E1561,'Inventaire des produits'!$B$4:$J$1000,5,FALSE),"")</f>
        <v>0</v>
      </c>
      <c r="L1561" s="301">
        <f>IFERROR(VLOOKUP(E1561,'Inventaire des produits'!$B$4:$J$1000,6,FALSE),"")</f>
        <v>21.25</v>
      </c>
      <c r="M1561" s="62"/>
    </row>
    <row r="1562" spans="2:13" x14ac:dyDescent="0.3">
      <c r="B1562" s="378" t="s">
        <v>1704</v>
      </c>
      <c r="C1562" s="341"/>
      <c r="D1562" s="338"/>
      <c r="E1562" s="234" t="s">
        <v>929</v>
      </c>
      <c r="F1562" s="274" t="str">
        <f>IFERROR(VLOOKUP(E1562,'Inventaire des produits'!$B$4:$K$1000,2,0),"")</f>
        <v xml:space="preserve">SERVIETTE DE TABLE </v>
      </c>
      <c r="G1562" s="54">
        <v>60</v>
      </c>
      <c r="H1562" s="60">
        <v>3.75</v>
      </c>
      <c r="I1562" s="275">
        <f t="shared" si="64"/>
        <v>225</v>
      </c>
      <c r="J1562" s="95">
        <f t="shared" si="65"/>
        <v>270</v>
      </c>
      <c r="K1562" s="93">
        <f>IFERROR(VLOOKUP(E1562,'Inventaire des produits'!$B$4:$J$1000,5,FALSE),"")</f>
        <v>0</v>
      </c>
      <c r="L1562" s="301">
        <f>IFERROR(VLOOKUP(E1562,'Inventaire des produits'!$B$4:$J$1000,6,FALSE),"")</f>
        <v>2.9169999999999998</v>
      </c>
      <c r="M1562" s="62"/>
    </row>
    <row r="1563" spans="2:13" x14ac:dyDescent="0.3">
      <c r="B1563" s="378" t="s">
        <v>1704</v>
      </c>
      <c r="C1563" s="342"/>
      <c r="D1563" s="339"/>
      <c r="E1563" s="234" t="s">
        <v>895</v>
      </c>
      <c r="F1563" s="274" t="str">
        <f>IFERROR(VLOOKUP(E1563,'Inventaire des produits'!$B$4:$K$1000,2,0),"")</f>
        <v>ROULEAU ALUMINIUM GOLDEN 200M</v>
      </c>
      <c r="G1563" s="54">
        <v>7</v>
      </c>
      <c r="H1563" s="60">
        <v>66.646000000000001</v>
      </c>
      <c r="I1563" s="275">
        <f t="shared" si="64"/>
        <v>466.52199999999999</v>
      </c>
      <c r="J1563" s="95">
        <f t="shared" si="65"/>
        <v>559.82639999999992</v>
      </c>
      <c r="K1563" s="93">
        <f>IFERROR(VLOOKUP(E1563,'Inventaire des produits'!$B$4:$J$1000,5,FALSE),"")</f>
        <v>0</v>
      </c>
      <c r="L1563" s="301">
        <f>IFERROR(VLOOKUP(E1563,'Inventaire des produits'!$B$4:$J$1000,6,FALSE),"")</f>
        <v>57.5</v>
      </c>
      <c r="M1563" s="62"/>
    </row>
    <row r="1564" spans="2:13" x14ac:dyDescent="0.3">
      <c r="B1564" s="378" t="s">
        <v>1704</v>
      </c>
      <c r="C1564" s="340">
        <v>45558</v>
      </c>
      <c r="D1564" s="337" t="s">
        <v>1436</v>
      </c>
      <c r="E1564" s="234" t="s">
        <v>828</v>
      </c>
      <c r="F1564" s="274" t="str">
        <f>IFERROR(VLOOKUP(E1564,'Inventaire des produits'!$B$4:$K$1000,2,0),"")</f>
        <v>SAC PN BLANC 40*30</v>
      </c>
      <c r="G1564" s="54">
        <v>2000</v>
      </c>
      <c r="H1564" s="60">
        <v>0.50800000000000001</v>
      </c>
      <c r="I1564" s="275">
        <f t="shared" si="64"/>
        <v>1016</v>
      </c>
      <c r="J1564" s="95">
        <f t="shared" si="65"/>
        <v>1219.2</v>
      </c>
      <c r="K1564" s="93">
        <f>IFERROR(VLOOKUP(E1564,'Inventaire des produits'!$B$4:$J$1000,5,FALSE),"")</f>
        <v>0</v>
      </c>
      <c r="L1564" s="301">
        <f>IFERROR(VLOOKUP(E1564,'Inventaire des produits'!$B$4:$J$1000,6,FALSE),"")</f>
        <v>0.33333332999999998</v>
      </c>
      <c r="M1564" s="62">
        <f>SUM(J1564:J1573)</f>
        <v>15300.001999999999</v>
      </c>
    </row>
    <row r="1565" spans="2:13" x14ac:dyDescent="0.3">
      <c r="B1565" s="378" t="s">
        <v>1704</v>
      </c>
      <c r="C1565" s="341"/>
      <c r="D1565" s="338"/>
      <c r="E1565" s="234" t="s">
        <v>501</v>
      </c>
      <c r="F1565" s="274" t="str">
        <f>IFERROR(VLOOKUP(E1565,'Inventaire des produits'!$B$4:$K$1000,2,0),"")</f>
        <v>BARQUETTE ALUMINIUM 83420</v>
      </c>
      <c r="G1565" s="54">
        <v>3000</v>
      </c>
      <c r="H1565" s="60">
        <v>0.45833333333333298</v>
      </c>
      <c r="I1565" s="275">
        <f t="shared" si="64"/>
        <v>1374.9999999999989</v>
      </c>
      <c r="J1565" s="95">
        <f t="shared" si="65"/>
        <v>1649.9999999999986</v>
      </c>
      <c r="K1565" s="93">
        <f>IFERROR(VLOOKUP(E1565,'Inventaire des produits'!$B$4:$J$1000,5,FALSE),"")</f>
        <v>10000</v>
      </c>
      <c r="L1565" s="301">
        <f>IFERROR(VLOOKUP(E1565,'Inventaire des produits'!$B$4:$J$1000,6,FALSE),"")</f>
        <v>0.31666666669999999</v>
      </c>
      <c r="M1565" s="62"/>
    </row>
    <row r="1566" spans="2:13" x14ac:dyDescent="0.3">
      <c r="B1566" s="378" t="s">
        <v>1704</v>
      </c>
      <c r="C1566" s="341"/>
      <c r="D1566" s="338"/>
      <c r="E1566" s="234" t="s">
        <v>929</v>
      </c>
      <c r="F1566" s="274" t="str">
        <f>IFERROR(VLOOKUP(E1566,'Inventaire des produits'!$B$4:$K$1000,2,0),"")</f>
        <v xml:space="preserve">SERVIETTE DE TABLE </v>
      </c>
      <c r="G1566" s="54">
        <v>300</v>
      </c>
      <c r="H1566" s="60">
        <v>3.75</v>
      </c>
      <c r="I1566" s="275">
        <f t="shared" si="64"/>
        <v>1125</v>
      </c>
      <c r="J1566" s="95">
        <f t="shared" si="65"/>
        <v>1350</v>
      </c>
      <c r="K1566" s="93">
        <f>IFERROR(VLOOKUP(E1566,'Inventaire des produits'!$B$4:$J$1000,5,FALSE),"")</f>
        <v>0</v>
      </c>
      <c r="L1566" s="301">
        <f>IFERROR(VLOOKUP(E1566,'Inventaire des produits'!$B$4:$J$1000,6,FALSE),"")</f>
        <v>2.9169999999999998</v>
      </c>
      <c r="M1566" s="62"/>
    </row>
    <row r="1567" spans="2:13" x14ac:dyDescent="0.3">
      <c r="B1567" s="378" t="s">
        <v>1704</v>
      </c>
      <c r="C1567" s="341"/>
      <c r="D1567" s="338"/>
      <c r="E1567" s="234" t="s">
        <v>1184</v>
      </c>
      <c r="F1567" s="274" t="str">
        <f>IFERROR(VLOOKUP(E1567,'Inventaire des produits'!$B$4:$K$1000,2,0),"")</f>
        <v>COQUILLE MEAL BOX 2 COMP BLANC</v>
      </c>
      <c r="G1567" s="54">
        <v>2800</v>
      </c>
      <c r="H1567" s="60">
        <v>1.25</v>
      </c>
      <c r="I1567" s="275">
        <f t="shared" si="64"/>
        <v>3500</v>
      </c>
      <c r="J1567" s="95">
        <f t="shared" si="65"/>
        <v>4200</v>
      </c>
      <c r="K1567" s="93">
        <f>IFERROR(VLOOKUP(E1567,'Inventaire des produits'!$B$4:$J$1000,5,FALSE),"")</f>
        <v>5800</v>
      </c>
      <c r="L1567" s="301">
        <f>IFERROR(VLOOKUP(E1567,'Inventaire des produits'!$B$4:$J$1000,6,FALSE),"")</f>
        <v>0.79166666666666663</v>
      </c>
      <c r="M1567" s="62"/>
    </row>
    <row r="1568" spans="2:13" x14ac:dyDescent="0.3">
      <c r="B1568" s="378" t="s">
        <v>1704</v>
      </c>
      <c r="C1568" s="341"/>
      <c r="D1568" s="338"/>
      <c r="E1568" s="234" t="s">
        <v>1303</v>
      </c>
      <c r="F1568" s="274" t="str">
        <f>IFERROR(VLOOKUP(E1568,'Inventaire des produits'!$B$4:$K$1000,2,0),"")</f>
        <v>BARQUETTE ALUMINIUM 83670</v>
      </c>
      <c r="G1568" s="54">
        <v>3000</v>
      </c>
      <c r="H1568" s="60">
        <v>0.75044500000000003</v>
      </c>
      <c r="I1568" s="275">
        <f t="shared" si="64"/>
        <v>2251.335</v>
      </c>
      <c r="J1568" s="95">
        <f t="shared" si="65"/>
        <v>2701.6019999999999</v>
      </c>
      <c r="K1568" s="93">
        <f>IFERROR(VLOOKUP(E1568,'Inventaire des produits'!$B$4:$J$1000,5,FALSE),"")</f>
        <v>200</v>
      </c>
      <c r="L1568" s="301">
        <f>IFERROR(VLOOKUP(E1568,'Inventaire des produits'!$B$4:$J$1000,6,FALSE),"")</f>
        <v>0.51666666666666672</v>
      </c>
      <c r="M1568" s="62"/>
    </row>
    <row r="1569" spans="2:13" x14ac:dyDescent="0.3">
      <c r="B1569" s="378" t="s">
        <v>1704</v>
      </c>
      <c r="C1569" s="341"/>
      <c r="D1569" s="338"/>
      <c r="E1569" s="234" t="s">
        <v>778</v>
      </c>
      <c r="F1569" s="274" t="str">
        <f>IFERROR(VLOOKUP(E1569,'Inventaire des produits'!$B$4:$K$1000,2,0),"")</f>
        <v>POT DE SAUCE EN PLAST TRANSP 20ML</v>
      </c>
      <c r="G1569" s="54">
        <v>3000</v>
      </c>
      <c r="H1569" s="60">
        <v>6.6666666666666693E-2</v>
      </c>
      <c r="I1569" s="275">
        <f t="shared" si="64"/>
        <v>200.00000000000009</v>
      </c>
      <c r="J1569" s="95">
        <f t="shared" si="65"/>
        <v>240.00000000000009</v>
      </c>
      <c r="K1569" s="93">
        <f>IFERROR(VLOOKUP(E1569,'Inventaire des produits'!$B$4:$J$1000,5,FALSE),"")</f>
        <v>0</v>
      </c>
      <c r="L1569" s="301">
        <f>IFERROR(VLOOKUP(E1569,'Inventaire des produits'!$B$4:$J$1000,6,FALSE),"")</f>
        <v>8.3333333300000006E-2</v>
      </c>
      <c r="M1569" s="62"/>
    </row>
    <row r="1570" spans="2:13" x14ac:dyDescent="0.3">
      <c r="B1570" s="378" t="s">
        <v>1704</v>
      </c>
      <c r="C1570" s="341"/>
      <c r="D1570" s="338"/>
      <c r="E1570" s="234" t="s">
        <v>1278</v>
      </c>
      <c r="F1570" s="274" t="str">
        <f>IFERROR(VLOOKUP(E1570,'Inventaire des produits'!$B$4:$K$1000,2,0),"")</f>
        <v>CUILLERE JETABLE ECO BLANCHE 100U</v>
      </c>
      <c r="G1570" s="54">
        <v>24</v>
      </c>
      <c r="H1570" s="60">
        <v>9.5</v>
      </c>
      <c r="I1570" s="275">
        <f t="shared" si="64"/>
        <v>228</v>
      </c>
      <c r="J1570" s="95">
        <f t="shared" si="65"/>
        <v>273.59999999999997</v>
      </c>
      <c r="K1570" s="93">
        <f>IFERROR(VLOOKUP(E1570,'Inventaire des produits'!$B$4:$J$1000,5,FALSE),"")</f>
        <v>0</v>
      </c>
      <c r="L1570" s="301">
        <f>IFERROR(VLOOKUP(E1570,'Inventaire des produits'!$B$4:$J$1000,6,FALSE),"")</f>
        <v>6.5834000000000001</v>
      </c>
      <c r="M1570" s="62"/>
    </row>
    <row r="1571" spans="2:13" x14ac:dyDescent="0.3">
      <c r="B1571" s="378" t="s">
        <v>1704</v>
      </c>
      <c r="C1571" s="341"/>
      <c r="D1571" s="338"/>
      <c r="E1571" s="234" t="s">
        <v>252</v>
      </c>
      <c r="F1571" s="274" t="str">
        <f>IFERROR(VLOOKUP(E1571,'Inventaire des produits'!$B$4:$K$1000,2,0),"")</f>
        <v>ESSUIE MAIN GKEM1KG</v>
      </c>
      <c r="G1571" s="54">
        <v>30</v>
      </c>
      <c r="H1571" s="60">
        <v>28.8</v>
      </c>
      <c r="I1571" s="275">
        <f t="shared" si="64"/>
        <v>864</v>
      </c>
      <c r="J1571" s="95">
        <f t="shared" si="65"/>
        <v>1036.8</v>
      </c>
      <c r="K1571" s="93">
        <f>IFERROR(VLOOKUP(E1571,'Inventaire des produits'!$B$4:$J$1000,5,FALSE),"")</f>
        <v>0</v>
      </c>
      <c r="L1571" s="301">
        <f>IFERROR(VLOOKUP(E1571,'Inventaire des produits'!$B$4:$J$1000,6,FALSE),"")</f>
        <v>20.83</v>
      </c>
      <c r="M1571" s="62"/>
    </row>
    <row r="1572" spans="2:13" x14ac:dyDescent="0.3">
      <c r="B1572" s="378" t="s">
        <v>1704</v>
      </c>
      <c r="C1572" s="341"/>
      <c r="D1572" s="338"/>
      <c r="E1572" s="234" t="s">
        <v>895</v>
      </c>
      <c r="F1572" s="274" t="str">
        <f>IFERROR(VLOOKUP(E1572,'Inventaire des produits'!$B$4:$K$1000,2,0),"")</f>
        <v>ROULEAU ALUMINIUM GOLDEN 200M</v>
      </c>
      <c r="G1572" s="54">
        <v>19</v>
      </c>
      <c r="H1572" s="60">
        <v>66.666666666666671</v>
      </c>
      <c r="I1572" s="275">
        <f t="shared" si="64"/>
        <v>1266.6666666666667</v>
      </c>
      <c r="J1572" s="95">
        <f t="shared" si="65"/>
        <v>1520</v>
      </c>
      <c r="K1572" s="93">
        <f>IFERROR(VLOOKUP(E1572,'Inventaire des produits'!$B$4:$J$1000,5,FALSE),"")</f>
        <v>0</v>
      </c>
      <c r="L1572" s="301">
        <f>IFERROR(VLOOKUP(E1572,'Inventaire des produits'!$B$4:$J$1000,6,FALSE),"")</f>
        <v>57.5</v>
      </c>
      <c r="M1572" s="62"/>
    </row>
    <row r="1573" spans="2:13" x14ac:dyDescent="0.3">
      <c r="B1573" s="378" t="s">
        <v>1704</v>
      </c>
      <c r="C1573" s="342"/>
      <c r="D1573" s="339"/>
      <c r="E1573" s="234" t="s">
        <v>888</v>
      </c>
      <c r="F1573" s="274" t="str">
        <f>IFERROR(VLOOKUP(E1573,'Inventaire des produits'!$B$4:$K$1000,2,0),"")</f>
        <v>SAC PN NOIR 35*30 /KG</v>
      </c>
      <c r="G1573" s="54">
        <v>28</v>
      </c>
      <c r="H1573" s="60">
        <v>33</v>
      </c>
      <c r="I1573" s="275">
        <f t="shared" si="64"/>
        <v>924</v>
      </c>
      <c r="J1573" s="95">
        <f t="shared" si="65"/>
        <v>1108.8</v>
      </c>
      <c r="K1573" s="93">
        <f>IFERROR(VLOOKUP(E1573,'Inventaire des produits'!$B$4:$J$1000,5,FALSE),"")</f>
        <v>0</v>
      </c>
      <c r="L1573" s="301">
        <f>IFERROR(VLOOKUP(E1573,'Inventaire des produits'!$B$4:$J$1000,6,FALSE),"")</f>
        <v>25</v>
      </c>
      <c r="M1573" s="62"/>
    </row>
    <row r="1574" spans="2:13" x14ac:dyDescent="0.3">
      <c r="B1574" s="378" t="s">
        <v>1704</v>
      </c>
      <c r="C1574" s="340">
        <v>45558</v>
      </c>
      <c r="D1574" s="337" t="s">
        <v>1437</v>
      </c>
      <c r="E1574" s="234" t="s">
        <v>599</v>
      </c>
      <c r="F1574" s="274" t="str">
        <f>IFERROR(VLOOKUP(E1574,'Inventaire des produits'!$B$4:$K$1000,2,0),"")</f>
        <v>PAPIER HYGIENIQUE JUMBO PROF GAUFREE</v>
      </c>
      <c r="G1574" s="54">
        <v>142</v>
      </c>
      <c r="H1574" s="60">
        <f>12/1.2</f>
        <v>10</v>
      </c>
      <c r="I1574" s="275">
        <f t="shared" si="64"/>
        <v>1420</v>
      </c>
      <c r="J1574" s="95">
        <f t="shared" si="65"/>
        <v>1704</v>
      </c>
      <c r="K1574" s="93">
        <f>IFERROR(VLOOKUP(E1574,'Inventaire des produits'!$B$4:$J$1000,5,FALSE),"")</f>
        <v>0</v>
      </c>
      <c r="L1574" s="301">
        <f>IFERROR(VLOOKUP(E1574,'Inventaire des produits'!$B$4:$J$1000,6,FALSE),"")</f>
        <v>7.5</v>
      </c>
      <c r="M1574" s="62">
        <f>SUM(J1574:J1579)</f>
        <v>18636.003000000001</v>
      </c>
    </row>
    <row r="1575" spans="2:13" x14ac:dyDescent="0.3">
      <c r="B1575" s="378" t="s">
        <v>1704</v>
      </c>
      <c r="C1575" s="341"/>
      <c r="D1575" s="338"/>
      <c r="E1575" s="234" t="s">
        <v>252</v>
      </c>
      <c r="F1575" s="274" t="str">
        <f>IFERROR(VLOOKUP(E1575,'Inventaire des produits'!$B$4:$K$1000,2,0),"")</f>
        <v>ESSUIE MAIN GKEM1KG</v>
      </c>
      <c r="G1575" s="54">
        <v>41</v>
      </c>
      <c r="H1575" s="60">
        <v>25</v>
      </c>
      <c r="I1575" s="275">
        <f t="shared" si="64"/>
        <v>1025</v>
      </c>
      <c r="J1575" s="95">
        <f t="shared" si="65"/>
        <v>1230</v>
      </c>
      <c r="K1575" s="93">
        <f>IFERROR(VLOOKUP(E1575,'Inventaire des produits'!$B$4:$J$1000,5,FALSE),"")</f>
        <v>0</v>
      </c>
      <c r="L1575" s="301">
        <f>IFERROR(VLOOKUP(E1575,'Inventaire des produits'!$B$4:$J$1000,6,FALSE),"")</f>
        <v>20.83</v>
      </c>
      <c r="M1575" s="62"/>
    </row>
    <row r="1576" spans="2:13" x14ac:dyDescent="0.3">
      <c r="B1576" s="378" t="s">
        <v>1704</v>
      </c>
      <c r="C1576" s="341"/>
      <c r="D1576" s="338"/>
      <c r="E1576" s="234" t="s">
        <v>206</v>
      </c>
      <c r="F1576" s="274" t="str">
        <f>IFERROR(VLOOKUP(E1576,'Inventaire des produits'!$B$4:$K$1000,2,0),"")</f>
        <v>ESSUIE MAIN 1KG LISSE</v>
      </c>
      <c r="G1576" s="54">
        <v>16</v>
      </c>
      <c r="H1576" s="60">
        <v>25</v>
      </c>
      <c r="I1576" s="275">
        <f t="shared" si="64"/>
        <v>400</v>
      </c>
      <c r="J1576" s="95">
        <f t="shared" si="65"/>
        <v>480</v>
      </c>
      <c r="K1576" s="93">
        <f>IFERROR(VLOOKUP(E1576,'Inventaire des produits'!$B$4:$J$1000,5,FALSE),"")</f>
        <v>0</v>
      </c>
      <c r="L1576" s="301">
        <f>IFERROR(VLOOKUP(E1576,'Inventaire des produits'!$B$4:$J$1000,6,FALSE),"")</f>
        <v>21.25</v>
      </c>
      <c r="M1576" s="62"/>
    </row>
    <row r="1577" spans="2:13" x14ac:dyDescent="0.3">
      <c r="B1577" s="378" t="s">
        <v>1704</v>
      </c>
      <c r="C1577" s="342"/>
      <c r="D1577" s="339"/>
      <c r="E1577" s="234" t="s">
        <v>160</v>
      </c>
      <c r="F1577" s="274" t="str">
        <f>IFERROR(VLOOKUP(E1577,'Inventaire des produits'!$B$4:$K$1000,2,0),"")</f>
        <v>BOITE PIZZA 24</v>
      </c>
      <c r="G1577" s="54">
        <v>25</v>
      </c>
      <c r="H1577" s="60">
        <v>37.400100000000002</v>
      </c>
      <c r="I1577" s="275">
        <f t="shared" si="64"/>
        <v>935.00250000000005</v>
      </c>
      <c r="J1577" s="95">
        <f t="shared" si="65"/>
        <v>1122.0029999999999</v>
      </c>
      <c r="K1577" s="93">
        <f>IFERROR(VLOOKUP(E1577,'Inventaire des produits'!$B$4:$J$1000,5,FALSE),"")</f>
        <v>0</v>
      </c>
      <c r="L1577" s="301">
        <f>IFERROR(VLOOKUP(E1577,'Inventaire des produits'!$B$4:$J$1000,6,FALSE),"")</f>
        <v>31.669499999999999</v>
      </c>
      <c r="M1577" s="62"/>
    </row>
    <row r="1578" spans="2:13" x14ac:dyDescent="0.3">
      <c r="B1578" s="378" t="s">
        <v>1704</v>
      </c>
      <c r="C1578" s="340">
        <v>45559</v>
      </c>
      <c r="D1578" s="337" t="s">
        <v>1438</v>
      </c>
      <c r="E1578" s="234" t="s">
        <v>1075</v>
      </c>
      <c r="F1578" s="274" t="str">
        <f>IFERROR(VLOOKUP(E1578,'Inventaire des produits'!$B$4:$K$1000,2,0),"")</f>
        <v>BARQUETTE TRAITEUR 750CC MICRON ONDABLE</v>
      </c>
      <c r="G1578" s="54">
        <v>6000</v>
      </c>
      <c r="H1578" s="60">
        <v>1.3333333333333335</v>
      </c>
      <c r="I1578" s="275">
        <f t="shared" si="64"/>
        <v>8000.0000000000009</v>
      </c>
      <c r="J1578" s="95">
        <f t="shared" si="65"/>
        <v>9600</v>
      </c>
      <c r="K1578" s="93">
        <f>IFERROR(VLOOKUP(E1578,'Inventaire des produits'!$B$4:$J$1000,5,FALSE),"")</f>
        <v>0</v>
      </c>
      <c r="L1578" s="301">
        <f>IFERROR(VLOOKUP(E1578,'Inventaire des produits'!$B$4:$J$1000,6,FALSE),"")</f>
        <v>1.0833333333333333</v>
      </c>
      <c r="M1578" s="62">
        <f>SUM(J1578:J1580)</f>
        <v>17100</v>
      </c>
    </row>
    <row r="1579" spans="2:13" x14ac:dyDescent="0.3">
      <c r="B1579" s="378" t="s">
        <v>1704</v>
      </c>
      <c r="C1579" s="341"/>
      <c r="D1579" s="338"/>
      <c r="E1579" s="234" t="s">
        <v>1222</v>
      </c>
      <c r="F1579" s="274" t="str">
        <f>IFERROR(VLOOKUP(E1579,'Inventaire des produits'!$B$4:$K$1000,2,0),"")</f>
        <v>POT DE SAUCE 1OZ PROCLEAN</v>
      </c>
      <c r="G1579" s="54">
        <v>25000</v>
      </c>
      <c r="H1579" s="60">
        <v>0.15</v>
      </c>
      <c r="I1579" s="275">
        <f t="shared" si="64"/>
        <v>3750</v>
      </c>
      <c r="J1579" s="95">
        <f t="shared" si="65"/>
        <v>4500</v>
      </c>
      <c r="K1579" s="93">
        <f>IFERROR(VLOOKUP(E1579,'Inventaire des produits'!$B$4:$J$1000,5,FALSE),"")</f>
        <v>557100</v>
      </c>
      <c r="L1579" s="301">
        <f>IFERROR(VLOOKUP(E1579,'Inventaire des produits'!$B$4:$J$1000,6,FALSE),"")</f>
        <v>0.1167</v>
      </c>
      <c r="M1579" s="62"/>
    </row>
    <row r="1580" spans="2:13" x14ac:dyDescent="0.3">
      <c r="B1580" s="378" t="s">
        <v>1704</v>
      </c>
      <c r="C1580" s="342"/>
      <c r="D1580" s="339"/>
      <c r="E1580" s="234" t="s">
        <v>1394</v>
      </c>
      <c r="F1580" s="274" t="str">
        <f>IFERROR(VLOOKUP(E1580,'Inventaire des produits'!$B$4:$K$1000,2,0),"")</f>
        <v>SAC KRAFT ECRU 26*17*28 IMP</v>
      </c>
      <c r="G1580" s="54">
        <v>2500</v>
      </c>
      <c r="H1580" s="60">
        <v>1</v>
      </c>
      <c r="I1580" s="275">
        <f t="shared" si="64"/>
        <v>2500</v>
      </c>
      <c r="J1580" s="95">
        <f t="shared" si="65"/>
        <v>3000</v>
      </c>
      <c r="K1580" s="93">
        <f>IFERROR(VLOOKUP(E1580,'Inventaire des produits'!$B$4:$J$1000,5,FALSE),"")</f>
        <v>2250</v>
      </c>
      <c r="L1580" s="301">
        <f>IFERROR(VLOOKUP(E1580,'Inventaire des produits'!$B$4:$J$1000,6,FALSE),"")</f>
        <v>0.75</v>
      </c>
      <c r="M1580" s="62"/>
    </row>
    <row r="1581" spans="2:13" x14ac:dyDescent="0.3">
      <c r="B1581" s="378" t="s">
        <v>1704</v>
      </c>
      <c r="C1581" s="340">
        <v>45559</v>
      </c>
      <c r="D1581" s="337" t="s">
        <v>1439</v>
      </c>
      <c r="E1581" s="234" t="s">
        <v>100</v>
      </c>
      <c r="F1581" s="274" t="str">
        <f>IFERROR(VLOOKUP(E1581,'Inventaire des produits'!$B$4:$K$1000,2,0),"")</f>
        <v>BOITE PIZZA 26</v>
      </c>
      <c r="G1581" s="54">
        <v>200</v>
      </c>
      <c r="H1581" s="60">
        <v>1.04</v>
      </c>
      <c r="I1581" s="275">
        <f t="shared" si="64"/>
        <v>208</v>
      </c>
      <c r="J1581" s="95">
        <f t="shared" si="65"/>
        <v>249.6</v>
      </c>
      <c r="K1581" s="93">
        <f>IFERROR(VLOOKUP(E1581,'Inventaire des produits'!$B$4:$J$1000,5,FALSE),"")</f>
        <v>0</v>
      </c>
      <c r="L1581" s="301">
        <f>IFERROR(VLOOKUP(E1581,'Inventaire des produits'!$B$4:$J$1000,6,FALSE),"")</f>
        <v>0.91</v>
      </c>
      <c r="M1581" s="62">
        <f>SUM(J1581:J1592)</f>
        <v>4499.9993999999997</v>
      </c>
    </row>
    <row r="1582" spans="2:13" x14ac:dyDescent="0.3">
      <c r="B1582" s="378" t="s">
        <v>1704</v>
      </c>
      <c r="C1582" s="341"/>
      <c r="D1582" s="338"/>
      <c r="E1582" s="234" t="s">
        <v>122</v>
      </c>
      <c r="F1582" s="274" t="str">
        <f>IFERROR(VLOOKUP(E1582,'Inventaire des produits'!$B$4:$K$1000,2,0),"")</f>
        <v>BOITE PIZZA N°24 BON APPETIT FRESH/50</v>
      </c>
      <c r="G1582" s="54">
        <v>150</v>
      </c>
      <c r="H1582" s="60">
        <v>0.8</v>
      </c>
      <c r="I1582" s="275">
        <f t="shared" si="64"/>
        <v>120</v>
      </c>
      <c r="J1582" s="95">
        <f t="shared" si="65"/>
        <v>144</v>
      </c>
      <c r="K1582" s="93">
        <f>IFERROR(VLOOKUP(E1582,'Inventaire des produits'!$B$4:$J$1000,5,FALSE),"")</f>
        <v>0</v>
      </c>
      <c r="L1582" s="301">
        <f>IFERROR(VLOOKUP(E1582,'Inventaire des produits'!$B$4:$J$1000,6,FALSE),"")</f>
        <v>0.66706186670000001</v>
      </c>
      <c r="M1582" s="62"/>
    </row>
    <row r="1583" spans="2:13" x14ac:dyDescent="0.3">
      <c r="B1583" s="378" t="s">
        <v>1704</v>
      </c>
      <c r="C1583" s="341"/>
      <c r="D1583" s="338"/>
      <c r="E1583" s="234" t="s">
        <v>146</v>
      </c>
      <c r="F1583" s="274" t="str">
        <f>IFERROR(VLOOKUP(E1583,'Inventaire des produits'!$B$4:$K$1000,2,0),"")</f>
        <v>BOITE PIZZA 26</v>
      </c>
      <c r="G1583" s="54">
        <v>200</v>
      </c>
      <c r="H1583" s="60">
        <v>1.05</v>
      </c>
      <c r="I1583" s="275">
        <f t="shared" si="64"/>
        <v>210</v>
      </c>
      <c r="J1583" s="95">
        <f t="shared" si="65"/>
        <v>252</v>
      </c>
      <c r="K1583" s="93">
        <f>IFERROR(VLOOKUP(E1583,'Inventaire des produits'!$B$4:$J$1000,5,FALSE),"")</f>
        <v>0</v>
      </c>
      <c r="L1583" s="301">
        <f>IFERROR(VLOOKUP(E1583,'Inventaire des produits'!$B$4:$J$1000,6,FALSE),"")</f>
        <v>0.9</v>
      </c>
      <c r="M1583" s="62"/>
    </row>
    <row r="1584" spans="2:13" x14ac:dyDescent="0.3">
      <c r="B1584" s="378" t="s">
        <v>1704</v>
      </c>
      <c r="C1584" s="341"/>
      <c r="D1584" s="338"/>
      <c r="E1584" s="234" t="s">
        <v>147</v>
      </c>
      <c r="F1584" s="274" t="str">
        <f>IFERROR(VLOOKUP(E1584,'Inventaire des produits'!$B$4:$K$1000,2,0),"")</f>
        <v>BOITE PIZZA 24</v>
      </c>
      <c r="G1584" s="54">
        <v>150</v>
      </c>
      <c r="H1584" s="60">
        <v>0.8</v>
      </c>
      <c r="I1584" s="275">
        <f t="shared" si="64"/>
        <v>120</v>
      </c>
      <c r="J1584" s="95">
        <f t="shared" si="65"/>
        <v>144</v>
      </c>
      <c r="K1584" s="93">
        <f>IFERROR(VLOOKUP(E1584,'Inventaire des produits'!$B$4:$J$1000,5,FALSE),"")</f>
        <v>0</v>
      </c>
      <c r="L1584" s="301">
        <f>IFERROR(VLOOKUP(E1584,'Inventaire des produits'!$B$4:$J$1000,6,FALSE),"")</f>
        <v>0.75</v>
      </c>
      <c r="M1584" s="62"/>
    </row>
    <row r="1585" spans="2:13" x14ac:dyDescent="0.3">
      <c r="B1585" s="378" t="s">
        <v>1704</v>
      </c>
      <c r="C1585" s="341"/>
      <c r="D1585" s="338"/>
      <c r="E1585" s="234" t="s">
        <v>164</v>
      </c>
      <c r="F1585" s="274" t="str">
        <f>IFERROR(VLOOKUP(E1585,'Inventaire des produits'!$B$4:$K$1000,2,0),"")</f>
        <v>ROULEAU ALUMINIUM SOFTIS 08</v>
      </c>
      <c r="G1585" s="54">
        <v>48</v>
      </c>
      <c r="H1585" s="60">
        <v>6</v>
      </c>
      <c r="I1585" s="275">
        <f t="shared" si="64"/>
        <v>288</v>
      </c>
      <c r="J1585" s="95">
        <f t="shared" si="65"/>
        <v>345.59999999999997</v>
      </c>
      <c r="K1585" s="93">
        <f>IFERROR(VLOOKUP(E1585,'Inventaire des produits'!$B$4:$J$1000,5,FALSE),"")</f>
        <v>0</v>
      </c>
      <c r="L1585" s="301">
        <f>IFERROR(VLOOKUP(E1585,'Inventaire des produits'!$B$4:$J$1000,6,FALSE),"")</f>
        <v>2.0146666670000002</v>
      </c>
      <c r="M1585" s="62"/>
    </row>
    <row r="1586" spans="2:13" x14ac:dyDescent="0.3">
      <c r="B1586" s="378" t="s">
        <v>1704</v>
      </c>
      <c r="C1586" s="341"/>
      <c r="D1586" s="338"/>
      <c r="E1586" s="234" t="s">
        <v>157</v>
      </c>
      <c r="F1586" s="274" t="str">
        <f>IFERROR(VLOOKUP(E1586,'Inventaire des produits'!$B$4:$K$1000,2,0),"")</f>
        <v>CVL DE PLATEAU 5 COMP THERMOFOME ECO PET TRANS</v>
      </c>
      <c r="G1586" s="54">
        <v>300</v>
      </c>
      <c r="H1586" s="60">
        <v>2.2440000000000002</v>
      </c>
      <c r="I1586" s="275">
        <f t="shared" si="64"/>
        <v>673.2</v>
      </c>
      <c r="J1586" s="95">
        <f t="shared" si="65"/>
        <v>807.84</v>
      </c>
      <c r="K1586" s="93">
        <f>IFERROR(VLOOKUP(E1586,'Inventaire des produits'!$B$4:$J$1000,5,FALSE),"")</f>
        <v>0</v>
      </c>
      <c r="L1586" s="301">
        <f>IFERROR(VLOOKUP(E1586,'Inventaire des produits'!$B$4:$J$1000,6,FALSE),"")</f>
        <v>2.0832999999999999</v>
      </c>
      <c r="M1586" s="62"/>
    </row>
    <row r="1587" spans="2:13" x14ac:dyDescent="0.3">
      <c r="B1587" s="378" t="s">
        <v>1704</v>
      </c>
      <c r="C1587" s="341"/>
      <c r="D1587" s="338"/>
      <c r="E1587" s="234" t="s">
        <v>172</v>
      </c>
      <c r="F1587" s="274" t="str">
        <f>IFERROR(VLOOKUP(E1587,'Inventaire des produits'!$B$4:$K$1000,2,0),"")</f>
        <v>CVL GOBLET 4OZ BLANC BON APETIT</v>
      </c>
      <c r="G1587" s="54">
        <v>350</v>
      </c>
      <c r="H1587" s="60">
        <v>0.12</v>
      </c>
      <c r="I1587" s="275">
        <f t="shared" si="64"/>
        <v>42</v>
      </c>
      <c r="J1587" s="95">
        <f t="shared" si="65"/>
        <v>50.4</v>
      </c>
      <c r="K1587" s="93">
        <f>IFERROR(VLOOKUP(E1587,'Inventaire des produits'!$B$4:$J$1000,5,FALSE),"")</f>
        <v>0</v>
      </c>
      <c r="L1587" s="301">
        <f>IFERROR(VLOOKUP(E1587,'Inventaire des produits'!$B$4:$J$1000,6,FALSE),"")</f>
        <v>9.1874999999999998E-2</v>
      </c>
      <c r="M1587" s="62"/>
    </row>
    <row r="1588" spans="2:13" x14ac:dyDescent="0.3">
      <c r="B1588" s="378" t="s">
        <v>1704</v>
      </c>
      <c r="C1588" s="341"/>
      <c r="D1588" s="338"/>
      <c r="E1588" s="234" t="s">
        <v>174</v>
      </c>
      <c r="F1588" s="274" t="str">
        <f>IFERROR(VLOOKUP(E1588,'Inventaire des produits'!$B$4:$K$1000,2,0),"")</f>
        <v>BOL EN CARTON BLANC AVEC CVL 8OZ</v>
      </c>
      <c r="G1588" s="54">
        <v>250</v>
      </c>
      <c r="H1588" s="60">
        <v>2.1</v>
      </c>
      <c r="I1588" s="275">
        <f t="shared" si="64"/>
        <v>525</v>
      </c>
      <c r="J1588" s="95">
        <f t="shared" si="65"/>
        <v>630</v>
      </c>
      <c r="K1588" s="93">
        <f>IFERROR(VLOOKUP(E1588,'Inventaire des produits'!$B$4:$J$1000,5,FALSE),"")</f>
        <v>0</v>
      </c>
      <c r="L1588" s="301">
        <f>IFERROR(VLOOKUP(E1588,'Inventaire des produits'!$B$4:$J$1000,6,FALSE),"")</f>
        <v>1.9559</v>
      </c>
      <c r="M1588" s="62"/>
    </row>
    <row r="1589" spans="2:13" x14ac:dyDescent="0.3">
      <c r="B1589" s="378" t="s">
        <v>1704</v>
      </c>
      <c r="C1589" s="341"/>
      <c r="D1589" s="338"/>
      <c r="E1589" s="234" t="s">
        <v>176</v>
      </c>
      <c r="F1589" s="274" t="str">
        <f>IFERROR(VLOOKUP(E1589,'Inventaire des produits'!$B$4:$K$1000,2,0),"")</f>
        <v>POT A NOUILLE 26OZ BLANC</v>
      </c>
      <c r="G1589" s="54">
        <v>400</v>
      </c>
      <c r="H1589" s="60">
        <v>1.2</v>
      </c>
      <c r="I1589" s="275">
        <f t="shared" si="64"/>
        <v>480</v>
      </c>
      <c r="J1589" s="95">
        <f t="shared" si="65"/>
        <v>576</v>
      </c>
      <c r="K1589" s="93">
        <f>IFERROR(VLOOKUP(E1589,'Inventaire des produits'!$B$4:$J$1000,5,FALSE),"")</f>
        <v>0</v>
      </c>
      <c r="L1589" s="301">
        <f>IFERROR(VLOOKUP(E1589,'Inventaire des produits'!$B$4:$J$1000,6,FALSE),"")</f>
        <v>0.91666666669999997</v>
      </c>
      <c r="M1589" s="62"/>
    </row>
    <row r="1590" spans="2:13" x14ac:dyDescent="0.3">
      <c r="B1590" s="378" t="s">
        <v>1704</v>
      </c>
      <c r="C1590" s="341"/>
      <c r="D1590" s="338"/>
      <c r="E1590" s="244" t="s">
        <v>219</v>
      </c>
      <c r="F1590" s="274" t="str">
        <f>IFERROR(VLOOKUP(E1590,'Inventaire des produits'!$B$4:$K$1000,2,0),"")</f>
        <v>BARQUETTE ALUMINIUM 83890</v>
      </c>
      <c r="G1590" s="54">
        <v>100</v>
      </c>
      <c r="H1590" s="60">
        <v>0.9</v>
      </c>
      <c r="I1590" s="275">
        <f t="shared" si="64"/>
        <v>90</v>
      </c>
      <c r="J1590" s="95">
        <f t="shared" si="65"/>
        <v>108</v>
      </c>
      <c r="K1590" s="93">
        <f>IFERROR(VLOOKUP(E1590,'Inventaire des produits'!$B$4:$J$1000,5,FALSE),"")</f>
        <v>0</v>
      </c>
      <c r="L1590" s="301">
        <f>IFERROR(VLOOKUP(E1590,'Inventaire des produits'!$B$4:$J$1000,6,FALSE),"")</f>
        <v>0.67</v>
      </c>
      <c r="M1590" s="62"/>
    </row>
    <row r="1591" spans="2:13" x14ac:dyDescent="0.3">
      <c r="B1591" s="378" t="s">
        <v>1704</v>
      </c>
      <c r="C1591" s="341"/>
      <c r="D1591" s="338"/>
      <c r="E1591" s="234">
        <v>83820</v>
      </c>
      <c r="F1591" s="274" t="str">
        <f>IFERROR(VLOOKUP(E1591,'Inventaire des produits'!$B$4:$K$1000,2,0),"")</f>
        <v>BARQUETTE ALUMINIUM 83820/200MP</v>
      </c>
      <c r="G1591" s="54">
        <v>600</v>
      </c>
      <c r="H1591" s="60">
        <v>1.075</v>
      </c>
      <c r="I1591" s="275">
        <f t="shared" si="64"/>
        <v>645</v>
      </c>
      <c r="J1591" s="95">
        <f t="shared" si="65"/>
        <v>774</v>
      </c>
      <c r="K1591" s="93">
        <f>IFERROR(VLOOKUP(E1591,'Inventaire des produits'!$B$4:$J$1000,5,FALSE),"")</f>
        <v>0</v>
      </c>
      <c r="L1591" s="301">
        <f>IFERROR(VLOOKUP(E1591,'Inventaire des produits'!$B$4:$J$1000,6,FALSE),"")</f>
        <v>0.83</v>
      </c>
      <c r="M1591" s="62"/>
    </row>
    <row r="1592" spans="2:13" x14ac:dyDescent="0.3">
      <c r="B1592" s="378" t="s">
        <v>1704</v>
      </c>
      <c r="C1592" s="342"/>
      <c r="D1592" s="339"/>
      <c r="E1592" s="234" t="s">
        <v>242</v>
      </c>
      <c r="F1592" s="274" t="str">
        <f>IFERROR(VLOOKUP(E1592,'Inventaire des produits'!$B$4:$K$1000,2,0),"")</f>
        <v>FILM ALIMENTAIRE 400G</v>
      </c>
      <c r="G1592" s="54">
        <v>21</v>
      </c>
      <c r="H1592" s="60">
        <v>16.609500000000001</v>
      </c>
      <c r="I1592" s="275">
        <f t="shared" si="64"/>
        <v>348.79950000000002</v>
      </c>
      <c r="J1592" s="95">
        <f t="shared" si="65"/>
        <v>418.55940000000004</v>
      </c>
      <c r="K1592" s="93">
        <f>IFERROR(VLOOKUP(E1592,'Inventaire des produits'!$B$4:$J$1000,5,FALSE),"")</f>
        <v>0</v>
      </c>
      <c r="L1592" s="301">
        <f>IFERROR(VLOOKUP(E1592,'Inventaire des produits'!$B$4:$J$1000,6,FALSE),"")</f>
        <v>11</v>
      </c>
      <c r="M1592" s="62"/>
    </row>
    <row r="1593" spans="2:13" x14ac:dyDescent="0.3">
      <c r="B1593" s="378" t="s">
        <v>1704</v>
      </c>
      <c r="C1593" s="340">
        <v>45560</v>
      </c>
      <c r="D1593" s="337" t="s">
        <v>1440</v>
      </c>
      <c r="E1593" s="234" t="s">
        <v>779</v>
      </c>
      <c r="F1593" s="274" t="str">
        <f>IFERROR(VLOOKUP(E1593,'Inventaire des produits'!$B$4:$K$1000,2,0),"")</f>
        <v>BARQUETTE ALUMINIUM 83420</v>
      </c>
      <c r="G1593" s="54">
        <v>1000</v>
      </c>
      <c r="H1593" s="60">
        <v>0.47969000000000001</v>
      </c>
      <c r="I1593" s="275">
        <f t="shared" si="64"/>
        <v>479.69</v>
      </c>
      <c r="J1593" s="95">
        <f t="shared" si="65"/>
        <v>575.62799999999993</v>
      </c>
      <c r="K1593" s="93">
        <f>IFERROR(VLOOKUP(E1593,'Inventaire des produits'!$B$4:$J$1000,5,FALSE),"")</f>
        <v>0</v>
      </c>
      <c r="L1593" s="301">
        <f>IFERROR(VLOOKUP(E1593,'Inventaire des produits'!$B$4:$J$1000,6,FALSE),"")</f>
        <v>0.30833333330000001</v>
      </c>
      <c r="M1593" s="62">
        <f>SUM(J1593:J1599)</f>
        <v>4882.996000000001</v>
      </c>
    </row>
    <row r="1594" spans="2:13" x14ac:dyDescent="0.3">
      <c r="B1594" s="378" t="s">
        <v>1704</v>
      </c>
      <c r="C1594" s="341"/>
      <c r="D1594" s="338"/>
      <c r="E1594" s="234" t="s">
        <v>869</v>
      </c>
      <c r="F1594" s="274" t="str">
        <f>IFERROR(VLOOKUP(E1594,'Inventaire des produits'!$B$4:$K$1000,2,0),"")</f>
        <v>PAILLE ENVELOPPEE CODE 100 TRANS</v>
      </c>
      <c r="G1594" s="54">
        <v>32</v>
      </c>
      <c r="H1594" s="60">
        <v>6.25</v>
      </c>
      <c r="I1594" s="275">
        <f t="shared" si="64"/>
        <v>200</v>
      </c>
      <c r="J1594" s="95">
        <f t="shared" si="65"/>
        <v>240</v>
      </c>
      <c r="K1594" s="93">
        <f>IFERROR(VLOOKUP(E1594,'Inventaire des produits'!$B$4:$J$1000,5,FALSE),"")</f>
        <v>898</v>
      </c>
      <c r="L1594" s="301">
        <f>IFERROR(VLOOKUP(E1594,'Inventaire des produits'!$B$4:$J$1000,6,FALSE),"")</f>
        <v>3.9166666659999998</v>
      </c>
      <c r="M1594" s="62"/>
    </row>
    <row r="1595" spans="2:13" x14ac:dyDescent="0.3">
      <c r="B1595" s="378" t="s">
        <v>1704</v>
      </c>
      <c r="C1595" s="341"/>
      <c r="D1595" s="338"/>
      <c r="E1595" s="234" t="s">
        <v>1190</v>
      </c>
      <c r="F1595" s="274" t="str">
        <f>IFERROR(VLOOKUP(E1595,'Inventaire des produits'!$B$4:$K$1000,2,0),"")</f>
        <v>GOBLET 12OZ EN PLAST TRANS SMART AVEC CVL PLAT</v>
      </c>
      <c r="G1595" s="54">
        <v>1000</v>
      </c>
      <c r="H1595" s="60">
        <v>0.6</v>
      </c>
      <c r="I1595" s="275">
        <f t="shared" si="64"/>
        <v>600</v>
      </c>
      <c r="J1595" s="95">
        <f t="shared" si="65"/>
        <v>720</v>
      </c>
      <c r="K1595" s="93">
        <f>IFERROR(VLOOKUP(E1595,'Inventaire des produits'!$B$4:$J$1000,5,FALSE),"")</f>
        <v>0</v>
      </c>
      <c r="L1595" s="301">
        <f>IFERROR(VLOOKUP(E1595,'Inventaire des produits'!$B$4:$J$1000,6,FALSE),"")</f>
        <v>0.55555833333333338</v>
      </c>
      <c r="M1595" s="62"/>
    </row>
    <row r="1596" spans="2:13" x14ac:dyDescent="0.3">
      <c r="B1596" s="378" t="s">
        <v>1704</v>
      </c>
      <c r="C1596" s="341"/>
      <c r="D1596" s="338"/>
      <c r="E1596" s="234" t="s">
        <v>1294</v>
      </c>
      <c r="F1596" s="274" t="str">
        <f>IFERROR(VLOOKUP(E1596,'Inventaire des produits'!$B$4:$K$1000,2,0),"")</f>
        <v>BARQUETTE ALUMINIUM RECT 1200ML AVEC CVL</v>
      </c>
      <c r="G1596" s="54">
        <v>800</v>
      </c>
      <c r="H1596" s="60">
        <v>0.90000000000000013</v>
      </c>
      <c r="I1596" s="275">
        <f t="shared" si="64"/>
        <v>720.00000000000011</v>
      </c>
      <c r="J1596" s="95">
        <f t="shared" si="65"/>
        <v>864.00000000000011</v>
      </c>
      <c r="K1596" s="93">
        <f>IFERROR(VLOOKUP(E1596,'Inventaire des produits'!$B$4:$J$1000,5,FALSE),"")</f>
        <v>4000</v>
      </c>
      <c r="L1596" s="301">
        <f>IFERROR(VLOOKUP(E1596,'Inventaire des produits'!$B$4:$J$1000,6,FALSE),"")</f>
        <v>1.3666666667</v>
      </c>
      <c r="M1596" s="62"/>
    </row>
    <row r="1597" spans="2:13" x14ac:dyDescent="0.3">
      <c r="B1597" s="378" t="s">
        <v>1704</v>
      </c>
      <c r="C1597" s="341"/>
      <c r="D1597" s="338"/>
      <c r="E1597" s="234" t="s">
        <v>604</v>
      </c>
      <c r="F1597" s="274" t="str">
        <f>IFERROR(VLOOKUP(E1597,'Inventaire des produits'!$B$4:$K$1000,2,0),"")</f>
        <v>FILM PVC STRECH VIOLET</v>
      </c>
      <c r="G1597" s="54">
        <v>22</v>
      </c>
      <c r="H1597" s="60">
        <v>58.333333333333336</v>
      </c>
      <c r="I1597" s="275">
        <f t="shared" si="64"/>
        <v>1283.3333333333335</v>
      </c>
      <c r="J1597" s="95">
        <f t="shared" si="65"/>
        <v>1540.0000000000002</v>
      </c>
      <c r="K1597" s="93">
        <f>IFERROR(VLOOKUP(E1597,'Inventaire des produits'!$B$4:$J$1000,5,FALSE),"")</f>
        <v>0</v>
      </c>
      <c r="L1597" s="301">
        <f>IFERROR(VLOOKUP(E1597,'Inventaire des produits'!$B$4:$J$1000,6,FALSE),"")</f>
        <v>54.17</v>
      </c>
      <c r="M1597" s="62"/>
    </row>
    <row r="1598" spans="2:13" x14ac:dyDescent="0.3">
      <c r="B1598" s="378" t="s">
        <v>1704</v>
      </c>
      <c r="C1598" s="341"/>
      <c r="D1598" s="338"/>
      <c r="E1598" s="234" t="s">
        <v>778</v>
      </c>
      <c r="F1598" s="274" t="str">
        <f>IFERROR(VLOOKUP(E1598,'Inventaire des produits'!$B$4:$K$1000,2,0),"")</f>
        <v>POT DE SAUCE EN PLAST TRANSP 20ML</v>
      </c>
      <c r="G1598" s="54">
        <v>2000</v>
      </c>
      <c r="H1598" s="60">
        <v>6.8070000000000006E-2</v>
      </c>
      <c r="I1598" s="275">
        <f t="shared" si="64"/>
        <v>136.14000000000001</v>
      </c>
      <c r="J1598" s="95">
        <f t="shared" si="65"/>
        <v>163.36800000000002</v>
      </c>
      <c r="K1598" s="93">
        <f>IFERROR(VLOOKUP(E1598,'Inventaire des produits'!$B$4:$J$1000,5,FALSE),"")</f>
        <v>0</v>
      </c>
      <c r="L1598" s="301">
        <f>IFERROR(VLOOKUP(E1598,'Inventaire des produits'!$B$4:$J$1000,6,FALSE),"")</f>
        <v>8.3333333300000006E-2</v>
      </c>
      <c r="M1598" s="62"/>
    </row>
    <row r="1599" spans="2:13" x14ac:dyDescent="0.3">
      <c r="B1599" s="378" t="s">
        <v>1704</v>
      </c>
      <c r="C1599" s="342"/>
      <c r="D1599" s="339"/>
      <c r="E1599" s="234" t="s">
        <v>1390</v>
      </c>
      <c r="F1599" s="274" t="str">
        <f>IFERROR(VLOOKUP(E1599,'Inventaire des produits'!$B$4:$K$1000,2,0),"")</f>
        <v>ROULEAU ALUMINIUM EXTRA PACK 200M</v>
      </c>
      <c r="G1599" s="54">
        <v>10</v>
      </c>
      <c r="H1599" s="60">
        <v>65</v>
      </c>
      <c r="I1599" s="275">
        <f t="shared" si="64"/>
        <v>650</v>
      </c>
      <c r="J1599" s="95">
        <f t="shared" si="65"/>
        <v>780</v>
      </c>
      <c r="K1599" s="93">
        <f>IFERROR(VLOOKUP(E1599,'Inventaire des produits'!$B$4:$J$1000,5,FALSE),"")</f>
        <v>3</v>
      </c>
      <c r="L1599" s="301">
        <f>IFERROR(VLOOKUP(E1599,'Inventaire des produits'!$B$4:$J$1000,6,FALSE),"")</f>
        <v>43.804166666666667</v>
      </c>
      <c r="M1599" s="62"/>
    </row>
    <row r="1600" spans="2:13" x14ac:dyDescent="0.3">
      <c r="B1600" s="378" t="s">
        <v>1704</v>
      </c>
      <c r="C1600" s="55">
        <v>45560</v>
      </c>
      <c r="D1600" s="54" t="s">
        <v>1441</v>
      </c>
      <c r="E1600" s="244" t="s">
        <v>1162</v>
      </c>
      <c r="F1600" s="274" t="str">
        <f>IFERROR(VLOOKUP(E1600,'Inventaire des produits'!$B$4:$K$1000,2,0),"")</f>
        <v>BOITE PIZZA N°40</v>
      </c>
      <c r="G1600" s="54">
        <v>750</v>
      </c>
      <c r="H1600" s="60">
        <v>3.4166666666666701</v>
      </c>
      <c r="I1600" s="275">
        <f t="shared" si="64"/>
        <v>2562.5000000000027</v>
      </c>
      <c r="J1600" s="95">
        <f t="shared" si="65"/>
        <v>3075.0000000000032</v>
      </c>
      <c r="K1600" s="93">
        <f>IFERROR(VLOOKUP(E1600,'Inventaire des produits'!$B$4:$J$1000,5,FALSE),"")</f>
        <v>0</v>
      </c>
      <c r="L1600" s="301">
        <f>IFERROR(VLOOKUP(E1600,'Inventaire des produits'!$B$4:$J$1000,6,FALSE),"")</f>
        <v>2.78</v>
      </c>
      <c r="M1600" s="62">
        <v>3075</v>
      </c>
    </row>
    <row r="1601" spans="2:13" x14ac:dyDescent="0.3">
      <c r="B1601" s="378" t="s">
        <v>1704</v>
      </c>
      <c r="C1601" s="340">
        <v>45561</v>
      </c>
      <c r="D1601" s="337" t="s">
        <v>1456</v>
      </c>
      <c r="E1601" s="234" t="s">
        <v>929</v>
      </c>
      <c r="F1601" s="274" t="str">
        <f>IFERROR(VLOOKUP(E1601,'Inventaire des produits'!$B$4:$K$1000,2,0),"")</f>
        <v xml:space="preserve">SERVIETTE DE TABLE </v>
      </c>
      <c r="G1601" s="54">
        <v>60</v>
      </c>
      <c r="H1601" s="60">
        <v>3.7050000000000001</v>
      </c>
      <c r="I1601" s="275">
        <f t="shared" si="64"/>
        <v>222.3</v>
      </c>
      <c r="J1601" s="95">
        <f t="shared" si="65"/>
        <v>266.76</v>
      </c>
      <c r="K1601" s="93">
        <f>IFERROR(VLOOKUP(E1601,'Inventaire des produits'!$B$4:$J$1000,5,FALSE),"")</f>
        <v>0</v>
      </c>
      <c r="L1601" s="301">
        <f>IFERROR(VLOOKUP(E1601,'Inventaire des produits'!$B$4:$J$1000,6,FALSE),"")</f>
        <v>2.9169999999999998</v>
      </c>
      <c r="M1601" s="62">
        <f>SUM(J1601:J1608)</f>
        <v>4759.9949999999999</v>
      </c>
    </row>
    <row r="1602" spans="2:13" x14ac:dyDescent="0.3">
      <c r="B1602" s="378" t="s">
        <v>1704</v>
      </c>
      <c r="C1602" s="341"/>
      <c r="D1602" s="338"/>
      <c r="E1602" s="234" t="s">
        <v>955</v>
      </c>
      <c r="F1602" s="274" t="str">
        <f>IFERROR(VLOOKUP(E1602,'Inventaire des produits'!$B$4:$K$1000,2,0),"")</f>
        <v>BOX NOUILLE ET PATE 32OZ BLANC</v>
      </c>
      <c r="G1602" s="54">
        <v>200</v>
      </c>
      <c r="H1602" s="60">
        <v>2.29</v>
      </c>
      <c r="I1602" s="275">
        <f t="shared" si="64"/>
        <v>458</v>
      </c>
      <c r="J1602" s="95">
        <f t="shared" si="65"/>
        <v>549.6</v>
      </c>
      <c r="K1602" s="93">
        <f>IFERROR(VLOOKUP(E1602,'Inventaire des produits'!$B$4:$J$1000,5,FALSE),"")</f>
        <v>0</v>
      </c>
      <c r="L1602" s="301">
        <f>IFERROR(VLOOKUP(E1602,'Inventaire des produits'!$B$4:$J$1000,6,FALSE),"")</f>
        <v>1.125</v>
      </c>
      <c r="M1602" s="62"/>
    </row>
    <row r="1603" spans="2:13" x14ac:dyDescent="0.3">
      <c r="B1603" s="378" t="s">
        <v>1704</v>
      </c>
      <c r="C1603" s="341"/>
      <c r="D1603" s="338"/>
      <c r="E1603" s="234" t="s">
        <v>148</v>
      </c>
      <c r="F1603" s="274" t="str">
        <f>IFERROR(VLOOKUP(E1603,'Inventaire des produits'!$B$4:$K$1000,2,0),"")</f>
        <v>BARQUETTE SUSHI ST1 160*91*20</v>
      </c>
      <c r="G1603" s="54">
        <v>300</v>
      </c>
      <c r="H1603" s="60">
        <v>0.84</v>
      </c>
      <c r="I1603" s="275">
        <f t="shared" si="64"/>
        <v>252</v>
      </c>
      <c r="J1603" s="95">
        <f t="shared" si="65"/>
        <v>302.39999999999998</v>
      </c>
      <c r="K1603" s="93">
        <f>IFERROR(VLOOKUP(E1603,'Inventaire des produits'!$B$4:$J$1000,5,FALSE),"")</f>
        <v>0</v>
      </c>
      <c r="L1603" s="301">
        <f>IFERROR(VLOOKUP(E1603,'Inventaire des produits'!$B$4:$J$1000,6,FALSE),"")</f>
        <v>0.75833333329999997</v>
      </c>
      <c r="M1603" s="62"/>
    </row>
    <row r="1604" spans="2:13" x14ac:dyDescent="0.3">
      <c r="B1604" s="378" t="s">
        <v>1704</v>
      </c>
      <c r="C1604" s="341"/>
      <c r="D1604" s="338"/>
      <c r="E1604" s="234" t="s">
        <v>1390</v>
      </c>
      <c r="F1604" s="274" t="str">
        <f>IFERROR(VLOOKUP(E1604,'Inventaire des produits'!$B$4:$K$1000,2,0),"")</f>
        <v>ROULEAU ALUMINIUM EXTRA PACK 200M</v>
      </c>
      <c r="G1604" s="54">
        <v>10</v>
      </c>
      <c r="H1604" s="60">
        <v>66.599999999999994</v>
      </c>
      <c r="I1604" s="275">
        <f t="shared" si="64"/>
        <v>666</v>
      </c>
      <c r="J1604" s="95">
        <f t="shared" si="65"/>
        <v>799.19999999999993</v>
      </c>
      <c r="K1604" s="93">
        <f>IFERROR(VLOOKUP(E1604,'Inventaire des produits'!$B$4:$J$1000,5,FALSE),"")</f>
        <v>3</v>
      </c>
      <c r="L1604" s="301">
        <f>IFERROR(VLOOKUP(E1604,'Inventaire des produits'!$B$4:$J$1000,6,FALSE),"")</f>
        <v>43.804166666666667</v>
      </c>
      <c r="M1604" s="62"/>
    </row>
    <row r="1605" spans="2:13" x14ac:dyDescent="0.3">
      <c r="B1605" s="378" t="s">
        <v>1704</v>
      </c>
      <c r="C1605" s="341"/>
      <c r="D1605" s="338"/>
      <c r="E1605" s="234" t="s">
        <v>603</v>
      </c>
      <c r="F1605" s="274" t="str">
        <f>IFERROR(VLOOKUP(E1605,'Inventaire des produits'!$B$4:$K$1000,2,0),"")</f>
        <v>ESSUIE MAIN 1KG LISSE</v>
      </c>
      <c r="G1605" s="54">
        <v>36</v>
      </c>
      <c r="H1605" s="60">
        <v>29.1</v>
      </c>
      <c r="I1605" s="275">
        <f t="shared" si="64"/>
        <v>1047.6000000000001</v>
      </c>
      <c r="J1605" s="95">
        <f t="shared" si="65"/>
        <v>1257.1200000000001</v>
      </c>
      <c r="K1605" s="93">
        <f>IFERROR(VLOOKUP(E1605,'Inventaire des produits'!$B$4:$J$1000,5,FALSE),"")</f>
        <v>0</v>
      </c>
      <c r="L1605" s="301">
        <f>IFERROR(VLOOKUP(E1605,'Inventaire des produits'!$B$4:$J$1000,6,FALSE),"")</f>
        <v>25</v>
      </c>
      <c r="M1605" s="62"/>
    </row>
    <row r="1606" spans="2:13" x14ac:dyDescent="0.3">
      <c r="B1606" s="378" t="s">
        <v>1704</v>
      </c>
      <c r="C1606" s="341"/>
      <c r="D1606" s="338"/>
      <c r="E1606" s="234" t="s">
        <v>1194</v>
      </c>
      <c r="F1606" s="274" t="str">
        <f>IFERROR(VLOOKUP(E1606,'Inventaire des produits'!$B$4:$K$1000,2,0),"")</f>
        <v>POT DE SAUCE 2OZ EN PLASTIQUE</v>
      </c>
      <c r="G1606" s="54">
        <v>1000</v>
      </c>
      <c r="H1606" s="60">
        <v>0.28999999999999998</v>
      </c>
      <c r="I1606" s="275">
        <f t="shared" si="64"/>
        <v>290</v>
      </c>
      <c r="J1606" s="95">
        <f t="shared" si="65"/>
        <v>348</v>
      </c>
      <c r="K1606" s="93">
        <f>IFERROR(VLOOKUP(E1606,'Inventaire des produits'!$B$4:$J$1000,5,FALSE),"")</f>
        <v>0</v>
      </c>
      <c r="L1606" s="301">
        <f>IFERROR(VLOOKUP(E1606,'Inventaire des produits'!$B$4:$J$1000,6,FALSE),"")</f>
        <v>0.28999999999999998</v>
      </c>
      <c r="M1606" s="62"/>
    </row>
    <row r="1607" spans="2:13" x14ac:dyDescent="0.3">
      <c r="B1607" s="378" t="s">
        <v>1704</v>
      </c>
      <c r="C1607" s="341"/>
      <c r="D1607" s="338"/>
      <c r="E1607" s="234" t="s">
        <v>414</v>
      </c>
      <c r="F1607" s="274" t="str">
        <f>IFERROR(VLOOKUP(E1607,'Inventaire des produits'!$B$4:$K$1000,2,0),"")</f>
        <v>GANT VINYL NOIR EXTRA PREMIUM GLOVE LARGE</v>
      </c>
      <c r="G1607" s="54">
        <v>11</v>
      </c>
      <c r="H1607" s="60">
        <v>33.299999999999997</v>
      </c>
      <c r="I1607" s="275">
        <f t="shared" si="64"/>
        <v>366.29999999999995</v>
      </c>
      <c r="J1607" s="95">
        <f t="shared" si="65"/>
        <v>439.55999999999995</v>
      </c>
      <c r="K1607" s="93">
        <f>IFERROR(VLOOKUP(E1607,'Inventaire des produits'!$B$4:$J$1000,5,FALSE),"")</f>
        <v>0</v>
      </c>
      <c r="L1607" s="301">
        <f>IFERROR(VLOOKUP(E1607,'Inventaire des produits'!$B$4:$J$1000,6,FALSE),"")</f>
        <v>20.833333333300001</v>
      </c>
      <c r="M1607" s="62"/>
    </row>
    <row r="1608" spans="2:13" x14ac:dyDescent="0.3">
      <c r="B1608" s="378" t="s">
        <v>1704</v>
      </c>
      <c r="C1608" s="342"/>
      <c r="D1608" s="339"/>
      <c r="E1608" s="234" t="s">
        <v>643</v>
      </c>
      <c r="F1608" s="274" t="str">
        <f>IFERROR(VLOOKUP(E1608,'Inventaire des produits'!$B$4:$K$1000,2,0),"")</f>
        <v>BOL SALADE ET CVL BLANC 38OZ</v>
      </c>
      <c r="G1608" s="54">
        <v>250</v>
      </c>
      <c r="H1608" s="60">
        <v>2.6578499999999998</v>
      </c>
      <c r="I1608" s="275">
        <f t="shared" si="64"/>
        <v>664.46249999999998</v>
      </c>
      <c r="J1608" s="95">
        <f t="shared" si="65"/>
        <v>797.3549999999999</v>
      </c>
      <c r="K1608" s="93">
        <f>IFERROR(VLOOKUP(E1608,'Inventaire des produits'!$B$4:$J$1000,5,FALSE),"")</f>
        <v>0</v>
      </c>
      <c r="L1608" s="301">
        <f>IFERROR(VLOOKUP(E1608,'Inventaire des produits'!$B$4:$J$1000,6,FALSE),"")</f>
        <v>2.25</v>
      </c>
      <c r="M1608" s="62"/>
    </row>
    <row r="1609" spans="2:13" x14ac:dyDescent="0.3">
      <c r="B1609" s="378" t="s">
        <v>1704</v>
      </c>
      <c r="C1609" s="340">
        <v>45561</v>
      </c>
      <c r="D1609" s="337" t="s">
        <v>1457</v>
      </c>
      <c r="E1609" s="234" t="s">
        <v>1254</v>
      </c>
      <c r="F1609" s="274" t="str">
        <f>IFERROR(VLOOKUP(E1609,'Inventaire des produits'!$B$4:$K$1000,2,0),"")</f>
        <v>GOBLET 7OZ</v>
      </c>
      <c r="G1609" s="54">
        <v>800</v>
      </c>
      <c r="H1609" s="60">
        <v>0.46899999999999997</v>
      </c>
      <c r="I1609" s="275">
        <f t="shared" si="64"/>
        <v>375.2</v>
      </c>
      <c r="J1609" s="95">
        <f t="shared" si="65"/>
        <v>450.23999999999995</v>
      </c>
      <c r="K1609" s="93">
        <f>IFERROR(VLOOKUP(E1609,'Inventaire des produits'!$B$4:$J$1000,5,FALSE),"")</f>
        <v>0</v>
      </c>
      <c r="L1609" s="301">
        <f>IFERROR(VLOOKUP(E1609,'Inventaire des produits'!$B$4:$J$1000,6,FALSE),"")</f>
        <v>0.33</v>
      </c>
      <c r="M1609" s="62">
        <f>SUM(J1609:J1611)</f>
        <v>675</v>
      </c>
    </row>
    <row r="1610" spans="2:13" x14ac:dyDescent="0.3">
      <c r="B1610" s="378" t="s">
        <v>1704</v>
      </c>
      <c r="C1610" s="341"/>
      <c r="D1610" s="338"/>
      <c r="E1610" s="234" t="s">
        <v>1278</v>
      </c>
      <c r="F1610" s="274" t="str">
        <f>IFERROR(VLOOKUP(E1610,'Inventaire des produits'!$B$4:$K$1000,2,0),"")</f>
        <v>CUILLERE JETABLE ECO BLANCHE 100U</v>
      </c>
      <c r="G1610" s="54">
        <v>12</v>
      </c>
      <c r="H1610" s="60">
        <v>7.2750000000000004</v>
      </c>
      <c r="I1610" s="275">
        <f t="shared" si="64"/>
        <v>87.300000000000011</v>
      </c>
      <c r="J1610" s="95">
        <f t="shared" si="65"/>
        <v>104.76</v>
      </c>
      <c r="K1610" s="93">
        <f>IFERROR(VLOOKUP(E1610,'Inventaire des produits'!$B$4:$J$1000,5,FALSE),"")</f>
        <v>0</v>
      </c>
      <c r="L1610" s="301">
        <f>IFERROR(VLOOKUP(E1610,'Inventaire des produits'!$B$4:$J$1000,6,FALSE),"")</f>
        <v>6.5834000000000001</v>
      </c>
      <c r="M1610" s="62"/>
    </row>
    <row r="1611" spans="2:13" x14ac:dyDescent="0.3">
      <c r="B1611" s="378" t="s">
        <v>1704</v>
      </c>
      <c r="C1611" s="342"/>
      <c r="D1611" s="339"/>
      <c r="E1611" s="234" t="s">
        <v>869</v>
      </c>
      <c r="F1611" s="274" t="str">
        <f>IFERROR(VLOOKUP(E1611,'Inventaire des produits'!$B$4:$K$1000,2,0),"")</f>
        <v>PAILLE ENVELOPPEE CODE 100 TRANS</v>
      </c>
      <c r="G1611" s="54">
        <v>12</v>
      </c>
      <c r="H1611" s="60">
        <f>10/1.2</f>
        <v>8.3333333333333339</v>
      </c>
      <c r="I1611" s="275">
        <f t="shared" si="64"/>
        <v>100</v>
      </c>
      <c r="J1611" s="95">
        <f t="shared" si="65"/>
        <v>120</v>
      </c>
      <c r="K1611" s="93">
        <f>IFERROR(VLOOKUP(E1611,'Inventaire des produits'!$B$4:$J$1000,5,FALSE),"")</f>
        <v>898</v>
      </c>
      <c r="L1611" s="301">
        <f>IFERROR(VLOOKUP(E1611,'Inventaire des produits'!$B$4:$J$1000,6,FALSE),"")</f>
        <v>3.9166666659999998</v>
      </c>
      <c r="M1611" s="62"/>
    </row>
    <row r="1612" spans="2:13" x14ac:dyDescent="0.3">
      <c r="B1612" s="378" t="s">
        <v>1704</v>
      </c>
      <c r="C1612" s="340">
        <v>45565</v>
      </c>
      <c r="D1612" s="337" t="s">
        <v>1466</v>
      </c>
      <c r="E1612" s="234" t="s">
        <v>929</v>
      </c>
      <c r="F1612" s="274" t="str">
        <f>IFERROR(VLOOKUP(E1612,'Inventaire des produits'!$B$4:$K$1000,2,0),"")</f>
        <v xml:space="preserve">SERVIETTE DE TABLE </v>
      </c>
      <c r="G1612" s="54">
        <f>40+20+40+20+40+40+40</f>
        <v>240</v>
      </c>
      <c r="H1612" s="60">
        <f>4.5/1.2</f>
        <v>3.75</v>
      </c>
      <c r="I1612" s="275">
        <f t="shared" si="64"/>
        <v>900</v>
      </c>
      <c r="J1612" s="95">
        <f t="shared" si="65"/>
        <v>1080</v>
      </c>
      <c r="K1612" s="93">
        <f>IFERROR(VLOOKUP(E1612,'Inventaire des produits'!$B$4:$J$1000,5,FALSE),"")</f>
        <v>0</v>
      </c>
      <c r="L1612" s="301">
        <f>IFERROR(VLOOKUP(E1612,'Inventaire des produits'!$B$4:$J$1000,6,FALSE),"")</f>
        <v>2.9169999999999998</v>
      </c>
      <c r="M1612" s="62">
        <f>SUM(J1612:J1615)</f>
        <v>2960</v>
      </c>
    </row>
    <row r="1613" spans="2:13" x14ac:dyDescent="0.3">
      <c r="B1613" s="378" t="s">
        <v>1704</v>
      </c>
      <c r="C1613" s="341"/>
      <c r="D1613" s="338"/>
      <c r="E1613" s="234" t="s">
        <v>1390</v>
      </c>
      <c r="F1613" s="274" t="str">
        <f>IFERROR(VLOOKUP(E1613,'Inventaire des produits'!$B$4:$K$1000,2,0),"")</f>
        <v>ROULEAU ALUMINIUM EXTRA PACK 200M</v>
      </c>
      <c r="G1613" s="54">
        <v>9</v>
      </c>
      <c r="H1613" s="60">
        <f>80/1.2</f>
        <v>66.666666666666671</v>
      </c>
      <c r="I1613" s="275">
        <f t="shared" si="64"/>
        <v>600</v>
      </c>
      <c r="J1613" s="95">
        <f t="shared" si="65"/>
        <v>720</v>
      </c>
      <c r="K1613" s="93">
        <f>IFERROR(VLOOKUP(E1613,'Inventaire des produits'!$B$4:$J$1000,5,FALSE),"")</f>
        <v>3</v>
      </c>
      <c r="L1613" s="301">
        <f>IFERROR(VLOOKUP(E1613,'Inventaire des produits'!$B$4:$J$1000,6,FALSE),"")</f>
        <v>43.804166666666667</v>
      </c>
      <c r="M1613" s="62"/>
    </row>
    <row r="1614" spans="2:13" x14ac:dyDescent="0.3">
      <c r="B1614" s="378" t="s">
        <v>1704</v>
      </c>
      <c r="C1614" s="341"/>
      <c r="D1614" s="338"/>
      <c r="E1614" s="234" t="s">
        <v>869</v>
      </c>
      <c r="F1614" s="274" t="str">
        <f>IFERROR(VLOOKUP(E1614,'Inventaire des produits'!$B$4:$K$1000,2,0),"")</f>
        <v>PAILLE ENVELOPPEE CODE 100 TRANS</v>
      </c>
      <c r="G1614" s="54">
        <v>11</v>
      </c>
      <c r="H1614" s="60">
        <f>10/1.2</f>
        <v>8.3333333333333339</v>
      </c>
      <c r="I1614" s="275">
        <f t="shared" si="64"/>
        <v>91.666666666666671</v>
      </c>
      <c r="J1614" s="95">
        <f t="shared" si="65"/>
        <v>110</v>
      </c>
      <c r="K1614" s="93">
        <f>IFERROR(VLOOKUP(E1614,'Inventaire des produits'!$B$4:$J$1000,5,FALSE),"")</f>
        <v>898</v>
      </c>
      <c r="L1614" s="301">
        <f>IFERROR(VLOOKUP(E1614,'Inventaire des produits'!$B$4:$J$1000,6,FALSE),"")</f>
        <v>3.9166666659999998</v>
      </c>
      <c r="M1614" s="62"/>
    </row>
    <row r="1615" spans="2:13" x14ac:dyDescent="0.3">
      <c r="B1615" s="378" t="s">
        <v>1704</v>
      </c>
      <c r="C1615" s="342"/>
      <c r="D1615" s="339"/>
      <c r="E1615" s="234" t="s">
        <v>778</v>
      </c>
      <c r="F1615" s="274" t="str">
        <f>IFERROR(VLOOKUP(E1615,'Inventaire des produits'!$B$4:$K$1000,2,0),"")</f>
        <v>POT DE SAUCE EN PLAST TRANSP 20ML</v>
      </c>
      <c r="G1615" s="54">
        <f>2000+1000+1000+2000+1000</f>
        <v>7000</v>
      </c>
      <c r="H1615" s="60">
        <f>0.15/1.2</f>
        <v>0.125</v>
      </c>
      <c r="I1615" s="275">
        <f t="shared" si="64"/>
        <v>875</v>
      </c>
      <c r="J1615" s="95">
        <f t="shared" si="65"/>
        <v>1050</v>
      </c>
      <c r="K1615" s="93">
        <f>IFERROR(VLOOKUP(E1615,'Inventaire des produits'!$B$4:$J$1000,5,FALSE),"")</f>
        <v>0</v>
      </c>
      <c r="L1615" s="301">
        <f>IFERROR(VLOOKUP(E1615,'Inventaire des produits'!$B$4:$J$1000,6,FALSE),"")</f>
        <v>8.3333333300000006E-2</v>
      </c>
      <c r="M1615" s="62"/>
    </row>
    <row r="1616" spans="2:13" x14ac:dyDescent="0.3">
      <c r="B1616" s="378" t="s">
        <v>1704</v>
      </c>
      <c r="C1616" s="340">
        <v>45565</v>
      </c>
      <c r="D1616" s="337" t="s">
        <v>1467</v>
      </c>
      <c r="E1616" s="234" t="s">
        <v>929</v>
      </c>
      <c r="F1616" s="274" t="str">
        <f>IFERROR(VLOOKUP(E1616,'Inventaire des produits'!$B$4:$K$1000,2,0),"")</f>
        <v xml:space="preserve">SERVIETTE DE TABLE </v>
      </c>
      <c r="G1616" s="54">
        <v>100</v>
      </c>
      <c r="H1616" s="60">
        <v>3.75</v>
      </c>
      <c r="I1616" s="275">
        <f t="shared" si="64"/>
        <v>375</v>
      </c>
      <c r="J1616" s="95">
        <f t="shared" si="65"/>
        <v>450</v>
      </c>
      <c r="K1616" s="93">
        <f>IFERROR(VLOOKUP(E1616,'Inventaire des produits'!$B$4:$J$1000,5,FALSE),"")</f>
        <v>0</v>
      </c>
      <c r="L1616" s="301">
        <f>IFERROR(VLOOKUP(E1616,'Inventaire des produits'!$B$4:$J$1000,6,FALSE),"")</f>
        <v>2.9169999999999998</v>
      </c>
      <c r="M1616" s="62">
        <f>SUM(J1616:J1618)</f>
        <v>1270</v>
      </c>
    </row>
    <row r="1617" spans="2:13" x14ac:dyDescent="0.3">
      <c r="B1617" s="378" t="s">
        <v>1704</v>
      </c>
      <c r="C1617" s="341"/>
      <c r="D1617" s="338"/>
      <c r="E1617" s="234" t="s">
        <v>1390</v>
      </c>
      <c r="F1617" s="274" t="str">
        <f>IFERROR(VLOOKUP(E1617,'Inventaire des produits'!$B$4:$K$1000,2,0),"")</f>
        <v>ROULEAU ALUMINIUM EXTRA PACK 200M</v>
      </c>
      <c r="G1617" s="54">
        <v>5</v>
      </c>
      <c r="H1617" s="60">
        <v>66.666666666666671</v>
      </c>
      <c r="I1617" s="275">
        <f t="shared" si="64"/>
        <v>333.33333333333337</v>
      </c>
      <c r="J1617" s="95">
        <f t="shared" si="65"/>
        <v>400.00000000000006</v>
      </c>
      <c r="K1617" s="93">
        <f>IFERROR(VLOOKUP(E1617,'Inventaire des produits'!$B$4:$J$1000,5,FALSE),"")</f>
        <v>3</v>
      </c>
      <c r="L1617" s="301">
        <f>IFERROR(VLOOKUP(E1617,'Inventaire des produits'!$B$4:$J$1000,6,FALSE),"")</f>
        <v>43.804166666666667</v>
      </c>
      <c r="M1617" s="62"/>
    </row>
    <row r="1618" spans="2:13" x14ac:dyDescent="0.3">
      <c r="B1618" s="378" t="s">
        <v>1704</v>
      </c>
      <c r="C1618" s="342"/>
      <c r="D1618" s="339"/>
      <c r="E1618" s="234" t="s">
        <v>778</v>
      </c>
      <c r="F1618" s="274" t="str">
        <f>IFERROR(VLOOKUP(E1618,'Inventaire des produits'!$B$4:$K$1000,2,0),"")</f>
        <v>POT DE SAUCE EN PLAST TRANSP 20ML</v>
      </c>
      <c r="G1618" s="54">
        <f>1000+600+600+600</f>
        <v>2800</v>
      </c>
      <c r="H1618" s="60">
        <v>0.125</v>
      </c>
      <c r="I1618" s="275">
        <f t="shared" si="64"/>
        <v>350</v>
      </c>
      <c r="J1618" s="95">
        <f t="shared" si="65"/>
        <v>420</v>
      </c>
      <c r="K1618" s="93">
        <f>IFERROR(VLOOKUP(E1618,'Inventaire des produits'!$B$4:$J$1000,5,FALSE),"")</f>
        <v>0</v>
      </c>
      <c r="L1618" s="301">
        <f>IFERROR(VLOOKUP(E1618,'Inventaire des produits'!$B$4:$J$1000,6,FALSE),"")</f>
        <v>8.3333333300000006E-2</v>
      </c>
      <c r="M1618" s="62"/>
    </row>
    <row r="1619" spans="2:13" x14ac:dyDescent="0.3">
      <c r="B1619" s="378" t="s">
        <v>1704</v>
      </c>
      <c r="C1619" s="340">
        <v>45566</v>
      </c>
      <c r="D1619" s="337" t="s">
        <v>1468</v>
      </c>
      <c r="E1619" s="234" t="s">
        <v>869</v>
      </c>
      <c r="F1619" s="274" t="str">
        <f>IFERROR(VLOOKUP(E1619,'Inventaire des produits'!$B$4:$K$1000,2,0),"")</f>
        <v>PAILLE ENVELOPPEE CODE 100 TRANS</v>
      </c>
      <c r="G1619" s="54">
        <v>42</v>
      </c>
      <c r="H1619" s="60">
        <v>8.3333333333333339</v>
      </c>
      <c r="I1619" s="275">
        <f t="shared" si="64"/>
        <v>350</v>
      </c>
      <c r="J1619" s="95">
        <f t="shared" si="65"/>
        <v>420</v>
      </c>
      <c r="K1619" s="93">
        <f>IFERROR(VLOOKUP(E1619,'Inventaire des produits'!$B$4:$J$1000,5,FALSE),"")</f>
        <v>898</v>
      </c>
      <c r="L1619" s="301">
        <f>IFERROR(VLOOKUP(E1619,'Inventaire des produits'!$B$4:$J$1000,6,FALSE),"")</f>
        <v>3.9166666659999998</v>
      </c>
      <c r="M1619" s="62">
        <f>SUM(J1619:J1626)</f>
        <v>3930.9959999999992</v>
      </c>
    </row>
    <row r="1620" spans="2:13" x14ac:dyDescent="0.3">
      <c r="B1620" s="378" t="s">
        <v>1704</v>
      </c>
      <c r="C1620" s="341"/>
      <c r="D1620" s="338"/>
      <c r="E1620" s="234" t="s">
        <v>464</v>
      </c>
      <c r="F1620" s="274" t="str">
        <f>IFERROR(VLOOKUP(E1620,'Inventaire des produits'!$B$4:$K$1000,2,0),"")</f>
        <v>PAPIER ZIGZAG</v>
      </c>
      <c r="G1620" s="54">
        <v>40</v>
      </c>
      <c r="H1620" s="60">
        <v>12.4635</v>
      </c>
      <c r="I1620" s="275">
        <f t="shared" ref="I1620:I1683" si="66">IF(OR(G1620="",H1620=""),"",G1620*H1620)</f>
        <v>498.53999999999996</v>
      </c>
      <c r="J1620" s="95">
        <f t="shared" ref="J1620:J1683" si="67">IF(OR(I1620=""),"",I1620*1.2)</f>
        <v>598.24799999999993</v>
      </c>
      <c r="K1620" s="93">
        <f>IFERROR(VLOOKUP(E1620,'Inventaire des produits'!$B$4:$J$1000,5,FALSE),"")</f>
        <v>120</v>
      </c>
      <c r="L1620" s="301">
        <f>IFERROR(VLOOKUP(E1620,'Inventaire des produits'!$B$4:$J$1000,6,FALSE),"")</f>
        <v>7.5</v>
      </c>
      <c r="M1620" s="62"/>
    </row>
    <row r="1621" spans="2:13" x14ac:dyDescent="0.3">
      <c r="B1621" s="378" t="s">
        <v>1704</v>
      </c>
      <c r="C1621" s="341"/>
      <c r="D1621" s="338"/>
      <c r="E1621" s="234" t="s">
        <v>839</v>
      </c>
      <c r="F1621" s="274" t="str">
        <f>IFERROR(VLOOKUP(E1621,'Inventaire des produits'!$B$4:$K$1000,2,0),"")</f>
        <v>FILM ALIMENTAIRE 900GR GM 30X300</v>
      </c>
      <c r="G1621" s="54">
        <v>15</v>
      </c>
      <c r="H1621" s="60">
        <v>31.66</v>
      </c>
      <c r="I1621" s="275">
        <f t="shared" si="66"/>
        <v>474.9</v>
      </c>
      <c r="J1621" s="95">
        <f t="shared" si="67"/>
        <v>569.88</v>
      </c>
      <c r="K1621" s="93">
        <f>IFERROR(VLOOKUP(E1621,'Inventaire des produits'!$B$4:$J$1000,5,FALSE),"")</f>
        <v>0</v>
      </c>
      <c r="L1621" s="301">
        <f>IFERROR(VLOOKUP(E1621,'Inventaire des produits'!$B$4:$J$1000,6,FALSE),"")</f>
        <v>20</v>
      </c>
      <c r="M1621" s="62"/>
    </row>
    <row r="1622" spans="2:13" x14ac:dyDescent="0.3">
      <c r="B1622" s="378" t="s">
        <v>1704</v>
      </c>
      <c r="C1622" s="341"/>
      <c r="D1622" s="338"/>
      <c r="E1622" s="234" t="s">
        <v>778</v>
      </c>
      <c r="F1622" s="274" t="str">
        <f>IFERROR(VLOOKUP(E1622,'Inventaire des produits'!$B$4:$K$1000,2,0),"")</f>
        <v>POT DE SAUCE EN PLAST TRANSP 20ML</v>
      </c>
      <c r="G1622" s="54">
        <v>2000</v>
      </c>
      <c r="H1622" s="60">
        <v>0.122085</v>
      </c>
      <c r="I1622" s="275">
        <f t="shared" si="66"/>
        <v>244.17</v>
      </c>
      <c r="J1622" s="95">
        <f t="shared" si="67"/>
        <v>293.00399999999996</v>
      </c>
      <c r="K1622" s="93">
        <f>IFERROR(VLOOKUP(E1622,'Inventaire des produits'!$B$4:$J$1000,5,FALSE),"")</f>
        <v>0</v>
      </c>
      <c r="L1622" s="301">
        <f>IFERROR(VLOOKUP(E1622,'Inventaire des produits'!$B$4:$J$1000,6,FALSE),"")</f>
        <v>8.3333333300000006E-2</v>
      </c>
      <c r="M1622" s="62"/>
    </row>
    <row r="1623" spans="2:13" x14ac:dyDescent="0.3">
      <c r="B1623" s="378" t="s">
        <v>1704</v>
      </c>
      <c r="C1623" s="341"/>
      <c r="D1623" s="338"/>
      <c r="E1623" s="234" t="s">
        <v>929</v>
      </c>
      <c r="F1623" s="274" t="str">
        <f>IFERROR(VLOOKUP(E1623,'Inventaire des produits'!$B$4:$K$1000,2,0),"")</f>
        <v xml:space="preserve">SERVIETTE DE TABLE </v>
      </c>
      <c r="G1623" s="54">
        <v>100</v>
      </c>
      <c r="H1623" s="60">
        <v>3.75</v>
      </c>
      <c r="I1623" s="275">
        <f t="shared" si="66"/>
        <v>375</v>
      </c>
      <c r="J1623" s="95">
        <f t="shared" si="67"/>
        <v>450</v>
      </c>
      <c r="K1623" s="93">
        <f>IFERROR(VLOOKUP(E1623,'Inventaire des produits'!$B$4:$J$1000,5,FALSE),"")</f>
        <v>0</v>
      </c>
      <c r="L1623" s="301">
        <f>IFERROR(VLOOKUP(E1623,'Inventaire des produits'!$B$4:$J$1000,6,FALSE),"")</f>
        <v>2.9169999999999998</v>
      </c>
      <c r="M1623" s="62"/>
    </row>
    <row r="1624" spans="2:13" x14ac:dyDescent="0.3">
      <c r="B1624" s="378" t="s">
        <v>1704</v>
      </c>
      <c r="C1624" s="341"/>
      <c r="D1624" s="338"/>
      <c r="E1624" s="234" t="s">
        <v>1079</v>
      </c>
      <c r="F1624" s="274" t="str">
        <f>IFERROR(VLOOKUP(E1624,'Inventaire des produits'!$B$4:$K$1000,2,0),"")</f>
        <v>FOURCHETTE ECOLUXE TRANSPARENTE</v>
      </c>
      <c r="G1624" s="54">
        <v>12</v>
      </c>
      <c r="H1624" s="60">
        <v>23.33</v>
      </c>
      <c r="I1624" s="275">
        <f t="shared" si="66"/>
        <v>279.95999999999998</v>
      </c>
      <c r="J1624" s="95">
        <f t="shared" si="67"/>
        <v>335.95199999999994</v>
      </c>
      <c r="K1624" s="93">
        <f>IFERROR(VLOOKUP(E1624,'Inventaire des produits'!$B$4:$J$1000,5,FALSE),"")</f>
        <v>0</v>
      </c>
      <c r="L1624" s="301">
        <f>IFERROR(VLOOKUP(E1624,'Inventaire des produits'!$B$4:$J$1000,6,FALSE),"")</f>
        <v>14.166665999999999</v>
      </c>
      <c r="M1624" s="62"/>
    </row>
    <row r="1625" spans="2:13" x14ac:dyDescent="0.3">
      <c r="B1625" s="378" t="s">
        <v>1704</v>
      </c>
      <c r="C1625" s="341"/>
      <c r="D1625" s="338"/>
      <c r="E1625" s="234" t="s">
        <v>1465</v>
      </c>
      <c r="F1625" s="274" t="str">
        <f>IFERROR(VLOOKUP(E1625,'Inventaire des produits'!$B$4:$K$1000,2,0),"")</f>
        <v>COUTEAU LUXE TRANSPARENTE</v>
      </c>
      <c r="G1625" s="54">
        <v>22</v>
      </c>
      <c r="H1625" s="60">
        <v>23.33</v>
      </c>
      <c r="I1625" s="275">
        <f t="shared" si="66"/>
        <v>513.26</v>
      </c>
      <c r="J1625" s="95">
        <f t="shared" si="67"/>
        <v>615.91199999999992</v>
      </c>
      <c r="K1625" s="93">
        <f>IFERROR(VLOOKUP(E1625,'Inventaire des produits'!$B$4:$J$1000,5,FALSE),"")</f>
        <v>27</v>
      </c>
      <c r="L1625" s="301">
        <f>IFERROR(VLOOKUP(E1625,'Inventaire des produits'!$B$4:$J$1000,6,FALSE),"")</f>
        <v>15</v>
      </c>
      <c r="M1625" s="62"/>
    </row>
    <row r="1626" spans="2:13" x14ac:dyDescent="0.3">
      <c r="B1626" s="378" t="s">
        <v>1704</v>
      </c>
      <c r="C1626" s="342"/>
      <c r="D1626" s="339"/>
      <c r="E1626" s="234" t="s">
        <v>1394</v>
      </c>
      <c r="F1626" s="274" t="str">
        <f>IFERROR(VLOOKUP(E1626,'Inventaire des produits'!$B$4:$K$1000,2,0),"")</f>
        <v>SAC KRAFT ECRU 26*17*28 IMP</v>
      </c>
      <c r="G1626" s="54">
        <v>500</v>
      </c>
      <c r="H1626" s="60">
        <v>1.08</v>
      </c>
      <c r="I1626" s="275">
        <f t="shared" si="66"/>
        <v>540</v>
      </c>
      <c r="J1626" s="95">
        <f t="shared" si="67"/>
        <v>648</v>
      </c>
      <c r="K1626" s="93">
        <f>IFERROR(VLOOKUP(E1626,'Inventaire des produits'!$B$4:$J$1000,5,FALSE),"")</f>
        <v>2250</v>
      </c>
      <c r="L1626" s="301">
        <f>IFERROR(VLOOKUP(E1626,'Inventaire des produits'!$B$4:$J$1000,6,FALSE),"")</f>
        <v>0.75</v>
      </c>
      <c r="M1626" s="62"/>
    </row>
    <row r="1627" spans="2:13" x14ac:dyDescent="0.3">
      <c r="B1627" s="378" t="s">
        <v>1704</v>
      </c>
      <c r="C1627" s="340">
        <v>45567</v>
      </c>
      <c r="D1627" s="337" t="s">
        <v>1469</v>
      </c>
      <c r="E1627" s="234" t="s">
        <v>1390</v>
      </c>
      <c r="F1627" s="274" t="str">
        <f>IFERROR(VLOOKUP(E1627,'Inventaire des produits'!$B$4:$K$1000,2,0),"")</f>
        <v>ROULEAU ALUMINIUM EXTRA PACK 200M</v>
      </c>
      <c r="G1627" s="54">
        <v>16</v>
      </c>
      <c r="H1627" s="60">
        <v>64.518000000000001</v>
      </c>
      <c r="I1627" s="275">
        <f t="shared" si="66"/>
        <v>1032.288</v>
      </c>
      <c r="J1627" s="95">
        <f t="shared" si="67"/>
        <v>1238.7456</v>
      </c>
      <c r="K1627" s="93">
        <f>IFERROR(VLOOKUP(E1627,'Inventaire des produits'!$B$4:$J$1000,5,FALSE),"")</f>
        <v>3</v>
      </c>
      <c r="L1627" s="301">
        <f>IFERROR(VLOOKUP(E1627,'Inventaire des produits'!$B$4:$J$1000,6,FALSE),"")</f>
        <v>43.804166666666667</v>
      </c>
      <c r="M1627" s="62">
        <f>SUM(J1627:J1633)</f>
        <v>4744.9975999999997</v>
      </c>
    </row>
    <row r="1628" spans="2:13" x14ac:dyDescent="0.3">
      <c r="B1628" s="378" t="s">
        <v>1704</v>
      </c>
      <c r="C1628" s="341"/>
      <c r="D1628" s="338"/>
      <c r="E1628" s="234" t="s">
        <v>869</v>
      </c>
      <c r="F1628" s="274" t="str">
        <f>IFERROR(VLOOKUP(E1628,'Inventaire des produits'!$B$4:$K$1000,2,0),"")</f>
        <v>PAILLE ENVELOPPEE CODE 100 TRANS</v>
      </c>
      <c r="G1628" s="54">
        <v>20</v>
      </c>
      <c r="H1628" s="60">
        <v>6.25</v>
      </c>
      <c r="I1628" s="275">
        <f t="shared" si="66"/>
        <v>125</v>
      </c>
      <c r="J1628" s="95">
        <f t="shared" si="67"/>
        <v>150</v>
      </c>
      <c r="K1628" s="93">
        <f>IFERROR(VLOOKUP(E1628,'Inventaire des produits'!$B$4:$J$1000,5,FALSE),"")</f>
        <v>898</v>
      </c>
      <c r="L1628" s="301">
        <f>IFERROR(VLOOKUP(E1628,'Inventaire des produits'!$B$4:$J$1000,6,FALSE),"")</f>
        <v>3.9166666659999998</v>
      </c>
      <c r="M1628" s="62"/>
    </row>
    <row r="1629" spans="2:13" x14ac:dyDescent="0.3">
      <c r="B1629" s="378" t="s">
        <v>1704</v>
      </c>
      <c r="C1629" s="341"/>
      <c r="D1629" s="338"/>
      <c r="E1629" s="234" t="s">
        <v>778</v>
      </c>
      <c r="F1629" s="274" t="str">
        <f>IFERROR(VLOOKUP(E1629,'Inventaire des produits'!$B$4:$K$1000,2,0),"")</f>
        <v>POT DE SAUCE EN PLAST TRANSP 20ML</v>
      </c>
      <c r="G1629" s="54">
        <v>3000</v>
      </c>
      <c r="H1629" s="60">
        <v>6.8070000000000006E-2</v>
      </c>
      <c r="I1629" s="275">
        <f t="shared" si="66"/>
        <v>204.21</v>
      </c>
      <c r="J1629" s="95">
        <f t="shared" si="67"/>
        <v>245.05199999999999</v>
      </c>
      <c r="K1629" s="93">
        <f>IFERROR(VLOOKUP(E1629,'Inventaire des produits'!$B$4:$J$1000,5,FALSE),"")</f>
        <v>0</v>
      </c>
      <c r="L1629" s="301">
        <f>IFERROR(VLOOKUP(E1629,'Inventaire des produits'!$B$4:$J$1000,6,FALSE),"")</f>
        <v>8.3333333300000006E-2</v>
      </c>
      <c r="M1629" s="62"/>
    </row>
    <row r="1630" spans="2:13" x14ac:dyDescent="0.3">
      <c r="B1630" s="378" t="s">
        <v>1704</v>
      </c>
      <c r="C1630" s="341"/>
      <c r="D1630" s="338"/>
      <c r="E1630" s="234" t="s">
        <v>1190</v>
      </c>
      <c r="F1630" s="274" t="str">
        <f>IFERROR(VLOOKUP(E1630,'Inventaire des produits'!$B$4:$K$1000,2,0),"")</f>
        <v>GOBLET 12OZ EN PLAST TRANS SMART AVEC CVL PLAT</v>
      </c>
      <c r="G1630" s="54">
        <v>1000</v>
      </c>
      <c r="H1630" s="60">
        <v>0.6</v>
      </c>
      <c r="I1630" s="275">
        <f t="shared" si="66"/>
        <v>600</v>
      </c>
      <c r="J1630" s="95">
        <f t="shared" si="67"/>
        <v>720</v>
      </c>
      <c r="K1630" s="93">
        <f>IFERROR(VLOOKUP(E1630,'Inventaire des produits'!$B$4:$J$1000,5,FALSE),"")</f>
        <v>0</v>
      </c>
      <c r="L1630" s="301">
        <f>IFERROR(VLOOKUP(E1630,'Inventaire des produits'!$B$4:$J$1000,6,FALSE),"")</f>
        <v>0.55555833333333338</v>
      </c>
      <c r="M1630" s="62"/>
    </row>
    <row r="1631" spans="2:13" x14ac:dyDescent="0.3">
      <c r="B1631" s="378" t="s">
        <v>1704</v>
      </c>
      <c r="C1631" s="341"/>
      <c r="D1631" s="338"/>
      <c r="E1631" s="234" t="s">
        <v>604</v>
      </c>
      <c r="F1631" s="274" t="str">
        <f>IFERROR(VLOOKUP(E1631,'Inventaire des produits'!$B$4:$K$1000,2,0),"")</f>
        <v>FILM PVC STRECH VIOLET</v>
      </c>
      <c r="G1631" s="54">
        <v>20</v>
      </c>
      <c r="H1631" s="60">
        <v>58.333333333333336</v>
      </c>
      <c r="I1631" s="275">
        <f t="shared" si="66"/>
        <v>1166.6666666666667</v>
      </c>
      <c r="J1631" s="95">
        <f t="shared" si="67"/>
        <v>1400</v>
      </c>
      <c r="K1631" s="93">
        <f>IFERROR(VLOOKUP(E1631,'Inventaire des produits'!$B$4:$J$1000,5,FALSE),"")</f>
        <v>0</v>
      </c>
      <c r="L1631" s="301">
        <f>IFERROR(VLOOKUP(E1631,'Inventaire des produits'!$B$4:$J$1000,6,FALSE),"")</f>
        <v>54.17</v>
      </c>
      <c r="M1631" s="62"/>
    </row>
    <row r="1632" spans="2:13" x14ac:dyDescent="0.3">
      <c r="B1632" s="378" t="s">
        <v>1704</v>
      </c>
      <c r="C1632" s="341"/>
      <c r="D1632" s="338"/>
      <c r="E1632" s="234" t="s">
        <v>1294</v>
      </c>
      <c r="F1632" s="274" t="str">
        <f>IFERROR(VLOOKUP(E1632,'Inventaire des produits'!$B$4:$K$1000,2,0),"")</f>
        <v>BARQUETTE ALUMINIUM RECT 1200ML AVEC CVL</v>
      </c>
      <c r="G1632" s="54">
        <v>400</v>
      </c>
      <c r="H1632" s="60">
        <v>0.89</v>
      </c>
      <c r="I1632" s="275">
        <f t="shared" si="66"/>
        <v>356</v>
      </c>
      <c r="J1632" s="95">
        <f t="shared" si="67"/>
        <v>427.2</v>
      </c>
      <c r="K1632" s="93">
        <f>IFERROR(VLOOKUP(E1632,'Inventaire des produits'!$B$4:$J$1000,5,FALSE),"")</f>
        <v>4000</v>
      </c>
      <c r="L1632" s="301">
        <f>IFERROR(VLOOKUP(E1632,'Inventaire des produits'!$B$4:$J$1000,6,FALSE),"")</f>
        <v>1.3666666667</v>
      </c>
      <c r="M1632" s="62"/>
    </row>
    <row r="1633" spans="2:13" x14ac:dyDescent="0.3">
      <c r="B1633" s="378" t="s">
        <v>1704</v>
      </c>
      <c r="C1633" s="342"/>
      <c r="D1633" s="339"/>
      <c r="E1633" s="234" t="s">
        <v>779</v>
      </c>
      <c r="F1633" s="274" t="str">
        <f>IFERROR(VLOOKUP(E1633,'Inventaire des produits'!$B$4:$K$1000,2,0),"")</f>
        <v>BARQUETTE ALUMINIUM 83420</v>
      </c>
      <c r="G1633" s="54">
        <v>1000</v>
      </c>
      <c r="H1633" s="60">
        <v>0.47</v>
      </c>
      <c r="I1633" s="275">
        <f t="shared" si="66"/>
        <v>470</v>
      </c>
      <c r="J1633" s="95">
        <f t="shared" si="67"/>
        <v>564</v>
      </c>
      <c r="K1633" s="93">
        <f>IFERROR(VLOOKUP(E1633,'Inventaire des produits'!$B$4:$J$1000,5,FALSE),"")</f>
        <v>0</v>
      </c>
      <c r="L1633" s="301">
        <f>IFERROR(VLOOKUP(E1633,'Inventaire des produits'!$B$4:$J$1000,6,FALSE),"")</f>
        <v>0.30833333330000001</v>
      </c>
      <c r="M1633" s="62"/>
    </row>
    <row r="1634" spans="2:13" x14ac:dyDescent="0.3">
      <c r="B1634" s="378" t="s">
        <v>1704</v>
      </c>
      <c r="C1634" s="55">
        <v>45568</v>
      </c>
      <c r="D1634" s="54" t="s">
        <v>1471</v>
      </c>
      <c r="E1634" s="234" t="s">
        <v>1339</v>
      </c>
      <c r="F1634" s="274" t="str">
        <f>IFERROR(VLOOKUP(E1634,'Inventaire des produits'!$B$4:$K$1000,2,0),"")</f>
        <v>BOITE PIZZA 29</v>
      </c>
      <c r="G1634" s="54">
        <v>20</v>
      </c>
      <c r="H1634" s="60">
        <f>95/1.2</f>
        <v>79.166666666666671</v>
      </c>
      <c r="I1634" s="275">
        <f t="shared" si="66"/>
        <v>1583.3333333333335</v>
      </c>
      <c r="J1634" s="95">
        <f t="shared" si="67"/>
        <v>1900</v>
      </c>
      <c r="K1634" s="93">
        <f>IFERROR(VLOOKUP(E1634,'Inventaire des produits'!$B$4:$J$1000,5,FALSE),"")</f>
        <v>1</v>
      </c>
      <c r="L1634" s="301">
        <f>IFERROR(VLOOKUP(E1634,'Inventaire des produits'!$B$4:$J$1000,6,FALSE),"")</f>
        <v>58</v>
      </c>
      <c r="M1634" s="62">
        <v>1900</v>
      </c>
    </row>
    <row r="1635" spans="2:13" x14ac:dyDescent="0.3">
      <c r="B1635" s="378" t="s">
        <v>1704</v>
      </c>
      <c r="C1635" s="55">
        <v>45568</v>
      </c>
      <c r="D1635" s="54" t="s">
        <v>1472</v>
      </c>
      <c r="E1635" s="234" t="s">
        <v>604</v>
      </c>
      <c r="F1635" s="274" t="str">
        <f>IFERROR(VLOOKUP(E1635,'Inventaire des produits'!$B$4:$K$1000,2,0),"")</f>
        <v>FILM PVC STRECH VIOLET</v>
      </c>
      <c r="G1635" s="54">
        <v>80</v>
      </c>
      <c r="H1635" s="60">
        <v>57.291699999999999</v>
      </c>
      <c r="I1635" s="275">
        <f t="shared" si="66"/>
        <v>4583.3360000000002</v>
      </c>
      <c r="J1635" s="95">
        <f t="shared" si="67"/>
        <v>5500.0032000000001</v>
      </c>
      <c r="K1635" s="93">
        <f>IFERROR(VLOOKUP(E1635,'Inventaire des produits'!$B$4:$J$1000,5,FALSE),"")</f>
        <v>0</v>
      </c>
      <c r="L1635" s="301">
        <f>IFERROR(VLOOKUP(E1635,'Inventaire des produits'!$B$4:$J$1000,6,FALSE),"")</f>
        <v>54.17</v>
      </c>
      <c r="M1635" s="62">
        <v>5500.0032000000001</v>
      </c>
    </row>
    <row r="1636" spans="2:13" x14ac:dyDescent="0.3">
      <c r="B1636" s="378" t="s">
        <v>1704</v>
      </c>
      <c r="C1636" s="340">
        <v>45569</v>
      </c>
      <c r="D1636" s="337" t="s">
        <v>1473</v>
      </c>
      <c r="E1636" s="234" t="s">
        <v>929</v>
      </c>
      <c r="F1636" s="274" t="str">
        <f>IFERROR(VLOOKUP(E1636,'Inventaire des produits'!$B$4:$K$1000,2,0),"")</f>
        <v xml:space="preserve">SERVIETTE DE TABLE </v>
      </c>
      <c r="G1636" s="54">
        <v>20</v>
      </c>
      <c r="H1636" s="60">
        <v>4</v>
      </c>
      <c r="I1636" s="275">
        <f t="shared" si="66"/>
        <v>80</v>
      </c>
      <c r="J1636" s="95">
        <f t="shared" si="67"/>
        <v>96</v>
      </c>
      <c r="K1636" s="93">
        <f>IFERROR(VLOOKUP(E1636,'Inventaire des produits'!$B$4:$J$1000,5,FALSE),"")</f>
        <v>0</v>
      </c>
      <c r="L1636" s="301">
        <f>IFERROR(VLOOKUP(E1636,'Inventaire des produits'!$B$4:$J$1000,6,FALSE),"")</f>
        <v>2.9169999999999998</v>
      </c>
      <c r="M1636" s="62">
        <f>SUM(J1636:J1642)</f>
        <v>1255.0039680000002</v>
      </c>
    </row>
    <row r="1637" spans="2:13" x14ac:dyDescent="0.3">
      <c r="B1637" s="378" t="s">
        <v>1704</v>
      </c>
      <c r="C1637" s="341"/>
      <c r="D1637" s="338"/>
      <c r="E1637" s="234" t="s">
        <v>1394</v>
      </c>
      <c r="F1637" s="274" t="str">
        <f>IFERROR(VLOOKUP(E1637,'Inventaire des produits'!$B$4:$K$1000,2,0),"")</f>
        <v>SAC KRAFT ECRU 26*17*28 IMP</v>
      </c>
      <c r="G1637" s="54">
        <v>250</v>
      </c>
      <c r="H1637" s="60">
        <f>1.3/1.2</f>
        <v>1.0833333333333335</v>
      </c>
      <c r="I1637" s="275">
        <f t="shared" si="66"/>
        <v>270.83333333333337</v>
      </c>
      <c r="J1637" s="95">
        <f t="shared" si="67"/>
        <v>325.00000000000006</v>
      </c>
      <c r="K1637" s="93">
        <f>IFERROR(VLOOKUP(E1637,'Inventaire des produits'!$B$4:$J$1000,5,FALSE),"")</f>
        <v>2250</v>
      </c>
      <c r="L1637" s="301">
        <f>IFERROR(VLOOKUP(E1637,'Inventaire des produits'!$B$4:$J$1000,6,FALSE),"")</f>
        <v>0.75</v>
      </c>
      <c r="M1637" s="62"/>
    </row>
    <row r="1638" spans="2:13" x14ac:dyDescent="0.3">
      <c r="B1638" s="378" t="s">
        <v>1704</v>
      </c>
      <c r="C1638" s="341"/>
      <c r="D1638" s="338"/>
      <c r="E1638" s="234" t="s">
        <v>1254</v>
      </c>
      <c r="F1638" s="274" t="str">
        <f>IFERROR(VLOOKUP(E1638,'Inventaire des produits'!$B$4:$K$1000,2,0),"")</f>
        <v>GOBLET 7OZ</v>
      </c>
      <c r="G1638" s="54">
        <v>600</v>
      </c>
      <c r="H1638" s="60">
        <v>0.38395000000000001</v>
      </c>
      <c r="I1638" s="275">
        <f t="shared" si="66"/>
        <v>230.37</v>
      </c>
      <c r="J1638" s="95">
        <f t="shared" si="67"/>
        <v>276.44400000000002</v>
      </c>
      <c r="K1638" s="93">
        <f>IFERROR(VLOOKUP(E1638,'Inventaire des produits'!$B$4:$J$1000,5,FALSE),"")</f>
        <v>0</v>
      </c>
      <c r="L1638" s="301">
        <f>IFERROR(VLOOKUP(E1638,'Inventaire des produits'!$B$4:$J$1000,6,FALSE),"")</f>
        <v>0.33</v>
      </c>
      <c r="M1638" s="62"/>
    </row>
    <row r="1639" spans="2:13" x14ac:dyDescent="0.3">
      <c r="B1639" s="378" t="s">
        <v>1704</v>
      </c>
      <c r="C1639" s="341"/>
      <c r="D1639" s="338"/>
      <c r="E1639" s="234" t="s">
        <v>1465</v>
      </c>
      <c r="F1639" s="274" t="str">
        <f>IFERROR(VLOOKUP(E1639,'Inventaire des produits'!$B$4:$K$1000,2,0),"")</f>
        <v>COUTEAU LUXE TRANSPARENTE</v>
      </c>
      <c r="G1639" s="54">
        <v>8</v>
      </c>
      <c r="H1639" s="60">
        <f>28/1.2</f>
        <v>23.333333333333336</v>
      </c>
      <c r="I1639" s="275">
        <f t="shared" si="66"/>
        <v>186.66666666666669</v>
      </c>
      <c r="J1639" s="95">
        <f t="shared" si="67"/>
        <v>224.00000000000003</v>
      </c>
      <c r="K1639" s="93">
        <f>IFERROR(VLOOKUP(E1639,'Inventaire des produits'!$B$4:$J$1000,5,FALSE),"")</f>
        <v>27</v>
      </c>
      <c r="L1639" s="301">
        <f>IFERROR(VLOOKUP(E1639,'Inventaire des produits'!$B$4:$J$1000,6,FALSE),"")</f>
        <v>15</v>
      </c>
      <c r="M1639" s="62"/>
    </row>
    <row r="1640" spans="2:13" x14ac:dyDescent="0.3">
      <c r="B1640" s="378" t="s">
        <v>1704</v>
      </c>
      <c r="C1640" s="341"/>
      <c r="D1640" s="338"/>
      <c r="E1640" s="234" t="s">
        <v>412</v>
      </c>
      <c r="F1640" s="274" t="str">
        <f>IFERROR(VLOOKUP(E1640,'Inventaire des produits'!$B$4:$K$1000,2,0),"")</f>
        <v>SACHET VERGER KG</v>
      </c>
      <c r="G1640" s="54">
        <v>2</v>
      </c>
      <c r="H1640" s="60">
        <v>18</v>
      </c>
      <c r="I1640" s="275">
        <f t="shared" si="66"/>
        <v>36</v>
      </c>
      <c r="J1640" s="95">
        <f t="shared" si="67"/>
        <v>43.199999999999996</v>
      </c>
      <c r="K1640" s="93">
        <f>IFERROR(VLOOKUP(E1640,'Inventaire des produits'!$B$4:$J$1000,5,FALSE),"")</f>
        <v>0</v>
      </c>
      <c r="L1640" s="301">
        <f>IFERROR(VLOOKUP(E1640,'Inventaire des produits'!$B$4:$J$1000,6,FALSE),"")</f>
        <v>15</v>
      </c>
      <c r="M1640" s="62"/>
    </row>
    <row r="1641" spans="2:13" x14ac:dyDescent="0.3">
      <c r="B1641" s="378" t="s">
        <v>1704</v>
      </c>
      <c r="C1641" s="341"/>
      <c r="D1641" s="338"/>
      <c r="E1641" s="234" t="s">
        <v>1278</v>
      </c>
      <c r="F1641" s="274" t="str">
        <f>IFERROR(VLOOKUP(E1641,'Inventaire des produits'!$B$4:$K$1000,2,0),"")</f>
        <v>CUILLERE JETABLE ECO BLANCHE 100U</v>
      </c>
      <c r="G1641" s="54">
        <v>7</v>
      </c>
      <c r="H1641" s="60">
        <v>7.9</v>
      </c>
      <c r="I1641" s="275">
        <f t="shared" si="66"/>
        <v>55.300000000000004</v>
      </c>
      <c r="J1641" s="95">
        <f t="shared" si="67"/>
        <v>66.36</v>
      </c>
      <c r="K1641" s="93">
        <f>IFERROR(VLOOKUP(E1641,'Inventaire des produits'!$B$4:$J$1000,5,FALSE),"")</f>
        <v>0</v>
      </c>
      <c r="L1641" s="301">
        <f>IFERROR(VLOOKUP(E1641,'Inventaire des produits'!$B$4:$J$1000,6,FALSE),"")</f>
        <v>6.5834000000000001</v>
      </c>
      <c r="M1641" s="62"/>
    </row>
    <row r="1642" spans="2:13" x14ac:dyDescent="0.3">
      <c r="B1642" s="378" t="s">
        <v>1704</v>
      </c>
      <c r="C1642" s="342"/>
      <c r="D1642" s="339"/>
      <c r="E1642" s="234" t="s">
        <v>726</v>
      </c>
      <c r="F1642" s="274" t="str">
        <f>IFERROR(VLOOKUP(E1642,'Inventaire des produits'!$B$4:$K$1000,2,0),"")</f>
        <v>PALETTE A GLACE BLANC</v>
      </c>
      <c r="G1642" s="54">
        <v>8</v>
      </c>
      <c r="H1642" s="60">
        <v>23.33333</v>
      </c>
      <c r="I1642" s="275">
        <f t="shared" si="66"/>
        <v>186.66664</v>
      </c>
      <c r="J1642" s="95">
        <f t="shared" si="67"/>
        <v>223.999968</v>
      </c>
      <c r="K1642" s="93">
        <f>IFERROR(VLOOKUP(E1642,'Inventaire des produits'!$B$4:$J$1000,5,FALSE),"")</f>
        <v>0</v>
      </c>
      <c r="L1642" s="301">
        <f>IFERROR(VLOOKUP(E1642,'Inventaire des produits'!$B$4:$J$1000,6,FALSE),"")</f>
        <v>16.03</v>
      </c>
      <c r="M1642" s="62"/>
    </row>
    <row r="1643" spans="2:13" x14ac:dyDescent="0.3">
      <c r="B1643" s="378" t="s">
        <v>1704</v>
      </c>
      <c r="C1643" s="340">
        <v>45569</v>
      </c>
      <c r="D1643" s="337" t="s">
        <v>1474</v>
      </c>
      <c r="E1643" s="234" t="s">
        <v>93</v>
      </c>
      <c r="F1643" s="274" t="str">
        <f>IFERROR(VLOOKUP(E1643,'Inventaire des produits'!$B$4:$K$1000,2,0),"")</f>
        <v>BARQUETTE POLYSTER 2 COMP CARTON 100PCS</v>
      </c>
      <c r="G1643" s="54">
        <v>1</v>
      </c>
      <c r="H1643" s="60">
        <v>120</v>
      </c>
      <c r="I1643" s="275">
        <f t="shared" si="66"/>
        <v>120</v>
      </c>
      <c r="J1643" s="95">
        <f t="shared" si="67"/>
        <v>144</v>
      </c>
      <c r="K1643" s="93">
        <f>IFERROR(VLOOKUP(E1643,'Inventaire des produits'!$B$4:$J$1000,5,FALSE),"")</f>
        <v>0</v>
      </c>
      <c r="L1643" s="301">
        <f>IFERROR(VLOOKUP(E1643,'Inventaire des produits'!$B$4:$J$1000,6,FALSE),"")</f>
        <v>105.3</v>
      </c>
      <c r="M1643" s="62">
        <f>SUM(J1643:J1649)</f>
        <v>2000.0039999999997</v>
      </c>
    </row>
    <row r="1644" spans="2:13" x14ac:dyDescent="0.3">
      <c r="B1644" s="378" t="s">
        <v>1704</v>
      </c>
      <c r="C1644" s="341"/>
      <c r="D1644" s="338"/>
      <c r="E1644" s="234" t="s">
        <v>87</v>
      </c>
      <c r="F1644" s="274" t="str">
        <f>IFERROR(VLOOKUP(E1644,'Inventaire des produits'!$B$4:$K$1000,2,0),"")</f>
        <v>PAPIER HYGIENIQUE</v>
      </c>
      <c r="G1644" s="54">
        <v>1</v>
      </c>
      <c r="H1644" s="60">
        <v>9</v>
      </c>
      <c r="I1644" s="275">
        <f t="shared" si="66"/>
        <v>9</v>
      </c>
      <c r="J1644" s="95">
        <f t="shared" si="67"/>
        <v>10.799999999999999</v>
      </c>
      <c r="K1644" s="93">
        <f>IFERROR(VLOOKUP(E1644,'Inventaire des produits'!$B$4:$J$1000,5,FALSE),"")</f>
        <v>0</v>
      </c>
      <c r="L1644" s="301">
        <f>IFERROR(VLOOKUP(E1644,'Inventaire des produits'!$B$4:$J$1000,6,FALSE),"")</f>
        <v>1.6416666666999999</v>
      </c>
      <c r="M1644" s="62"/>
    </row>
    <row r="1645" spans="2:13" x14ac:dyDescent="0.3">
      <c r="B1645" s="378" t="s">
        <v>1704</v>
      </c>
      <c r="C1645" s="341"/>
      <c r="D1645" s="338"/>
      <c r="E1645" s="234" t="s">
        <v>149</v>
      </c>
      <c r="F1645" s="274" t="str">
        <f>IFERROR(VLOOKUP(E1645,'Inventaire des produits'!$B$4:$K$1000,2,0),"")</f>
        <v>BARQUETTE SUSHI ST2 218*90*20+CVRC</v>
      </c>
      <c r="G1645" s="54">
        <v>700</v>
      </c>
      <c r="H1645" s="60">
        <v>1.101</v>
      </c>
      <c r="I1645" s="275">
        <f t="shared" si="66"/>
        <v>770.69999999999993</v>
      </c>
      <c r="J1645" s="95">
        <f t="shared" si="67"/>
        <v>924.83999999999992</v>
      </c>
      <c r="K1645" s="93">
        <f>IFERROR(VLOOKUP(E1645,'Inventaire des produits'!$B$4:$J$1000,5,FALSE),"")</f>
        <v>0</v>
      </c>
      <c r="L1645" s="301">
        <f>IFERROR(VLOOKUP(E1645,'Inventaire des produits'!$B$4:$J$1000,6,FALSE),"")</f>
        <v>1</v>
      </c>
      <c r="M1645" s="62"/>
    </row>
    <row r="1646" spans="2:13" x14ac:dyDescent="0.3">
      <c r="B1646" s="378" t="s">
        <v>1704</v>
      </c>
      <c r="C1646" s="341"/>
      <c r="D1646" s="338"/>
      <c r="E1646" s="234" t="s">
        <v>181</v>
      </c>
      <c r="F1646" s="274" t="str">
        <f>IFERROR(VLOOKUP(E1646,'Inventaire des produits'!$B$4:$K$1000,2,0),"")</f>
        <v>FILM ALIMENTAIRE 900GR</v>
      </c>
      <c r="G1646" s="54">
        <v>1</v>
      </c>
      <c r="H1646" s="60">
        <v>29</v>
      </c>
      <c r="I1646" s="275">
        <f t="shared" si="66"/>
        <v>29</v>
      </c>
      <c r="J1646" s="95">
        <f t="shared" si="67"/>
        <v>34.799999999999997</v>
      </c>
      <c r="K1646" s="93">
        <f>IFERROR(VLOOKUP(E1646,'Inventaire des produits'!$B$4:$J$1000,5,FALSE),"")</f>
        <v>0</v>
      </c>
      <c r="L1646" s="301">
        <f>IFERROR(VLOOKUP(E1646,'Inventaire des produits'!$B$4:$J$1000,6,FALSE),"")</f>
        <v>22.5</v>
      </c>
      <c r="M1646" s="62"/>
    </row>
    <row r="1647" spans="2:13" x14ac:dyDescent="0.3">
      <c r="B1647" s="378" t="s">
        <v>1704</v>
      </c>
      <c r="C1647" s="341"/>
      <c r="D1647" s="338"/>
      <c r="E1647" s="234" t="s">
        <v>192</v>
      </c>
      <c r="F1647" s="274" t="str">
        <f>IFERROR(VLOOKUP(E1647,'Inventaire des produits'!$B$4:$K$1000,2,0),"")</f>
        <v>FOURCHETTE BLANC 60PCS</v>
      </c>
      <c r="G1647" s="54">
        <v>44</v>
      </c>
      <c r="H1647" s="60">
        <v>7</v>
      </c>
      <c r="I1647" s="275">
        <f t="shared" si="66"/>
        <v>308</v>
      </c>
      <c r="J1647" s="95">
        <f t="shared" si="67"/>
        <v>369.59999999999997</v>
      </c>
      <c r="K1647" s="93">
        <f>IFERROR(VLOOKUP(E1647,'Inventaire des produits'!$B$4:$J$1000,5,FALSE),"")</f>
        <v>0</v>
      </c>
      <c r="L1647" s="301">
        <f>IFERROR(VLOOKUP(E1647,'Inventaire des produits'!$B$4:$J$1000,6,FALSE),"")</f>
        <v>5.8333333329999997</v>
      </c>
      <c r="M1647" s="62"/>
    </row>
    <row r="1648" spans="2:13" x14ac:dyDescent="0.3">
      <c r="B1648" s="378" t="s">
        <v>1704</v>
      </c>
      <c r="C1648" s="341"/>
      <c r="D1648" s="338"/>
      <c r="E1648" s="234" t="s">
        <v>242</v>
      </c>
      <c r="F1648" s="274" t="str">
        <f>IFERROR(VLOOKUP(E1648,'Inventaire des produits'!$B$4:$K$1000,2,0),"")</f>
        <v>FILM ALIMENTAIRE 400G</v>
      </c>
      <c r="G1648" s="54">
        <v>23</v>
      </c>
      <c r="H1648" s="60">
        <v>17</v>
      </c>
      <c r="I1648" s="275">
        <f t="shared" si="66"/>
        <v>391</v>
      </c>
      <c r="J1648" s="95">
        <f t="shared" si="67"/>
        <v>469.2</v>
      </c>
      <c r="K1648" s="93">
        <f>IFERROR(VLOOKUP(E1648,'Inventaire des produits'!$B$4:$J$1000,5,FALSE),"")</f>
        <v>0</v>
      </c>
      <c r="L1648" s="301">
        <f>IFERROR(VLOOKUP(E1648,'Inventaire des produits'!$B$4:$J$1000,6,FALSE),"")</f>
        <v>11</v>
      </c>
      <c r="M1648" s="62"/>
    </row>
    <row r="1649" spans="2:13" x14ac:dyDescent="0.3">
      <c r="B1649" s="378" t="s">
        <v>1704</v>
      </c>
      <c r="C1649" s="342"/>
      <c r="D1649" s="339"/>
      <c r="E1649" s="234" t="s">
        <v>243</v>
      </c>
      <c r="F1649" s="274" t="str">
        <f>IFERROR(VLOOKUP(E1649,'Inventaire des produits'!$B$4:$K$1000,2,0),"")</f>
        <v>BARQUETTE ALUMINIUM 250</v>
      </c>
      <c r="G1649" s="54">
        <v>100</v>
      </c>
      <c r="H1649" s="60">
        <v>0.38969999999999999</v>
      </c>
      <c r="I1649" s="275">
        <f t="shared" si="66"/>
        <v>38.97</v>
      </c>
      <c r="J1649" s="95">
        <f t="shared" si="67"/>
        <v>46.763999999999996</v>
      </c>
      <c r="K1649" s="93">
        <f>IFERROR(VLOOKUP(E1649,'Inventaire des produits'!$B$4:$J$1000,5,FALSE),"")</f>
        <v>0</v>
      </c>
      <c r="L1649" s="301">
        <f>IFERROR(VLOOKUP(E1649,'Inventaire des produits'!$B$4:$J$1000,6,FALSE),"")</f>
        <v>0.26600000000000001</v>
      </c>
      <c r="M1649" s="62"/>
    </row>
    <row r="1650" spans="2:13" x14ac:dyDescent="0.3">
      <c r="B1650" s="378" t="s">
        <v>1704</v>
      </c>
      <c r="C1650" s="340">
        <v>45569</v>
      </c>
      <c r="D1650" s="337" t="s">
        <v>1475</v>
      </c>
      <c r="E1650" s="234" t="s">
        <v>242</v>
      </c>
      <c r="F1650" s="274" t="str">
        <f>IFERROR(VLOOKUP(E1650,'Inventaire des produits'!$B$4:$K$1000,2,0),"")</f>
        <v>FILM ALIMENTAIRE 400G</v>
      </c>
      <c r="G1650" s="54">
        <v>19</v>
      </c>
      <c r="H1650" s="60">
        <v>20</v>
      </c>
      <c r="I1650" s="275">
        <f t="shared" si="66"/>
        <v>380</v>
      </c>
      <c r="J1650" s="95">
        <f t="shared" si="67"/>
        <v>456</v>
      </c>
      <c r="K1650" s="93">
        <f>IFERROR(VLOOKUP(E1650,'Inventaire des produits'!$B$4:$J$1000,5,FALSE),"")</f>
        <v>0</v>
      </c>
      <c r="L1650" s="301">
        <f>IFERROR(VLOOKUP(E1650,'Inventaire des produits'!$B$4:$J$1000,6,FALSE),"")</f>
        <v>11</v>
      </c>
      <c r="M1650" s="62">
        <f>SUM(J1650:J1655)</f>
        <v>2499.9960000000001</v>
      </c>
    </row>
    <row r="1651" spans="2:13" x14ac:dyDescent="0.3">
      <c r="B1651" s="378" t="s">
        <v>1704</v>
      </c>
      <c r="C1651" s="341"/>
      <c r="D1651" s="338"/>
      <c r="E1651" s="234" t="s">
        <v>258</v>
      </c>
      <c r="F1651" s="274" t="str">
        <f>IFERROR(VLOOKUP(E1651,'Inventaire des produits'!$B$4:$K$1000,2,0),"")</f>
        <v>BARQUETTE ST5</v>
      </c>
      <c r="G1651" s="54">
        <v>100</v>
      </c>
      <c r="H1651" s="60">
        <v>1.5483</v>
      </c>
      <c r="I1651" s="275">
        <f t="shared" si="66"/>
        <v>154.83000000000001</v>
      </c>
      <c r="J1651" s="95">
        <f t="shared" si="67"/>
        <v>185.79600000000002</v>
      </c>
      <c r="K1651" s="93">
        <f>IFERROR(VLOOKUP(E1651,'Inventaire des produits'!$B$4:$J$1000,5,FALSE),"")</f>
        <v>0</v>
      </c>
      <c r="L1651" s="301">
        <f>IFERROR(VLOOKUP(E1651,'Inventaire des produits'!$B$4:$J$1000,6,FALSE),"")</f>
        <v>1.3333333332999999</v>
      </c>
      <c r="M1651" s="62"/>
    </row>
    <row r="1652" spans="2:13" x14ac:dyDescent="0.3">
      <c r="B1652" s="378" t="s">
        <v>1704</v>
      </c>
      <c r="C1652" s="341"/>
      <c r="D1652" s="338"/>
      <c r="E1652" s="234" t="s">
        <v>265</v>
      </c>
      <c r="F1652" s="274" t="str">
        <f>IFERROR(VLOOKUP(E1652,'Inventaire des produits'!$B$4:$K$1000,2,0),"")</f>
        <v>BARQUETTE ALUMINIUM 81850</v>
      </c>
      <c r="G1652" s="54">
        <v>50</v>
      </c>
      <c r="H1652" s="60">
        <v>1.33</v>
      </c>
      <c r="I1652" s="275">
        <f t="shared" si="66"/>
        <v>66.5</v>
      </c>
      <c r="J1652" s="95">
        <f t="shared" si="67"/>
        <v>79.8</v>
      </c>
      <c r="K1652" s="93">
        <f>IFERROR(VLOOKUP(E1652,'Inventaire des produits'!$B$4:$J$1000,5,FALSE),"")</f>
        <v>0</v>
      </c>
      <c r="L1652" s="301">
        <f>IFERROR(VLOOKUP(E1652,'Inventaire des produits'!$B$4:$J$1000,6,FALSE),"")</f>
        <v>1.125</v>
      </c>
      <c r="M1652" s="62"/>
    </row>
    <row r="1653" spans="2:13" x14ac:dyDescent="0.3">
      <c r="B1653" s="378" t="s">
        <v>1704</v>
      </c>
      <c r="C1653" s="341"/>
      <c r="D1653" s="338"/>
      <c r="E1653" s="234" t="s">
        <v>308</v>
      </c>
      <c r="F1653" s="274" t="str">
        <f>IFERROR(VLOOKUP(E1653,'Inventaire des produits'!$B$4:$K$1000,2,0),"")</f>
        <v>BOL SALADE ET CVL KRAFT 550CC CARTON 400PCS</v>
      </c>
      <c r="G1653" s="54">
        <v>1</v>
      </c>
      <c r="H1653" s="60">
        <f>1.62*400</f>
        <v>648</v>
      </c>
      <c r="I1653" s="275">
        <f t="shared" si="66"/>
        <v>648</v>
      </c>
      <c r="J1653" s="95">
        <f t="shared" si="67"/>
        <v>777.6</v>
      </c>
      <c r="K1653" s="93">
        <f>IFERROR(VLOOKUP(E1653,'Inventaire des produits'!$B$4:$J$1000,5,FALSE),"")</f>
        <v>0</v>
      </c>
      <c r="L1653" s="301">
        <f>IFERROR(VLOOKUP(E1653,'Inventaire des produits'!$B$4:$J$1000,6,FALSE),"")</f>
        <v>616.66666666670005</v>
      </c>
      <c r="M1653" s="62"/>
    </row>
    <row r="1654" spans="2:13" x14ac:dyDescent="0.3">
      <c r="B1654" s="378" t="s">
        <v>1704</v>
      </c>
      <c r="C1654" s="341"/>
      <c r="D1654" s="338"/>
      <c r="E1654" s="234" t="s">
        <v>274</v>
      </c>
      <c r="F1654" s="274" t="str">
        <f>IFERROR(VLOOKUP(E1654,'Inventaire des produits'!$B$4:$K$1000,2,0),"")</f>
        <v>GOBLET 4OZ A CAFE EN CARTON KRAFT</v>
      </c>
      <c r="G1654" s="54">
        <v>600</v>
      </c>
      <c r="H1654" s="60">
        <v>0.55000000000000004</v>
      </c>
      <c r="I1654" s="275">
        <f t="shared" si="66"/>
        <v>330</v>
      </c>
      <c r="J1654" s="95">
        <f t="shared" si="67"/>
        <v>396</v>
      </c>
      <c r="K1654" s="93">
        <f>IFERROR(VLOOKUP(E1654,'Inventaire des produits'!$B$4:$J$1000,5,FALSE),"")</f>
        <v>0</v>
      </c>
      <c r="L1654" s="301">
        <f>IFERROR(VLOOKUP(E1654,'Inventaire des produits'!$B$4:$J$1000,6,FALSE),"")</f>
        <v>0.5</v>
      </c>
      <c r="M1654" s="62"/>
    </row>
    <row r="1655" spans="2:13" x14ac:dyDescent="0.3">
      <c r="B1655" s="378" t="s">
        <v>1704</v>
      </c>
      <c r="C1655" s="342"/>
      <c r="D1655" s="339"/>
      <c r="E1655" s="234" t="s">
        <v>339</v>
      </c>
      <c r="F1655" s="274" t="str">
        <f>IFERROR(VLOOKUP(E1655,'Inventaire des produits'!$B$4:$K$1000,2,0),"")</f>
        <v>BARQUETTE ALUMINIUM 81890 AVEC CVL</v>
      </c>
      <c r="G1655" s="54">
        <v>600</v>
      </c>
      <c r="H1655" s="60">
        <v>0.84</v>
      </c>
      <c r="I1655" s="275">
        <f t="shared" si="66"/>
        <v>504</v>
      </c>
      <c r="J1655" s="95">
        <f t="shared" si="67"/>
        <v>604.79999999999995</v>
      </c>
      <c r="K1655" s="93">
        <f>IFERROR(VLOOKUP(E1655,'Inventaire des produits'!$B$4:$J$1000,5,FALSE),"")</f>
        <v>0</v>
      </c>
      <c r="L1655" s="301">
        <f>IFERROR(VLOOKUP(E1655,'Inventaire des produits'!$B$4:$J$1000,6,FALSE),"")</f>
        <v>0.61666666670000003</v>
      </c>
      <c r="M1655" s="62"/>
    </row>
    <row r="1656" spans="2:13" x14ac:dyDescent="0.3">
      <c r="B1656" s="378" t="s">
        <v>1704</v>
      </c>
      <c r="C1656" s="340">
        <v>45572</v>
      </c>
      <c r="D1656" s="337" t="s">
        <v>1476</v>
      </c>
      <c r="E1656" s="234" t="s">
        <v>1162</v>
      </c>
      <c r="F1656" s="274" t="str">
        <f>IFERROR(VLOOKUP(E1656,'Inventaire des produits'!$B$4:$K$1000,2,0),"")</f>
        <v>BOITE PIZZA N°40</v>
      </c>
      <c r="G1656" s="54">
        <v>750</v>
      </c>
      <c r="H1656" s="60">
        <v>3.4166666666666665</v>
      </c>
      <c r="I1656" s="275">
        <f t="shared" si="66"/>
        <v>2562.5</v>
      </c>
      <c r="J1656" s="95">
        <f t="shared" si="67"/>
        <v>3075</v>
      </c>
      <c r="K1656" s="93">
        <f>IFERROR(VLOOKUP(E1656,'Inventaire des produits'!$B$4:$J$1000,5,FALSE),"")</f>
        <v>0</v>
      </c>
      <c r="L1656" s="301">
        <f>IFERROR(VLOOKUP(E1656,'Inventaire des produits'!$B$4:$J$1000,6,FALSE),"")</f>
        <v>2.78</v>
      </c>
      <c r="M1656" s="62">
        <f>SUM(J1656:J1663)</f>
        <v>11235.001840000001</v>
      </c>
    </row>
    <row r="1657" spans="2:13" x14ac:dyDescent="0.3">
      <c r="B1657" s="378" t="s">
        <v>1704</v>
      </c>
      <c r="C1657" s="341"/>
      <c r="D1657" s="338"/>
      <c r="E1657" s="234" t="s">
        <v>408</v>
      </c>
      <c r="F1657" s="274" t="str">
        <f>IFERROR(VLOOKUP(E1657,'Inventaire des produits'!$B$4:$K$1000,2,0),"")</f>
        <v>PAPIER SANDWISH PACK 2,5KG</v>
      </c>
      <c r="G1657" s="54">
        <v>10</v>
      </c>
      <c r="H1657" s="60">
        <v>50</v>
      </c>
      <c r="I1657" s="275">
        <f t="shared" si="66"/>
        <v>500</v>
      </c>
      <c r="J1657" s="95">
        <f t="shared" si="67"/>
        <v>600</v>
      </c>
      <c r="K1657" s="93">
        <f>IFERROR(VLOOKUP(E1657,'Inventaire des produits'!$B$4:$J$1000,5,FALSE),"")</f>
        <v>0</v>
      </c>
      <c r="L1657" s="301">
        <f>IFERROR(VLOOKUP(E1657,'Inventaire des produits'!$B$4:$J$1000,6,FALSE),"")</f>
        <v>41.667000000000002</v>
      </c>
      <c r="M1657" s="62"/>
    </row>
    <row r="1658" spans="2:13" ht="15.75" customHeight="1" x14ac:dyDescent="0.3">
      <c r="B1658" s="378" t="s">
        <v>1704</v>
      </c>
      <c r="C1658" s="341"/>
      <c r="D1658" s="338"/>
      <c r="E1658" s="234" t="s">
        <v>599</v>
      </c>
      <c r="F1658" s="274" t="str">
        <f>IFERROR(VLOOKUP(E1658,'Inventaire des produits'!$B$4:$K$1000,2,0),"")</f>
        <v>PAPIER HYGIENIQUE JUMBO PROF GAUFREE</v>
      </c>
      <c r="G1658" s="54">
        <v>38</v>
      </c>
      <c r="H1658" s="60">
        <f>10/1.2</f>
        <v>8.3333333333333339</v>
      </c>
      <c r="I1658" s="275">
        <f t="shared" si="66"/>
        <v>316.66666666666669</v>
      </c>
      <c r="J1658" s="95">
        <f t="shared" si="67"/>
        <v>380</v>
      </c>
      <c r="K1658" s="93">
        <f>IFERROR(VLOOKUP(E1658,'Inventaire des produits'!$B$4:$J$1000,5,FALSE),"")</f>
        <v>0</v>
      </c>
      <c r="L1658" s="301">
        <f>IFERROR(VLOOKUP(E1658,'Inventaire des produits'!$B$4:$J$1000,6,FALSE),"")</f>
        <v>7.5</v>
      </c>
      <c r="M1658" s="62"/>
    </row>
    <row r="1659" spans="2:13" x14ac:dyDescent="0.3">
      <c r="B1659" s="378" t="s">
        <v>1704</v>
      </c>
      <c r="C1659" s="341"/>
      <c r="D1659" s="338"/>
      <c r="E1659" s="234" t="s">
        <v>1338</v>
      </c>
      <c r="F1659" s="274" t="str">
        <f>IFERROR(VLOOKUP(E1659,'Inventaire des produits'!$B$4:$K$1000,2,0),"")</f>
        <v>BOITE PIZZA 26</v>
      </c>
      <c r="G1659" s="54">
        <v>71</v>
      </c>
      <c r="H1659" s="60">
        <v>48.180700000000002</v>
      </c>
      <c r="I1659" s="275">
        <f t="shared" si="66"/>
        <v>3420.8297000000002</v>
      </c>
      <c r="J1659" s="95">
        <f t="shared" si="67"/>
        <v>4104.9956400000001</v>
      </c>
      <c r="K1659" s="93">
        <f>IFERROR(VLOOKUP(E1659,'Inventaire des produits'!$B$4:$J$1000,5,FALSE),"")</f>
        <v>0</v>
      </c>
      <c r="L1659" s="301">
        <f>IFERROR(VLOOKUP(E1659,'Inventaire des produits'!$B$4:$J$1000,6,FALSE),"")</f>
        <v>49.94</v>
      </c>
      <c r="M1659" s="62"/>
    </row>
    <row r="1660" spans="2:13" x14ac:dyDescent="0.3">
      <c r="B1660" s="378" t="s">
        <v>1704</v>
      </c>
      <c r="C1660" s="341"/>
      <c r="D1660" s="338"/>
      <c r="E1660" s="234" t="s">
        <v>1190</v>
      </c>
      <c r="F1660" s="274" t="str">
        <f>IFERROR(VLOOKUP(E1660,'Inventaire des produits'!$B$4:$K$1000,2,0),"")</f>
        <v>GOBLET 12OZ EN PLAST TRANS SMART AVEC CVL PLAT</v>
      </c>
      <c r="G1660" s="54">
        <v>2100</v>
      </c>
      <c r="H1660" s="60">
        <v>0.62488500000000002</v>
      </c>
      <c r="I1660" s="275">
        <f t="shared" si="66"/>
        <v>1312.2585000000001</v>
      </c>
      <c r="J1660" s="95">
        <f t="shared" si="67"/>
        <v>1574.7102000000002</v>
      </c>
      <c r="K1660" s="93">
        <f>IFERROR(VLOOKUP(E1660,'Inventaire des produits'!$B$4:$J$1000,5,FALSE),"")</f>
        <v>0</v>
      </c>
      <c r="L1660" s="301">
        <f>IFERROR(VLOOKUP(E1660,'Inventaire des produits'!$B$4:$J$1000,6,FALSE),"")</f>
        <v>0.55555833333333338</v>
      </c>
      <c r="M1660" s="62"/>
    </row>
    <row r="1661" spans="2:13" x14ac:dyDescent="0.3">
      <c r="B1661" s="378" t="s">
        <v>1704</v>
      </c>
      <c r="C1661" s="341"/>
      <c r="D1661" s="338"/>
      <c r="E1661" s="234" t="s">
        <v>778</v>
      </c>
      <c r="F1661" s="274" t="str">
        <f>IFERROR(VLOOKUP(E1661,'Inventaire des produits'!$B$4:$K$1000,2,0),"")</f>
        <v>POT DE SAUCE EN PLAST TRANSP 20ML</v>
      </c>
      <c r="G1661" s="54">
        <v>3000</v>
      </c>
      <c r="H1661" s="60">
        <v>0.1</v>
      </c>
      <c r="I1661" s="275">
        <f t="shared" si="66"/>
        <v>300</v>
      </c>
      <c r="J1661" s="95">
        <f t="shared" si="67"/>
        <v>360</v>
      </c>
      <c r="K1661" s="93">
        <f>IFERROR(VLOOKUP(E1661,'Inventaire des produits'!$B$4:$J$1000,5,FALSE),"")</f>
        <v>0</v>
      </c>
      <c r="L1661" s="301">
        <f>IFERROR(VLOOKUP(E1661,'Inventaire des produits'!$B$4:$J$1000,6,FALSE),"")</f>
        <v>8.3333333300000006E-2</v>
      </c>
      <c r="M1661" s="62"/>
    </row>
    <row r="1662" spans="2:13" x14ac:dyDescent="0.3">
      <c r="B1662" s="378" t="s">
        <v>1704</v>
      </c>
      <c r="C1662" s="341"/>
      <c r="D1662" s="338"/>
      <c r="E1662" s="234" t="s">
        <v>1131</v>
      </c>
      <c r="F1662" s="274" t="str">
        <f>IFERROR(VLOOKUP(E1662,'Inventaire des produits'!$B$4:$K$1000,2,0),"")</f>
        <v>MOUCHOIR ROTANA 600</v>
      </c>
      <c r="G1662" s="54">
        <v>20</v>
      </c>
      <c r="H1662" s="60">
        <v>7.9290000000000003</v>
      </c>
      <c r="I1662" s="275">
        <f t="shared" si="66"/>
        <v>158.58000000000001</v>
      </c>
      <c r="J1662" s="95">
        <f t="shared" si="67"/>
        <v>190.29600000000002</v>
      </c>
      <c r="K1662" s="93">
        <f>IFERROR(VLOOKUP(E1662,'Inventaire des produits'!$B$4:$J$1000,5,FALSE),"")</f>
        <v>333</v>
      </c>
      <c r="L1662" s="301">
        <f>IFERROR(VLOOKUP(E1662,'Inventaire des produits'!$B$4:$J$1000,6,FALSE),"")</f>
        <v>6.6669999999999998</v>
      </c>
      <c r="M1662" s="62"/>
    </row>
    <row r="1663" spans="2:13" x14ac:dyDescent="0.3">
      <c r="B1663" s="378" t="s">
        <v>1704</v>
      </c>
      <c r="C1663" s="342"/>
      <c r="D1663" s="339"/>
      <c r="E1663" s="234" t="s">
        <v>1066</v>
      </c>
      <c r="F1663" s="274" t="str">
        <f>IFERROR(VLOOKUP(E1663,'Inventaire des produits'!$B$4:$K$1000,2,0),"")</f>
        <v>BOITE PIZZA 29</v>
      </c>
      <c r="G1663" s="54">
        <v>10</v>
      </c>
      <c r="H1663" s="60">
        <v>79.1666666666667</v>
      </c>
      <c r="I1663" s="275">
        <f t="shared" si="66"/>
        <v>791.66666666666697</v>
      </c>
      <c r="J1663" s="95">
        <f t="shared" si="67"/>
        <v>950.00000000000034</v>
      </c>
      <c r="K1663" s="93">
        <f>IFERROR(VLOOKUP(E1663,'Inventaire des produits'!$B$4:$J$1000,5,FALSE),"")</f>
        <v>0</v>
      </c>
      <c r="L1663" s="301">
        <f>IFERROR(VLOOKUP(E1663,'Inventaire des produits'!$B$4:$J$1000,6,FALSE),"")</f>
        <v>60.416666666666671</v>
      </c>
      <c r="M1663" s="62"/>
    </row>
    <row r="1664" spans="2:13" x14ac:dyDescent="0.3">
      <c r="B1664" s="378" t="s">
        <v>1704</v>
      </c>
      <c r="C1664" s="55">
        <v>45573</v>
      </c>
      <c r="D1664" s="54" t="s">
        <v>1478</v>
      </c>
      <c r="E1664" s="234" t="s">
        <v>1311</v>
      </c>
      <c r="F1664" s="274" t="str">
        <f>IFERROR(VLOOKUP(E1664,'Inventaire des produits'!$B$4:$K$1000,2,0),"")</f>
        <v>POT CARTONIER BLANC 26OZ AVEC CVL</v>
      </c>
      <c r="G1664" s="54">
        <v>1000</v>
      </c>
      <c r="H1664" s="60">
        <v>2.4</v>
      </c>
      <c r="I1664" s="275">
        <f t="shared" si="66"/>
        <v>2400</v>
      </c>
      <c r="J1664" s="95">
        <f t="shared" si="67"/>
        <v>2880</v>
      </c>
      <c r="K1664" s="93">
        <f>IFERROR(VLOOKUP(E1664,'Inventaire des produits'!$B$4:$J$1000,5,FALSE),"")</f>
        <v>1000</v>
      </c>
      <c r="L1664" s="301">
        <f>IFERROR(VLOOKUP(E1664,'Inventaire des produits'!$B$4:$J$1000,6,FALSE),"")</f>
        <v>2</v>
      </c>
      <c r="M1664" s="62">
        <v>2880</v>
      </c>
    </row>
    <row r="1665" spans="2:13" x14ac:dyDescent="0.3">
      <c r="B1665" s="378" t="s">
        <v>1704</v>
      </c>
      <c r="C1665" s="55">
        <v>45573</v>
      </c>
      <c r="D1665" s="54" t="s">
        <v>1479</v>
      </c>
      <c r="E1665" s="234" t="s">
        <v>1129</v>
      </c>
      <c r="F1665" s="274" t="str">
        <f>IFERROR(VLOOKUP(E1665,'Inventaire des produits'!$B$4:$K$1000,2,0),"")</f>
        <v>FILM ALIMENTAIRE ORIGINAL 45*500</v>
      </c>
      <c r="G1665" s="54">
        <v>12</v>
      </c>
      <c r="H1665" s="60">
        <v>50</v>
      </c>
      <c r="I1665" s="275">
        <f t="shared" si="66"/>
        <v>600</v>
      </c>
      <c r="J1665" s="95">
        <f t="shared" si="67"/>
        <v>720</v>
      </c>
      <c r="K1665" s="93">
        <f>IFERROR(VLOOKUP(E1665,'Inventaire des produits'!$B$4:$J$1000,5,FALSE),"")</f>
        <v>182</v>
      </c>
      <c r="L1665" s="301">
        <f>IFERROR(VLOOKUP(E1665,'Inventaire des produits'!$B$4:$J$1000,6,FALSE),"")</f>
        <v>27.5</v>
      </c>
      <c r="M1665" s="62">
        <v>720</v>
      </c>
    </row>
    <row r="1666" spans="2:13" x14ac:dyDescent="0.3">
      <c r="B1666" s="378" t="s">
        <v>1704</v>
      </c>
      <c r="C1666" s="55">
        <v>45574</v>
      </c>
      <c r="D1666" s="54" t="s">
        <v>1480</v>
      </c>
      <c r="E1666" s="234" t="s">
        <v>909</v>
      </c>
      <c r="F1666" s="274" t="str">
        <f>IFERROR(VLOOKUP(E1666,'Inventaire des produits'!$B$4:$K$1000,2,0),"")</f>
        <v>CVL GOBLET 4OZ NOIR BON APPETIT</v>
      </c>
      <c r="G1666" s="54">
        <v>10000</v>
      </c>
      <c r="H1666" s="60">
        <v>0.20833333333333301</v>
      </c>
      <c r="I1666" s="275">
        <f t="shared" si="66"/>
        <v>2083.3333333333303</v>
      </c>
      <c r="J1666" s="95">
        <f t="shared" si="67"/>
        <v>2499.9999999999964</v>
      </c>
      <c r="K1666" s="93">
        <f>IFERROR(VLOOKUP(E1666,'Inventaire des produits'!$B$4:$J$1000,5,FALSE),"")</f>
        <v>2000</v>
      </c>
      <c r="L1666" s="301">
        <f>IFERROR(VLOOKUP(E1666,'Inventaire des produits'!$B$4:$J$1000,6,FALSE),"")</f>
        <v>0.1</v>
      </c>
      <c r="M1666" s="62">
        <v>2499.9999999999964</v>
      </c>
    </row>
    <row r="1667" spans="2:13" x14ac:dyDescent="0.3">
      <c r="B1667" s="378" t="s">
        <v>1704</v>
      </c>
      <c r="C1667" s="340">
        <v>45575</v>
      </c>
      <c r="D1667" s="337" t="s">
        <v>1484</v>
      </c>
      <c r="E1667" s="234" t="s">
        <v>1254</v>
      </c>
      <c r="F1667" s="274" t="str">
        <f>IFERROR(VLOOKUP(E1667,'Inventaire des produits'!$B$4:$K$1000,2,0),"")</f>
        <v>GOBLET 7OZ</v>
      </c>
      <c r="G1667" s="54">
        <v>1100</v>
      </c>
      <c r="H1667" s="60">
        <f>0.375/1.2</f>
        <v>0.3125</v>
      </c>
      <c r="I1667" s="275">
        <f t="shared" si="66"/>
        <v>343.75</v>
      </c>
      <c r="J1667" s="95">
        <f t="shared" si="67"/>
        <v>412.5</v>
      </c>
      <c r="K1667" s="93">
        <f>IFERROR(VLOOKUP(E1667,'Inventaire des produits'!$B$4:$J$1000,5,FALSE),"")</f>
        <v>0</v>
      </c>
      <c r="L1667" s="301">
        <f>IFERROR(VLOOKUP(E1667,'Inventaire des produits'!$B$4:$J$1000,6,FALSE),"")</f>
        <v>0.33</v>
      </c>
      <c r="M1667" s="62">
        <f>SUM(J1667:J1669)</f>
        <v>750</v>
      </c>
    </row>
    <row r="1668" spans="2:13" x14ac:dyDescent="0.3">
      <c r="B1668" s="378" t="s">
        <v>1704</v>
      </c>
      <c r="C1668" s="341"/>
      <c r="D1668" s="338"/>
      <c r="E1668" s="234" t="s">
        <v>1300</v>
      </c>
      <c r="F1668" s="274" t="str">
        <f>IFERROR(VLOOKUP(E1668,'Inventaire des produits'!$B$4:$K$1000,2,0),"")</f>
        <v>CVL DE GOBLET 8OZ NOIR BON APPETIT</v>
      </c>
      <c r="G1668" s="54">
        <v>600</v>
      </c>
      <c r="H1668" s="60">
        <v>0.23435</v>
      </c>
      <c r="I1668" s="275">
        <f t="shared" si="66"/>
        <v>140.61000000000001</v>
      </c>
      <c r="J1668" s="95">
        <f t="shared" si="67"/>
        <v>168.732</v>
      </c>
      <c r="K1668" s="93">
        <f>IFERROR(VLOOKUP(E1668,'Inventaire des produits'!$B$4:$J$1000,5,FALSE),"")</f>
        <v>5400</v>
      </c>
      <c r="L1668" s="301">
        <f>IFERROR(VLOOKUP(E1668,'Inventaire des produits'!$B$4:$J$1000,6,FALSE),"")</f>
        <v>0.16666666666666669</v>
      </c>
      <c r="M1668" s="62"/>
    </row>
    <row r="1669" spans="2:13" x14ac:dyDescent="0.3">
      <c r="B1669" s="378" t="s">
        <v>1704</v>
      </c>
      <c r="C1669" s="342"/>
      <c r="D1669" s="339"/>
      <c r="E1669" s="234" t="s">
        <v>1299</v>
      </c>
      <c r="F1669" s="274" t="str">
        <f>IFERROR(VLOOKUP(E1669,'Inventaire des produits'!$B$4:$K$1000,2,0),"")</f>
        <v>GOBLET 8OZ NOIR BON APPETIT</v>
      </c>
      <c r="G1669" s="54">
        <v>600</v>
      </c>
      <c r="H1669" s="60">
        <v>0.2344</v>
      </c>
      <c r="I1669" s="275">
        <f t="shared" si="66"/>
        <v>140.63999999999999</v>
      </c>
      <c r="J1669" s="95">
        <f t="shared" si="67"/>
        <v>168.76799999999997</v>
      </c>
      <c r="K1669" s="93">
        <f>IFERROR(VLOOKUP(E1669,'Inventaire des produits'!$B$4:$J$1000,5,FALSE),"")</f>
        <v>5400</v>
      </c>
      <c r="L1669" s="301">
        <f>IFERROR(VLOOKUP(E1669,'Inventaire des produits'!$B$4:$J$1000,6,FALSE),"")</f>
        <v>0.245</v>
      </c>
      <c r="M1669" s="62"/>
    </row>
    <row r="1670" spans="2:13" x14ac:dyDescent="0.3">
      <c r="B1670" s="378" t="s">
        <v>1704</v>
      </c>
      <c r="C1670" s="340">
        <v>45575</v>
      </c>
      <c r="D1670" s="337" t="s">
        <v>1485</v>
      </c>
      <c r="E1670" s="234" t="s">
        <v>1222</v>
      </c>
      <c r="F1670" s="274" t="str">
        <f>IFERROR(VLOOKUP(E1670,'Inventaire des produits'!$B$4:$K$1000,2,0),"")</f>
        <v>POT DE SAUCE 1OZ PROCLEAN</v>
      </c>
      <c r="G1670" s="54">
        <v>20000</v>
      </c>
      <c r="H1670" s="60">
        <v>0.16250000000000001</v>
      </c>
      <c r="I1670" s="275">
        <f t="shared" si="66"/>
        <v>3250</v>
      </c>
      <c r="J1670" s="95">
        <f t="shared" si="67"/>
        <v>3900</v>
      </c>
      <c r="K1670" s="93">
        <f>IFERROR(VLOOKUP(E1670,'Inventaire des produits'!$B$4:$J$1000,5,FALSE),"")</f>
        <v>557100</v>
      </c>
      <c r="L1670" s="301">
        <f>IFERROR(VLOOKUP(E1670,'Inventaire des produits'!$B$4:$J$1000,6,FALSE),"")</f>
        <v>0.1167</v>
      </c>
      <c r="M1670" s="62">
        <f>SUM(J1670:J1680)</f>
        <v>8419.9980000000014</v>
      </c>
    </row>
    <row r="1671" spans="2:13" x14ac:dyDescent="0.3">
      <c r="B1671" s="378" t="s">
        <v>1704</v>
      </c>
      <c r="C1671" s="341"/>
      <c r="D1671" s="338"/>
      <c r="E1671" s="234" t="s">
        <v>837</v>
      </c>
      <c r="F1671" s="274" t="str">
        <f>IFERROR(VLOOKUP(E1671,'Inventaire des produits'!$B$4:$K$1000,2,0),"")</f>
        <v>ESSUIE MAIN 1KG LISSE</v>
      </c>
      <c r="G1671" s="54">
        <v>6</v>
      </c>
      <c r="H1671" s="60">
        <v>28.333333333333336</v>
      </c>
      <c r="I1671" s="275">
        <f t="shared" si="66"/>
        <v>170</v>
      </c>
      <c r="J1671" s="95">
        <f t="shared" si="67"/>
        <v>204</v>
      </c>
      <c r="K1671" s="93">
        <f>IFERROR(VLOOKUP(E1671,'Inventaire des produits'!$B$4:$J$1000,5,FALSE),"")</f>
        <v>7</v>
      </c>
      <c r="L1671" s="301">
        <f>IFERROR(VLOOKUP(E1671,'Inventaire des produits'!$B$4:$J$1000,6,FALSE),"")</f>
        <v>21.25</v>
      </c>
      <c r="M1671" s="62"/>
    </row>
    <row r="1672" spans="2:13" x14ac:dyDescent="0.3">
      <c r="B1672" s="378" t="s">
        <v>1704</v>
      </c>
      <c r="C1672" s="341"/>
      <c r="D1672" s="338"/>
      <c r="E1672" s="234" t="s">
        <v>839</v>
      </c>
      <c r="F1672" s="274" t="str">
        <f>IFERROR(VLOOKUP(E1672,'Inventaire des produits'!$B$4:$K$1000,2,0),"")</f>
        <v>FILM ALIMENTAIRE 900GR GM 30X300</v>
      </c>
      <c r="G1672" s="54">
        <v>1</v>
      </c>
      <c r="H1672" s="60">
        <v>28.333333333333336</v>
      </c>
      <c r="I1672" s="275">
        <f t="shared" si="66"/>
        <v>28.333333333333336</v>
      </c>
      <c r="J1672" s="95">
        <f t="shared" si="67"/>
        <v>34</v>
      </c>
      <c r="K1672" s="93">
        <f>IFERROR(VLOOKUP(E1672,'Inventaire des produits'!$B$4:$J$1000,5,FALSE),"")</f>
        <v>0</v>
      </c>
      <c r="L1672" s="301">
        <f>IFERROR(VLOOKUP(E1672,'Inventaire des produits'!$B$4:$J$1000,6,FALSE),"")</f>
        <v>20</v>
      </c>
      <c r="M1672" s="62"/>
    </row>
    <row r="1673" spans="2:13" x14ac:dyDescent="0.3">
      <c r="B1673" s="378" t="s">
        <v>1704</v>
      </c>
      <c r="C1673" s="341"/>
      <c r="D1673" s="338"/>
      <c r="E1673" s="234" t="s">
        <v>1079</v>
      </c>
      <c r="F1673" s="274" t="str">
        <f>IFERROR(VLOOKUP(E1673,'Inventaire des produits'!$B$4:$K$1000,2,0),"")</f>
        <v>FOURCHETTE ECOLUXE TRANSPARENTE</v>
      </c>
      <c r="G1673" s="54">
        <v>70</v>
      </c>
      <c r="H1673" s="60">
        <v>19.1666666666667</v>
      </c>
      <c r="I1673" s="275">
        <f t="shared" si="66"/>
        <v>1341.666666666669</v>
      </c>
      <c r="J1673" s="95">
        <f t="shared" si="67"/>
        <v>1610.0000000000027</v>
      </c>
      <c r="K1673" s="93">
        <f>IFERROR(VLOOKUP(E1673,'Inventaire des produits'!$B$4:$J$1000,5,FALSE),"")</f>
        <v>0</v>
      </c>
      <c r="L1673" s="301">
        <f>IFERROR(VLOOKUP(E1673,'Inventaire des produits'!$B$4:$J$1000,6,FALSE),"")</f>
        <v>14.166665999999999</v>
      </c>
      <c r="M1673" s="62"/>
    </row>
    <row r="1674" spans="2:13" x14ac:dyDescent="0.3">
      <c r="B1674" s="378" t="s">
        <v>1704</v>
      </c>
      <c r="C1674" s="341"/>
      <c r="D1674" s="338"/>
      <c r="E1674" s="234" t="s">
        <v>1464</v>
      </c>
      <c r="F1674" s="274" t="str">
        <f>IFERROR(VLOOKUP(E1674,'Inventaire des produits'!$B$4:$K$1000,2,0),"")</f>
        <v>CUILLERE LUXE TRANSPARENTE</v>
      </c>
      <c r="G1674" s="54">
        <v>5</v>
      </c>
      <c r="H1674" s="60">
        <v>19.1666666666667</v>
      </c>
      <c r="I1674" s="275">
        <f t="shared" si="66"/>
        <v>95.833333333333499</v>
      </c>
      <c r="J1674" s="95">
        <f t="shared" si="67"/>
        <v>115.0000000000002</v>
      </c>
      <c r="K1674" s="93">
        <f>IFERROR(VLOOKUP(E1674,'Inventaire des produits'!$B$4:$J$1000,5,FALSE),"")</f>
        <v>33</v>
      </c>
      <c r="L1674" s="301">
        <f>IFERROR(VLOOKUP(E1674,'Inventaire des produits'!$B$4:$J$1000,6,FALSE),"")</f>
        <v>15</v>
      </c>
      <c r="M1674" s="62"/>
    </row>
    <row r="1675" spans="2:13" x14ac:dyDescent="0.3">
      <c r="B1675" s="378" t="s">
        <v>1704</v>
      </c>
      <c r="C1675" s="341"/>
      <c r="D1675" s="338"/>
      <c r="E1675" s="234" t="s">
        <v>666</v>
      </c>
      <c r="F1675" s="274" t="str">
        <f>IFERROR(VLOOKUP(E1675,'Inventaire des produits'!$B$4:$K$1000,2,0),"")</f>
        <v>GANT VINYL EXTRA PREMIUM GLOVE MEDIUM</v>
      </c>
      <c r="G1675" s="54">
        <v>17</v>
      </c>
      <c r="H1675" s="60">
        <v>33.333333333333336</v>
      </c>
      <c r="I1675" s="275">
        <f t="shared" si="66"/>
        <v>566.66666666666674</v>
      </c>
      <c r="J1675" s="95">
        <f t="shared" si="67"/>
        <v>680.00000000000011</v>
      </c>
      <c r="K1675" s="93">
        <f>IFERROR(VLOOKUP(E1675,'Inventaire des produits'!$B$4:$J$1000,5,FALSE),"")</f>
        <v>0</v>
      </c>
      <c r="L1675" s="301">
        <f>IFERROR(VLOOKUP(E1675,'Inventaire des produits'!$B$4:$J$1000,6,FALSE),"")</f>
        <v>20</v>
      </c>
      <c r="M1675" s="62"/>
    </row>
    <row r="1676" spans="2:13" x14ac:dyDescent="0.3">
      <c r="B1676" s="378" t="s">
        <v>1704</v>
      </c>
      <c r="C1676" s="341"/>
      <c r="D1676" s="338"/>
      <c r="E1676" s="234" t="s">
        <v>805</v>
      </c>
      <c r="F1676" s="274" t="str">
        <f>IFERROR(VLOOKUP(E1676,'Inventaire des produits'!$B$4:$K$1000,2,0),"")</f>
        <v>BARQUETTE ALUMINIUM 250</v>
      </c>
      <c r="G1676" s="54">
        <v>950</v>
      </c>
      <c r="H1676" s="60">
        <v>0.375</v>
      </c>
      <c r="I1676" s="275">
        <f t="shared" si="66"/>
        <v>356.25</v>
      </c>
      <c r="J1676" s="95">
        <f t="shared" si="67"/>
        <v>427.5</v>
      </c>
      <c r="K1676" s="93">
        <f>IFERROR(VLOOKUP(E1676,'Inventaire des produits'!$B$4:$J$1000,5,FALSE),"")</f>
        <v>0</v>
      </c>
      <c r="L1676" s="301">
        <f>IFERROR(VLOOKUP(E1676,'Inventaire des produits'!$B$4:$J$1000,6,FALSE),"")</f>
        <v>0.23333329999999999</v>
      </c>
      <c r="M1676" s="62"/>
    </row>
    <row r="1677" spans="2:13" x14ac:dyDescent="0.3">
      <c r="B1677" s="378" t="s">
        <v>1704</v>
      </c>
      <c r="C1677" s="341"/>
      <c r="D1677" s="338"/>
      <c r="E1677" s="234" t="s">
        <v>1452</v>
      </c>
      <c r="F1677" s="274" t="str">
        <f>IFERROR(VLOOKUP(E1677,'Inventaire des produits'!$B$4:$K$1000,2,0),"")</f>
        <v>GANT POLYETHLENE</v>
      </c>
      <c r="G1677" s="54">
        <v>22</v>
      </c>
      <c r="H1677" s="60">
        <v>5.1105</v>
      </c>
      <c r="I1677" s="275">
        <f t="shared" si="66"/>
        <v>112.431</v>
      </c>
      <c r="J1677" s="95">
        <f t="shared" si="67"/>
        <v>134.91719999999998</v>
      </c>
      <c r="K1677" s="93">
        <f>IFERROR(VLOOKUP(E1677,'Inventaire des produits'!$B$4:$J$1000,5,FALSE),"")</f>
        <v>530</v>
      </c>
      <c r="L1677" s="301">
        <f>IFERROR(VLOOKUP(E1677,'Inventaire des produits'!$B$4:$J$1000,6,FALSE),"")</f>
        <v>2.5099999999999998</v>
      </c>
      <c r="M1677" s="62"/>
    </row>
    <row r="1678" spans="2:13" x14ac:dyDescent="0.3">
      <c r="B1678" s="378" t="s">
        <v>1704</v>
      </c>
      <c r="C1678" s="341"/>
      <c r="D1678" s="338"/>
      <c r="E1678" s="234" t="s">
        <v>1149</v>
      </c>
      <c r="F1678" s="274" t="str">
        <f>IFERROR(VLOOKUP(E1678,'Inventaire des produits'!$B$4:$K$1000,2,0),"")</f>
        <v>ROULEAU DE CAISSE THERMIQUE 80X80</v>
      </c>
      <c r="G1678" s="54">
        <v>50</v>
      </c>
      <c r="H1678" s="60">
        <v>10.33</v>
      </c>
      <c r="I1678" s="275">
        <f t="shared" si="66"/>
        <v>516.5</v>
      </c>
      <c r="J1678" s="95">
        <f t="shared" si="67"/>
        <v>619.79999999999995</v>
      </c>
      <c r="K1678" s="93">
        <f>IFERROR(VLOOKUP(E1678,'Inventaire des produits'!$B$4:$J$1000,5,FALSE),"")</f>
        <v>253</v>
      </c>
      <c r="L1678" s="301">
        <f>IFERROR(VLOOKUP(E1678,'Inventaire des produits'!$B$4:$J$1000,6,FALSE),"")</f>
        <v>7.5</v>
      </c>
      <c r="M1678" s="62"/>
    </row>
    <row r="1679" spans="2:13" x14ac:dyDescent="0.3">
      <c r="B1679" s="378" t="s">
        <v>1704</v>
      </c>
      <c r="C1679" s="341"/>
      <c r="D1679" s="338"/>
      <c r="E1679" s="234" t="s">
        <v>410</v>
      </c>
      <c r="F1679" s="274" t="str">
        <f>IFERROR(VLOOKUP(E1679,'Inventaire des produits'!$B$4:$K$1000,2,0),"")</f>
        <v>FILM ALIMENTAIRE 45*500</v>
      </c>
      <c r="G1679" s="54">
        <v>10</v>
      </c>
      <c r="H1679" s="60">
        <v>43.33</v>
      </c>
      <c r="I1679" s="275">
        <f t="shared" si="66"/>
        <v>433.29999999999995</v>
      </c>
      <c r="J1679" s="95">
        <f t="shared" si="67"/>
        <v>519.95999999999992</v>
      </c>
      <c r="K1679" s="93">
        <f>IFERROR(VLOOKUP(E1679,'Inventaire des produits'!$B$4:$J$1000,5,FALSE),"")</f>
        <v>0</v>
      </c>
      <c r="L1679" s="301">
        <f>IFERROR(VLOOKUP(E1679,'Inventaire des produits'!$B$4:$J$1000,6,FALSE),"")</f>
        <v>33.332999999999998</v>
      </c>
      <c r="M1679" s="62"/>
    </row>
    <row r="1680" spans="2:13" x14ac:dyDescent="0.3">
      <c r="B1680" s="378" t="s">
        <v>1704</v>
      </c>
      <c r="C1680" s="342"/>
      <c r="D1680" s="339"/>
      <c r="E1680" s="234" t="s">
        <v>869</v>
      </c>
      <c r="F1680" s="274" t="str">
        <f>IFERROR(VLOOKUP(E1680,'Inventaire des produits'!$B$4:$K$1000,2,0),"")</f>
        <v>PAILLE ENVELOPPEE CODE 100 TRANS</v>
      </c>
      <c r="G1680" s="54">
        <v>22</v>
      </c>
      <c r="H1680" s="60">
        <v>6.6219999999999999</v>
      </c>
      <c r="I1680" s="275">
        <f t="shared" si="66"/>
        <v>145.684</v>
      </c>
      <c r="J1680" s="95">
        <f t="shared" si="67"/>
        <v>174.82079999999999</v>
      </c>
      <c r="K1680" s="93">
        <f>IFERROR(VLOOKUP(E1680,'Inventaire des produits'!$B$4:$J$1000,5,FALSE),"")</f>
        <v>898</v>
      </c>
      <c r="L1680" s="301">
        <f>IFERROR(VLOOKUP(E1680,'Inventaire des produits'!$B$4:$J$1000,6,FALSE),"")</f>
        <v>3.9166666659999998</v>
      </c>
      <c r="M1680" s="62"/>
    </row>
    <row r="1681" spans="2:13" x14ac:dyDescent="0.3">
      <c r="B1681" s="378" t="s">
        <v>1704</v>
      </c>
      <c r="C1681" s="340">
        <v>45575</v>
      </c>
      <c r="D1681" s="337" t="s">
        <v>1486</v>
      </c>
      <c r="E1681" s="234" t="s">
        <v>1222</v>
      </c>
      <c r="F1681" s="274" t="str">
        <f>IFERROR(VLOOKUP(E1681,'Inventaire des produits'!$B$4:$K$1000,2,0),"")</f>
        <v>POT DE SAUCE 1OZ PROCLEAN</v>
      </c>
      <c r="G1681" s="54">
        <v>17000</v>
      </c>
      <c r="H1681" s="60">
        <v>0.16250000000000001</v>
      </c>
      <c r="I1681" s="275">
        <f t="shared" si="66"/>
        <v>2762.5</v>
      </c>
      <c r="J1681" s="95">
        <f t="shared" si="67"/>
        <v>3315</v>
      </c>
      <c r="K1681" s="93">
        <f>IFERROR(VLOOKUP(E1681,'Inventaire des produits'!$B$4:$J$1000,5,FALSE),"")</f>
        <v>557100</v>
      </c>
      <c r="L1681" s="301">
        <f>IFERROR(VLOOKUP(E1681,'Inventaire des produits'!$B$4:$J$1000,6,FALSE),"")</f>
        <v>0.1167</v>
      </c>
      <c r="M1681" s="62">
        <f>SUM(J1681:J1692)</f>
        <v>6227.0000000000009</v>
      </c>
    </row>
    <row r="1682" spans="2:13" x14ac:dyDescent="0.3">
      <c r="B1682" s="378" t="s">
        <v>1704</v>
      </c>
      <c r="C1682" s="341"/>
      <c r="D1682" s="338"/>
      <c r="E1682" s="234" t="s">
        <v>839</v>
      </c>
      <c r="F1682" s="274" t="str">
        <f>IFERROR(VLOOKUP(E1682,'Inventaire des produits'!$B$4:$K$1000,2,0),"")</f>
        <v>FILM ALIMENTAIRE 900GR GM 30X300</v>
      </c>
      <c r="G1682" s="54">
        <v>15</v>
      </c>
      <c r="H1682" s="60">
        <v>28.333333333333336</v>
      </c>
      <c r="I1682" s="275">
        <f t="shared" si="66"/>
        <v>425.00000000000006</v>
      </c>
      <c r="J1682" s="95">
        <f t="shared" si="67"/>
        <v>510.00000000000006</v>
      </c>
      <c r="K1682" s="93">
        <f>IFERROR(VLOOKUP(E1682,'Inventaire des produits'!$B$4:$J$1000,5,FALSE),"")</f>
        <v>0</v>
      </c>
      <c r="L1682" s="301">
        <f>IFERROR(VLOOKUP(E1682,'Inventaire des produits'!$B$4:$J$1000,6,FALSE),"")</f>
        <v>20</v>
      </c>
      <c r="M1682" s="62"/>
    </row>
    <row r="1683" spans="2:13" x14ac:dyDescent="0.3">
      <c r="B1683" s="378" t="s">
        <v>1704</v>
      </c>
      <c r="C1683" s="341"/>
      <c r="D1683" s="338"/>
      <c r="E1683" s="234" t="s">
        <v>1079</v>
      </c>
      <c r="F1683" s="274" t="str">
        <f>IFERROR(VLOOKUP(E1683,'Inventaire des produits'!$B$4:$K$1000,2,0),"")</f>
        <v>FOURCHETTE ECOLUXE TRANSPARENTE</v>
      </c>
      <c r="G1683" s="54">
        <v>15</v>
      </c>
      <c r="H1683" s="60">
        <v>19.1666666666667</v>
      </c>
      <c r="I1683" s="275">
        <f t="shared" si="66"/>
        <v>287.50000000000051</v>
      </c>
      <c r="J1683" s="95">
        <f t="shared" si="67"/>
        <v>345.00000000000063</v>
      </c>
      <c r="K1683" s="93">
        <f>IFERROR(VLOOKUP(E1683,'Inventaire des produits'!$B$4:$J$1000,5,FALSE),"")</f>
        <v>0</v>
      </c>
      <c r="L1683" s="301">
        <f>IFERROR(VLOOKUP(E1683,'Inventaire des produits'!$B$4:$J$1000,6,FALSE),"")</f>
        <v>14.166665999999999</v>
      </c>
      <c r="M1683" s="62"/>
    </row>
    <row r="1684" spans="2:13" x14ac:dyDescent="0.3">
      <c r="B1684" s="378" t="s">
        <v>1704</v>
      </c>
      <c r="C1684" s="341"/>
      <c r="D1684" s="338"/>
      <c r="E1684" s="234" t="s">
        <v>1464</v>
      </c>
      <c r="F1684" s="274" t="str">
        <f>IFERROR(VLOOKUP(E1684,'Inventaire des produits'!$B$4:$K$1000,2,0),"")</f>
        <v>CUILLERE LUXE TRANSPARENTE</v>
      </c>
      <c r="G1684" s="54">
        <v>5</v>
      </c>
      <c r="H1684" s="60">
        <v>19.1666666666667</v>
      </c>
      <c r="I1684" s="275">
        <f t="shared" ref="I1684:I1748" si="68">IF(OR(G1684="",H1684=""),"",G1684*H1684)</f>
        <v>95.833333333333499</v>
      </c>
      <c r="J1684" s="95">
        <f t="shared" ref="J1684:J1748" si="69">IF(OR(I1684=""),"",I1684*1.2)</f>
        <v>115.0000000000002</v>
      </c>
      <c r="K1684" s="93">
        <f>IFERROR(VLOOKUP(E1684,'Inventaire des produits'!$B$4:$J$1000,5,FALSE),"")</f>
        <v>33</v>
      </c>
      <c r="L1684" s="301">
        <f>IFERROR(VLOOKUP(E1684,'Inventaire des produits'!$B$4:$J$1000,6,FALSE),"")</f>
        <v>15</v>
      </c>
      <c r="M1684" s="62"/>
    </row>
    <row r="1685" spans="2:13" x14ac:dyDescent="0.3">
      <c r="B1685" s="378" t="s">
        <v>1704</v>
      </c>
      <c r="C1685" s="341"/>
      <c r="D1685" s="338"/>
      <c r="E1685" s="234" t="s">
        <v>869</v>
      </c>
      <c r="F1685" s="274" t="str">
        <f>IFERROR(VLOOKUP(E1685,'Inventaire des produits'!$B$4:$K$1000,2,0),"")</f>
        <v>PAILLE ENVELOPPEE CODE 100 TRANS</v>
      </c>
      <c r="G1685" s="54">
        <v>3</v>
      </c>
      <c r="H1685" s="60">
        <v>6.666666666666667</v>
      </c>
      <c r="I1685" s="275">
        <f t="shared" si="68"/>
        <v>20</v>
      </c>
      <c r="J1685" s="95">
        <f t="shared" si="69"/>
        <v>24</v>
      </c>
      <c r="K1685" s="93">
        <f>IFERROR(VLOOKUP(E1685,'Inventaire des produits'!$B$4:$J$1000,5,FALSE),"")</f>
        <v>898</v>
      </c>
      <c r="L1685" s="301">
        <f>IFERROR(VLOOKUP(E1685,'Inventaire des produits'!$B$4:$J$1000,6,FALSE),"")</f>
        <v>3.9166666659999998</v>
      </c>
      <c r="M1685" s="62"/>
    </row>
    <row r="1686" spans="2:13" x14ac:dyDescent="0.3">
      <c r="B1686" s="378" t="s">
        <v>1704</v>
      </c>
      <c r="C1686" s="341"/>
      <c r="D1686" s="338"/>
      <c r="E1686" s="234" t="s">
        <v>666</v>
      </c>
      <c r="F1686" s="274" t="str">
        <f>IFERROR(VLOOKUP(E1686,'Inventaire des produits'!$B$4:$K$1000,2,0),"")</f>
        <v>GANT VINYL EXTRA PREMIUM GLOVE MEDIUM</v>
      </c>
      <c r="G1686" s="54">
        <v>16</v>
      </c>
      <c r="H1686" s="60">
        <v>33.333333333333336</v>
      </c>
      <c r="I1686" s="275">
        <f t="shared" si="68"/>
        <v>533.33333333333337</v>
      </c>
      <c r="J1686" s="95">
        <f t="shared" si="69"/>
        <v>640</v>
      </c>
      <c r="K1686" s="93">
        <f>IFERROR(VLOOKUP(E1686,'Inventaire des produits'!$B$4:$J$1000,5,FALSE),"")</f>
        <v>0</v>
      </c>
      <c r="L1686" s="301">
        <f>IFERROR(VLOOKUP(E1686,'Inventaire des produits'!$B$4:$J$1000,6,FALSE),"")</f>
        <v>20</v>
      </c>
      <c r="M1686" s="62"/>
    </row>
    <row r="1687" spans="2:13" x14ac:dyDescent="0.3">
      <c r="B1687" s="378" t="s">
        <v>1704</v>
      </c>
      <c r="C1687" s="341"/>
      <c r="D1687" s="338"/>
      <c r="E1687" s="234" t="s">
        <v>805</v>
      </c>
      <c r="F1687" s="274" t="str">
        <f>IFERROR(VLOOKUP(E1687,'Inventaire des produits'!$B$4:$K$1000,2,0),"")</f>
        <v>BARQUETTE ALUMINIUM 250</v>
      </c>
      <c r="G1687" s="54">
        <v>300</v>
      </c>
      <c r="H1687" s="60">
        <v>0.375</v>
      </c>
      <c r="I1687" s="275">
        <f t="shared" si="68"/>
        <v>112.5</v>
      </c>
      <c r="J1687" s="95">
        <f t="shared" si="69"/>
        <v>135</v>
      </c>
      <c r="K1687" s="93">
        <f>IFERROR(VLOOKUP(E1687,'Inventaire des produits'!$B$4:$J$1000,5,FALSE),"")</f>
        <v>0</v>
      </c>
      <c r="L1687" s="301">
        <f>IFERROR(VLOOKUP(E1687,'Inventaire des produits'!$B$4:$J$1000,6,FALSE),"")</f>
        <v>0.23333329999999999</v>
      </c>
      <c r="M1687" s="62"/>
    </row>
    <row r="1688" spans="2:13" x14ac:dyDescent="0.3">
      <c r="B1688" s="378" t="s">
        <v>1704</v>
      </c>
      <c r="C1688" s="341"/>
      <c r="D1688" s="338"/>
      <c r="E1688" s="234" t="s">
        <v>1452</v>
      </c>
      <c r="F1688" s="274" t="str">
        <f>IFERROR(VLOOKUP(E1688,'Inventaire des produits'!$B$4:$K$1000,2,0),"")</f>
        <v>GANT POLYETHLENE</v>
      </c>
      <c r="G1688" s="54">
        <v>14</v>
      </c>
      <c r="H1688" s="60">
        <v>5</v>
      </c>
      <c r="I1688" s="275">
        <f t="shared" si="68"/>
        <v>70</v>
      </c>
      <c r="J1688" s="95">
        <f t="shared" si="69"/>
        <v>84</v>
      </c>
      <c r="K1688" s="93">
        <f>IFERROR(VLOOKUP(E1688,'Inventaire des produits'!$B$4:$J$1000,5,FALSE),"")</f>
        <v>530</v>
      </c>
      <c r="L1688" s="301">
        <f>IFERROR(VLOOKUP(E1688,'Inventaire des produits'!$B$4:$J$1000,6,FALSE),"")</f>
        <v>2.5099999999999998</v>
      </c>
      <c r="M1688" s="62"/>
    </row>
    <row r="1689" spans="2:13" x14ac:dyDescent="0.3">
      <c r="B1689" s="378" t="s">
        <v>1704</v>
      </c>
      <c r="C1689" s="341"/>
      <c r="D1689" s="338"/>
      <c r="E1689" s="234" t="s">
        <v>1149</v>
      </c>
      <c r="F1689" s="274" t="str">
        <f>IFERROR(VLOOKUP(E1689,'Inventaire des produits'!$B$4:$K$1000,2,0),"")</f>
        <v>ROULEAU DE CAISSE THERMIQUE 80X80</v>
      </c>
      <c r="G1689" s="54">
        <v>30</v>
      </c>
      <c r="H1689" s="60">
        <v>10.333333333333334</v>
      </c>
      <c r="I1689" s="275">
        <f t="shared" si="68"/>
        <v>310</v>
      </c>
      <c r="J1689" s="95">
        <f t="shared" si="69"/>
        <v>372</v>
      </c>
      <c r="K1689" s="93">
        <f>IFERROR(VLOOKUP(E1689,'Inventaire des produits'!$B$4:$J$1000,5,FALSE),"")</f>
        <v>253</v>
      </c>
      <c r="L1689" s="301">
        <f>IFERROR(VLOOKUP(E1689,'Inventaire des produits'!$B$4:$J$1000,6,FALSE),"")</f>
        <v>7.5</v>
      </c>
      <c r="M1689" s="62"/>
    </row>
    <row r="1690" spans="2:13" x14ac:dyDescent="0.3">
      <c r="B1690" s="378" t="s">
        <v>1704</v>
      </c>
      <c r="C1690" s="341"/>
      <c r="D1690" s="338"/>
      <c r="E1690" s="234" t="s">
        <v>448</v>
      </c>
      <c r="F1690" s="274" t="str">
        <f>IFERROR(VLOOKUP(E1690,'Inventaire des produits'!$B$4:$K$1000,2,0),"")</f>
        <v>ROULEAU ALUMINIUM 200</v>
      </c>
      <c r="G1690" s="54">
        <v>1</v>
      </c>
      <c r="H1690" s="60">
        <v>70.833333333333343</v>
      </c>
      <c r="I1690" s="275">
        <f t="shared" si="68"/>
        <v>70.833333333333343</v>
      </c>
      <c r="J1690" s="95">
        <f t="shared" si="69"/>
        <v>85.000000000000014</v>
      </c>
      <c r="K1690" s="93">
        <f>IFERROR(VLOOKUP(E1690,'Inventaire des produits'!$B$4:$J$1000,5,FALSE),"")</f>
        <v>0</v>
      </c>
      <c r="L1690" s="301">
        <f>IFERROR(VLOOKUP(E1690,'Inventaire des produits'!$B$4:$J$1000,6,FALSE),"")</f>
        <v>54</v>
      </c>
      <c r="M1690" s="62"/>
    </row>
    <row r="1691" spans="2:13" x14ac:dyDescent="0.3">
      <c r="B1691" s="378" t="s">
        <v>1704</v>
      </c>
      <c r="C1691" s="341"/>
      <c r="D1691" s="338"/>
      <c r="E1691" s="234" t="s">
        <v>837</v>
      </c>
      <c r="F1691" s="274" t="str">
        <f>IFERROR(VLOOKUP(E1691,'Inventaire des produits'!$B$4:$K$1000,2,0),"")</f>
        <v>ESSUIE MAIN 1KG LISSE</v>
      </c>
      <c r="G1691" s="54">
        <v>7</v>
      </c>
      <c r="H1691" s="60">
        <v>28.333333333333336</v>
      </c>
      <c r="I1691" s="275">
        <f t="shared" si="68"/>
        <v>198.33333333333334</v>
      </c>
      <c r="J1691" s="95">
        <f t="shared" si="69"/>
        <v>238</v>
      </c>
      <c r="K1691" s="93">
        <f>IFERROR(VLOOKUP(E1691,'Inventaire des produits'!$B$4:$J$1000,5,FALSE),"")</f>
        <v>7</v>
      </c>
      <c r="L1691" s="301">
        <f>IFERROR(VLOOKUP(E1691,'Inventaire des produits'!$B$4:$J$1000,6,FALSE),"")</f>
        <v>21.25</v>
      </c>
      <c r="M1691" s="62"/>
    </row>
    <row r="1692" spans="2:13" x14ac:dyDescent="0.3">
      <c r="B1692" s="378" t="s">
        <v>1704</v>
      </c>
      <c r="C1692" s="342"/>
      <c r="D1692" s="339"/>
      <c r="E1692" s="234" t="s">
        <v>840</v>
      </c>
      <c r="F1692" s="274" t="str">
        <f>IFERROR(VLOOKUP(E1692,'Inventaire des produits'!$B$4:$K$1000,2,0),"")</f>
        <v>FILM ALIMENTAIRE 1300GR GM 45X500</v>
      </c>
      <c r="G1692" s="54">
        <v>7</v>
      </c>
      <c r="H1692" s="60">
        <v>43.3333333333333</v>
      </c>
      <c r="I1692" s="275">
        <f t="shared" si="68"/>
        <v>303.33333333333309</v>
      </c>
      <c r="J1692" s="95">
        <f t="shared" si="69"/>
        <v>363.99999999999972</v>
      </c>
      <c r="K1692" s="93">
        <f>IFERROR(VLOOKUP(E1692,'Inventaire des produits'!$B$4:$J$1000,5,FALSE),"")</f>
        <v>0</v>
      </c>
      <c r="L1692" s="301">
        <f>IFERROR(VLOOKUP(E1692,'Inventaire des produits'!$B$4:$J$1000,6,FALSE),"")</f>
        <v>29.167000000000002</v>
      </c>
      <c r="M1692" s="62"/>
    </row>
    <row r="1693" spans="2:13" x14ac:dyDescent="0.3">
      <c r="B1693" s="378" t="s">
        <v>1704</v>
      </c>
      <c r="C1693" s="340">
        <v>45575</v>
      </c>
      <c r="D1693" s="337" t="s">
        <v>1487</v>
      </c>
      <c r="E1693" s="234" t="s">
        <v>1222</v>
      </c>
      <c r="F1693" s="274" t="str">
        <f>IFERROR(VLOOKUP(E1693,'Inventaire des produits'!$B$4:$K$1000,2,0),"")</f>
        <v>POT DE SAUCE 1OZ PROCLEAN</v>
      </c>
      <c r="G1693" s="54">
        <v>24000</v>
      </c>
      <c r="H1693" s="60">
        <v>0.16239999999999999</v>
      </c>
      <c r="I1693" s="275">
        <f t="shared" si="68"/>
        <v>3897.6</v>
      </c>
      <c r="J1693" s="95">
        <f t="shared" si="69"/>
        <v>4677.12</v>
      </c>
      <c r="K1693" s="93">
        <f>IFERROR(VLOOKUP(E1693,'Inventaire des produits'!$B$4:$J$1000,5,FALSE),"")</f>
        <v>557100</v>
      </c>
      <c r="L1693" s="301">
        <f>IFERROR(VLOOKUP(E1693,'Inventaire des produits'!$B$4:$J$1000,6,FALSE),"")</f>
        <v>0.1167</v>
      </c>
      <c r="M1693" s="62">
        <f>SUM(J1693:J1703)</f>
        <v>9450.0320000000011</v>
      </c>
    </row>
    <row r="1694" spans="2:13" x14ac:dyDescent="0.3">
      <c r="B1694" s="378" t="s">
        <v>1704</v>
      </c>
      <c r="C1694" s="341"/>
      <c r="D1694" s="338"/>
      <c r="E1694" s="234" t="s">
        <v>837</v>
      </c>
      <c r="F1694" s="274" t="str">
        <f>IFERROR(VLOOKUP(E1694,'Inventaire des produits'!$B$4:$K$1000,2,0),"")</f>
        <v>ESSUIE MAIN 1KG LISSE</v>
      </c>
      <c r="G1694" s="54">
        <v>14</v>
      </c>
      <c r="H1694" s="60">
        <v>28.333333333333336</v>
      </c>
      <c r="I1694" s="275">
        <f t="shared" si="68"/>
        <v>396.66666666666669</v>
      </c>
      <c r="J1694" s="95">
        <f t="shared" si="69"/>
        <v>476</v>
      </c>
      <c r="K1694" s="93">
        <f>IFERROR(VLOOKUP(E1694,'Inventaire des produits'!$B$4:$J$1000,5,FALSE),"")</f>
        <v>7</v>
      </c>
      <c r="L1694" s="301">
        <f>IFERROR(VLOOKUP(E1694,'Inventaire des produits'!$B$4:$J$1000,6,FALSE),"")</f>
        <v>21.25</v>
      </c>
      <c r="M1694" s="62"/>
    </row>
    <row r="1695" spans="2:13" x14ac:dyDescent="0.3">
      <c r="B1695" s="378" t="s">
        <v>1704</v>
      </c>
      <c r="C1695" s="341"/>
      <c r="D1695" s="338"/>
      <c r="E1695" s="234" t="s">
        <v>1079</v>
      </c>
      <c r="F1695" s="274" t="str">
        <f>IFERROR(VLOOKUP(E1695,'Inventaire des produits'!$B$4:$K$1000,2,0),"")</f>
        <v>FOURCHETTE ECOLUXE TRANSPARENTE</v>
      </c>
      <c r="G1695" s="54">
        <v>38</v>
      </c>
      <c r="H1695" s="60">
        <v>19.1666666666667</v>
      </c>
      <c r="I1695" s="275">
        <f t="shared" si="68"/>
        <v>728.33333333333462</v>
      </c>
      <c r="J1695" s="95">
        <f t="shared" si="69"/>
        <v>874.00000000000148</v>
      </c>
      <c r="K1695" s="93">
        <f>IFERROR(VLOOKUP(E1695,'Inventaire des produits'!$B$4:$J$1000,5,FALSE),"")</f>
        <v>0</v>
      </c>
      <c r="L1695" s="301">
        <f>IFERROR(VLOOKUP(E1695,'Inventaire des produits'!$B$4:$J$1000,6,FALSE),"")</f>
        <v>14.166665999999999</v>
      </c>
      <c r="M1695" s="62"/>
    </row>
    <row r="1696" spans="2:13" x14ac:dyDescent="0.3">
      <c r="B1696" s="378" t="s">
        <v>1704</v>
      </c>
      <c r="C1696" s="341"/>
      <c r="D1696" s="338"/>
      <c r="E1696" s="234" t="s">
        <v>1464</v>
      </c>
      <c r="F1696" s="274" t="str">
        <f>IFERROR(VLOOKUP(E1696,'Inventaire des produits'!$B$4:$K$1000,2,0),"")</f>
        <v>CUILLERE LUXE TRANSPARENTE</v>
      </c>
      <c r="G1696" s="54">
        <v>6</v>
      </c>
      <c r="H1696" s="60">
        <v>19.1666666666667</v>
      </c>
      <c r="I1696" s="275">
        <f t="shared" si="68"/>
        <v>115.0000000000002</v>
      </c>
      <c r="J1696" s="95">
        <f t="shared" si="69"/>
        <v>138.00000000000023</v>
      </c>
      <c r="K1696" s="93">
        <f>IFERROR(VLOOKUP(E1696,'Inventaire des produits'!$B$4:$J$1000,5,FALSE),"")</f>
        <v>33</v>
      </c>
      <c r="L1696" s="301">
        <f>IFERROR(VLOOKUP(E1696,'Inventaire des produits'!$B$4:$J$1000,6,FALSE),"")</f>
        <v>15</v>
      </c>
      <c r="M1696" s="62"/>
    </row>
    <row r="1697" spans="2:13" x14ac:dyDescent="0.3">
      <c r="B1697" s="378" t="s">
        <v>1704</v>
      </c>
      <c r="C1697" s="341"/>
      <c r="D1697" s="338"/>
      <c r="E1697" s="234" t="s">
        <v>869</v>
      </c>
      <c r="F1697" s="274" t="str">
        <f>IFERROR(VLOOKUP(E1697,'Inventaire des produits'!$B$4:$K$1000,2,0),"")</f>
        <v>PAILLE ENVELOPPEE CODE 100 TRANS</v>
      </c>
      <c r="G1697" s="54">
        <v>21</v>
      </c>
      <c r="H1697" s="60">
        <v>6.666666666666667</v>
      </c>
      <c r="I1697" s="275">
        <f t="shared" si="68"/>
        <v>140</v>
      </c>
      <c r="J1697" s="95">
        <f t="shared" si="69"/>
        <v>168</v>
      </c>
      <c r="K1697" s="93">
        <f>IFERROR(VLOOKUP(E1697,'Inventaire des produits'!$B$4:$J$1000,5,FALSE),"")</f>
        <v>898</v>
      </c>
      <c r="L1697" s="301">
        <f>IFERROR(VLOOKUP(E1697,'Inventaire des produits'!$B$4:$J$1000,6,FALSE),"")</f>
        <v>3.9166666659999998</v>
      </c>
      <c r="M1697" s="62"/>
    </row>
    <row r="1698" spans="2:13" x14ac:dyDescent="0.3">
      <c r="B1698" s="378" t="s">
        <v>1704</v>
      </c>
      <c r="C1698" s="341"/>
      <c r="D1698" s="338"/>
      <c r="E1698" s="234" t="s">
        <v>666</v>
      </c>
      <c r="F1698" s="274" t="str">
        <f>IFERROR(VLOOKUP(E1698,'Inventaire des produits'!$B$4:$K$1000,2,0),"")</f>
        <v>GANT VINYL EXTRA PREMIUM GLOVE MEDIUM</v>
      </c>
      <c r="G1698" s="54">
        <v>19</v>
      </c>
      <c r="H1698" s="60">
        <v>33.333333333333336</v>
      </c>
      <c r="I1698" s="275">
        <f t="shared" si="68"/>
        <v>633.33333333333337</v>
      </c>
      <c r="J1698" s="95">
        <f t="shared" si="69"/>
        <v>760</v>
      </c>
      <c r="K1698" s="93">
        <f>IFERROR(VLOOKUP(E1698,'Inventaire des produits'!$B$4:$J$1000,5,FALSE),"")</f>
        <v>0</v>
      </c>
      <c r="L1698" s="301">
        <f>IFERROR(VLOOKUP(E1698,'Inventaire des produits'!$B$4:$J$1000,6,FALSE),"")</f>
        <v>20</v>
      </c>
      <c r="M1698" s="62"/>
    </row>
    <row r="1699" spans="2:13" x14ac:dyDescent="0.3">
      <c r="B1699" s="378" t="s">
        <v>1704</v>
      </c>
      <c r="C1699" s="341"/>
      <c r="D1699" s="338"/>
      <c r="E1699" s="234" t="s">
        <v>1452</v>
      </c>
      <c r="F1699" s="274" t="str">
        <f>IFERROR(VLOOKUP(E1699,'Inventaire des produits'!$B$4:$K$1000,2,0),"")</f>
        <v>GANT POLYETHLENE</v>
      </c>
      <c r="G1699" s="54">
        <v>18</v>
      </c>
      <c r="H1699" s="60">
        <v>5</v>
      </c>
      <c r="I1699" s="275">
        <f t="shared" si="68"/>
        <v>90</v>
      </c>
      <c r="J1699" s="95">
        <f t="shared" si="69"/>
        <v>108</v>
      </c>
      <c r="K1699" s="93">
        <f>IFERROR(VLOOKUP(E1699,'Inventaire des produits'!$B$4:$J$1000,5,FALSE),"")</f>
        <v>530</v>
      </c>
      <c r="L1699" s="301">
        <f>IFERROR(VLOOKUP(E1699,'Inventaire des produits'!$B$4:$J$1000,6,FALSE),"")</f>
        <v>2.5099999999999998</v>
      </c>
      <c r="M1699" s="62"/>
    </row>
    <row r="1700" spans="2:13" x14ac:dyDescent="0.3">
      <c r="B1700" s="378" t="s">
        <v>1704</v>
      </c>
      <c r="C1700" s="341"/>
      <c r="D1700" s="338"/>
      <c r="E1700" s="234" t="s">
        <v>1129</v>
      </c>
      <c r="F1700" s="274" t="str">
        <f>IFERROR(VLOOKUP(E1700,'Inventaire des produits'!$B$4:$K$1000,2,0),"")</f>
        <v>FILM ALIMENTAIRE ORIGINAL 45*500</v>
      </c>
      <c r="G1700" s="54">
        <v>15</v>
      </c>
      <c r="H1700" s="60">
        <v>43.3333333333333</v>
      </c>
      <c r="I1700" s="275">
        <f t="shared" si="68"/>
        <v>649.99999999999955</v>
      </c>
      <c r="J1700" s="95">
        <f t="shared" si="69"/>
        <v>779.99999999999943</v>
      </c>
      <c r="K1700" s="93">
        <f>IFERROR(VLOOKUP(E1700,'Inventaire des produits'!$B$4:$J$1000,5,FALSE),"")</f>
        <v>182</v>
      </c>
      <c r="L1700" s="301">
        <f>IFERROR(VLOOKUP(E1700,'Inventaire des produits'!$B$4:$J$1000,6,FALSE),"")</f>
        <v>27.5</v>
      </c>
      <c r="M1700" s="62"/>
    </row>
    <row r="1701" spans="2:13" x14ac:dyDescent="0.3">
      <c r="B1701" s="378" t="s">
        <v>1704</v>
      </c>
      <c r="C1701" s="341"/>
      <c r="D1701" s="338"/>
      <c r="E1701" s="234" t="s">
        <v>839</v>
      </c>
      <c r="F1701" s="274" t="str">
        <f>IFERROR(VLOOKUP(E1701,'Inventaire des produits'!$B$4:$K$1000,2,0),"")</f>
        <v>FILM ALIMENTAIRE 900GR GM 30X300</v>
      </c>
      <c r="G1701" s="54">
        <v>16</v>
      </c>
      <c r="H1701" s="60">
        <v>28.333333333333336</v>
      </c>
      <c r="I1701" s="275">
        <f t="shared" si="68"/>
        <v>453.33333333333337</v>
      </c>
      <c r="J1701" s="95">
        <f t="shared" si="69"/>
        <v>544</v>
      </c>
      <c r="K1701" s="93">
        <f>IFERROR(VLOOKUP(E1701,'Inventaire des produits'!$B$4:$J$1000,5,FALSE),"")</f>
        <v>0</v>
      </c>
      <c r="L1701" s="301">
        <f>IFERROR(VLOOKUP(E1701,'Inventaire des produits'!$B$4:$J$1000,6,FALSE),"")</f>
        <v>20</v>
      </c>
      <c r="M1701" s="62"/>
    </row>
    <row r="1702" spans="2:13" x14ac:dyDescent="0.3">
      <c r="B1702" s="378" t="s">
        <v>1704</v>
      </c>
      <c r="C1702" s="341"/>
      <c r="D1702" s="338"/>
      <c r="E1702" s="234" t="s">
        <v>805</v>
      </c>
      <c r="F1702" s="274" t="str">
        <f>IFERROR(VLOOKUP(E1702,'Inventaire des produits'!$B$4:$K$1000,2,0),"")</f>
        <v>BARQUETTE ALUMINIUM 250</v>
      </c>
      <c r="G1702" s="54">
        <v>400</v>
      </c>
      <c r="H1702" s="60">
        <v>0.37680000000000002</v>
      </c>
      <c r="I1702" s="275">
        <f t="shared" si="68"/>
        <v>150.72</v>
      </c>
      <c r="J1702" s="95">
        <f t="shared" si="69"/>
        <v>180.864</v>
      </c>
      <c r="K1702" s="93">
        <f>IFERROR(VLOOKUP(E1702,'Inventaire des produits'!$B$4:$J$1000,5,FALSE),"")</f>
        <v>0</v>
      </c>
      <c r="L1702" s="301">
        <f>IFERROR(VLOOKUP(E1702,'Inventaire des produits'!$B$4:$J$1000,6,FALSE),"")</f>
        <v>0.23333329999999999</v>
      </c>
      <c r="M1702" s="62"/>
    </row>
    <row r="1703" spans="2:13" x14ac:dyDescent="0.3">
      <c r="B1703" s="378" t="s">
        <v>1704</v>
      </c>
      <c r="C1703" s="342"/>
      <c r="D1703" s="339"/>
      <c r="E1703" s="234" t="s">
        <v>1149</v>
      </c>
      <c r="F1703" s="274" t="str">
        <f>IFERROR(VLOOKUP(E1703,'Inventaire des produits'!$B$4:$K$1000,2,0),"")</f>
        <v>ROULEAU DE CAISSE THERMIQUE 80X80</v>
      </c>
      <c r="G1703" s="54">
        <v>60</v>
      </c>
      <c r="H1703" s="60">
        <v>10.334</v>
      </c>
      <c r="I1703" s="275">
        <f t="shared" si="68"/>
        <v>620.04</v>
      </c>
      <c r="J1703" s="95">
        <f t="shared" si="69"/>
        <v>744.04799999999989</v>
      </c>
      <c r="K1703" s="93">
        <f>IFERROR(VLOOKUP(E1703,'Inventaire des produits'!$B$4:$J$1000,5,FALSE),"")</f>
        <v>253</v>
      </c>
      <c r="L1703" s="301">
        <f>IFERROR(VLOOKUP(E1703,'Inventaire des produits'!$B$4:$J$1000,6,FALSE),"")</f>
        <v>7.5</v>
      </c>
      <c r="M1703" s="62"/>
    </row>
    <row r="1704" spans="2:13" x14ac:dyDescent="0.3">
      <c r="B1704" s="378" t="s">
        <v>1704</v>
      </c>
      <c r="C1704" s="340">
        <v>45575</v>
      </c>
      <c r="D1704" s="337" t="s">
        <v>1488</v>
      </c>
      <c r="E1704" s="234" t="s">
        <v>1222</v>
      </c>
      <c r="F1704" s="274" t="str">
        <f>IFERROR(VLOOKUP(E1704,'Inventaire des produits'!$B$4:$K$1000,2,0),"")</f>
        <v>POT DE SAUCE 1OZ PROCLEAN</v>
      </c>
      <c r="G1704" s="54">
        <v>14300</v>
      </c>
      <c r="H1704" s="60">
        <v>0.16250000000000001</v>
      </c>
      <c r="I1704" s="275">
        <f t="shared" si="68"/>
        <v>2323.75</v>
      </c>
      <c r="J1704" s="95">
        <f t="shared" si="69"/>
        <v>2788.5</v>
      </c>
      <c r="K1704" s="93">
        <f>IFERROR(VLOOKUP(E1704,'Inventaire des produits'!$B$4:$J$1000,5,FALSE),"")</f>
        <v>557100</v>
      </c>
      <c r="L1704" s="301">
        <f>IFERROR(VLOOKUP(E1704,'Inventaire des produits'!$B$4:$J$1000,6,FALSE),"")</f>
        <v>0.1167</v>
      </c>
      <c r="M1704" s="62">
        <f>SUM(J1704:J1715)</f>
        <v>6591.0040000000017</v>
      </c>
    </row>
    <row r="1705" spans="2:13" x14ac:dyDescent="0.3">
      <c r="B1705" s="378" t="s">
        <v>1704</v>
      </c>
      <c r="C1705" s="341"/>
      <c r="D1705" s="338"/>
      <c r="E1705" s="234" t="s">
        <v>837</v>
      </c>
      <c r="F1705" s="274" t="str">
        <f>IFERROR(VLOOKUP(E1705,'Inventaire des produits'!$B$4:$K$1000,2,0),"")</f>
        <v>ESSUIE MAIN 1KG LISSE</v>
      </c>
      <c r="G1705" s="54">
        <v>13</v>
      </c>
      <c r="H1705" s="60">
        <v>28.333333333333336</v>
      </c>
      <c r="I1705" s="275">
        <f t="shared" si="68"/>
        <v>368.33333333333337</v>
      </c>
      <c r="J1705" s="95">
        <f t="shared" si="69"/>
        <v>442.00000000000006</v>
      </c>
      <c r="K1705" s="93">
        <f>IFERROR(VLOOKUP(E1705,'Inventaire des produits'!$B$4:$J$1000,5,FALSE),"")</f>
        <v>7</v>
      </c>
      <c r="L1705" s="301">
        <f>IFERROR(VLOOKUP(E1705,'Inventaire des produits'!$B$4:$J$1000,6,FALSE),"")</f>
        <v>21.25</v>
      </c>
      <c r="M1705" s="62"/>
    </row>
    <row r="1706" spans="2:13" x14ac:dyDescent="0.3">
      <c r="B1706" s="378" t="s">
        <v>1704</v>
      </c>
      <c r="C1706" s="341"/>
      <c r="D1706" s="338"/>
      <c r="E1706" s="234" t="s">
        <v>1123</v>
      </c>
      <c r="F1706" s="274" t="str">
        <f>IFERROR(VLOOKUP(E1706,'Inventaire des produits'!$B$4:$K$1000,2,0),"")</f>
        <v>FILM ALIMENTAIRE ARAX 30*300</v>
      </c>
      <c r="G1706" s="54">
        <v>10</v>
      </c>
      <c r="H1706" s="60">
        <v>28.333333333333336</v>
      </c>
      <c r="I1706" s="275">
        <f t="shared" si="68"/>
        <v>283.33333333333337</v>
      </c>
      <c r="J1706" s="95">
        <f t="shared" si="69"/>
        <v>340.00000000000006</v>
      </c>
      <c r="K1706" s="93">
        <f>IFERROR(VLOOKUP(E1706,'Inventaire des produits'!$B$4:$J$1000,5,FALSE),"")</f>
        <v>3</v>
      </c>
      <c r="L1706" s="301">
        <f>IFERROR(VLOOKUP(E1706,'Inventaire des produits'!$B$4:$J$1000,6,FALSE),"")</f>
        <v>20</v>
      </c>
      <c r="M1706" s="62"/>
    </row>
    <row r="1707" spans="2:13" x14ac:dyDescent="0.3">
      <c r="B1707" s="378" t="s">
        <v>1704</v>
      </c>
      <c r="C1707" s="341"/>
      <c r="D1707" s="338"/>
      <c r="E1707" s="234" t="s">
        <v>1079</v>
      </c>
      <c r="F1707" s="274" t="str">
        <f>IFERROR(VLOOKUP(E1707,'Inventaire des produits'!$B$4:$K$1000,2,0),"")</f>
        <v>FOURCHETTE ECOLUXE TRANSPARENTE</v>
      </c>
      <c r="G1707" s="54">
        <v>36</v>
      </c>
      <c r="H1707" s="60">
        <v>19.1666666666667</v>
      </c>
      <c r="I1707" s="275">
        <f t="shared" si="68"/>
        <v>690.00000000000114</v>
      </c>
      <c r="J1707" s="95">
        <f t="shared" si="69"/>
        <v>828.00000000000136</v>
      </c>
      <c r="K1707" s="93">
        <f>IFERROR(VLOOKUP(E1707,'Inventaire des produits'!$B$4:$J$1000,5,FALSE),"")</f>
        <v>0</v>
      </c>
      <c r="L1707" s="301">
        <f>IFERROR(VLOOKUP(E1707,'Inventaire des produits'!$B$4:$J$1000,6,FALSE),"")</f>
        <v>14.166665999999999</v>
      </c>
      <c r="M1707" s="62"/>
    </row>
    <row r="1708" spans="2:13" x14ac:dyDescent="0.3">
      <c r="B1708" s="378" t="s">
        <v>1704</v>
      </c>
      <c r="C1708" s="341"/>
      <c r="D1708" s="338"/>
      <c r="E1708" s="234" t="s">
        <v>1464</v>
      </c>
      <c r="F1708" s="274" t="str">
        <f>IFERROR(VLOOKUP(E1708,'Inventaire des produits'!$B$4:$K$1000,2,0),"")</f>
        <v>CUILLERE LUXE TRANSPARENTE</v>
      </c>
      <c r="G1708" s="54">
        <v>7</v>
      </c>
      <c r="H1708" s="60">
        <v>19.1666666666667</v>
      </c>
      <c r="I1708" s="275">
        <f t="shared" si="68"/>
        <v>134.16666666666691</v>
      </c>
      <c r="J1708" s="95">
        <f t="shared" si="69"/>
        <v>161.00000000000028</v>
      </c>
      <c r="K1708" s="93">
        <f>IFERROR(VLOOKUP(E1708,'Inventaire des produits'!$B$4:$J$1000,5,FALSE),"")</f>
        <v>33</v>
      </c>
      <c r="L1708" s="301">
        <f>IFERROR(VLOOKUP(E1708,'Inventaire des produits'!$B$4:$J$1000,6,FALSE),"")</f>
        <v>15</v>
      </c>
      <c r="M1708" s="62"/>
    </row>
    <row r="1709" spans="2:13" x14ac:dyDescent="0.3">
      <c r="B1709" s="378" t="s">
        <v>1704</v>
      </c>
      <c r="C1709" s="341"/>
      <c r="D1709" s="338"/>
      <c r="E1709" s="234" t="s">
        <v>869</v>
      </c>
      <c r="F1709" s="274" t="str">
        <f>IFERROR(VLOOKUP(E1709,'Inventaire des produits'!$B$4:$K$1000,2,0),"")</f>
        <v>PAILLE ENVELOPPEE CODE 100 TRANS</v>
      </c>
      <c r="G1709" s="54">
        <v>20</v>
      </c>
      <c r="H1709" s="60">
        <v>6.666666666666667</v>
      </c>
      <c r="I1709" s="275">
        <f t="shared" si="68"/>
        <v>133.33333333333334</v>
      </c>
      <c r="J1709" s="95">
        <f t="shared" si="69"/>
        <v>160</v>
      </c>
      <c r="K1709" s="93">
        <f>IFERROR(VLOOKUP(E1709,'Inventaire des produits'!$B$4:$J$1000,5,FALSE),"")</f>
        <v>898</v>
      </c>
      <c r="L1709" s="301">
        <f>IFERROR(VLOOKUP(E1709,'Inventaire des produits'!$B$4:$J$1000,6,FALSE),"")</f>
        <v>3.9166666659999998</v>
      </c>
      <c r="M1709" s="62"/>
    </row>
    <row r="1710" spans="2:13" x14ac:dyDescent="0.3">
      <c r="B1710" s="378" t="s">
        <v>1704</v>
      </c>
      <c r="C1710" s="341"/>
      <c r="D1710" s="338"/>
      <c r="E1710" s="234" t="s">
        <v>666</v>
      </c>
      <c r="F1710" s="274" t="str">
        <f>IFERROR(VLOOKUP(E1710,'Inventaire des produits'!$B$4:$K$1000,2,0),"")</f>
        <v>GANT VINYL EXTRA PREMIUM GLOVE MEDIUM</v>
      </c>
      <c r="G1710" s="54">
        <v>19</v>
      </c>
      <c r="H1710" s="60">
        <v>33.333333333333336</v>
      </c>
      <c r="I1710" s="275">
        <f t="shared" si="68"/>
        <v>633.33333333333337</v>
      </c>
      <c r="J1710" s="95">
        <f t="shared" si="69"/>
        <v>760</v>
      </c>
      <c r="K1710" s="93">
        <f>IFERROR(VLOOKUP(E1710,'Inventaire des produits'!$B$4:$J$1000,5,FALSE),"")</f>
        <v>0</v>
      </c>
      <c r="L1710" s="301">
        <f>IFERROR(VLOOKUP(E1710,'Inventaire des produits'!$B$4:$J$1000,6,FALSE),"")</f>
        <v>20</v>
      </c>
      <c r="M1710" s="62"/>
    </row>
    <row r="1711" spans="2:13" x14ac:dyDescent="0.3">
      <c r="B1711" s="378" t="s">
        <v>1704</v>
      </c>
      <c r="C1711" s="341"/>
      <c r="D1711" s="338"/>
      <c r="E1711" s="234" t="s">
        <v>805</v>
      </c>
      <c r="F1711" s="274" t="str">
        <f>IFERROR(VLOOKUP(E1711,'Inventaire des produits'!$B$4:$K$1000,2,0),"")</f>
        <v>BARQUETTE ALUMINIUM 250</v>
      </c>
      <c r="G1711" s="54">
        <v>400</v>
      </c>
      <c r="H1711" s="60">
        <v>0.375</v>
      </c>
      <c r="I1711" s="275">
        <f t="shared" si="68"/>
        <v>150</v>
      </c>
      <c r="J1711" s="95">
        <f t="shared" si="69"/>
        <v>180</v>
      </c>
      <c r="K1711" s="93">
        <f>IFERROR(VLOOKUP(E1711,'Inventaire des produits'!$B$4:$J$1000,5,FALSE),"")</f>
        <v>0</v>
      </c>
      <c r="L1711" s="301">
        <f>IFERROR(VLOOKUP(E1711,'Inventaire des produits'!$B$4:$J$1000,6,FALSE),"")</f>
        <v>0.23333329999999999</v>
      </c>
      <c r="M1711" s="62"/>
    </row>
    <row r="1712" spans="2:13" x14ac:dyDescent="0.3">
      <c r="B1712" s="378" t="s">
        <v>1704</v>
      </c>
      <c r="C1712" s="341"/>
      <c r="D1712" s="338"/>
      <c r="E1712" s="234" t="s">
        <v>1452</v>
      </c>
      <c r="F1712" s="274" t="str">
        <f>IFERROR(VLOOKUP(E1712,'Inventaire des produits'!$B$4:$K$1000,2,0),"")</f>
        <v>GANT POLYETHLENE</v>
      </c>
      <c r="G1712" s="54">
        <v>15</v>
      </c>
      <c r="H1712" s="60">
        <v>5.0279999999999996</v>
      </c>
      <c r="I1712" s="275">
        <f t="shared" si="68"/>
        <v>75.419999999999987</v>
      </c>
      <c r="J1712" s="95">
        <f t="shared" si="69"/>
        <v>90.503999999999976</v>
      </c>
      <c r="K1712" s="93">
        <f>IFERROR(VLOOKUP(E1712,'Inventaire des produits'!$B$4:$J$1000,5,FALSE),"")</f>
        <v>530</v>
      </c>
      <c r="L1712" s="301">
        <f>IFERROR(VLOOKUP(E1712,'Inventaire des produits'!$B$4:$J$1000,6,FALSE),"")</f>
        <v>2.5099999999999998</v>
      </c>
      <c r="M1712" s="62"/>
    </row>
    <row r="1713" spans="2:13" x14ac:dyDescent="0.3">
      <c r="B1713" s="378" t="s">
        <v>1704</v>
      </c>
      <c r="C1713" s="341"/>
      <c r="D1713" s="338"/>
      <c r="E1713" s="234" t="s">
        <v>1149</v>
      </c>
      <c r="F1713" s="274" t="str">
        <f>IFERROR(VLOOKUP(E1713,'Inventaire des produits'!$B$4:$K$1000,2,0),"")</f>
        <v>ROULEAU DE CAISSE THERMIQUE 80X80</v>
      </c>
      <c r="G1713" s="54">
        <v>45</v>
      </c>
      <c r="H1713" s="60">
        <v>10.333333333333334</v>
      </c>
      <c r="I1713" s="275">
        <f t="shared" si="68"/>
        <v>465</v>
      </c>
      <c r="J1713" s="95">
        <f t="shared" si="69"/>
        <v>558</v>
      </c>
      <c r="K1713" s="93">
        <f>IFERROR(VLOOKUP(E1713,'Inventaire des produits'!$B$4:$J$1000,5,FALSE),"")</f>
        <v>253</v>
      </c>
      <c r="L1713" s="301">
        <f>IFERROR(VLOOKUP(E1713,'Inventaire des produits'!$B$4:$J$1000,6,FALSE),"")</f>
        <v>7.5</v>
      </c>
      <c r="M1713" s="62"/>
    </row>
    <row r="1714" spans="2:13" x14ac:dyDescent="0.3">
      <c r="B1714" s="378" t="s">
        <v>1704</v>
      </c>
      <c r="C1714" s="341"/>
      <c r="D1714" s="338"/>
      <c r="E1714" s="234" t="s">
        <v>1129</v>
      </c>
      <c r="F1714" s="274" t="str">
        <f>IFERROR(VLOOKUP(E1714,'Inventaire des produits'!$B$4:$K$1000,2,0),"")</f>
        <v>FILM ALIMENTAIRE ORIGINAL 45*500</v>
      </c>
      <c r="G1714" s="54">
        <v>5</v>
      </c>
      <c r="H1714" s="60">
        <v>43.333333333333336</v>
      </c>
      <c r="I1714" s="275">
        <f t="shared" si="68"/>
        <v>216.66666666666669</v>
      </c>
      <c r="J1714" s="95">
        <f t="shared" si="69"/>
        <v>260</v>
      </c>
      <c r="K1714" s="93">
        <f>IFERROR(VLOOKUP(E1714,'Inventaire des produits'!$B$4:$J$1000,5,FALSE),"")</f>
        <v>182</v>
      </c>
      <c r="L1714" s="301">
        <f>IFERROR(VLOOKUP(E1714,'Inventaire des produits'!$B$4:$J$1000,6,FALSE),"")</f>
        <v>27.5</v>
      </c>
      <c r="M1714" s="62"/>
    </row>
    <row r="1715" spans="2:13" x14ac:dyDescent="0.3">
      <c r="B1715" s="378" t="s">
        <v>1704</v>
      </c>
      <c r="C1715" s="342"/>
      <c r="D1715" s="339"/>
      <c r="E1715" s="234" t="s">
        <v>1465</v>
      </c>
      <c r="F1715" s="274" t="str">
        <f>IFERROR(VLOOKUP(E1715,'Inventaire des produits'!$B$4:$K$1000,2,0),"")</f>
        <v>COUTEAU LUXE TRANSPARENTE</v>
      </c>
      <c r="G1715" s="54">
        <v>1</v>
      </c>
      <c r="H1715" s="60">
        <v>19.1666666666667</v>
      </c>
      <c r="I1715" s="275">
        <f t="shared" si="68"/>
        <v>19.1666666666667</v>
      </c>
      <c r="J1715" s="95">
        <f t="shared" si="69"/>
        <v>23.000000000000039</v>
      </c>
      <c r="K1715" s="93">
        <f>IFERROR(VLOOKUP(E1715,'Inventaire des produits'!$B$4:$J$1000,5,FALSE),"")</f>
        <v>27</v>
      </c>
      <c r="L1715" s="301">
        <f>IFERROR(VLOOKUP(E1715,'Inventaire des produits'!$B$4:$J$1000,6,FALSE),"")</f>
        <v>15</v>
      </c>
      <c r="M1715" s="62"/>
    </row>
    <row r="1716" spans="2:13" x14ac:dyDescent="0.3">
      <c r="B1716" s="378" t="s">
        <v>1704</v>
      </c>
      <c r="C1716" s="340">
        <v>45575</v>
      </c>
      <c r="D1716" s="337" t="s">
        <v>1489</v>
      </c>
      <c r="E1716" s="234" t="s">
        <v>1222</v>
      </c>
      <c r="F1716" s="274" t="str">
        <f>IFERROR(VLOOKUP(E1716,'Inventaire des produits'!$B$4:$K$1000,2,0),"")</f>
        <v>POT DE SAUCE 1OZ PROCLEAN</v>
      </c>
      <c r="G1716" s="54">
        <v>18000</v>
      </c>
      <c r="H1716" s="60">
        <v>0.16250000000000001</v>
      </c>
      <c r="I1716" s="275">
        <f t="shared" si="68"/>
        <v>2925</v>
      </c>
      <c r="J1716" s="95">
        <f t="shared" si="69"/>
        <v>3510</v>
      </c>
      <c r="K1716" s="93">
        <f>IFERROR(VLOOKUP(E1716,'Inventaire des produits'!$B$4:$J$1000,5,FALSE),"")</f>
        <v>557100</v>
      </c>
      <c r="L1716" s="301">
        <f>IFERROR(VLOOKUP(E1716,'Inventaire des produits'!$B$4:$J$1000,6,FALSE),"")</f>
        <v>0.1167</v>
      </c>
      <c r="M1716" s="62">
        <f>SUM(J1716:J1726)</f>
        <v>6684.5000000000009</v>
      </c>
    </row>
    <row r="1717" spans="2:13" x14ac:dyDescent="0.3">
      <c r="B1717" s="378" t="s">
        <v>1704</v>
      </c>
      <c r="C1717" s="341"/>
      <c r="D1717" s="338"/>
      <c r="E1717" s="234" t="s">
        <v>837</v>
      </c>
      <c r="F1717" s="274" t="str">
        <f>IFERROR(VLOOKUP(E1717,'Inventaire des produits'!$B$4:$K$1000,2,0),"")</f>
        <v>ESSUIE MAIN 1KG LISSE</v>
      </c>
      <c r="G1717" s="54">
        <v>9</v>
      </c>
      <c r="H1717" s="60">
        <v>28.333333333333336</v>
      </c>
      <c r="I1717" s="275">
        <f t="shared" si="68"/>
        <v>255.00000000000003</v>
      </c>
      <c r="J1717" s="95">
        <f t="shared" si="69"/>
        <v>306</v>
      </c>
      <c r="K1717" s="93">
        <f>IFERROR(VLOOKUP(E1717,'Inventaire des produits'!$B$4:$J$1000,5,FALSE),"")</f>
        <v>7</v>
      </c>
      <c r="L1717" s="301">
        <f>IFERROR(VLOOKUP(E1717,'Inventaire des produits'!$B$4:$J$1000,6,FALSE),"")</f>
        <v>21.25</v>
      </c>
      <c r="M1717" s="62"/>
    </row>
    <row r="1718" spans="2:13" x14ac:dyDescent="0.3">
      <c r="B1718" s="378" t="s">
        <v>1704</v>
      </c>
      <c r="C1718" s="341"/>
      <c r="D1718" s="338"/>
      <c r="E1718" s="234" t="s">
        <v>1123</v>
      </c>
      <c r="F1718" s="274" t="str">
        <f>IFERROR(VLOOKUP(E1718,'Inventaire des produits'!$B$4:$K$1000,2,0),"")</f>
        <v>FILM ALIMENTAIRE ARAX 30*300</v>
      </c>
      <c r="G1718" s="54">
        <v>22</v>
      </c>
      <c r="H1718" s="60">
        <v>28.333333333333336</v>
      </c>
      <c r="I1718" s="275">
        <f t="shared" si="68"/>
        <v>623.33333333333337</v>
      </c>
      <c r="J1718" s="95">
        <f t="shared" si="69"/>
        <v>748</v>
      </c>
      <c r="K1718" s="93">
        <f>IFERROR(VLOOKUP(E1718,'Inventaire des produits'!$B$4:$J$1000,5,FALSE),"")</f>
        <v>3</v>
      </c>
      <c r="L1718" s="301">
        <f>IFERROR(VLOOKUP(E1718,'Inventaire des produits'!$B$4:$J$1000,6,FALSE),"")</f>
        <v>20</v>
      </c>
      <c r="M1718" s="62"/>
    </row>
    <row r="1719" spans="2:13" x14ac:dyDescent="0.3">
      <c r="B1719" s="378" t="s">
        <v>1704</v>
      </c>
      <c r="C1719" s="341"/>
      <c r="D1719" s="338"/>
      <c r="E1719" s="234" t="s">
        <v>1079</v>
      </c>
      <c r="F1719" s="274" t="str">
        <f>IFERROR(VLOOKUP(E1719,'Inventaire des produits'!$B$4:$K$1000,2,0),"")</f>
        <v>FOURCHETTE ECOLUXE TRANSPARENTE</v>
      </c>
      <c r="G1719" s="54">
        <v>15</v>
      </c>
      <c r="H1719" s="60">
        <v>19.1666666666667</v>
      </c>
      <c r="I1719" s="275">
        <f t="shared" si="68"/>
        <v>287.50000000000051</v>
      </c>
      <c r="J1719" s="95">
        <f t="shared" si="69"/>
        <v>345.00000000000063</v>
      </c>
      <c r="K1719" s="93">
        <f>IFERROR(VLOOKUP(E1719,'Inventaire des produits'!$B$4:$J$1000,5,FALSE),"")</f>
        <v>0</v>
      </c>
      <c r="L1719" s="301">
        <f>IFERROR(VLOOKUP(E1719,'Inventaire des produits'!$B$4:$J$1000,6,FALSE),"")</f>
        <v>14.166665999999999</v>
      </c>
      <c r="M1719" s="62"/>
    </row>
    <row r="1720" spans="2:13" x14ac:dyDescent="0.3">
      <c r="B1720" s="378" t="s">
        <v>1704</v>
      </c>
      <c r="C1720" s="341"/>
      <c r="D1720" s="338"/>
      <c r="E1720" s="234" t="s">
        <v>1464</v>
      </c>
      <c r="F1720" s="274" t="str">
        <f>IFERROR(VLOOKUP(E1720,'Inventaire des produits'!$B$4:$K$1000,2,0),"")</f>
        <v>CUILLERE LUXE TRANSPARENTE</v>
      </c>
      <c r="G1720" s="54">
        <v>6</v>
      </c>
      <c r="H1720" s="60">
        <v>19.1666666666667</v>
      </c>
      <c r="I1720" s="275">
        <f t="shared" si="68"/>
        <v>115.0000000000002</v>
      </c>
      <c r="J1720" s="95">
        <f t="shared" si="69"/>
        <v>138.00000000000023</v>
      </c>
      <c r="K1720" s="93">
        <f>IFERROR(VLOOKUP(E1720,'Inventaire des produits'!$B$4:$J$1000,5,FALSE),"")</f>
        <v>33</v>
      </c>
      <c r="L1720" s="301">
        <f>IFERROR(VLOOKUP(E1720,'Inventaire des produits'!$B$4:$J$1000,6,FALSE),"")</f>
        <v>15</v>
      </c>
      <c r="M1720" s="62"/>
    </row>
    <row r="1721" spans="2:13" x14ac:dyDescent="0.3">
      <c r="B1721" s="378" t="s">
        <v>1704</v>
      </c>
      <c r="C1721" s="341"/>
      <c r="D1721" s="338"/>
      <c r="E1721" s="234" t="s">
        <v>869</v>
      </c>
      <c r="F1721" s="274" t="str">
        <f>IFERROR(VLOOKUP(E1721,'Inventaire des produits'!$B$4:$K$1000,2,0),"")</f>
        <v>PAILLE ENVELOPPEE CODE 100 TRANS</v>
      </c>
      <c r="G1721" s="54">
        <v>8</v>
      </c>
      <c r="H1721" s="60">
        <v>6.666666666666667</v>
      </c>
      <c r="I1721" s="275">
        <f t="shared" si="68"/>
        <v>53.333333333333336</v>
      </c>
      <c r="J1721" s="95">
        <f t="shared" si="69"/>
        <v>64</v>
      </c>
      <c r="K1721" s="93">
        <f>IFERROR(VLOOKUP(E1721,'Inventaire des produits'!$B$4:$J$1000,5,FALSE),"")</f>
        <v>898</v>
      </c>
      <c r="L1721" s="301">
        <f>IFERROR(VLOOKUP(E1721,'Inventaire des produits'!$B$4:$J$1000,6,FALSE),"")</f>
        <v>3.9166666659999998</v>
      </c>
      <c r="M1721" s="62"/>
    </row>
    <row r="1722" spans="2:13" x14ac:dyDescent="0.3">
      <c r="B1722" s="378" t="s">
        <v>1704</v>
      </c>
      <c r="C1722" s="341"/>
      <c r="D1722" s="338"/>
      <c r="E1722" s="234" t="s">
        <v>666</v>
      </c>
      <c r="F1722" s="274" t="str">
        <f>IFERROR(VLOOKUP(E1722,'Inventaire des produits'!$B$4:$K$1000,2,0),"")</f>
        <v>GANT VINYL EXTRA PREMIUM GLOVE MEDIUM</v>
      </c>
      <c r="G1722" s="54">
        <v>13</v>
      </c>
      <c r="H1722" s="60">
        <v>33.333333333333336</v>
      </c>
      <c r="I1722" s="275">
        <f t="shared" si="68"/>
        <v>433.33333333333337</v>
      </c>
      <c r="J1722" s="95">
        <f t="shared" si="69"/>
        <v>520</v>
      </c>
      <c r="K1722" s="93">
        <f>IFERROR(VLOOKUP(E1722,'Inventaire des produits'!$B$4:$J$1000,5,FALSE),"")</f>
        <v>0</v>
      </c>
      <c r="L1722" s="301">
        <f>IFERROR(VLOOKUP(E1722,'Inventaire des produits'!$B$4:$J$1000,6,FALSE),"")</f>
        <v>20</v>
      </c>
      <c r="M1722" s="62"/>
    </row>
    <row r="1723" spans="2:13" x14ac:dyDescent="0.3">
      <c r="B1723" s="378" t="s">
        <v>1704</v>
      </c>
      <c r="C1723" s="341"/>
      <c r="D1723" s="338"/>
      <c r="E1723" s="234" t="s">
        <v>805</v>
      </c>
      <c r="F1723" s="274" t="str">
        <f>IFERROR(VLOOKUP(E1723,'Inventaire des produits'!$B$4:$K$1000,2,0),"")</f>
        <v>BARQUETTE ALUMINIUM 250</v>
      </c>
      <c r="G1723" s="54">
        <v>150</v>
      </c>
      <c r="H1723" s="60">
        <v>0.375</v>
      </c>
      <c r="I1723" s="275">
        <f t="shared" si="68"/>
        <v>56.25</v>
      </c>
      <c r="J1723" s="95">
        <f t="shared" si="69"/>
        <v>67.5</v>
      </c>
      <c r="K1723" s="93">
        <f>IFERROR(VLOOKUP(E1723,'Inventaire des produits'!$B$4:$J$1000,5,FALSE),"")</f>
        <v>0</v>
      </c>
      <c r="L1723" s="301">
        <f>IFERROR(VLOOKUP(E1723,'Inventaire des produits'!$B$4:$J$1000,6,FALSE),"")</f>
        <v>0.23333329999999999</v>
      </c>
      <c r="M1723" s="62"/>
    </row>
    <row r="1724" spans="2:13" x14ac:dyDescent="0.3">
      <c r="B1724" s="378" t="s">
        <v>1704</v>
      </c>
      <c r="C1724" s="341"/>
      <c r="D1724" s="338"/>
      <c r="E1724" s="234" t="s">
        <v>1452</v>
      </c>
      <c r="F1724" s="274" t="str">
        <f>IFERROR(VLOOKUP(E1724,'Inventaire des produits'!$B$4:$K$1000,2,0),"")</f>
        <v>GANT POLYETHLENE</v>
      </c>
      <c r="G1724" s="54">
        <v>28</v>
      </c>
      <c r="H1724" s="60">
        <v>5</v>
      </c>
      <c r="I1724" s="275">
        <f t="shared" si="68"/>
        <v>140</v>
      </c>
      <c r="J1724" s="95">
        <f t="shared" si="69"/>
        <v>168</v>
      </c>
      <c r="K1724" s="93">
        <f>IFERROR(VLOOKUP(E1724,'Inventaire des produits'!$B$4:$J$1000,5,FALSE),"")</f>
        <v>530</v>
      </c>
      <c r="L1724" s="301">
        <f>IFERROR(VLOOKUP(E1724,'Inventaire des produits'!$B$4:$J$1000,6,FALSE),"")</f>
        <v>2.5099999999999998</v>
      </c>
      <c r="M1724" s="62"/>
    </row>
    <row r="1725" spans="2:13" x14ac:dyDescent="0.3">
      <c r="B1725" s="378" t="s">
        <v>1704</v>
      </c>
      <c r="C1725" s="341"/>
      <c r="D1725" s="338"/>
      <c r="E1725" s="234" t="s">
        <v>1149</v>
      </c>
      <c r="F1725" s="274" t="str">
        <f>IFERROR(VLOOKUP(E1725,'Inventaire des produits'!$B$4:$K$1000,2,0),"")</f>
        <v>ROULEAU DE CAISSE THERMIQUE 80X80</v>
      </c>
      <c r="G1725" s="54">
        <v>45</v>
      </c>
      <c r="H1725" s="60">
        <v>10.333333333333334</v>
      </c>
      <c r="I1725" s="275">
        <f t="shared" si="68"/>
        <v>465</v>
      </c>
      <c r="J1725" s="95">
        <f t="shared" si="69"/>
        <v>558</v>
      </c>
      <c r="K1725" s="93">
        <f>IFERROR(VLOOKUP(E1725,'Inventaire des produits'!$B$4:$J$1000,5,FALSE),"")</f>
        <v>253</v>
      </c>
      <c r="L1725" s="301">
        <f>IFERROR(VLOOKUP(E1725,'Inventaire des produits'!$B$4:$J$1000,6,FALSE),"")</f>
        <v>7.5</v>
      </c>
      <c r="M1725" s="62"/>
    </row>
    <row r="1726" spans="2:13" x14ac:dyDescent="0.3">
      <c r="B1726" s="378" t="s">
        <v>1704</v>
      </c>
      <c r="C1726" s="342"/>
      <c r="D1726" s="339"/>
      <c r="E1726" s="234" t="s">
        <v>1129</v>
      </c>
      <c r="F1726" s="274" t="str">
        <f>IFERROR(VLOOKUP(E1726,'Inventaire des produits'!$B$4:$K$1000,2,0),"")</f>
        <v>FILM ALIMENTAIRE ORIGINAL 45*500</v>
      </c>
      <c r="G1726" s="54">
        <v>5</v>
      </c>
      <c r="H1726" s="60">
        <v>43.333333333333336</v>
      </c>
      <c r="I1726" s="275">
        <f t="shared" si="68"/>
        <v>216.66666666666669</v>
      </c>
      <c r="J1726" s="95">
        <f t="shared" si="69"/>
        <v>260</v>
      </c>
      <c r="K1726" s="93">
        <f>IFERROR(VLOOKUP(E1726,'Inventaire des produits'!$B$4:$J$1000,5,FALSE),"")</f>
        <v>182</v>
      </c>
      <c r="L1726" s="301">
        <f>IFERROR(VLOOKUP(E1726,'Inventaire des produits'!$B$4:$J$1000,6,FALSE),"")</f>
        <v>27.5</v>
      </c>
      <c r="M1726" s="62"/>
    </row>
    <row r="1727" spans="2:13" x14ac:dyDescent="0.3">
      <c r="B1727" s="378" t="s">
        <v>1704</v>
      </c>
      <c r="C1727" s="340">
        <v>45575</v>
      </c>
      <c r="D1727" s="337" t="s">
        <v>1490</v>
      </c>
      <c r="E1727" s="234" t="s">
        <v>1495</v>
      </c>
      <c r="F1727" s="274" t="str">
        <f>IFERROR(VLOOKUP(E1727,'Inventaire des produits'!$B$4:$K$1000,2,0),"")</f>
        <v>CLICHE POLYMERE EP° 5MM</v>
      </c>
      <c r="G1727" s="54">
        <v>1</v>
      </c>
      <c r="H1727" s="60">
        <f>450/1.2</f>
        <v>375</v>
      </c>
      <c r="I1727" s="275">
        <f t="shared" ref="I1727" si="70">IF(OR(G1727="",H1727=""),"",G1727*H1727)</f>
        <v>375</v>
      </c>
      <c r="J1727" s="95">
        <f t="shared" ref="J1727" si="71">IF(OR(I1727=""),"",I1727*1.2)</f>
        <v>450</v>
      </c>
      <c r="K1727" s="93">
        <f>IFERROR(VLOOKUP(E1727,'Inventaire des produits'!$B$4:$J$1000,5,FALSE),"")</f>
        <v>0</v>
      </c>
      <c r="L1727" s="301">
        <f>IFERROR(VLOOKUP(E1727,'Inventaire des produits'!$B$4:$J$1000,6,FALSE),"")</f>
        <v>260</v>
      </c>
      <c r="M1727" s="62">
        <f>SUM(J1727:J1729)</f>
        <v>5200</v>
      </c>
    </row>
    <row r="1728" spans="2:13" x14ac:dyDescent="0.3">
      <c r="B1728" s="378" t="s">
        <v>1704</v>
      </c>
      <c r="C1728" s="341"/>
      <c r="D1728" s="338"/>
      <c r="E1728" s="234" t="s">
        <v>1394</v>
      </c>
      <c r="F1728" s="274" t="str">
        <f>IFERROR(VLOOKUP(E1728,'Inventaire des produits'!$B$4:$K$1000,2,0),"")</f>
        <v>SAC KRAFT ECRU 26*17*28 IMP</v>
      </c>
      <c r="G1728" s="54">
        <v>3000</v>
      </c>
      <c r="H1728" s="60">
        <f>1.4/1.2</f>
        <v>1.1666666666666667</v>
      </c>
      <c r="I1728" s="275">
        <f t="shared" si="68"/>
        <v>3500</v>
      </c>
      <c r="J1728" s="95">
        <f t="shared" si="69"/>
        <v>4200</v>
      </c>
      <c r="K1728" s="93">
        <f>IFERROR(VLOOKUP(E1728,'Inventaire des produits'!$B$4:$J$1000,5,FALSE),"")</f>
        <v>2250</v>
      </c>
      <c r="L1728" s="301">
        <f>IFERROR(VLOOKUP(E1728,'Inventaire des produits'!$B$4:$J$1000,6,FALSE),"")</f>
        <v>0.75</v>
      </c>
      <c r="M1728" s="62"/>
    </row>
    <row r="1729" spans="2:13" x14ac:dyDescent="0.3">
      <c r="B1729" s="378" t="s">
        <v>1704</v>
      </c>
      <c r="C1729" s="342"/>
      <c r="D1729" s="339"/>
      <c r="E1729" s="234" t="s">
        <v>1056</v>
      </c>
      <c r="F1729" s="274" t="str">
        <f>IFERROR(VLOOKUP(E1729,'Inventaire des produits'!$B$4:$K$1000,2,0),"")</f>
        <v>SAC PN BLANC NI 30*40*10</v>
      </c>
      <c r="G1729" s="54">
        <v>500</v>
      </c>
      <c r="H1729" s="60">
        <f>1.1/1.2</f>
        <v>0.91666666666666674</v>
      </c>
      <c r="I1729" s="275">
        <f t="shared" si="68"/>
        <v>458.33333333333337</v>
      </c>
      <c r="J1729" s="95">
        <f t="shared" si="69"/>
        <v>550</v>
      </c>
      <c r="K1729" s="93">
        <f>IFERROR(VLOOKUP(E1729,'Inventaire des produits'!$B$4:$J$1000,5,FALSE),"")</f>
        <v>27400</v>
      </c>
      <c r="L1729" s="301">
        <f>IFERROR(VLOOKUP(E1729,'Inventaire des produits'!$B$4:$J$1000,6,FALSE),"")</f>
        <v>0.33334000000000003</v>
      </c>
      <c r="M1729" s="62"/>
    </row>
    <row r="1730" spans="2:13" x14ac:dyDescent="0.3">
      <c r="B1730" s="378" t="s">
        <v>1704</v>
      </c>
      <c r="C1730" s="340">
        <v>45576</v>
      </c>
      <c r="D1730" s="337" t="s">
        <v>1491</v>
      </c>
      <c r="E1730" s="234" t="s">
        <v>1079</v>
      </c>
      <c r="F1730" s="274" t="str">
        <f>IFERROR(VLOOKUP(E1730,'Inventaire des produits'!$B$4:$K$1000,2,0),"")</f>
        <v>FOURCHETTE ECOLUXE TRANSPARENTE</v>
      </c>
      <c r="G1730" s="54">
        <v>34</v>
      </c>
      <c r="H1730" s="60">
        <v>19.1666666666667</v>
      </c>
      <c r="I1730" s="275">
        <f t="shared" si="68"/>
        <v>651.66666666666777</v>
      </c>
      <c r="J1730" s="95">
        <f t="shared" si="69"/>
        <v>782.00000000000125</v>
      </c>
      <c r="K1730" s="93">
        <f>IFERROR(VLOOKUP(E1730,'Inventaire des produits'!$B$4:$J$1000,5,FALSE),"")</f>
        <v>0</v>
      </c>
      <c r="L1730" s="301">
        <f>IFERROR(VLOOKUP(E1730,'Inventaire des produits'!$B$4:$J$1000,6,FALSE),"")</f>
        <v>14.166665999999999</v>
      </c>
      <c r="M1730" s="62">
        <f>SUM(J1730:J1741)</f>
        <v>10681.139200000001</v>
      </c>
    </row>
    <row r="1731" spans="2:13" x14ac:dyDescent="0.3">
      <c r="B1731" s="378" t="s">
        <v>1704</v>
      </c>
      <c r="C1731" s="341"/>
      <c r="D1731" s="338"/>
      <c r="E1731" s="234" t="s">
        <v>1222</v>
      </c>
      <c r="F1731" s="274" t="str">
        <f>IFERROR(VLOOKUP(E1731,'Inventaire des produits'!$B$4:$K$1000,2,0),"")</f>
        <v>POT DE SAUCE 1OZ PROCLEAN</v>
      </c>
      <c r="G1731" s="54">
        <v>28000</v>
      </c>
      <c r="H1731" s="60">
        <v>0.16239999999999999</v>
      </c>
      <c r="I1731" s="275">
        <f t="shared" si="68"/>
        <v>4547.2</v>
      </c>
      <c r="J1731" s="95">
        <f t="shared" si="69"/>
        <v>5456.6399999999994</v>
      </c>
      <c r="K1731" s="93">
        <f>IFERROR(VLOOKUP(E1731,'Inventaire des produits'!$B$4:$J$1000,5,FALSE),"")</f>
        <v>557100</v>
      </c>
      <c r="L1731" s="301">
        <f>IFERROR(VLOOKUP(E1731,'Inventaire des produits'!$B$4:$J$1000,6,FALSE),"")</f>
        <v>0.1167</v>
      </c>
      <c r="M1731" s="62"/>
    </row>
    <row r="1732" spans="2:13" x14ac:dyDescent="0.3">
      <c r="B1732" s="378" t="s">
        <v>1704</v>
      </c>
      <c r="C1732" s="341"/>
      <c r="D1732" s="338"/>
      <c r="E1732" s="234" t="s">
        <v>837</v>
      </c>
      <c r="F1732" s="274" t="str">
        <f>IFERROR(VLOOKUP(E1732,'Inventaire des produits'!$B$4:$K$1000,2,0),"")</f>
        <v>ESSUIE MAIN 1KG LISSE</v>
      </c>
      <c r="G1732" s="54">
        <v>8</v>
      </c>
      <c r="H1732" s="60">
        <v>28.3333333333333</v>
      </c>
      <c r="I1732" s="275">
        <f t="shared" si="68"/>
        <v>226.6666666666664</v>
      </c>
      <c r="J1732" s="95">
        <f t="shared" si="69"/>
        <v>271.99999999999966</v>
      </c>
      <c r="K1732" s="93">
        <f>IFERROR(VLOOKUP(E1732,'Inventaire des produits'!$B$4:$J$1000,5,FALSE),"")</f>
        <v>7</v>
      </c>
      <c r="L1732" s="301">
        <f>IFERROR(VLOOKUP(E1732,'Inventaire des produits'!$B$4:$J$1000,6,FALSE),"")</f>
        <v>21.25</v>
      </c>
      <c r="M1732" s="62"/>
    </row>
    <row r="1733" spans="2:13" x14ac:dyDescent="0.3">
      <c r="B1733" s="378" t="s">
        <v>1704</v>
      </c>
      <c r="C1733" s="341"/>
      <c r="D1733" s="338"/>
      <c r="E1733" s="234" t="s">
        <v>1123</v>
      </c>
      <c r="F1733" s="274" t="str">
        <f>IFERROR(VLOOKUP(E1733,'Inventaire des produits'!$B$4:$K$1000,2,0),"")</f>
        <v>FILM ALIMENTAIRE ARAX 30*300</v>
      </c>
      <c r="G1733" s="54">
        <v>22</v>
      </c>
      <c r="H1733" s="60">
        <v>28.333333333333336</v>
      </c>
      <c r="I1733" s="275">
        <f t="shared" si="68"/>
        <v>623.33333333333337</v>
      </c>
      <c r="J1733" s="95">
        <f t="shared" si="69"/>
        <v>748</v>
      </c>
      <c r="K1733" s="93">
        <f>IFERROR(VLOOKUP(E1733,'Inventaire des produits'!$B$4:$J$1000,5,FALSE),"")</f>
        <v>3</v>
      </c>
      <c r="L1733" s="301">
        <f>IFERROR(VLOOKUP(E1733,'Inventaire des produits'!$B$4:$J$1000,6,FALSE),"")</f>
        <v>20</v>
      </c>
      <c r="M1733" s="62"/>
    </row>
    <row r="1734" spans="2:13" x14ac:dyDescent="0.3">
      <c r="B1734" s="378" t="s">
        <v>1704</v>
      </c>
      <c r="C1734" s="341"/>
      <c r="D1734" s="338"/>
      <c r="E1734" s="234" t="s">
        <v>1464</v>
      </c>
      <c r="F1734" s="274" t="str">
        <f>IFERROR(VLOOKUP(E1734,'Inventaire des produits'!$B$4:$K$1000,2,0),"")</f>
        <v>CUILLERE LUXE TRANSPARENTE</v>
      </c>
      <c r="G1734" s="54">
        <v>12</v>
      </c>
      <c r="H1734" s="60">
        <v>19.1666666666667</v>
      </c>
      <c r="I1734" s="275">
        <f t="shared" si="68"/>
        <v>230.0000000000004</v>
      </c>
      <c r="J1734" s="95">
        <f t="shared" si="69"/>
        <v>276.00000000000045</v>
      </c>
      <c r="K1734" s="93">
        <f>IFERROR(VLOOKUP(E1734,'Inventaire des produits'!$B$4:$J$1000,5,FALSE),"")</f>
        <v>33</v>
      </c>
      <c r="L1734" s="301">
        <f>IFERROR(VLOOKUP(E1734,'Inventaire des produits'!$B$4:$J$1000,6,FALSE),"")</f>
        <v>15</v>
      </c>
      <c r="M1734" s="62"/>
    </row>
    <row r="1735" spans="2:13" x14ac:dyDescent="0.3">
      <c r="B1735" s="378" t="s">
        <v>1704</v>
      </c>
      <c r="C1735" s="341"/>
      <c r="D1735" s="338"/>
      <c r="E1735" s="234" t="s">
        <v>666</v>
      </c>
      <c r="F1735" s="274" t="str">
        <f>IFERROR(VLOOKUP(E1735,'Inventaire des produits'!$B$4:$K$1000,2,0),"")</f>
        <v>GANT VINYL EXTRA PREMIUM GLOVE MEDIUM</v>
      </c>
      <c r="G1735" s="54">
        <v>14</v>
      </c>
      <c r="H1735" s="60">
        <v>33.333333333333336</v>
      </c>
      <c r="I1735" s="275">
        <f t="shared" si="68"/>
        <v>466.66666666666669</v>
      </c>
      <c r="J1735" s="95">
        <f t="shared" si="69"/>
        <v>560</v>
      </c>
      <c r="K1735" s="93">
        <f>IFERROR(VLOOKUP(E1735,'Inventaire des produits'!$B$4:$J$1000,5,FALSE),"")</f>
        <v>0</v>
      </c>
      <c r="L1735" s="301">
        <f>IFERROR(VLOOKUP(E1735,'Inventaire des produits'!$B$4:$J$1000,6,FALSE),"")</f>
        <v>20</v>
      </c>
      <c r="M1735" s="62"/>
    </row>
    <row r="1736" spans="2:13" x14ac:dyDescent="0.3">
      <c r="B1736" s="378" t="s">
        <v>1704</v>
      </c>
      <c r="C1736" s="341"/>
      <c r="D1736" s="338"/>
      <c r="E1736" s="234" t="s">
        <v>1452</v>
      </c>
      <c r="F1736" s="274" t="str">
        <f>IFERROR(VLOOKUP(E1736,'Inventaire des produits'!$B$4:$K$1000,2,0),"")</f>
        <v>GANT POLYETHLENE</v>
      </c>
      <c r="G1736" s="54">
        <v>58</v>
      </c>
      <c r="H1736" s="60">
        <v>5</v>
      </c>
      <c r="I1736" s="275">
        <f t="shared" si="68"/>
        <v>290</v>
      </c>
      <c r="J1736" s="95">
        <f t="shared" si="69"/>
        <v>348</v>
      </c>
      <c r="K1736" s="93">
        <f>IFERROR(VLOOKUP(E1736,'Inventaire des produits'!$B$4:$J$1000,5,FALSE),"")</f>
        <v>530</v>
      </c>
      <c r="L1736" s="301">
        <f>IFERROR(VLOOKUP(E1736,'Inventaire des produits'!$B$4:$J$1000,6,FALSE),"")</f>
        <v>2.5099999999999998</v>
      </c>
      <c r="M1736" s="62"/>
    </row>
    <row r="1737" spans="2:13" x14ac:dyDescent="0.3">
      <c r="B1737" s="378" t="s">
        <v>1704</v>
      </c>
      <c r="C1737" s="341"/>
      <c r="D1737" s="338"/>
      <c r="E1737" s="234" t="s">
        <v>1149</v>
      </c>
      <c r="F1737" s="274" t="str">
        <f>IFERROR(VLOOKUP(E1737,'Inventaire des produits'!$B$4:$K$1000,2,0),"")</f>
        <v>ROULEAU DE CAISSE THERMIQUE 80X80</v>
      </c>
      <c r="G1737" s="54">
        <v>90</v>
      </c>
      <c r="H1737" s="60">
        <v>10.333333333333334</v>
      </c>
      <c r="I1737" s="275">
        <f t="shared" si="68"/>
        <v>930</v>
      </c>
      <c r="J1737" s="95">
        <f t="shared" si="69"/>
        <v>1116</v>
      </c>
      <c r="K1737" s="93">
        <f>IFERROR(VLOOKUP(E1737,'Inventaire des produits'!$B$4:$J$1000,5,FALSE),"")</f>
        <v>253</v>
      </c>
      <c r="L1737" s="301">
        <f>IFERROR(VLOOKUP(E1737,'Inventaire des produits'!$B$4:$J$1000,6,FALSE),"")</f>
        <v>7.5</v>
      </c>
      <c r="M1737" s="62"/>
    </row>
    <row r="1738" spans="2:13" x14ac:dyDescent="0.3">
      <c r="B1738" s="378" t="s">
        <v>1704</v>
      </c>
      <c r="C1738" s="341"/>
      <c r="D1738" s="338"/>
      <c r="E1738" s="234" t="s">
        <v>1129</v>
      </c>
      <c r="F1738" s="274" t="str">
        <f>IFERROR(VLOOKUP(E1738,'Inventaire des produits'!$B$4:$K$1000,2,0),"")</f>
        <v>FILM ALIMENTAIRE ORIGINAL 45*500</v>
      </c>
      <c r="G1738" s="54">
        <v>16</v>
      </c>
      <c r="H1738" s="60">
        <v>43.333333333333336</v>
      </c>
      <c r="I1738" s="275">
        <f t="shared" si="68"/>
        <v>693.33333333333337</v>
      </c>
      <c r="J1738" s="95">
        <f t="shared" si="69"/>
        <v>832</v>
      </c>
      <c r="K1738" s="93">
        <f>IFERROR(VLOOKUP(E1738,'Inventaire des produits'!$B$4:$J$1000,5,FALSE),"")</f>
        <v>182</v>
      </c>
      <c r="L1738" s="301">
        <f>IFERROR(VLOOKUP(E1738,'Inventaire des produits'!$B$4:$J$1000,6,FALSE),"")</f>
        <v>27.5</v>
      </c>
      <c r="M1738" s="62"/>
    </row>
    <row r="1739" spans="2:13" x14ac:dyDescent="0.3">
      <c r="B1739" s="378" t="s">
        <v>1704</v>
      </c>
      <c r="C1739" s="341"/>
      <c r="D1739" s="338"/>
      <c r="E1739" s="234" t="s">
        <v>869</v>
      </c>
      <c r="F1739" s="274" t="str">
        <f>IFERROR(VLOOKUP(E1739,'Inventaire des produits'!$B$4:$K$1000,2,0),"")</f>
        <v>PAILLE ENVELOPPEE CODE 100 TRANS</v>
      </c>
      <c r="G1739" s="54">
        <v>1</v>
      </c>
      <c r="H1739" s="60">
        <v>6.6660000000000004</v>
      </c>
      <c r="I1739" s="275">
        <f t="shared" si="68"/>
        <v>6.6660000000000004</v>
      </c>
      <c r="J1739" s="95">
        <f t="shared" si="69"/>
        <v>7.9992000000000001</v>
      </c>
      <c r="K1739" s="93">
        <f>IFERROR(VLOOKUP(E1739,'Inventaire des produits'!$B$4:$J$1000,5,FALSE),"")</f>
        <v>898</v>
      </c>
      <c r="L1739" s="301">
        <f>IFERROR(VLOOKUP(E1739,'Inventaire des produits'!$B$4:$J$1000,6,FALSE),"")</f>
        <v>3.9166666659999998</v>
      </c>
      <c r="M1739" s="62"/>
    </row>
    <row r="1740" spans="2:13" x14ac:dyDescent="0.3">
      <c r="B1740" s="378" t="s">
        <v>1704</v>
      </c>
      <c r="C1740" s="341"/>
      <c r="D1740" s="338"/>
      <c r="E1740" s="234" t="s">
        <v>805</v>
      </c>
      <c r="F1740" s="274" t="str">
        <f>IFERROR(VLOOKUP(E1740,'Inventaire des produits'!$B$4:$K$1000,2,0),"")</f>
        <v>BARQUETTE ALUMINIUM 250</v>
      </c>
      <c r="G1740" s="54">
        <v>250</v>
      </c>
      <c r="H1740" s="60">
        <v>0.375</v>
      </c>
      <c r="I1740" s="275">
        <f t="shared" si="68"/>
        <v>93.75</v>
      </c>
      <c r="J1740" s="95">
        <f t="shared" si="69"/>
        <v>112.5</v>
      </c>
      <c r="K1740" s="93">
        <f>IFERROR(VLOOKUP(E1740,'Inventaire des produits'!$B$4:$J$1000,5,FALSE),"")</f>
        <v>0</v>
      </c>
      <c r="L1740" s="301">
        <f>IFERROR(VLOOKUP(E1740,'Inventaire des produits'!$B$4:$J$1000,6,FALSE),"")</f>
        <v>0.23333329999999999</v>
      </c>
      <c r="M1740" s="62"/>
    </row>
    <row r="1741" spans="2:13" x14ac:dyDescent="0.3">
      <c r="B1741" s="378" t="s">
        <v>1704</v>
      </c>
      <c r="C1741" s="342"/>
      <c r="D1741" s="339"/>
      <c r="E1741" s="234" t="s">
        <v>1390</v>
      </c>
      <c r="F1741" s="274" t="str">
        <f>IFERROR(VLOOKUP(E1741,'Inventaire des produits'!$B$4:$K$1000,2,0),"")</f>
        <v>ROULEAU ALUMINIUM EXTRA PACK 200M</v>
      </c>
      <c r="G1741" s="54">
        <v>2</v>
      </c>
      <c r="H1741" s="60">
        <v>70.833333333333343</v>
      </c>
      <c r="I1741" s="275">
        <f t="shared" si="68"/>
        <v>141.66666666666669</v>
      </c>
      <c r="J1741" s="95">
        <f t="shared" si="69"/>
        <v>170.00000000000003</v>
      </c>
      <c r="K1741" s="93">
        <f>IFERROR(VLOOKUP(E1741,'Inventaire des produits'!$B$4:$J$1000,5,FALSE),"")</f>
        <v>3</v>
      </c>
      <c r="L1741" s="301">
        <f>IFERROR(VLOOKUP(E1741,'Inventaire des produits'!$B$4:$J$1000,6,FALSE),"")</f>
        <v>43.804166666666667</v>
      </c>
      <c r="M1741" s="62"/>
    </row>
    <row r="1742" spans="2:13" x14ac:dyDescent="0.3">
      <c r="B1742" s="378" t="s">
        <v>1704</v>
      </c>
      <c r="C1742" s="340">
        <v>45576</v>
      </c>
      <c r="D1742" s="337" t="s">
        <v>1492</v>
      </c>
      <c r="E1742" s="234" t="s">
        <v>1222</v>
      </c>
      <c r="F1742" s="274" t="str">
        <f>IFERROR(VLOOKUP(E1742,'Inventaire des produits'!$B$4:$K$1000,2,0),"")</f>
        <v>POT DE SAUCE 1OZ PROCLEAN</v>
      </c>
      <c r="G1742" s="54">
        <v>14500</v>
      </c>
      <c r="H1742" s="60">
        <v>0.1628</v>
      </c>
      <c r="I1742" s="275">
        <f t="shared" si="68"/>
        <v>2360.6</v>
      </c>
      <c r="J1742" s="95">
        <f t="shared" si="69"/>
        <v>2832.72</v>
      </c>
      <c r="K1742" s="93">
        <f>IFERROR(VLOOKUP(E1742,'Inventaire des produits'!$B$4:$J$1000,5,FALSE),"")</f>
        <v>557100</v>
      </c>
      <c r="L1742" s="301">
        <f>IFERROR(VLOOKUP(E1742,'Inventaire des produits'!$B$4:$J$1000,6,FALSE),"")</f>
        <v>0.1167</v>
      </c>
      <c r="M1742" s="62">
        <f>SUM(J1742:J1753)</f>
        <v>7762.2200000000021</v>
      </c>
    </row>
    <row r="1743" spans="2:13" x14ac:dyDescent="0.3">
      <c r="B1743" s="378" t="s">
        <v>1704</v>
      </c>
      <c r="C1743" s="341"/>
      <c r="D1743" s="338"/>
      <c r="E1743" s="234" t="s">
        <v>837</v>
      </c>
      <c r="F1743" s="274" t="str">
        <f>IFERROR(VLOOKUP(E1743,'Inventaire des produits'!$B$4:$K$1000,2,0),"")</f>
        <v>ESSUIE MAIN 1KG LISSE</v>
      </c>
      <c r="G1743" s="54">
        <v>16</v>
      </c>
      <c r="H1743" s="60">
        <v>28.333333333333336</v>
      </c>
      <c r="I1743" s="275">
        <f t="shared" si="68"/>
        <v>453.33333333333337</v>
      </c>
      <c r="J1743" s="95">
        <f t="shared" si="69"/>
        <v>544</v>
      </c>
      <c r="K1743" s="93">
        <f>IFERROR(VLOOKUP(E1743,'Inventaire des produits'!$B$4:$J$1000,5,FALSE),"")</f>
        <v>7</v>
      </c>
      <c r="L1743" s="301">
        <f>IFERROR(VLOOKUP(E1743,'Inventaire des produits'!$B$4:$J$1000,6,FALSE),"")</f>
        <v>21.25</v>
      </c>
      <c r="M1743" s="62"/>
    </row>
    <row r="1744" spans="2:13" x14ac:dyDescent="0.3">
      <c r="B1744" s="378" t="s">
        <v>1704</v>
      </c>
      <c r="C1744" s="341"/>
      <c r="D1744" s="338"/>
      <c r="E1744" s="234" t="s">
        <v>1123</v>
      </c>
      <c r="F1744" s="274" t="str">
        <f>IFERROR(VLOOKUP(E1744,'Inventaire des produits'!$B$4:$K$1000,2,0),"")</f>
        <v>FILM ALIMENTAIRE ARAX 30*300</v>
      </c>
      <c r="G1744" s="54">
        <v>6</v>
      </c>
      <c r="H1744" s="60">
        <v>28.333333333333336</v>
      </c>
      <c r="I1744" s="275">
        <f t="shared" si="68"/>
        <v>170</v>
      </c>
      <c r="J1744" s="95">
        <f t="shared" si="69"/>
        <v>204</v>
      </c>
      <c r="K1744" s="93">
        <f>IFERROR(VLOOKUP(E1744,'Inventaire des produits'!$B$4:$J$1000,5,FALSE),"")</f>
        <v>3</v>
      </c>
      <c r="L1744" s="301">
        <f>IFERROR(VLOOKUP(E1744,'Inventaire des produits'!$B$4:$J$1000,6,FALSE),"")</f>
        <v>20</v>
      </c>
      <c r="M1744" s="62"/>
    </row>
    <row r="1745" spans="2:13" x14ac:dyDescent="0.3">
      <c r="B1745" s="378" t="s">
        <v>1704</v>
      </c>
      <c r="C1745" s="341"/>
      <c r="D1745" s="338"/>
      <c r="E1745" s="234" t="s">
        <v>1079</v>
      </c>
      <c r="F1745" s="274" t="str">
        <f>IFERROR(VLOOKUP(E1745,'Inventaire des produits'!$B$4:$K$1000,2,0),"")</f>
        <v>FOURCHETTE ECOLUXE TRANSPARENTE</v>
      </c>
      <c r="G1745" s="54">
        <v>62</v>
      </c>
      <c r="H1745" s="60">
        <v>19.1666666666667</v>
      </c>
      <c r="I1745" s="275">
        <f t="shared" si="68"/>
        <v>1188.3333333333353</v>
      </c>
      <c r="J1745" s="95">
        <f t="shared" si="69"/>
        <v>1426.0000000000023</v>
      </c>
      <c r="K1745" s="93">
        <f>IFERROR(VLOOKUP(E1745,'Inventaire des produits'!$B$4:$J$1000,5,FALSE),"")</f>
        <v>0</v>
      </c>
      <c r="L1745" s="301">
        <f>IFERROR(VLOOKUP(E1745,'Inventaire des produits'!$B$4:$J$1000,6,FALSE),"")</f>
        <v>14.166665999999999</v>
      </c>
      <c r="M1745" s="62"/>
    </row>
    <row r="1746" spans="2:13" x14ac:dyDescent="0.3">
      <c r="B1746" s="378" t="s">
        <v>1704</v>
      </c>
      <c r="C1746" s="341"/>
      <c r="D1746" s="338"/>
      <c r="E1746" s="234" t="s">
        <v>869</v>
      </c>
      <c r="F1746" s="274" t="str">
        <f>IFERROR(VLOOKUP(E1746,'Inventaire des produits'!$B$4:$K$1000,2,0),"")</f>
        <v>PAILLE ENVELOPPEE CODE 100 TRANS</v>
      </c>
      <c r="G1746" s="54">
        <v>38</v>
      </c>
      <c r="H1746" s="60">
        <v>6.666666666666667</v>
      </c>
      <c r="I1746" s="275">
        <f t="shared" si="68"/>
        <v>253.33333333333334</v>
      </c>
      <c r="J1746" s="95">
        <f t="shared" si="69"/>
        <v>304</v>
      </c>
      <c r="K1746" s="93">
        <f>IFERROR(VLOOKUP(E1746,'Inventaire des produits'!$B$4:$J$1000,5,FALSE),"")</f>
        <v>898</v>
      </c>
      <c r="L1746" s="301">
        <f>IFERROR(VLOOKUP(E1746,'Inventaire des produits'!$B$4:$J$1000,6,FALSE),"")</f>
        <v>3.9166666659999998</v>
      </c>
      <c r="M1746" s="62"/>
    </row>
    <row r="1747" spans="2:13" x14ac:dyDescent="0.3">
      <c r="B1747" s="378" t="s">
        <v>1704</v>
      </c>
      <c r="C1747" s="341"/>
      <c r="D1747" s="338"/>
      <c r="E1747" s="234" t="s">
        <v>666</v>
      </c>
      <c r="F1747" s="274" t="str">
        <f>IFERROR(VLOOKUP(E1747,'Inventaire des produits'!$B$4:$K$1000,2,0),"")</f>
        <v>GANT VINYL EXTRA PREMIUM GLOVE MEDIUM</v>
      </c>
      <c r="G1747" s="54">
        <v>16</v>
      </c>
      <c r="H1747" s="60">
        <v>33.333333333333336</v>
      </c>
      <c r="I1747" s="275">
        <f t="shared" si="68"/>
        <v>533.33333333333337</v>
      </c>
      <c r="J1747" s="95">
        <f t="shared" si="69"/>
        <v>640</v>
      </c>
      <c r="K1747" s="93">
        <f>IFERROR(VLOOKUP(E1747,'Inventaire des produits'!$B$4:$J$1000,5,FALSE),"")</f>
        <v>0</v>
      </c>
      <c r="L1747" s="301">
        <f>IFERROR(VLOOKUP(E1747,'Inventaire des produits'!$B$4:$J$1000,6,FALSE),"")</f>
        <v>20</v>
      </c>
      <c r="M1747" s="62"/>
    </row>
    <row r="1748" spans="2:13" x14ac:dyDescent="0.3">
      <c r="B1748" s="378" t="s">
        <v>1704</v>
      </c>
      <c r="C1748" s="341"/>
      <c r="D1748" s="338"/>
      <c r="E1748" s="234" t="s">
        <v>805</v>
      </c>
      <c r="F1748" s="274" t="str">
        <f>IFERROR(VLOOKUP(E1748,'Inventaire des produits'!$B$4:$K$1000,2,0),"")</f>
        <v>BARQUETTE ALUMINIUM 250</v>
      </c>
      <c r="G1748" s="54">
        <v>950</v>
      </c>
      <c r="H1748" s="60">
        <v>0.375</v>
      </c>
      <c r="I1748" s="275">
        <f t="shared" si="68"/>
        <v>356.25</v>
      </c>
      <c r="J1748" s="95">
        <f t="shared" si="69"/>
        <v>427.5</v>
      </c>
      <c r="K1748" s="93">
        <f>IFERROR(VLOOKUP(E1748,'Inventaire des produits'!$B$4:$J$1000,5,FALSE),"")</f>
        <v>0</v>
      </c>
      <c r="L1748" s="301">
        <f>IFERROR(VLOOKUP(E1748,'Inventaire des produits'!$B$4:$J$1000,6,FALSE),"")</f>
        <v>0.23333329999999999</v>
      </c>
      <c r="M1748" s="62"/>
    </row>
    <row r="1749" spans="2:13" x14ac:dyDescent="0.3">
      <c r="B1749" s="378" t="s">
        <v>1704</v>
      </c>
      <c r="C1749" s="341"/>
      <c r="D1749" s="338"/>
      <c r="E1749" s="234" t="s">
        <v>1452</v>
      </c>
      <c r="F1749" s="274" t="str">
        <f>IFERROR(VLOOKUP(E1749,'Inventaire des produits'!$B$4:$K$1000,2,0),"")</f>
        <v>GANT POLYETHLENE</v>
      </c>
      <c r="G1749" s="54">
        <v>3</v>
      </c>
      <c r="H1749" s="60">
        <v>5</v>
      </c>
      <c r="I1749" s="275">
        <f t="shared" ref="I1749:I1812" si="72">IF(OR(G1749="",H1749=""),"",G1749*H1749)</f>
        <v>15</v>
      </c>
      <c r="J1749" s="95">
        <f t="shared" ref="J1749:J1812" si="73">IF(OR(I1749=""),"",I1749*1.2)</f>
        <v>18</v>
      </c>
      <c r="K1749" s="93">
        <f>IFERROR(VLOOKUP(E1749,'Inventaire des produits'!$B$4:$J$1000,5,FALSE),"")</f>
        <v>530</v>
      </c>
      <c r="L1749" s="301">
        <f>IFERROR(VLOOKUP(E1749,'Inventaire des produits'!$B$4:$J$1000,6,FALSE),"")</f>
        <v>2.5099999999999998</v>
      </c>
      <c r="M1749" s="62"/>
    </row>
    <row r="1750" spans="2:13" x14ac:dyDescent="0.3">
      <c r="B1750" s="378" t="s">
        <v>1704</v>
      </c>
      <c r="C1750" s="341"/>
      <c r="D1750" s="338"/>
      <c r="E1750" s="234" t="s">
        <v>1149</v>
      </c>
      <c r="F1750" s="274" t="str">
        <f>IFERROR(VLOOKUP(E1750,'Inventaire des produits'!$B$4:$K$1000,2,0),"")</f>
        <v>ROULEAU DE CAISSE THERMIQUE 80X80</v>
      </c>
      <c r="G1750" s="54">
        <v>45</v>
      </c>
      <c r="H1750" s="60">
        <v>10.333333333333334</v>
      </c>
      <c r="I1750" s="275">
        <f t="shared" si="72"/>
        <v>465</v>
      </c>
      <c r="J1750" s="95">
        <f t="shared" si="73"/>
        <v>558</v>
      </c>
      <c r="K1750" s="93">
        <f>IFERROR(VLOOKUP(E1750,'Inventaire des produits'!$B$4:$J$1000,5,FALSE),"")</f>
        <v>253</v>
      </c>
      <c r="L1750" s="301">
        <f>IFERROR(VLOOKUP(E1750,'Inventaire des produits'!$B$4:$J$1000,6,FALSE),"")</f>
        <v>7.5</v>
      </c>
      <c r="M1750" s="62"/>
    </row>
    <row r="1751" spans="2:13" x14ac:dyDescent="0.3">
      <c r="B1751" s="378" t="s">
        <v>1704</v>
      </c>
      <c r="C1751" s="341"/>
      <c r="D1751" s="338"/>
      <c r="E1751" s="234" t="s">
        <v>1129</v>
      </c>
      <c r="F1751" s="274" t="str">
        <f>IFERROR(VLOOKUP(E1751,'Inventaire des produits'!$B$4:$K$1000,2,0),"")</f>
        <v>FILM ALIMENTAIRE ORIGINAL 45*500</v>
      </c>
      <c r="G1751" s="54">
        <v>12</v>
      </c>
      <c r="H1751" s="60">
        <v>43.333333333333336</v>
      </c>
      <c r="I1751" s="275">
        <f t="shared" si="72"/>
        <v>520</v>
      </c>
      <c r="J1751" s="95">
        <f t="shared" si="73"/>
        <v>624</v>
      </c>
      <c r="K1751" s="93">
        <f>IFERROR(VLOOKUP(E1751,'Inventaire des produits'!$B$4:$J$1000,5,FALSE),"")</f>
        <v>182</v>
      </c>
      <c r="L1751" s="301">
        <f>IFERROR(VLOOKUP(E1751,'Inventaire des produits'!$B$4:$J$1000,6,FALSE),"")</f>
        <v>27.5</v>
      </c>
      <c r="M1751" s="62"/>
    </row>
    <row r="1752" spans="2:13" x14ac:dyDescent="0.3">
      <c r="B1752" s="378" t="s">
        <v>1704</v>
      </c>
      <c r="C1752" s="341"/>
      <c r="D1752" s="338"/>
      <c r="E1752" s="234" t="s">
        <v>1464</v>
      </c>
      <c r="F1752" s="274" t="str">
        <f>IFERROR(VLOOKUP(E1752,'Inventaire des produits'!$B$4:$K$1000,2,0),"")</f>
        <v>CUILLERE LUXE TRANSPARENTE</v>
      </c>
      <c r="G1752" s="54">
        <v>6</v>
      </c>
      <c r="H1752" s="60">
        <v>19.1666666666667</v>
      </c>
      <c r="I1752" s="275">
        <f t="shared" si="72"/>
        <v>115.0000000000002</v>
      </c>
      <c r="J1752" s="95">
        <f t="shared" si="73"/>
        <v>138.00000000000023</v>
      </c>
      <c r="K1752" s="93">
        <f>IFERROR(VLOOKUP(E1752,'Inventaire des produits'!$B$4:$J$1000,5,FALSE),"")</f>
        <v>33</v>
      </c>
      <c r="L1752" s="301">
        <f>IFERROR(VLOOKUP(E1752,'Inventaire des produits'!$B$4:$J$1000,6,FALSE),"")</f>
        <v>15</v>
      </c>
      <c r="M1752" s="62"/>
    </row>
    <row r="1753" spans="2:13" x14ac:dyDescent="0.3">
      <c r="B1753" s="378" t="s">
        <v>1704</v>
      </c>
      <c r="C1753" s="342"/>
      <c r="D1753" s="339"/>
      <c r="E1753" s="234" t="s">
        <v>1465</v>
      </c>
      <c r="F1753" s="274" t="str">
        <f>IFERROR(VLOOKUP(E1753,'Inventaire des produits'!$B$4:$K$1000,2,0),"")</f>
        <v>COUTEAU LUXE TRANSPARENTE</v>
      </c>
      <c r="G1753" s="293">
        <v>2</v>
      </c>
      <c r="H1753" s="60">
        <v>19.1666666666667</v>
      </c>
      <c r="I1753" s="275">
        <f t="shared" si="72"/>
        <v>38.3333333333334</v>
      </c>
      <c r="J1753" s="95">
        <f t="shared" si="73"/>
        <v>46.000000000000078</v>
      </c>
      <c r="K1753" s="93">
        <f>IFERROR(VLOOKUP(E1753,'Inventaire des produits'!$B$4:$J$1000,5,FALSE),"")</f>
        <v>27</v>
      </c>
      <c r="L1753" s="301">
        <f>IFERROR(VLOOKUP(E1753,'Inventaire des produits'!$B$4:$J$1000,6,FALSE),"")</f>
        <v>15</v>
      </c>
      <c r="M1753" s="62"/>
    </row>
    <row r="1754" spans="2:13" x14ac:dyDescent="0.3">
      <c r="B1754" s="378" t="s">
        <v>1704</v>
      </c>
      <c r="C1754" s="340">
        <v>45576</v>
      </c>
      <c r="D1754" s="337" t="s">
        <v>1493</v>
      </c>
      <c r="E1754" s="234" t="s">
        <v>1222</v>
      </c>
      <c r="F1754" s="274" t="str">
        <f>IFERROR(VLOOKUP(E1754,'Inventaire des produits'!$B$4:$K$1000,2,0),"")</f>
        <v>POT DE SAUCE 1OZ PROCLEAN</v>
      </c>
      <c r="G1754" s="54">
        <v>5000</v>
      </c>
      <c r="H1754" s="60">
        <v>0.1628</v>
      </c>
      <c r="I1754" s="275">
        <f t="shared" si="72"/>
        <v>814</v>
      </c>
      <c r="J1754" s="95">
        <f t="shared" si="73"/>
        <v>976.8</v>
      </c>
      <c r="K1754" s="93">
        <f>IFERROR(VLOOKUP(E1754,'Inventaire des produits'!$B$4:$J$1000,5,FALSE),"")</f>
        <v>557100</v>
      </c>
      <c r="L1754" s="301">
        <f>IFERROR(VLOOKUP(E1754,'Inventaire des produits'!$B$4:$J$1000,6,FALSE),"")</f>
        <v>0.1167</v>
      </c>
      <c r="M1754" s="62">
        <f>SUM(J1754:J1764)</f>
        <v>3167.3000000000006</v>
      </c>
    </row>
    <row r="1755" spans="2:13" x14ac:dyDescent="0.3">
      <c r="B1755" s="378" t="s">
        <v>1704</v>
      </c>
      <c r="C1755" s="341"/>
      <c r="D1755" s="338"/>
      <c r="E1755" s="234" t="s">
        <v>1079</v>
      </c>
      <c r="F1755" s="274" t="str">
        <f>IFERROR(VLOOKUP(E1755,'Inventaire des produits'!$B$4:$K$1000,2,0),"")</f>
        <v>FOURCHETTE ECOLUXE TRANSPARENTE</v>
      </c>
      <c r="G1755" s="54">
        <v>21</v>
      </c>
      <c r="H1755" s="60">
        <v>19.1666666666667</v>
      </c>
      <c r="I1755" s="275">
        <f t="shared" si="72"/>
        <v>402.50000000000068</v>
      </c>
      <c r="J1755" s="95">
        <f t="shared" si="73"/>
        <v>483.0000000000008</v>
      </c>
      <c r="K1755" s="93">
        <f>IFERROR(VLOOKUP(E1755,'Inventaire des produits'!$B$4:$J$1000,5,FALSE),"")</f>
        <v>0</v>
      </c>
      <c r="L1755" s="301">
        <f>IFERROR(VLOOKUP(E1755,'Inventaire des produits'!$B$4:$J$1000,6,FALSE),"")</f>
        <v>14.166665999999999</v>
      </c>
      <c r="M1755" s="62"/>
    </row>
    <row r="1756" spans="2:13" x14ac:dyDescent="0.3">
      <c r="B1756" s="378" t="s">
        <v>1704</v>
      </c>
      <c r="C1756" s="341"/>
      <c r="D1756" s="338"/>
      <c r="E1756" s="234" t="s">
        <v>869</v>
      </c>
      <c r="F1756" s="274" t="str">
        <f>IFERROR(VLOOKUP(E1756,'Inventaire des produits'!$B$4:$K$1000,2,0),"")</f>
        <v>PAILLE ENVELOPPEE CODE 100 TRANS</v>
      </c>
      <c r="G1756" s="54">
        <v>19</v>
      </c>
      <c r="H1756" s="60">
        <v>6.666666666666667</v>
      </c>
      <c r="I1756" s="275">
        <f t="shared" si="72"/>
        <v>126.66666666666667</v>
      </c>
      <c r="J1756" s="95">
        <f t="shared" si="73"/>
        <v>152</v>
      </c>
      <c r="K1756" s="93">
        <f>IFERROR(VLOOKUP(E1756,'Inventaire des produits'!$B$4:$J$1000,5,FALSE),"")</f>
        <v>898</v>
      </c>
      <c r="L1756" s="301">
        <f>IFERROR(VLOOKUP(E1756,'Inventaire des produits'!$B$4:$J$1000,6,FALSE),"")</f>
        <v>3.9166666659999998</v>
      </c>
      <c r="M1756" s="62"/>
    </row>
    <row r="1757" spans="2:13" x14ac:dyDescent="0.3">
      <c r="B1757" s="378" t="s">
        <v>1704</v>
      </c>
      <c r="C1757" s="341"/>
      <c r="D1757" s="338"/>
      <c r="E1757" s="234" t="s">
        <v>666</v>
      </c>
      <c r="F1757" s="274" t="str">
        <f>IFERROR(VLOOKUP(E1757,'Inventaire des produits'!$B$4:$K$1000,2,0),"")</f>
        <v>GANT VINYL EXTRA PREMIUM GLOVE MEDIUM</v>
      </c>
      <c r="G1757" s="54">
        <v>10</v>
      </c>
      <c r="H1757" s="60">
        <v>33.333333333333336</v>
      </c>
      <c r="I1757" s="275">
        <f t="shared" si="72"/>
        <v>333.33333333333337</v>
      </c>
      <c r="J1757" s="95">
        <f t="shared" si="73"/>
        <v>400.00000000000006</v>
      </c>
      <c r="K1757" s="93">
        <f>IFERROR(VLOOKUP(E1757,'Inventaire des produits'!$B$4:$J$1000,5,FALSE),"")</f>
        <v>0</v>
      </c>
      <c r="L1757" s="301">
        <f>IFERROR(VLOOKUP(E1757,'Inventaire des produits'!$B$4:$J$1000,6,FALSE),"")</f>
        <v>20</v>
      </c>
      <c r="M1757" s="62"/>
    </row>
    <row r="1758" spans="2:13" x14ac:dyDescent="0.3">
      <c r="B1758" s="378" t="s">
        <v>1704</v>
      </c>
      <c r="C1758" s="341"/>
      <c r="D1758" s="338"/>
      <c r="E1758" s="234" t="s">
        <v>1139</v>
      </c>
      <c r="F1758" s="274" t="str">
        <f>IFERROR(VLOOKUP(E1758,'Inventaire des produits'!$B$4:$K$1000,2,0),"")</f>
        <v>BARQUETTE ALUMINIUM 250</v>
      </c>
      <c r="G1758" s="54">
        <v>650</v>
      </c>
      <c r="H1758" s="60">
        <v>0.375</v>
      </c>
      <c r="I1758" s="275">
        <f t="shared" si="72"/>
        <v>243.75</v>
      </c>
      <c r="J1758" s="95">
        <f t="shared" si="73"/>
        <v>292.5</v>
      </c>
      <c r="K1758" s="93">
        <f>IFERROR(VLOOKUP(E1758,'Inventaire des produits'!$B$4:$J$1000,5,FALSE),"")</f>
        <v>6400</v>
      </c>
      <c r="L1758" s="301">
        <f>IFERROR(VLOOKUP(E1758,'Inventaire des produits'!$B$4:$J$1000,6,FALSE),"")</f>
        <v>0.29167000000000004</v>
      </c>
      <c r="M1758" s="62"/>
    </row>
    <row r="1759" spans="2:13" x14ac:dyDescent="0.3">
      <c r="B1759" s="378" t="s">
        <v>1704</v>
      </c>
      <c r="C1759" s="341"/>
      <c r="D1759" s="338"/>
      <c r="E1759" s="234" t="s">
        <v>1452</v>
      </c>
      <c r="F1759" s="274" t="str">
        <f>IFERROR(VLOOKUP(E1759,'Inventaire des produits'!$B$4:$K$1000,2,0),"")</f>
        <v>GANT POLYETHLENE</v>
      </c>
      <c r="G1759" s="54">
        <v>11</v>
      </c>
      <c r="H1759" s="60">
        <v>5</v>
      </c>
      <c r="I1759" s="275">
        <f t="shared" si="72"/>
        <v>55</v>
      </c>
      <c r="J1759" s="95">
        <f t="shared" si="73"/>
        <v>66</v>
      </c>
      <c r="K1759" s="93">
        <f>IFERROR(VLOOKUP(E1759,'Inventaire des produits'!$B$4:$J$1000,5,FALSE),"")</f>
        <v>530</v>
      </c>
      <c r="L1759" s="301">
        <f>IFERROR(VLOOKUP(E1759,'Inventaire des produits'!$B$4:$J$1000,6,FALSE),"")</f>
        <v>2.5099999999999998</v>
      </c>
      <c r="M1759" s="62"/>
    </row>
    <row r="1760" spans="2:13" x14ac:dyDescent="0.3">
      <c r="B1760" s="378" t="s">
        <v>1704</v>
      </c>
      <c r="C1760" s="341"/>
      <c r="D1760" s="338"/>
      <c r="E1760" s="234" t="s">
        <v>837</v>
      </c>
      <c r="F1760" s="274" t="str">
        <f>IFERROR(VLOOKUP(E1760,'Inventaire des produits'!$B$4:$K$1000,2,0),"")</f>
        <v>ESSUIE MAIN 1KG LISSE</v>
      </c>
      <c r="G1760" s="54">
        <v>3</v>
      </c>
      <c r="H1760" s="60">
        <v>28.333333333333336</v>
      </c>
      <c r="I1760" s="275">
        <f t="shared" si="72"/>
        <v>85</v>
      </c>
      <c r="J1760" s="95">
        <f t="shared" si="73"/>
        <v>102</v>
      </c>
      <c r="K1760" s="93">
        <f>IFERROR(VLOOKUP(E1760,'Inventaire des produits'!$B$4:$J$1000,5,FALSE),"")</f>
        <v>7</v>
      </c>
      <c r="L1760" s="301">
        <f>IFERROR(VLOOKUP(E1760,'Inventaire des produits'!$B$4:$J$1000,6,FALSE),"")</f>
        <v>21.25</v>
      </c>
      <c r="M1760" s="62"/>
    </row>
    <row r="1761" spans="2:13" x14ac:dyDescent="0.3">
      <c r="B1761" s="378" t="s">
        <v>1704</v>
      </c>
      <c r="C1761" s="341"/>
      <c r="D1761" s="338"/>
      <c r="E1761" s="234" t="s">
        <v>1464</v>
      </c>
      <c r="F1761" s="274" t="str">
        <f>IFERROR(VLOOKUP(E1761,'Inventaire des produits'!$B$4:$K$1000,2,0),"")</f>
        <v>CUILLERE LUXE TRANSPARENTE</v>
      </c>
      <c r="G1761" s="54">
        <v>4</v>
      </c>
      <c r="H1761" s="60">
        <f>0.191666666666667*100</f>
        <v>19.1666666666667</v>
      </c>
      <c r="I1761" s="275">
        <f t="shared" si="72"/>
        <v>76.666666666666799</v>
      </c>
      <c r="J1761" s="95">
        <f t="shared" si="73"/>
        <v>92.000000000000156</v>
      </c>
      <c r="K1761" s="93">
        <f>IFERROR(VLOOKUP(E1761,'Inventaire des produits'!$B$4:$J$1000,5,FALSE),"")</f>
        <v>33</v>
      </c>
      <c r="L1761" s="301">
        <f>IFERROR(VLOOKUP(E1761,'Inventaire des produits'!$B$4:$J$1000,6,FALSE),"")</f>
        <v>15</v>
      </c>
      <c r="M1761" s="62"/>
    </row>
    <row r="1762" spans="2:13" x14ac:dyDescent="0.3">
      <c r="B1762" s="378" t="s">
        <v>1704</v>
      </c>
      <c r="C1762" s="341"/>
      <c r="D1762" s="338"/>
      <c r="E1762" s="234" t="s">
        <v>1149</v>
      </c>
      <c r="F1762" s="274" t="str">
        <f>IFERROR(VLOOKUP(E1762,'Inventaire des produits'!$B$4:$K$1000,2,0),"")</f>
        <v>ROULEAU DE CAISSE THERMIQUE 80X80</v>
      </c>
      <c r="G1762" s="54">
        <v>25</v>
      </c>
      <c r="H1762" s="60">
        <v>10.333333333333334</v>
      </c>
      <c r="I1762" s="275">
        <f t="shared" si="72"/>
        <v>258.33333333333337</v>
      </c>
      <c r="J1762" s="95">
        <f t="shared" si="73"/>
        <v>310.00000000000006</v>
      </c>
      <c r="K1762" s="93">
        <f>IFERROR(VLOOKUP(E1762,'Inventaire des produits'!$B$4:$J$1000,5,FALSE),"")</f>
        <v>253</v>
      </c>
      <c r="L1762" s="301">
        <f>IFERROR(VLOOKUP(E1762,'Inventaire des produits'!$B$4:$J$1000,6,FALSE),"")</f>
        <v>7.5</v>
      </c>
      <c r="M1762" s="62"/>
    </row>
    <row r="1763" spans="2:13" x14ac:dyDescent="0.3">
      <c r="B1763" s="378" t="s">
        <v>1704</v>
      </c>
      <c r="C1763" s="341"/>
      <c r="D1763" s="338"/>
      <c r="E1763" s="234" t="s">
        <v>1129</v>
      </c>
      <c r="F1763" s="274" t="str">
        <f>IFERROR(VLOOKUP(E1763,'Inventaire des produits'!$B$4:$K$1000,2,0),"")</f>
        <v>FILM ALIMENTAIRE ORIGINAL 45*500</v>
      </c>
      <c r="G1763" s="54">
        <v>4</v>
      </c>
      <c r="H1763" s="60">
        <v>43.333333333333336</v>
      </c>
      <c r="I1763" s="275">
        <f t="shared" si="72"/>
        <v>173.33333333333334</v>
      </c>
      <c r="J1763" s="95">
        <f t="shared" si="73"/>
        <v>208</v>
      </c>
      <c r="K1763" s="93">
        <f>IFERROR(VLOOKUP(E1763,'Inventaire des produits'!$B$4:$J$1000,5,FALSE),"")</f>
        <v>182</v>
      </c>
      <c r="L1763" s="301">
        <f>IFERROR(VLOOKUP(E1763,'Inventaire des produits'!$B$4:$J$1000,6,FALSE),"")</f>
        <v>27.5</v>
      </c>
      <c r="M1763" s="62"/>
    </row>
    <row r="1764" spans="2:13" x14ac:dyDescent="0.3">
      <c r="B1764" s="378" t="s">
        <v>1704</v>
      </c>
      <c r="C1764" s="342"/>
      <c r="D1764" s="339"/>
      <c r="E1764" s="234" t="s">
        <v>1390</v>
      </c>
      <c r="F1764" s="274" t="str">
        <f>IFERROR(VLOOKUP(E1764,'Inventaire des produits'!$B$4:$K$1000,2,0),"")</f>
        <v>ROULEAU ALUMINIUM EXTRA PACK 200M</v>
      </c>
      <c r="G1764" s="54">
        <v>1</v>
      </c>
      <c r="H1764" s="60">
        <v>70.833333333333343</v>
      </c>
      <c r="I1764" s="275">
        <f t="shared" si="72"/>
        <v>70.833333333333343</v>
      </c>
      <c r="J1764" s="95">
        <f t="shared" si="73"/>
        <v>85.000000000000014</v>
      </c>
      <c r="K1764" s="93">
        <f>IFERROR(VLOOKUP(E1764,'Inventaire des produits'!$B$4:$J$1000,5,FALSE),"")</f>
        <v>3</v>
      </c>
      <c r="L1764" s="301">
        <f>IFERROR(VLOOKUP(E1764,'Inventaire des produits'!$B$4:$J$1000,6,FALSE),"")</f>
        <v>43.804166666666667</v>
      </c>
      <c r="M1764" s="62"/>
    </row>
    <row r="1765" spans="2:13" x14ac:dyDescent="0.3">
      <c r="B1765" s="378" t="s">
        <v>1704</v>
      </c>
      <c r="C1765" s="340">
        <v>45576</v>
      </c>
      <c r="D1765" s="337" t="s">
        <v>1494</v>
      </c>
      <c r="E1765" s="234" t="s">
        <v>837</v>
      </c>
      <c r="F1765" s="274" t="str">
        <f>IFERROR(VLOOKUP(E1765,'Inventaire des produits'!$B$4:$K$1000,2,0),"")</f>
        <v>ESSUIE MAIN 1KG LISSE</v>
      </c>
      <c r="G1765" s="54">
        <v>12</v>
      </c>
      <c r="H1765" s="60">
        <v>28.333333333333336</v>
      </c>
      <c r="I1765" s="275">
        <f t="shared" si="72"/>
        <v>340</v>
      </c>
      <c r="J1765" s="95">
        <f t="shared" si="73"/>
        <v>408</v>
      </c>
      <c r="K1765" s="93">
        <f>IFERROR(VLOOKUP(E1765,'Inventaire des produits'!$B$4:$J$1000,5,FALSE),"")</f>
        <v>7</v>
      </c>
      <c r="L1765" s="301">
        <f>IFERROR(VLOOKUP(E1765,'Inventaire des produits'!$B$4:$J$1000,6,FALSE),"")</f>
        <v>21.25</v>
      </c>
      <c r="M1765" s="62">
        <f>SUM(J1765:J1768)</f>
        <v>3004</v>
      </c>
    </row>
    <row r="1766" spans="2:13" x14ac:dyDescent="0.3">
      <c r="B1766" s="378" t="s">
        <v>1704</v>
      </c>
      <c r="C1766" s="341"/>
      <c r="D1766" s="338"/>
      <c r="E1766" s="234" t="s">
        <v>1123</v>
      </c>
      <c r="F1766" s="274" t="str">
        <f>IFERROR(VLOOKUP(E1766,'Inventaire des produits'!$B$4:$K$1000,2,0),"")</f>
        <v>FILM ALIMENTAIRE ARAX 30*300</v>
      </c>
      <c r="G1766" s="54">
        <v>54</v>
      </c>
      <c r="H1766" s="60">
        <v>28.333333333333336</v>
      </c>
      <c r="I1766" s="275">
        <f t="shared" si="72"/>
        <v>1530.0000000000002</v>
      </c>
      <c r="J1766" s="95">
        <f t="shared" si="73"/>
        <v>1836.0000000000002</v>
      </c>
      <c r="K1766" s="93">
        <f>IFERROR(VLOOKUP(E1766,'Inventaire des produits'!$B$4:$J$1000,5,FALSE),"")</f>
        <v>3</v>
      </c>
      <c r="L1766" s="301">
        <f>IFERROR(VLOOKUP(E1766,'Inventaire des produits'!$B$4:$J$1000,6,FALSE),"")</f>
        <v>20</v>
      </c>
      <c r="M1766" s="62"/>
    </row>
    <row r="1767" spans="2:13" x14ac:dyDescent="0.3">
      <c r="B1767" s="378" t="s">
        <v>1704</v>
      </c>
      <c r="C1767" s="341"/>
      <c r="D1767" s="338"/>
      <c r="E1767" s="234" t="s">
        <v>666</v>
      </c>
      <c r="F1767" s="274" t="str">
        <f>IFERROR(VLOOKUP(E1767,'Inventaire des produits'!$B$4:$K$1000,2,0),"")</f>
        <v>GANT VINYL EXTRA PREMIUM GLOVE MEDIUM</v>
      </c>
      <c r="G1767" s="54">
        <v>10</v>
      </c>
      <c r="H1767" s="60">
        <v>33.333333333333336</v>
      </c>
      <c r="I1767" s="275">
        <f t="shared" si="72"/>
        <v>333.33333333333337</v>
      </c>
      <c r="J1767" s="95">
        <f t="shared" si="73"/>
        <v>400.00000000000006</v>
      </c>
      <c r="K1767" s="93">
        <f>IFERROR(VLOOKUP(E1767,'Inventaire des produits'!$B$4:$J$1000,5,FALSE),"")</f>
        <v>0</v>
      </c>
      <c r="L1767" s="301">
        <f>IFERROR(VLOOKUP(E1767,'Inventaire des produits'!$B$4:$J$1000,6,FALSE),"")</f>
        <v>20</v>
      </c>
      <c r="M1767" s="62"/>
    </row>
    <row r="1768" spans="2:13" x14ac:dyDescent="0.3">
      <c r="B1768" s="378" t="s">
        <v>1704</v>
      </c>
      <c r="C1768" s="342"/>
      <c r="D1768" s="338"/>
      <c r="E1768" s="234" t="s">
        <v>1452</v>
      </c>
      <c r="F1768" s="274" t="str">
        <f>IFERROR(VLOOKUP(E1768,'Inventaire des produits'!$B$4:$K$1000,2,0),"")</f>
        <v>GANT POLYETHLENE</v>
      </c>
      <c r="G1768" s="54">
        <v>60</v>
      </c>
      <c r="H1768" s="60">
        <v>5</v>
      </c>
      <c r="I1768" s="275">
        <f t="shared" si="72"/>
        <v>300</v>
      </c>
      <c r="J1768" s="95">
        <f t="shared" si="73"/>
        <v>360</v>
      </c>
      <c r="K1768" s="93">
        <f>IFERROR(VLOOKUP(E1768,'Inventaire des produits'!$B$4:$J$1000,5,FALSE),"")</f>
        <v>530</v>
      </c>
      <c r="L1768" s="301">
        <f>IFERROR(VLOOKUP(E1768,'Inventaire des produits'!$B$4:$J$1000,6,FALSE),"")</f>
        <v>2.5099999999999998</v>
      </c>
      <c r="M1768" s="62"/>
    </row>
    <row r="1769" spans="2:13" x14ac:dyDescent="0.3">
      <c r="B1769" s="378" t="s">
        <v>1704</v>
      </c>
      <c r="C1769" s="340">
        <v>45579</v>
      </c>
      <c r="D1769" s="337" t="s">
        <v>1501</v>
      </c>
      <c r="E1769" s="234" t="s">
        <v>918</v>
      </c>
      <c r="F1769" s="274" t="str">
        <f>IFERROR(VLOOKUP(E1769,'Inventaire des produits'!$B$4:$K$1000,2,0),"")</f>
        <v>FILM ETIRABLE VIOLET 290mm kg</v>
      </c>
      <c r="G1769" s="54">
        <v>13</v>
      </c>
      <c r="H1769" s="60">
        <v>29.1666666666667</v>
      </c>
      <c r="I1769" s="275">
        <f t="shared" si="72"/>
        <v>379.16666666666708</v>
      </c>
      <c r="J1769" s="95">
        <f t="shared" si="73"/>
        <v>455.00000000000051</v>
      </c>
      <c r="K1769" s="93">
        <f>IFERROR(VLOOKUP(E1769,'Inventaire des produits'!$B$4:$J$1000,5,FALSE),"")</f>
        <v>124.32999999999998</v>
      </c>
      <c r="L1769" s="301">
        <f>IFERROR(VLOOKUP(E1769,'Inventaire des produits'!$B$4:$J$1000,6,FALSE),"")</f>
        <v>25</v>
      </c>
      <c r="M1769" s="62">
        <f>SUM(J1769:J1772)</f>
        <v>1679.5400000000006</v>
      </c>
    </row>
    <row r="1770" spans="2:13" x14ac:dyDescent="0.3">
      <c r="B1770" s="378" t="s">
        <v>1704</v>
      </c>
      <c r="C1770" s="341"/>
      <c r="D1770" s="338"/>
      <c r="E1770" s="234" t="s">
        <v>423</v>
      </c>
      <c r="F1770" s="274" t="str">
        <f>IFERROR(VLOOKUP(E1770,'Inventaire des produits'!$B$4:$K$1000,2,0),"")</f>
        <v>COUPE MACEDONIA</v>
      </c>
      <c r="G1770" s="54">
        <v>500</v>
      </c>
      <c r="H1770" s="60">
        <v>0.91600000000000004</v>
      </c>
      <c r="I1770" s="275">
        <f t="shared" si="72"/>
        <v>458</v>
      </c>
      <c r="J1770" s="95">
        <f t="shared" si="73"/>
        <v>549.6</v>
      </c>
      <c r="K1770" s="93">
        <f>IFERROR(VLOOKUP(E1770,'Inventaire des produits'!$B$4:$J$1000,5,FALSE),"")</f>
        <v>0</v>
      </c>
      <c r="L1770" s="301">
        <f>IFERROR(VLOOKUP(E1770,'Inventaire des produits'!$B$4:$J$1000,6,FALSE),"")</f>
        <v>0.79</v>
      </c>
      <c r="M1770" s="62"/>
    </row>
    <row r="1771" spans="2:13" x14ac:dyDescent="0.3">
      <c r="B1771" s="378" t="s">
        <v>1704</v>
      </c>
      <c r="C1771" s="341"/>
      <c r="D1771" s="338"/>
      <c r="E1771" s="234" t="s">
        <v>929</v>
      </c>
      <c r="F1771" s="274" t="str">
        <f>IFERROR(VLOOKUP(E1771,'Inventaire des produits'!$B$4:$K$1000,2,0),"")</f>
        <v xml:space="preserve">SERVIETTE DE TABLE </v>
      </c>
      <c r="G1771" s="54">
        <v>100</v>
      </c>
      <c r="H1771" s="60">
        <v>3.75</v>
      </c>
      <c r="I1771" s="275">
        <f t="shared" si="72"/>
        <v>375</v>
      </c>
      <c r="J1771" s="95">
        <f t="shared" si="73"/>
        <v>450</v>
      </c>
      <c r="K1771" s="93">
        <f>IFERROR(VLOOKUP(E1771,'Inventaire des produits'!$B$4:$J$1000,5,FALSE),"")</f>
        <v>0</v>
      </c>
      <c r="L1771" s="301">
        <f>IFERROR(VLOOKUP(E1771,'Inventaire des produits'!$B$4:$J$1000,6,FALSE),"")</f>
        <v>2.9169999999999998</v>
      </c>
      <c r="M1771" s="62"/>
    </row>
    <row r="1772" spans="2:13" x14ac:dyDescent="0.3">
      <c r="B1772" s="378" t="s">
        <v>1704</v>
      </c>
      <c r="C1772" s="342"/>
      <c r="D1772" s="339"/>
      <c r="E1772" s="234" t="s">
        <v>778</v>
      </c>
      <c r="F1772" s="274" t="str">
        <f>IFERROR(VLOOKUP(E1772,'Inventaire des produits'!$B$4:$K$1000,2,0),"")</f>
        <v>POT DE SAUCE EN PLAST TRANSP 20ML</v>
      </c>
      <c r="G1772" s="54">
        <v>2300</v>
      </c>
      <c r="H1772" s="60">
        <v>8.1500000000000003E-2</v>
      </c>
      <c r="I1772" s="275">
        <f t="shared" si="72"/>
        <v>187.45000000000002</v>
      </c>
      <c r="J1772" s="95">
        <f t="shared" si="73"/>
        <v>224.94000000000003</v>
      </c>
      <c r="K1772" s="93">
        <f>IFERROR(VLOOKUP(E1772,'Inventaire des produits'!$B$4:$J$1000,5,FALSE),"")</f>
        <v>0</v>
      </c>
      <c r="L1772" s="301">
        <f>IFERROR(VLOOKUP(E1772,'Inventaire des produits'!$B$4:$J$1000,6,FALSE),"")</f>
        <v>8.3333333300000006E-2</v>
      </c>
      <c r="M1772" s="62"/>
    </row>
    <row r="1773" spans="2:13" x14ac:dyDescent="0.3">
      <c r="B1773" s="378" t="s">
        <v>1704</v>
      </c>
      <c r="C1773" s="340">
        <v>45580</v>
      </c>
      <c r="D1773" s="337" t="s">
        <v>1502</v>
      </c>
      <c r="E1773" s="234" t="s">
        <v>1260</v>
      </c>
      <c r="F1773" s="274" t="str">
        <f>IFERROR(VLOOKUP(E1773,'Inventaire des produits'!$B$4:$K$1000,2,0),"")</f>
        <v>GOBLET 16OZ COCKTAIL SMART + CVBB</v>
      </c>
      <c r="G1773" s="54">
        <v>1000</v>
      </c>
      <c r="H1773" s="60">
        <f>0.78/1.2</f>
        <v>0.65</v>
      </c>
      <c r="I1773" s="275">
        <f t="shared" si="72"/>
        <v>650</v>
      </c>
      <c r="J1773" s="95">
        <f t="shared" si="73"/>
        <v>780</v>
      </c>
      <c r="K1773" s="93">
        <f>IFERROR(VLOOKUP(E1773,'Inventaire des produits'!$B$4:$J$1000,5,FALSE),"")</f>
        <v>0</v>
      </c>
      <c r="L1773" s="301">
        <f>IFERROR(VLOOKUP(E1773,'Inventaire des produits'!$B$4:$J$1000,6,FALSE),"")</f>
        <v>0.49</v>
      </c>
      <c r="M1773" s="62">
        <v>3900</v>
      </c>
    </row>
    <row r="1774" spans="2:13" x14ac:dyDescent="0.3">
      <c r="B1774" s="378" t="s">
        <v>1704</v>
      </c>
      <c r="C1774" s="342"/>
      <c r="D1774" s="339"/>
      <c r="E1774" s="234" t="s">
        <v>1263</v>
      </c>
      <c r="F1774" s="274" t="str">
        <f>IFERROR(VLOOKUP(E1774,'Inventaire des produits'!$B$4:$K$1000,2,0),"")</f>
        <v>GOBLET 16OZ TRSP SMART + CVBB</v>
      </c>
      <c r="G1774" s="54">
        <v>4000</v>
      </c>
      <c r="H1774" s="60">
        <f>0.78/1.2</f>
        <v>0.65</v>
      </c>
      <c r="I1774" s="275">
        <f t="shared" si="72"/>
        <v>2600</v>
      </c>
      <c r="J1774" s="95">
        <f t="shared" si="73"/>
        <v>3120</v>
      </c>
      <c r="K1774" s="93">
        <f>IFERROR(VLOOKUP(E1774,'Inventaire des produits'!$B$4:$J$1000,5,FALSE),"")</f>
        <v>0</v>
      </c>
      <c r="L1774" s="301">
        <f>IFERROR(VLOOKUP(E1774,'Inventaire des produits'!$B$4:$J$1000,6,FALSE),"")</f>
        <v>0.49</v>
      </c>
      <c r="M1774" s="62"/>
    </row>
    <row r="1775" spans="2:13" x14ac:dyDescent="0.3">
      <c r="B1775" s="378" t="s">
        <v>1704</v>
      </c>
      <c r="C1775" s="340">
        <v>45582</v>
      </c>
      <c r="D1775" s="337" t="s">
        <v>1514</v>
      </c>
      <c r="E1775" s="234" t="s">
        <v>242</v>
      </c>
      <c r="F1775" s="274" t="str">
        <f>IFERROR(VLOOKUP(E1775,'Inventaire des produits'!$B$4:$K$1000,2,0),"")</f>
        <v>FILM ALIMENTAIRE 400G</v>
      </c>
      <c r="G1775" s="54">
        <v>95</v>
      </c>
      <c r="H1775" s="60">
        <v>15</v>
      </c>
      <c r="I1775" s="275">
        <f t="shared" si="72"/>
        <v>1425</v>
      </c>
      <c r="J1775" s="95">
        <f t="shared" si="73"/>
        <v>1710</v>
      </c>
      <c r="K1775" s="93">
        <f>IFERROR(VLOOKUP(E1775,'Inventaire des produits'!$B$4:$J$1000,5,FALSE),"")</f>
        <v>0</v>
      </c>
      <c r="L1775" s="301">
        <f>IFERROR(VLOOKUP(E1775,'Inventaire des produits'!$B$4:$J$1000,6,FALSE),"")</f>
        <v>11</v>
      </c>
      <c r="M1775" s="62">
        <f>SUM(J1775:J1777)</f>
        <v>4850.0028480000001</v>
      </c>
    </row>
    <row r="1776" spans="2:13" x14ac:dyDescent="0.3">
      <c r="B1776" s="378" t="s">
        <v>1704</v>
      </c>
      <c r="C1776" s="341"/>
      <c r="D1776" s="338"/>
      <c r="E1776" s="234" t="s">
        <v>258</v>
      </c>
      <c r="F1776" s="274" t="str">
        <f>IFERROR(VLOOKUP(E1776,'Inventaire des produits'!$B$4:$K$1000,2,0),"")</f>
        <v>BARQUETTE ST5</v>
      </c>
      <c r="G1776" s="54">
        <v>694</v>
      </c>
      <c r="H1776" s="60">
        <v>1.5571600000000001</v>
      </c>
      <c r="I1776" s="275">
        <f t="shared" si="72"/>
        <v>1080.66904</v>
      </c>
      <c r="J1776" s="95">
        <f t="shared" si="73"/>
        <v>1296.802848</v>
      </c>
      <c r="K1776" s="93">
        <f>IFERROR(VLOOKUP(E1776,'Inventaire des produits'!$B$4:$J$1000,5,FALSE),"")</f>
        <v>0</v>
      </c>
      <c r="L1776" s="301">
        <f>IFERROR(VLOOKUP(E1776,'Inventaire des produits'!$B$4:$J$1000,6,FALSE),"")</f>
        <v>1.3333333332999999</v>
      </c>
      <c r="M1776" s="62"/>
    </row>
    <row r="1777" spans="2:13" x14ac:dyDescent="0.3">
      <c r="B1777" s="378" t="s">
        <v>1704</v>
      </c>
      <c r="C1777" s="342"/>
      <c r="D1777" s="339"/>
      <c r="E1777" s="234" t="s">
        <v>347</v>
      </c>
      <c r="F1777" s="274" t="str">
        <f>IFERROR(VLOOKUP(E1777,'Inventaire des produits'!$B$4:$K$1000,2,0),"")</f>
        <v>NOODLES 250G LA PAGODE</v>
      </c>
      <c r="G1777" s="54">
        <v>96</v>
      </c>
      <c r="H1777" s="60">
        <v>16</v>
      </c>
      <c r="I1777" s="275">
        <f t="shared" si="72"/>
        <v>1536</v>
      </c>
      <c r="J1777" s="95">
        <f t="shared" si="73"/>
        <v>1843.1999999999998</v>
      </c>
      <c r="K1777" s="93">
        <f>IFERROR(VLOOKUP(E1777,'Inventaire des produits'!$B$4:$J$1000,5,FALSE),"")</f>
        <v>0</v>
      </c>
      <c r="L1777" s="301">
        <f>IFERROR(VLOOKUP(E1777,'Inventaire des produits'!$B$4:$J$1000,6,FALSE),"")</f>
        <v>12.27</v>
      </c>
      <c r="M1777" s="62"/>
    </row>
    <row r="1778" spans="2:13" x14ac:dyDescent="0.3">
      <c r="B1778" s="378" t="s">
        <v>1704</v>
      </c>
      <c r="C1778" s="340">
        <v>45582</v>
      </c>
      <c r="D1778" s="337" t="s">
        <v>1515</v>
      </c>
      <c r="E1778" s="234" t="s">
        <v>778</v>
      </c>
      <c r="F1778" s="274" t="str">
        <f>IFERROR(VLOOKUP(E1778,'Inventaire des produits'!$B$4:$K$1000,2,0),"")</f>
        <v>POT DE SAUCE EN PLAST TRANSP 20ML</v>
      </c>
      <c r="G1778" s="54">
        <v>2000</v>
      </c>
      <c r="H1778" s="60">
        <v>0.10625</v>
      </c>
      <c r="I1778" s="275">
        <f t="shared" si="72"/>
        <v>212.5</v>
      </c>
      <c r="J1778" s="95">
        <f t="shared" si="73"/>
        <v>255</v>
      </c>
      <c r="K1778" s="93">
        <f>IFERROR(VLOOKUP(E1778,'Inventaire des produits'!$B$4:$J$1000,5,FALSE),"")</f>
        <v>0</v>
      </c>
      <c r="L1778" s="301">
        <f>IFERROR(VLOOKUP(E1778,'Inventaire des produits'!$B$4:$J$1000,6,FALSE),"")</f>
        <v>8.3333333300000006E-2</v>
      </c>
      <c r="M1778" s="62">
        <f>SUM(J1778:J1782)</f>
        <v>1875</v>
      </c>
    </row>
    <row r="1779" spans="2:13" x14ac:dyDescent="0.3">
      <c r="B1779" s="378" t="s">
        <v>1704</v>
      </c>
      <c r="C1779" s="341"/>
      <c r="D1779" s="338"/>
      <c r="E1779" s="234" t="s">
        <v>929</v>
      </c>
      <c r="F1779" s="274" t="str">
        <f>IFERROR(VLOOKUP(E1779,'Inventaire des produits'!$B$4:$K$1000,2,0),"")</f>
        <v xml:space="preserve">SERVIETTE DE TABLE </v>
      </c>
      <c r="G1779" s="54">
        <v>120</v>
      </c>
      <c r="H1779" s="60">
        <v>3.75</v>
      </c>
      <c r="I1779" s="275">
        <f t="shared" si="72"/>
        <v>450</v>
      </c>
      <c r="J1779" s="95">
        <f t="shared" si="73"/>
        <v>540</v>
      </c>
      <c r="K1779" s="93">
        <f>IFERROR(VLOOKUP(E1779,'Inventaire des produits'!$B$4:$J$1000,5,FALSE),"")</f>
        <v>0</v>
      </c>
      <c r="L1779" s="301">
        <f>IFERROR(VLOOKUP(E1779,'Inventaire des produits'!$B$4:$J$1000,6,FALSE),"")</f>
        <v>2.9169999999999998</v>
      </c>
      <c r="M1779" s="62"/>
    </row>
    <row r="1780" spans="2:13" x14ac:dyDescent="0.3">
      <c r="B1780" s="378" t="s">
        <v>1704</v>
      </c>
      <c r="C1780" s="341"/>
      <c r="D1780" s="338"/>
      <c r="E1780" s="234" t="s">
        <v>781</v>
      </c>
      <c r="F1780" s="274" t="str">
        <f>IFERROR(VLOOKUP(E1780,'Inventaire des produits'!$B$4:$K$1000,2,0),"")</f>
        <v>BARQUETTE ALUMINIUM 31808 ROND</v>
      </c>
      <c r="G1780" s="54">
        <v>500</v>
      </c>
      <c r="H1780" s="60">
        <v>0.75</v>
      </c>
      <c r="I1780" s="275">
        <f t="shared" si="72"/>
        <v>375</v>
      </c>
      <c r="J1780" s="95">
        <f t="shared" si="73"/>
        <v>450</v>
      </c>
      <c r="K1780" s="93">
        <f>IFERROR(VLOOKUP(E1780,'Inventaire des produits'!$B$4:$J$1000,5,FALSE),"")</f>
        <v>0</v>
      </c>
      <c r="L1780" s="301">
        <f>IFERROR(VLOOKUP(E1780,'Inventaire des produits'!$B$4:$J$1000,6,FALSE),"")</f>
        <v>0.6</v>
      </c>
      <c r="M1780" s="62"/>
    </row>
    <row r="1781" spans="2:13" x14ac:dyDescent="0.3">
      <c r="B1781" s="378" t="s">
        <v>1704</v>
      </c>
      <c r="C1781" s="341"/>
      <c r="D1781" s="338"/>
      <c r="E1781" s="234" t="s">
        <v>604</v>
      </c>
      <c r="F1781" s="274" t="str">
        <f>IFERROR(VLOOKUP(E1781,'Inventaire des produits'!$B$4:$K$1000,2,0),"")</f>
        <v>FILM PVC STRECH VIOLET</v>
      </c>
      <c r="G1781" s="54">
        <v>5</v>
      </c>
      <c r="H1781" s="60">
        <v>55</v>
      </c>
      <c r="I1781" s="275">
        <f t="shared" si="72"/>
        <v>275</v>
      </c>
      <c r="J1781" s="95">
        <f t="shared" si="73"/>
        <v>330</v>
      </c>
      <c r="K1781" s="93">
        <f>IFERROR(VLOOKUP(E1781,'Inventaire des produits'!$B$4:$J$1000,5,FALSE),"")</f>
        <v>0</v>
      </c>
      <c r="L1781" s="301">
        <f>IFERROR(VLOOKUP(E1781,'Inventaire des produits'!$B$4:$J$1000,6,FALSE),"")</f>
        <v>54.17</v>
      </c>
      <c r="M1781" s="62"/>
    </row>
    <row r="1782" spans="2:13" x14ac:dyDescent="0.3">
      <c r="B1782" s="378" t="s">
        <v>1704</v>
      </c>
      <c r="C1782" s="342"/>
      <c r="D1782" s="339"/>
      <c r="E1782" s="234" t="s">
        <v>1394</v>
      </c>
      <c r="F1782" s="274" t="str">
        <f>IFERROR(VLOOKUP(E1782,'Inventaire des produits'!$B$4:$K$1000,2,0),"")</f>
        <v>SAC KRAFT ECRU 26*17*28 IMP</v>
      </c>
      <c r="G1782" s="54">
        <v>250</v>
      </c>
      <c r="H1782" s="60">
        <f>1.2/1.2</f>
        <v>1</v>
      </c>
      <c r="I1782" s="275">
        <f t="shared" si="72"/>
        <v>250</v>
      </c>
      <c r="J1782" s="95">
        <f t="shared" si="73"/>
        <v>300</v>
      </c>
      <c r="K1782" s="93">
        <f>IFERROR(VLOOKUP(E1782,'Inventaire des produits'!$B$4:$J$1000,5,FALSE),"")</f>
        <v>2250</v>
      </c>
      <c r="L1782" s="301">
        <f>IFERROR(VLOOKUP(E1782,'Inventaire des produits'!$B$4:$J$1000,6,FALSE),"")</f>
        <v>0.75</v>
      </c>
      <c r="M1782" s="62"/>
    </row>
    <row r="1783" spans="2:13" x14ac:dyDescent="0.3">
      <c r="B1783" s="378" t="s">
        <v>1704</v>
      </c>
      <c r="C1783" s="340">
        <v>45582</v>
      </c>
      <c r="D1783" s="337" t="s">
        <v>1516</v>
      </c>
      <c r="E1783" s="234" t="s">
        <v>603</v>
      </c>
      <c r="F1783" s="274" t="str">
        <f>IFERROR(VLOOKUP(E1783,'Inventaire des produits'!$B$4:$K$1000,2,0),"")</f>
        <v>ESSUIE MAIN 1KG LISSE</v>
      </c>
      <c r="G1783" s="54">
        <v>4</v>
      </c>
      <c r="H1783" s="60">
        <v>29.1666666666667</v>
      </c>
      <c r="I1783" s="275">
        <f t="shared" ref="I1783:I1787" si="74">IF(OR(G1783="",H1783=""),"",G1783*H1783)</f>
        <v>116.6666666666668</v>
      </c>
      <c r="J1783" s="95">
        <f t="shared" ref="J1783:J1787" si="75">IF(OR(I1783=""),"",I1783*1.2)</f>
        <v>140.00000000000014</v>
      </c>
      <c r="K1783" s="93">
        <f>IFERROR(VLOOKUP(E1783,'Inventaire des produits'!$B$4:$J$1000,5,FALSE),"")</f>
        <v>0</v>
      </c>
      <c r="L1783" s="301">
        <f>IFERROR(VLOOKUP(E1783,'Inventaire des produits'!$B$4:$J$1000,6,FALSE),"")</f>
        <v>25</v>
      </c>
      <c r="M1783" s="62">
        <f>SUM(J1783:J1787)</f>
        <v>4500.0020000000004</v>
      </c>
    </row>
    <row r="1784" spans="2:13" x14ac:dyDescent="0.3">
      <c r="B1784" s="378" t="s">
        <v>1704</v>
      </c>
      <c r="C1784" s="341"/>
      <c r="D1784" s="338"/>
      <c r="E1784" s="234" t="s">
        <v>604</v>
      </c>
      <c r="F1784" s="274" t="str">
        <f>IFERROR(VLOOKUP(E1784,'Inventaire des produits'!$B$4:$K$1000,2,0),"")</f>
        <v>FILM PVC STRECH VIOLET</v>
      </c>
      <c r="G1784" s="54">
        <v>44</v>
      </c>
      <c r="H1784" s="60">
        <v>55</v>
      </c>
      <c r="I1784" s="275">
        <f t="shared" si="74"/>
        <v>2420</v>
      </c>
      <c r="J1784" s="95">
        <f t="shared" si="75"/>
        <v>2904</v>
      </c>
      <c r="K1784" s="93">
        <f>IFERROR(VLOOKUP(E1784,'Inventaire des produits'!$B$4:$J$1000,5,FALSE),"")</f>
        <v>0</v>
      </c>
      <c r="L1784" s="301">
        <f>IFERROR(VLOOKUP(E1784,'Inventaire des produits'!$B$4:$J$1000,6,FALSE),"")</f>
        <v>54.17</v>
      </c>
      <c r="M1784" s="62"/>
    </row>
    <row r="1785" spans="2:13" x14ac:dyDescent="0.3">
      <c r="B1785" s="378" t="s">
        <v>1704</v>
      </c>
      <c r="C1785" s="341"/>
      <c r="D1785" s="338"/>
      <c r="E1785" s="234" t="s">
        <v>258</v>
      </c>
      <c r="F1785" s="274" t="str">
        <f>IFERROR(VLOOKUP(E1785,'Inventaire des produits'!$B$4:$K$1000,2,0),"")</f>
        <v>BARQUETTE ST5</v>
      </c>
      <c r="G1785" s="54">
        <v>300</v>
      </c>
      <c r="H1785" s="60">
        <v>1.5644499999999999</v>
      </c>
      <c r="I1785" s="275">
        <f t="shared" si="74"/>
        <v>469.33499999999998</v>
      </c>
      <c r="J1785" s="95">
        <f t="shared" si="75"/>
        <v>563.202</v>
      </c>
      <c r="K1785" s="93">
        <f>IFERROR(VLOOKUP(E1785,'Inventaire des produits'!$B$4:$J$1000,5,FALSE),"")</f>
        <v>0</v>
      </c>
      <c r="L1785" s="301">
        <f>IFERROR(VLOOKUP(E1785,'Inventaire des produits'!$B$4:$J$1000,6,FALSE),"")</f>
        <v>1.3333333332999999</v>
      </c>
      <c r="M1785" s="62"/>
    </row>
    <row r="1786" spans="2:13" x14ac:dyDescent="0.3">
      <c r="B1786" s="378" t="s">
        <v>1704</v>
      </c>
      <c r="C1786" s="341"/>
      <c r="D1786" s="338"/>
      <c r="E1786" s="234" t="s">
        <v>610</v>
      </c>
      <c r="F1786" s="274" t="str">
        <f>IFERROR(VLOOKUP(E1786,'Inventaire des produits'!$B$4:$K$1000,2,0),"")</f>
        <v>CVL PLAT BLANC POUR PHDC8</v>
      </c>
      <c r="G1786" s="54">
        <v>300</v>
      </c>
      <c r="H1786" s="60">
        <v>0.38</v>
      </c>
      <c r="I1786" s="275">
        <f t="shared" si="74"/>
        <v>114</v>
      </c>
      <c r="J1786" s="95">
        <f t="shared" si="75"/>
        <v>136.79999999999998</v>
      </c>
      <c r="K1786" s="93">
        <f>IFERROR(VLOOKUP(E1786,'Inventaire des produits'!$B$4:$J$1000,5,FALSE),"")</f>
        <v>0</v>
      </c>
      <c r="L1786" s="301">
        <f>IFERROR(VLOOKUP(E1786,'Inventaire des produits'!$B$4:$J$1000,6,FALSE),"")</f>
        <v>0.26029999999999998</v>
      </c>
      <c r="M1786" s="62"/>
    </row>
    <row r="1787" spans="2:13" x14ac:dyDescent="0.3">
      <c r="B1787" s="378" t="s">
        <v>1704</v>
      </c>
      <c r="C1787" s="342"/>
      <c r="D1787" s="339"/>
      <c r="E1787" s="234" t="s">
        <v>242</v>
      </c>
      <c r="F1787" s="274" t="str">
        <f>IFERROR(VLOOKUP(E1787,'Inventaire des produits'!$B$4:$K$1000,2,0),"")</f>
        <v>FILM ALIMENTAIRE 400G</v>
      </c>
      <c r="G1787" s="54">
        <v>42</v>
      </c>
      <c r="H1787" s="60">
        <v>15</v>
      </c>
      <c r="I1787" s="275">
        <f t="shared" si="74"/>
        <v>630</v>
      </c>
      <c r="J1787" s="95">
        <f t="shared" si="75"/>
        <v>756</v>
      </c>
      <c r="K1787" s="93">
        <f>IFERROR(VLOOKUP(E1787,'Inventaire des produits'!$B$4:$J$1000,5,FALSE),"")</f>
        <v>0</v>
      </c>
      <c r="L1787" s="301">
        <f>IFERROR(VLOOKUP(E1787,'Inventaire des produits'!$B$4:$J$1000,6,FALSE),"")</f>
        <v>11</v>
      </c>
      <c r="M1787" s="62"/>
    </row>
    <row r="1788" spans="2:13" x14ac:dyDescent="0.3">
      <c r="B1788" s="378" t="s">
        <v>1704</v>
      </c>
      <c r="C1788" s="340">
        <v>45583</v>
      </c>
      <c r="D1788" s="337" t="s">
        <v>1530</v>
      </c>
      <c r="E1788" s="234" t="s">
        <v>828</v>
      </c>
      <c r="F1788" s="274" t="str">
        <f>IFERROR(VLOOKUP(E1788,'Inventaire des produits'!$B$4:$K$1000,2,0),"")</f>
        <v>SAC PN BLANC 40*30</v>
      </c>
      <c r="G1788" s="54">
        <v>1500</v>
      </c>
      <c r="H1788" s="60">
        <v>0.50795000000000001</v>
      </c>
      <c r="I1788" s="275">
        <f t="shared" si="72"/>
        <v>761.92500000000007</v>
      </c>
      <c r="J1788" s="95">
        <f t="shared" si="73"/>
        <v>914.31000000000006</v>
      </c>
      <c r="K1788" s="93">
        <f>IFERROR(VLOOKUP(E1788,'Inventaire des produits'!$B$4:$J$1000,5,FALSE),"")</f>
        <v>0</v>
      </c>
      <c r="L1788" s="301">
        <f>IFERROR(VLOOKUP(E1788,'Inventaire des produits'!$B$4:$J$1000,6,FALSE),"")</f>
        <v>0.33333332999999998</v>
      </c>
      <c r="M1788" s="62">
        <f>SUM(J1788:J1791)</f>
        <v>4000.002</v>
      </c>
    </row>
    <row r="1789" spans="2:13" x14ac:dyDescent="0.3">
      <c r="B1789" s="378" t="s">
        <v>1704</v>
      </c>
      <c r="C1789" s="341"/>
      <c r="D1789" s="338"/>
      <c r="E1789" s="234" t="s">
        <v>1316</v>
      </c>
      <c r="F1789" s="274" t="str">
        <f>IFERROR(VLOOKUP(E1789,'Inventaire des produits'!$B$4:$K$1000,2,0),"")</f>
        <v>SAC PN BLANCE 40*45</v>
      </c>
      <c r="G1789" s="54">
        <v>1900</v>
      </c>
      <c r="H1789" s="60">
        <v>0.58750000000000002</v>
      </c>
      <c r="I1789" s="275">
        <f t="shared" si="72"/>
        <v>1116.25</v>
      </c>
      <c r="J1789" s="95">
        <f t="shared" si="73"/>
        <v>1339.5</v>
      </c>
      <c r="K1789" s="93">
        <f>IFERROR(VLOOKUP(E1789,'Inventaire des produits'!$B$4:$J$1000,5,FALSE),"")</f>
        <v>5400</v>
      </c>
      <c r="L1789" s="301">
        <f>IFERROR(VLOOKUP(E1789,'Inventaire des produits'!$B$4:$J$1000,6,FALSE),"")</f>
        <v>0.41665999999999997</v>
      </c>
      <c r="M1789" s="62"/>
    </row>
    <row r="1790" spans="2:13" x14ac:dyDescent="0.3">
      <c r="B1790" s="378" t="s">
        <v>1704</v>
      </c>
      <c r="C1790" s="341"/>
      <c r="D1790" s="338"/>
      <c r="E1790" s="234" t="s">
        <v>1222</v>
      </c>
      <c r="F1790" s="274" t="str">
        <f>IFERROR(VLOOKUP(E1790,'Inventaire des produits'!$B$4:$K$1000,2,0),"")</f>
        <v>POT DE SAUCE 1OZ PROCLEAN</v>
      </c>
      <c r="G1790" s="54">
        <v>6500</v>
      </c>
      <c r="H1790" s="60">
        <v>0.17</v>
      </c>
      <c r="I1790" s="275">
        <f t="shared" si="72"/>
        <v>1105</v>
      </c>
      <c r="J1790" s="95">
        <f t="shared" si="73"/>
        <v>1326</v>
      </c>
      <c r="K1790" s="93">
        <f>IFERROR(VLOOKUP(E1790,'Inventaire des produits'!$B$4:$J$1000,5,FALSE),"")</f>
        <v>557100</v>
      </c>
      <c r="L1790" s="301">
        <f>IFERROR(VLOOKUP(E1790,'Inventaire des produits'!$B$4:$J$1000,6,FALSE),"")</f>
        <v>0.1167</v>
      </c>
      <c r="M1790" s="62"/>
    </row>
    <row r="1791" spans="2:13" x14ac:dyDescent="0.3">
      <c r="B1791" s="378" t="s">
        <v>1704</v>
      </c>
      <c r="C1791" s="342"/>
      <c r="D1791" s="339"/>
      <c r="E1791" s="234" t="s">
        <v>1428</v>
      </c>
      <c r="F1791" s="274" t="str">
        <f>IFERROR(VLOOKUP(E1791,'Inventaire des produits'!$B$4:$K$1000,2,0),"")</f>
        <v>BOITE BURGER KRAFT BONNE APPETIT 11,5*11,5*7</v>
      </c>
      <c r="G1791" s="54">
        <v>400</v>
      </c>
      <c r="H1791" s="60">
        <v>0.87539999999999996</v>
      </c>
      <c r="I1791" s="275">
        <f t="shared" si="72"/>
        <v>350.15999999999997</v>
      </c>
      <c r="J1791" s="95">
        <f t="shared" si="73"/>
        <v>420.19199999999995</v>
      </c>
      <c r="K1791" s="93">
        <f>IFERROR(VLOOKUP(E1791,'Inventaire des produits'!$B$4:$J$1000,5,FALSE),"")</f>
        <v>0</v>
      </c>
      <c r="L1791" s="301">
        <f>IFERROR(VLOOKUP(E1791,'Inventaire des produits'!$B$4:$J$1000,6,FALSE),"")</f>
        <v>0.79166666666666674</v>
      </c>
      <c r="M1791" s="62"/>
    </row>
    <row r="1792" spans="2:13" x14ac:dyDescent="0.3">
      <c r="B1792" s="378" t="s">
        <v>1704</v>
      </c>
      <c r="C1792" s="340">
        <v>45586</v>
      </c>
      <c r="D1792" s="337" t="s">
        <v>1535</v>
      </c>
      <c r="E1792" s="234" t="s">
        <v>1294</v>
      </c>
      <c r="F1792" s="274" t="str">
        <f>IFERROR(VLOOKUP(E1792,'Inventaire des produits'!$B$4:$K$1000,2,0),"")</f>
        <v>BARQUETTE ALUMINIUM RECT 1200ML AVEC CVL</v>
      </c>
      <c r="G1792" s="54">
        <v>800</v>
      </c>
      <c r="H1792" s="60">
        <v>0.88200000000000001</v>
      </c>
      <c r="I1792" s="275">
        <f t="shared" si="72"/>
        <v>705.6</v>
      </c>
      <c r="J1792" s="95">
        <f t="shared" si="73"/>
        <v>846.72</v>
      </c>
      <c r="K1792" s="93">
        <f>IFERROR(VLOOKUP(E1792,'Inventaire des produits'!$B$4:$J$1000,5,FALSE),"")</f>
        <v>4000</v>
      </c>
      <c r="L1792" s="301">
        <f>IFERROR(VLOOKUP(E1792,'Inventaire des produits'!$B$4:$J$1000,6,FALSE),"")</f>
        <v>1.3666666667</v>
      </c>
      <c r="M1792" s="62">
        <f>SUM(J1792:J1798)</f>
        <v>5825.9951999999994</v>
      </c>
    </row>
    <row r="1793" spans="2:13" x14ac:dyDescent="0.3">
      <c r="B1793" s="378" t="s">
        <v>1704</v>
      </c>
      <c r="C1793" s="341"/>
      <c r="D1793" s="338"/>
      <c r="E1793" s="234" t="s">
        <v>779</v>
      </c>
      <c r="F1793" s="274" t="str">
        <f>IFERROR(VLOOKUP(E1793,'Inventaire des produits'!$B$4:$K$1000,2,0),"")</f>
        <v>BARQUETTE ALUMINIUM 83420</v>
      </c>
      <c r="G1793" s="54">
        <v>1600</v>
      </c>
      <c r="H1793" s="60">
        <v>0.47326000000000001</v>
      </c>
      <c r="I1793" s="275">
        <f t="shared" si="72"/>
        <v>757.21600000000001</v>
      </c>
      <c r="J1793" s="95">
        <f t="shared" si="73"/>
        <v>908.65919999999994</v>
      </c>
      <c r="K1793" s="93">
        <f>IFERROR(VLOOKUP(E1793,'Inventaire des produits'!$B$4:$J$1000,5,FALSE),"")</f>
        <v>0</v>
      </c>
      <c r="L1793" s="301">
        <f>IFERROR(VLOOKUP(E1793,'Inventaire des produits'!$B$4:$J$1000,6,FALSE),"")</f>
        <v>0.30833333330000001</v>
      </c>
      <c r="M1793" s="62"/>
    </row>
    <row r="1794" spans="2:13" x14ac:dyDescent="0.3">
      <c r="B1794" s="378" t="s">
        <v>1704</v>
      </c>
      <c r="C1794" s="341"/>
      <c r="D1794" s="338"/>
      <c r="E1794" s="234" t="s">
        <v>1390</v>
      </c>
      <c r="F1794" s="274" t="str">
        <f>IFERROR(VLOOKUP(E1794,'Inventaire des produits'!$B$4:$K$1000,2,0),"")</f>
        <v>ROULEAU ALUMINIUM EXTRA PACK 200M</v>
      </c>
      <c r="G1794" s="54">
        <v>18</v>
      </c>
      <c r="H1794" s="60">
        <v>64.510000000000005</v>
      </c>
      <c r="I1794" s="275">
        <f t="shared" si="72"/>
        <v>1161.18</v>
      </c>
      <c r="J1794" s="95">
        <f t="shared" si="73"/>
        <v>1393.4159999999999</v>
      </c>
      <c r="K1794" s="93">
        <f>IFERROR(VLOOKUP(E1794,'Inventaire des produits'!$B$4:$J$1000,5,FALSE),"")</f>
        <v>3</v>
      </c>
      <c r="L1794" s="301">
        <f>IFERROR(VLOOKUP(E1794,'Inventaire des produits'!$B$4:$J$1000,6,FALSE),"")</f>
        <v>43.804166666666667</v>
      </c>
      <c r="M1794" s="62"/>
    </row>
    <row r="1795" spans="2:13" x14ac:dyDescent="0.3">
      <c r="B1795" s="378" t="s">
        <v>1704</v>
      </c>
      <c r="C1795" s="341"/>
      <c r="D1795" s="338"/>
      <c r="E1795" s="234" t="s">
        <v>869</v>
      </c>
      <c r="F1795" s="274" t="str">
        <f>IFERROR(VLOOKUP(E1795,'Inventaire des produits'!$B$4:$K$1000,2,0),"")</f>
        <v>PAILLE ENVELOPPEE CODE 100 TRANS</v>
      </c>
      <c r="G1795" s="54">
        <v>16</v>
      </c>
      <c r="H1795" s="60">
        <v>6.25</v>
      </c>
      <c r="I1795" s="275">
        <f t="shared" si="72"/>
        <v>100</v>
      </c>
      <c r="J1795" s="95">
        <f t="shared" si="73"/>
        <v>120</v>
      </c>
      <c r="K1795" s="93">
        <f>IFERROR(VLOOKUP(E1795,'Inventaire des produits'!$B$4:$J$1000,5,FALSE),"")</f>
        <v>898</v>
      </c>
      <c r="L1795" s="301">
        <f>IFERROR(VLOOKUP(E1795,'Inventaire des produits'!$B$4:$J$1000,6,FALSE),"")</f>
        <v>3.9166666659999998</v>
      </c>
      <c r="M1795" s="62"/>
    </row>
    <row r="1796" spans="2:13" x14ac:dyDescent="0.3">
      <c r="B1796" s="378" t="s">
        <v>1704</v>
      </c>
      <c r="C1796" s="341"/>
      <c r="D1796" s="338"/>
      <c r="E1796" s="234" t="s">
        <v>778</v>
      </c>
      <c r="F1796" s="274" t="str">
        <f>IFERROR(VLOOKUP(E1796,'Inventaire des produits'!$B$4:$K$1000,2,0),"")</f>
        <v>POT DE SAUCE EN PLAST TRANSP 20ML</v>
      </c>
      <c r="G1796" s="54">
        <v>2500</v>
      </c>
      <c r="H1796" s="60">
        <f>0.12/1.2</f>
        <v>0.1</v>
      </c>
      <c r="I1796" s="275">
        <f t="shared" si="72"/>
        <v>250</v>
      </c>
      <c r="J1796" s="95">
        <f t="shared" si="73"/>
        <v>300</v>
      </c>
      <c r="K1796" s="93">
        <f>IFERROR(VLOOKUP(E1796,'Inventaire des produits'!$B$4:$J$1000,5,FALSE),"")</f>
        <v>0</v>
      </c>
      <c r="L1796" s="301">
        <f>IFERROR(VLOOKUP(E1796,'Inventaire des produits'!$B$4:$J$1000,6,FALSE),"")</f>
        <v>8.3333333300000006E-2</v>
      </c>
      <c r="M1796" s="62"/>
    </row>
    <row r="1797" spans="2:13" x14ac:dyDescent="0.3">
      <c r="B1797" s="378" t="s">
        <v>1704</v>
      </c>
      <c r="C1797" s="341"/>
      <c r="D1797" s="338"/>
      <c r="E1797" s="234" t="s">
        <v>1190</v>
      </c>
      <c r="F1797" s="274" t="str">
        <f>IFERROR(VLOOKUP(E1797,'Inventaire des produits'!$B$4:$K$1000,2,0),"")</f>
        <v>GOBLET 12OZ EN PLAST TRANS SMART AVEC CVL PLAT</v>
      </c>
      <c r="G1797" s="54">
        <v>1400</v>
      </c>
      <c r="H1797" s="60">
        <v>0.6</v>
      </c>
      <c r="I1797" s="275">
        <f t="shared" si="72"/>
        <v>840</v>
      </c>
      <c r="J1797" s="95">
        <f t="shared" si="73"/>
        <v>1008</v>
      </c>
      <c r="K1797" s="93">
        <f>IFERROR(VLOOKUP(E1797,'Inventaire des produits'!$B$4:$J$1000,5,FALSE),"")</f>
        <v>0</v>
      </c>
      <c r="L1797" s="301">
        <f>IFERROR(VLOOKUP(E1797,'Inventaire des produits'!$B$4:$J$1000,6,FALSE),"")</f>
        <v>0.55555833333333338</v>
      </c>
      <c r="M1797" s="62"/>
    </row>
    <row r="1798" spans="2:13" x14ac:dyDescent="0.3">
      <c r="B1798" s="378" t="s">
        <v>1704</v>
      </c>
      <c r="C1798" s="342"/>
      <c r="D1798" s="339"/>
      <c r="E1798" s="234" t="s">
        <v>1184</v>
      </c>
      <c r="F1798" s="274" t="str">
        <f>IFERROR(VLOOKUP(E1798,'Inventaire des produits'!$B$4:$K$1000,2,0),"")</f>
        <v>COQUILLE MEAL BOX 2 COMP BLANC</v>
      </c>
      <c r="G1798" s="54">
        <v>1000</v>
      </c>
      <c r="H1798" s="60">
        <v>1.0409999999999999</v>
      </c>
      <c r="I1798" s="275">
        <f t="shared" si="72"/>
        <v>1041</v>
      </c>
      <c r="J1798" s="95">
        <f t="shared" si="73"/>
        <v>1249.2</v>
      </c>
      <c r="K1798" s="93">
        <f>IFERROR(VLOOKUP(E1798,'Inventaire des produits'!$B$4:$J$1000,5,FALSE),"")</f>
        <v>5800</v>
      </c>
      <c r="L1798" s="301">
        <f>IFERROR(VLOOKUP(E1798,'Inventaire des produits'!$B$4:$J$1000,6,FALSE),"")</f>
        <v>0.79166666666666663</v>
      </c>
      <c r="M1798" s="62"/>
    </row>
    <row r="1799" spans="2:13" x14ac:dyDescent="0.3">
      <c r="B1799" s="378" t="s">
        <v>1704</v>
      </c>
      <c r="C1799" s="55">
        <v>45586</v>
      </c>
      <c r="D1799" s="54" t="s">
        <v>1536</v>
      </c>
      <c r="E1799" s="234" t="s">
        <v>1311</v>
      </c>
      <c r="F1799" s="274" t="str">
        <f>IFERROR(VLOOKUP(E1799,'Inventaire des produits'!$B$4:$K$1000,2,0),"")</f>
        <v>POT CARTONIER BLANC 26OZ AVEC CVL</v>
      </c>
      <c r="G1799" s="54">
        <v>1500</v>
      </c>
      <c r="H1799" s="60">
        <v>2.4</v>
      </c>
      <c r="I1799" s="275">
        <f t="shared" si="72"/>
        <v>3600</v>
      </c>
      <c r="J1799" s="95">
        <f t="shared" si="73"/>
        <v>4320</v>
      </c>
      <c r="K1799" s="93">
        <f>IFERROR(VLOOKUP(E1799,'Inventaire des produits'!$B$4:$J$1000,5,FALSE),"")</f>
        <v>1000</v>
      </c>
      <c r="L1799" s="301">
        <f>IFERROR(VLOOKUP(E1799,'Inventaire des produits'!$B$4:$J$1000,6,FALSE),"")</f>
        <v>2</v>
      </c>
      <c r="M1799" s="62">
        <v>4320</v>
      </c>
    </row>
    <row r="1800" spans="2:13" x14ac:dyDescent="0.3">
      <c r="B1800" s="378" t="s">
        <v>1704</v>
      </c>
      <c r="C1800" s="340">
        <v>45586</v>
      </c>
      <c r="D1800" s="337" t="s">
        <v>1537</v>
      </c>
      <c r="E1800" s="244" t="s">
        <v>1162</v>
      </c>
      <c r="F1800" s="274" t="str">
        <f>IFERROR(VLOOKUP(E1800,'Inventaire des produits'!$B$4:$K$1000,2,0),"")</f>
        <v>BOITE PIZZA N°40</v>
      </c>
      <c r="G1800" s="54">
        <v>600</v>
      </c>
      <c r="H1800" s="60">
        <v>3.4722200000000001</v>
      </c>
      <c r="I1800" s="275">
        <f t="shared" si="72"/>
        <v>2083.3319999999999</v>
      </c>
      <c r="J1800" s="95">
        <f t="shared" si="73"/>
        <v>2499.9983999999999</v>
      </c>
      <c r="K1800" s="93">
        <f>IFERROR(VLOOKUP(E1800,'Inventaire des produits'!$B$4:$J$1000,5,FALSE),"")</f>
        <v>0</v>
      </c>
      <c r="L1800" s="301">
        <f>IFERROR(VLOOKUP(E1800,'Inventaire des produits'!$B$4:$J$1000,6,FALSE),"")</f>
        <v>2.78</v>
      </c>
      <c r="M1800" s="62">
        <f>SUM(J1800:J1801)</f>
        <v>5499.9984000000004</v>
      </c>
    </row>
    <row r="1801" spans="2:13" x14ac:dyDescent="0.3">
      <c r="B1801" s="378" t="s">
        <v>1704</v>
      </c>
      <c r="C1801" s="342"/>
      <c r="D1801" s="339"/>
      <c r="E1801" s="234" t="s">
        <v>1527</v>
      </c>
      <c r="F1801" s="274" t="str">
        <f>IFERROR(VLOOKUP(E1801,'Inventaire des produits'!$B$4:$K$1000,2,0),"")</f>
        <v>BOITE PIZZA 29</v>
      </c>
      <c r="G1801" s="54">
        <v>30</v>
      </c>
      <c r="H1801" s="60">
        <f>100/1.2</f>
        <v>83.333333333333343</v>
      </c>
      <c r="I1801" s="275">
        <f t="shared" si="72"/>
        <v>2500.0000000000005</v>
      </c>
      <c r="J1801" s="95">
        <f t="shared" si="73"/>
        <v>3000.0000000000005</v>
      </c>
      <c r="K1801" s="93">
        <f>IFERROR(VLOOKUP(E1801,'Inventaire des produits'!$B$4:$J$1000,5,FALSE),"")</f>
        <v>17</v>
      </c>
      <c r="L1801" s="301">
        <f>IFERROR(VLOOKUP(E1801,'Inventaire des produits'!$B$4:$J$1000,6,FALSE),"")</f>
        <v>58.5</v>
      </c>
      <c r="M1801" s="62"/>
    </row>
    <row r="1802" spans="2:13" x14ac:dyDescent="0.3">
      <c r="B1802" s="378" t="s">
        <v>1704</v>
      </c>
      <c r="C1802" s="340">
        <v>45587</v>
      </c>
      <c r="D1802" s="337" t="s">
        <v>1538</v>
      </c>
      <c r="E1802" s="234" t="s">
        <v>828</v>
      </c>
      <c r="F1802" s="274" t="str">
        <f>IFERROR(VLOOKUP(E1802,'Inventaire des produits'!$B$4:$K$1000,2,0),"")</f>
        <v>SAC PN BLANC 40*30</v>
      </c>
      <c r="G1802" s="54">
        <v>900</v>
      </c>
      <c r="H1802" s="60">
        <v>0.50800000000000001</v>
      </c>
      <c r="I1802" s="275">
        <f t="shared" si="72"/>
        <v>457.2</v>
      </c>
      <c r="J1802" s="95">
        <f t="shared" si="73"/>
        <v>548.64</v>
      </c>
      <c r="K1802" s="93">
        <f>IFERROR(VLOOKUP(E1802,'Inventaire des produits'!$B$4:$J$1000,5,FALSE),"")</f>
        <v>0</v>
      </c>
      <c r="L1802" s="301">
        <f>IFERROR(VLOOKUP(E1802,'Inventaire des produits'!$B$4:$J$1000,6,FALSE),"")</f>
        <v>0.33333332999999998</v>
      </c>
      <c r="M1802" s="62">
        <f>SUM(J1802:J1811)</f>
        <v>12700.001759999999</v>
      </c>
    </row>
    <row r="1803" spans="2:13" x14ac:dyDescent="0.3">
      <c r="B1803" s="378" t="s">
        <v>1704</v>
      </c>
      <c r="C1803" s="341"/>
      <c r="D1803" s="338"/>
      <c r="E1803" s="234" t="s">
        <v>501</v>
      </c>
      <c r="F1803" s="274" t="str">
        <f>IFERROR(VLOOKUP(E1803,'Inventaire des produits'!$B$4:$K$1000,2,0),"")</f>
        <v>BARQUETTE ALUMINIUM 83420</v>
      </c>
      <c r="G1803" s="54">
        <v>2000</v>
      </c>
      <c r="H1803" s="60">
        <v>0.45500000000000002</v>
      </c>
      <c r="I1803" s="275">
        <f t="shared" si="72"/>
        <v>910</v>
      </c>
      <c r="J1803" s="95">
        <f t="shared" si="73"/>
        <v>1092</v>
      </c>
      <c r="K1803" s="93">
        <f>IFERROR(VLOOKUP(E1803,'Inventaire des produits'!$B$4:$J$1000,5,FALSE),"")</f>
        <v>10000</v>
      </c>
      <c r="L1803" s="301">
        <f>IFERROR(VLOOKUP(E1803,'Inventaire des produits'!$B$4:$J$1000,6,FALSE),"")</f>
        <v>0.31666666669999999</v>
      </c>
      <c r="M1803" s="62"/>
    </row>
    <row r="1804" spans="2:13" x14ac:dyDescent="0.3">
      <c r="B1804" s="378" t="s">
        <v>1704</v>
      </c>
      <c r="C1804" s="341"/>
      <c r="D1804" s="338"/>
      <c r="E1804" s="234" t="s">
        <v>929</v>
      </c>
      <c r="F1804" s="274" t="str">
        <f>IFERROR(VLOOKUP(E1804,'Inventaire des produits'!$B$4:$K$1000,2,0),"")</f>
        <v xml:space="preserve">SERVIETTE DE TABLE </v>
      </c>
      <c r="G1804" s="54">
        <v>300</v>
      </c>
      <c r="H1804" s="60">
        <v>3.75</v>
      </c>
      <c r="I1804" s="275">
        <f t="shared" si="72"/>
        <v>1125</v>
      </c>
      <c r="J1804" s="95">
        <f t="shared" si="73"/>
        <v>1350</v>
      </c>
      <c r="K1804" s="93">
        <f>IFERROR(VLOOKUP(E1804,'Inventaire des produits'!$B$4:$J$1000,5,FALSE),"")</f>
        <v>0</v>
      </c>
      <c r="L1804" s="301">
        <f>IFERROR(VLOOKUP(E1804,'Inventaire des produits'!$B$4:$J$1000,6,FALSE),"")</f>
        <v>2.9169999999999998</v>
      </c>
      <c r="M1804" s="62"/>
    </row>
    <row r="1805" spans="2:13" x14ac:dyDescent="0.3">
      <c r="B1805" s="378" t="s">
        <v>1704</v>
      </c>
      <c r="C1805" s="341"/>
      <c r="D1805" s="338"/>
      <c r="E1805" s="234" t="s">
        <v>837</v>
      </c>
      <c r="F1805" s="274" t="str">
        <f>IFERROR(VLOOKUP(E1805,'Inventaire des produits'!$B$4:$K$1000,2,0),"")</f>
        <v>ESSUIE MAIN 1KG LISSE</v>
      </c>
      <c r="G1805" s="54">
        <v>34</v>
      </c>
      <c r="H1805" s="60">
        <v>28.8</v>
      </c>
      <c r="I1805" s="275">
        <f t="shared" si="72"/>
        <v>979.2</v>
      </c>
      <c r="J1805" s="95">
        <f t="shared" si="73"/>
        <v>1175.04</v>
      </c>
      <c r="K1805" s="93">
        <f>IFERROR(VLOOKUP(E1805,'Inventaire des produits'!$B$4:$J$1000,5,FALSE),"")</f>
        <v>7</v>
      </c>
      <c r="L1805" s="301">
        <f>IFERROR(VLOOKUP(E1805,'Inventaire des produits'!$B$4:$J$1000,6,FALSE),"")</f>
        <v>21.25</v>
      </c>
      <c r="M1805" s="62"/>
    </row>
    <row r="1806" spans="2:13" x14ac:dyDescent="0.3">
      <c r="B1806" s="378" t="s">
        <v>1704</v>
      </c>
      <c r="C1806" s="341"/>
      <c r="D1806" s="338"/>
      <c r="E1806" s="234" t="s">
        <v>1303</v>
      </c>
      <c r="F1806" s="274" t="str">
        <f>IFERROR(VLOOKUP(E1806,'Inventaire des produits'!$B$4:$K$1000,2,0),"")</f>
        <v>BARQUETTE ALUMINIUM 83670</v>
      </c>
      <c r="G1806" s="54">
        <v>3000</v>
      </c>
      <c r="H1806" s="60">
        <v>0.75044500000000003</v>
      </c>
      <c r="I1806" s="275">
        <f t="shared" si="72"/>
        <v>2251.335</v>
      </c>
      <c r="J1806" s="95">
        <f t="shared" si="73"/>
        <v>2701.6019999999999</v>
      </c>
      <c r="K1806" s="93">
        <f>IFERROR(VLOOKUP(E1806,'Inventaire des produits'!$B$4:$J$1000,5,FALSE),"")</f>
        <v>200</v>
      </c>
      <c r="L1806" s="301">
        <f>IFERROR(VLOOKUP(E1806,'Inventaire des produits'!$B$4:$J$1000,6,FALSE),"")</f>
        <v>0.51666666666666672</v>
      </c>
      <c r="M1806" s="62"/>
    </row>
    <row r="1807" spans="2:13" x14ac:dyDescent="0.3">
      <c r="B1807" s="378" t="s">
        <v>1704</v>
      </c>
      <c r="C1807" s="341"/>
      <c r="D1807" s="338"/>
      <c r="E1807" s="234" t="s">
        <v>778</v>
      </c>
      <c r="F1807" s="274" t="str">
        <f>IFERROR(VLOOKUP(E1807,'Inventaire des produits'!$B$4:$K$1000,2,0),"")</f>
        <v>POT DE SAUCE EN PLAST TRANSP 20ML</v>
      </c>
      <c r="G1807" s="54">
        <v>2000</v>
      </c>
      <c r="H1807" s="60">
        <v>6.2E-2</v>
      </c>
      <c r="I1807" s="275">
        <f t="shared" si="72"/>
        <v>124</v>
      </c>
      <c r="J1807" s="95">
        <f t="shared" si="73"/>
        <v>148.79999999999998</v>
      </c>
      <c r="K1807" s="93">
        <f>IFERROR(VLOOKUP(E1807,'Inventaire des produits'!$B$4:$J$1000,5,FALSE),"")</f>
        <v>0</v>
      </c>
      <c r="L1807" s="301">
        <f>IFERROR(VLOOKUP(E1807,'Inventaire des produits'!$B$4:$J$1000,6,FALSE),"")</f>
        <v>8.3333333300000006E-2</v>
      </c>
      <c r="M1807" s="62"/>
    </row>
    <row r="1808" spans="2:13" x14ac:dyDescent="0.3">
      <c r="B1808" s="378" t="s">
        <v>1704</v>
      </c>
      <c r="C1808" s="341"/>
      <c r="D1808" s="338"/>
      <c r="E1808" s="234" t="s">
        <v>1278</v>
      </c>
      <c r="F1808" s="274" t="str">
        <f>IFERROR(VLOOKUP(E1808,'Inventaire des produits'!$B$4:$K$1000,2,0),"")</f>
        <v>CUILLERE JETABLE ECO BLANCHE 100U</v>
      </c>
      <c r="G1808" s="54">
        <v>37</v>
      </c>
      <c r="H1808" s="60">
        <v>9.5</v>
      </c>
      <c r="I1808" s="275">
        <f t="shared" si="72"/>
        <v>351.5</v>
      </c>
      <c r="J1808" s="95">
        <f t="shared" si="73"/>
        <v>421.8</v>
      </c>
      <c r="K1808" s="93">
        <f>IFERROR(VLOOKUP(E1808,'Inventaire des produits'!$B$4:$J$1000,5,FALSE),"")</f>
        <v>0</v>
      </c>
      <c r="L1808" s="301">
        <f>IFERROR(VLOOKUP(E1808,'Inventaire des produits'!$B$4:$J$1000,6,FALSE),"")</f>
        <v>6.5834000000000001</v>
      </c>
      <c r="M1808" s="62"/>
    </row>
    <row r="1809" spans="2:13" x14ac:dyDescent="0.3">
      <c r="B1809" s="378" t="s">
        <v>1704</v>
      </c>
      <c r="C1809" s="341"/>
      <c r="D1809" s="338"/>
      <c r="E1809" s="234" t="s">
        <v>1390</v>
      </c>
      <c r="F1809" s="274" t="str">
        <f>IFERROR(VLOOKUP(E1809,'Inventaire des produits'!$B$4:$K$1000,2,0),"")</f>
        <v>ROULEAU ALUMINIUM EXTRA PACK 200M</v>
      </c>
      <c r="G1809" s="54">
        <v>25</v>
      </c>
      <c r="H1809" s="60">
        <v>66.66</v>
      </c>
      <c r="I1809" s="275">
        <f t="shared" si="72"/>
        <v>1666.5</v>
      </c>
      <c r="J1809" s="95">
        <f t="shared" si="73"/>
        <v>1999.8</v>
      </c>
      <c r="K1809" s="93">
        <f>IFERROR(VLOOKUP(E1809,'Inventaire des produits'!$B$4:$J$1000,5,FALSE),"")</f>
        <v>3</v>
      </c>
      <c r="L1809" s="301">
        <f>IFERROR(VLOOKUP(E1809,'Inventaire des produits'!$B$4:$J$1000,6,FALSE),"")</f>
        <v>43.804166666666667</v>
      </c>
      <c r="M1809" s="62"/>
    </row>
    <row r="1810" spans="2:13" x14ac:dyDescent="0.3">
      <c r="B1810" s="378" t="s">
        <v>1704</v>
      </c>
      <c r="C1810" s="341"/>
      <c r="D1810" s="338"/>
      <c r="E1810" s="234" t="s">
        <v>1316</v>
      </c>
      <c r="F1810" s="274" t="str">
        <f>IFERROR(VLOOKUP(E1810,'Inventaire des produits'!$B$4:$K$1000,2,0),"")</f>
        <v>SAC PN BLANCE 40*45</v>
      </c>
      <c r="G1810" s="54">
        <v>1700</v>
      </c>
      <c r="H1810" s="60">
        <v>0.58099999999999996</v>
      </c>
      <c r="I1810" s="275">
        <f t="shared" si="72"/>
        <v>987.69999999999993</v>
      </c>
      <c r="J1810" s="95">
        <f t="shared" si="73"/>
        <v>1185.2399999999998</v>
      </c>
      <c r="K1810" s="93">
        <f>IFERROR(VLOOKUP(E1810,'Inventaire des produits'!$B$4:$J$1000,5,FALSE),"")</f>
        <v>5400</v>
      </c>
      <c r="L1810" s="301">
        <f>IFERROR(VLOOKUP(E1810,'Inventaire des produits'!$B$4:$J$1000,6,FALSE),"")</f>
        <v>0.41665999999999997</v>
      </c>
      <c r="M1810" s="62"/>
    </row>
    <row r="1811" spans="2:13" x14ac:dyDescent="0.3">
      <c r="B1811" s="378" t="s">
        <v>1704</v>
      </c>
      <c r="C1811" s="342"/>
      <c r="D1811" s="339"/>
      <c r="E1811" s="234" t="s">
        <v>747</v>
      </c>
      <c r="F1811" s="274" t="str">
        <f>IFERROR(VLOOKUP(E1811,'Inventaire des produits'!$B$4:$K$1000,2,0),"")</f>
        <v>BOITE SANDWISH KRAFT 19*10*9</v>
      </c>
      <c r="G1811" s="54">
        <v>1260</v>
      </c>
      <c r="H1811" s="60">
        <v>1.3737299999999999</v>
      </c>
      <c r="I1811" s="275">
        <f t="shared" si="72"/>
        <v>1730.8997999999999</v>
      </c>
      <c r="J1811" s="95">
        <f t="shared" si="73"/>
        <v>2077.0797599999996</v>
      </c>
      <c r="K1811" s="93">
        <f>IFERROR(VLOOKUP(E1811,'Inventaire des produits'!$B$4:$J$1000,5,FALSE),"")</f>
        <v>0</v>
      </c>
      <c r="L1811" s="301">
        <f>IFERROR(VLOOKUP(E1811,'Inventaire des produits'!$B$4:$J$1000,6,FALSE),"")</f>
        <v>1.2533333333000001</v>
      </c>
      <c r="M1811" s="62"/>
    </row>
    <row r="1812" spans="2:13" x14ac:dyDescent="0.3">
      <c r="B1812" s="378" t="s">
        <v>1704</v>
      </c>
      <c r="C1812" s="340">
        <v>45588</v>
      </c>
      <c r="D1812" s="337" t="s">
        <v>1542</v>
      </c>
      <c r="E1812" s="234" t="s">
        <v>828</v>
      </c>
      <c r="F1812" s="274" t="str">
        <f>IFERROR(VLOOKUP(E1812,'Inventaire des produits'!$B$4:$K$1000,2,0),"")</f>
        <v>SAC PN BLANC 40*30</v>
      </c>
      <c r="G1812" s="54">
        <v>400</v>
      </c>
      <c r="H1812" s="60">
        <v>0.50900000000000001</v>
      </c>
      <c r="I1812" s="275">
        <f t="shared" si="72"/>
        <v>203.6</v>
      </c>
      <c r="J1812" s="95">
        <f t="shared" si="73"/>
        <v>244.32</v>
      </c>
      <c r="K1812" s="93">
        <f>IFERROR(VLOOKUP(E1812,'Inventaire des produits'!$B$4:$J$1000,5,FALSE),"")</f>
        <v>0</v>
      </c>
      <c r="L1812" s="301">
        <f>IFERROR(VLOOKUP(E1812,'Inventaire des produits'!$B$4:$J$1000,6,FALSE),"")</f>
        <v>0.33333332999999998</v>
      </c>
      <c r="M1812" s="62">
        <f>SUM(J1812:J1815)</f>
        <v>1604.9999999999998</v>
      </c>
    </row>
    <row r="1813" spans="2:13" x14ac:dyDescent="0.3">
      <c r="B1813" s="378" t="s">
        <v>1704</v>
      </c>
      <c r="C1813" s="341"/>
      <c r="D1813" s="338"/>
      <c r="E1813" s="234" t="s">
        <v>1316</v>
      </c>
      <c r="F1813" s="274" t="str">
        <f>IFERROR(VLOOKUP(E1813,'Inventaire des produits'!$B$4:$K$1000,2,0),"")</f>
        <v>SAC PN BLANCE 40*45</v>
      </c>
      <c r="G1813" s="54">
        <v>800</v>
      </c>
      <c r="H1813" s="60">
        <v>0.58699999999999997</v>
      </c>
      <c r="I1813" s="275">
        <f t="shared" ref="I1813:I1899" si="76">IF(OR(G1813="",H1813=""),"",G1813*H1813)</f>
        <v>469.59999999999997</v>
      </c>
      <c r="J1813" s="95">
        <f t="shared" ref="J1813:J1899" si="77">IF(OR(I1813=""),"",I1813*1.2)</f>
        <v>563.52</v>
      </c>
      <c r="K1813" s="93">
        <f>IFERROR(VLOOKUP(E1813,'Inventaire des produits'!$B$4:$J$1000,5,FALSE),"")</f>
        <v>5400</v>
      </c>
      <c r="L1813" s="301">
        <f>IFERROR(VLOOKUP(E1813,'Inventaire des produits'!$B$4:$J$1000,6,FALSE),"")</f>
        <v>0.41665999999999997</v>
      </c>
      <c r="M1813" s="62"/>
    </row>
    <row r="1814" spans="2:13" x14ac:dyDescent="0.3">
      <c r="B1814" s="378" t="s">
        <v>1704</v>
      </c>
      <c r="C1814" s="341"/>
      <c r="D1814" s="338"/>
      <c r="E1814" s="234" t="s">
        <v>1222</v>
      </c>
      <c r="F1814" s="274" t="str">
        <f>IFERROR(VLOOKUP(E1814,'Inventaire des produits'!$B$4:$K$1000,2,0),"")</f>
        <v>POT DE SAUCE 1OZ PROCLEAN</v>
      </c>
      <c r="G1814" s="54">
        <v>2800</v>
      </c>
      <c r="H1814" s="60">
        <v>0.16975000000000001</v>
      </c>
      <c r="I1814" s="275">
        <f t="shared" si="76"/>
        <v>475.3</v>
      </c>
      <c r="J1814" s="95">
        <f t="shared" si="77"/>
        <v>570.36</v>
      </c>
      <c r="K1814" s="93">
        <f>IFERROR(VLOOKUP(E1814,'Inventaire des produits'!$B$4:$J$1000,5,FALSE),"")</f>
        <v>557100</v>
      </c>
      <c r="L1814" s="301">
        <f>IFERROR(VLOOKUP(E1814,'Inventaire des produits'!$B$4:$J$1000,6,FALSE),"")</f>
        <v>0.1167</v>
      </c>
      <c r="M1814" s="62"/>
    </row>
    <row r="1815" spans="2:13" x14ac:dyDescent="0.3">
      <c r="B1815" s="378" t="s">
        <v>1704</v>
      </c>
      <c r="C1815" s="342"/>
      <c r="D1815" s="339"/>
      <c r="E1815" s="234" t="s">
        <v>839</v>
      </c>
      <c r="F1815" s="274" t="str">
        <f>IFERROR(VLOOKUP(E1815,'Inventaire des produits'!$B$4:$K$1000,2,0),"")</f>
        <v>FILM ALIMENTAIRE 900GR GM 30X300</v>
      </c>
      <c r="G1815" s="54">
        <v>7</v>
      </c>
      <c r="H1815" s="60">
        <v>27</v>
      </c>
      <c r="I1815" s="275">
        <f t="shared" si="76"/>
        <v>189</v>
      </c>
      <c r="J1815" s="95">
        <f t="shared" si="77"/>
        <v>226.79999999999998</v>
      </c>
      <c r="K1815" s="93">
        <f>IFERROR(VLOOKUP(E1815,'Inventaire des produits'!$B$4:$J$1000,5,FALSE),"")</f>
        <v>0</v>
      </c>
      <c r="L1815" s="301">
        <f>IFERROR(VLOOKUP(E1815,'Inventaire des produits'!$B$4:$J$1000,6,FALSE),"")</f>
        <v>20</v>
      </c>
      <c r="M1815" s="62"/>
    </row>
    <row r="1816" spans="2:13" x14ac:dyDescent="0.3">
      <c r="B1816" s="378" t="s">
        <v>1704</v>
      </c>
      <c r="C1816" s="340">
        <v>45590</v>
      </c>
      <c r="D1816" s="337" t="s">
        <v>1543</v>
      </c>
      <c r="E1816" s="234" t="s">
        <v>1394</v>
      </c>
      <c r="F1816" s="274" t="str">
        <f>IFERROR(VLOOKUP(E1816,'Inventaire des produits'!$B$4:$K$1000,2,0),"")</f>
        <v>SAC KRAFT ECRU 26*17*28 IMP</v>
      </c>
      <c r="G1816" s="54">
        <v>200</v>
      </c>
      <c r="H1816" s="60">
        <v>1.0833333333333335</v>
      </c>
      <c r="I1816" s="275">
        <f t="shared" si="76"/>
        <v>216.66666666666669</v>
      </c>
      <c r="J1816" s="95">
        <f t="shared" si="77"/>
        <v>260</v>
      </c>
      <c r="K1816" s="93">
        <f>IFERROR(VLOOKUP(E1816,'Inventaire des produits'!$B$4:$J$1000,5,FALSE),"")</f>
        <v>2250</v>
      </c>
      <c r="L1816" s="301">
        <f>IFERROR(VLOOKUP(E1816,'Inventaire des produits'!$B$4:$J$1000,6,FALSE),"")</f>
        <v>0.75</v>
      </c>
      <c r="M1816" s="62">
        <f>SUM(J1816:J1821)</f>
        <v>1307</v>
      </c>
    </row>
    <row r="1817" spans="2:13" x14ac:dyDescent="0.3">
      <c r="B1817" s="378" t="s">
        <v>1704</v>
      </c>
      <c r="C1817" s="341"/>
      <c r="D1817" s="338"/>
      <c r="E1817" s="234" t="s">
        <v>403</v>
      </c>
      <c r="F1817" s="274" t="str">
        <f>IFERROR(VLOOKUP(E1817,'Inventaire des produits'!$B$4:$K$1000,2,0),"")</f>
        <v>GOBLET 4OZ SANS CVL EN CARTON BON APETIT ECO GB</v>
      </c>
      <c r="G1817" s="54">
        <v>800</v>
      </c>
      <c r="H1817" s="60">
        <v>0.1875</v>
      </c>
      <c r="I1817" s="275">
        <f t="shared" si="76"/>
        <v>150</v>
      </c>
      <c r="J1817" s="95">
        <f t="shared" si="77"/>
        <v>180</v>
      </c>
      <c r="K1817" s="93">
        <f>IFERROR(VLOOKUP(E1817,'Inventaire des produits'!$B$4:$J$1000,5,FALSE),"")</f>
        <v>0</v>
      </c>
      <c r="L1817" s="301">
        <f>IFERROR(VLOOKUP(E1817,'Inventaire des produits'!$B$4:$J$1000,6,FALSE),"")</f>
        <v>8.3375000000000005E-2</v>
      </c>
      <c r="M1817" s="62"/>
    </row>
    <row r="1818" spans="2:13" x14ac:dyDescent="0.3">
      <c r="B1818" s="378" t="s">
        <v>1704</v>
      </c>
      <c r="C1818" s="341"/>
      <c r="D1818" s="338"/>
      <c r="E1818" s="234" t="s">
        <v>404</v>
      </c>
      <c r="F1818" s="274" t="str">
        <f>IFERROR(VLOOKUP(E1818,'Inventaire des produits'!$B$4:$K$1000,2,0),"")</f>
        <v>CVL GOBLET 4OZ BLANC BON APETIT</v>
      </c>
      <c r="G1818" s="54">
        <v>800</v>
      </c>
      <c r="H1818" s="60">
        <v>0.1875</v>
      </c>
      <c r="I1818" s="275">
        <f t="shared" si="76"/>
        <v>150</v>
      </c>
      <c r="J1818" s="95">
        <f t="shared" si="77"/>
        <v>180</v>
      </c>
      <c r="K1818" s="93">
        <f>IFERROR(VLOOKUP(E1818,'Inventaire des produits'!$B$4:$J$1000,5,FALSE),"")</f>
        <v>0</v>
      </c>
      <c r="L1818" s="301">
        <f>IFERROR(VLOOKUP(E1818,'Inventaire des produits'!$B$4:$J$1000,6,FALSE),"")</f>
        <v>8.3375000000000005E-2</v>
      </c>
      <c r="M1818" s="62"/>
    </row>
    <row r="1819" spans="2:13" x14ac:dyDescent="0.3">
      <c r="B1819" s="378" t="s">
        <v>1704</v>
      </c>
      <c r="C1819" s="341"/>
      <c r="D1819" s="338"/>
      <c r="E1819" s="234" t="s">
        <v>795</v>
      </c>
      <c r="F1819" s="274" t="str">
        <f>IFERROR(VLOOKUP(E1819,'Inventaire des produits'!$B$4:$K$1000,2,0),"")</f>
        <v>BARQUETTE SUSHI ST5 216*136*20+CVRCL</v>
      </c>
      <c r="G1819" s="54">
        <v>200</v>
      </c>
      <c r="H1819" s="60">
        <v>1.6666666666666667</v>
      </c>
      <c r="I1819" s="275">
        <f t="shared" si="76"/>
        <v>333.33333333333337</v>
      </c>
      <c r="J1819" s="95">
        <f t="shared" si="77"/>
        <v>400.00000000000006</v>
      </c>
      <c r="K1819" s="93">
        <f>IFERROR(VLOOKUP(E1819,'Inventaire des produits'!$B$4:$J$1000,5,FALSE),"")</f>
        <v>3600</v>
      </c>
      <c r="L1819" s="301">
        <f>IFERROR(VLOOKUP(E1819,'Inventaire des produits'!$B$4:$J$1000,6,FALSE),"")</f>
        <v>1.3166666666</v>
      </c>
      <c r="M1819" s="62"/>
    </row>
    <row r="1820" spans="2:13" x14ac:dyDescent="0.3">
      <c r="B1820" s="378" t="s">
        <v>1704</v>
      </c>
      <c r="C1820" s="341"/>
      <c r="D1820" s="338"/>
      <c r="E1820" s="234" t="s">
        <v>1390</v>
      </c>
      <c r="F1820" s="274" t="str">
        <f>IFERROR(VLOOKUP(E1820,'Inventaire des produits'!$B$4:$K$1000,2,0),"")</f>
        <v>ROULEAU ALUMINIUM EXTRA PACK 200M</v>
      </c>
      <c r="G1820" s="54">
        <v>1</v>
      </c>
      <c r="H1820" s="60">
        <v>75.8333333333333</v>
      </c>
      <c r="I1820" s="275">
        <f t="shared" si="76"/>
        <v>75.8333333333333</v>
      </c>
      <c r="J1820" s="95">
        <f t="shared" si="77"/>
        <v>90.999999999999957</v>
      </c>
      <c r="K1820" s="93">
        <f>IFERROR(VLOOKUP(E1820,'Inventaire des produits'!$B$4:$J$1000,5,FALSE),"")</f>
        <v>3</v>
      </c>
      <c r="L1820" s="301">
        <f>IFERROR(VLOOKUP(E1820,'Inventaire des produits'!$B$4:$J$1000,6,FALSE),"")</f>
        <v>43.804166666666667</v>
      </c>
      <c r="M1820" s="62"/>
    </row>
    <row r="1821" spans="2:13" x14ac:dyDescent="0.3">
      <c r="B1821" s="378" t="s">
        <v>1704</v>
      </c>
      <c r="C1821" s="342"/>
      <c r="D1821" s="339"/>
      <c r="E1821" s="234" t="s">
        <v>726</v>
      </c>
      <c r="F1821" s="274" t="str">
        <f>IFERROR(VLOOKUP(E1821,'Inventaire des produits'!$B$4:$K$1000,2,0),"")</f>
        <v>PALETTE A GLACE BLANC</v>
      </c>
      <c r="G1821" s="54">
        <v>7</v>
      </c>
      <c r="H1821" s="60">
        <v>23.333333333333336</v>
      </c>
      <c r="I1821" s="275">
        <f t="shared" si="76"/>
        <v>163.33333333333334</v>
      </c>
      <c r="J1821" s="95">
        <f t="shared" si="77"/>
        <v>196</v>
      </c>
      <c r="K1821" s="93">
        <f>IFERROR(VLOOKUP(E1821,'Inventaire des produits'!$B$4:$J$1000,5,FALSE),"")</f>
        <v>0</v>
      </c>
      <c r="L1821" s="301">
        <f>IFERROR(VLOOKUP(E1821,'Inventaire des produits'!$B$4:$J$1000,6,FALSE),"")</f>
        <v>16.03</v>
      </c>
      <c r="M1821" s="62"/>
    </row>
    <row r="1822" spans="2:13" x14ac:dyDescent="0.3">
      <c r="B1822" s="378" t="s">
        <v>1704</v>
      </c>
      <c r="C1822" s="340">
        <v>45591</v>
      </c>
      <c r="D1822" s="337" t="s">
        <v>1545</v>
      </c>
      <c r="E1822" s="234" t="s">
        <v>1465</v>
      </c>
      <c r="F1822" s="274" t="str">
        <f>IFERROR(VLOOKUP(E1822,'Inventaire des produits'!$B$4:$K$1000,2,0),"")</f>
        <v>COUTEAU LUXE TRANSPARENTE</v>
      </c>
      <c r="G1822" s="54">
        <v>5</v>
      </c>
      <c r="H1822" s="60">
        <f>28/1.2</f>
        <v>23.333333333333336</v>
      </c>
      <c r="I1822" s="275">
        <f t="shared" si="76"/>
        <v>116.66666666666669</v>
      </c>
      <c r="J1822" s="95">
        <f t="shared" si="77"/>
        <v>140.00000000000003</v>
      </c>
      <c r="K1822" s="93">
        <f>IFERROR(VLOOKUP(E1822,'Inventaire des produits'!$B$4:$J$1000,5,FALSE),"")</f>
        <v>27</v>
      </c>
      <c r="L1822" s="301">
        <f>IFERROR(VLOOKUP(E1822,'Inventaire des produits'!$B$4:$J$1000,6,FALSE),"")</f>
        <v>15</v>
      </c>
      <c r="M1822" s="62">
        <f>SUM(J1822:J1825)</f>
        <v>629.99999999999977</v>
      </c>
    </row>
    <row r="1823" spans="2:13" x14ac:dyDescent="0.3">
      <c r="B1823" s="378" t="s">
        <v>1704</v>
      </c>
      <c r="C1823" s="341"/>
      <c r="D1823" s="338"/>
      <c r="E1823" s="234" t="s">
        <v>1079</v>
      </c>
      <c r="F1823" s="274" t="str">
        <f>IFERROR(VLOOKUP(E1823,'Inventaire des produits'!$B$4:$K$1000,2,0),"")</f>
        <v>FOURCHETTE ECOLUXE TRANSPARENTE</v>
      </c>
      <c r="G1823" s="54">
        <v>5</v>
      </c>
      <c r="H1823" s="60">
        <f>28/1.2</f>
        <v>23.333333333333336</v>
      </c>
      <c r="I1823" s="275">
        <f t="shared" si="76"/>
        <v>116.66666666666669</v>
      </c>
      <c r="J1823" s="95">
        <f t="shared" si="77"/>
        <v>140.00000000000003</v>
      </c>
      <c r="K1823" s="93">
        <f>IFERROR(VLOOKUP(E1823,'Inventaire des produits'!$B$4:$J$1000,5,FALSE),"")</f>
        <v>0</v>
      </c>
      <c r="L1823" s="301">
        <f>IFERROR(VLOOKUP(E1823,'Inventaire des produits'!$B$4:$J$1000,6,FALSE),"")</f>
        <v>14.166665999999999</v>
      </c>
      <c r="M1823" s="62"/>
    </row>
    <row r="1824" spans="2:13" x14ac:dyDescent="0.3">
      <c r="B1824" s="378" t="s">
        <v>1704</v>
      </c>
      <c r="C1824" s="341"/>
      <c r="D1824" s="338"/>
      <c r="E1824" s="234" t="s">
        <v>1390</v>
      </c>
      <c r="F1824" s="274" t="str">
        <f>IFERROR(VLOOKUP(E1824,'Inventaire des produits'!$B$4:$K$1000,2,0),"")</f>
        <v>ROULEAU ALUMINIUM EXTRA PACK 200M</v>
      </c>
      <c r="G1824" s="54">
        <v>2</v>
      </c>
      <c r="H1824" s="60">
        <v>75.8333333333333</v>
      </c>
      <c r="I1824" s="275">
        <f t="shared" si="76"/>
        <v>151.6666666666666</v>
      </c>
      <c r="J1824" s="95">
        <f t="shared" si="77"/>
        <v>181.99999999999991</v>
      </c>
      <c r="K1824" s="93">
        <f>IFERROR(VLOOKUP(E1824,'Inventaire des produits'!$B$4:$J$1000,5,FALSE),"")</f>
        <v>3</v>
      </c>
      <c r="L1824" s="301">
        <f>IFERROR(VLOOKUP(E1824,'Inventaire des produits'!$B$4:$J$1000,6,FALSE),"")</f>
        <v>43.804166666666667</v>
      </c>
      <c r="M1824" s="62"/>
    </row>
    <row r="1825" spans="2:13" x14ac:dyDescent="0.3">
      <c r="B1825" s="378" t="s">
        <v>1704</v>
      </c>
      <c r="C1825" s="342"/>
      <c r="D1825" s="339"/>
      <c r="E1825" s="234" t="s">
        <v>726</v>
      </c>
      <c r="F1825" s="274" t="str">
        <f>IFERROR(VLOOKUP(E1825,'Inventaire des produits'!$B$4:$K$1000,2,0),"")</f>
        <v>PALETTE A GLACE BLANC</v>
      </c>
      <c r="G1825" s="54">
        <v>6</v>
      </c>
      <c r="H1825" s="60">
        <v>23.3333333333333</v>
      </c>
      <c r="I1825" s="275">
        <f t="shared" si="76"/>
        <v>139.9999999999998</v>
      </c>
      <c r="J1825" s="95">
        <f t="shared" si="77"/>
        <v>167.99999999999974</v>
      </c>
      <c r="K1825" s="93">
        <f>IFERROR(VLOOKUP(E1825,'Inventaire des produits'!$B$4:$J$1000,5,FALSE),"")</f>
        <v>0</v>
      </c>
      <c r="L1825" s="301">
        <f>IFERROR(VLOOKUP(E1825,'Inventaire des produits'!$B$4:$J$1000,6,FALSE),"")</f>
        <v>16.03</v>
      </c>
      <c r="M1825" s="62"/>
    </row>
    <row r="1826" spans="2:13" x14ac:dyDescent="0.3">
      <c r="B1826" s="378" t="s">
        <v>1704</v>
      </c>
      <c r="C1826" s="55">
        <v>45593</v>
      </c>
      <c r="D1826" s="54" t="s">
        <v>1555</v>
      </c>
      <c r="E1826" s="234" t="s">
        <v>451</v>
      </c>
      <c r="F1826" s="274" t="str">
        <f>IFERROR(VLOOKUP(E1826,'Inventaire des produits'!$B$4:$K$1000,2,0),"")</f>
        <v>FILM ALIMENTAIRE 45CM 1.5KG</v>
      </c>
      <c r="G1826" s="54">
        <v>17</v>
      </c>
      <c r="H1826" s="60">
        <v>45.49</v>
      </c>
      <c r="I1826" s="275">
        <f t="shared" si="76"/>
        <v>773.33</v>
      </c>
      <c r="J1826" s="95">
        <f t="shared" si="77"/>
        <v>927.99599999999998</v>
      </c>
      <c r="K1826" s="93">
        <f>IFERROR(VLOOKUP(E1826,'Inventaire des produits'!$B$4:$J$1000,5,FALSE),"")</f>
        <v>252</v>
      </c>
      <c r="L1826" s="301">
        <f>IFERROR(VLOOKUP(E1826,'Inventaire des produits'!$B$4:$J$1000,6,FALSE),"")</f>
        <v>29.19</v>
      </c>
      <c r="M1826" s="62">
        <v>928</v>
      </c>
    </row>
    <row r="1827" spans="2:13" x14ac:dyDescent="0.3">
      <c r="B1827" s="378" t="s">
        <v>1704</v>
      </c>
      <c r="C1827" s="55">
        <v>45593</v>
      </c>
      <c r="D1827" s="288" t="s">
        <v>1556</v>
      </c>
      <c r="E1827" s="296" t="s">
        <v>1560</v>
      </c>
      <c r="F1827" s="274" t="str">
        <f>IFERROR(VLOOKUP(E1827,'Inventaire des produits'!$B$4:$K$1000,2,0),"")</f>
        <v/>
      </c>
      <c r="G1827" s="54">
        <v>50</v>
      </c>
      <c r="H1827" s="60">
        <v>33.333333333333336</v>
      </c>
      <c r="I1827" s="275">
        <f t="shared" si="76"/>
        <v>1666.6666666666667</v>
      </c>
      <c r="J1827" s="95">
        <f t="shared" si="77"/>
        <v>2000</v>
      </c>
      <c r="K1827" s="93" t="str">
        <f>IFERROR(VLOOKUP(E1827,'Inventaire des produits'!$B$4:$J$1000,5,FALSE),"")</f>
        <v/>
      </c>
      <c r="L1827" s="301" t="str">
        <f>IFERROR(VLOOKUP(E1827,'Inventaire des produits'!$B$4:$J$1000,6,FALSE),"")</f>
        <v/>
      </c>
      <c r="M1827" s="62"/>
    </row>
    <row r="1828" spans="2:13" x14ac:dyDescent="0.3">
      <c r="B1828" s="378" t="s">
        <v>1704</v>
      </c>
      <c r="C1828" s="340">
        <v>45593</v>
      </c>
      <c r="D1828" s="346" t="s">
        <v>1557</v>
      </c>
      <c r="E1828" s="244" t="s">
        <v>778</v>
      </c>
      <c r="F1828" s="274" t="str">
        <f>IFERROR(VLOOKUP(E1828,'Inventaire des produits'!$B$4:$K$1000,2,0),"")</f>
        <v>POT DE SAUCE EN PLAST TRANSP 20ML</v>
      </c>
      <c r="G1828" s="54">
        <v>4500</v>
      </c>
      <c r="H1828" s="60">
        <v>0.12592500000000001</v>
      </c>
      <c r="I1828" s="275">
        <f t="shared" ref="I1828:I1831" si="78">IF(OR(G1828="",H1828=""),"",G1828*H1828)</f>
        <v>566.66250000000002</v>
      </c>
      <c r="J1828" s="95">
        <f t="shared" ref="J1828:J1831" si="79">IF(OR(I1828=""),"",I1828*1.2)</f>
        <v>679.995</v>
      </c>
      <c r="K1828" s="93">
        <f>IFERROR(VLOOKUP(E1828,'Inventaire des produits'!$B$4:$J$1000,5,FALSE),"")</f>
        <v>0</v>
      </c>
      <c r="L1828" s="301">
        <f>IFERROR(VLOOKUP(E1828,'Inventaire des produits'!$B$4:$J$1000,6,FALSE),"")</f>
        <v>8.3333333300000006E-2</v>
      </c>
      <c r="M1828" s="62">
        <f>SUM(J1828:J1831)</f>
        <v>2599.9949999999999</v>
      </c>
    </row>
    <row r="1829" spans="2:13" x14ac:dyDescent="0.3">
      <c r="B1829" s="378" t="s">
        <v>1704</v>
      </c>
      <c r="C1829" s="341"/>
      <c r="D1829" s="347"/>
      <c r="E1829" s="244" t="s">
        <v>929</v>
      </c>
      <c r="F1829" s="274" t="str">
        <f>IFERROR(VLOOKUP(E1829,'Inventaire des produits'!$B$4:$K$1000,2,0),"")</f>
        <v xml:space="preserve">SERVIETTE DE TABLE </v>
      </c>
      <c r="G1829" s="54">
        <v>220</v>
      </c>
      <c r="H1829" s="60">
        <v>3.75</v>
      </c>
      <c r="I1829" s="275">
        <f t="shared" si="78"/>
        <v>825</v>
      </c>
      <c r="J1829" s="95">
        <f t="shared" si="79"/>
        <v>990</v>
      </c>
      <c r="K1829" s="93">
        <f>IFERROR(VLOOKUP(E1829,'Inventaire des produits'!$B$4:$J$1000,5,FALSE),"")</f>
        <v>0</v>
      </c>
      <c r="L1829" s="301">
        <f>IFERROR(VLOOKUP(E1829,'Inventaire des produits'!$B$4:$J$1000,6,FALSE),"")</f>
        <v>2.9169999999999998</v>
      </c>
      <c r="M1829" s="62"/>
    </row>
    <row r="1830" spans="2:13" x14ac:dyDescent="0.3">
      <c r="B1830" s="378" t="s">
        <v>1704</v>
      </c>
      <c r="C1830" s="341"/>
      <c r="D1830" s="347"/>
      <c r="E1830" s="244" t="s">
        <v>869</v>
      </c>
      <c r="F1830" s="274" t="str">
        <f>IFERROR(VLOOKUP(E1830,'Inventaire des produits'!$B$4:$K$1000,2,0),"")</f>
        <v>PAILLE ENVELOPPEE CODE 100 TRANS</v>
      </c>
      <c r="G1830" s="54">
        <v>13</v>
      </c>
      <c r="H1830" s="60">
        <v>8.3333333333333304</v>
      </c>
      <c r="I1830" s="275">
        <f t="shared" si="78"/>
        <v>108.3333333333333</v>
      </c>
      <c r="J1830" s="95">
        <f t="shared" si="79"/>
        <v>129.99999999999994</v>
      </c>
      <c r="K1830" s="93">
        <f>IFERROR(VLOOKUP(E1830,'Inventaire des produits'!$B$4:$J$1000,5,FALSE),"")</f>
        <v>898</v>
      </c>
      <c r="L1830" s="301">
        <f>IFERROR(VLOOKUP(E1830,'Inventaire des produits'!$B$4:$J$1000,6,FALSE),"")</f>
        <v>3.9166666659999998</v>
      </c>
      <c r="M1830" s="62"/>
    </row>
    <row r="1831" spans="2:13" x14ac:dyDescent="0.3">
      <c r="B1831" s="378" t="s">
        <v>1704</v>
      </c>
      <c r="C1831" s="342"/>
      <c r="D1831" s="348"/>
      <c r="E1831" s="244" t="s">
        <v>979</v>
      </c>
      <c r="F1831" s="274" t="str">
        <f>IFERROR(VLOOKUP(E1831,'Inventaire des produits'!$B$4:$K$1000,2,0),"")</f>
        <v>ROULEAU ALUMINIUM 200</v>
      </c>
      <c r="G1831" s="54">
        <v>10</v>
      </c>
      <c r="H1831" s="60">
        <v>66.666666666666671</v>
      </c>
      <c r="I1831" s="275">
        <f t="shared" si="78"/>
        <v>666.66666666666674</v>
      </c>
      <c r="J1831" s="95">
        <f t="shared" si="79"/>
        <v>800.00000000000011</v>
      </c>
      <c r="K1831" s="93">
        <f>IFERROR(VLOOKUP(E1831,'Inventaire des produits'!$B$4:$J$1000,5,FALSE),"")</f>
        <v>44</v>
      </c>
      <c r="L1831" s="301">
        <f>IFERROR(VLOOKUP(E1831,'Inventaire des produits'!$B$4:$J$1000,6,FALSE),"")</f>
        <v>48.23</v>
      </c>
      <c r="M1831" s="62"/>
    </row>
    <row r="1832" spans="2:13" x14ac:dyDescent="0.3">
      <c r="B1832" s="378" t="s">
        <v>1704</v>
      </c>
      <c r="C1832" s="349">
        <v>45593</v>
      </c>
      <c r="D1832" s="346" t="s">
        <v>1558</v>
      </c>
      <c r="E1832" s="244" t="s">
        <v>929</v>
      </c>
      <c r="F1832" s="274" t="str">
        <f>IFERROR(VLOOKUP(E1832,'Inventaire des produits'!$B$4:$K$1000,2,0),"")</f>
        <v xml:space="preserve">SERVIETTE DE TABLE </v>
      </c>
      <c r="G1832" s="54">
        <v>160</v>
      </c>
      <c r="H1832" s="60">
        <v>3.75</v>
      </c>
      <c r="I1832" s="275">
        <f t="shared" ref="I1832:I1835" si="80">IF(OR(G1832="",H1832=""),"",G1832*H1832)</f>
        <v>600</v>
      </c>
      <c r="J1832" s="95">
        <f t="shared" ref="J1832:J1835" si="81">IF(OR(I1832=""),"",I1832*1.2)</f>
        <v>720</v>
      </c>
      <c r="K1832" s="93">
        <f>IFERROR(VLOOKUP(E1832,'Inventaire des produits'!$B$4:$J$1000,5,FALSE),"")</f>
        <v>0</v>
      </c>
      <c r="L1832" s="301">
        <f>IFERROR(VLOOKUP(E1832,'Inventaire des produits'!$B$4:$J$1000,6,FALSE),"")</f>
        <v>2.9169999999999998</v>
      </c>
      <c r="M1832" s="62">
        <f>SUM(J1832:J1835)</f>
        <v>1930</v>
      </c>
    </row>
    <row r="1833" spans="2:13" x14ac:dyDescent="0.3">
      <c r="B1833" s="378" t="s">
        <v>1704</v>
      </c>
      <c r="C1833" s="366"/>
      <c r="D1833" s="347"/>
      <c r="E1833" s="244" t="s">
        <v>778</v>
      </c>
      <c r="F1833" s="274" t="str">
        <f>IFERROR(VLOOKUP(E1833,'Inventaire des produits'!$B$4:$K$1000,2,0),"")</f>
        <v>POT DE SAUCE EN PLAST TRANSP 20ML</v>
      </c>
      <c r="G1833" s="54">
        <f>600*7</f>
        <v>4200</v>
      </c>
      <c r="H1833" s="60">
        <v>0.125</v>
      </c>
      <c r="I1833" s="275">
        <f t="shared" si="80"/>
        <v>525</v>
      </c>
      <c r="J1833" s="95">
        <f t="shared" si="81"/>
        <v>630</v>
      </c>
      <c r="K1833" s="93">
        <f>IFERROR(VLOOKUP(E1833,'Inventaire des produits'!$B$4:$J$1000,5,FALSE),"")</f>
        <v>0</v>
      </c>
      <c r="L1833" s="301">
        <f>IFERROR(VLOOKUP(E1833,'Inventaire des produits'!$B$4:$J$1000,6,FALSE),"")</f>
        <v>8.3333333300000006E-2</v>
      </c>
      <c r="M1833" s="62"/>
    </row>
    <row r="1834" spans="2:13" x14ac:dyDescent="0.3">
      <c r="B1834" s="378" t="s">
        <v>1704</v>
      </c>
      <c r="C1834" s="366"/>
      <c r="D1834" s="347"/>
      <c r="E1834" s="244" t="s">
        <v>979</v>
      </c>
      <c r="F1834" s="274" t="str">
        <f>IFERROR(VLOOKUP(E1834,'Inventaire des produits'!$B$4:$K$1000,2,0),"")</f>
        <v>ROULEAU ALUMINIUM 200</v>
      </c>
      <c r="G1834" s="54">
        <v>6</v>
      </c>
      <c r="H1834" s="60">
        <v>66.666666666666671</v>
      </c>
      <c r="I1834" s="275">
        <f t="shared" si="80"/>
        <v>400</v>
      </c>
      <c r="J1834" s="95">
        <f t="shared" si="81"/>
        <v>480</v>
      </c>
      <c r="K1834" s="93">
        <f>IFERROR(VLOOKUP(E1834,'Inventaire des produits'!$B$4:$J$1000,5,FALSE),"")</f>
        <v>44</v>
      </c>
      <c r="L1834" s="301">
        <f>IFERROR(VLOOKUP(E1834,'Inventaire des produits'!$B$4:$J$1000,6,FALSE),"")</f>
        <v>48.23</v>
      </c>
      <c r="M1834" s="62"/>
    </row>
    <row r="1835" spans="2:13" x14ac:dyDescent="0.3">
      <c r="B1835" s="378" t="s">
        <v>1704</v>
      </c>
      <c r="C1835" s="350"/>
      <c r="D1835" s="348"/>
      <c r="E1835" s="244" t="s">
        <v>869</v>
      </c>
      <c r="F1835" s="274" t="str">
        <f>IFERROR(VLOOKUP(E1835,'Inventaire des produits'!$B$4:$K$1000,2,0),"")</f>
        <v>PAILLE ENVELOPPEE CODE 100 TRANS</v>
      </c>
      <c r="G1835" s="54">
        <v>10</v>
      </c>
      <c r="H1835" s="60">
        <v>8.3333333333333304</v>
      </c>
      <c r="I1835" s="275">
        <f t="shared" si="80"/>
        <v>83.3333333333333</v>
      </c>
      <c r="J1835" s="95">
        <f t="shared" si="81"/>
        <v>99.999999999999957</v>
      </c>
      <c r="K1835" s="93">
        <f>IFERROR(VLOOKUP(E1835,'Inventaire des produits'!$B$4:$J$1000,5,FALSE),"")</f>
        <v>898</v>
      </c>
      <c r="L1835" s="301">
        <f>IFERROR(VLOOKUP(E1835,'Inventaire des produits'!$B$4:$J$1000,6,FALSE),"")</f>
        <v>3.9166666659999998</v>
      </c>
      <c r="M1835" s="62"/>
    </row>
    <row r="1836" spans="2:13" x14ac:dyDescent="0.3">
      <c r="B1836" s="378" t="s">
        <v>1704</v>
      </c>
      <c r="C1836" s="340">
        <v>45593</v>
      </c>
      <c r="D1836" s="337" t="s">
        <v>1559</v>
      </c>
      <c r="E1836" s="244" t="s">
        <v>875</v>
      </c>
      <c r="F1836" s="274" t="str">
        <f>IFERROR(VLOOKUP(E1836,'Inventaire des produits'!$B$4:$K$1000,2,0),"")</f>
        <v>TRIPOD PIZZA EN PLASTIQUE</v>
      </c>
      <c r="G1836" s="54">
        <v>2000</v>
      </c>
      <c r="H1836" s="60">
        <v>0.5</v>
      </c>
      <c r="I1836" s="275">
        <f t="shared" si="76"/>
        <v>1000</v>
      </c>
      <c r="J1836" s="95">
        <f t="shared" si="77"/>
        <v>1200</v>
      </c>
      <c r="K1836" s="93">
        <f>IFERROR(VLOOKUP(E1836,'Inventaire des produits'!$B$4:$J$1000,5,FALSE),"")</f>
        <v>0</v>
      </c>
      <c r="L1836" s="301">
        <f>IFERROR(VLOOKUP(E1836,'Inventaire des produits'!$B$4:$J$1000,6,FALSE),"")</f>
        <v>0.32</v>
      </c>
      <c r="M1836" s="62">
        <f>SUM(J1836:J1840)</f>
        <v>9920.0012800000004</v>
      </c>
    </row>
    <row r="1837" spans="2:13" x14ac:dyDescent="0.3">
      <c r="B1837" s="378" t="s">
        <v>1704</v>
      </c>
      <c r="C1837" s="341"/>
      <c r="D1837" s="338"/>
      <c r="E1837" s="234" t="s">
        <v>1526</v>
      </c>
      <c r="F1837" s="274" t="str">
        <f>IFERROR(VLOOKUP(E1837,'Inventaire des produits'!$B$4:$K$1000,2,0),"")</f>
        <v>BOITE PIZZA 20</v>
      </c>
      <c r="G1837" s="54">
        <v>74</v>
      </c>
      <c r="H1837" s="60">
        <v>37.528100000000002</v>
      </c>
      <c r="I1837" s="275">
        <f t="shared" si="76"/>
        <v>2777.0794000000001</v>
      </c>
      <c r="J1837" s="95">
        <f t="shared" si="77"/>
        <v>3332.4952800000001</v>
      </c>
      <c r="K1837" s="93">
        <f>IFERROR(VLOOKUP(E1837,'Inventaire des produits'!$B$4:$J$1000,5,FALSE),"")</f>
        <v>1</v>
      </c>
      <c r="L1837" s="301">
        <f>IFERROR(VLOOKUP(E1837,'Inventaire des produits'!$B$4:$J$1000,6,FALSE),"")</f>
        <v>31.67</v>
      </c>
      <c r="M1837" s="62"/>
    </row>
    <row r="1838" spans="2:13" x14ac:dyDescent="0.3">
      <c r="B1838" s="378" t="s">
        <v>1704</v>
      </c>
      <c r="C1838" s="341"/>
      <c r="D1838" s="338"/>
      <c r="E1838" s="234" t="s">
        <v>1335</v>
      </c>
      <c r="F1838" s="274" t="str">
        <f>IFERROR(VLOOKUP(E1838,'Inventaire des produits'!$B$4:$K$1000,2,0),"")</f>
        <v>BOITE PIZZA 26</v>
      </c>
      <c r="G1838" s="54">
        <v>20</v>
      </c>
      <c r="H1838" s="60">
        <v>54.166666666666671</v>
      </c>
      <c r="I1838" s="275">
        <f t="shared" si="76"/>
        <v>1083.3333333333335</v>
      </c>
      <c r="J1838" s="95">
        <f t="shared" si="77"/>
        <v>1300.0000000000002</v>
      </c>
      <c r="K1838" s="93">
        <f>IFERROR(VLOOKUP(E1838,'Inventaire des produits'!$B$4:$J$1000,5,FALSE),"")</f>
        <v>0</v>
      </c>
      <c r="L1838" s="301">
        <f>IFERROR(VLOOKUP(E1838,'Inventaire des produits'!$B$4:$J$1000,6,FALSE),"")</f>
        <v>50</v>
      </c>
      <c r="M1838" s="62"/>
    </row>
    <row r="1839" spans="2:13" x14ac:dyDescent="0.3">
      <c r="B1839" s="378" t="s">
        <v>1704</v>
      </c>
      <c r="C1839" s="341"/>
      <c r="D1839" s="338"/>
      <c r="E1839" s="234" t="s">
        <v>778</v>
      </c>
      <c r="F1839" s="274" t="str">
        <f>IFERROR(VLOOKUP(E1839,'Inventaire des produits'!$B$4:$K$1000,2,0),"")</f>
        <v>POT DE SAUCE EN PLAST TRANSP 20ML</v>
      </c>
      <c r="G1839" s="54">
        <v>7000</v>
      </c>
      <c r="H1839" s="60">
        <v>0.1</v>
      </c>
      <c r="I1839" s="275">
        <f t="shared" si="76"/>
        <v>700</v>
      </c>
      <c r="J1839" s="95">
        <f t="shared" si="77"/>
        <v>840</v>
      </c>
      <c r="K1839" s="93">
        <f>IFERROR(VLOOKUP(E1839,'Inventaire des produits'!$B$4:$J$1000,5,FALSE),"")</f>
        <v>0</v>
      </c>
      <c r="L1839" s="301">
        <f>IFERROR(VLOOKUP(E1839,'Inventaire des produits'!$B$4:$J$1000,6,FALSE),"")</f>
        <v>8.3333333300000006E-2</v>
      </c>
      <c r="M1839" s="62"/>
    </row>
    <row r="1840" spans="2:13" x14ac:dyDescent="0.3">
      <c r="B1840" s="378" t="s">
        <v>1704</v>
      </c>
      <c r="C1840" s="342"/>
      <c r="D1840" s="339"/>
      <c r="E1840" s="234" t="s">
        <v>1190</v>
      </c>
      <c r="F1840" s="274" t="str">
        <f>IFERROR(VLOOKUP(E1840,'Inventaire des produits'!$B$4:$K$1000,2,0),"")</f>
        <v>GOBLET 12OZ EN PLAST TRANS SMART AVEC CVL PLAT</v>
      </c>
      <c r="G1840" s="54">
        <v>4500</v>
      </c>
      <c r="H1840" s="60">
        <v>0.60138999999999998</v>
      </c>
      <c r="I1840" s="275">
        <f t="shared" si="76"/>
        <v>2706.2550000000001</v>
      </c>
      <c r="J1840" s="95">
        <f t="shared" si="77"/>
        <v>3247.5059999999999</v>
      </c>
      <c r="K1840" s="93">
        <f>IFERROR(VLOOKUP(E1840,'Inventaire des produits'!$B$4:$J$1000,5,FALSE),"")</f>
        <v>0</v>
      </c>
      <c r="L1840" s="301">
        <f>IFERROR(VLOOKUP(E1840,'Inventaire des produits'!$B$4:$J$1000,6,FALSE),"")</f>
        <v>0.55555833333333338</v>
      </c>
      <c r="M1840" s="62"/>
    </row>
    <row r="1841" spans="2:13" ht="15.75" customHeight="1" x14ac:dyDescent="0.3">
      <c r="B1841" s="378" t="s">
        <v>1704</v>
      </c>
      <c r="C1841" s="349">
        <v>45594</v>
      </c>
      <c r="D1841" s="346" t="s">
        <v>1561</v>
      </c>
      <c r="E1841" s="234" t="s">
        <v>929</v>
      </c>
      <c r="F1841" s="274" t="str">
        <f>IFERROR(VLOOKUP(E1841,'Inventaire des produits'!$B$4:$K$1000,2,0),"")</f>
        <v xml:space="preserve">SERVIETTE DE TABLE </v>
      </c>
      <c r="G1841" s="54">
        <v>500</v>
      </c>
      <c r="H1841" s="60">
        <v>3.291666666666667</v>
      </c>
      <c r="I1841" s="275">
        <f t="shared" ref="I1841:I1853" si="82">IF(OR(G1841="",H1841=""),"",G1841*H1841)</f>
        <v>1645.8333333333335</v>
      </c>
      <c r="J1841" s="95">
        <f t="shared" ref="J1841:J1853" si="83">IF(OR(I1841=""),"",I1841*1.2)</f>
        <v>1975</v>
      </c>
      <c r="K1841" s="93">
        <f>IFERROR(VLOOKUP(E1841,'Inventaire des produits'!$B$4:$J$1000,5,FALSE),"")</f>
        <v>0</v>
      </c>
      <c r="L1841" s="301">
        <f>IFERROR(VLOOKUP(E1841,'Inventaire des produits'!$B$4:$J$1000,6,FALSE),"")</f>
        <v>2.9169999999999998</v>
      </c>
      <c r="M1841" s="62">
        <f>SUM(J1841:J1853)</f>
        <v>25650.004000000001</v>
      </c>
    </row>
    <row r="1842" spans="2:13" ht="15.75" customHeight="1" x14ac:dyDescent="0.3">
      <c r="B1842" s="378" t="s">
        <v>1704</v>
      </c>
      <c r="C1842" s="366"/>
      <c r="D1842" s="347"/>
      <c r="E1842" s="234" t="s">
        <v>779</v>
      </c>
      <c r="F1842" s="274" t="str">
        <f>IFERROR(VLOOKUP(E1842,'Inventaire des produits'!$B$4:$K$1000,2,0),"")</f>
        <v>BARQUETTE ALUMINIUM 83420</v>
      </c>
      <c r="G1842" s="54">
        <v>4000</v>
      </c>
      <c r="H1842" s="60">
        <v>0.35833333333333334</v>
      </c>
      <c r="I1842" s="275">
        <f t="shared" si="82"/>
        <v>1433.3333333333333</v>
      </c>
      <c r="J1842" s="95">
        <f t="shared" si="83"/>
        <v>1719.9999999999998</v>
      </c>
      <c r="K1842" s="93">
        <f>IFERROR(VLOOKUP(E1842,'Inventaire des produits'!$B$4:$J$1000,5,FALSE),"")</f>
        <v>0</v>
      </c>
      <c r="L1842" s="301">
        <f>IFERROR(VLOOKUP(E1842,'Inventaire des produits'!$B$4:$J$1000,6,FALSE),"")</f>
        <v>0.30833333330000001</v>
      </c>
      <c r="M1842" s="62"/>
    </row>
    <row r="1843" spans="2:13" ht="15.75" customHeight="1" x14ac:dyDescent="0.3">
      <c r="B1843" s="378" t="s">
        <v>1704</v>
      </c>
      <c r="C1843" s="366"/>
      <c r="D1843" s="347"/>
      <c r="E1843" s="234" t="s">
        <v>1303</v>
      </c>
      <c r="F1843" s="274" t="str">
        <f>IFERROR(VLOOKUP(E1843,'Inventaire des produits'!$B$4:$K$1000,2,0),"")</f>
        <v>BARQUETTE ALUMINIUM 83670</v>
      </c>
      <c r="G1843" s="54">
        <v>2000</v>
      </c>
      <c r="H1843" s="60">
        <v>0.54166666666666674</v>
      </c>
      <c r="I1843" s="275">
        <f t="shared" si="82"/>
        <v>1083.3333333333335</v>
      </c>
      <c r="J1843" s="95">
        <f t="shared" si="83"/>
        <v>1300.0000000000002</v>
      </c>
      <c r="K1843" s="93">
        <f>IFERROR(VLOOKUP(E1843,'Inventaire des produits'!$B$4:$J$1000,5,FALSE),"")</f>
        <v>200</v>
      </c>
      <c r="L1843" s="301">
        <f>IFERROR(VLOOKUP(E1843,'Inventaire des produits'!$B$4:$J$1000,6,FALSE),"")</f>
        <v>0.51666666666666672</v>
      </c>
      <c r="M1843" s="62"/>
    </row>
    <row r="1844" spans="2:13" ht="15.75" customHeight="1" x14ac:dyDescent="0.3">
      <c r="B1844" s="378" t="s">
        <v>1704</v>
      </c>
      <c r="C1844" s="366"/>
      <c r="D1844" s="347"/>
      <c r="E1844" s="234" t="s">
        <v>1202</v>
      </c>
      <c r="F1844" s="274" t="str">
        <f>IFERROR(VLOOKUP(E1844,'Inventaire des produits'!$B$4:$K$1000,2,0),"")</f>
        <v>POT DE SAUCE 1OZ AVEC CVL</v>
      </c>
      <c r="G1844" s="54">
        <v>3000</v>
      </c>
      <c r="H1844" s="60">
        <v>0.15833333333333335</v>
      </c>
      <c r="I1844" s="275">
        <f t="shared" si="82"/>
        <v>475.00000000000006</v>
      </c>
      <c r="J1844" s="95">
        <f t="shared" si="83"/>
        <v>570</v>
      </c>
      <c r="K1844" s="93">
        <f>IFERROR(VLOOKUP(E1844,'Inventaire des produits'!$B$4:$J$1000,5,FALSE),"")</f>
        <v>4500</v>
      </c>
      <c r="L1844" s="301">
        <f>IFERROR(VLOOKUP(E1844,'Inventaire des produits'!$B$4:$J$1000,6,FALSE),"")</f>
        <v>0.14166666666666669</v>
      </c>
      <c r="M1844" s="62"/>
    </row>
    <row r="1845" spans="2:13" ht="15.75" customHeight="1" x14ac:dyDescent="0.3">
      <c r="B1845" s="378" t="s">
        <v>1704</v>
      </c>
      <c r="C1845" s="366"/>
      <c r="D1845" s="347"/>
      <c r="E1845" s="234" t="s">
        <v>1269</v>
      </c>
      <c r="F1845" s="274" t="str">
        <f>IFERROR(VLOOKUP(E1845,'Inventaire des produits'!$B$4:$K$1000,2,0),"")</f>
        <v>BARQUETTE ALUMINIUM 83890</v>
      </c>
      <c r="G1845" s="54">
        <v>2000</v>
      </c>
      <c r="H1845" s="60">
        <v>0.56666666666666676</v>
      </c>
      <c r="I1845" s="275">
        <f t="shared" si="82"/>
        <v>1133.3333333333335</v>
      </c>
      <c r="J1845" s="95">
        <f t="shared" si="83"/>
        <v>1360.0000000000002</v>
      </c>
      <c r="K1845" s="93">
        <f>IFERROR(VLOOKUP(E1845,'Inventaire des produits'!$B$4:$J$1000,5,FALSE),"")</f>
        <v>7000</v>
      </c>
      <c r="L1845" s="301">
        <f>IFERROR(VLOOKUP(E1845,'Inventaire des produits'!$B$4:$J$1000,6,FALSE),"")</f>
        <v>0.52</v>
      </c>
      <c r="M1845" s="62"/>
    </row>
    <row r="1846" spans="2:13" ht="15.75" customHeight="1" x14ac:dyDescent="0.3">
      <c r="B1846" s="378" t="s">
        <v>1704</v>
      </c>
      <c r="C1846" s="366"/>
      <c r="D1846" s="347"/>
      <c r="E1846" s="234" t="s">
        <v>681</v>
      </c>
      <c r="F1846" s="274" t="str">
        <f>IFERROR(VLOOKUP(E1846,'Inventaire des produits'!$B$4:$K$1000,2,0),"")</f>
        <v>BARQUETTE TRAITEUR 500CC MICRON-ONDABLE TRANS</v>
      </c>
      <c r="G1846" s="54">
        <v>300</v>
      </c>
      <c r="H1846" s="60">
        <v>1.2083333333333333</v>
      </c>
      <c r="I1846" s="275">
        <f t="shared" si="82"/>
        <v>362.5</v>
      </c>
      <c r="J1846" s="95">
        <f t="shared" si="83"/>
        <v>435</v>
      </c>
      <c r="K1846" s="93">
        <f>IFERROR(VLOOKUP(E1846,'Inventaire des produits'!$B$4:$J$1000,5,FALSE),"")</f>
        <v>300</v>
      </c>
      <c r="L1846" s="301">
        <f>IFERROR(VLOOKUP(E1846,'Inventaire des produits'!$B$4:$J$1000,6,FALSE),"")</f>
        <v>1.0833333332999999</v>
      </c>
      <c r="M1846" s="62"/>
    </row>
    <row r="1847" spans="2:13" ht="15.75" customHeight="1" x14ac:dyDescent="0.3">
      <c r="B1847" s="378" t="s">
        <v>1704</v>
      </c>
      <c r="C1847" s="366"/>
      <c r="D1847" s="347"/>
      <c r="E1847" s="234" t="s">
        <v>1400</v>
      </c>
      <c r="F1847" s="274" t="str">
        <f>IFERROR(VLOOKUP(E1847,'Inventaire des produits'!$B$4:$K$1000,2,0),"")</f>
        <v>BARQUETTE TRAITEUR 500CC MICRON-ONDABLE TRANS</v>
      </c>
      <c r="G1847" s="54">
        <v>600</v>
      </c>
      <c r="H1847" s="60">
        <v>1.2083333333333333</v>
      </c>
      <c r="I1847" s="275">
        <f t="shared" si="82"/>
        <v>725</v>
      </c>
      <c r="J1847" s="95">
        <f t="shared" si="83"/>
        <v>870</v>
      </c>
      <c r="K1847" s="93">
        <f>IFERROR(VLOOKUP(E1847,'Inventaire des produits'!$B$4:$J$1000,5,FALSE),"")</f>
        <v>0</v>
      </c>
      <c r="L1847" s="301">
        <f>IFERROR(VLOOKUP(E1847,'Inventaire des produits'!$B$4:$J$1000,6,FALSE),"")</f>
        <v>1</v>
      </c>
      <c r="M1847" s="62"/>
    </row>
    <row r="1848" spans="2:13" ht="15.75" customHeight="1" x14ac:dyDescent="0.3">
      <c r="B1848" s="378" t="s">
        <v>1704</v>
      </c>
      <c r="C1848" s="366"/>
      <c r="D1848" s="347"/>
      <c r="E1848" s="234" t="s">
        <v>837</v>
      </c>
      <c r="F1848" s="274" t="str">
        <f>IFERROR(VLOOKUP(E1848,'Inventaire des produits'!$B$4:$K$1000,2,0),"")</f>
        <v>ESSUIE MAIN 1KG LISSE</v>
      </c>
      <c r="G1848" s="54">
        <v>30</v>
      </c>
      <c r="H1848" s="60">
        <v>25</v>
      </c>
      <c r="I1848" s="275">
        <f t="shared" si="82"/>
        <v>750</v>
      </c>
      <c r="J1848" s="95">
        <f t="shared" si="83"/>
        <v>900</v>
      </c>
      <c r="K1848" s="93">
        <f>IFERROR(VLOOKUP(E1848,'Inventaire des produits'!$B$4:$J$1000,5,FALSE),"")</f>
        <v>7</v>
      </c>
      <c r="L1848" s="301">
        <f>IFERROR(VLOOKUP(E1848,'Inventaire des produits'!$B$4:$J$1000,6,FALSE),"")</f>
        <v>21.25</v>
      </c>
      <c r="M1848" s="62"/>
    </row>
    <row r="1849" spans="2:13" ht="15.75" customHeight="1" x14ac:dyDescent="0.3">
      <c r="B1849" s="378" t="s">
        <v>1704</v>
      </c>
      <c r="C1849" s="366"/>
      <c r="D1849" s="347"/>
      <c r="E1849" s="234" t="s">
        <v>464</v>
      </c>
      <c r="F1849" s="274" t="str">
        <f>IFERROR(VLOOKUP(E1849,'Inventaire des produits'!$B$4:$K$1000,2,0),"")</f>
        <v>PAPIER ZIGZAG</v>
      </c>
      <c r="G1849" s="54">
        <v>60</v>
      </c>
      <c r="H1849" s="60">
        <v>8.3333333333333339</v>
      </c>
      <c r="I1849" s="275">
        <f t="shared" si="82"/>
        <v>500.00000000000006</v>
      </c>
      <c r="J1849" s="95">
        <f t="shared" si="83"/>
        <v>600</v>
      </c>
      <c r="K1849" s="93">
        <f>IFERROR(VLOOKUP(E1849,'Inventaire des produits'!$B$4:$J$1000,5,FALSE),"")</f>
        <v>120</v>
      </c>
      <c r="L1849" s="301">
        <f>IFERROR(VLOOKUP(E1849,'Inventaire des produits'!$B$4:$J$1000,6,FALSE),"")</f>
        <v>7.5</v>
      </c>
      <c r="M1849" s="62"/>
    </row>
    <row r="1850" spans="2:13" ht="15.75" customHeight="1" x14ac:dyDescent="0.3">
      <c r="B1850" s="378" t="s">
        <v>1704</v>
      </c>
      <c r="C1850" s="366"/>
      <c r="D1850" s="347"/>
      <c r="E1850" s="234" t="s">
        <v>1222</v>
      </c>
      <c r="F1850" s="274" t="str">
        <f>IFERROR(VLOOKUP(E1850,'Inventaire des produits'!$B$4:$K$1000,2,0),"")</f>
        <v>POT DE SAUCE 1OZ PROCLEAN</v>
      </c>
      <c r="G1850" s="54">
        <v>50000</v>
      </c>
      <c r="H1850" s="60">
        <v>0.1332334</v>
      </c>
      <c r="I1850" s="275">
        <f t="shared" si="82"/>
        <v>6661.67</v>
      </c>
      <c r="J1850" s="95">
        <f t="shared" si="83"/>
        <v>7994.0039999999999</v>
      </c>
      <c r="K1850" s="93">
        <f>IFERROR(VLOOKUP(E1850,'Inventaire des produits'!$B$4:$J$1000,5,FALSE),"")</f>
        <v>557100</v>
      </c>
      <c r="L1850" s="301">
        <f>IFERROR(VLOOKUP(E1850,'Inventaire des produits'!$B$4:$J$1000,6,FALSE),"")</f>
        <v>0.1167</v>
      </c>
      <c r="M1850" s="62"/>
    </row>
    <row r="1851" spans="2:13" x14ac:dyDescent="0.3">
      <c r="B1851" s="378" t="s">
        <v>1704</v>
      </c>
      <c r="C1851" s="366"/>
      <c r="D1851" s="347"/>
      <c r="E1851" s="234" t="s">
        <v>994</v>
      </c>
      <c r="F1851" s="274" t="str">
        <f>IFERROR(VLOOKUP(E1851,'Inventaire des produits'!$B$4:$K$1000,2,0),"")</f>
        <v>ROULEAU ALUMINIUM EXTRA PACK 200M</v>
      </c>
      <c r="G1851" s="54">
        <v>54</v>
      </c>
      <c r="H1851" s="60">
        <v>62.5</v>
      </c>
      <c r="I1851" s="275">
        <f t="shared" si="82"/>
        <v>3375</v>
      </c>
      <c r="J1851" s="95">
        <f t="shared" si="83"/>
        <v>4050</v>
      </c>
      <c r="K1851" s="93">
        <f>IFERROR(VLOOKUP(E1851,'Inventaire des produits'!$B$4:$J$1000,5,FALSE),"")</f>
        <v>0</v>
      </c>
      <c r="L1851" s="301">
        <f>IFERROR(VLOOKUP(E1851,'Inventaire des produits'!$B$4:$J$1000,6,FALSE),"")</f>
        <v>47.5</v>
      </c>
      <c r="M1851" s="62"/>
    </row>
    <row r="1852" spans="2:13" x14ac:dyDescent="0.3">
      <c r="B1852" s="378" t="s">
        <v>1704</v>
      </c>
      <c r="C1852" s="366"/>
      <c r="D1852" s="347"/>
      <c r="E1852" s="234" t="s">
        <v>1390</v>
      </c>
      <c r="F1852" s="274" t="str">
        <f>IFERROR(VLOOKUP(E1852,'Inventaire des produits'!$B$4:$K$1000,2,0),"")</f>
        <v>ROULEAU ALUMINIUM EXTRA PACK 200M</v>
      </c>
      <c r="G1852" s="54">
        <v>20</v>
      </c>
      <c r="H1852" s="60">
        <v>62.5</v>
      </c>
      <c r="I1852" s="275">
        <f t="shared" si="82"/>
        <v>1250</v>
      </c>
      <c r="J1852" s="95">
        <f t="shared" si="83"/>
        <v>1500</v>
      </c>
      <c r="K1852" s="93">
        <f>IFERROR(VLOOKUP(E1852,'Inventaire des produits'!$B$4:$J$1000,5,FALSE),"")</f>
        <v>3</v>
      </c>
      <c r="L1852" s="301">
        <f>IFERROR(VLOOKUP(E1852,'Inventaire des produits'!$B$4:$J$1000,6,FALSE),"")</f>
        <v>43.804166666666667</v>
      </c>
      <c r="M1852" s="62"/>
    </row>
    <row r="1853" spans="2:13" x14ac:dyDescent="0.3">
      <c r="B1853" s="378" t="s">
        <v>1704</v>
      </c>
      <c r="C1853" s="350"/>
      <c r="D1853" s="348"/>
      <c r="E1853" s="234" t="s">
        <v>666</v>
      </c>
      <c r="F1853" s="274" t="str">
        <f>IFERROR(VLOOKUP(E1853,'Inventaire des produits'!$B$4:$K$1000,2,0),"")</f>
        <v>GANT VINYL EXTRA PREMIUM GLOVE MEDIUM</v>
      </c>
      <c r="G1853" s="54">
        <v>72</v>
      </c>
      <c r="H1853" s="60">
        <v>27.5</v>
      </c>
      <c r="I1853" s="275">
        <f t="shared" si="82"/>
        <v>1980</v>
      </c>
      <c r="J1853" s="95">
        <f t="shared" si="83"/>
        <v>2376</v>
      </c>
      <c r="K1853" s="93">
        <f>IFERROR(VLOOKUP(E1853,'Inventaire des produits'!$B$4:$J$1000,5,FALSE),"")</f>
        <v>0</v>
      </c>
      <c r="L1853" s="301">
        <f>IFERROR(VLOOKUP(E1853,'Inventaire des produits'!$B$4:$J$1000,6,FALSE),"")</f>
        <v>20</v>
      </c>
      <c r="M1853" s="62"/>
    </row>
    <row r="1854" spans="2:13" x14ac:dyDescent="0.3">
      <c r="B1854" s="378" t="s">
        <v>1704</v>
      </c>
      <c r="C1854" s="340">
        <v>45594</v>
      </c>
      <c r="D1854" s="337" t="s">
        <v>1562</v>
      </c>
      <c r="E1854" s="234" t="s">
        <v>583</v>
      </c>
      <c r="F1854" s="274" t="str">
        <f>IFERROR(VLOOKUP(E1854,'Inventaire des produits'!$B$4:$K$1000,2,0),"")</f>
        <v>GANT VINYL EXTRA PREMIUM GLOVE MEDIUM</v>
      </c>
      <c r="G1854" s="54">
        <v>11</v>
      </c>
      <c r="H1854" s="60">
        <v>33.313000000000002</v>
      </c>
      <c r="I1854" s="275">
        <f t="shared" si="76"/>
        <v>366.44300000000004</v>
      </c>
      <c r="J1854" s="95">
        <f t="shared" si="77"/>
        <v>439.73160000000001</v>
      </c>
      <c r="K1854" s="93">
        <f>IFERROR(VLOOKUP(E1854,'Inventaire des produits'!$B$4:$J$1000,5,FALSE),"")</f>
        <v>0</v>
      </c>
      <c r="L1854" s="301">
        <f>IFERROR(VLOOKUP(E1854,'Inventaire des produits'!$B$4:$J$1000,6,FALSE),"")</f>
        <v>19.166666666699999</v>
      </c>
      <c r="M1854" s="62">
        <f>SUM(J1854:J1859)</f>
        <v>4445.9975999999997</v>
      </c>
    </row>
    <row r="1855" spans="2:13" x14ac:dyDescent="0.3">
      <c r="B1855" s="378" t="s">
        <v>1704</v>
      </c>
      <c r="C1855" s="341"/>
      <c r="D1855" s="338"/>
      <c r="E1855" s="234" t="s">
        <v>1210</v>
      </c>
      <c r="F1855" s="274" t="str">
        <f>IFERROR(VLOOKUP(E1855,'Inventaire des produits'!$B$4:$K$1000,2,0),"")</f>
        <v>BOL SALADE ET CVL KRAFT 750CC CARTON 400PCS</v>
      </c>
      <c r="G1855" s="54">
        <v>350</v>
      </c>
      <c r="H1855" s="60">
        <v>1.5489999999999999</v>
      </c>
      <c r="I1855" s="275">
        <f t="shared" si="76"/>
        <v>542.15</v>
      </c>
      <c r="J1855" s="95">
        <f t="shared" si="77"/>
        <v>650.57999999999993</v>
      </c>
      <c r="K1855" s="93">
        <f>IFERROR(VLOOKUP(E1855,'Inventaire des produits'!$B$4:$J$1000,5,FALSE),"")</f>
        <v>0</v>
      </c>
      <c r="L1855" s="301">
        <f>IFERROR(VLOOKUP(E1855,'Inventaire des produits'!$B$4:$J$1000,6,FALSE),"")</f>
        <v>1.3333333333333335</v>
      </c>
      <c r="M1855" s="62"/>
    </row>
    <row r="1856" spans="2:13" x14ac:dyDescent="0.3">
      <c r="B1856" s="378" t="s">
        <v>1704</v>
      </c>
      <c r="C1856" s="341"/>
      <c r="D1856" s="338"/>
      <c r="E1856" s="234" t="s">
        <v>648</v>
      </c>
      <c r="F1856" s="274" t="str">
        <f>IFERROR(VLOOKUP(E1856,'Inventaire des produits'!$B$4:$K$1000,2,0),"")</f>
        <v>BOL SOUPE MICRON ONDABLE ET CVL 460CC</v>
      </c>
      <c r="G1856" s="54">
        <v>50</v>
      </c>
      <c r="H1856" s="60">
        <v>0.8881</v>
      </c>
      <c r="I1856" s="275">
        <f t="shared" si="76"/>
        <v>44.405000000000001</v>
      </c>
      <c r="J1856" s="95">
        <f t="shared" si="77"/>
        <v>53.286000000000001</v>
      </c>
      <c r="K1856" s="93">
        <f>IFERROR(VLOOKUP(E1856,'Inventaire des produits'!$B$4:$J$1000,5,FALSE),"")</f>
        <v>0</v>
      </c>
      <c r="L1856" s="301">
        <f>IFERROR(VLOOKUP(E1856,'Inventaire des produits'!$B$4:$J$1000,6,FALSE),"")</f>
        <v>0.79166666669999997</v>
      </c>
      <c r="M1856" s="62"/>
    </row>
    <row r="1857" spans="2:13" x14ac:dyDescent="0.3">
      <c r="B1857" s="378" t="s">
        <v>1704</v>
      </c>
      <c r="C1857" s="341"/>
      <c r="D1857" s="338"/>
      <c r="E1857" s="234" t="s">
        <v>965</v>
      </c>
      <c r="F1857" s="274" t="str">
        <f>IFERROR(VLOOKUP(E1857,'Inventaire des produits'!$B$4:$K$1000,2,0),"")</f>
        <v>BOL SALADE ET CVL KRAFT 32OZ</v>
      </c>
      <c r="G1857" s="54">
        <v>300</v>
      </c>
      <c r="H1857" s="60">
        <v>2.36</v>
      </c>
      <c r="I1857" s="275">
        <f t="shared" si="76"/>
        <v>708</v>
      </c>
      <c r="J1857" s="95">
        <f t="shared" si="77"/>
        <v>849.6</v>
      </c>
      <c r="K1857" s="93">
        <f>IFERROR(VLOOKUP(E1857,'Inventaire des produits'!$B$4:$J$1000,5,FALSE),"")</f>
        <v>0</v>
      </c>
      <c r="L1857" s="301">
        <f>IFERROR(VLOOKUP(E1857,'Inventaire des produits'!$B$4:$J$1000,6,FALSE),"")</f>
        <v>1.9583333333333335</v>
      </c>
      <c r="M1857" s="62"/>
    </row>
    <row r="1858" spans="2:13" x14ac:dyDescent="0.3">
      <c r="B1858" s="378" t="s">
        <v>1704</v>
      </c>
      <c r="C1858" s="341"/>
      <c r="D1858" s="338"/>
      <c r="E1858" s="234" t="s">
        <v>1217</v>
      </c>
      <c r="F1858" s="274" t="str">
        <f>IFERROR(VLOOKUP(E1858,'Inventaire des produits'!$B$4:$K$1000,2,0),"")</f>
        <v>BARQUETTE TRAITEUR 750CC MICRON ONDABLE TRANS</v>
      </c>
      <c r="G1858" s="54">
        <v>500</v>
      </c>
      <c r="H1858" s="60">
        <v>1.5780000000000001</v>
      </c>
      <c r="I1858" s="275">
        <f t="shared" si="76"/>
        <v>789</v>
      </c>
      <c r="J1858" s="95">
        <f t="shared" si="77"/>
        <v>946.8</v>
      </c>
      <c r="K1858" s="93">
        <f>IFERROR(VLOOKUP(E1858,'Inventaire des produits'!$B$4:$J$1000,5,FALSE),"")</f>
        <v>1550</v>
      </c>
      <c r="L1858" s="301">
        <f>IFERROR(VLOOKUP(E1858,'Inventaire des produits'!$B$4:$J$1000,6,FALSE),"")</f>
        <v>1.0694444444444446</v>
      </c>
      <c r="M1858" s="62"/>
    </row>
    <row r="1859" spans="2:13" x14ac:dyDescent="0.3">
      <c r="B1859" s="378" t="s">
        <v>1704</v>
      </c>
      <c r="C1859" s="342"/>
      <c r="D1859" s="339"/>
      <c r="E1859" s="234" t="s">
        <v>680</v>
      </c>
      <c r="F1859" s="274" t="str">
        <f>IFERROR(VLOOKUP(E1859,'Inventaire des produits'!$B$4:$K$1000,2,0),"")</f>
        <v>BOL SALADE ET CVL BLANC 38OZ CARTON 300PCS</v>
      </c>
      <c r="G1859" s="54">
        <v>500</v>
      </c>
      <c r="H1859" s="60">
        <v>2.5099999999999998</v>
      </c>
      <c r="I1859" s="275">
        <f t="shared" si="76"/>
        <v>1255</v>
      </c>
      <c r="J1859" s="95">
        <f t="shared" si="77"/>
        <v>1506</v>
      </c>
      <c r="K1859" s="93">
        <f>IFERROR(VLOOKUP(E1859,'Inventaire des produits'!$B$4:$J$1000,5,FALSE),"")</f>
        <v>2500</v>
      </c>
      <c r="L1859" s="301">
        <f>IFERROR(VLOOKUP(E1859,'Inventaire des produits'!$B$4:$J$1000,6,FALSE),"")</f>
        <v>2.0583333332999998</v>
      </c>
      <c r="M1859" s="62"/>
    </row>
    <row r="1860" spans="2:13" x14ac:dyDescent="0.3">
      <c r="B1860" s="378" t="s">
        <v>1704</v>
      </c>
      <c r="C1860" s="340">
        <v>45594</v>
      </c>
      <c r="D1860" s="337" t="s">
        <v>1563</v>
      </c>
      <c r="E1860" s="234" t="s">
        <v>1217</v>
      </c>
      <c r="F1860" s="274" t="str">
        <f>IFERROR(VLOOKUP(E1860,'Inventaire des produits'!$B$4:$K$1000,2,0),"")</f>
        <v>BARQUETTE TRAITEUR 750CC MICRON ONDABLE TRANS</v>
      </c>
      <c r="G1860" s="54">
        <v>300</v>
      </c>
      <c r="H1860" s="60">
        <v>1.5263199999999999</v>
      </c>
      <c r="I1860" s="275">
        <f t="shared" si="76"/>
        <v>457.89599999999996</v>
      </c>
      <c r="J1860" s="95">
        <f t="shared" si="77"/>
        <v>549.47519999999997</v>
      </c>
      <c r="K1860" s="93">
        <f>IFERROR(VLOOKUP(E1860,'Inventaire des produits'!$B$4:$J$1000,5,FALSE),"")</f>
        <v>1550</v>
      </c>
      <c r="L1860" s="301">
        <f>IFERROR(VLOOKUP(E1860,'Inventaire des produits'!$B$4:$J$1000,6,FALSE),"")</f>
        <v>1.0694444444444446</v>
      </c>
      <c r="M1860" s="62">
        <f>SUM(J1860:J1862)</f>
        <v>1573.0019999999997</v>
      </c>
    </row>
    <row r="1861" spans="2:13" x14ac:dyDescent="0.3">
      <c r="B1861" s="378" t="s">
        <v>1704</v>
      </c>
      <c r="C1861" s="341"/>
      <c r="D1861" s="338"/>
      <c r="E1861" s="234" t="s">
        <v>680</v>
      </c>
      <c r="F1861" s="274" t="str">
        <f>IFERROR(VLOOKUP(E1861,'Inventaire des produits'!$B$4:$K$1000,2,0),"")</f>
        <v>BOL SALADE ET CVL BLANC 38OZ CARTON 300PCS</v>
      </c>
      <c r="G1861" s="54">
        <v>300</v>
      </c>
      <c r="H1861" s="60">
        <v>2.5099999999999998</v>
      </c>
      <c r="I1861" s="275">
        <f t="shared" si="76"/>
        <v>752.99999999999989</v>
      </c>
      <c r="J1861" s="95">
        <f t="shared" si="77"/>
        <v>903.5999999999998</v>
      </c>
      <c r="K1861" s="93">
        <f>IFERROR(VLOOKUP(E1861,'Inventaire des produits'!$B$4:$J$1000,5,FALSE),"")</f>
        <v>2500</v>
      </c>
      <c r="L1861" s="301">
        <f>IFERROR(VLOOKUP(E1861,'Inventaire des produits'!$B$4:$J$1000,6,FALSE),"")</f>
        <v>2.0583333332999998</v>
      </c>
      <c r="M1861" s="62"/>
    </row>
    <row r="1862" spans="2:13" x14ac:dyDescent="0.3">
      <c r="B1862" s="378" t="s">
        <v>1704</v>
      </c>
      <c r="C1862" s="342"/>
      <c r="D1862" s="339"/>
      <c r="E1862" s="234" t="s">
        <v>666</v>
      </c>
      <c r="F1862" s="274" t="str">
        <f>IFERROR(VLOOKUP(E1862,'Inventaire des produits'!$B$4:$K$1000,2,0),"")</f>
        <v>GANT VINYL EXTRA PREMIUM GLOVE MEDIUM</v>
      </c>
      <c r="G1862" s="54">
        <v>3</v>
      </c>
      <c r="H1862" s="60">
        <v>33.313000000000002</v>
      </c>
      <c r="I1862" s="275">
        <f t="shared" si="76"/>
        <v>99.939000000000007</v>
      </c>
      <c r="J1862" s="95">
        <f t="shared" si="77"/>
        <v>119.9268</v>
      </c>
      <c r="K1862" s="93">
        <f>IFERROR(VLOOKUP(E1862,'Inventaire des produits'!$B$4:$J$1000,5,FALSE),"")</f>
        <v>0</v>
      </c>
      <c r="L1862" s="301">
        <f>IFERROR(VLOOKUP(E1862,'Inventaire des produits'!$B$4:$J$1000,6,FALSE),"")</f>
        <v>20</v>
      </c>
      <c r="M1862" s="62"/>
    </row>
    <row r="1863" spans="2:13" x14ac:dyDescent="0.3">
      <c r="B1863" s="378" t="s">
        <v>1704</v>
      </c>
      <c r="C1863" s="340">
        <v>45596</v>
      </c>
      <c r="D1863" s="337" t="s">
        <v>1578</v>
      </c>
      <c r="E1863" s="234" t="s">
        <v>828</v>
      </c>
      <c r="F1863" s="274" t="str">
        <f>IFERROR(VLOOKUP(E1863,'Inventaire des produits'!$B$4:$K$1000,2,0),"")</f>
        <v>SAC PN BLANC 40*30</v>
      </c>
      <c r="G1863" s="54">
        <v>400</v>
      </c>
      <c r="H1863" s="60">
        <v>0.50800000000000001</v>
      </c>
      <c r="I1863" s="275">
        <f t="shared" si="76"/>
        <v>203.2</v>
      </c>
      <c r="J1863" s="95">
        <f t="shared" si="77"/>
        <v>243.83999999999997</v>
      </c>
      <c r="K1863" s="93">
        <f>IFERROR(VLOOKUP(E1863,'Inventaire des produits'!$B$4:$J$1000,5,FALSE),"")</f>
        <v>0</v>
      </c>
      <c r="L1863" s="301">
        <f>IFERROR(VLOOKUP(E1863,'Inventaire des produits'!$B$4:$J$1000,6,FALSE),"")</f>
        <v>0.33333332999999998</v>
      </c>
      <c r="M1863" s="62">
        <f>SUM(J1863:J1873)</f>
        <v>13200.004079999995</v>
      </c>
    </row>
    <row r="1864" spans="2:13" x14ac:dyDescent="0.3">
      <c r="B1864" s="378" t="s">
        <v>1704</v>
      </c>
      <c r="C1864" s="341"/>
      <c r="D1864" s="338"/>
      <c r="E1864" s="234" t="s">
        <v>501</v>
      </c>
      <c r="F1864" s="274" t="str">
        <f>IFERROR(VLOOKUP(E1864,'Inventaire des produits'!$B$4:$K$1000,2,0),"")</f>
        <v>BARQUETTE ALUMINIUM 83420</v>
      </c>
      <c r="G1864" s="54">
        <v>3000</v>
      </c>
      <c r="H1864" s="60">
        <v>0.45833333333333298</v>
      </c>
      <c r="I1864" s="275">
        <f t="shared" si="76"/>
        <v>1374.9999999999989</v>
      </c>
      <c r="J1864" s="95">
        <f t="shared" si="77"/>
        <v>1649.9999999999986</v>
      </c>
      <c r="K1864" s="93">
        <f>IFERROR(VLOOKUP(E1864,'Inventaire des produits'!$B$4:$J$1000,5,FALSE),"")</f>
        <v>10000</v>
      </c>
      <c r="L1864" s="301">
        <f>IFERROR(VLOOKUP(E1864,'Inventaire des produits'!$B$4:$J$1000,6,FALSE),"")</f>
        <v>0.31666666669999999</v>
      </c>
      <c r="M1864" s="62"/>
    </row>
    <row r="1865" spans="2:13" x14ac:dyDescent="0.3">
      <c r="B1865" s="378" t="s">
        <v>1704</v>
      </c>
      <c r="C1865" s="341"/>
      <c r="D1865" s="338"/>
      <c r="E1865" s="234" t="s">
        <v>929</v>
      </c>
      <c r="F1865" s="274" t="str">
        <f>IFERROR(VLOOKUP(E1865,'Inventaire des produits'!$B$4:$K$1000,2,0),"")</f>
        <v xml:space="preserve">SERVIETTE DE TABLE </v>
      </c>
      <c r="G1865" s="54">
        <v>220</v>
      </c>
      <c r="H1865" s="60">
        <v>3.75745</v>
      </c>
      <c r="I1865" s="275">
        <f t="shared" si="76"/>
        <v>826.63900000000001</v>
      </c>
      <c r="J1865" s="95">
        <f t="shared" si="77"/>
        <v>991.96679999999992</v>
      </c>
      <c r="K1865" s="93">
        <f>IFERROR(VLOOKUP(E1865,'Inventaire des produits'!$B$4:$J$1000,5,FALSE),"")</f>
        <v>0</v>
      </c>
      <c r="L1865" s="301">
        <f>IFERROR(VLOOKUP(E1865,'Inventaire des produits'!$B$4:$J$1000,6,FALSE),"")</f>
        <v>2.9169999999999998</v>
      </c>
      <c r="M1865" s="62"/>
    </row>
    <row r="1866" spans="2:13" x14ac:dyDescent="0.3">
      <c r="B1866" s="378" t="s">
        <v>1704</v>
      </c>
      <c r="C1866" s="341"/>
      <c r="D1866" s="338"/>
      <c r="E1866" s="234" t="s">
        <v>837</v>
      </c>
      <c r="F1866" s="274" t="str">
        <f>IFERROR(VLOOKUP(E1866,'Inventaire des produits'!$B$4:$K$1000,2,0),"")</f>
        <v>ESSUIE MAIN 1KG LISSE</v>
      </c>
      <c r="G1866" s="54">
        <v>50</v>
      </c>
      <c r="H1866" s="60">
        <v>28.5</v>
      </c>
      <c r="I1866" s="275">
        <f t="shared" si="76"/>
        <v>1425</v>
      </c>
      <c r="J1866" s="95">
        <f t="shared" si="77"/>
        <v>1710</v>
      </c>
      <c r="K1866" s="93">
        <f>IFERROR(VLOOKUP(E1866,'Inventaire des produits'!$B$4:$J$1000,5,FALSE),"")</f>
        <v>7</v>
      </c>
      <c r="L1866" s="301">
        <f>IFERROR(VLOOKUP(E1866,'Inventaire des produits'!$B$4:$J$1000,6,FALSE),"")</f>
        <v>21.25</v>
      </c>
      <c r="M1866" s="62"/>
    </row>
    <row r="1867" spans="2:13" x14ac:dyDescent="0.3">
      <c r="B1867" s="378" t="s">
        <v>1704</v>
      </c>
      <c r="C1867" s="341"/>
      <c r="D1867" s="338"/>
      <c r="E1867" s="234" t="s">
        <v>1303</v>
      </c>
      <c r="F1867" s="274" t="str">
        <f>IFERROR(VLOOKUP(E1867,'Inventaire des produits'!$B$4:$K$1000,2,0),"")</f>
        <v>BARQUETTE ALUMINIUM 83670</v>
      </c>
      <c r="G1867" s="54">
        <v>2000</v>
      </c>
      <c r="H1867" s="60">
        <v>0.75044</v>
      </c>
      <c r="I1867" s="275">
        <f t="shared" si="76"/>
        <v>1500.8799999999999</v>
      </c>
      <c r="J1867" s="95">
        <f t="shared" si="77"/>
        <v>1801.0559999999998</v>
      </c>
      <c r="K1867" s="93">
        <f>IFERROR(VLOOKUP(E1867,'Inventaire des produits'!$B$4:$J$1000,5,FALSE),"")</f>
        <v>200</v>
      </c>
      <c r="L1867" s="301">
        <f>IFERROR(VLOOKUP(E1867,'Inventaire des produits'!$B$4:$J$1000,6,FALSE),"")</f>
        <v>0.51666666666666672</v>
      </c>
      <c r="M1867" s="62"/>
    </row>
    <row r="1868" spans="2:13" x14ac:dyDescent="0.3">
      <c r="B1868" s="378" t="s">
        <v>1704</v>
      </c>
      <c r="C1868" s="341"/>
      <c r="D1868" s="338"/>
      <c r="E1868" s="234" t="s">
        <v>778</v>
      </c>
      <c r="F1868" s="274" t="str">
        <f>IFERROR(VLOOKUP(E1868,'Inventaire des produits'!$B$4:$K$1000,2,0),"")</f>
        <v>POT DE SAUCE EN PLAST TRANSP 20ML</v>
      </c>
      <c r="G1868" s="54">
        <v>4000</v>
      </c>
      <c r="H1868" s="60">
        <v>6.7720000000000002E-2</v>
      </c>
      <c r="I1868" s="275">
        <f t="shared" si="76"/>
        <v>270.88</v>
      </c>
      <c r="J1868" s="95">
        <f t="shared" si="77"/>
        <v>325.05599999999998</v>
      </c>
      <c r="K1868" s="93">
        <f>IFERROR(VLOOKUP(E1868,'Inventaire des produits'!$B$4:$J$1000,5,FALSE),"")</f>
        <v>0</v>
      </c>
      <c r="L1868" s="301">
        <f>IFERROR(VLOOKUP(E1868,'Inventaire des produits'!$B$4:$J$1000,6,FALSE),"")</f>
        <v>8.3333333300000006E-2</v>
      </c>
      <c r="M1868" s="62"/>
    </row>
    <row r="1869" spans="2:13" x14ac:dyDescent="0.3">
      <c r="B1869" s="378" t="s">
        <v>1704</v>
      </c>
      <c r="C1869" s="341"/>
      <c r="D1869" s="338"/>
      <c r="E1869" s="234" t="s">
        <v>1056</v>
      </c>
      <c r="F1869" s="274" t="str">
        <f>IFERROR(VLOOKUP(E1869,'Inventaire des produits'!$B$4:$K$1000,2,0),"")</f>
        <v>SAC PN BLANC NI 30*40*10</v>
      </c>
      <c r="G1869" s="54">
        <v>1400</v>
      </c>
      <c r="H1869" s="60">
        <v>0.50800000000000001</v>
      </c>
      <c r="I1869" s="275">
        <f t="shared" si="76"/>
        <v>711.2</v>
      </c>
      <c r="J1869" s="95">
        <f t="shared" si="77"/>
        <v>853.44</v>
      </c>
      <c r="K1869" s="93">
        <f>IFERROR(VLOOKUP(E1869,'Inventaire des produits'!$B$4:$J$1000,5,FALSE),"")</f>
        <v>27400</v>
      </c>
      <c r="L1869" s="301">
        <f>IFERROR(VLOOKUP(E1869,'Inventaire des produits'!$B$4:$J$1000,6,FALSE),"")</f>
        <v>0.33334000000000003</v>
      </c>
      <c r="M1869" s="62"/>
    </row>
    <row r="1870" spans="2:13" x14ac:dyDescent="0.3">
      <c r="B1870" s="378" t="s">
        <v>1704</v>
      </c>
      <c r="C1870" s="341"/>
      <c r="D1870" s="338"/>
      <c r="E1870" s="234" t="s">
        <v>1390</v>
      </c>
      <c r="F1870" s="274" t="str">
        <f>IFERROR(VLOOKUP(E1870,'Inventaire des produits'!$B$4:$K$1000,2,0),"")</f>
        <v>ROULEAU ALUMINIUM EXTRA PACK 200M</v>
      </c>
      <c r="G1870" s="54">
        <v>34</v>
      </c>
      <c r="H1870" s="60">
        <v>66.666600000000003</v>
      </c>
      <c r="I1870" s="275">
        <f t="shared" si="76"/>
        <v>2266.6644000000001</v>
      </c>
      <c r="J1870" s="95">
        <f t="shared" si="77"/>
        <v>2719.99728</v>
      </c>
      <c r="K1870" s="93">
        <f>IFERROR(VLOOKUP(E1870,'Inventaire des produits'!$B$4:$J$1000,5,FALSE),"")</f>
        <v>3</v>
      </c>
      <c r="L1870" s="301">
        <f>IFERROR(VLOOKUP(E1870,'Inventaire des produits'!$B$4:$J$1000,6,FALSE),"")</f>
        <v>43.804166666666667</v>
      </c>
      <c r="M1870" s="62"/>
    </row>
    <row r="1871" spans="2:13" x14ac:dyDescent="0.3">
      <c r="B1871" s="378" t="s">
        <v>1704</v>
      </c>
      <c r="C1871" s="341"/>
      <c r="D1871" s="338"/>
      <c r="E1871" s="234" t="s">
        <v>1316</v>
      </c>
      <c r="F1871" s="274" t="str">
        <f>IFERROR(VLOOKUP(E1871,'Inventaire des produits'!$B$4:$K$1000,2,0),"")</f>
        <v>SAC PN BLANCE 40*45</v>
      </c>
      <c r="G1871" s="54">
        <v>1600</v>
      </c>
      <c r="H1871" s="60">
        <v>0.58499999999999996</v>
      </c>
      <c r="I1871" s="275">
        <f t="shared" si="76"/>
        <v>936</v>
      </c>
      <c r="J1871" s="95">
        <f t="shared" si="77"/>
        <v>1123.2</v>
      </c>
      <c r="K1871" s="93">
        <f>IFERROR(VLOOKUP(E1871,'Inventaire des produits'!$B$4:$J$1000,5,FALSE),"")</f>
        <v>5400</v>
      </c>
      <c r="L1871" s="301">
        <f>IFERROR(VLOOKUP(E1871,'Inventaire des produits'!$B$4:$J$1000,6,FALSE),"")</f>
        <v>0.41665999999999997</v>
      </c>
      <c r="M1871" s="62"/>
    </row>
    <row r="1872" spans="2:13" x14ac:dyDescent="0.3">
      <c r="B1872" s="378" t="s">
        <v>1704</v>
      </c>
      <c r="C1872" s="341"/>
      <c r="D1872" s="338"/>
      <c r="E1872" s="234" t="s">
        <v>953</v>
      </c>
      <c r="F1872" s="274" t="str">
        <f>IFERROR(VLOOKUP(E1872,'Inventaire des produits'!$B$4:$K$1000,2,0),"")</f>
        <v xml:space="preserve">BARQUETTE MICRON ONDABLE 3 COMP </v>
      </c>
      <c r="G1872" s="54">
        <v>600</v>
      </c>
      <c r="H1872" s="60">
        <v>2.14923333333333</v>
      </c>
      <c r="I1872" s="275">
        <f t="shared" si="76"/>
        <v>1289.5399999999979</v>
      </c>
      <c r="J1872" s="95">
        <f t="shared" si="77"/>
        <v>1547.4479999999974</v>
      </c>
      <c r="K1872" s="93">
        <f>IFERROR(VLOOKUP(E1872,'Inventaire des produits'!$B$4:$J$1000,5,FALSE),"")</f>
        <v>0</v>
      </c>
      <c r="L1872" s="301">
        <f>IFERROR(VLOOKUP(E1872,'Inventaire des produits'!$B$4:$J$1000,6,FALSE),"")</f>
        <v>1.6666666666666701</v>
      </c>
      <c r="M1872" s="62"/>
    </row>
    <row r="1873" spans="2:13" x14ac:dyDescent="0.3">
      <c r="B1873" s="378" t="s">
        <v>1704</v>
      </c>
      <c r="C1873" s="342"/>
      <c r="D1873" s="339"/>
      <c r="E1873" s="234" t="s">
        <v>1512</v>
      </c>
      <c r="F1873" s="274" t="str">
        <f>IFERROR(VLOOKUP(E1873,'Inventaire des produits'!$B$4:$K$1000,2,0),"")</f>
        <v>GOBLET 14OZ EN PLAST TRANS SMART + CV PLAT</v>
      </c>
      <c r="G1873" s="54">
        <v>300</v>
      </c>
      <c r="H1873" s="60">
        <v>0.65</v>
      </c>
      <c r="I1873" s="275">
        <f t="shared" si="76"/>
        <v>195</v>
      </c>
      <c r="J1873" s="95">
        <f t="shared" si="77"/>
        <v>234</v>
      </c>
      <c r="K1873" s="93">
        <f>IFERROR(VLOOKUP(E1873,'Inventaire des produits'!$B$4:$J$1000,5,FALSE),"")</f>
        <v>0</v>
      </c>
      <c r="L1873" s="301">
        <f>IFERROR(VLOOKUP(E1873,'Inventaire des produits'!$B$4:$J$1000,6,FALSE),"")</f>
        <v>0.57778333333333298</v>
      </c>
      <c r="M1873" s="62"/>
    </row>
    <row r="1874" spans="2:13" x14ac:dyDescent="0.3">
      <c r="B1874" s="378" t="s">
        <v>1704</v>
      </c>
      <c r="C1874" s="340">
        <v>45596</v>
      </c>
      <c r="D1874" s="337" t="s">
        <v>1579</v>
      </c>
      <c r="E1874" s="234" t="s">
        <v>1194</v>
      </c>
      <c r="F1874" s="274" t="str">
        <f>IFERROR(VLOOKUP(E1874,'Inventaire des produits'!$B$4:$K$1000,2,0),"")</f>
        <v>POT DE SAUCE 2OZ EN PLASTIQUE</v>
      </c>
      <c r="G1874" s="54">
        <v>1000</v>
      </c>
      <c r="H1874" s="60">
        <v>0.28999999999999998</v>
      </c>
      <c r="I1874" s="275">
        <f t="shared" si="76"/>
        <v>290</v>
      </c>
      <c r="J1874" s="95">
        <f t="shared" si="77"/>
        <v>348</v>
      </c>
      <c r="K1874" s="93">
        <f>IFERROR(VLOOKUP(E1874,'Inventaire des produits'!$B$4:$J$1000,5,FALSE),"")</f>
        <v>0</v>
      </c>
      <c r="L1874" s="301">
        <f>IFERROR(VLOOKUP(E1874,'Inventaire des produits'!$B$4:$J$1000,6,FALSE),"")</f>
        <v>0.28999999999999998</v>
      </c>
      <c r="M1874" s="62">
        <f>SUM(J1874:J1878)</f>
        <v>4604.0039999999999</v>
      </c>
    </row>
    <row r="1875" spans="2:13" x14ac:dyDescent="0.3">
      <c r="B1875" s="378" t="s">
        <v>1704</v>
      </c>
      <c r="C1875" s="341"/>
      <c r="D1875" s="338"/>
      <c r="E1875" s="234" t="s">
        <v>929</v>
      </c>
      <c r="F1875" s="274" t="str">
        <f>IFERROR(VLOOKUP(E1875,'Inventaire des produits'!$B$4:$K$1000,2,0),"")</f>
        <v xml:space="preserve">SERVIETTE DE TABLE </v>
      </c>
      <c r="G1875" s="54">
        <v>160</v>
      </c>
      <c r="H1875" s="60">
        <v>3.7</v>
      </c>
      <c r="I1875" s="275">
        <f t="shared" si="76"/>
        <v>592</v>
      </c>
      <c r="J1875" s="95">
        <f t="shared" si="77"/>
        <v>710.4</v>
      </c>
      <c r="K1875" s="93">
        <f>IFERROR(VLOOKUP(E1875,'Inventaire des produits'!$B$4:$J$1000,5,FALSE),"")</f>
        <v>0</v>
      </c>
      <c r="L1875" s="301">
        <f>IFERROR(VLOOKUP(E1875,'Inventaire des produits'!$B$4:$J$1000,6,FALSE),"")</f>
        <v>2.9169999999999998</v>
      </c>
      <c r="M1875" s="62"/>
    </row>
    <row r="1876" spans="2:13" x14ac:dyDescent="0.3">
      <c r="B1876" s="378" t="s">
        <v>1704</v>
      </c>
      <c r="C1876" s="341"/>
      <c r="D1876" s="338"/>
      <c r="E1876" s="234" t="s">
        <v>769</v>
      </c>
      <c r="F1876" s="274" t="str">
        <f>IFERROR(VLOOKUP(E1876,'Inventaire des produits'!$B$4:$K$1000,2,0),"")</f>
        <v>GANT NOIR VINYL EXTRA PREMIUM GLOVE LARGE</v>
      </c>
      <c r="G1876" s="54">
        <v>37</v>
      </c>
      <c r="H1876" s="60">
        <v>33.299999999999997</v>
      </c>
      <c r="I1876" s="275">
        <f t="shared" si="76"/>
        <v>1232.0999999999999</v>
      </c>
      <c r="J1876" s="95">
        <f t="shared" si="77"/>
        <v>1478.5199999999998</v>
      </c>
      <c r="K1876" s="93">
        <f>IFERROR(VLOOKUP(E1876,'Inventaire des produits'!$B$4:$J$1000,5,FALSE),"")</f>
        <v>8</v>
      </c>
      <c r="L1876" s="301">
        <f>IFERROR(VLOOKUP(E1876,'Inventaire des produits'!$B$4:$J$1000,6,FALSE),"")</f>
        <v>20.833333333300001</v>
      </c>
      <c r="M1876" s="62"/>
    </row>
    <row r="1877" spans="2:13" x14ac:dyDescent="0.3">
      <c r="B1877" s="378" t="s">
        <v>1704</v>
      </c>
      <c r="C1877" s="341"/>
      <c r="D1877" s="338"/>
      <c r="E1877" s="234" t="s">
        <v>1207</v>
      </c>
      <c r="F1877" s="274" t="str">
        <f>IFERROR(VLOOKUP(E1877,'Inventaire des produits'!$B$4:$K$1000,2,0),"")</f>
        <v>BOX NOUILLE ET PATE 32OZ BLANC</v>
      </c>
      <c r="G1877" s="54">
        <v>500</v>
      </c>
      <c r="H1877" s="60">
        <v>2.2811400000000002</v>
      </c>
      <c r="I1877" s="275">
        <f t="shared" si="76"/>
        <v>1140.5700000000002</v>
      </c>
      <c r="J1877" s="95">
        <f t="shared" si="77"/>
        <v>1368.6840000000002</v>
      </c>
      <c r="K1877" s="93">
        <f>IFERROR(VLOOKUP(E1877,'Inventaire des produits'!$B$4:$J$1000,5,FALSE),"")</f>
        <v>0</v>
      </c>
      <c r="L1877" s="301">
        <f>IFERROR(VLOOKUP(E1877,'Inventaire des produits'!$B$4:$J$1000,6,FALSE),"")</f>
        <v>1.0833333333333335</v>
      </c>
      <c r="M1877" s="62"/>
    </row>
    <row r="1878" spans="2:13" x14ac:dyDescent="0.3">
      <c r="B1878" s="378" t="s">
        <v>1704</v>
      </c>
      <c r="C1878" s="342"/>
      <c r="D1878" s="339"/>
      <c r="E1878" s="234" t="s">
        <v>837</v>
      </c>
      <c r="F1878" s="274" t="str">
        <f>IFERROR(VLOOKUP(E1878,'Inventaire des produits'!$B$4:$K$1000,2,0),"")</f>
        <v>ESSUIE MAIN 1KG LISSE</v>
      </c>
      <c r="G1878" s="54">
        <v>20</v>
      </c>
      <c r="H1878" s="60">
        <v>29.1</v>
      </c>
      <c r="I1878" s="275">
        <f t="shared" si="76"/>
        <v>582</v>
      </c>
      <c r="J1878" s="95">
        <f t="shared" si="77"/>
        <v>698.4</v>
      </c>
      <c r="K1878" s="93">
        <f>IFERROR(VLOOKUP(E1878,'Inventaire des produits'!$B$4:$J$1000,5,FALSE),"")</f>
        <v>7</v>
      </c>
      <c r="L1878" s="301">
        <f>IFERROR(VLOOKUP(E1878,'Inventaire des produits'!$B$4:$J$1000,6,FALSE),"")</f>
        <v>21.25</v>
      </c>
      <c r="M1878" s="62"/>
    </row>
    <row r="1879" spans="2:13" x14ac:dyDescent="0.3">
      <c r="B1879" s="378" t="s">
        <v>1704</v>
      </c>
      <c r="C1879" s="340">
        <v>45597</v>
      </c>
      <c r="D1879" s="337" t="s">
        <v>1580</v>
      </c>
      <c r="E1879" s="234" t="s">
        <v>334</v>
      </c>
      <c r="F1879" s="274" t="str">
        <f>IFERROR(VLOOKUP(E1879,'Inventaire des produits'!$B$4:$K$1000,2,0),"")</f>
        <v>GOBLET 6OZ</v>
      </c>
      <c r="G1879" s="54">
        <v>500</v>
      </c>
      <c r="H1879" s="60">
        <v>0.4</v>
      </c>
      <c r="I1879" s="275">
        <f t="shared" si="76"/>
        <v>200</v>
      </c>
      <c r="J1879" s="95">
        <f t="shared" si="77"/>
        <v>240</v>
      </c>
      <c r="K1879" s="93">
        <f>IFERROR(VLOOKUP(E1879,'Inventaire des produits'!$B$4:$J$1000,5,FALSE),"")</f>
        <v>0</v>
      </c>
      <c r="L1879" s="301">
        <f>IFERROR(VLOOKUP(E1879,'Inventaire des produits'!$B$4:$J$1000,6,FALSE),"")</f>
        <v>0.34</v>
      </c>
      <c r="M1879" s="62">
        <f>SUM(J1879:J1883)</f>
        <v>3499.9985999999999</v>
      </c>
    </row>
    <row r="1880" spans="2:13" x14ac:dyDescent="0.3">
      <c r="B1880" s="378" t="s">
        <v>1704</v>
      </c>
      <c r="C1880" s="341"/>
      <c r="D1880" s="338"/>
      <c r="E1880" s="234" t="s">
        <v>336</v>
      </c>
      <c r="F1880" s="274" t="str">
        <f>IFERROR(VLOOKUP(E1880,'Inventaire des produits'!$B$4:$K$1000,2,0),"")</f>
        <v>ASSIETTE BLANC</v>
      </c>
      <c r="G1880" s="54">
        <v>100</v>
      </c>
      <c r="H1880" s="60">
        <v>0.7</v>
      </c>
      <c r="I1880" s="275">
        <f t="shared" si="76"/>
        <v>70</v>
      </c>
      <c r="J1880" s="95">
        <f t="shared" si="77"/>
        <v>84</v>
      </c>
      <c r="K1880" s="93">
        <f>IFERROR(VLOOKUP(E1880,'Inventaire des produits'!$B$4:$J$1000,5,FALSE),"")</f>
        <v>0</v>
      </c>
      <c r="L1880" s="301">
        <f>IFERROR(VLOOKUP(E1880,'Inventaire des produits'!$B$4:$J$1000,6,FALSE),"")</f>
        <v>0.57999999999999996</v>
      </c>
      <c r="M1880" s="62"/>
    </row>
    <row r="1881" spans="2:13" x14ac:dyDescent="0.3">
      <c r="B1881" s="378" t="s">
        <v>1704</v>
      </c>
      <c r="C1881" s="341"/>
      <c r="D1881" s="338"/>
      <c r="E1881" s="234" t="s">
        <v>408</v>
      </c>
      <c r="F1881" s="274" t="str">
        <f>IFERROR(VLOOKUP(E1881,'Inventaire des produits'!$B$4:$K$1000,2,0),"")</f>
        <v>PAPIER SANDWISH PACK 2,5KG</v>
      </c>
      <c r="G1881" s="54">
        <v>34</v>
      </c>
      <c r="H1881" s="60">
        <v>50</v>
      </c>
      <c r="I1881" s="275">
        <f t="shared" si="76"/>
        <v>1700</v>
      </c>
      <c r="J1881" s="95">
        <f t="shared" si="77"/>
        <v>2040</v>
      </c>
      <c r="K1881" s="93">
        <f>IFERROR(VLOOKUP(E1881,'Inventaire des produits'!$B$4:$J$1000,5,FALSE),"")</f>
        <v>0</v>
      </c>
      <c r="L1881" s="301">
        <f>IFERROR(VLOOKUP(E1881,'Inventaire des produits'!$B$4:$J$1000,6,FALSE),"")</f>
        <v>41.667000000000002</v>
      </c>
      <c r="M1881" s="62"/>
    </row>
    <row r="1882" spans="2:13" x14ac:dyDescent="0.3">
      <c r="B1882" s="378" t="s">
        <v>1704</v>
      </c>
      <c r="C1882" s="341"/>
      <c r="D1882" s="338"/>
      <c r="E1882" s="234" t="s">
        <v>423</v>
      </c>
      <c r="F1882" s="274" t="str">
        <f>IFERROR(VLOOKUP(E1882,'Inventaire des produits'!$B$4:$K$1000,2,0),"")</f>
        <v>COUPE MACEDONIA</v>
      </c>
      <c r="G1882" s="54">
        <v>500</v>
      </c>
      <c r="H1882" s="60">
        <v>0.95</v>
      </c>
      <c r="I1882" s="275">
        <f t="shared" si="76"/>
        <v>475</v>
      </c>
      <c r="J1882" s="95">
        <f t="shared" si="77"/>
        <v>570</v>
      </c>
      <c r="K1882" s="93">
        <f>IFERROR(VLOOKUP(E1882,'Inventaire des produits'!$B$4:$J$1000,5,FALSE),"")</f>
        <v>0</v>
      </c>
      <c r="L1882" s="301">
        <f>IFERROR(VLOOKUP(E1882,'Inventaire des produits'!$B$4:$J$1000,6,FALSE),"")</f>
        <v>0.79</v>
      </c>
      <c r="M1882" s="62"/>
    </row>
    <row r="1883" spans="2:13" x14ac:dyDescent="0.3">
      <c r="B1883" s="378" t="s">
        <v>1704</v>
      </c>
      <c r="C1883" s="342"/>
      <c r="D1883" s="339"/>
      <c r="E1883" s="234" t="s">
        <v>432</v>
      </c>
      <c r="F1883" s="274" t="str">
        <f>IFERROR(VLOOKUP(E1883,'Inventaire des produits'!$B$4:$K$1000,2,0),"")</f>
        <v>AGITATEUR EN PLAST ECON TRANSP 1000P</v>
      </c>
      <c r="G1883" s="54">
        <v>19</v>
      </c>
      <c r="H1883" s="60">
        <v>24.8245</v>
      </c>
      <c r="I1883" s="275">
        <f t="shared" si="76"/>
        <v>471.66550000000001</v>
      </c>
      <c r="J1883" s="95">
        <f t="shared" si="77"/>
        <v>565.99860000000001</v>
      </c>
      <c r="K1883" s="93">
        <f>IFERROR(VLOOKUP(E1883,'Inventaire des produits'!$B$4:$J$1000,5,FALSE),"")</f>
        <v>0</v>
      </c>
      <c r="L1883" s="301">
        <f>IFERROR(VLOOKUP(E1883,'Inventaire des produits'!$B$4:$J$1000,6,FALSE),"")</f>
        <v>20.833333332999999</v>
      </c>
      <c r="M1883" s="62"/>
    </row>
    <row r="1884" spans="2:13" x14ac:dyDescent="0.3">
      <c r="B1884" s="378" t="s">
        <v>1704</v>
      </c>
      <c r="C1884" s="340">
        <v>45597</v>
      </c>
      <c r="D1884" s="337" t="s">
        <v>1581</v>
      </c>
      <c r="E1884" s="234" t="s">
        <v>444</v>
      </c>
      <c r="F1884" s="274" t="str">
        <f>IFERROR(VLOOKUP(E1884,'Inventaire des produits'!$B$4:$K$1000,2,0),"")</f>
        <v>COUPE DESSERT</v>
      </c>
      <c r="G1884" s="54">
        <v>1000</v>
      </c>
      <c r="H1884" s="60">
        <v>0.6</v>
      </c>
      <c r="I1884" s="275">
        <f t="shared" si="76"/>
        <v>600</v>
      </c>
      <c r="J1884" s="95">
        <f t="shared" si="77"/>
        <v>720</v>
      </c>
      <c r="K1884" s="93">
        <f>IFERROR(VLOOKUP(E1884,'Inventaire des produits'!$B$4:$J$1000,5,FALSE),"")</f>
        <v>0</v>
      </c>
      <c r="L1884" s="301">
        <f>IFERROR(VLOOKUP(E1884,'Inventaire des produits'!$B$4:$J$1000,6,FALSE),"")</f>
        <v>0.5</v>
      </c>
      <c r="M1884" s="62">
        <f>SUM(J1884:J1888)</f>
        <v>2500.0001999999999</v>
      </c>
    </row>
    <row r="1885" spans="2:13" x14ac:dyDescent="0.3">
      <c r="B1885" s="378" t="s">
        <v>1704</v>
      </c>
      <c r="C1885" s="341"/>
      <c r="D1885" s="338"/>
      <c r="E1885" s="234" t="s">
        <v>446</v>
      </c>
      <c r="F1885" s="274" t="str">
        <f>IFERROR(VLOOKUP(E1885,'Inventaire des produits'!$B$4:$K$1000,2,0),"")</f>
        <v>CVL DE COUPE DESSERT</v>
      </c>
      <c r="G1885" s="54">
        <v>1000</v>
      </c>
      <c r="H1885" s="60">
        <v>0.38</v>
      </c>
      <c r="I1885" s="275">
        <f t="shared" si="76"/>
        <v>380</v>
      </c>
      <c r="J1885" s="95">
        <f t="shared" si="77"/>
        <v>456</v>
      </c>
      <c r="K1885" s="93">
        <f>IFERROR(VLOOKUP(E1885,'Inventaire des produits'!$B$4:$J$1000,5,FALSE),"")</f>
        <v>0</v>
      </c>
      <c r="L1885" s="301">
        <f>IFERROR(VLOOKUP(E1885,'Inventaire des produits'!$B$4:$J$1000,6,FALSE),"")</f>
        <v>0.27</v>
      </c>
      <c r="M1885" s="62"/>
    </row>
    <row r="1886" spans="2:13" x14ac:dyDescent="0.3">
      <c r="B1886" s="378" t="s">
        <v>1704</v>
      </c>
      <c r="C1886" s="341"/>
      <c r="D1886" s="338"/>
      <c r="E1886" s="234" t="s">
        <v>432</v>
      </c>
      <c r="F1886" s="274" t="str">
        <f>IFERROR(VLOOKUP(E1886,'Inventaire des produits'!$B$4:$K$1000,2,0),"")</f>
        <v>AGITATEUR EN PLAST ECON TRANSP 1000P</v>
      </c>
      <c r="G1886" s="54">
        <v>11</v>
      </c>
      <c r="H1886" s="60">
        <v>24.8245</v>
      </c>
      <c r="I1886" s="275">
        <f t="shared" si="76"/>
        <v>273.06950000000001</v>
      </c>
      <c r="J1886" s="95">
        <f t="shared" si="77"/>
        <v>327.68340000000001</v>
      </c>
      <c r="K1886" s="93">
        <f>IFERROR(VLOOKUP(E1886,'Inventaire des produits'!$B$4:$J$1000,5,FALSE),"")</f>
        <v>0</v>
      </c>
      <c r="L1886" s="301">
        <f>IFERROR(VLOOKUP(E1886,'Inventaire des produits'!$B$4:$J$1000,6,FALSE),"")</f>
        <v>20.833333332999999</v>
      </c>
      <c r="M1886" s="62"/>
    </row>
    <row r="1887" spans="2:13" x14ac:dyDescent="0.3">
      <c r="B1887" s="378" t="s">
        <v>1704</v>
      </c>
      <c r="C1887" s="341"/>
      <c r="D1887" s="338"/>
      <c r="E1887" s="234" t="s">
        <v>439</v>
      </c>
      <c r="F1887" s="274" t="str">
        <f>IFERROR(VLOOKUP(E1887,'Inventaire des produits'!$B$4:$K$1000,2,0),"")</f>
        <v>EGOUTOIR 250 GRS</v>
      </c>
      <c r="G1887" s="54">
        <v>1200</v>
      </c>
      <c r="H1887" s="60">
        <v>0.47521999999999998</v>
      </c>
      <c r="I1887" s="275">
        <f t="shared" si="76"/>
        <v>570.26400000000001</v>
      </c>
      <c r="J1887" s="95">
        <f t="shared" si="77"/>
        <v>684.31679999999994</v>
      </c>
      <c r="K1887" s="93">
        <f>IFERROR(VLOOKUP(E1887,'Inventaire des produits'!$B$4:$J$1000,5,FALSE),"")</f>
        <v>0</v>
      </c>
      <c r="L1887" s="301">
        <f>IFERROR(VLOOKUP(E1887,'Inventaire des produits'!$B$4:$J$1000,6,FALSE),"")</f>
        <v>0.39</v>
      </c>
      <c r="M1887" s="62"/>
    </row>
    <row r="1888" spans="2:13" x14ac:dyDescent="0.3">
      <c r="B1888" s="378" t="s">
        <v>1704</v>
      </c>
      <c r="C1888" s="342"/>
      <c r="D1888" s="339"/>
      <c r="E1888" s="234" t="s">
        <v>447</v>
      </c>
      <c r="F1888" s="274" t="str">
        <f>IFERROR(VLOOKUP(E1888,'Inventaire des produits'!$B$4:$K$1000,2,0),"")</f>
        <v>ROULEAU ALUMINIUM 300M</v>
      </c>
      <c r="G1888" s="54">
        <v>2</v>
      </c>
      <c r="H1888" s="60">
        <v>130</v>
      </c>
      <c r="I1888" s="275">
        <f t="shared" si="76"/>
        <v>260</v>
      </c>
      <c r="J1888" s="95">
        <f t="shared" si="77"/>
        <v>312</v>
      </c>
      <c r="K1888" s="93">
        <f>IFERROR(VLOOKUP(E1888,'Inventaire des produits'!$B$4:$J$1000,5,FALSE),"")</f>
        <v>0</v>
      </c>
      <c r="L1888" s="301">
        <f>IFERROR(VLOOKUP(E1888,'Inventaire des produits'!$B$4:$J$1000,6,FALSE),"")</f>
        <v>106</v>
      </c>
      <c r="M1888" s="62"/>
    </row>
    <row r="1889" spans="2:13" x14ac:dyDescent="0.3">
      <c r="B1889" s="378" t="s">
        <v>1704</v>
      </c>
      <c r="C1889" s="340">
        <v>45600</v>
      </c>
      <c r="D1889" s="337" t="s">
        <v>1582</v>
      </c>
      <c r="E1889" s="234" t="s">
        <v>869</v>
      </c>
      <c r="F1889" s="274" t="str">
        <f>IFERROR(VLOOKUP(E1889,'Inventaire des produits'!$B$4:$K$1000,2,0),"")</f>
        <v>PAILLE ENVELOPPEE CODE 100 TRANS</v>
      </c>
      <c r="G1889" s="54">
        <v>4</v>
      </c>
      <c r="H1889" s="60">
        <v>8.3333333333333339</v>
      </c>
      <c r="I1889" s="275">
        <f t="shared" ref="I1889:I1897" si="84">IF(OR(G1889="",H1889=""),"",G1889*H1889)</f>
        <v>33.333333333333336</v>
      </c>
      <c r="J1889" s="95">
        <f t="shared" ref="J1889:J1897" si="85">IF(OR(I1889=""),"",I1889*1.2)</f>
        <v>40</v>
      </c>
      <c r="K1889" s="93">
        <f>IFERROR(VLOOKUP(E1889,'Inventaire des produits'!$B$4:$J$1000,5,FALSE),"")</f>
        <v>898</v>
      </c>
      <c r="L1889" s="301">
        <f>IFERROR(VLOOKUP(E1889,'Inventaire des produits'!$B$4:$J$1000,6,FALSE),"")</f>
        <v>3.9166666659999998</v>
      </c>
      <c r="M1889" s="62">
        <f>SUM(J1889:J1897)</f>
        <v>3930.9992000000002</v>
      </c>
    </row>
    <row r="1890" spans="2:13" x14ac:dyDescent="0.3">
      <c r="B1890" s="378" t="s">
        <v>1704</v>
      </c>
      <c r="C1890" s="341"/>
      <c r="D1890" s="338"/>
      <c r="E1890" s="234" t="s">
        <v>464</v>
      </c>
      <c r="F1890" s="274" t="str">
        <f>IFERROR(VLOOKUP(E1890,'Inventaire des produits'!$B$4:$K$1000,2,0),"")</f>
        <v>PAPIER ZIGZAG</v>
      </c>
      <c r="G1890" s="54">
        <v>20</v>
      </c>
      <c r="H1890" s="60">
        <v>12.583500000000001</v>
      </c>
      <c r="I1890" s="275">
        <f t="shared" si="84"/>
        <v>251.67000000000002</v>
      </c>
      <c r="J1890" s="95">
        <f t="shared" si="85"/>
        <v>302.00400000000002</v>
      </c>
      <c r="K1890" s="93">
        <f>IFERROR(VLOOKUP(E1890,'Inventaire des produits'!$B$4:$J$1000,5,FALSE),"")</f>
        <v>120</v>
      </c>
      <c r="L1890" s="301">
        <f>IFERROR(VLOOKUP(E1890,'Inventaire des produits'!$B$4:$J$1000,6,FALSE),"")</f>
        <v>7.5</v>
      </c>
      <c r="M1890" s="62"/>
    </row>
    <row r="1891" spans="2:13" x14ac:dyDescent="0.3">
      <c r="B1891" s="378" t="s">
        <v>1704</v>
      </c>
      <c r="C1891" s="341"/>
      <c r="D1891" s="338"/>
      <c r="E1891" s="234" t="s">
        <v>929</v>
      </c>
      <c r="F1891" s="274" t="str">
        <f>IFERROR(VLOOKUP(E1891,'Inventaire des produits'!$B$4:$K$1000,2,0),"")</f>
        <v xml:space="preserve">SERVIETTE DE TABLE </v>
      </c>
      <c r="G1891" s="54">
        <v>80</v>
      </c>
      <c r="H1891" s="60">
        <v>3.75</v>
      </c>
      <c r="I1891" s="275">
        <f t="shared" si="84"/>
        <v>300</v>
      </c>
      <c r="J1891" s="95">
        <f t="shared" si="85"/>
        <v>360</v>
      </c>
      <c r="K1891" s="93">
        <f>IFERROR(VLOOKUP(E1891,'Inventaire des produits'!$B$4:$J$1000,5,FALSE),"")</f>
        <v>0</v>
      </c>
      <c r="L1891" s="301">
        <f>IFERROR(VLOOKUP(E1891,'Inventaire des produits'!$B$4:$J$1000,6,FALSE),"")</f>
        <v>2.9169999999999998</v>
      </c>
      <c r="M1891" s="62"/>
    </row>
    <row r="1892" spans="2:13" x14ac:dyDescent="0.3">
      <c r="B1892" s="378" t="s">
        <v>1704</v>
      </c>
      <c r="C1892" s="341"/>
      <c r="D1892" s="338"/>
      <c r="E1892" s="234" t="s">
        <v>1079</v>
      </c>
      <c r="F1892" s="274" t="str">
        <f>IFERROR(VLOOKUP(E1892,'Inventaire des produits'!$B$4:$K$1000,2,0),"")</f>
        <v>FOURCHETTE ECOLUXE TRANSPARENTE</v>
      </c>
      <c r="G1892" s="54">
        <v>9</v>
      </c>
      <c r="H1892" s="60">
        <v>23.333333333333336</v>
      </c>
      <c r="I1892" s="275">
        <f t="shared" si="84"/>
        <v>210.00000000000003</v>
      </c>
      <c r="J1892" s="95">
        <f t="shared" si="85"/>
        <v>252.00000000000003</v>
      </c>
      <c r="K1892" s="93">
        <f>IFERROR(VLOOKUP(E1892,'Inventaire des produits'!$B$4:$J$1000,5,FALSE),"")</f>
        <v>0</v>
      </c>
      <c r="L1892" s="301">
        <f>IFERROR(VLOOKUP(E1892,'Inventaire des produits'!$B$4:$J$1000,6,FALSE),"")</f>
        <v>14.166665999999999</v>
      </c>
      <c r="M1892" s="62"/>
    </row>
    <row r="1893" spans="2:13" x14ac:dyDescent="0.3">
      <c r="B1893" s="378" t="s">
        <v>1704</v>
      </c>
      <c r="C1893" s="341"/>
      <c r="D1893" s="338"/>
      <c r="E1893" s="234" t="s">
        <v>1465</v>
      </c>
      <c r="F1893" s="274" t="str">
        <f>IFERROR(VLOOKUP(E1893,'Inventaire des produits'!$B$4:$K$1000,2,0),"")</f>
        <v>COUTEAU LUXE TRANSPARENTE</v>
      </c>
      <c r="G1893" s="54">
        <v>8</v>
      </c>
      <c r="H1893" s="60">
        <v>23.333333333333336</v>
      </c>
      <c r="I1893" s="275">
        <f t="shared" si="84"/>
        <v>186.66666666666669</v>
      </c>
      <c r="J1893" s="95">
        <f t="shared" si="85"/>
        <v>224.00000000000003</v>
      </c>
      <c r="K1893" s="93">
        <f>IFERROR(VLOOKUP(E1893,'Inventaire des produits'!$B$4:$J$1000,5,FALSE),"")</f>
        <v>27</v>
      </c>
      <c r="L1893" s="301">
        <f>IFERROR(VLOOKUP(E1893,'Inventaire des produits'!$B$4:$J$1000,6,FALSE),"")</f>
        <v>15</v>
      </c>
      <c r="M1893" s="62"/>
    </row>
    <row r="1894" spans="2:13" x14ac:dyDescent="0.3">
      <c r="B1894" s="378" t="s">
        <v>1704</v>
      </c>
      <c r="C1894" s="341"/>
      <c r="D1894" s="338"/>
      <c r="E1894" s="234" t="s">
        <v>1394</v>
      </c>
      <c r="F1894" s="274" t="str">
        <f>IFERROR(VLOOKUP(E1894,'Inventaire des produits'!$B$4:$K$1000,2,0),"")</f>
        <v>SAC KRAFT ECRU 26*17*28 IMP</v>
      </c>
      <c r="G1894" s="54">
        <v>800</v>
      </c>
      <c r="H1894" s="60">
        <v>1.0843700000000001</v>
      </c>
      <c r="I1894" s="275">
        <f t="shared" si="84"/>
        <v>867.49600000000009</v>
      </c>
      <c r="J1894" s="95">
        <f t="shared" si="85"/>
        <v>1040.9952000000001</v>
      </c>
      <c r="K1894" s="93">
        <f>IFERROR(VLOOKUP(E1894,'Inventaire des produits'!$B$4:$J$1000,5,FALSE),"")</f>
        <v>2250</v>
      </c>
      <c r="L1894" s="301">
        <f>IFERROR(VLOOKUP(E1894,'Inventaire des produits'!$B$4:$J$1000,6,FALSE),"")</f>
        <v>0.75</v>
      </c>
      <c r="M1894" s="62"/>
    </row>
    <row r="1895" spans="2:13" x14ac:dyDescent="0.3">
      <c r="B1895" s="378" t="s">
        <v>1704</v>
      </c>
      <c r="C1895" s="341"/>
      <c r="D1895" s="338"/>
      <c r="E1895" s="234" t="s">
        <v>1184</v>
      </c>
      <c r="F1895" s="274" t="str">
        <f>IFERROR(VLOOKUP(E1895,'Inventaire des produits'!$B$4:$K$1000,2,0),"")</f>
        <v>COQUILLE MEAL BOX 2 COMP BLANC</v>
      </c>
      <c r="G1895" s="54">
        <v>800</v>
      </c>
      <c r="H1895" s="60">
        <v>1.25</v>
      </c>
      <c r="I1895" s="275">
        <f t="shared" si="84"/>
        <v>1000</v>
      </c>
      <c r="J1895" s="95">
        <f t="shared" si="85"/>
        <v>1200</v>
      </c>
      <c r="K1895" s="93">
        <f>IFERROR(VLOOKUP(E1895,'Inventaire des produits'!$B$4:$J$1000,5,FALSE),"")</f>
        <v>5800</v>
      </c>
      <c r="L1895" s="301">
        <f>IFERROR(VLOOKUP(E1895,'Inventaire des produits'!$B$4:$J$1000,6,FALSE),"")</f>
        <v>0.79166666666666663</v>
      </c>
      <c r="M1895" s="62"/>
    </row>
    <row r="1896" spans="2:13" x14ac:dyDescent="0.3">
      <c r="B1896" s="378" t="s">
        <v>1704</v>
      </c>
      <c r="C1896" s="341"/>
      <c r="D1896" s="338"/>
      <c r="E1896" s="234" t="s">
        <v>918</v>
      </c>
      <c r="F1896" s="274" t="str">
        <f>IFERROR(VLOOKUP(E1896,'Inventaire des produits'!$B$4:$K$1000,2,0),"")</f>
        <v>FILM ETIRABLE VIOLET 290mm kg</v>
      </c>
      <c r="G1896" s="54">
        <v>4</v>
      </c>
      <c r="H1896" s="60">
        <v>31.666666666666668</v>
      </c>
      <c r="I1896" s="275">
        <f t="shared" si="84"/>
        <v>126.66666666666667</v>
      </c>
      <c r="J1896" s="95">
        <f t="shared" si="85"/>
        <v>152</v>
      </c>
      <c r="K1896" s="93">
        <f>IFERROR(VLOOKUP(E1896,'Inventaire des produits'!$B$4:$J$1000,5,FALSE),"")</f>
        <v>124.32999999999998</v>
      </c>
      <c r="L1896" s="301">
        <f>IFERROR(VLOOKUP(E1896,'Inventaire des produits'!$B$4:$J$1000,6,FALSE),"")</f>
        <v>25</v>
      </c>
      <c r="M1896" s="62"/>
    </row>
    <row r="1897" spans="2:13" x14ac:dyDescent="0.3">
      <c r="B1897" s="378" t="s">
        <v>1704</v>
      </c>
      <c r="C1897" s="342"/>
      <c r="D1897" s="339"/>
      <c r="E1897" s="234" t="s">
        <v>929</v>
      </c>
      <c r="F1897" s="274" t="str">
        <f>IFERROR(VLOOKUP(E1897,'Inventaire des produits'!$B$4:$K$1000,2,0),"")</f>
        <v xml:space="preserve">SERVIETTE DE TABLE </v>
      </c>
      <c r="G1897" s="54">
        <v>80</v>
      </c>
      <c r="H1897" s="60">
        <v>3.75</v>
      </c>
      <c r="I1897" s="275">
        <f t="shared" si="84"/>
        <v>300</v>
      </c>
      <c r="J1897" s="95">
        <f t="shared" si="85"/>
        <v>360</v>
      </c>
      <c r="K1897" s="93">
        <f>IFERROR(VLOOKUP(E1897,'Inventaire des produits'!$B$4:$J$1000,5,FALSE),"")</f>
        <v>0</v>
      </c>
      <c r="L1897" s="301">
        <f>IFERROR(VLOOKUP(E1897,'Inventaire des produits'!$B$4:$J$1000,6,FALSE),"")</f>
        <v>2.9169999999999998</v>
      </c>
      <c r="M1897" s="62"/>
    </row>
    <row r="1898" spans="2:13" x14ac:dyDescent="0.3">
      <c r="B1898" s="378" t="s">
        <v>1704</v>
      </c>
      <c r="C1898" s="340">
        <v>45600</v>
      </c>
      <c r="D1898" s="337" t="s">
        <v>1583</v>
      </c>
      <c r="E1898" s="234" t="s">
        <v>461</v>
      </c>
      <c r="F1898" s="274" t="str">
        <f>IFERROR(VLOOKUP(E1898,'Inventaire des produits'!$B$4:$K$1000,2,0),"")</f>
        <v>GOBLET 8OZ AVEC CVL</v>
      </c>
      <c r="G1898" s="54">
        <v>500</v>
      </c>
      <c r="H1898" s="60">
        <v>0.45833333333333337</v>
      </c>
      <c r="I1898" s="275">
        <f t="shared" si="76"/>
        <v>229.16666666666669</v>
      </c>
      <c r="J1898" s="95">
        <f t="shared" si="77"/>
        <v>275</v>
      </c>
      <c r="K1898" s="93">
        <f>IFERROR(VLOOKUP(E1898,'Inventaire des produits'!$B$4:$J$1000,5,FALSE),"")</f>
        <v>1900</v>
      </c>
      <c r="L1898" s="301">
        <f>IFERROR(VLOOKUP(E1898,'Inventaire des produits'!$B$4:$J$1000,6,FALSE),"")</f>
        <v>0.5</v>
      </c>
      <c r="M1898" s="62">
        <f>SUM(J1898:J1903)</f>
        <v>1547.5040000000001</v>
      </c>
    </row>
    <row r="1899" spans="2:13" x14ac:dyDescent="0.3">
      <c r="B1899" s="378" t="s">
        <v>1704</v>
      </c>
      <c r="C1899" s="341"/>
      <c r="D1899" s="338"/>
      <c r="E1899" s="234" t="s">
        <v>633</v>
      </c>
      <c r="F1899" s="274" t="str">
        <f>IFERROR(VLOOKUP(E1899,'Inventaire des produits'!$B$4:$K$1000,2,0),"")</f>
        <v>GOBLET KRAFT 4OZ</v>
      </c>
      <c r="G1899" s="54">
        <v>1000</v>
      </c>
      <c r="H1899" s="60">
        <v>0.1875</v>
      </c>
      <c r="I1899" s="275">
        <f t="shared" si="76"/>
        <v>187.5</v>
      </c>
      <c r="J1899" s="95">
        <f t="shared" si="77"/>
        <v>225</v>
      </c>
      <c r="K1899" s="93">
        <f>IFERROR(VLOOKUP(E1899,'Inventaire des produits'!$B$4:$J$1000,5,FALSE),"")</f>
        <v>0</v>
      </c>
      <c r="L1899" s="301">
        <f>IFERROR(VLOOKUP(E1899,'Inventaire des produits'!$B$4:$J$1000,6,FALSE),"")</f>
        <v>0.21375</v>
      </c>
      <c r="M1899" s="62"/>
    </row>
    <row r="1900" spans="2:13" x14ac:dyDescent="0.3">
      <c r="B1900" s="378" t="s">
        <v>1704</v>
      </c>
      <c r="C1900" s="341"/>
      <c r="D1900" s="338"/>
      <c r="E1900" s="234" t="s">
        <v>634</v>
      </c>
      <c r="F1900" s="274" t="str">
        <f>IFERROR(VLOOKUP(E1900,'Inventaire des produits'!$B$4:$K$1000,2,0),"")</f>
        <v>CVL DE GOBLET 4OZ</v>
      </c>
      <c r="G1900" s="54">
        <v>1000</v>
      </c>
      <c r="H1900" s="60">
        <v>0.18542</v>
      </c>
      <c r="I1900" s="275">
        <f t="shared" ref="I1900:I1964" si="86">IF(OR(G1900="",H1900=""),"",G1900*H1900)</f>
        <v>185.42</v>
      </c>
      <c r="J1900" s="95">
        <f t="shared" ref="J1900:J1964" si="87">IF(OR(I1900=""),"",I1900*1.2)</f>
        <v>222.50399999999999</v>
      </c>
      <c r="K1900" s="93">
        <f>IFERROR(VLOOKUP(E1900,'Inventaire des produits'!$B$4:$J$1000,5,FALSE),"")</f>
        <v>0</v>
      </c>
      <c r="L1900" s="301">
        <f>IFERROR(VLOOKUP(E1900,'Inventaire des produits'!$B$4:$J$1000,6,FALSE),"")</f>
        <v>0.15</v>
      </c>
      <c r="M1900" s="62"/>
    </row>
    <row r="1901" spans="2:13" x14ac:dyDescent="0.3">
      <c r="B1901" s="378" t="s">
        <v>1704</v>
      </c>
      <c r="C1901" s="341"/>
      <c r="D1901" s="338"/>
      <c r="E1901" s="234" t="s">
        <v>869</v>
      </c>
      <c r="F1901" s="274" t="str">
        <f>IFERROR(VLOOKUP(E1901,'Inventaire des produits'!$B$4:$K$1000,2,0),"")</f>
        <v>PAILLE ENVELOPPEE CODE 100 TRANS</v>
      </c>
      <c r="G1901" s="54">
        <v>22</v>
      </c>
      <c r="H1901" s="60">
        <v>8.3333333333333339</v>
      </c>
      <c r="I1901" s="275">
        <f t="shared" si="86"/>
        <v>183.33333333333334</v>
      </c>
      <c r="J1901" s="95">
        <f t="shared" si="87"/>
        <v>220</v>
      </c>
      <c r="K1901" s="93">
        <f>IFERROR(VLOOKUP(E1901,'Inventaire des produits'!$B$4:$J$1000,5,FALSE),"")</f>
        <v>898</v>
      </c>
      <c r="L1901" s="301">
        <f>IFERROR(VLOOKUP(E1901,'Inventaire des produits'!$B$4:$J$1000,6,FALSE),"")</f>
        <v>3.9166666659999998</v>
      </c>
      <c r="M1901" s="62"/>
    </row>
    <row r="1902" spans="2:13" x14ac:dyDescent="0.3">
      <c r="B1902" s="378" t="s">
        <v>1704</v>
      </c>
      <c r="C1902" s="341"/>
      <c r="D1902" s="338"/>
      <c r="E1902" s="234" t="s">
        <v>1394</v>
      </c>
      <c r="F1902" s="274" t="str">
        <f>IFERROR(VLOOKUP(E1902,'Inventaire des produits'!$B$4:$K$1000,2,0),"")</f>
        <v>SAC KRAFT ECRU 26*17*28 IMP</v>
      </c>
      <c r="G1902" s="54">
        <v>250</v>
      </c>
      <c r="H1902" s="60">
        <v>1.0833333333333335</v>
      </c>
      <c r="I1902" s="275">
        <f t="shared" si="86"/>
        <v>270.83333333333337</v>
      </c>
      <c r="J1902" s="95">
        <f t="shared" si="87"/>
        <v>325.00000000000006</v>
      </c>
      <c r="K1902" s="93">
        <f>IFERROR(VLOOKUP(E1902,'Inventaire des produits'!$B$4:$J$1000,5,FALSE),"")</f>
        <v>2250</v>
      </c>
      <c r="L1902" s="301">
        <f>IFERROR(VLOOKUP(E1902,'Inventaire des produits'!$B$4:$J$1000,6,FALSE),"")</f>
        <v>0.75</v>
      </c>
      <c r="M1902" s="62"/>
    </row>
    <row r="1903" spans="2:13" x14ac:dyDescent="0.3">
      <c r="B1903" s="378" t="s">
        <v>1704</v>
      </c>
      <c r="C1903" s="342"/>
      <c r="D1903" s="339"/>
      <c r="E1903" s="234" t="s">
        <v>726</v>
      </c>
      <c r="F1903" s="274" t="str">
        <f>IFERROR(VLOOKUP(E1903,'Inventaire des produits'!$B$4:$K$1000,2,0),"")</f>
        <v>PALETTE A GLACE BLANC</v>
      </c>
      <c r="G1903" s="54">
        <v>10</v>
      </c>
      <c r="H1903" s="60">
        <v>23.333333333333336</v>
      </c>
      <c r="I1903" s="275">
        <f t="shared" si="86"/>
        <v>233.33333333333337</v>
      </c>
      <c r="J1903" s="95">
        <f t="shared" si="87"/>
        <v>280.00000000000006</v>
      </c>
      <c r="K1903" s="93">
        <f>IFERROR(VLOOKUP(E1903,'Inventaire des produits'!$B$4:$J$1000,5,FALSE),"")</f>
        <v>0</v>
      </c>
      <c r="L1903" s="301">
        <f>IFERROR(VLOOKUP(E1903,'Inventaire des produits'!$B$4:$J$1000,6,FALSE),"")</f>
        <v>16.03</v>
      </c>
      <c r="M1903" s="62"/>
    </row>
    <row r="1904" spans="2:13" x14ac:dyDescent="0.3">
      <c r="B1904" s="378" t="s">
        <v>1704</v>
      </c>
      <c r="C1904" s="340">
        <v>45600</v>
      </c>
      <c r="D1904" s="337" t="s">
        <v>1584</v>
      </c>
      <c r="E1904" s="234" t="s">
        <v>464</v>
      </c>
      <c r="F1904" s="274" t="str">
        <f>IFERROR(VLOOKUP(E1904,'Inventaire des produits'!$B$4:$K$1000,2,0),"")</f>
        <v>PAPIER ZIGZAG</v>
      </c>
      <c r="G1904" s="54">
        <v>40</v>
      </c>
      <c r="H1904" s="60">
        <v>12.5</v>
      </c>
      <c r="I1904" s="275">
        <f t="shared" si="86"/>
        <v>500</v>
      </c>
      <c r="J1904" s="95">
        <f t="shared" ref="J1904" si="88">IF(OR(I1904=""),"",I1904*1.2)</f>
        <v>600</v>
      </c>
      <c r="K1904" s="93">
        <f>IFERROR(VLOOKUP(E1904,'Inventaire des produits'!$B$4:$J$1000,5,FALSE),"")</f>
        <v>120</v>
      </c>
      <c r="L1904" s="301">
        <f>IFERROR(VLOOKUP(E1904,'Inventaire des produits'!$B$4:$J$1000,6,FALSE),"")</f>
        <v>7.5</v>
      </c>
      <c r="M1904" s="62">
        <f>SUM(J1904:J1905)</f>
        <v>1725</v>
      </c>
    </row>
    <row r="1905" spans="2:13" x14ac:dyDescent="0.3">
      <c r="B1905" s="378" t="s">
        <v>1704</v>
      </c>
      <c r="C1905" s="342"/>
      <c r="D1905" s="339"/>
      <c r="E1905" s="234" t="s">
        <v>1527</v>
      </c>
      <c r="F1905" s="274" t="str">
        <f>IFERROR(VLOOKUP(E1905,'Inventaire des produits'!$B$4:$K$1000,2,0),"")</f>
        <v>BOITE PIZZA 29</v>
      </c>
      <c r="G1905" s="54">
        <v>15</v>
      </c>
      <c r="H1905" s="60">
        <f>75/1.2</f>
        <v>62.5</v>
      </c>
      <c r="I1905" s="275">
        <f t="shared" si="86"/>
        <v>937.5</v>
      </c>
      <c r="J1905" s="95">
        <f t="shared" si="87"/>
        <v>1125</v>
      </c>
      <c r="K1905" s="93">
        <f>IFERROR(VLOOKUP(E1905,'Inventaire des produits'!$B$4:$J$1000,5,FALSE),"")</f>
        <v>17</v>
      </c>
      <c r="L1905" s="301">
        <f>IFERROR(VLOOKUP(E1905,'Inventaire des produits'!$B$4:$J$1000,6,FALSE),"")</f>
        <v>58.5</v>
      </c>
      <c r="M1905" s="62"/>
    </row>
    <row r="1906" spans="2:13" x14ac:dyDescent="0.3">
      <c r="B1906" s="378" t="s">
        <v>1704</v>
      </c>
      <c r="C1906" s="55">
        <v>45601</v>
      </c>
      <c r="D1906" s="54" t="s">
        <v>1585</v>
      </c>
      <c r="E1906" s="234" t="s">
        <v>1311</v>
      </c>
      <c r="F1906" s="274" t="str">
        <f>IFERROR(VLOOKUP(E1906,'Inventaire des produits'!$B$4:$K$1000,2,0),"")</f>
        <v>POT CARTONIER BLANC 26OZ AVEC CVL</v>
      </c>
      <c r="G1906" s="54">
        <v>1000</v>
      </c>
      <c r="H1906" s="60">
        <v>2.4</v>
      </c>
      <c r="I1906" s="275">
        <f t="shared" si="86"/>
        <v>2400</v>
      </c>
      <c r="J1906" s="95">
        <f t="shared" si="87"/>
        <v>2880</v>
      </c>
      <c r="K1906" s="93">
        <f>IFERROR(VLOOKUP(E1906,'Inventaire des produits'!$B$4:$J$1000,5,FALSE),"")</f>
        <v>1000</v>
      </c>
      <c r="L1906" s="301">
        <f>IFERROR(VLOOKUP(E1906,'Inventaire des produits'!$B$4:$J$1000,6,FALSE),"")</f>
        <v>2</v>
      </c>
      <c r="M1906" s="62">
        <v>2880</v>
      </c>
    </row>
    <row r="1907" spans="2:13" x14ac:dyDescent="0.3">
      <c r="B1907" s="378" t="s">
        <v>1704</v>
      </c>
      <c r="C1907" s="340">
        <v>45603</v>
      </c>
      <c r="D1907" s="337" t="s">
        <v>1586</v>
      </c>
      <c r="E1907" s="234" t="s">
        <v>1294</v>
      </c>
      <c r="F1907" s="274" t="str">
        <f>IFERROR(VLOOKUP(E1907,'Inventaire des produits'!$B$4:$K$1000,2,0),"")</f>
        <v>BARQUETTE ALUMINIUM RECT 1200ML AVEC CVL</v>
      </c>
      <c r="G1907" s="54">
        <v>2800</v>
      </c>
      <c r="H1907" s="60">
        <v>0.88160000000000005</v>
      </c>
      <c r="I1907" s="275">
        <f t="shared" si="86"/>
        <v>2468.48</v>
      </c>
      <c r="J1907" s="95">
        <f t="shared" si="87"/>
        <v>2962.1759999999999</v>
      </c>
      <c r="K1907" s="93">
        <f>IFERROR(VLOOKUP(E1907,'Inventaire des produits'!$B$4:$J$1000,5,FALSE),"")</f>
        <v>4000</v>
      </c>
      <c r="L1907" s="301">
        <f>IFERROR(VLOOKUP(E1907,'Inventaire des produits'!$B$4:$J$1000,6,FALSE),"")</f>
        <v>1.3666666667</v>
      </c>
      <c r="M1907" s="62">
        <f>SUM(J1907:J1925)</f>
        <v>27418.999000000003</v>
      </c>
    </row>
    <row r="1908" spans="2:13" x14ac:dyDescent="0.3">
      <c r="B1908" s="378" t="s">
        <v>1704</v>
      </c>
      <c r="C1908" s="341"/>
      <c r="D1908" s="338"/>
      <c r="E1908" s="234" t="s">
        <v>779</v>
      </c>
      <c r="F1908" s="274" t="str">
        <f>IFERROR(VLOOKUP(E1908,'Inventaire des produits'!$B$4:$K$1000,2,0),"")</f>
        <v>BARQUETTE ALUMINIUM 83420</v>
      </c>
      <c r="G1908" s="54">
        <v>2000</v>
      </c>
      <c r="H1908" s="60">
        <v>0.47326000000000001</v>
      </c>
      <c r="I1908" s="275">
        <f t="shared" si="86"/>
        <v>946.52</v>
      </c>
      <c r="J1908" s="95">
        <f t="shared" si="87"/>
        <v>1135.8239999999998</v>
      </c>
      <c r="K1908" s="93">
        <f>IFERROR(VLOOKUP(E1908,'Inventaire des produits'!$B$4:$J$1000,5,FALSE),"")</f>
        <v>0</v>
      </c>
      <c r="L1908" s="301">
        <f>IFERROR(VLOOKUP(E1908,'Inventaire des produits'!$B$4:$J$1000,6,FALSE),"")</f>
        <v>0.30833333330000001</v>
      </c>
      <c r="M1908" s="62"/>
    </row>
    <row r="1909" spans="2:13" x14ac:dyDescent="0.3">
      <c r="B1909" s="378" t="s">
        <v>1704</v>
      </c>
      <c r="C1909" s="341"/>
      <c r="D1909" s="338"/>
      <c r="E1909" s="234" t="s">
        <v>869</v>
      </c>
      <c r="F1909" s="274" t="str">
        <f>IFERROR(VLOOKUP(E1909,'Inventaire des produits'!$B$4:$K$1000,2,0),"")</f>
        <v>PAILLE ENVELOPPEE CODE 100 TRANS</v>
      </c>
      <c r="G1909" s="54">
        <v>100</v>
      </c>
      <c r="H1909" s="60">
        <v>6.25</v>
      </c>
      <c r="I1909" s="275">
        <f t="shared" si="86"/>
        <v>625</v>
      </c>
      <c r="J1909" s="95">
        <f t="shared" si="87"/>
        <v>750</v>
      </c>
      <c r="K1909" s="93">
        <f>IFERROR(VLOOKUP(E1909,'Inventaire des produits'!$B$4:$J$1000,5,FALSE),"")</f>
        <v>898</v>
      </c>
      <c r="L1909" s="301">
        <f>IFERROR(VLOOKUP(E1909,'Inventaire des produits'!$B$4:$J$1000,6,FALSE),"")</f>
        <v>3.9166666659999998</v>
      </c>
      <c r="M1909" s="62"/>
    </row>
    <row r="1910" spans="2:13" x14ac:dyDescent="0.3">
      <c r="B1910" s="378" t="s">
        <v>1704</v>
      </c>
      <c r="C1910" s="341"/>
      <c r="D1910" s="338"/>
      <c r="E1910" s="234" t="s">
        <v>1190</v>
      </c>
      <c r="F1910" s="274" t="str">
        <f>IFERROR(VLOOKUP(E1910,'Inventaire des produits'!$B$4:$K$1000,2,0),"")</f>
        <v>GOBLET 12OZ EN PLAST TRANS SMART AVEC CVL PLAT</v>
      </c>
      <c r="G1910" s="54">
        <v>2000</v>
      </c>
      <c r="H1910" s="60">
        <v>0.6</v>
      </c>
      <c r="I1910" s="275">
        <f t="shared" si="86"/>
        <v>1200</v>
      </c>
      <c r="J1910" s="95">
        <f t="shared" si="87"/>
        <v>1440</v>
      </c>
      <c r="K1910" s="93">
        <f>IFERROR(VLOOKUP(E1910,'Inventaire des produits'!$B$4:$J$1000,5,FALSE),"")</f>
        <v>0</v>
      </c>
      <c r="L1910" s="301">
        <f>IFERROR(VLOOKUP(E1910,'Inventaire des produits'!$B$4:$J$1000,6,FALSE),"")</f>
        <v>0.55555833333333338</v>
      </c>
      <c r="M1910" s="62"/>
    </row>
    <row r="1911" spans="2:13" x14ac:dyDescent="0.3">
      <c r="B1911" s="378" t="s">
        <v>1704</v>
      </c>
      <c r="C1911" s="341"/>
      <c r="D1911" s="338"/>
      <c r="E1911" s="234" t="s">
        <v>1184</v>
      </c>
      <c r="F1911" s="274" t="str">
        <f>IFERROR(VLOOKUP(E1911,'Inventaire des produits'!$B$4:$K$1000,2,0),"")</f>
        <v>COQUILLE MEAL BOX 2 COMP BLANC</v>
      </c>
      <c r="G1911" s="54">
        <v>4200</v>
      </c>
      <c r="H1911" s="60">
        <v>1.0409999999999999</v>
      </c>
      <c r="I1911" s="275">
        <f t="shared" si="86"/>
        <v>4372.2</v>
      </c>
      <c r="J1911" s="95">
        <f t="shared" si="87"/>
        <v>5246.6399999999994</v>
      </c>
      <c r="K1911" s="93">
        <f>IFERROR(VLOOKUP(E1911,'Inventaire des produits'!$B$4:$J$1000,5,FALSE),"")</f>
        <v>5800</v>
      </c>
      <c r="L1911" s="301">
        <f>IFERROR(VLOOKUP(E1911,'Inventaire des produits'!$B$4:$J$1000,6,FALSE),"")</f>
        <v>0.79166666666666663</v>
      </c>
      <c r="M1911" s="62"/>
    </row>
    <row r="1912" spans="2:13" x14ac:dyDescent="0.3">
      <c r="B1912" s="378" t="s">
        <v>1704</v>
      </c>
      <c r="C1912" s="341"/>
      <c r="D1912" s="338"/>
      <c r="E1912" s="234" t="s">
        <v>498</v>
      </c>
      <c r="F1912" s="274" t="str">
        <f>IFERROR(VLOOKUP(E1912,'Inventaire des produits'!$B$4:$K$1000,2,0),"")</f>
        <v>FILM ETIRABLE VIOLET 450MM KG</v>
      </c>
      <c r="G1912" s="54">
        <v>90.15</v>
      </c>
      <c r="H1912" s="60">
        <f>55/1.2</f>
        <v>45.833333333333336</v>
      </c>
      <c r="I1912" s="275">
        <f t="shared" si="86"/>
        <v>4131.8750000000009</v>
      </c>
      <c r="J1912" s="95">
        <f t="shared" si="87"/>
        <v>4958.2500000000009</v>
      </c>
      <c r="K1912" s="93">
        <f>IFERROR(VLOOKUP(E1912,'Inventaire des produits'!$B$4:$J$1000,5,FALSE),"")</f>
        <v>0</v>
      </c>
      <c r="L1912" s="301">
        <f>IFERROR(VLOOKUP(E1912,'Inventaire des produits'!$B$4:$J$1000,6,FALSE),"")</f>
        <v>27.083333333300001</v>
      </c>
      <c r="M1912" s="62"/>
    </row>
    <row r="1913" spans="2:13" x14ac:dyDescent="0.3">
      <c r="B1913" s="378" t="s">
        <v>1704</v>
      </c>
      <c r="C1913" s="341"/>
      <c r="D1913" s="338"/>
      <c r="E1913" s="234" t="s">
        <v>1079</v>
      </c>
      <c r="F1913" s="274" t="str">
        <f>IFERROR(VLOOKUP(E1913,'Inventaire des produits'!$B$4:$K$1000,2,0),"")</f>
        <v>FOURCHETTE ECOLUXE TRANSPARENTE</v>
      </c>
      <c r="G1913" s="54">
        <v>39</v>
      </c>
      <c r="H1913" s="60">
        <f>21/1.2</f>
        <v>17.5</v>
      </c>
      <c r="I1913" s="275">
        <f t="shared" si="86"/>
        <v>682.5</v>
      </c>
      <c r="J1913" s="95">
        <f t="shared" si="87"/>
        <v>819</v>
      </c>
      <c r="K1913" s="93">
        <f>IFERROR(VLOOKUP(E1913,'Inventaire des produits'!$B$4:$J$1000,5,FALSE),"")</f>
        <v>0</v>
      </c>
      <c r="L1913" s="301">
        <f>IFERROR(VLOOKUP(E1913,'Inventaire des produits'!$B$4:$J$1000,6,FALSE),"")</f>
        <v>14.166665999999999</v>
      </c>
      <c r="M1913" s="62"/>
    </row>
    <row r="1914" spans="2:13" x14ac:dyDescent="0.3">
      <c r="B1914" s="378" t="s">
        <v>1704</v>
      </c>
      <c r="C1914" s="341"/>
      <c r="D1914" s="338"/>
      <c r="E1914" s="234" t="s">
        <v>440</v>
      </c>
      <c r="F1914" s="274" t="str">
        <f>IFERROR(VLOOKUP(E1914,'Inventaire des produits'!$B$4:$K$1000,2,0),"")</f>
        <v>COUPE MACEDONIA</v>
      </c>
      <c r="G1914" s="54">
        <v>1000</v>
      </c>
      <c r="H1914" s="60">
        <v>0.91500000000000004</v>
      </c>
      <c r="I1914" s="275">
        <f t="shared" si="86"/>
        <v>915</v>
      </c>
      <c r="J1914" s="95">
        <f t="shared" si="87"/>
        <v>1098</v>
      </c>
      <c r="K1914" s="93">
        <f>IFERROR(VLOOKUP(E1914,'Inventaire des produits'!$B$4:$J$1000,5,FALSE),"")</f>
        <v>0</v>
      </c>
      <c r="L1914" s="301">
        <f>IFERROR(VLOOKUP(E1914,'Inventaire des produits'!$B$4:$J$1000,6,FALSE),"")</f>
        <v>0.47</v>
      </c>
      <c r="M1914" s="62"/>
    </row>
    <row r="1915" spans="2:13" x14ac:dyDescent="0.3">
      <c r="B1915" s="378" t="s">
        <v>1704</v>
      </c>
      <c r="C1915" s="341"/>
      <c r="D1915" s="338"/>
      <c r="E1915" s="234" t="s">
        <v>1464</v>
      </c>
      <c r="F1915" s="274" t="str">
        <f>IFERROR(VLOOKUP(E1915,'Inventaire des produits'!$B$4:$K$1000,2,0),"")</f>
        <v>CUILLERE LUXE TRANSPARENTE</v>
      </c>
      <c r="G1915" s="54">
        <v>20</v>
      </c>
      <c r="H1915" s="60">
        <v>17.5</v>
      </c>
      <c r="I1915" s="275">
        <f t="shared" si="86"/>
        <v>350</v>
      </c>
      <c r="J1915" s="95">
        <f t="shared" si="87"/>
        <v>420</v>
      </c>
      <c r="K1915" s="93">
        <f>IFERROR(VLOOKUP(E1915,'Inventaire des produits'!$B$4:$J$1000,5,FALSE),"")</f>
        <v>33</v>
      </c>
      <c r="L1915" s="301">
        <f>IFERROR(VLOOKUP(E1915,'Inventaire des produits'!$B$4:$J$1000,6,FALSE),"")</f>
        <v>15</v>
      </c>
      <c r="M1915" s="62"/>
    </row>
    <row r="1916" spans="2:13" x14ac:dyDescent="0.3">
      <c r="B1916" s="378" t="s">
        <v>1704</v>
      </c>
      <c r="C1916" s="341"/>
      <c r="D1916" s="338"/>
      <c r="E1916" s="234" t="s">
        <v>772</v>
      </c>
      <c r="F1916" s="274" t="str">
        <f>IFERROR(VLOOKUP(E1916,'Inventaire des produits'!$B$4:$K$1000,2,0),"")</f>
        <v>GANT VINYL NOIR EXTRA PREMIUM GLOVE MEDIUM</v>
      </c>
      <c r="G1916" s="54">
        <v>20</v>
      </c>
      <c r="H1916" s="60">
        <v>29.166666666666668</v>
      </c>
      <c r="I1916" s="275">
        <f t="shared" si="86"/>
        <v>583.33333333333337</v>
      </c>
      <c r="J1916" s="95">
        <f t="shared" si="87"/>
        <v>700</v>
      </c>
      <c r="K1916" s="93">
        <f>IFERROR(VLOOKUP(E1916,'Inventaire des produits'!$B$4:$J$1000,5,FALSE),"")</f>
        <v>0</v>
      </c>
      <c r="L1916" s="301">
        <f>IFERROR(VLOOKUP(E1916,'Inventaire des produits'!$B$4:$J$1000,6,FALSE),"")</f>
        <v>20.833333333300001</v>
      </c>
      <c r="M1916" s="62"/>
    </row>
    <row r="1917" spans="2:13" x14ac:dyDescent="0.3">
      <c r="B1917" s="378" t="s">
        <v>1704</v>
      </c>
      <c r="C1917" s="341"/>
      <c r="D1917" s="338"/>
      <c r="E1917" s="234" t="s">
        <v>672</v>
      </c>
      <c r="F1917" s="274" t="str">
        <f>IFERROR(VLOOKUP(E1917,'Inventaire des produits'!$B$4:$K$1000,2,0),"")</f>
        <v>BARQUETTE 150CARRE</v>
      </c>
      <c r="G1917" s="54">
        <v>1000</v>
      </c>
      <c r="H1917" s="60">
        <v>0.27200000000000002</v>
      </c>
      <c r="I1917" s="275">
        <f t="shared" si="86"/>
        <v>272</v>
      </c>
      <c r="J1917" s="95">
        <f t="shared" si="87"/>
        <v>326.39999999999998</v>
      </c>
      <c r="K1917" s="93">
        <f>IFERROR(VLOOKUP(E1917,'Inventaire des produits'!$B$4:$J$1000,5,FALSE),"")</f>
        <v>0</v>
      </c>
      <c r="L1917" s="301">
        <f>IFERROR(VLOOKUP(E1917,'Inventaire des produits'!$B$4:$J$1000,6,FALSE),"")</f>
        <v>0.21</v>
      </c>
      <c r="M1917" s="62"/>
    </row>
    <row r="1918" spans="2:13" x14ac:dyDescent="0.3">
      <c r="B1918" s="378" t="s">
        <v>1704</v>
      </c>
      <c r="C1918" s="341"/>
      <c r="D1918" s="338"/>
      <c r="E1918" s="234" t="s">
        <v>1133</v>
      </c>
      <c r="F1918" s="274" t="str">
        <f>IFERROR(VLOOKUP(E1918,'Inventaire des produits'!$B$4:$K$1000,2,0),"")</f>
        <v>MOUCHOIR SWEET 600</v>
      </c>
      <c r="G1918" s="54">
        <v>60</v>
      </c>
      <c r="H1918" s="60">
        <v>7.0833333333333339</v>
      </c>
      <c r="I1918" s="275">
        <f t="shared" si="86"/>
        <v>425.00000000000006</v>
      </c>
      <c r="J1918" s="95">
        <f t="shared" si="87"/>
        <v>510.00000000000006</v>
      </c>
      <c r="K1918" s="93">
        <f>IFERROR(VLOOKUP(E1918,'Inventaire des produits'!$B$4:$J$1000,5,FALSE),"")</f>
        <v>179</v>
      </c>
      <c r="L1918" s="301">
        <f>IFERROR(VLOOKUP(E1918,'Inventaire des produits'!$B$4:$J$1000,6,FALSE),"")</f>
        <v>6.25</v>
      </c>
      <c r="M1918" s="62"/>
    </row>
    <row r="1919" spans="2:13" x14ac:dyDescent="0.3">
      <c r="B1919" s="378" t="s">
        <v>1704</v>
      </c>
      <c r="C1919" s="341"/>
      <c r="D1919" s="338"/>
      <c r="E1919" s="234" t="s">
        <v>1242</v>
      </c>
      <c r="F1919" s="274" t="str">
        <f>IFERROR(VLOOKUP(E1919,'Inventaire des produits'!$B$4:$K$1000,2,0),"")</f>
        <v>KETCHUP STAR SACHET 10G CARTON DE 220</v>
      </c>
      <c r="G1919" s="54">
        <v>6</v>
      </c>
      <c r="H1919" s="60">
        <v>62.5</v>
      </c>
      <c r="I1919" s="275">
        <f t="shared" si="86"/>
        <v>375</v>
      </c>
      <c r="J1919" s="95">
        <f t="shared" si="87"/>
        <v>450</v>
      </c>
      <c r="K1919" s="93">
        <f>IFERROR(VLOOKUP(E1919,'Inventaire des produits'!$B$4:$J$1000,5,FALSE),"")</f>
        <v>0</v>
      </c>
      <c r="L1919" s="301">
        <f>IFERROR(VLOOKUP(E1919,'Inventaire des produits'!$B$4:$J$1000,6,FALSE),"")</f>
        <v>60</v>
      </c>
      <c r="M1919" s="62"/>
    </row>
    <row r="1920" spans="2:13" x14ac:dyDescent="0.3">
      <c r="B1920" s="378" t="s">
        <v>1704</v>
      </c>
      <c r="C1920" s="341"/>
      <c r="D1920" s="338"/>
      <c r="E1920" s="234" t="s">
        <v>1245</v>
      </c>
      <c r="F1920" s="274" t="str">
        <f>IFERROR(VLOOKUP(E1920,'Inventaire des produits'!$B$4:$K$1000,2,0),"")</f>
        <v>MOUTARDE STAR SACHET 7G CARTON DE 220</v>
      </c>
      <c r="G1920" s="54">
        <v>6</v>
      </c>
      <c r="H1920" s="60">
        <v>62.5</v>
      </c>
      <c r="I1920" s="275">
        <f t="shared" si="86"/>
        <v>375</v>
      </c>
      <c r="J1920" s="95">
        <f t="shared" si="87"/>
        <v>450</v>
      </c>
      <c r="K1920" s="93">
        <f>IFERROR(VLOOKUP(E1920,'Inventaire des produits'!$B$4:$J$1000,5,FALSE),"")</f>
        <v>0</v>
      </c>
      <c r="L1920" s="301">
        <f>IFERROR(VLOOKUP(E1920,'Inventaire des produits'!$B$4:$J$1000,6,FALSE),"")</f>
        <v>58.3333333</v>
      </c>
      <c r="M1920" s="62"/>
    </row>
    <row r="1921" spans="2:13" x14ac:dyDescent="0.3">
      <c r="B1921" s="378" t="s">
        <v>1704</v>
      </c>
      <c r="C1921" s="341"/>
      <c r="D1921" s="338"/>
      <c r="E1921" s="234" t="s">
        <v>1520</v>
      </c>
      <c r="F1921" s="274" t="str">
        <f>IFERROR(VLOOKUP(E1921,'Inventaire des produits'!$B$4:$K$1000,2,0),"")</f>
        <v>KETCHUP STAR SACHET 10G*220</v>
      </c>
      <c r="G1921" s="54">
        <v>21</v>
      </c>
      <c r="H1921" s="60">
        <v>62.5</v>
      </c>
      <c r="I1921" s="275">
        <f t="shared" si="86"/>
        <v>1312.5</v>
      </c>
      <c r="J1921" s="95">
        <f t="shared" si="87"/>
        <v>1575</v>
      </c>
      <c r="K1921" s="93">
        <f>IFERROR(VLOOKUP(E1921,'Inventaire des produits'!$B$4:$J$1000,5,FALSE),"")</f>
        <v>0</v>
      </c>
      <c r="L1921" s="301">
        <f>IFERROR(VLOOKUP(E1921,'Inventaire des produits'!$B$4:$J$1000,6,FALSE),"")</f>
        <v>59.167000000000002</v>
      </c>
      <c r="M1921" s="62"/>
    </row>
    <row r="1922" spans="2:13" x14ac:dyDescent="0.3">
      <c r="B1922" s="378" t="s">
        <v>1704</v>
      </c>
      <c r="C1922" s="341"/>
      <c r="D1922" s="338"/>
      <c r="E1922" s="234" t="s">
        <v>1523</v>
      </c>
      <c r="F1922" s="274" t="str">
        <f>IFERROR(VLOOKUP(E1922,'Inventaire des produits'!$B$4:$K$1000,2,0),"")</f>
        <v>MOUTARDE STAR SACHET 7G*220</v>
      </c>
      <c r="G1922" s="54">
        <v>15</v>
      </c>
      <c r="H1922" s="60">
        <v>62.5</v>
      </c>
      <c r="I1922" s="275">
        <f t="shared" si="86"/>
        <v>937.5</v>
      </c>
      <c r="J1922" s="95">
        <f t="shared" si="87"/>
        <v>1125</v>
      </c>
      <c r="K1922" s="93">
        <f>IFERROR(VLOOKUP(E1922,'Inventaire des produits'!$B$4:$J$1000,5,FALSE),"")</f>
        <v>0</v>
      </c>
      <c r="L1922" s="301">
        <f>IFERROR(VLOOKUP(E1922,'Inventaire des produits'!$B$4:$J$1000,6,FALSE),"")</f>
        <v>57.5</v>
      </c>
      <c r="M1922" s="62"/>
    </row>
    <row r="1923" spans="2:13" x14ac:dyDescent="0.3">
      <c r="B1923" s="378" t="s">
        <v>1704</v>
      </c>
      <c r="C1923" s="341"/>
      <c r="D1923" s="338"/>
      <c r="E1923" s="234" t="s">
        <v>979</v>
      </c>
      <c r="F1923" s="274" t="str">
        <f>IFERROR(VLOOKUP(E1923,'Inventaire des produits'!$B$4:$K$1000,2,0),"")</f>
        <v>ROULEAU ALUMINIUM 200</v>
      </c>
      <c r="G1923" s="54">
        <v>14</v>
      </c>
      <c r="H1923" s="60">
        <v>65</v>
      </c>
      <c r="I1923" s="275">
        <f t="shared" si="86"/>
        <v>910</v>
      </c>
      <c r="J1923" s="95">
        <f t="shared" si="87"/>
        <v>1092</v>
      </c>
      <c r="K1923" s="93">
        <f>IFERROR(VLOOKUP(E1923,'Inventaire des produits'!$B$4:$J$1000,5,FALSE),"")</f>
        <v>44</v>
      </c>
      <c r="L1923" s="301">
        <f>IFERROR(VLOOKUP(E1923,'Inventaire des produits'!$B$4:$J$1000,6,FALSE),"")</f>
        <v>48.23</v>
      </c>
      <c r="M1923" s="62"/>
    </row>
    <row r="1924" spans="2:13" x14ac:dyDescent="0.3">
      <c r="B1924" s="378" t="s">
        <v>1704</v>
      </c>
      <c r="C1924" s="341"/>
      <c r="D1924" s="338"/>
      <c r="E1924" s="234" t="s">
        <v>950</v>
      </c>
      <c r="F1924" s="274" t="str">
        <f>IFERROR(VLOOKUP(E1924,'Inventaire des produits'!$B$4:$K$1000,2,0),"")</f>
        <v>BARQUETTE TRAITEUR 500CC MICRON-ONDABLE TRANS</v>
      </c>
      <c r="G1924" s="54">
        <v>750</v>
      </c>
      <c r="H1924" s="60">
        <v>1.208</v>
      </c>
      <c r="I1924" s="275">
        <f t="shared" si="86"/>
        <v>906</v>
      </c>
      <c r="J1924" s="95">
        <f t="shared" si="87"/>
        <v>1087.2</v>
      </c>
      <c r="K1924" s="93">
        <f>IFERROR(VLOOKUP(E1924,'Inventaire des produits'!$B$4:$J$1000,5,FALSE),"")</f>
        <v>2250</v>
      </c>
      <c r="L1924" s="301">
        <f>IFERROR(VLOOKUP(E1924,'Inventaire des produits'!$B$4:$J$1000,6,FALSE),"")</f>
        <v>1.0166666666666666</v>
      </c>
      <c r="M1924" s="62"/>
    </row>
    <row r="1925" spans="2:13" x14ac:dyDescent="0.3">
      <c r="B1925" s="378" t="s">
        <v>1704</v>
      </c>
      <c r="C1925" s="342"/>
      <c r="D1925" s="339"/>
      <c r="E1925" s="234" t="s">
        <v>1217</v>
      </c>
      <c r="F1925" s="274" t="str">
        <f>IFERROR(VLOOKUP(E1925,'Inventaire des produits'!$B$4:$K$1000,2,0),"")</f>
        <v>BARQUETTE TRAITEUR 750CC MICRON ONDABLE TRANS</v>
      </c>
      <c r="G1925" s="54">
        <v>750</v>
      </c>
      <c r="H1925" s="60">
        <v>1.4150100000000001</v>
      </c>
      <c r="I1925" s="275">
        <f t="shared" si="86"/>
        <v>1061.2575000000002</v>
      </c>
      <c r="J1925" s="95">
        <f t="shared" si="87"/>
        <v>1273.5090000000002</v>
      </c>
      <c r="K1925" s="93">
        <f>IFERROR(VLOOKUP(E1925,'Inventaire des produits'!$B$4:$J$1000,5,FALSE),"")</f>
        <v>1550</v>
      </c>
      <c r="L1925" s="301">
        <f>IFERROR(VLOOKUP(E1925,'Inventaire des produits'!$B$4:$J$1000,6,FALSE),"")</f>
        <v>1.0694444444444446</v>
      </c>
      <c r="M1925" s="62"/>
    </row>
    <row r="1926" spans="2:13" x14ac:dyDescent="0.3">
      <c r="B1926" s="378" t="s">
        <v>1704</v>
      </c>
      <c r="C1926" s="340">
        <v>45604</v>
      </c>
      <c r="D1926" s="337" t="s">
        <v>1587</v>
      </c>
      <c r="E1926" s="234" t="s">
        <v>1217</v>
      </c>
      <c r="F1926" s="274" t="str">
        <f>IFERROR(VLOOKUP(E1926,'Inventaire des produits'!$B$4:$K$1000,2,0),"")</f>
        <v>BARQUETTE TRAITEUR 750CC MICRON ONDABLE TRANS</v>
      </c>
      <c r="G1926" s="54">
        <v>500</v>
      </c>
      <c r="H1926" s="60">
        <v>1.577</v>
      </c>
      <c r="I1926" s="275">
        <f t="shared" si="86"/>
        <v>788.5</v>
      </c>
      <c r="J1926" s="95">
        <f t="shared" si="87"/>
        <v>946.19999999999993</v>
      </c>
      <c r="K1926" s="93">
        <f>IFERROR(VLOOKUP(E1926,'Inventaire des produits'!$B$4:$J$1000,5,FALSE),"")</f>
        <v>1550</v>
      </c>
      <c r="L1926" s="301">
        <f>IFERROR(VLOOKUP(E1926,'Inventaire des produits'!$B$4:$J$1000,6,FALSE),"")</f>
        <v>1.0694444444444446</v>
      </c>
      <c r="M1926" s="62">
        <f>SUM(J1926:J1929)</f>
        <v>2940</v>
      </c>
    </row>
    <row r="1927" spans="2:13" x14ac:dyDescent="0.3">
      <c r="B1927" s="378" t="s">
        <v>1704</v>
      </c>
      <c r="C1927" s="341"/>
      <c r="D1927" s="338"/>
      <c r="E1927" s="234" t="s">
        <v>680</v>
      </c>
      <c r="F1927" s="274" t="str">
        <f>IFERROR(VLOOKUP(E1927,'Inventaire des produits'!$B$4:$K$1000,2,0),"")</f>
        <v>BOL SALADE ET CVL BLANC 38OZ CARTON 300PCS</v>
      </c>
      <c r="G1927" s="54">
        <v>300</v>
      </c>
      <c r="H1927" s="60">
        <v>2.5150000000000001</v>
      </c>
      <c r="I1927" s="275">
        <f t="shared" si="86"/>
        <v>754.5</v>
      </c>
      <c r="J1927" s="95">
        <f t="shared" si="87"/>
        <v>905.4</v>
      </c>
      <c r="K1927" s="93">
        <f>IFERROR(VLOOKUP(E1927,'Inventaire des produits'!$B$4:$J$1000,5,FALSE),"")</f>
        <v>2500</v>
      </c>
      <c r="L1927" s="301">
        <f>IFERROR(VLOOKUP(E1927,'Inventaire des produits'!$B$4:$J$1000,6,FALSE),"")</f>
        <v>2.0583333332999998</v>
      </c>
      <c r="M1927" s="62"/>
    </row>
    <row r="1928" spans="2:13" x14ac:dyDescent="0.3">
      <c r="B1928" s="378" t="s">
        <v>1704</v>
      </c>
      <c r="C1928" s="341"/>
      <c r="D1928" s="338"/>
      <c r="E1928" s="234" t="s">
        <v>678</v>
      </c>
      <c r="F1928" s="274" t="str">
        <f>IFERROR(VLOOKUP(E1928,'Inventaire des produits'!$B$4:$K$1000,2,0),"")</f>
        <v>BOL SOUPE/NOUILLE ET CVL 16OZ</v>
      </c>
      <c r="G1928" s="54">
        <v>400</v>
      </c>
      <c r="H1928" s="60">
        <v>1.2549999999999999</v>
      </c>
      <c r="I1928" s="275">
        <f t="shared" si="86"/>
        <v>501.99999999999994</v>
      </c>
      <c r="J1928" s="95">
        <f t="shared" si="87"/>
        <v>602.39999999999986</v>
      </c>
      <c r="K1928" s="93">
        <f>IFERROR(VLOOKUP(E1928,'Inventaire des produits'!$B$4:$J$1000,5,FALSE),"")</f>
        <v>0</v>
      </c>
      <c r="L1928" s="301">
        <f>IFERROR(VLOOKUP(E1928,'Inventaire des produits'!$B$4:$J$1000,6,FALSE),"")</f>
        <v>0.79166666669999997</v>
      </c>
      <c r="M1928" s="62"/>
    </row>
    <row r="1929" spans="2:13" x14ac:dyDescent="0.3">
      <c r="B1929" s="378" t="s">
        <v>1704</v>
      </c>
      <c r="C1929" s="342"/>
      <c r="D1929" s="339"/>
      <c r="E1929" s="234" t="s">
        <v>769</v>
      </c>
      <c r="F1929" s="274" t="str">
        <f>IFERROR(VLOOKUP(E1929,'Inventaire des produits'!$B$4:$K$1000,2,0),"")</f>
        <v>GANT NOIR VINYL EXTRA PREMIUM GLOVE LARGE</v>
      </c>
      <c r="G1929" s="54">
        <v>15</v>
      </c>
      <c r="H1929" s="60">
        <v>27</v>
      </c>
      <c r="I1929" s="275">
        <f t="shared" si="86"/>
        <v>405</v>
      </c>
      <c r="J1929" s="95">
        <f t="shared" si="87"/>
        <v>486</v>
      </c>
      <c r="K1929" s="93">
        <f>IFERROR(VLOOKUP(E1929,'Inventaire des produits'!$B$4:$J$1000,5,FALSE),"")</f>
        <v>8</v>
      </c>
      <c r="L1929" s="301">
        <f>IFERROR(VLOOKUP(E1929,'Inventaire des produits'!$B$4:$J$1000,6,FALSE),"")</f>
        <v>20.833333333300001</v>
      </c>
      <c r="M1929" s="62"/>
    </row>
    <row r="1930" spans="2:13" x14ac:dyDescent="0.3">
      <c r="B1930" s="378" t="s">
        <v>1704</v>
      </c>
      <c r="C1930" s="340">
        <v>45605</v>
      </c>
      <c r="D1930" s="337" t="s">
        <v>1588</v>
      </c>
      <c r="E1930" s="234" t="s">
        <v>944</v>
      </c>
      <c r="F1930" s="274" t="str">
        <f>IFERROR(VLOOKUP(E1930,'Inventaire des produits'!$B$4:$K$1000,2,0),"")</f>
        <v>BOITE PIZZA N°40</v>
      </c>
      <c r="G1930" s="54">
        <v>100</v>
      </c>
      <c r="H1930" s="60">
        <v>3.4169999999999998</v>
      </c>
      <c r="I1930" s="275">
        <f t="shared" si="86"/>
        <v>341.7</v>
      </c>
      <c r="J1930" s="95">
        <f t="shared" si="87"/>
        <v>410.03999999999996</v>
      </c>
      <c r="K1930" s="93">
        <f>IFERROR(VLOOKUP(E1930,'Inventaire des produits'!$B$4:$J$1000,5,FALSE),"")</f>
        <v>0</v>
      </c>
      <c r="L1930" s="301">
        <f>IFERROR(VLOOKUP(E1930,'Inventaire des produits'!$B$4:$J$1000,6,FALSE),"")</f>
        <v>2.9</v>
      </c>
      <c r="M1930" s="62">
        <f>SUM(J1930:J1932)</f>
        <v>4920.4799999999996</v>
      </c>
    </row>
    <row r="1931" spans="2:13" x14ac:dyDescent="0.3">
      <c r="B1931" s="378" t="s">
        <v>1704</v>
      </c>
      <c r="C1931" s="341"/>
      <c r="D1931" s="338"/>
      <c r="E1931" s="234" t="s">
        <v>1162</v>
      </c>
      <c r="F1931" s="274" t="str">
        <f>IFERROR(VLOOKUP(E1931,'Inventaire des produits'!$B$4:$K$1000,2,0),"")</f>
        <v>BOITE PIZZA N°40</v>
      </c>
      <c r="G1931" s="54">
        <v>500</v>
      </c>
      <c r="H1931" s="60">
        <v>3.4169999999999998</v>
      </c>
      <c r="I1931" s="275">
        <f t="shared" si="86"/>
        <v>1708.5</v>
      </c>
      <c r="J1931" s="95">
        <f t="shared" si="87"/>
        <v>2050.1999999999998</v>
      </c>
      <c r="K1931" s="93">
        <f>IFERROR(VLOOKUP(E1931,'Inventaire des produits'!$B$4:$J$1000,5,FALSE),"")</f>
        <v>0</v>
      </c>
      <c r="L1931" s="301">
        <f>IFERROR(VLOOKUP(E1931,'Inventaire des produits'!$B$4:$J$1000,6,FALSE),"")</f>
        <v>2.78</v>
      </c>
      <c r="M1931" s="62"/>
    </row>
    <row r="1932" spans="2:13" x14ac:dyDescent="0.3">
      <c r="B1932" s="378" t="s">
        <v>1704</v>
      </c>
      <c r="C1932" s="342"/>
      <c r="D1932" s="339"/>
      <c r="E1932" s="244" t="s">
        <v>1162</v>
      </c>
      <c r="F1932" s="274" t="str">
        <f>IFERROR(VLOOKUP(E1932,'Inventaire des produits'!$B$4:$K$1000,2,0),"")</f>
        <v>BOITE PIZZA N°40</v>
      </c>
      <c r="G1932" s="54">
        <v>600</v>
      </c>
      <c r="H1932" s="60">
        <v>3.4169999999999998</v>
      </c>
      <c r="I1932" s="275">
        <f t="shared" ref="I1932" si="89">IF(OR(G1932="",H1932=""),"",G1932*H1932)</f>
        <v>2050.1999999999998</v>
      </c>
      <c r="J1932" s="95">
        <f t="shared" ref="J1932" si="90">IF(OR(I1932=""),"",I1932*1.2)</f>
        <v>2460.2399999999998</v>
      </c>
      <c r="K1932" s="93">
        <f>IFERROR(VLOOKUP(E1932,'Inventaire des produits'!$B$4:$J$1000,5,FALSE),"")</f>
        <v>0</v>
      </c>
      <c r="L1932" s="301">
        <f>IFERROR(VLOOKUP(E1932,'Inventaire des produits'!$B$4:$J$1000,6,FALSE),"")</f>
        <v>2.78</v>
      </c>
      <c r="M1932" s="62"/>
    </row>
    <row r="1933" spans="2:13" x14ac:dyDescent="0.3">
      <c r="B1933" s="378" t="s">
        <v>1704</v>
      </c>
      <c r="C1933" s="340">
        <v>45605</v>
      </c>
      <c r="D1933" s="337" t="s">
        <v>1589</v>
      </c>
      <c r="E1933" s="234" t="s">
        <v>1316</v>
      </c>
      <c r="F1933" s="274" t="str">
        <f>IFERROR(VLOOKUP(E1933,'Inventaire des produits'!$B$4:$K$1000,2,0),"")</f>
        <v>SAC PN BLANCE 40*45</v>
      </c>
      <c r="G1933" s="54">
        <v>500</v>
      </c>
      <c r="H1933" s="60">
        <v>0.58699999999999997</v>
      </c>
      <c r="I1933" s="275">
        <f t="shared" si="86"/>
        <v>293.5</v>
      </c>
      <c r="J1933" s="95">
        <f t="shared" si="87"/>
        <v>352.2</v>
      </c>
      <c r="K1933" s="93">
        <f>IFERROR(VLOOKUP(E1933,'Inventaire des produits'!$B$4:$J$1000,5,FALSE),"")</f>
        <v>5400</v>
      </c>
      <c r="L1933" s="301">
        <f>IFERROR(VLOOKUP(E1933,'Inventaire des produits'!$B$4:$J$1000,6,FALSE),"")</f>
        <v>0.41665999999999997</v>
      </c>
      <c r="M1933" s="62">
        <f>SUM(J1933:J1940)</f>
        <v>4600.0032000000001</v>
      </c>
    </row>
    <row r="1934" spans="2:13" x14ac:dyDescent="0.3">
      <c r="B1934" s="378" t="s">
        <v>1704</v>
      </c>
      <c r="C1934" s="341"/>
      <c r="D1934" s="338"/>
      <c r="E1934" s="234" t="s">
        <v>1222</v>
      </c>
      <c r="F1934" s="274" t="str">
        <f>IFERROR(VLOOKUP(E1934,'Inventaire des produits'!$B$4:$K$1000,2,0),"")</f>
        <v>POT DE SAUCE 1OZ PROCLEAN</v>
      </c>
      <c r="G1934" s="54">
        <v>5000</v>
      </c>
      <c r="H1934" s="60">
        <v>0.16975000000000001</v>
      </c>
      <c r="I1934" s="275">
        <f t="shared" si="86"/>
        <v>848.75000000000011</v>
      </c>
      <c r="J1934" s="95">
        <f t="shared" si="87"/>
        <v>1018.5000000000001</v>
      </c>
      <c r="K1934" s="93">
        <f>IFERROR(VLOOKUP(E1934,'Inventaire des produits'!$B$4:$J$1000,5,FALSE),"")</f>
        <v>557100</v>
      </c>
      <c r="L1934" s="301">
        <f>IFERROR(VLOOKUP(E1934,'Inventaire des produits'!$B$4:$J$1000,6,FALSE),"")</f>
        <v>0.1167</v>
      </c>
      <c r="M1934" s="62"/>
    </row>
    <row r="1935" spans="2:13" x14ac:dyDescent="0.3">
      <c r="B1935" s="378" t="s">
        <v>1704</v>
      </c>
      <c r="C1935" s="341"/>
      <c r="D1935" s="338"/>
      <c r="E1935" s="234" t="s">
        <v>749</v>
      </c>
      <c r="F1935" s="274" t="str">
        <f>IFERROR(VLOOKUP(E1935,'Inventaire des produits'!$B$4:$K$1000,2,0),"")</f>
        <v>BOITE SANDWISH KRAFT 19*10*9</v>
      </c>
      <c r="G1935" s="54">
        <v>180</v>
      </c>
      <c r="H1935" s="60">
        <v>1.4350000000000001</v>
      </c>
      <c r="I1935" s="275">
        <f t="shared" si="86"/>
        <v>258.3</v>
      </c>
      <c r="J1935" s="95">
        <f t="shared" si="87"/>
        <v>309.95999999999998</v>
      </c>
      <c r="K1935" s="93">
        <f>IFERROR(VLOOKUP(E1935,'Inventaire des produits'!$B$4:$J$1000,5,FALSE),"")</f>
        <v>0</v>
      </c>
      <c r="L1935" s="301">
        <f>IFERROR(VLOOKUP(E1935,'Inventaire des produits'!$B$4:$J$1000,6,FALSE),"")</f>
        <v>1.24</v>
      </c>
      <c r="M1935" s="62"/>
    </row>
    <row r="1936" spans="2:13" x14ac:dyDescent="0.3">
      <c r="B1936" s="378" t="s">
        <v>1704</v>
      </c>
      <c r="C1936" s="341"/>
      <c r="D1936" s="338"/>
      <c r="E1936" s="234" t="s">
        <v>960</v>
      </c>
      <c r="F1936" s="274" t="str">
        <f>IFERROR(VLOOKUP(E1936,'Inventaire des produits'!$B$4:$K$1000,2,0),"")</f>
        <v>BOITE REPAS KRAFT BLANC</v>
      </c>
      <c r="G1936" s="54">
        <v>600</v>
      </c>
      <c r="H1936" s="60">
        <v>1</v>
      </c>
      <c r="I1936" s="275">
        <f t="shared" si="86"/>
        <v>600</v>
      </c>
      <c r="J1936" s="95">
        <f t="shared" si="87"/>
        <v>720</v>
      </c>
      <c r="K1936" s="93">
        <f>IFERROR(VLOOKUP(E1936,'Inventaire des produits'!$B$4:$J$1000,5,FALSE),"")</f>
        <v>0</v>
      </c>
      <c r="L1936" s="301">
        <f>IFERROR(VLOOKUP(E1936,'Inventaire des produits'!$B$4:$J$1000,6,FALSE),"")</f>
        <v>0.66666666666666696</v>
      </c>
      <c r="M1936" s="62"/>
    </row>
    <row r="1937" spans="2:13" x14ac:dyDescent="0.3">
      <c r="B1937" s="378" t="s">
        <v>1704</v>
      </c>
      <c r="C1937" s="341"/>
      <c r="D1937" s="338"/>
      <c r="E1937" s="234" t="s">
        <v>656</v>
      </c>
      <c r="F1937" s="274" t="str">
        <f>IFERROR(VLOOKUP(E1937,'Inventaire des produits'!$B$4:$K$1000,2,0),"")</f>
        <v>BOITE REPAS KRAFT BLANC</v>
      </c>
      <c r="G1937" s="54">
        <v>600</v>
      </c>
      <c r="H1937" s="60">
        <v>1</v>
      </c>
      <c r="I1937" s="275">
        <f t="shared" si="86"/>
        <v>600</v>
      </c>
      <c r="J1937" s="95">
        <f t="shared" si="87"/>
        <v>720</v>
      </c>
      <c r="K1937" s="93">
        <f>IFERROR(VLOOKUP(E1937,'Inventaire des produits'!$B$4:$J$1000,5,FALSE),"")</f>
        <v>0</v>
      </c>
      <c r="L1937" s="301">
        <f>IFERROR(VLOOKUP(E1937,'Inventaire des produits'!$B$4:$J$1000,6,FALSE),"")</f>
        <v>0.70833333330000003</v>
      </c>
      <c r="M1937" s="62"/>
    </row>
    <row r="1938" spans="2:13" x14ac:dyDescent="0.3">
      <c r="B1938" s="378" t="s">
        <v>1704</v>
      </c>
      <c r="C1938" s="341"/>
      <c r="D1938" s="338"/>
      <c r="E1938" s="234" t="s">
        <v>1056</v>
      </c>
      <c r="F1938" s="274" t="str">
        <f>IFERROR(VLOOKUP(E1938,'Inventaire des produits'!$B$4:$K$1000,2,0),"")</f>
        <v>SAC PN BLANC NI 30*40*10</v>
      </c>
      <c r="G1938" s="54">
        <v>500</v>
      </c>
      <c r="H1938" s="60">
        <v>0.50900000000000001</v>
      </c>
      <c r="I1938" s="275">
        <f t="shared" si="86"/>
        <v>254.5</v>
      </c>
      <c r="J1938" s="95">
        <f t="shared" si="87"/>
        <v>305.39999999999998</v>
      </c>
      <c r="K1938" s="93">
        <f>IFERROR(VLOOKUP(E1938,'Inventaire des produits'!$B$4:$J$1000,5,FALSE),"")</f>
        <v>27400</v>
      </c>
      <c r="L1938" s="301">
        <f>IFERROR(VLOOKUP(E1938,'Inventaire des produits'!$B$4:$J$1000,6,FALSE),"")</f>
        <v>0.33334000000000003</v>
      </c>
      <c r="M1938" s="62"/>
    </row>
    <row r="1939" spans="2:13" x14ac:dyDescent="0.3">
      <c r="B1939" s="378" t="s">
        <v>1704</v>
      </c>
      <c r="C1939" s="341"/>
      <c r="D1939" s="338"/>
      <c r="E1939" s="234" t="s">
        <v>1040</v>
      </c>
      <c r="F1939" s="274" t="str">
        <f>IFERROR(VLOOKUP(E1939,'Inventaire des produits'!$B$4:$K$1000,2,0),"")</f>
        <v>FILM ALIMENTAIRE ELEGENCE</v>
      </c>
      <c r="G1939" s="54">
        <v>28</v>
      </c>
      <c r="H1939" s="60">
        <v>27.4495</v>
      </c>
      <c r="I1939" s="275">
        <f t="shared" si="86"/>
        <v>768.58600000000001</v>
      </c>
      <c r="J1939" s="95">
        <f t="shared" si="87"/>
        <v>922.30319999999995</v>
      </c>
      <c r="K1939" s="93">
        <f>IFERROR(VLOOKUP(E1939,'Inventaire des produits'!$B$4:$J$1000,5,FALSE),"")</f>
        <v>0</v>
      </c>
      <c r="L1939" s="301">
        <f>IFERROR(VLOOKUP(E1939,'Inventaire des produits'!$B$4:$J$1000,6,FALSE),"")</f>
        <v>20</v>
      </c>
      <c r="M1939" s="62"/>
    </row>
    <row r="1940" spans="2:13" x14ac:dyDescent="0.3">
      <c r="B1940" s="378" t="s">
        <v>1704</v>
      </c>
      <c r="C1940" s="342"/>
      <c r="D1940" s="339"/>
      <c r="E1940" s="234" t="s">
        <v>1079</v>
      </c>
      <c r="F1940" s="274" t="str">
        <f>IFERROR(VLOOKUP(E1940,'Inventaire des produits'!$B$4:$K$1000,2,0),"")</f>
        <v>FOURCHETTE ECOLUXE TRANSPARENTE</v>
      </c>
      <c r="G1940" s="54">
        <v>9</v>
      </c>
      <c r="H1940" s="60">
        <v>23.3</v>
      </c>
      <c r="I1940" s="275">
        <f t="shared" si="86"/>
        <v>209.70000000000002</v>
      </c>
      <c r="J1940" s="95">
        <f t="shared" si="87"/>
        <v>251.64000000000001</v>
      </c>
      <c r="K1940" s="93">
        <f>IFERROR(VLOOKUP(E1940,'Inventaire des produits'!$B$4:$J$1000,5,FALSE),"")</f>
        <v>0</v>
      </c>
      <c r="L1940" s="301">
        <f>IFERROR(VLOOKUP(E1940,'Inventaire des produits'!$B$4:$J$1000,6,FALSE),"")</f>
        <v>14.166665999999999</v>
      </c>
      <c r="M1940" s="62"/>
    </row>
    <row r="1941" spans="2:13" x14ac:dyDescent="0.3">
      <c r="B1941" s="378" t="s">
        <v>1704</v>
      </c>
      <c r="C1941" s="55">
        <v>45607</v>
      </c>
      <c r="D1941" s="54" t="s">
        <v>1590</v>
      </c>
      <c r="E1941" s="234" t="s">
        <v>464</v>
      </c>
      <c r="F1941" s="274" t="str">
        <f>IFERROR(VLOOKUP(E1941,'Inventaire des produits'!$B$4:$K$1000,2,0),"")</f>
        <v>PAPIER ZIGZAG</v>
      </c>
      <c r="G1941" s="54">
        <v>20</v>
      </c>
      <c r="H1941" s="60">
        <v>12.5</v>
      </c>
      <c r="I1941" s="275">
        <f t="shared" si="86"/>
        <v>250</v>
      </c>
      <c r="J1941" s="95">
        <f t="shared" si="87"/>
        <v>300</v>
      </c>
      <c r="K1941" s="93">
        <f>IFERROR(VLOOKUP(E1941,'Inventaire des produits'!$B$4:$J$1000,5,FALSE),"")</f>
        <v>120</v>
      </c>
      <c r="L1941" s="301">
        <f>IFERROR(VLOOKUP(E1941,'Inventaire des produits'!$B$4:$J$1000,6,FALSE),"")</f>
        <v>7.5</v>
      </c>
      <c r="M1941" s="62"/>
    </row>
    <row r="1942" spans="2:13" x14ac:dyDescent="0.3">
      <c r="B1942" s="378" t="s">
        <v>1704</v>
      </c>
      <c r="C1942" s="340">
        <v>45607</v>
      </c>
      <c r="D1942" s="337" t="s">
        <v>1591</v>
      </c>
      <c r="E1942" s="234" t="s">
        <v>444</v>
      </c>
      <c r="F1942" s="274" t="str">
        <f>IFERROR(VLOOKUP(E1942,'Inventaire des produits'!$B$4:$K$1000,2,0),"")</f>
        <v>COUPE DESSERT</v>
      </c>
      <c r="G1942" s="54">
        <v>5000</v>
      </c>
      <c r="H1942" s="60">
        <f>0.72/1.2</f>
        <v>0.6</v>
      </c>
      <c r="I1942" s="275">
        <f t="shared" si="86"/>
        <v>3000</v>
      </c>
      <c r="J1942" s="95">
        <f t="shared" si="87"/>
        <v>3600</v>
      </c>
      <c r="K1942" s="93">
        <f>IFERROR(VLOOKUP(E1942,'Inventaire des produits'!$B$4:$J$1000,5,FALSE),"")</f>
        <v>0</v>
      </c>
      <c r="L1942" s="301">
        <f>IFERROR(VLOOKUP(E1942,'Inventaire des produits'!$B$4:$J$1000,6,FALSE),"")</f>
        <v>0.5</v>
      </c>
      <c r="M1942" s="62">
        <f>SUM(J1942:J1943)</f>
        <v>5500</v>
      </c>
    </row>
    <row r="1943" spans="2:13" x14ac:dyDescent="0.3">
      <c r="B1943" s="378" t="s">
        <v>1704</v>
      </c>
      <c r="C1943" s="342"/>
      <c r="D1943" s="339"/>
      <c r="E1943" s="234" t="s">
        <v>446</v>
      </c>
      <c r="F1943" s="274" t="str">
        <f>IFERROR(VLOOKUP(E1943,'Inventaire des produits'!$B$4:$K$1000,2,0),"")</f>
        <v>CVL DE COUPE DESSERT</v>
      </c>
      <c r="G1943" s="54">
        <v>5000</v>
      </c>
      <c r="H1943" s="60">
        <f>0.38/1.2</f>
        <v>0.31666666666666671</v>
      </c>
      <c r="I1943" s="275">
        <f t="shared" si="86"/>
        <v>1583.3333333333335</v>
      </c>
      <c r="J1943" s="95">
        <f t="shared" si="87"/>
        <v>1900</v>
      </c>
      <c r="K1943" s="93">
        <f>IFERROR(VLOOKUP(E1943,'Inventaire des produits'!$B$4:$J$1000,5,FALSE),"")</f>
        <v>0</v>
      </c>
      <c r="L1943" s="301">
        <f>IFERROR(VLOOKUP(E1943,'Inventaire des produits'!$B$4:$J$1000,6,FALSE),"")</f>
        <v>0.27</v>
      </c>
      <c r="M1943" s="62"/>
    </row>
    <row r="1944" spans="2:13" x14ac:dyDescent="0.3">
      <c r="B1944" s="378" t="s">
        <v>1704</v>
      </c>
      <c r="C1944" s="340">
        <v>45607</v>
      </c>
      <c r="D1944" s="337" t="s">
        <v>1592</v>
      </c>
      <c r="E1944" s="234" t="s">
        <v>501</v>
      </c>
      <c r="F1944" s="274" t="str">
        <f>IFERROR(VLOOKUP(E1944,'Inventaire des produits'!$B$4:$K$1000,2,0),"")</f>
        <v>BARQUETTE ALUMINIUM 83420</v>
      </c>
      <c r="G1944" s="54">
        <v>1000</v>
      </c>
      <c r="H1944" s="60">
        <v>0.45833333333333298</v>
      </c>
      <c r="I1944" s="275">
        <f t="shared" ref="I1944:I1954" si="91">IF(OR(G1944="",H1944=""),"",G1944*H1944)</f>
        <v>458.33333333333297</v>
      </c>
      <c r="J1944" s="95">
        <f t="shared" ref="J1944:J1954" si="92">IF(OR(I1944=""),"",I1944*1.2)</f>
        <v>549.99999999999955</v>
      </c>
      <c r="K1944" s="93">
        <f>IFERROR(VLOOKUP(E1944,'Inventaire des produits'!$B$4:$J$1000,5,FALSE),"")</f>
        <v>10000</v>
      </c>
      <c r="L1944" s="301">
        <f>IFERROR(VLOOKUP(E1944,'Inventaire des produits'!$B$4:$J$1000,6,FALSE),"")</f>
        <v>0.31666666669999999</v>
      </c>
      <c r="M1944" s="62">
        <f>SUM(J1944:J1954)</f>
        <v>16800.000399999997</v>
      </c>
    </row>
    <row r="1945" spans="2:13" x14ac:dyDescent="0.3">
      <c r="B1945" s="378" t="s">
        <v>1704</v>
      </c>
      <c r="C1945" s="341"/>
      <c r="D1945" s="338"/>
      <c r="E1945" s="234" t="s">
        <v>929</v>
      </c>
      <c r="F1945" s="274" t="str">
        <f>IFERROR(VLOOKUP(E1945,'Inventaire des produits'!$B$4:$K$1000,2,0),"")</f>
        <v xml:space="preserve">SERVIETTE DE TABLE </v>
      </c>
      <c r="G1945" s="54">
        <v>300</v>
      </c>
      <c r="H1945" s="60">
        <v>3.75</v>
      </c>
      <c r="I1945" s="275">
        <f t="shared" si="91"/>
        <v>1125</v>
      </c>
      <c r="J1945" s="95">
        <f t="shared" si="92"/>
        <v>1350</v>
      </c>
      <c r="K1945" s="93">
        <f>IFERROR(VLOOKUP(E1945,'Inventaire des produits'!$B$4:$J$1000,5,FALSE),"")</f>
        <v>0</v>
      </c>
      <c r="L1945" s="301">
        <f>IFERROR(VLOOKUP(E1945,'Inventaire des produits'!$B$4:$J$1000,6,FALSE),"")</f>
        <v>2.9169999999999998</v>
      </c>
      <c r="M1945" s="62"/>
    </row>
    <row r="1946" spans="2:13" x14ac:dyDescent="0.3">
      <c r="B1946" s="378" t="s">
        <v>1704</v>
      </c>
      <c r="C1946" s="341"/>
      <c r="D1946" s="338"/>
      <c r="E1946" s="234" t="s">
        <v>837</v>
      </c>
      <c r="F1946" s="274" t="str">
        <f>IFERROR(VLOOKUP(E1946,'Inventaire des produits'!$B$4:$K$1000,2,0),"")</f>
        <v>ESSUIE MAIN 1KG LISSE</v>
      </c>
      <c r="G1946" s="54">
        <v>70</v>
      </c>
      <c r="H1946" s="60">
        <v>28.5</v>
      </c>
      <c r="I1946" s="275">
        <f t="shared" si="91"/>
        <v>1995</v>
      </c>
      <c r="J1946" s="95">
        <f t="shared" si="92"/>
        <v>2394</v>
      </c>
      <c r="K1946" s="93">
        <f>IFERROR(VLOOKUP(E1946,'Inventaire des produits'!$B$4:$J$1000,5,FALSE),"")</f>
        <v>7</v>
      </c>
      <c r="L1946" s="301">
        <f>IFERROR(VLOOKUP(E1946,'Inventaire des produits'!$B$4:$J$1000,6,FALSE),"")</f>
        <v>21.25</v>
      </c>
      <c r="M1946" s="62"/>
    </row>
    <row r="1947" spans="2:13" x14ac:dyDescent="0.3">
      <c r="B1947" s="378" t="s">
        <v>1704</v>
      </c>
      <c r="C1947" s="341"/>
      <c r="D1947" s="338"/>
      <c r="E1947" s="234" t="s">
        <v>1303</v>
      </c>
      <c r="F1947" s="274" t="str">
        <f>IFERROR(VLOOKUP(E1947,'Inventaire des produits'!$B$4:$K$1000,2,0),"")</f>
        <v>BARQUETTE ALUMINIUM 83670</v>
      </c>
      <c r="G1947" s="54">
        <v>2500</v>
      </c>
      <c r="H1947" s="60">
        <v>0.75044</v>
      </c>
      <c r="I1947" s="275">
        <f t="shared" si="91"/>
        <v>1876.1</v>
      </c>
      <c r="J1947" s="95">
        <f t="shared" si="92"/>
        <v>2251.3199999999997</v>
      </c>
      <c r="K1947" s="93">
        <f>IFERROR(VLOOKUP(E1947,'Inventaire des produits'!$B$4:$J$1000,5,FALSE),"")</f>
        <v>200</v>
      </c>
      <c r="L1947" s="301">
        <f>IFERROR(VLOOKUP(E1947,'Inventaire des produits'!$B$4:$J$1000,6,FALSE),"")</f>
        <v>0.51666666666666672</v>
      </c>
      <c r="M1947" s="62"/>
    </row>
    <row r="1948" spans="2:13" x14ac:dyDescent="0.3">
      <c r="B1948" s="378" t="s">
        <v>1704</v>
      </c>
      <c r="C1948" s="341"/>
      <c r="D1948" s="338"/>
      <c r="E1948" s="234" t="s">
        <v>1056</v>
      </c>
      <c r="F1948" s="274" t="str">
        <f>IFERROR(VLOOKUP(E1948,'Inventaire des produits'!$B$4:$K$1000,2,0),"")</f>
        <v>SAC PN BLANC NI 30*40*10</v>
      </c>
      <c r="G1948" s="54">
        <v>1700</v>
      </c>
      <c r="H1948" s="60">
        <v>0.50800000000000001</v>
      </c>
      <c r="I1948" s="275">
        <f t="shared" si="91"/>
        <v>863.6</v>
      </c>
      <c r="J1948" s="95">
        <f t="shared" si="92"/>
        <v>1036.32</v>
      </c>
      <c r="K1948" s="93">
        <f>IFERROR(VLOOKUP(E1948,'Inventaire des produits'!$B$4:$J$1000,5,FALSE),"")</f>
        <v>27400</v>
      </c>
      <c r="L1948" s="301">
        <f>IFERROR(VLOOKUP(E1948,'Inventaire des produits'!$B$4:$J$1000,6,FALSE),"")</f>
        <v>0.33334000000000003</v>
      </c>
      <c r="M1948" s="62"/>
    </row>
    <row r="1949" spans="2:13" x14ac:dyDescent="0.3">
      <c r="B1949" s="378" t="s">
        <v>1704</v>
      </c>
      <c r="C1949" s="341"/>
      <c r="D1949" s="338"/>
      <c r="E1949" s="234" t="s">
        <v>1316</v>
      </c>
      <c r="F1949" s="274" t="str">
        <f>IFERROR(VLOOKUP(E1949,'Inventaire des produits'!$B$4:$K$1000,2,0),"")</f>
        <v>SAC PN BLANCE 40*45</v>
      </c>
      <c r="G1949" s="54">
        <v>1600</v>
      </c>
      <c r="H1949" s="60">
        <v>0.58499999999999996</v>
      </c>
      <c r="I1949" s="275">
        <f t="shared" si="91"/>
        <v>936</v>
      </c>
      <c r="J1949" s="95">
        <f t="shared" si="92"/>
        <v>1123.2</v>
      </c>
      <c r="K1949" s="93">
        <f>IFERROR(VLOOKUP(E1949,'Inventaire des produits'!$B$4:$J$1000,5,FALSE),"")</f>
        <v>5400</v>
      </c>
      <c r="L1949" s="301">
        <f>IFERROR(VLOOKUP(E1949,'Inventaire des produits'!$B$4:$J$1000,6,FALSE),"")</f>
        <v>0.41665999999999997</v>
      </c>
      <c r="M1949" s="62"/>
    </row>
    <row r="1950" spans="2:13" x14ac:dyDescent="0.3">
      <c r="B1950" s="378" t="s">
        <v>1704</v>
      </c>
      <c r="C1950" s="341"/>
      <c r="D1950" s="338"/>
      <c r="E1950" s="234" t="s">
        <v>1512</v>
      </c>
      <c r="F1950" s="274" t="str">
        <f>IFERROR(VLOOKUP(E1950,'Inventaire des produits'!$B$4:$K$1000,2,0),"")</f>
        <v>GOBLET 14OZ EN PLAST TRANS SMART + CV PLAT</v>
      </c>
      <c r="G1950" s="54">
        <v>2700</v>
      </c>
      <c r="H1950" s="60">
        <v>0.63990000000000002</v>
      </c>
      <c r="I1950" s="275">
        <f t="shared" si="91"/>
        <v>1727.73</v>
      </c>
      <c r="J1950" s="95">
        <f t="shared" si="92"/>
        <v>2073.2759999999998</v>
      </c>
      <c r="K1950" s="93">
        <f>IFERROR(VLOOKUP(E1950,'Inventaire des produits'!$B$4:$J$1000,5,FALSE),"")</f>
        <v>0</v>
      </c>
      <c r="L1950" s="301">
        <f>IFERROR(VLOOKUP(E1950,'Inventaire des produits'!$B$4:$J$1000,6,FALSE),"")</f>
        <v>0.57778333333333298</v>
      </c>
      <c r="M1950" s="62"/>
    </row>
    <row r="1951" spans="2:13" x14ac:dyDescent="0.3">
      <c r="B1951" s="378" t="s">
        <v>1704</v>
      </c>
      <c r="C1951" s="341"/>
      <c r="D1951" s="338"/>
      <c r="E1951" s="234" t="s">
        <v>979</v>
      </c>
      <c r="F1951" s="274" t="str">
        <f>IFERROR(VLOOKUP(E1951,'Inventaire des produits'!$B$4:$K$1000,2,0),"")</f>
        <v>ROULEAU ALUMINIUM 200</v>
      </c>
      <c r="G1951" s="54">
        <v>29</v>
      </c>
      <c r="H1951" s="60">
        <v>66.668000000000006</v>
      </c>
      <c r="I1951" s="275">
        <f t="shared" si="91"/>
        <v>1933.3720000000003</v>
      </c>
      <c r="J1951" s="95">
        <f t="shared" si="92"/>
        <v>2320.0464000000002</v>
      </c>
      <c r="K1951" s="93">
        <f>IFERROR(VLOOKUP(E1951,'Inventaire des produits'!$B$4:$J$1000,5,FALSE),"")</f>
        <v>44</v>
      </c>
      <c r="L1951" s="301">
        <f>IFERROR(VLOOKUP(E1951,'Inventaire des produits'!$B$4:$J$1000,6,FALSE),"")</f>
        <v>48.23</v>
      </c>
      <c r="M1951" s="62"/>
    </row>
    <row r="1952" spans="2:13" x14ac:dyDescent="0.3">
      <c r="B1952" s="378" t="s">
        <v>1704</v>
      </c>
      <c r="C1952" s="341"/>
      <c r="D1952" s="338"/>
      <c r="E1952" s="234" t="s">
        <v>778</v>
      </c>
      <c r="F1952" s="274" t="str">
        <f>IFERROR(VLOOKUP(E1952,'Inventaire des produits'!$B$4:$K$1000,2,0),"")</f>
        <v>POT DE SAUCE EN PLAST TRANSP 20ML</v>
      </c>
      <c r="G1952" s="54">
        <v>5000</v>
      </c>
      <c r="H1952" s="60">
        <v>6.5625000000000003E-2</v>
      </c>
      <c r="I1952" s="275">
        <f t="shared" si="91"/>
        <v>328.125</v>
      </c>
      <c r="J1952" s="95">
        <f t="shared" si="92"/>
        <v>393.75</v>
      </c>
      <c r="K1952" s="93">
        <f>IFERROR(VLOOKUP(E1952,'Inventaire des produits'!$B$4:$J$1000,5,FALSE),"")</f>
        <v>0</v>
      </c>
      <c r="L1952" s="301">
        <f>IFERROR(VLOOKUP(E1952,'Inventaire des produits'!$B$4:$J$1000,6,FALSE),"")</f>
        <v>8.3333333300000006E-2</v>
      </c>
      <c r="M1952" s="62"/>
    </row>
    <row r="1953" spans="2:13" x14ac:dyDescent="0.3">
      <c r="B1953" s="378" t="s">
        <v>1704</v>
      </c>
      <c r="C1953" s="341"/>
      <c r="D1953" s="338"/>
      <c r="E1953" s="234" t="s">
        <v>967</v>
      </c>
      <c r="F1953" s="274" t="str">
        <f>IFERROR(VLOOKUP(E1953,'Inventaire des produits'!$B$4:$K$1000,2,0),"")</f>
        <v xml:space="preserve">BARQUETTE MICRON ONDABLE 3 COMP </v>
      </c>
      <c r="G1953" s="54">
        <v>600</v>
      </c>
      <c r="H1953" s="60">
        <v>2.14923333333333</v>
      </c>
      <c r="I1953" s="275">
        <f t="shared" si="91"/>
        <v>1289.5399999999979</v>
      </c>
      <c r="J1953" s="95">
        <f t="shared" si="92"/>
        <v>1547.4479999999974</v>
      </c>
      <c r="K1953" s="93">
        <f>IFERROR(VLOOKUP(E1953,'Inventaire des produits'!$B$4:$J$1000,5,FALSE),"")</f>
        <v>0</v>
      </c>
      <c r="L1953" s="301">
        <f>IFERROR(VLOOKUP(E1953,'Inventaire des produits'!$B$4:$J$1000,6,FALSE),"")</f>
        <v>1.6666666666666667</v>
      </c>
      <c r="M1953" s="62"/>
    </row>
    <row r="1954" spans="2:13" x14ac:dyDescent="0.3">
      <c r="B1954" s="378" t="s">
        <v>1704</v>
      </c>
      <c r="C1954" s="342"/>
      <c r="D1954" s="339"/>
      <c r="E1954" s="234" t="s">
        <v>678</v>
      </c>
      <c r="F1954" s="274" t="str">
        <f>IFERROR(VLOOKUP(E1954,'Inventaire des produits'!$B$4:$K$1000,2,0),"")</f>
        <v>BOL SOUPE/NOUILLE ET CVL 16OZ</v>
      </c>
      <c r="G1954" s="54">
        <v>1600</v>
      </c>
      <c r="H1954" s="60">
        <v>0.91700000000000004</v>
      </c>
      <c r="I1954" s="275">
        <f t="shared" si="91"/>
        <v>1467.2</v>
      </c>
      <c r="J1954" s="95">
        <f t="shared" si="92"/>
        <v>1760.64</v>
      </c>
      <c r="K1954" s="93">
        <f>IFERROR(VLOOKUP(E1954,'Inventaire des produits'!$B$4:$J$1000,5,FALSE),"")</f>
        <v>0</v>
      </c>
      <c r="L1954" s="301">
        <f>IFERROR(VLOOKUP(E1954,'Inventaire des produits'!$B$4:$J$1000,6,FALSE),"")</f>
        <v>0.79166666669999997</v>
      </c>
      <c r="M1954" s="62"/>
    </row>
    <row r="1955" spans="2:13" x14ac:dyDescent="0.3">
      <c r="B1955" s="378" t="s">
        <v>1704</v>
      </c>
      <c r="C1955" s="55">
        <v>45607</v>
      </c>
      <c r="D1955" s="54" t="s">
        <v>1593</v>
      </c>
      <c r="E1955" s="234" t="s">
        <v>1149</v>
      </c>
      <c r="F1955" s="274" t="str">
        <f>IFERROR(VLOOKUP(E1955,'Inventaire des produits'!$B$4:$K$1000,2,0),"")</f>
        <v>ROULEAU DE CAISSE THERMIQUE 80X80</v>
      </c>
      <c r="G1955" s="54">
        <v>100</v>
      </c>
      <c r="H1955" s="60">
        <v>11.333333333000001</v>
      </c>
      <c r="I1955" s="275">
        <f t="shared" si="86"/>
        <v>1133.3333333</v>
      </c>
      <c r="J1955" s="95">
        <f t="shared" si="87"/>
        <v>1359.99999996</v>
      </c>
      <c r="K1955" s="93">
        <f>IFERROR(VLOOKUP(E1955,'Inventaire des produits'!$B$4:$J$1000,5,FALSE),"")</f>
        <v>253</v>
      </c>
      <c r="L1955" s="301">
        <f>IFERROR(VLOOKUP(E1955,'Inventaire des produits'!$B$4:$J$1000,6,FALSE),"")</f>
        <v>7.5</v>
      </c>
      <c r="M1955" s="62">
        <v>1359.99999996</v>
      </c>
    </row>
    <row r="1956" spans="2:13" x14ac:dyDescent="0.3">
      <c r="B1956" s="378" t="s">
        <v>1704</v>
      </c>
      <c r="C1956" s="55">
        <v>45608</v>
      </c>
      <c r="D1956" s="54" t="s">
        <v>1595</v>
      </c>
      <c r="E1956" s="234" t="s">
        <v>1311</v>
      </c>
      <c r="F1956" s="274" t="str">
        <f>IFERROR(VLOOKUP(E1956,'Inventaire des produits'!$B$4:$K$1000,2,0),"")</f>
        <v>POT CARTONIER BLANC 26OZ AVEC CVL</v>
      </c>
      <c r="G1956" s="54">
        <v>1000</v>
      </c>
      <c r="H1956" s="60">
        <v>2.4</v>
      </c>
      <c r="I1956" s="275">
        <f t="shared" si="86"/>
        <v>2400</v>
      </c>
      <c r="J1956" s="95">
        <f t="shared" si="87"/>
        <v>2880</v>
      </c>
      <c r="K1956" s="93">
        <f>IFERROR(VLOOKUP(E1956,'Inventaire des produits'!$B$4:$J$1000,5,FALSE),"")</f>
        <v>1000</v>
      </c>
      <c r="L1956" s="301">
        <f>IFERROR(VLOOKUP(E1956,'Inventaire des produits'!$B$4:$J$1000,6,FALSE),"")</f>
        <v>2</v>
      </c>
      <c r="M1956" s="62">
        <v>2880</v>
      </c>
    </row>
    <row r="1957" spans="2:13" x14ac:dyDescent="0.3">
      <c r="B1957" s="378" t="s">
        <v>1704</v>
      </c>
      <c r="C1957" s="340">
        <v>45608</v>
      </c>
      <c r="D1957" s="337" t="s">
        <v>1596</v>
      </c>
      <c r="E1957" s="234" t="s">
        <v>929</v>
      </c>
      <c r="F1957" s="274" t="str">
        <f>IFERROR(VLOOKUP(E1957,'Inventaire des produits'!$B$4:$K$1000,2,0),"")</f>
        <v xml:space="preserve">SERVIETTE DE TABLE </v>
      </c>
      <c r="G1957" s="54">
        <v>40</v>
      </c>
      <c r="H1957" s="60">
        <v>4</v>
      </c>
      <c r="I1957" s="275">
        <f t="shared" si="86"/>
        <v>160</v>
      </c>
      <c r="J1957" s="95">
        <f t="shared" si="87"/>
        <v>192</v>
      </c>
      <c r="K1957" s="93">
        <f>IFERROR(VLOOKUP(E1957,'Inventaire des produits'!$B$4:$J$1000,5,FALSE),"")</f>
        <v>0</v>
      </c>
      <c r="L1957" s="301">
        <f>IFERROR(VLOOKUP(E1957,'Inventaire des produits'!$B$4:$J$1000,6,FALSE),"")</f>
        <v>2.9169999999999998</v>
      </c>
      <c r="M1957" s="62">
        <f>SUM(J1957:J1964)</f>
        <v>1709.4960000000001</v>
      </c>
    </row>
    <row r="1958" spans="2:13" x14ac:dyDescent="0.3">
      <c r="B1958" s="378" t="s">
        <v>1704</v>
      </c>
      <c r="C1958" s="341"/>
      <c r="D1958" s="338"/>
      <c r="E1958" s="234" t="s">
        <v>1149</v>
      </c>
      <c r="F1958" s="274" t="str">
        <f>IFERROR(VLOOKUP(E1958,'Inventaire des produits'!$B$4:$K$1000,2,0),"")</f>
        <v>ROULEAU DE CAISSE THERMIQUE 80X80</v>
      </c>
      <c r="G1958" s="54">
        <v>21</v>
      </c>
      <c r="H1958" s="60">
        <v>10</v>
      </c>
      <c r="I1958" s="275">
        <f t="shared" si="86"/>
        <v>210</v>
      </c>
      <c r="J1958" s="95">
        <f t="shared" si="87"/>
        <v>252</v>
      </c>
      <c r="K1958" s="93">
        <f>IFERROR(VLOOKUP(E1958,'Inventaire des produits'!$B$4:$J$1000,5,FALSE),"")</f>
        <v>253</v>
      </c>
      <c r="L1958" s="301">
        <f>IFERROR(VLOOKUP(E1958,'Inventaire des produits'!$B$4:$J$1000,6,FALSE),"")</f>
        <v>7.5</v>
      </c>
      <c r="M1958" s="62"/>
    </row>
    <row r="1959" spans="2:13" x14ac:dyDescent="0.3">
      <c r="B1959" s="378" t="s">
        <v>1704</v>
      </c>
      <c r="C1959" s="341"/>
      <c r="D1959" s="338"/>
      <c r="E1959" s="234" t="s">
        <v>1465</v>
      </c>
      <c r="F1959" s="274" t="str">
        <f>IFERROR(VLOOKUP(E1959,'Inventaire des produits'!$B$4:$K$1000,2,0),"")</f>
        <v>COUTEAU LUXE TRANSPARENTE</v>
      </c>
      <c r="G1959" s="54">
        <v>11</v>
      </c>
      <c r="H1959" s="60">
        <v>23.3</v>
      </c>
      <c r="I1959" s="275">
        <f t="shared" si="86"/>
        <v>256.3</v>
      </c>
      <c r="J1959" s="95">
        <f t="shared" si="87"/>
        <v>307.56</v>
      </c>
      <c r="K1959" s="93">
        <f>IFERROR(VLOOKUP(E1959,'Inventaire des produits'!$B$4:$J$1000,5,FALSE),"")</f>
        <v>27</v>
      </c>
      <c r="L1959" s="301">
        <f>IFERROR(VLOOKUP(E1959,'Inventaire des produits'!$B$4:$J$1000,6,FALSE),"")</f>
        <v>15</v>
      </c>
      <c r="M1959" s="62"/>
    </row>
    <row r="1960" spans="2:13" x14ac:dyDescent="0.3">
      <c r="B1960" s="378" t="s">
        <v>1704</v>
      </c>
      <c r="C1960" s="341"/>
      <c r="D1960" s="338"/>
      <c r="E1960" s="234" t="s">
        <v>869</v>
      </c>
      <c r="F1960" s="274" t="str">
        <f>IFERROR(VLOOKUP(E1960,'Inventaire des produits'!$B$4:$K$1000,2,0),"")</f>
        <v>PAILLE ENVELOPPEE CODE 100 TRANS</v>
      </c>
      <c r="G1960" s="54">
        <v>11</v>
      </c>
      <c r="H1960" s="60">
        <v>8.3000000000000007</v>
      </c>
      <c r="I1960" s="275">
        <f t="shared" si="86"/>
        <v>91.300000000000011</v>
      </c>
      <c r="J1960" s="95">
        <f t="shared" si="87"/>
        <v>109.56000000000002</v>
      </c>
      <c r="K1960" s="93">
        <f>IFERROR(VLOOKUP(E1960,'Inventaire des produits'!$B$4:$J$1000,5,FALSE),"")</f>
        <v>898</v>
      </c>
      <c r="L1960" s="301">
        <f>IFERROR(VLOOKUP(E1960,'Inventaire des produits'!$B$4:$J$1000,6,FALSE),"")</f>
        <v>3.9166666659999998</v>
      </c>
      <c r="M1960" s="62"/>
    </row>
    <row r="1961" spans="2:13" x14ac:dyDescent="0.3">
      <c r="B1961" s="378" t="s">
        <v>1704</v>
      </c>
      <c r="C1961" s="341"/>
      <c r="D1961" s="338"/>
      <c r="E1961" s="234" t="s">
        <v>726</v>
      </c>
      <c r="F1961" s="274" t="str">
        <f>IFERROR(VLOOKUP(E1961,'Inventaire des produits'!$B$4:$K$1000,2,0),"")</f>
        <v>PALETTE A GLACE BLANC</v>
      </c>
      <c r="G1961" s="54">
        <v>5</v>
      </c>
      <c r="H1961" s="60">
        <v>23.3</v>
      </c>
      <c r="I1961" s="275">
        <f t="shared" si="86"/>
        <v>116.5</v>
      </c>
      <c r="J1961" s="95">
        <f t="shared" si="87"/>
        <v>139.79999999999998</v>
      </c>
      <c r="K1961" s="93">
        <f>IFERROR(VLOOKUP(E1961,'Inventaire des produits'!$B$4:$J$1000,5,FALSE),"")</f>
        <v>0</v>
      </c>
      <c r="L1961" s="301">
        <f>IFERROR(VLOOKUP(E1961,'Inventaire des produits'!$B$4:$J$1000,6,FALSE),"")</f>
        <v>16.03</v>
      </c>
      <c r="M1961" s="62"/>
    </row>
    <row r="1962" spans="2:13" x14ac:dyDescent="0.3">
      <c r="B1962" s="378" t="s">
        <v>1704</v>
      </c>
      <c r="C1962" s="341"/>
      <c r="D1962" s="338"/>
      <c r="E1962" s="234" t="s">
        <v>1509</v>
      </c>
      <c r="F1962" s="274" t="str">
        <f>IFERROR(VLOOKUP(E1962,'Inventaire des produits'!$B$4:$K$1000,2,0),"")</f>
        <v>CUILLERE EN PLAST TRANS ECO 100</v>
      </c>
      <c r="G1962" s="54">
        <v>4</v>
      </c>
      <c r="H1962" s="60">
        <v>6.5149999999999997</v>
      </c>
      <c r="I1962" s="275">
        <f t="shared" si="86"/>
        <v>26.06</v>
      </c>
      <c r="J1962" s="95">
        <f t="shared" si="87"/>
        <v>31.271999999999998</v>
      </c>
      <c r="K1962" s="93">
        <f>IFERROR(VLOOKUP(E1962,'Inventaire des produits'!$B$4:$J$1000,5,FALSE),"")</f>
        <v>28</v>
      </c>
      <c r="L1962" s="301">
        <f>IFERROR(VLOOKUP(E1962,'Inventaire des produits'!$B$4:$J$1000,6,FALSE),"")</f>
        <v>6.6666666660000002</v>
      </c>
      <c r="M1962" s="62"/>
    </row>
    <row r="1963" spans="2:13" x14ac:dyDescent="0.3">
      <c r="B1963" s="378" t="s">
        <v>1704</v>
      </c>
      <c r="C1963" s="341"/>
      <c r="D1963" s="338"/>
      <c r="E1963" s="234" t="s">
        <v>795</v>
      </c>
      <c r="F1963" s="274" t="str">
        <f>IFERROR(VLOOKUP(E1963,'Inventaire des produits'!$B$4:$K$1000,2,0),"")</f>
        <v>BARQUETTE SUSHI ST5 216*136*20+CVRCL</v>
      </c>
      <c r="G1963" s="54">
        <v>200</v>
      </c>
      <c r="H1963" s="60">
        <v>1.6556</v>
      </c>
      <c r="I1963" s="275">
        <f t="shared" si="86"/>
        <v>331.12</v>
      </c>
      <c r="J1963" s="95">
        <f t="shared" si="87"/>
        <v>397.34399999999999</v>
      </c>
      <c r="K1963" s="93">
        <f>IFERROR(VLOOKUP(E1963,'Inventaire des produits'!$B$4:$J$1000,5,FALSE),"")</f>
        <v>3600</v>
      </c>
      <c r="L1963" s="301">
        <f>IFERROR(VLOOKUP(E1963,'Inventaire des produits'!$B$4:$J$1000,6,FALSE),"")</f>
        <v>1.3166666666</v>
      </c>
      <c r="M1963" s="62"/>
    </row>
    <row r="1964" spans="2:13" x14ac:dyDescent="0.3">
      <c r="B1964" s="378" t="s">
        <v>1704</v>
      </c>
      <c r="C1964" s="342"/>
      <c r="D1964" s="339"/>
      <c r="E1964" s="234" t="s">
        <v>1079</v>
      </c>
      <c r="F1964" s="274" t="str">
        <f>IFERROR(VLOOKUP(E1964,'Inventaire des produits'!$B$4:$K$1000,2,0),"")</f>
        <v>FOURCHETTE ECOLUXE TRANSPARENTE</v>
      </c>
      <c r="G1964" s="54">
        <v>10</v>
      </c>
      <c r="H1964" s="60">
        <v>23.33</v>
      </c>
      <c r="I1964" s="275">
        <f t="shared" si="86"/>
        <v>233.29999999999998</v>
      </c>
      <c r="J1964" s="95">
        <f t="shared" si="87"/>
        <v>279.95999999999998</v>
      </c>
      <c r="K1964" s="93">
        <f>IFERROR(VLOOKUP(E1964,'Inventaire des produits'!$B$4:$J$1000,5,FALSE),"")</f>
        <v>0</v>
      </c>
      <c r="L1964" s="301">
        <f>IFERROR(VLOOKUP(E1964,'Inventaire des produits'!$B$4:$J$1000,6,FALSE),"")</f>
        <v>14.166665999999999</v>
      </c>
      <c r="M1964" s="62"/>
    </row>
    <row r="1965" spans="2:13" x14ac:dyDescent="0.3">
      <c r="B1965" s="378" t="s">
        <v>1704</v>
      </c>
      <c r="C1965" s="340">
        <v>45608</v>
      </c>
      <c r="D1965" s="337" t="s">
        <v>1597</v>
      </c>
      <c r="E1965" s="234" t="s">
        <v>1123</v>
      </c>
      <c r="F1965" s="274" t="str">
        <f>IFERROR(VLOOKUP(E1965,'Inventaire des produits'!$B$4:$K$1000,2,0),"")</f>
        <v>FILM ALIMENTAIRE ARAX 30*300</v>
      </c>
      <c r="G1965" s="54">
        <v>63</v>
      </c>
      <c r="H1965" s="60">
        <v>28.333333333333336</v>
      </c>
      <c r="I1965" s="275">
        <f t="shared" ref="I1965:I2028" si="93">IF(OR(G1965="",H1965=""),"",G1965*H1965)</f>
        <v>1785.0000000000002</v>
      </c>
      <c r="J1965" s="95">
        <f t="shared" ref="J1965:J2028" si="94">IF(OR(I1965=""),"",I1965*1.2)</f>
        <v>2142</v>
      </c>
      <c r="K1965" s="93">
        <f>IFERROR(VLOOKUP(E1965,'Inventaire des produits'!$B$4:$J$1000,5,FALSE),"")</f>
        <v>3</v>
      </c>
      <c r="L1965" s="301">
        <f>IFERROR(VLOOKUP(E1965,'Inventaire des produits'!$B$4:$J$1000,6,FALSE),"")</f>
        <v>20</v>
      </c>
      <c r="M1965" s="62">
        <f>SUM(J1965:J1968)</f>
        <v>3382</v>
      </c>
    </row>
    <row r="1966" spans="2:13" x14ac:dyDescent="0.3">
      <c r="B1966" s="378" t="s">
        <v>1704</v>
      </c>
      <c r="C1966" s="341"/>
      <c r="D1966" s="338"/>
      <c r="E1966" s="234" t="s">
        <v>837</v>
      </c>
      <c r="F1966" s="274" t="str">
        <f>IFERROR(VLOOKUP(E1966,'Inventaire des produits'!$B$4:$K$1000,2,0),"")</f>
        <v>ESSUIE MAIN 1KG LISSE</v>
      </c>
      <c r="G1966" s="54">
        <v>10</v>
      </c>
      <c r="H1966" s="60">
        <v>28.333333333333336</v>
      </c>
      <c r="I1966" s="275">
        <f t="shared" si="93"/>
        <v>283.33333333333337</v>
      </c>
      <c r="J1966" s="95">
        <f t="shared" si="94"/>
        <v>340.00000000000006</v>
      </c>
      <c r="K1966" s="93">
        <f>IFERROR(VLOOKUP(E1966,'Inventaire des produits'!$B$4:$J$1000,5,FALSE),"")</f>
        <v>7</v>
      </c>
      <c r="L1966" s="301">
        <f>IFERROR(VLOOKUP(E1966,'Inventaire des produits'!$B$4:$J$1000,6,FALSE),"")</f>
        <v>21.25</v>
      </c>
      <c r="M1966" s="62"/>
    </row>
    <row r="1967" spans="2:13" x14ac:dyDescent="0.3">
      <c r="B1967" s="378" t="s">
        <v>1704</v>
      </c>
      <c r="C1967" s="341"/>
      <c r="D1967" s="338"/>
      <c r="E1967" s="234" t="s">
        <v>772</v>
      </c>
      <c r="F1967" s="274" t="str">
        <f>IFERROR(VLOOKUP(E1967,'Inventaire des produits'!$B$4:$K$1000,2,0),"")</f>
        <v>GANT VINYL NOIR EXTRA PREMIUM GLOVE MEDIUM</v>
      </c>
      <c r="G1967" s="54">
        <v>12</v>
      </c>
      <c r="H1967" s="60">
        <v>33.333333333333336</v>
      </c>
      <c r="I1967" s="275">
        <f t="shared" si="93"/>
        <v>400</v>
      </c>
      <c r="J1967" s="95">
        <f t="shared" si="94"/>
        <v>480</v>
      </c>
      <c r="K1967" s="93">
        <f>IFERROR(VLOOKUP(E1967,'Inventaire des produits'!$B$4:$J$1000,5,FALSE),"")</f>
        <v>0</v>
      </c>
      <c r="L1967" s="301">
        <f>IFERROR(VLOOKUP(E1967,'Inventaire des produits'!$B$4:$J$1000,6,FALSE),"")</f>
        <v>20.833333333300001</v>
      </c>
      <c r="M1967" s="62"/>
    </row>
    <row r="1968" spans="2:13" x14ac:dyDescent="0.3">
      <c r="B1968" s="378" t="s">
        <v>1704</v>
      </c>
      <c r="C1968" s="342"/>
      <c r="D1968" s="339"/>
      <c r="E1968" s="234" t="s">
        <v>1452</v>
      </c>
      <c r="F1968" s="274" t="str">
        <f>IFERROR(VLOOKUP(E1968,'Inventaire des produits'!$B$4:$K$1000,2,0),"")</f>
        <v>GANT POLYETHLENE</v>
      </c>
      <c r="G1968" s="54">
        <v>70</v>
      </c>
      <c r="H1968" s="60">
        <f>5</f>
        <v>5</v>
      </c>
      <c r="I1968" s="275">
        <f t="shared" si="93"/>
        <v>350</v>
      </c>
      <c r="J1968" s="95">
        <f t="shared" si="94"/>
        <v>420</v>
      </c>
      <c r="K1968" s="93">
        <f>IFERROR(VLOOKUP(E1968,'Inventaire des produits'!$B$4:$J$1000,5,FALSE),"")</f>
        <v>530</v>
      </c>
      <c r="L1968" s="301">
        <f>IFERROR(VLOOKUP(E1968,'Inventaire des produits'!$B$4:$J$1000,6,FALSE),"")</f>
        <v>2.5099999999999998</v>
      </c>
      <c r="M1968" s="62"/>
    </row>
    <row r="1969" spans="2:13" x14ac:dyDescent="0.3">
      <c r="B1969" s="378" t="s">
        <v>1704</v>
      </c>
      <c r="C1969" s="340">
        <v>45608</v>
      </c>
      <c r="D1969" s="337" t="s">
        <v>1598</v>
      </c>
      <c r="E1969" s="234" t="s">
        <v>1222</v>
      </c>
      <c r="F1969" s="274" t="str">
        <f>IFERROR(VLOOKUP(E1969,'Inventaire des produits'!$B$4:$K$1000,2,0),"")</f>
        <v>POT DE SAUCE 1OZ PROCLEAN</v>
      </c>
      <c r="G1969" s="54">
        <v>12000</v>
      </c>
      <c r="H1969" s="60">
        <v>0.16250000000000001</v>
      </c>
      <c r="I1969" s="275">
        <f t="shared" si="93"/>
        <v>1950</v>
      </c>
      <c r="J1969" s="95">
        <f t="shared" si="94"/>
        <v>2340</v>
      </c>
      <c r="K1969" s="93">
        <f>IFERROR(VLOOKUP(E1969,'Inventaire des produits'!$B$4:$J$1000,5,FALSE),"")</f>
        <v>557100</v>
      </c>
      <c r="L1969" s="301">
        <f>IFERROR(VLOOKUP(E1969,'Inventaire des produits'!$B$4:$J$1000,6,FALSE),"")</f>
        <v>0.1167</v>
      </c>
      <c r="M1969" s="62">
        <f>SUM(J1969:J1980)</f>
        <v>7253.5040000000026</v>
      </c>
    </row>
    <row r="1970" spans="2:13" x14ac:dyDescent="0.3">
      <c r="B1970" s="378" t="s">
        <v>1704</v>
      </c>
      <c r="C1970" s="341"/>
      <c r="D1970" s="338"/>
      <c r="E1970" s="234" t="s">
        <v>837</v>
      </c>
      <c r="F1970" s="274" t="str">
        <f>IFERROR(VLOOKUP(E1970,'Inventaire des produits'!$B$4:$K$1000,2,0),"")</f>
        <v>ESSUIE MAIN 1KG LISSE</v>
      </c>
      <c r="G1970" s="54">
        <v>9</v>
      </c>
      <c r="H1970" s="60">
        <v>28.333333333333336</v>
      </c>
      <c r="I1970" s="275">
        <f t="shared" si="93"/>
        <v>255.00000000000003</v>
      </c>
      <c r="J1970" s="95">
        <f t="shared" si="94"/>
        <v>306</v>
      </c>
      <c r="K1970" s="93">
        <f>IFERROR(VLOOKUP(E1970,'Inventaire des produits'!$B$4:$J$1000,5,FALSE),"")</f>
        <v>7</v>
      </c>
      <c r="L1970" s="301">
        <f>IFERROR(VLOOKUP(E1970,'Inventaire des produits'!$B$4:$J$1000,6,FALSE),"")</f>
        <v>21.25</v>
      </c>
      <c r="M1970" s="62"/>
    </row>
    <row r="1971" spans="2:13" x14ac:dyDescent="0.3">
      <c r="B1971" s="378" t="s">
        <v>1704</v>
      </c>
      <c r="C1971" s="341"/>
      <c r="D1971" s="338"/>
      <c r="E1971" s="234" t="s">
        <v>1327</v>
      </c>
      <c r="F1971" s="274" t="str">
        <f>IFERROR(VLOOKUP(E1971,'Inventaire des produits'!$B$4:$K$1000,2,0),"")</f>
        <v>FOURCHETTE LUXE TRANSPARENTE/100</v>
      </c>
      <c r="G1971" s="54">
        <v>70</v>
      </c>
      <c r="H1971" s="60">
        <v>19.1666666666667</v>
      </c>
      <c r="I1971" s="275">
        <f t="shared" si="93"/>
        <v>1341.666666666669</v>
      </c>
      <c r="J1971" s="95">
        <f t="shared" si="94"/>
        <v>1610.0000000000027</v>
      </c>
      <c r="K1971" s="93">
        <f>IFERROR(VLOOKUP(E1971,'Inventaire des produits'!$B$4:$J$1000,5,FALSE),"")</f>
        <v>28</v>
      </c>
      <c r="L1971" s="301">
        <f>IFERROR(VLOOKUP(E1971,'Inventaire des produits'!$B$4:$J$1000,6,FALSE),"")</f>
        <v>20.84</v>
      </c>
      <c r="M1971" s="62"/>
    </row>
    <row r="1972" spans="2:13" x14ac:dyDescent="0.3">
      <c r="B1972" s="378" t="s">
        <v>1704</v>
      </c>
      <c r="C1972" s="341"/>
      <c r="D1972" s="338"/>
      <c r="E1972" s="234" t="s">
        <v>1464</v>
      </c>
      <c r="F1972" s="274" t="str">
        <f>IFERROR(VLOOKUP(E1972,'Inventaire des produits'!$B$4:$K$1000,2,0),"")</f>
        <v>CUILLERE LUXE TRANSPARENTE</v>
      </c>
      <c r="G1972" s="54">
        <v>8</v>
      </c>
      <c r="H1972" s="60">
        <v>19.1666666666667</v>
      </c>
      <c r="I1972" s="275">
        <f t="shared" si="93"/>
        <v>153.3333333333336</v>
      </c>
      <c r="J1972" s="95">
        <f t="shared" si="94"/>
        <v>184.00000000000031</v>
      </c>
      <c r="K1972" s="93">
        <f>IFERROR(VLOOKUP(E1972,'Inventaire des produits'!$B$4:$J$1000,5,FALSE),"")</f>
        <v>33</v>
      </c>
      <c r="L1972" s="301">
        <f>IFERROR(VLOOKUP(E1972,'Inventaire des produits'!$B$4:$J$1000,6,FALSE),"")</f>
        <v>15</v>
      </c>
      <c r="M1972" s="62"/>
    </row>
    <row r="1973" spans="2:13" x14ac:dyDescent="0.3">
      <c r="B1973" s="378" t="s">
        <v>1704</v>
      </c>
      <c r="C1973" s="341"/>
      <c r="D1973" s="338"/>
      <c r="E1973" s="234" t="s">
        <v>869</v>
      </c>
      <c r="F1973" s="274" t="str">
        <f>IFERROR(VLOOKUP(E1973,'Inventaire des produits'!$B$4:$K$1000,2,0),"")</f>
        <v>PAILLE ENVELOPPEE CODE 100 TRANS</v>
      </c>
      <c r="G1973" s="54">
        <v>26</v>
      </c>
      <c r="H1973" s="60">
        <v>6.666666666666667</v>
      </c>
      <c r="I1973" s="275">
        <f t="shared" si="93"/>
        <v>173.33333333333334</v>
      </c>
      <c r="J1973" s="95">
        <f t="shared" si="94"/>
        <v>208</v>
      </c>
      <c r="K1973" s="93">
        <f>IFERROR(VLOOKUP(E1973,'Inventaire des produits'!$B$4:$J$1000,5,FALSE),"")</f>
        <v>898</v>
      </c>
      <c r="L1973" s="301">
        <f>IFERROR(VLOOKUP(E1973,'Inventaire des produits'!$B$4:$J$1000,6,FALSE),"")</f>
        <v>3.9166666659999998</v>
      </c>
      <c r="M1973" s="62"/>
    </row>
    <row r="1974" spans="2:13" x14ac:dyDescent="0.3">
      <c r="B1974" s="378" t="s">
        <v>1704</v>
      </c>
      <c r="C1974" s="341"/>
      <c r="D1974" s="338"/>
      <c r="E1974" s="234" t="s">
        <v>772</v>
      </c>
      <c r="F1974" s="274" t="str">
        <f>IFERROR(VLOOKUP(E1974,'Inventaire des produits'!$B$4:$K$1000,2,0),"")</f>
        <v>GANT VINYL NOIR EXTRA PREMIUM GLOVE MEDIUM</v>
      </c>
      <c r="G1974" s="54">
        <v>20</v>
      </c>
      <c r="H1974" s="60">
        <v>33.333333333333336</v>
      </c>
      <c r="I1974" s="275">
        <f t="shared" si="93"/>
        <v>666.66666666666674</v>
      </c>
      <c r="J1974" s="95">
        <f t="shared" si="94"/>
        <v>800.00000000000011</v>
      </c>
      <c r="K1974" s="93">
        <f>IFERROR(VLOOKUP(E1974,'Inventaire des produits'!$B$4:$J$1000,5,FALSE),"")</f>
        <v>0</v>
      </c>
      <c r="L1974" s="301">
        <f>IFERROR(VLOOKUP(E1974,'Inventaire des produits'!$B$4:$J$1000,6,FALSE),"")</f>
        <v>20.833333333300001</v>
      </c>
      <c r="M1974" s="62"/>
    </row>
    <row r="1975" spans="2:13" x14ac:dyDescent="0.3">
      <c r="B1975" s="378" t="s">
        <v>1704</v>
      </c>
      <c r="C1975" s="341"/>
      <c r="D1975" s="338"/>
      <c r="E1975" s="234" t="s">
        <v>1139</v>
      </c>
      <c r="F1975" s="274" t="str">
        <f>IFERROR(VLOOKUP(E1975,'Inventaire des produits'!$B$4:$K$1000,2,0),"")</f>
        <v>BARQUETTE ALUMINIUM 250</v>
      </c>
      <c r="G1975" s="54">
        <v>1100</v>
      </c>
      <c r="H1975" s="60">
        <v>0.37719999999999998</v>
      </c>
      <c r="I1975" s="275">
        <f t="shared" si="93"/>
        <v>414.91999999999996</v>
      </c>
      <c r="J1975" s="95">
        <f t="shared" si="94"/>
        <v>497.90399999999994</v>
      </c>
      <c r="K1975" s="93">
        <f>IFERROR(VLOOKUP(E1975,'Inventaire des produits'!$B$4:$J$1000,5,FALSE),"")</f>
        <v>6400</v>
      </c>
      <c r="L1975" s="301">
        <f>IFERROR(VLOOKUP(E1975,'Inventaire des produits'!$B$4:$J$1000,6,FALSE),"")</f>
        <v>0.29167000000000004</v>
      </c>
      <c r="M1975" s="62"/>
    </row>
    <row r="1976" spans="2:13" x14ac:dyDescent="0.3">
      <c r="B1976" s="378" t="s">
        <v>1704</v>
      </c>
      <c r="C1976" s="341"/>
      <c r="D1976" s="338"/>
      <c r="E1976" s="234" t="s">
        <v>1452</v>
      </c>
      <c r="F1976" s="274" t="str">
        <f>IFERROR(VLOOKUP(E1976,'Inventaire des produits'!$B$4:$K$1000,2,0),"")</f>
        <v>GANT POLYETHLENE</v>
      </c>
      <c r="G1976" s="54">
        <v>21</v>
      </c>
      <c r="H1976" s="60">
        <v>5</v>
      </c>
      <c r="I1976" s="275">
        <f t="shared" si="93"/>
        <v>105</v>
      </c>
      <c r="J1976" s="95">
        <f t="shared" si="94"/>
        <v>126</v>
      </c>
      <c r="K1976" s="93">
        <f>IFERROR(VLOOKUP(E1976,'Inventaire des produits'!$B$4:$J$1000,5,FALSE),"")</f>
        <v>530</v>
      </c>
      <c r="L1976" s="301">
        <f>IFERROR(VLOOKUP(E1976,'Inventaire des produits'!$B$4:$J$1000,6,FALSE),"")</f>
        <v>2.5099999999999998</v>
      </c>
      <c r="M1976" s="62"/>
    </row>
    <row r="1977" spans="2:13" x14ac:dyDescent="0.3">
      <c r="B1977" s="378" t="s">
        <v>1704</v>
      </c>
      <c r="C1977" s="341"/>
      <c r="D1977" s="338"/>
      <c r="E1977" s="234" t="s">
        <v>1149</v>
      </c>
      <c r="F1977" s="274" t="str">
        <f>IFERROR(VLOOKUP(E1977,'Inventaire des produits'!$B$4:$K$1000,2,0),"")</f>
        <v>ROULEAU DE CAISSE THERMIQUE 80X80</v>
      </c>
      <c r="G1977" s="54">
        <v>35</v>
      </c>
      <c r="H1977" s="60">
        <v>10.333333333333334</v>
      </c>
      <c r="I1977" s="275">
        <f t="shared" si="93"/>
        <v>361.66666666666669</v>
      </c>
      <c r="J1977" s="95">
        <f t="shared" si="94"/>
        <v>434</v>
      </c>
      <c r="K1977" s="93">
        <f>IFERROR(VLOOKUP(E1977,'Inventaire des produits'!$B$4:$J$1000,5,FALSE),"")</f>
        <v>253</v>
      </c>
      <c r="L1977" s="301">
        <f>IFERROR(VLOOKUP(E1977,'Inventaire des produits'!$B$4:$J$1000,6,FALSE),"")</f>
        <v>7.5</v>
      </c>
      <c r="M1977" s="62"/>
    </row>
    <row r="1978" spans="2:13" x14ac:dyDescent="0.3">
      <c r="B1978" s="378" t="s">
        <v>1704</v>
      </c>
      <c r="C1978" s="341"/>
      <c r="D1978" s="338"/>
      <c r="E1978" s="234" t="s">
        <v>918</v>
      </c>
      <c r="F1978" s="274" t="str">
        <f>IFERROR(VLOOKUP(E1978,'Inventaire des produits'!$B$4:$K$1000,2,0),"")</f>
        <v>FILM ETIRABLE VIOLET 290mm kg</v>
      </c>
      <c r="G1978" s="54">
        <v>3</v>
      </c>
      <c r="H1978" s="60">
        <v>28.333333333333336</v>
      </c>
      <c r="I1978" s="275">
        <f t="shared" si="93"/>
        <v>85</v>
      </c>
      <c r="J1978" s="95">
        <f t="shared" si="94"/>
        <v>102</v>
      </c>
      <c r="K1978" s="93">
        <f>IFERROR(VLOOKUP(E1978,'Inventaire des produits'!$B$4:$J$1000,5,FALSE),"")</f>
        <v>124.32999999999998</v>
      </c>
      <c r="L1978" s="301">
        <f>IFERROR(VLOOKUP(E1978,'Inventaire des produits'!$B$4:$J$1000,6,FALSE),"")</f>
        <v>25</v>
      </c>
      <c r="M1978" s="62"/>
    </row>
    <row r="1979" spans="2:13" x14ac:dyDescent="0.3">
      <c r="B1979" s="378" t="s">
        <v>1704</v>
      </c>
      <c r="C1979" s="341"/>
      <c r="D1979" s="338"/>
      <c r="E1979" s="234" t="s">
        <v>1033</v>
      </c>
      <c r="F1979" s="274" t="str">
        <f>IFERROR(VLOOKUP(E1979,'Inventaire des produits'!$B$4:$K$1000,2,0),"")</f>
        <v>FILM ALIMENTAIRE 45CM 1,3KG PET</v>
      </c>
      <c r="G1979" s="54">
        <v>3</v>
      </c>
      <c r="H1979" s="60">
        <v>43.333333333333336</v>
      </c>
      <c r="I1979" s="275">
        <f t="shared" si="93"/>
        <v>130</v>
      </c>
      <c r="J1979" s="95">
        <f t="shared" si="94"/>
        <v>156</v>
      </c>
      <c r="K1979" s="93">
        <f>IFERROR(VLOOKUP(E1979,'Inventaire des produits'!$B$4:$J$1000,5,FALSE),"")</f>
        <v>3</v>
      </c>
      <c r="L1979" s="301">
        <f>IFERROR(VLOOKUP(E1979,'Inventaire des produits'!$B$4:$J$1000,6,FALSE),"")</f>
        <v>39.03</v>
      </c>
      <c r="M1979" s="62"/>
    </row>
    <row r="1980" spans="2:13" x14ac:dyDescent="0.3">
      <c r="B1980" s="378" t="s">
        <v>1704</v>
      </c>
      <c r="C1980" s="342"/>
      <c r="D1980" s="339"/>
      <c r="E1980" s="234" t="s">
        <v>1548</v>
      </c>
      <c r="F1980" s="274" t="str">
        <f>IFERROR(VLOOKUP(E1980,'Inventaire des produits'!$B$4:$K$1000,2,0),"")</f>
        <v xml:space="preserve">BOUTEILLE DE 330CC CARTON </v>
      </c>
      <c r="G1980" s="54">
        <v>204</v>
      </c>
      <c r="H1980" s="60">
        <v>2</v>
      </c>
      <c r="I1980" s="275">
        <f t="shared" si="93"/>
        <v>408</v>
      </c>
      <c r="J1980" s="95">
        <f t="shared" si="94"/>
        <v>489.59999999999997</v>
      </c>
      <c r="K1980" s="93">
        <f>IFERROR(VLOOKUP(E1980,'Inventaire des produits'!$B$4:$J$1000,5,FALSE),"")</f>
        <v>204</v>
      </c>
      <c r="L1980" s="301">
        <f>IFERROR(VLOOKUP(E1980,'Inventaire des produits'!$B$4:$J$1000,6,FALSE),"")</f>
        <v>1.6666666666666667</v>
      </c>
      <c r="M1980" s="62"/>
    </row>
    <row r="1981" spans="2:13" x14ac:dyDescent="0.3">
      <c r="B1981" s="378" t="s">
        <v>1704</v>
      </c>
      <c r="C1981" s="55">
        <v>45608</v>
      </c>
      <c r="D1981" s="54" t="s">
        <v>1600</v>
      </c>
      <c r="E1981" s="234" t="s">
        <v>1183</v>
      </c>
      <c r="F1981" s="274" t="str">
        <f>IFERROR(VLOOKUP(E1981,'Inventaire des produits'!$B$4:$K$1000,2,0),"")</f>
        <v>ROULEAU ALUMINIUM EXTRA PACK 200M</v>
      </c>
      <c r="G1981" s="54">
        <v>248</v>
      </c>
      <c r="H1981" s="60">
        <v>45.866950000000003</v>
      </c>
      <c r="I1981" s="275">
        <f t="shared" si="93"/>
        <v>11375.0036</v>
      </c>
      <c r="J1981" s="95">
        <f t="shared" si="94"/>
        <v>13650.00432</v>
      </c>
      <c r="K1981" s="93">
        <f>IFERROR(VLOOKUP(E1981,'Inventaire des produits'!$B$4:$J$1000,5,FALSE),"")</f>
        <v>350</v>
      </c>
      <c r="L1981" s="301">
        <f>IFERROR(VLOOKUP(E1981,'Inventaire des produits'!$B$4:$J$1000,6,FALSE),"")</f>
        <v>44.166666666666671</v>
      </c>
      <c r="M1981" s="62">
        <v>13650.00432</v>
      </c>
    </row>
    <row r="1982" spans="2:13" x14ac:dyDescent="0.3">
      <c r="B1982" s="378" t="s">
        <v>1704</v>
      </c>
      <c r="C1982" s="340">
        <v>45608</v>
      </c>
      <c r="D1982" s="337" t="s">
        <v>1601</v>
      </c>
      <c r="E1982" s="234" t="s">
        <v>1222</v>
      </c>
      <c r="F1982" s="274" t="str">
        <f>IFERROR(VLOOKUP(E1982,'Inventaire des produits'!$B$4:$K$1000,2,0),"")</f>
        <v>POT DE SAUCE 1OZ PROCLEAN</v>
      </c>
      <c r="G1982" s="54">
        <v>16400</v>
      </c>
      <c r="H1982" s="60">
        <v>0.16300000000000001</v>
      </c>
      <c r="I1982" s="275">
        <f t="shared" si="93"/>
        <v>2673.2000000000003</v>
      </c>
      <c r="J1982" s="95">
        <f t="shared" si="94"/>
        <v>3207.84</v>
      </c>
      <c r="K1982" s="93">
        <f>IFERROR(VLOOKUP(E1982,'Inventaire des produits'!$B$4:$J$1000,5,FALSE),"")</f>
        <v>557100</v>
      </c>
      <c r="L1982" s="301">
        <f>IFERROR(VLOOKUP(E1982,'Inventaire des produits'!$B$4:$J$1000,6,FALSE),"")</f>
        <v>0.1167</v>
      </c>
      <c r="M1982" s="62">
        <f>SUM(J1982:J1992)</f>
        <v>6863.0040000000008</v>
      </c>
    </row>
    <row r="1983" spans="2:13" x14ac:dyDescent="0.3">
      <c r="B1983" s="378" t="s">
        <v>1704</v>
      </c>
      <c r="C1983" s="341"/>
      <c r="D1983" s="338"/>
      <c r="E1983" s="234" t="s">
        <v>837</v>
      </c>
      <c r="F1983" s="274" t="str">
        <f>IFERROR(VLOOKUP(E1983,'Inventaire des produits'!$B$4:$K$1000,2,0),"")</f>
        <v>ESSUIE MAIN 1KG LISSE</v>
      </c>
      <c r="G1983" s="54">
        <v>16</v>
      </c>
      <c r="H1983" s="60">
        <v>28.333333333333336</v>
      </c>
      <c r="I1983" s="275">
        <f t="shared" si="93"/>
        <v>453.33333333333337</v>
      </c>
      <c r="J1983" s="95">
        <f t="shared" si="94"/>
        <v>544</v>
      </c>
      <c r="K1983" s="93">
        <f>IFERROR(VLOOKUP(E1983,'Inventaire des produits'!$B$4:$J$1000,5,FALSE),"")</f>
        <v>7</v>
      </c>
      <c r="L1983" s="301">
        <f>IFERROR(VLOOKUP(E1983,'Inventaire des produits'!$B$4:$J$1000,6,FALSE),"")</f>
        <v>21.25</v>
      </c>
      <c r="M1983" s="62"/>
    </row>
    <row r="1984" spans="2:13" x14ac:dyDescent="0.3">
      <c r="B1984" s="378" t="s">
        <v>1704</v>
      </c>
      <c r="C1984" s="341"/>
      <c r="D1984" s="338"/>
      <c r="E1984" s="234" t="s">
        <v>918</v>
      </c>
      <c r="F1984" s="274" t="str">
        <f>IFERROR(VLOOKUP(E1984,'Inventaire des produits'!$B$4:$K$1000,2,0),"")</f>
        <v>FILM ETIRABLE VIOLET 290mm kg</v>
      </c>
      <c r="G1984" s="54">
        <v>22</v>
      </c>
      <c r="H1984" s="60">
        <v>28.333333333333336</v>
      </c>
      <c r="I1984" s="275">
        <f t="shared" si="93"/>
        <v>623.33333333333337</v>
      </c>
      <c r="J1984" s="95">
        <f t="shared" si="94"/>
        <v>748</v>
      </c>
      <c r="K1984" s="93">
        <f>IFERROR(VLOOKUP(E1984,'Inventaire des produits'!$B$4:$J$1000,5,FALSE),"")</f>
        <v>124.32999999999998</v>
      </c>
      <c r="L1984" s="301">
        <f>IFERROR(VLOOKUP(E1984,'Inventaire des produits'!$B$4:$J$1000,6,FALSE),"")</f>
        <v>25</v>
      </c>
      <c r="M1984" s="62"/>
    </row>
    <row r="1985" spans="2:13" x14ac:dyDescent="0.3">
      <c r="B1985" s="378" t="s">
        <v>1704</v>
      </c>
      <c r="C1985" s="341"/>
      <c r="D1985" s="338"/>
      <c r="E1985" s="234" t="s">
        <v>1327</v>
      </c>
      <c r="F1985" s="274" t="str">
        <f>IFERROR(VLOOKUP(E1985,'Inventaire des produits'!$B$4:$K$1000,2,0),"")</f>
        <v>FOURCHETTE LUXE TRANSPARENTE/100</v>
      </c>
      <c r="G1985" s="54">
        <v>19</v>
      </c>
      <c r="H1985" s="60">
        <v>19.1666666666667</v>
      </c>
      <c r="I1985" s="275">
        <f t="shared" si="93"/>
        <v>364.16666666666731</v>
      </c>
      <c r="J1985" s="95">
        <f t="shared" si="94"/>
        <v>437.00000000000074</v>
      </c>
      <c r="K1985" s="93">
        <f>IFERROR(VLOOKUP(E1985,'Inventaire des produits'!$B$4:$J$1000,5,FALSE),"")</f>
        <v>28</v>
      </c>
      <c r="L1985" s="301">
        <f>IFERROR(VLOOKUP(E1985,'Inventaire des produits'!$B$4:$J$1000,6,FALSE),"")</f>
        <v>20.84</v>
      </c>
      <c r="M1985" s="62"/>
    </row>
    <row r="1986" spans="2:13" x14ac:dyDescent="0.3">
      <c r="B1986" s="378" t="s">
        <v>1704</v>
      </c>
      <c r="C1986" s="341"/>
      <c r="D1986" s="338"/>
      <c r="E1986" s="234" t="s">
        <v>1464</v>
      </c>
      <c r="F1986" s="274" t="str">
        <f>IFERROR(VLOOKUP(E1986,'Inventaire des produits'!$B$4:$K$1000,2,0),"")</f>
        <v>CUILLERE LUXE TRANSPARENTE</v>
      </c>
      <c r="G1986" s="54">
        <v>1</v>
      </c>
      <c r="H1986" s="60">
        <v>19.1666666666667</v>
      </c>
      <c r="I1986" s="275">
        <f t="shared" si="93"/>
        <v>19.1666666666667</v>
      </c>
      <c r="J1986" s="95">
        <f t="shared" si="94"/>
        <v>23.000000000000039</v>
      </c>
      <c r="K1986" s="93">
        <f>IFERROR(VLOOKUP(E1986,'Inventaire des produits'!$B$4:$J$1000,5,FALSE),"")</f>
        <v>33</v>
      </c>
      <c r="L1986" s="301">
        <f>IFERROR(VLOOKUP(E1986,'Inventaire des produits'!$B$4:$J$1000,6,FALSE),"")</f>
        <v>15</v>
      </c>
      <c r="M1986" s="62"/>
    </row>
    <row r="1987" spans="2:13" x14ac:dyDescent="0.3">
      <c r="B1987" s="378" t="s">
        <v>1704</v>
      </c>
      <c r="C1987" s="341"/>
      <c r="D1987" s="338"/>
      <c r="E1987" s="234" t="s">
        <v>869</v>
      </c>
      <c r="F1987" s="274" t="str">
        <f>IFERROR(VLOOKUP(E1987,'Inventaire des produits'!$B$4:$K$1000,2,0),"")</f>
        <v>PAILLE ENVELOPPEE CODE 100 TRANS</v>
      </c>
      <c r="G1987" s="54">
        <v>5</v>
      </c>
      <c r="H1987" s="60">
        <v>6.666666666666667</v>
      </c>
      <c r="I1987" s="275">
        <f t="shared" si="93"/>
        <v>33.333333333333336</v>
      </c>
      <c r="J1987" s="95">
        <f t="shared" si="94"/>
        <v>40</v>
      </c>
      <c r="K1987" s="93">
        <f>IFERROR(VLOOKUP(E1987,'Inventaire des produits'!$B$4:$J$1000,5,FALSE),"")</f>
        <v>898</v>
      </c>
      <c r="L1987" s="301">
        <f>IFERROR(VLOOKUP(E1987,'Inventaire des produits'!$B$4:$J$1000,6,FALSE),"")</f>
        <v>3.9166666659999998</v>
      </c>
      <c r="M1987" s="62"/>
    </row>
    <row r="1988" spans="2:13" x14ac:dyDescent="0.3">
      <c r="B1988" s="378" t="s">
        <v>1704</v>
      </c>
      <c r="C1988" s="341"/>
      <c r="D1988" s="338"/>
      <c r="E1988" s="234" t="s">
        <v>772</v>
      </c>
      <c r="F1988" s="274" t="str">
        <f>IFERROR(VLOOKUP(E1988,'Inventaire des produits'!$B$4:$K$1000,2,0),"")</f>
        <v>GANT VINYL NOIR EXTRA PREMIUM GLOVE MEDIUM</v>
      </c>
      <c r="G1988" s="54">
        <v>17</v>
      </c>
      <c r="H1988" s="60">
        <v>33.333333333333336</v>
      </c>
      <c r="I1988" s="275">
        <f t="shared" si="93"/>
        <v>566.66666666666674</v>
      </c>
      <c r="J1988" s="95">
        <f t="shared" si="94"/>
        <v>680.00000000000011</v>
      </c>
      <c r="K1988" s="93">
        <f>IFERROR(VLOOKUP(E1988,'Inventaire des produits'!$B$4:$J$1000,5,FALSE),"")</f>
        <v>0</v>
      </c>
      <c r="L1988" s="301">
        <f>IFERROR(VLOOKUP(E1988,'Inventaire des produits'!$B$4:$J$1000,6,FALSE),"")</f>
        <v>20.833333333300001</v>
      </c>
      <c r="M1988" s="62"/>
    </row>
    <row r="1989" spans="2:13" x14ac:dyDescent="0.3">
      <c r="B1989" s="378" t="s">
        <v>1704</v>
      </c>
      <c r="C1989" s="341"/>
      <c r="D1989" s="338"/>
      <c r="E1989" s="234" t="s">
        <v>1139</v>
      </c>
      <c r="F1989" s="274" t="str">
        <f>IFERROR(VLOOKUP(E1989,'Inventaire des produits'!$B$4:$K$1000,2,0),"")</f>
        <v>BARQUETTE ALUMINIUM 250</v>
      </c>
      <c r="G1989" s="54">
        <v>200</v>
      </c>
      <c r="H1989" s="60">
        <v>0.37985000000000002</v>
      </c>
      <c r="I1989" s="275">
        <f t="shared" si="93"/>
        <v>75.97</v>
      </c>
      <c r="J1989" s="95">
        <f t="shared" si="94"/>
        <v>91.164000000000001</v>
      </c>
      <c r="K1989" s="93">
        <f>IFERROR(VLOOKUP(E1989,'Inventaire des produits'!$B$4:$J$1000,5,FALSE),"")</f>
        <v>6400</v>
      </c>
      <c r="L1989" s="301">
        <f>IFERROR(VLOOKUP(E1989,'Inventaire des produits'!$B$4:$J$1000,6,FALSE),"")</f>
        <v>0.29167000000000004</v>
      </c>
      <c r="M1989" s="62"/>
    </row>
    <row r="1990" spans="2:13" x14ac:dyDescent="0.3">
      <c r="B1990" s="378" t="s">
        <v>1704</v>
      </c>
      <c r="C1990" s="341"/>
      <c r="D1990" s="338"/>
      <c r="E1990" s="234" t="s">
        <v>1452</v>
      </c>
      <c r="F1990" s="274" t="str">
        <f>IFERROR(VLOOKUP(E1990,'Inventaire des produits'!$B$4:$K$1000,2,0),"")</f>
        <v>GANT POLYETHLENE</v>
      </c>
      <c r="G1990" s="54">
        <v>18</v>
      </c>
      <c r="H1990" s="60">
        <v>5</v>
      </c>
      <c r="I1990" s="275">
        <f t="shared" si="93"/>
        <v>90</v>
      </c>
      <c r="J1990" s="95">
        <f t="shared" si="94"/>
        <v>108</v>
      </c>
      <c r="K1990" s="93">
        <f>IFERROR(VLOOKUP(E1990,'Inventaire des produits'!$B$4:$J$1000,5,FALSE),"")</f>
        <v>530</v>
      </c>
      <c r="L1990" s="301">
        <f>IFERROR(VLOOKUP(E1990,'Inventaire des produits'!$B$4:$J$1000,6,FALSE),"")</f>
        <v>2.5099999999999998</v>
      </c>
      <c r="M1990" s="62"/>
    </row>
    <row r="1991" spans="2:13" x14ac:dyDescent="0.3">
      <c r="B1991" s="378" t="s">
        <v>1704</v>
      </c>
      <c r="C1991" s="341"/>
      <c r="D1991" s="338"/>
      <c r="E1991" s="234" t="s">
        <v>1149</v>
      </c>
      <c r="F1991" s="274" t="str">
        <f>IFERROR(VLOOKUP(E1991,'Inventaire des produits'!$B$4:$K$1000,2,0),"")</f>
        <v>ROULEAU DE CAISSE THERMIQUE 80X80</v>
      </c>
      <c r="G1991" s="54">
        <v>50</v>
      </c>
      <c r="H1991" s="60">
        <v>10.333333333333334</v>
      </c>
      <c r="I1991" s="275">
        <f t="shared" si="93"/>
        <v>516.66666666666674</v>
      </c>
      <c r="J1991" s="95">
        <f t="shared" si="94"/>
        <v>620.00000000000011</v>
      </c>
      <c r="K1991" s="93">
        <f>IFERROR(VLOOKUP(E1991,'Inventaire des produits'!$B$4:$J$1000,5,FALSE),"")</f>
        <v>253</v>
      </c>
      <c r="L1991" s="301">
        <f>IFERROR(VLOOKUP(E1991,'Inventaire des produits'!$B$4:$J$1000,6,FALSE),"")</f>
        <v>7.5</v>
      </c>
      <c r="M1991" s="62"/>
    </row>
    <row r="1992" spans="2:13" x14ac:dyDescent="0.3">
      <c r="B1992" s="378" t="s">
        <v>1704</v>
      </c>
      <c r="C1992" s="342"/>
      <c r="D1992" s="339"/>
      <c r="E1992" s="234" t="s">
        <v>1033</v>
      </c>
      <c r="F1992" s="274" t="str">
        <f>IFERROR(VLOOKUP(E1992,'Inventaire des produits'!$B$4:$K$1000,2,0),"")</f>
        <v>FILM ALIMENTAIRE 45CM 1,3KG PET</v>
      </c>
      <c r="G1992" s="54">
        <v>7</v>
      </c>
      <c r="H1992" s="60">
        <v>43.333333333333336</v>
      </c>
      <c r="I1992" s="275">
        <f t="shared" si="93"/>
        <v>303.33333333333337</v>
      </c>
      <c r="J1992" s="95">
        <f t="shared" si="94"/>
        <v>364.00000000000006</v>
      </c>
      <c r="K1992" s="93">
        <f>IFERROR(VLOOKUP(E1992,'Inventaire des produits'!$B$4:$J$1000,5,FALSE),"")</f>
        <v>3</v>
      </c>
      <c r="L1992" s="301">
        <f>IFERROR(VLOOKUP(E1992,'Inventaire des produits'!$B$4:$J$1000,6,FALSE),"")</f>
        <v>39.03</v>
      </c>
      <c r="M1992" s="62"/>
    </row>
    <row r="1993" spans="2:13" x14ac:dyDescent="0.3">
      <c r="B1993" s="378" t="s">
        <v>1704</v>
      </c>
      <c r="C1993" s="340">
        <v>45609</v>
      </c>
      <c r="D1993" s="337" t="s">
        <v>1602</v>
      </c>
      <c r="E1993" s="234" t="s">
        <v>1222</v>
      </c>
      <c r="F1993" s="274" t="str">
        <f>IFERROR(VLOOKUP(E1993,'Inventaire des produits'!$B$4:$K$1000,2,0),"")</f>
        <v>POT DE SAUCE 1OZ PROCLEAN</v>
      </c>
      <c r="G1993" s="54">
        <v>38000</v>
      </c>
      <c r="H1993" s="60">
        <v>0.16275999999999999</v>
      </c>
      <c r="I1993" s="275">
        <f t="shared" si="93"/>
        <v>6184.8799999999992</v>
      </c>
      <c r="J1993" s="95">
        <f t="shared" si="94"/>
        <v>7421.8559999999989</v>
      </c>
      <c r="K1993" s="93">
        <f>IFERROR(VLOOKUP(E1993,'Inventaire des produits'!$B$4:$J$1000,5,FALSE),"")</f>
        <v>557100</v>
      </c>
      <c r="L1993" s="301">
        <f>IFERROR(VLOOKUP(E1993,'Inventaire des produits'!$B$4:$J$1000,6,FALSE),"")</f>
        <v>0.1167</v>
      </c>
      <c r="M1993" s="62">
        <f>SUM(J1993:J2003)</f>
        <v>13684.104079999999</v>
      </c>
    </row>
    <row r="1994" spans="2:13" x14ac:dyDescent="0.3">
      <c r="B1994" s="378" t="s">
        <v>1704</v>
      </c>
      <c r="C1994" s="341"/>
      <c r="D1994" s="338"/>
      <c r="E1994" s="234" t="s">
        <v>837</v>
      </c>
      <c r="F1994" s="274" t="str">
        <f>IFERROR(VLOOKUP(E1994,'Inventaire des produits'!$B$4:$K$1000,2,0),"")</f>
        <v>ESSUIE MAIN 1KG LISSE</v>
      </c>
      <c r="G1994" s="54">
        <v>13</v>
      </c>
      <c r="H1994" s="60">
        <v>28.333333333333336</v>
      </c>
      <c r="I1994" s="275">
        <f t="shared" si="93"/>
        <v>368.33333333333337</v>
      </c>
      <c r="J1994" s="95">
        <f t="shared" si="94"/>
        <v>442.00000000000006</v>
      </c>
      <c r="K1994" s="93">
        <f>IFERROR(VLOOKUP(E1994,'Inventaire des produits'!$B$4:$J$1000,5,FALSE),"")</f>
        <v>7</v>
      </c>
      <c r="L1994" s="301">
        <f>IFERROR(VLOOKUP(E1994,'Inventaire des produits'!$B$4:$J$1000,6,FALSE),"")</f>
        <v>21.25</v>
      </c>
      <c r="M1994" s="62"/>
    </row>
    <row r="1995" spans="2:13" x14ac:dyDescent="0.3">
      <c r="B1995" s="378" t="s">
        <v>1704</v>
      </c>
      <c r="C1995" s="341"/>
      <c r="D1995" s="338"/>
      <c r="E1995" s="234" t="s">
        <v>918</v>
      </c>
      <c r="F1995" s="274" t="str">
        <f>IFERROR(VLOOKUP(E1995,'Inventaire des produits'!$B$4:$K$1000,2,0),"")</f>
        <v>FILM ETIRABLE VIOLET 290mm kg</v>
      </c>
      <c r="G1995" s="54">
        <v>33</v>
      </c>
      <c r="H1995" s="60">
        <v>28.333333333333336</v>
      </c>
      <c r="I1995" s="275">
        <f t="shared" si="93"/>
        <v>935.00000000000011</v>
      </c>
      <c r="J1995" s="95">
        <f t="shared" si="94"/>
        <v>1122</v>
      </c>
      <c r="K1995" s="93">
        <f>IFERROR(VLOOKUP(E1995,'Inventaire des produits'!$B$4:$J$1000,5,FALSE),"")</f>
        <v>124.32999999999998</v>
      </c>
      <c r="L1995" s="301">
        <f>IFERROR(VLOOKUP(E1995,'Inventaire des produits'!$B$4:$J$1000,6,FALSE),"")</f>
        <v>25</v>
      </c>
      <c r="M1995" s="62"/>
    </row>
    <row r="1996" spans="2:13" x14ac:dyDescent="0.3">
      <c r="B1996" s="378" t="s">
        <v>1704</v>
      </c>
      <c r="C1996" s="341"/>
      <c r="D1996" s="338"/>
      <c r="E1996" s="234" t="s">
        <v>869</v>
      </c>
      <c r="F1996" s="274" t="str">
        <f>IFERROR(VLOOKUP(E1996,'Inventaire des produits'!$B$4:$K$1000,2,0),"")</f>
        <v>PAILLE ENVELOPPEE CODE 100 TRANS</v>
      </c>
      <c r="G1996" s="54">
        <v>29</v>
      </c>
      <c r="H1996" s="60">
        <v>6.6679000000000004</v>
      </c>
      <c r="I1996" s="275">
        <f t="shared" si="93"/>
        <v>193.3691</v>
      </c>
      <c r="J1996" s="95">
        <f t="shared" si="94"/>
        <v>232.04291999999998</v>
      </c>
      <c r="K1996" s="93">
        <f>IFERROR(VLOOKUP(E1996,'Inventaire des produits'!$B$4:$J$1000,5,FALSE),"")</f>
        <v>898</v>
      </c>
      <c r="L1996" s="301">
        <f>IFERROR(VLOOKUP(E1996,'Inventaire des produits'!$B$4:$J$1000,6,FALSE),"")</f>
        <v>3.9166666659999998</v>
      </c>
      <c r="M1996" s="62"/>
    </row>
    <row r="1997" spans="2:13" x14ac:dyDescent="0.3">
      <c r="B1997" s="378" t="s">
        <v>1704</v>
      </c>
      <c r="C1997" s="341"/>
      <c r="D1997" s="338"/>
      <c r="E1997" s="234" t="s">
        <v>772</v>
      </c>
      <c r="F1997" s="274" t="str">
        <f>IFERROR(VLOOKUP(E1997,'Inventaire des produits'!$B$4:$K$1000,2,0),"")</f>
        <v>GANT VINYL NOIR EXTRA PREMIUM GLOVE MEDIUM</v>
      </c>
      <c r="G1997" s="54">
        <v>24</v>
      </c>
      <c r="H1997" s="60">
        <v>33.333333333333336</v>
      </c>
      <c r="I1997" s="275">
        <f t="shared" si="93"/>
        <v>800</v>
      </c>
      <c r="J1997" s="95">
        <f t="shared" si="94"/>
        <v>960</v>
      </c>
      <c r="K1997" s="93">
        <f>IFERROR(VLOOKUP(E1997,'Inventaire des produits'!$B$4:$J$1000,5,FALSE),"")</f>
        <v>0</v>
      </c>
      <c r="L1997" s="301">
        <f>IFERROR(VLOOKUP(E1997,'Inventaire des produits'!$B$4:$J$1000,6,FALSE),"")</f>
        <v>20.833333333300001</v>
      </c>
      <c r="M1997" s="62"/>
    </row>
    <row r="1998" spans="2:13" x14ac:dyDescent="0.3">
      <c r="B1998" s="378" t="s">
        <v>1704</v>
      </c>
      <c r="C1998" s="341"/>
      <c r="D1998" s="338"/>
      <c r="E1998" s="234" t="s">
        <v>1139</v>
      </c>
      <c r="F1998" s="274" t="str">
        <f>IFERROR(VLOOKUP(E1998,'Inventaire des produits'!$B$4:$K$1000,2,0),"")</f>
        <v>BARQUETTE ALUMINIUM 250</v>
      </c>
      <c r="G1998" s="54">
        <v>800</v>
      </c>
      <c r="H1998" s="60">
        <v>0.37519999999999998</v>
      </c>
      <c r="I1998" s="275">
        <f t="shared" si="93"/>
        <v>300.15999999999997</v>
      </c>
      <c r="J1998" s="95">
        <f t="shared" si="94"/>
        <v>360.19199999999995</v>
      </c>
      <c r="K1998" s="93">
        <f>IFERROR(VLOOKUP(E1998,'Inventaire des produits'!$B$4:$J$1000,5,FALSE),"")</f>
        <v>6400</v>
      </c>
      <c r="L1998" s="301">
        <f>IFERROR(VLOOKUP(E1998,'Inventaire des produits'!$B$4:$J$1000,6,FALSE),"")</f>
        <v>0.29167000000000004</v>
      </c>
      <c r="M1998" s="62"/>
    </row>
    <row r="1999" spans="2:13" x14ac:dyDescent="0.3">
      <c r="B1999" s="378" t="s">
        <v>1704</v>
      </c>
      <c r="C1999" s="341"/>
      <c r="D1999" s="338"/>
      <c r="E1999" s="234" t="s">
        <v>1452</v>
      </c>
      <c r="F1999" s="274" t="str">
        <f>IFERROR(VLOOKUP(E1999,'Inventaire des produits'!$B$4:$K$1000,2,0),"")</f>
        <v>GANT POLYETHLENE</v>
      </c>
      <c r="G1999" s="54">
        <v>32</v>
      </c>
      <c r="H1999" s="60">
        <v>5</v>
      </c>
      <c r="I1999" s="275">
        <f t="shared" si="93"/>
        <v>160</v>
      </c>
      <c r="J1999" s="95">
        <f t="shared" si="94"/>
        <v>192</v>
      </c>
      <c r="K1999" s="93">
        <f>IFERROR(VLOOKUP(E1999,'Inventaire des produits'!$B$4:$J$1000,5,FALSE),"")</f>
        <v>530</v>
      </c>
      <c r="L1999" s="301">
        <f>IFERROR(VLOOKUP(E1999,'Inventaire des produits'!$B$4:$J$1000,6,FALSE),"")</f>
        <v>2.5099999999999998</v>
      </c>
      <c r="M1999" s="62"/>
    </row>
    <row r="2000" spans="2:13" x14ac:dyDescent="0.3">
      <c r="B2000" s="378" t="s">
        <v>1704</v>
      </c>
      <c r="C2000" s="341"/>
      <c r="D2000" s="338"/>
      <c r="E2000" s="234" t="s">
        <v>1033</v>
      </c>
      <c r="F2000" s="274" t="str">
        <f>IFERROR(VLOOKUP(E2000,'Inventaire des produits'!$B$4:$K$1000,2,0),"")</f>
        <v>FILM ALIMENTAIRE 45CM 1,3KG PET</v>
      </c>
      <c r="G2000" s="54">
        <v>24</v>
      </c>
      <c r="H2000" s="60">
        <v>43.333333333333336</v>
      </c>
      <c r="I2000" s="275">
        <f t="shared" si="93"/>
        <v>1040</v>
      </c>
      <c r="J2000" s="95">
        <f t="shared" si="94"/>
        <v>1248</v>
      </c>
      <c r="K2000" s="93">
        <f>IFERROR(VLOOKUP(E2000,'Inventaire des produits'!$B$4:$J$1000,5,FALSE),"")</f>
        <v>3</v>
      </c>
      <c r="L2000" s="301">
        <f>IFERROR(VLOOKUP(E2000,'Inventaire des produits'!$B$4:$J$1000,6,FALSE),"")</f>
        <v>39.03</v>
      </c>
      <c r="M2000" s="62"/>
    </row>
    <row r="2001" spans="2:13" x14ac:dyDescent="0.3">
      <c r="B2001" s="378" t="s">
        <v>1704</v>
      </c>
      <c r="C2001" s="341"/>
      <c r="D2001" s="338"/>
      <c r="E2001" s="234" t="s">
        <v>1327</v>
      </c>
      <c r="F2001" s="274" t="str">
        <f>IFERROR(VLOOKUP(E2001,'Inventaire des produits'!$B$4:$K$1000,2,0),"")</f>
        <v>FOURCHETTE LUXE TRANSPARENTE/100</v>
      </c>
      <c r="G2001" s="54">
        <v>47</v>
      </c>
      <c r="H2001" s="60">
        <v>19.166899999999998</v>
      </c>
      <c r="I2001" s="275">
        <f t="shared" si="93"/>
        <v>900.84429999999998</v>
      </c>
      <c r="J2001" s="95">
        <f t="shared" si="94"/>
        <v>1081.01316</v>
      </c>
      <c r="K2001" s="93">
        <f>IFERROR(VLOOKUP(E2001,'Inventaire des produits'!$B$4:$J$1000,5,FALSE),"")</f>
        <v>28</v>
      </c>
      <c r="L2001" s="301">
        <f>IFERROR(VLOOKUP(E2001,'Inventaire des produits'!$B$4:$J$1000,6,FALSE),"")</f>
        <v>20.84</v>
      </c>
      <c r="M2001" s="62"/>
    </row>
    <row r="2002" spans="2:13" x14ac:dyDescent="0.3">
      <c r="B2002" s="378" t="s">
        <v>1704</v>
      </c>
      <c r="C2002" s="341"/>
      <c r="D2002" s="338"/>
      <c r="E2002" s="234" t="s">
        <v>1149</v>
      </c>
      <c r="F2002" s="274" t="str">
        <f>IFERROR(VLOOKUP(E2002,'Inventaire des produits'!$B$4:$K$1000,2,0),"")</f>
        <v>ROULEAU DE CAISSE THERMIQUE 80X80</v>
      </c>
      <c r="G2002" s="54">
        <v>30</v>
      </c>
      <c r="H2002" s="60">
        <v>10.333333333333334</v>
      </c>
      <c r="I2002" s="275">
        <f t="shared" si="93"/>
        <v>310</v>
      </c>
      <c r="J2002" s="95">
        <f t="shared" si="94"/>
        <v>372</v>
      </c>
      <c r="K2002" s="93">
        <f>IFERROR(VLOOKUP(E2002,'Inventaire des produits'!$B$4:$J$1000,5,FALSE),"")</f>
        <v>253</v>
      </c>
      <c r="L2002" s="301">
        <f>IFERROR(VLOOKUP(E2002,'Inventaire des produits'!$B$4:$J$1000,6,FALSE),"")</f>
        <v>7.5</v>
      </c>
      <c r="M2002" s="62"/>
    </row>
    <row r="2003" spans="2:13" x14ac:dyDescent="0.3">
      <c r="B2003" s="378" t="s">
        <v>1704</v>
      </c>
      <c r="C2003" s="342"/>
      <c r="D2003" s="339"/>
      <c r="E2003" s="234" t="s">
        <v>1464</v>
      </c>
      <c r="F2003" s="274" t="str">
        <f>IFERROR(VLOOKUP(E2003,'Inventaire des produits'!$B$4:$K$1000,2,0),"")</f>
        <v>CUILLERE LUXE TRANSPARENTE</v>
      </c>
      <c r="G2003" s="54">
        <v>11</v>
      </c>
      <c r="H2003" s="60">
        <v>19.1666666666667</v>
      </c>
      <c r="I2003" s="275">
        <f t="shared" si="93"/>
        <v>210.83333333333371</v>
      </c>
      <c r="J2003" s="95">
        <f t="shared" si="94"/>
        <v>253.00000000000045</v>
      </c>
      <c r="K2003" s="93">
        <f>IFERROR(VLOOKUP(E2003,'Inventaire des produits'!$B$4:$J$1000,5,FALSE),"")</f>
        <v>33</v>
      </c>
      <c r="L2003" s="301">
        <f>IFERROR(VLOOKUP(E2003,'Inventaire des produits'!$B$4:$J$1000,6,FALSE),"")</f>
        <v>15</v>
      </c>
      <c r="M2003" s="62"/>
    </row>
    <row r="2004" spans="2:13" x14ac:dyDescent="0.3">
      <c r="B2004" s="378" t="s">
        <v>1704</v>
      </c>
      <c r="C2004" s="340">
        <v>45609</v>
      </c>
      <c r="D2004" s="337" t="s">
        <v>1603</v>
      </c>
      <c r="E2004" s="234" t="s">
        <v>1222</v>
      </c>
      <c r="F2004" s="274" t="str">
        <f>IFERROR(VLOOKUP(E2004,'Inventaire des produits'!$B$4:$K$1000,2,0),"")</f>
        <v>POT DE SAUCE 1OZ PROCLEAN</v>
      </c>
      <c r="G2004" s="54">
        <v>19300</v>
      </c>
      <c r="H2004" s="60">
        <v>0.16270000000000001</v>
      </c>
      <c r="I2004" s="275">
        <f t="shared" si="93"/>
        <v>3140.11</v>
      </c>
      <c r="J2004" s="95">
        <f t="shared" si="94"/>
        <v>3768.1320000000001</v>
      </c>
      <c r="K2004" s="93">
        <f>IFERROR(VLOOKUP(E2004,'Inventaire des produits'!$B$4:$J$1000,5,FALSE),"")</f>
        <v>557100</v>
      </c>
      <c r="L2004" s="301">
        <f>IFERROR(VLOOKUP(E2004,'Inventaire des produits'!$B$4:$J$1000,6,FALSE),"")</f>
        <v>0.1167</v>
      </c>
      <c r="M2004" s="62">
        <f>SUM(J2004:J2014)</f>
        <v>8979.1320000000014</v>
      </c>
    </row>
    <row r="2005" spans="2:13" x14ac:dyDescent="0.3">
      <c r="B2005" s="378" t="s">
        <v>1704</v>
      </c>
      <c r="C2005" s="341"/>
      <c r="D2005" s="338"/>
      <c r="E2005" s="234" t="s">
        <v>837</v>
      </c>
      <c r="F2005" s="274" t="str">
        <f>IFERROR(VLOOKUP(E2005,'Inventaire des produits'!$B$4:$K$1000,2,0),"")</f>
        <v>ESSUIE MAIN 1KG LISSE</v>
      </c>
      <c r="G2005" s="54">
        <v>21</v>
      </c>
      <c r="H2005" s="60">
        <v>28.333333333333336</v>
      </c>
      <c r="I2005" s="275">
        <f t="shared" si="93"/>
        <v>595</v>
      </c>
      <c r="J2005" s="95">
        <f t="shared" si="94"/>
        <v>714</v>
      </c>
      <c r="K2005" s="93">
        <f>IFERROR(VLOOKUP(E2005,'Inventaire des produits'!$B$4:$J$1000,5,FALSE),"")</f>
        <v>7</v>
      </c>
      <c r="L2005" s="301">
        <f>IFERROR(VLOOKUP(E2005,'Inventaire des produits'!$B$4:$J$1000,6,FALSE),"")</f>
        <v>21.25</v>
      </c>
      <c r="M2005" s="62"/>
    </row>
    <row r="2006" spans="2:13" x14ac:dyDescent="0.3">
      <c r="B2006" s="378" t="s">
        <v>1704</v>
      </c>
      <c r="C2006" s="341"/>
      <c r="D2006" s="338"/>
      <c r="E2006" s="234" t="s">
        <v>918</v>
      </c>
      <c r="F2006" s="274" t="str">
        <f>IFERROR(VLOOKUP(E2006,'Inventaire des produits'!$B$4:$K$1000,2,0),"")</f>
        <v>FILM ETIRABLE VIOLET 290mm kg</v>
      </c>
      <c r="G2006" s="54">
        <v>18</v>
      </c>
      <c r="H2006" s="60">
        <v>28.333333333333336</v>
      </c>
      <c r="I2006" s="275">
        <f t="shared" si="93"/>
        <v>510.00000000000006</v>
      </c>
      <c r="J2006" s="95">
        <f t="shared" si="94"/>
        <v>612</v>
      </c>
      <c r="K2006" s="93">
        <f>IFERROR(VLOOKUP(E2006,'Inventaire des produits'!$B$4:$J$1000,5,FALSE),"")</f>
        <v>124.32999999999998</v>
      </c>
      <c r="L2006" s="301">
        <f>IFERROR(VLOOKUP(E2006,'Inventaire des produits'!$B$4:$J$1000,6,FALSE),"")</f>
        <v>25</v>
      </c>
      <c r="M2006" s="62"/>
    </row>
    <row r="2007" spans="2:13" x14ac:dyDescent="0.3">
      <c r="B2007" s="378" t="s">
        <v>1704</v>
      </c>
      <c r="C2007" s="341"/>
      <c r="D2007" s="338"/>
      <c r="E2007" s="234" t="s">
        <v>1327</v>
      </c>
      <c r="F2007" s="274" t="str">
        <f>IFERROR(VLOOKUP(E2007,'Inventaire des produits'!$B$4:$K$1000,2,0),"")</f>
        <v>FOURCHETTE LUXE TRANSPARENTE/100</v>
      </c>
      <c r="G2007" s="54">
        <v>44</v>
      </c>
      <c r="H2007" s="60">
        <v>19.1666666666667</v>
      </c>
      <c r="I2007" s="275">
        <f t="shared" si="93"/>
        <v>843.33333333333485</v>
      </c>
      <c r="J2007" s="95">
        <f t="shared" si="94"/>
        <v>1012.0000000000018</v>
      </c>
      <c r="K2007" s="93">
        <f>IFERROR(VLOOKUP(E2007,'Inventaire des produits'!$B$4:$J$1000,5,FALSE),"")</f>
        <v>28</v>
      </c>
      <c r="L2007" s="301">
        <f>IFERROR(VLOOKUP(E2007,'Inventaire des produits'!$B$4:$J$1000,6,FALSE),"")</f>
        <v>20.84</v>
      </c>
      <c r="M2007" s="62"/>
    </row>
    <row r="2008" spans="2:13" x14ac:dyDescent="0.3">
      <c r="B2008" s="378" t="s">
        <v>1704</v>
      </c>
      <c r="C2008" s="341"/>
      <c r="D2008" s="338"/>
      <c r="E2008" s="234" t="s">
        <v>1464</v>
      </c>
      <c r="F2008" s="274" t="str">
        <f>IFERROR(VLOOKUP(E2008,'Inventaire des produits'!$B$4:$K$1000,2,0),"")</f>
        <v>CUILLERE LUXE TRANSPARENTE</v>
      </c>
      <c r="G2008" s="54">
        <v>11</v>
      </c>
      <c r="H2008" s="60">
        <v>19.1666666666667</v>
      </c>
      <c r="I2008" s="275">
        <f t="shared" si="93"/>
        <v>210.83333333333371</v>
      </c>
      <c r="J2008" s="95">
        <f t="shared" si="94"/>
        <v>253.00000000000045</v>
      </c>
      <c r="K2008" s="93">
        <f>IFERROR(VLOOKUP(E2008,'Inventaire des produits'!$B$4:$J$1000,5,FALSE),"")</f>
        <v>33</v>
      </c>
      <c r="L2008" s="301">
        <f>IFERROR(VLOOKUP(E2008,'Inventaire des produits'!$B$4:$J$1000,6,FALSE),"")</f>
        <v>15</v>
      </c>
      <c r="M2008" s="62"/>
    </row>
    <row r="2009" spans="2:13" x14ac:dyDescent="0.3">
      <c r="B2009" s="378" t="s">
        <v>1704</v>
      </c>
      <c r="C2009" s="341"/>
      <c r="D2009" s="338"/>
      <c r="E2009" s="234" t="s">
        <v>869</v>
      </c>
      <c r="F2009" s="274" t="str">
        <f>IFERROR(VLOOKUP(E2009,'Inventaire des produits'!$B$4:$K$1000,2,0),"")</f>
        <v>PAILLE ENVELOPPEE CODE 100 TRANS</v>
      </c>
      <c r="G2009" s="54">
        <v>27</v>
      </c>
      <c r="H2009" s="60">
        <v>6.666666666666667</v>
      </c>
      <c r="I2009" s="275">
        <f t="shared" si="93"/>
        <v>180</v>
      </c>
      <c r="J2009" s="95">
        <f t="shared" si="94"/>
        <v>216</v>
      </c>
      <c r="K2009" s="93">
        <f>IFERROR(VLOOKUP(E2009,'Inventaire des produits'!$B$4:$J$1000,5,FALSE),"")</f>
        <v>898</v>
      </c>
      <c r="L2009" s="301">
        <f>IFERROR(VLOOKUP(E2009,'Inventaire des produits'!$B$4:$J$1000,6,FALSE),"")</f>
        <v>3.9166666659999998</v>
      </c>
      <c r="M2009" s="62"/>
    </row>
    <row r="2010" spans="2:13" x14ac:dyDescent="0.3">
      <c r="B2010" s="378" t="s">
        <v>1704</v>
      </c>
      <c r="C2010" s="341"/>
      <c r="D2010" s="338"/>
      <c r="E2010" s="234" t="s">
        <v>772</v>
      </c>
      <c r="F2010" s="274" t="str">
        <f>IFERROR(VLOOKUP(E2010,'Inventaire des produits'!$B$4:$K$1000,2,0),"")</f>
        <v>GANT VINYL NOIR EXTRA PREMIUM GLOVE MEDIUM</v>
      </c>
      <c r="G2010" s="54">
        <v>22</v>
      </c>
      <c r="H2010" s="60">
        <v>33.333333333333336</v>
      </c>
      <c r="I2010" s="275">
        <f t="shared" si="93"/>
        <v>733.33333333333337</v>
      </c>
      <c r="J2010" s="95">
        <f t="shared" si="94"/>
        <v>880</v>
      </c>
      <c r="K2010" s="93">
        <f>IFERROR(VLOOKUP(E2010,'Inventaire des produits'!$B$4:$J$1000,5,FALSE),"")</f>
        <v>0</v>
      </c>
      <c r="L2010" s="301">
        <f>IFERROR(VLOOKUP(E2010,'Inventaire des produits'!$B$4:$J$1000,6,FALSE),"")</f>
        <v>20.833333333300001</v>
      </c>
      <c r="M2010" s="62"/>
    </row>
    <row r="2011" spans="2:13" x14ac:dyDescent="0.3">
      <c r="B2011" s="378" t="s">
        <v>1704</v>
      </c>
      <c r="C2011" s="341"/>
      <c r="D2011" s="338"/>
      <c r="E2011" s="234" t="s">
        <v>1139</v>
      </c>
      <c r="F2011" s="274" t="str">
        <f>IFERROR(VLOOKUP(E2011,'Inventaire des produits'!$B$4:$K$1000,2,0),"")</f>
        <v>BARQUETTE ALUMINIUM 250</v>
      </c>
      <c r="G2011" s="54">
        <v>800</v>
      </c>
      <c r="H2011" s="60">
        <v>0.375</v>
      </c>
      <c r="I2011" s="275">
        <f t="shared" si="93"/>
        <v>300</v>
      </c>
      <c r="J2011" s="95">
        <f t="shared" si="94"/>
        <v>360</v>
      </c>
      <c r="K2011" s="93">
        <f>IFERROR(VLOOKUP(E2011,'Inventaire des produits'!$B$4:$J$1000,5,FALSE),"")</f>
        <v>6400</v>
      </c>
      <c r="L2011" s="301">
        <f>IFERROR(VLOOKUP(E2011,'Inventaire des produits'!$B$4:$J$1000,6,FALSE),"")</f>
        <v>0.29167000000000004</v>
      </c>
      <c r="M2011" s="62"/>
    </row>
    <row r="2012" spans="2:13" x14ac:dyDescent="0.3">
      <c r="B2012" s="378" t="s">
        <v>1704</v>
      </c>
      <c r="C2012" s="341"/>
      <c r="D2012" s="338"/>
      <c r="E2012" s="234" t="s">
        <v>1452</v>
      </c>
      <c r="F2012" s="274" t="str">
        <f>IFERROR(VLOOKUP(E2012,'Inventaire des produits'!$B$4:$K$1000,2,0),"")</f>
        <v>GANT POLYETHLENE</v>
      </c>
      <c r="G2012" s="54">
        <v>11</v>
      </c>
      <c r="H2012" s="60">
        <v>5</v>
      </c>
      <c r="I2012" s="275">
        <f t="shared" si="93"/>
        <v>55</v>
      </c>
      <c r="J2012" s="95">
        <f t="shared" si="94"/>
        <v>66</v>
      </c>
      <c r="K2012" s="93">
        <f>IFERROR(VLOOKUP(E2012,'Inventaire des produits'!$B$4:$J$1000,5,FALSE),"")</f>
        <v>530</v>
      </c>
      <c r="L2012" s="301">
        <f>IFERROR(VLOOKUP(E2012,'Inventaire des produits'!$B$4:$J$1000,6,FALSE),"")</f>
        <v>2.5099999999999998</v>
      </c>
      <c r="M2012" s="62"/>
    </row>
    <row r="2013" spans="2:13" x14ac:dyDescent="0.3">
      <c r="B2013" s="378" t="s">
        <v>1704</v>
      </c>
      <c r="C2013" s="341"/>
      <c r="D2013" s="338"/>
      <c r="E2013" s="234" t="s">
        <v>1149</v>
      </c>
      <c r="F2013" s="274" t="str">
        <f>IFERROR(VLOOKUP(E2013,'Inventaire des produits'!$B$4:$K$1000,2,0),"")</f>
        <v>ROULEAU DE CAISSE THERMIQUE 80X80</v>
      </c>
      <c r="G2013" s="54">
        <v>55</v>
      </c>
      <c r="H2013" s="60">
        <v>10.333333333333334</v>
      </c>
      <c r="I2013" s="275">
        <f t="shared" si="93"/>
        <v>568.33333333333337</v>
      </c>
      <c r="J2013" s="95">
        <f t="shared" si="94"/>
        <v>682</v>
      </c>
      <c r="K2013" s="93">
        <f>IFERROR(VLOOKUP(E2013,'Inventaire des produits'!$B$4:$J$1000,5,FALSE),"")</f>
        <v>253</v>
      </c>
      <c r="L2013" s="301">
        <f>IFERROR(VLOOKUP(E2013,'Inventaire des produits'!$B$4:$J$1000,6,FALSE),"")</f>
        <v>7.5</v>
      </c>
      <c r="M2013" s="62"/>
    </row>
    <row r="2014" spans="2:13" x14ac:dyDescent="0.3">
      <c r="B2014" s="378" t="s">
        <v>1704</v>
      </c>
      <c r="C2014" s="342"/>
      <c r="D2014" s="339"/>
      <c r="E2014" s="234" t="s">
        <v>1033</v>
      </c>
      <c r="F2014" s="274" t="str">
        <f>IFERROR(VLOOKUP(E2014,'Inventaire des produits'!$B$4:$K$1000,2,0),"")</f>
        <v>FILM ALIMENTAIRE 45CM 1,3KG PET</v>
      </c>
      <c r="G2014" s="54">
        <v>8</v>
      </c>
      <c r="H2014" s="60">
        <v>43.333333333333336</v>
      </c>
      <c r="I2014" s="275">
        <f t="shared" si="93"/>
        <v>346.66666666666669</v>
      </c>
      <c r="J2014" s="95">
        <f t="shared" si="94"/>
        <v>416</v>
      </c>
      <c r="K2014" s="93">
        <f>IFERROR(VLOOKUP(E2014,'Inventaire des produits'!$B$4:$J$1000,5,FALSE),"")</f>
        <v>3</v>
      </c>
      <c r="L2014" s="301">
        <f>IFERROR(VLOOKUP(E2014,'Inventaire des produits'!$B$4:$J$1000,6,FALSE),"")</f>
        <v>39.03</v>
      </c>
      <c r="M2014" s="62"/>
    </row>
    <row r="2015" spans="2:13" x14ac:dyDescent="0.3">
      <c r="B2015" s="378" t="s">
        <v>1704</v>
      </c>
      <c r="C2015" s="340">
        <v>45609</v>
      </c>
      <c r="D2015" s="337" t="s">
        <v>1604</v>
      </c>
      <c r="E2015" s="234" t="s">
        <v>1222</v>
      </c>
      <c r="F2015" s="274" t="str">
        <f>IFERROR(VLOOKUP(E2015,'Inventaire des produits'!$B$4:$K$1000,2,0),"")</f>
        <v>POT DE SAUCE 1OZ PROCLEAN</v>
      </c>
      <c r="G2015" s="54">
        <v>22000</v>
      </c>
      <c r="H2015" s="60">
        <v>0.16273000000000001</v>
      </c>
      <c r="I2015" s="275">
        <f t="shared" si="93"/>
        <v>3580.0600000000004</v>
      </c>
      <c r="J2015" s="95">
        <f t="shared" si="94"/>
        <v>4296.0720000000001</v>
      </c>
      <c r="K2015" s="93">
        <f>IFERROR(VLOOKUP(E2015,'Inventaire des produits'!$B$4:$J$1000,5,FALSE),"")</f>
        <v>557100</v>
      </c>
      <c r="L2015" s="301">
        <f>IFERROR(VLOOKUP(E2015,'Inventaire des produits'!$B$4:$J$1000,6,FALSE),"")</f>
        <v>0.1167</v>
      </c>
      <c r="M2015" s="62">
        <f>SUM(J2015:J2027)</f>
        <v>8725.1720000000005</v>
      </c>
    </row>
    <row r="2016" spans="2:13" x14ac:dyDescent="0.3">
      <c r="B2016" s="378" t="s">
        <v>1704</v>
      </c>
      <c r="C2016" s="341"/>
      <c r="D2016" s="338"/>
      <c r="E2016" s="234" t="s">
        <v>837</v>
      </c>
      <c r="F2016" s="274" t="str">
        <f>IFERROR(VLOOKUP(E2016,'Inventaire des produits'!$B$4:$K$1000,2,0),"")</f>
        <v>ESSUIE MAIN 1KG LISSE</v>
      </c>
      <c r="G2016" s="54">
        <v>15</v>
      </c>
      <c r="H2016" s="60">
        <v>28.333333333333336</v>
      </c>
      <c r="I2016" s="275">
        <f t="shared" si="93"/>
        <v>425.00000000000006</v>
      </c>
      <c r="J2016" s="95">
        <f t="shared" si="94"/>
        <v>510.00000000000006</v>
      </c>
      <c r="K2016" s="93">
        <f>IFERROR(VLOOKUP(E2016,'Inventaire des produits'!$B$4:$J$1000,5,FALSE),"")</f>
        <v>7</v>
      </c>
      <c r="L2016" s="301">
        <f>IFERROR(VLOOKUP(E2016,'Inventaire des produits'!$B$4:$J$1000,6,FALSE),"")</f>
        <v>21.25</v>
      </c>
      <c r="M2016" s="62"/>
    </row>
    <row r="2017" spans="2:13" x14ac:dyDescent="0.3">
      <c r="B2017" s="378" t="s">
        <v>1704</v>
      </c>
      <c r="C2017" s="341"/>
      <c r="D2017" s="338"/>
      <c r="E2017" s="234" t="s">
        <v>918</v>
      </c>
      <c r="F2017" s="274" t="str">
        <f>IFERROR(VLOOKUP(E2017,'Inventaire des produits'!$B$4:$K$1000,2,0),"")</f>
        <v>FILM ETIRABLE VIOLET 290mm kg</v>
      </c>
      <c r="G2017" s="54">
        <v>22</v>
      </c>
      <c r="H2017" s="60">
        <v>28.333333333333336</v>
      </c>
      <c r="I2017" s="275">
        <f t="shared" si="93"/>
        <v>623.33333333333337</v>
      </c>
      <c r="J2017" s="95">
        <f t="shared" si="94"/>
        <v>748</v>
      </c>
      <c r="K2017" s="93">
        <f>IFERROR(VLOOKUP(E2017,'Inventaire des produits'!$B$4:$J$1000,5,FALSE),"")</f>
        <v>124.32999999999998</v>
      </c>
      <c r="L2017" s="301">
        <f>IFERROR(VLOOKUP(E2017,'Inventaire des produits'!$B$4:$J$1000,6,FALSE),"")</f>
        <v>25</v>
      </c>
      <c r="M2017" s="62"/>
    </row>
    <row r="2018" spans="2:13" x14ac:dyDescent="0.3">
      <c r="B2018" s="378" t="s">
        <v>1704</v>
      </c>
      <c r="C2018" s="341"/>
      <c r="D2018" s="338"/>
      <c r="E2018" s="234" t="s">
        <v>1327</v>
      </c>
      <c r="F2018" s="274" t="str">
        <f>IFERROR(VLOOKUP(E2018,'Inventaire des produits'!$B$4:$K$1000,2,0),"")</f>
        <v>FOURCHETTE LUXE TRANSPARENTE/100</v>
      </c>
      <c r="G2018" s="54">
        <v>19</v>
      </c>
      <c r="H2018" s="60">
        <v>19.1666666666667</v>
      </c>
      <c r="I2018" s="275">
        <f t="shared" si="93"/>
        <v>364.16666666666731</v>
      </c>
      <c r="J2018" s="95">
        <f t="shared" si="94"/>
        <v>437.00000000000074</v>
      </c>
      <c r="K2018" s="93">
        <f>IFERROR(VLOOKUP(E2018,'Inventaire des produits'!$B$4:$J$1000,5,FALSE),"")</f>
        <v>28</v>
      </c>
      <c r="L2018" s="301">
        <f>IFERROR(VLOOKUP(E2018,'Inventaire des produits'!$B$4:$J$1000,6,FALSE),"")</f>
        <v>20.84</v>
      </c>
      <c r="M2018" s="62"/>
    </row>
    <row r="2019" spans="2:13" x14ac:dyDescent="0.3">
      <c r="B2019" s="378" t="s">
        <v>1704</v>
      </c>
      <c r="C2019" s="341"/>
      <c r="D2019" s="338"/>
      <c r="E2019" s="234" t="s">
        <v>1464</v>
      </c>
      <c r="F2019" s="274" t="str">
        <f>IFERROR(VLOOKUP(E2019,'Inventaire des produits'!$B$4:$K$1000,2,0),"")</f>
        <v>CUILLERE LUXE TRANSPARENTE</v>
      </c>
      <c r="G2019" s="54">
        <v>7</v>
      </c>
      <c r="H2019" s="60">
        <v>19.1666666666667</v>
      </c>
      <c r="I2019" s="275">
        <f t="shared" si="93"/>
        <v>134.16666666666691</v>
      </c>
      <c r="J2019" s="95">
        <f t="shared" si="94"/>
        <v>161.00000000000028</v>
      </c>
      <c r="K2019" s="93">
        <f>IFERROR(VLOOKUP(E2019,'Inventaire des produits'!$B$4:$J$1000,5,FALSE),"")</f>
        <v>33</v>
      </c>
      <c r="L2019" s="301">
        <f>IFERROR(VLOOKUP(E2019,'Inventaire des produits'!$B$4:$J$1000,6,FALSE),"")</f>
        <v>15</v>
      </c>
      <c r="M2019" s="62"/>
    </row>
    <row r="2020" spans="2:13" x14ac:dyDescent="0.3">
      <c r="B2020" s="378" t="s">
        <v>1704</v>
      </c>
      <c r="C2020" s="341"/>
      <c r="D2020" s="338"/>
      <c r="E2020" s="234" t="s">
        <v>869</v>
      </c>
      <c r="F2020" s="274" t="str">
        <f>IFERROR(VLOOKUP(E2020,'Inventaire des produits'!$B$4:$K$1000,2,0),"")</f>
        <v>PAILLE ENVELOPPEE CODE 100 TRANS</v>
      </c>
      <c r="G2020" s="54">
        <v>9</v>
      </c>
      <c r="H2020" s="60">
        <v>6.666666666666667</v>
      </c>
      <c r="I2020" s="275">
        <f t="shared" si="93"/>
        <v>60</v>
      </c>
      <c r="J2020" s="95">
        <f t="shared" si="94"/>
        <v>72</v>
      </c>
      <c r="K2020" s="93">
        <f>IFERROR(VLOOKUP(E2020,'Inventaire des produits'!$B$4:$J$1000,5,FALSE),"")</f>
        <v>898</v>
      </c>
      <c r="L2020" s="301">
        <f>IFERROR(VLOOKUP(E2020,'Inventaire des produits'!$B$4:$J$1000,6,FALSE),"")</f>
        <v>3.9166666659999998</v>
      </c>
      <c r="M2020" s="62"/>
    </row>
    <row r="2021" spans="2:13" x14ac:dyDescent="0.3">
      <c r="B2021" s="378" t="s">
        <v>1704</v>
      </c>
      <c r="C2021" s="341"/>
      <c r="D2021" s="338"/>
      <c r="E2021" s="234" t="s">
        <v>772</v>
      </c>
      <c r="F2021" s="274" t="str">
        <f>IFERROR(VLOOKUP(E2021,'Inventaire des produits'!$B$4:$K$1000,2,0),"")</f>
        <v>GANT VINYL NOIR EXTRA PREMIUM GLOVE MEDIUM</v>
      </c>
      <c r="G2021" s="54">
        <v>15</v>
      </c>
      <c r="H2021" s="60">
        <v>33.333333333333336</v>
      </c>
      <c r="I2021" s="275">
        <f t="shared" si="93"/>
        <v>500.00000000000006</v>
      </c>
      <c r="J2021" s="95">
        <f t="shared" si="94"/>
        <v>600</v>
      </c>
      <c r="K2021" s="93">
        <f>IFERROR(VLOOKUP(E2021,'Inventaire des produits'!$B$4:$J$1000,5,FALSE),"")</f>
        <v>0</v>
      </c>
      <c r="L2021" s="301">
        <f>IFERROR(VLOOKUP(E2021,'Inventaire des produits'!$B$4:$J$1000,6,FALSE),"")</f>
        <v>20.833333333300001</v>
      </c>
      <c r="M2021" s="62"/>
    </row>
    <row r="2022" spans="2:13" x14ac:dyDescent="0.3">
      <c r="B2022" s="378" t="s">
        <v>1704</v>
      </c>
      <c r="C2022" s="341"/>
      <c r="D2022" s="338"/>
      <c r="E2022" s="234" t="s">
        <v>1149</v>
      </c>
      <c r="F2022" s="274" t="str">
        <f>IFERROR(VLOOKUP(E2022,'Inventaire des produits'!$B$4:$K$1000,2,0),"")</f>
        <v>ROULEAU DE CAISSE THERMIQUE 80X80</v>
      </c>
      <c r="G2022" s="54">
        <v>55</v>
      </c>
      <c r="H2022" s="60">
        <v>10.333333333333334</v>
      </c>
      <c r="I2022" s="275">
        <f t="shared" si="93"/>
        <v>568.33333333333337</v>
      </c>
      <c r="J2022" s="95">
        <f t="shared" si="94"/>
        <v>682</v>
      </c>
      <c r="K2022" s="93">
        <f>IFERROR(VLOOKUP(E2022,'Inventaire des produits'!$B$4:$J$1000,5,FALSE),"")</f>
        <v>253</v>
      </c>
      <c r="L2022" s="301">
        <f>IFERROR(VLOOKUP(E2022,'Inventaire des produits'!$B$4:$J$1000,6,FALSE),"")</f>
        <v>7.5</v>
      </c>
      <c r="M2022" s="62"/>
    </row>
    <row r="2023" spans="2:13" x14ac:dyDescent="0.3">
      <c r="B2023" s="378" t="s">
        <v>1704</v>
      </c>
      <c r="C2023" s="341"/>
      <c r="D2023" s="338"/>
      <c r="E2023" s="234" t="s">
        <v>979</v>
      </c>
      <c r="F2023" s="274" t="str">
        <f>IFERROR(VLOOKUP(E2023,'Inventaire des produits'!$B$4:$K$1000,2,0),"")</f>
        <v>ROULEAU ALUMINIUM 200</v>
      </c>
      <c r="G2023" s="54">
        <v>1</v>
      </c>
      <c r="H2023" s="60">
        <v>70.833333333333343</v>
      </c>
      <c r="I2023" s="275">
        <f t="shared" si="93"/>
        <v>70.833333333333343</v>
      </c>
      <c r="J2023" s="95">
        <f t="shared" si="94"/>
        <v>85.000000000000014</v>
      </c>
      <c r="K2023" s="93">
        <f>IFERROR(VLOOKUP(E2023,'Inventaire des produits'!$B$4:$J$1000,5,FALSE),"")</f>
        <v>44</v>
      </c>
      <c r="L2023" s="301">
        <f>IFERROR(VLOOKUP(E2023,'Inventaire des produits'!$B$4:$J$1000,6,FALSE),"")</f>
        <v>48.23</v>
      </c>
      <c r="M2023" s="62"/>
    </row>
    <row r="2024" spans="2:13" x14ac:dyDescent="0.3">
      <c r="B2024" s="378" t="s">
        <v>1704</v>
      </c>
      <c r="C2024" s="341"/>
      <c r="D2024" s="338"/>
      <c r="E2024" s="234" t="s">
        <v>1129</v>
      </c>
      <c r="F2024" s="274" t="str">
        <f>IFERROR(VLOOKUP(E2024,'Inventaire des produits'!$B$4:$K$1000,2,0),"")</f>
        <v>FILM ALIMENTAIRE ORIGINAL 45*500</v>
      </c>
      <c r="G2024" s="54">
        <v>7</v>
      </c>
      <c r="H2024" s="60">
        <v>43.333333333333336</v>
      </c>
      <c r="I2024" s="275">
        <f t="shared" si="93"/>
        <v>303.33333333333337</v>
      </c>
      <c r="J2024" s="95">
        <f t="shared" si="94"/>
        <v>364.00000000000006</v>
      </c>
      <c r="K2024" s="93">
        <f>IFERROR(VLOOKUP(E2024,'Inventaire des produits'!$B$4:$J$1000,5,FALSE),"")</f>
        <v>182</v>
      </c>
      <c r="L2024" s="301">
        <f>IFERROR(VLOOKUP(E2024,'Inventaire des produits'!$B$4:$J$1000,6,FALSE),"")</f>
        <v>27.5</v>
      </c>
      <c r="M2024" s="62"/>
    </row>
    <row r="2025" spans="2:13" x14ac:dyDescent="0.3">
      <c r="B2025" s="378" t="s">
        <v>1704</v>
      </c>
      <c r="C2025" s="341"/>
      <c r="D2025" s="338"/>
      <c r="E2025" s="234" t="s">
        <v>1139</v>
      </c>
      <c r="F2025" s="274" t="str">
        <f>IFERROR(VLOOKUP(E2025,'Inventaire des produits'!$B$4:$K$1000,2,0),"")</f>
        <v>BARQUETTE ALUMINIUM 250</v>
      </c>
      <c r="G2025" s="54">
        <v>450</v>
      </c>
      <c r="H2025" s="60">
        <v>0.375</v>
      </c>
      <c r="I2025" s="275">
        <f t="shared" si="93"/>
        <v>168.75</v>
      </c>
      <c r="J2025" s="95">
        <f t="shared" si="94"/>
        <v>202.5</v>
      </c>
      <c r="K2025" s="93">
        <f>IFERROR(VLOOKUP(E2025,'Inventaire des produits'!$B$4:$J$1000,5,FALSE),"")</f>
        <v>6400</v>
      </c>
      <c r="L2025" s="301">
        <f>IFERROR(VLOOKUP(E2025,'Inventaire des produits'!$B$4:$J$1000,6,FALSE),"")</f>
        <v>0.29167000000000004</v>
      </c>
      <c r="M2025" s="62"/>
    </row>
    <row r="2026" spans="2:13" x14ac:dyDescent="0.3">
      <c r="B2026" s="378" t="s">
        <v>1704</v>
      </c>
      <c r="C2026" s="341"/>
      <c r="D2026" s="338"/>
      <c r="E2026" s="234" t="s">
        <v>1452</v>
      </c>
      <c r="F2026" s="274" t="str">
        <f>IFERROR(VLOOKUP(E2026,'Inventaire des produits'!$B$4:$K$1000,2,0),"")</f>
        <v>GANT POLYETHLENE</v>
      </c>
      <c r="G2026" s="54">
        <v>13</v>
      </c>
      <c r="H2026" s="60">
        <v>5</v>
      </c>
      <c r="I2026" s="275">
        <f t="shared" si="93"/>
        <v>65</v>
      </c>
      <c r="J2026" s="95">
        <f t="shared" si="94"/>
        <v>78</v>
      </c>
      <c r="K2026" s="93">
        <f>IFERROR(VLOOKUP(E2026,'Inventaire des produits'!$B$4:$J$1000,5,FALSE),"")</f>
        <v>530</v>
      </c>
      <c r="L2026" s="301">
        <f>IFERROR(VLOOKUP(E2026,'Inventaire des produits'!$B$4:$J$1000,6,FALSE),"")</f>
        <v>2.5099999999999998</v>
      </c>
      <c r="M2026" s="62"/>
    </row>
    <row r="2027" spans="2:13" x14ac:dyDescent="0.3">
      <c r="B2027" s="378" t="s">
        <v>1704</v>
      </c>
      <c r="C2027" s="342"/>
      <c r="D2027" s="339"/>
      <c r="E2027" s="234" t="s">
        <v>1548</v>
      </c>
      <c r="F2027" s="274" t="str">
        <f>IFERROR(VLOOKUP(E2027,'Inventaire des produits'!$B$4:$K$1000,2,0),"")</f>
        <v xml:space="preserve">BOUTEILLE DE 330CC CARTON </v>
      </c>
      <c r="G2027" s="54">
        <v>204</v>
      </c>
      <c r="H2027" s="60">
        <v>2</v>
      </c>
      <c r="I2027" s="275">
        <f t="shared" si="93"/>
        <v>408</v>
      </c>
      <c r="J2027" s="95">
        <f t="shared" si="94"/>
        <v>489.59999999999997</v>
      </c>
      <c r="K2027" s="93">
        <f>IFERROR(VLOOKUP(E2027,'Inventaire des produits'!$B$4:$J$1000,5,FALSE),"")</f>
        <v>204</v>
      </c>
      <c r="L2027" s="301">
        <f>IFERROR(VLOOKUP(E2027,'Inventaire des produits'!$B$4:$J$1000,6,FALSE),"")</f>
        <v>1.6666666666666667</v>
      </c>
      <c r="M2027" s="62"/>
    </row>
    <row r="2028" spans="2:13" x14ac:dyDescent="0.3">
      <c r="B2028" s="378" t="s">
        <v>1704</v>
      </c>
      <c r="C2028" s="340">
        <v>45609</v>
      </c>
      <c r="D2028" s="337" t="s">
        <v>1605</v>
      </c>
      <c r="E2028" s="234" t="s">
        <v>1222</v>
      </c>
      <c r="F2028" s="274" t="str">
        <f>IFERROR(VLOOKUP(E2028,'Inventaire des produits'!$B$4:$K$1000,2,0),"")</f>
        <v>POT DE SAUCE 1OZ PROCLEAN</v>
      </c>
      <c r="G2028" s="54">
        <v>30000</v>
      </c>
      <c r="H2028" s="60">
        <v>0.16250000000000001</v>
      </c>
      <c r="I2028" s="275">
        <f t="shared" si="93"/>
        <v>4875</v>
      </c>
      <c r="J2028" s="95">
        <f t="shared" si="94"/>
        <v>5850</v>
      </c>
      <c r="K2028" s="93">
        <f>IFERROR(VLOOKUP(E2028,'Inventaire des produits'!$B$4:$J$1000,5,FALSE),"")</f>
        <v>557100</v>
      </c>
      <c r="L2028" s="301">
        <f>IFERROR(VLOOKUP(E2028,'Inventaire des produits'!$B$4:$J$1000,6,FALSE),"")</f>
        <v>0.1167</v>
      </c>
      <c r="M2028" s="62">
        <f>SUM(J2028:J2039)</f>
        <v>12176.160000000002</v>
      </c>
    </row>
    <row r="2029" spans="2:13" x14ac:dyDescent="0.3">
      <c r="B2029" s="378" t="s">
        <v>1704</v>
      </c>
      <c r="C2029" s="341"/>
      <c r="D2029" s="338"/>
      <c r="E2029" s="234" t="s">
        <v>837</v>
      </c>
      <c r="F2029" s="274" t="str">
        <f>IFERROR(VLOOKUP(E2029,'Inventaire des produits'!$B$4:$K$1000,2,0),"")</f>
        <v>ESSUIE MAIN 1KG LISSE</v>
      </c>
      <c r="G2029" s="54">
        <v>16</v>
      </c>
      <c r="H2029" s="60">
        <v>28.333333333333336</v>
      </c>
      <c r="I2029" s="275">
        <f t="shared" ref="I2029:I2092" si="95">IF(OR(G2029="",H2029=""),"",G2029*H2029)</f>
        <v>453.33333333333337</v>
      </c>
      <c r="J2029" s="95">
        <f t="shared" ref="J2029:J2092" si="96">IF(OR(I2029=""),"",I2029*1.2)</f>
        <v>544</v>
      </c>
      <c r="K2029" s="93">
        <f>IFERROR(VLOOKUP(E2029,'Inventaire des produits'!$B$4:$J$1000,5,FALSE),"")</f>
        <v>7</v>
      </c>
      <c r="L2029" s="301">
        <f>IFERROR(VLOOKUP(E2029,'Inventaire des produits'!$B$4:$J$1000,6,FALSE),"")</f>
        <v>21.25</v>
      </c>
      <c r="M2029" s="62"/>
    </row>
    <row r="2030" spans="2:13" x14ac:dyDescent="0.3">
      <c r="B2030" s="378" t="s">
        <v>1704</v>
      </c>
      <c r="C2030" s="341"/>
      <c r="D2030" s="338"/>
      <c r="E2030" s="234" t="s">
        <v>1079</v>
      </c>
      <c r="F2030" s="274" t="str">
        <f>IFERROR(VLOOKUP(E2030,'Inventaire des produits'!$B$4:$K$1000,2,0),"")</f>
        <v>FOURCHETTE ECOLUXE TRANSPARENTE</v>
      </c>
      <c r="G2030" s="54">
        <v>37</v>
      </c>
      <c r="H2030" s="60">
        <v>19.1666666666667</v>
      </c>
      <c r="I2030" s="275">
        <f t="shared" si="95"/>
        <v>709.16666666666788</v>
      </c>
      <c r="J2030" s="95">
        <f t="shared" si="96"/>
        <v>851.00000000000148</v>
      </c>
      <c r="K2030" s="93">
        <f>IFERROR(VLOOKUP(E2030,'Inventaire des produits'!$B$4:$J$1000,5,FALSE),"")</f>
        <v>0</v>
      </c>
      <c r="L2030" s="301">
        <f>IFERROR(VLOOKUP(E2030,'Inventaire des produits'!$B$4:$J$1000,6,FALSE),"")</f>
        <v>14.166665999999999</v>
      </c>
      <c r="M2030" s="62"/>
    </row>
    <row r="2031" spans="2:13" x14ac:dyDescent="0.3">
      <c r="B2031" s="378" t="s">
        <v>1704</v>
      </c>
      <c r="C2031" s="341"/>
      <c r="D2031" s="338"/>
      <c r="E2031" s="234" t="s">
        <v>1464</v>
      </c>
      <c r="F2031" s="274" t="str">
        <f>IFERROR(VLOOKUP(E2031,'Inventaire des produits'!$B$4:$K$1000,2,0),"")</f>
        <v>CUILLERE LUXE TRANSPARENTE</v>
      </c>
      <c r="G2031" s="54">
        <v>12</v>
      </c>
      <c r="H2031" s="60">
        <v>19.1666666666667</v>
      </c>
      <c r="I2031" s="275">
        <f t="shared" si="95"/>
        <v>230.0000000000004</v>
      </c>
      <c r="J2031" s="95">
        <f t="shared" si="96"/>
        <v>276.00000000000045</v>
      </c>
      <c r="K2031" s="93">
        <f>IFERROR(VLOOKUP(E2031,'Inventaire des produits'!$B$4:$J$1000,5,FALSE),"")</f>
        <v>33</v>
      </c>
      <c r="L2031" s="301">
        <f>IFERROR(VLOOKUP(E2031,'Inventaire des produits'!$B$4:$J$1000,6,FALSE),"")</f>
        <v>15</v>
      </c>
      <c r="M2031" s="62"/>
    </row>
    <row r="2032" spans="2:13" x14ac:dyDescent="0.3">
      <c r="B2032" s="378" t="s">
        <v>1704</v>
      </c>
      <c r="C2032" s="341"/>
      <c r="D2032" s="338"/>
      <c r="E2032" s="234" t="s">
        <v>869</v>
      </c>
      <c r="F2032" s="274" t="str">
        <f>IFERROR(VLOOKUP(E2032,'Inventaire des produits'!$B$4:$K$1000,2,0),"")</f>
        <v>PAILLE ENVELOPPEE CODE 100 TRANS</v>
      </c>
      <c r="G2032" s="54">
        <v>15</v>
      </c>
      <c r="H2032" s="60">
        <v>6.666666666666667</v>
      </c>
      <c r="I2032" s="275">
        <f t="shared" si="95"/>
        <v>100</v>
      </c>
      <c r="J2032" s="95">
        <f t="shared" si="96"/>
        <v>120</v>
      </c>
      <c r="K2032" s="93">
        <f>IFERROR(VLOOKUP(E2032,'Inventaire des produits'!$B$4:$J$1000,5,FALSE),"")</f>
        <v>898</v>
      </c>
      <c r="L2032" s="301">
        <f>IFERROR(VLOOKUP(E2032,'Inventaire des produits'!$B$4:$J$1000,6,FALSE),"")</f>
        <v>3.9166666659999998</v>
      </c>
      <c r="M2032" s="62"/>
    </row>
    <row r="2033" spans="2:13" x14ac:dyDescent="0.3">
      <c r="B2033" s="378" t="s">
        <v>1704</v>
      </c>
      <c r="C2033" s="341"/>
      <c r="D2033" s="338"/>
      <c r="E2033" s="234" t="s">
        <v>772</v>
      </c>
      <c r="F2033" s="274" t="str">
        <f>IFERROR(VLOOKUP(E2033,'Inventaire des produits'!$B$4:$K$1000,2,0),"")</f>
        <v>GANT VINYL NOIR EXTRA PREMIUM GLOVE MEDIUM</v>
      </c>
      <c r="G2033" s="54">
        <v>21</v>
      </c>
      <c r="H2033" s="60">
        <v>33.333333333333336</v>
      </c>
      <c r="I2033" s="275">
        <f t="shared" si="95"/>
        <v>700</v>
      </c>
      <c r="J2033" s="95">
        <f t="shared" si="96"/>
        <v>840</v>
      </c>
      <c r="K2033" s="93">
        <f>IFERROR(VLOOKUP(E2033,'Inventaire des produits'!$B$4:$J$1000,5,FALSE),"")</f>
        <v>0</v>
      </c>
      <c r="L2033" s="301">
        <f>IFERROR(VLOOKUP(E2033,'Inventaire des produits'!$B$4:$J$1000,6,FALSE),"")</f>
        <v>20.833333333300001</v>
      </c>
      <c r="M2033" s="62"/>
    </row>
    <row r="2034" spans="2:13" x14ac:dyDescent="0.3">
      <c r="B2034" s="378" t="s">
        <v>1704</v>
      </c>
      <c r="C2034" s="341"/>
      <c r="D2034" s="338"/>
      <c r="E2034" s="234" t="s">
        <v>1139</v>
      </c>
      <c r="F2034" s="274" t="str">
        <f>IFERROR(VLOOKUP(E2034,'Inventaire des produits'!$B$4:$K$1000,2,0),"")</f>
        <v>BARQUETTE ALUMINIUM 250</v>
      </c>
      <c r="G2034" s="54">
        <v>800</v>
      </c>
      <c r="H2034" s="60">
        <v>0.375</v>
      </c>
      <c r="I2034" s="275">
        <f t="shared" si="95"/>
        <v>300</v>
      </c>
      <c r="J2034" s="95">
        <f t="shared" si="96"/>
        <v>360</v>
      </c>
      <c r="K2034" s="93">
        <f>IFERROR(VLOOKUP(E2034,'Inventaire des produits'!$B$4:$J$1000,5,FALSE),"")</f>
        <v>6400</v>
      </c>
      <c r="L2034" s="301">
        <f>IFERROR(VLOOKUP(E2034,'Inventaire des produits'!$B$4:$J$1000,6,FALSE),"")</f>
        <v>0.29167000000000004</v>
      </c>
      <c r="M2034" s="62"/>
    </row>
    <row r="2035" spans="2:13" x14ac:dyDescent="0.3">
      <c r="B2035" s="378" t="s">
        <v>1704</v>
      </c>
      <c r="C2035" s="341"/>
      <c r="D2035" s="338"/>
      <c r="E2035" s="234" t="s">
        <v>1452</v>
      </c>
      <c r="F2035" s="274" t="str">
        <f>IFERROR(VLOOKUP(E2035,'Inventaire des produits'!$B$4:$K$1000,2,0),"")</f>
        <v>GANT POLYETHLENE</v>
      </c>
      <c r="G2035" s="54">
        <v>52</v>
      </c>
      <c r="H2035" s="60">
        <v>5</v>
      </c>
      <c r="I2035" s="275">
        <f t="shared" si="95"/>
        <v>260</v>
      </c>
      <c r="J2035" s="95">
        <f t="shared" si="96"/>
        <v>312</v>
      </c>
      <c r="K2035" s="93">
        <f>IFERROR(VLOOKUP(E2035,'Inventaire des produits'!$B$4:$J$1000,5,FALSE),"")</f>
        <v>530</v>
      </c>
      <c r="L2035" s="301">
        <f>IFERROR(VLOOKUP(E2035,'Inventaire des produits'!$B$4:$J$1000,6,FALSE),"")</f>
        <v>2.5099999999999998</v>
      </c>
      <c r="M2035" s="62"/>
    </row>
    <row r="2036" spans="2:13" x14ac:dyDescent="0.3">
      <c r="B2036" s="378" t="s">
        <v>1704</v>
      </c>
      <c r="C2036" s="341"/>
      <c r="D2036" s="338"/>
      <c r="E2036" s="234" t="s">
        <v>1149</v>
      </c>
      <c r="F2036" s="274" t="str">
        <f>IFERROR(VLOOKUP(E2036,'Inventaire des produits'!$B$4:$K$1000,2,0),"")</f>
        <v>ROULEAU DE CAISSE THERMIQUE 80X80</v>
      </c>
      <c r="G2036" s="54">
        <v>86</v>
      </c>
      <c r="H2036" s="60">
        <v>10.333333333333334</v>
      </c>
      <c r="I2036" s="275">
        <f t="shared" si="95"/>
        <v>888.66666666666674</v>
      </c>
      <c r="J2036" s="95">
        <f t="shared" si="96"/>
        <v>1066.4000000000001</v>
      </c>
      <c r="K2036" s="93">
        <f>IFERROR(VLOOKUP(E2036,'Inventaire des produits'!$B$4:$J$1000,5,FALSE),"")</f>
        <v>253</v>
      </c>
      <c r="L2036" s="301">
        <f>IFERROR(VLOOKUP(E2036,'Inventaire des produits'!$B$4:$J$1000,6,FALSE),"")</f>
        <v>7.5</v>
      </c>
      <c r="M2036" s="62"/>
    </row>
    <row r="2037" spans="2:13" x14ac:dyDescent="0.3">
      <c r="B2037" s="378" t="s">
        <v>1704</v>
      </c>
      <c r="C2037" s="341"/>
      <c r="D2037" s="338"/>
      <c r="E2037" s="234" t="s">
        <v>979</v>
      </c>
      <c r="F2037" s="274" t="str">
        <f>IFERROR(VLOOKUP(E2037,'Inventaire des produits'!$B$4:$K$1000,2,0),"")</f>
        <v>ROULEAU ALUMINIUM 200</v>
      </c>
      <c r="G2037" s="54">
        <v>4</v>
      </c>
      <c r="H2037" s="60">
        <v>70.833333333333343</v>
      </c>
      <c r="I2037" s="275">
        <f t="shared" si="95"/>
        <v>283.33333333333337</v>
      </c>
      <c r="J2037" s="95">
        <f t="shared" si="96"/>
        <v>340.00000000000006</v>
      </c>
      <c r="K2037" s="93">
        <f>IFERROR(VLOOKUP(E2037,'Inventaire des produits'!$B$4:$J$1000,5,FALSE),"")</f>
        <v>44</v>
      </c>
      <c r="L2037" s="301">
        <f>IFERROR(VLOOKUP(E2037,'Inventaire des produits'!$B$4:$J$1000,6,FALSE),"")</f>
        <v>48.23</v>
      </c>
      <c r="M2037" s="62"/>
    </row>
    <row r="2038" spans="2:13" x14ac:dyDescent="0.3">
      <c r="B2038" s="378" t="s">
        <v>1704</v>
      </c>
      <c r="C2038" s="341"/>
      <c r="D2038" s="338"/>
      <c r="E2038" s="234" t="s">
        <v>1129</v>
      </c>
      <c r="F2038" s="274" t="str">
        <f>IFERROR(VLOOKUP(E2038,'Inventaire des produits'!$B$4:$K$1000,2,0),"")</f>
        <v>FILM ALIMENTAIRE ORIGINAL 45*500</v>
      </c>
      <c r="G2038" s="54">
        <v>18</v>
      </c>
      <c r="H2038" s="60">
        <v>43.333333333333336</v>
      </c>
      <c r="I2038" s="275">
        <f t="shared" si="95"/>
        <v>780</v>
      </c>
      <c r="J2038" s="95">
        <f t="shared" si="96"/>
        <v>936</v>
      </c>
      <c r="K2038" s="93">
        <f>IFERROR(VLOOKUP(E2038,'Inventaire des produits'!$B$4:$J$1000,5,FALSE),"")</f>
        <v>182</v>
      </c>
      <c r="L2038" s="301">
        <f>IFERROR(VLOOKUP(E2038,'Inventaire des produits'!$B$4:$J$1000,6,FALSE),"")</f>
        <v>27.5</v>
      </c>
      <c r="M2038" s="62"/>
    </row>
    <row r="2039" spans="2:13" x14ac:dyDescent="0.3">
      <c r="B2039" s="378" t="s">
        <v>1704</v>
      </c>
      <c r="C2039" s="342"/>
      <c r="D2039" s="339"/>
      <c r="E2039" s="234" t="s">
        <v>918</v>
      </c>
      <c r="F2039" s="274" t="str">
        <f>IFERROR(VLOOKUP(E2039,'Inventaire des produits'!$B$4:$K$1000,2,0),"")</f>
        <v>FILM ETIRABLE VIOLET 290mm kg</v>
      </c>
      <c r="G2039" s="54">
        <v>20</v>
      </c>
      <c r="H2039" s="60">
        <v>28.364999999999998</v>
      </c>
      <c r="I2039" s="275">
        <f t="shared" si="95"/>
        <v>567.29999999999995</v>
      </c>
      <c r="J2039" s="95">
        <f t="shared" si="96"/>
        <v>680.75999999999988</v>
      </c>
      <c r="K2039" s="93">
        <f>IFERROR(VLOOKUP(E2039,'Inventaire des produits'!$B$4:$J$1000,5,FALSE),"")</f>
        <v>124.32999999999998</v>
      </c>
      <c r="L2039" s="301">
        <f>IFERROR(VLOOKUP(E2039,'Inventaire des produits'!$B$4:$J$1000,6,FALSE),"")</f>
        <v>25</v>
      </c>
      <c r="M2039" s="62"/>
    </row>
    <row r="2040" spans="2:13" x14ac:dyDescent="0.3">
      <c r="B2040" s="378" t="s">
        <v>1704</v>
      </c>
      <c r="C2040" s="340">
        <v>45609</v>
      </c>
      <c r="D2040" s="337" t="s">
        <v>1606</v>
      </c>
      <c r="E2040" s="234" t="s">
        <v>1222</v>
      </c>
      <c r="F2040" s="274" t="str">
        <f>IFERROR(VLOOKUP(E2040,'Inventaire des produits'!$B$4:$K$1000,2,0),"")</f>
        <v>POT DE SAUCE 1OZ PROCLEAN</v>
      </c>
      <c r="G2040" s="54">
        <v>18000</v>
      </c>
      <c r="H2040" s="60">
        <v>0.16250000000000001</v>
      </c>
      <c r="I2040" s="275">
        <f t="shared" si="95"/>
        <v>2925</v>
      </c>
      <c r="J2040" s="95">
        <f t="shared" si="96"/>
        <v>3510</v>
      </c>
      <c r="K2040" s="93">
        <f>IFERROR(VLOOKUP(E2040,'Inventaire des produits'!$B$4:$J$1000,5,FALSE),"")</f>
        <v>557100</v>
      </c>
      <c r="L2040" s="301">
        <f>IFERROR(VLOOKUP(E2040,'Inventaire des produits'!$B$4:$J$1000,6,FALSE),"")</f>
        <v>0.1167</v>
      </c>
      <c r="M2040" s="62">
        <f>SUM(J2040:J2050)</f>
        <v>9622.4440000000031</v>
      </c>
    </row>
    <row r="2041" spans="2:13" x14ac:dyDescent="0.3">
      <c r="B2041" s="378" t="s">
        <v>1704</v>
      </c>
      <c r="C2041" s="341"/>
      <c r="D2041" s="338"/>
      <c r="E2041" s="234" t="s">
        <v>837</v>
      </c>
      <c r="F2041" s="274" t="str">
        <f>IFERROR(VLOOKUP(E2041,'Inventaire des produits'!$B$4:$K$1000,2,0),"")</f>
        <v>ESSUIE MAIN 1KG LISSE</v>
      </c>
      <c r="G2041" s="54">
        <v>21</v>
      </c>
      <c r="H2041" s="60">
        <v>28.333333333333336</v>
      </c>
      <c r="I2041" s="275">
        <f t="shared" si="95"/>
        <v>595</v>
      </c>
      <c r="J2041" s="95">
        <f t="shared" si="96"/>
        <v>714</v>
      </c>
      <c r="K2041" s="93">
        <f>IFERROR(VLOOKUP(E2041,'Inventaire des produits'!$B$4:$J$1000,5,FALSE),"")</f>
        <v>7</v>
      </c>
      <c r="L2041" s="301">
        <f>IFERROR(VLOOKUP(E2041,'Inventaire des produits'!$B$4:$J$1000,6,FALSE),"")</f>
        <v>21.25</v>
      </c>
      <c r="M2041" s="62"/>
    </row>
    <row r="2042" spans="2:13" x14ac:dyDescent="0.3">
      <c r="B2042" s="378" t="s">
        <v>1704</v>
      </c>
      <c r="C2042" s="341"/>
      <c r="D2042" s="338"/>
      <c r="E2042" s="234" t="s">
        <v>918</v>
      </c>
      <c r="F2042" s="274" t="str">
        <f>IFERROR(VLOOKUP(E2042,'Inventaire des produits'!$B$4:$K$1000,2,0),"")</f>
        <v>FILM ETIRABLE VIOLET 290mm kg</v>
      </c>
      <c r="G2042" s="54">
        <v>9</v>
      </c>
      <c r="H2042" s="60">
        <v>28.333333333333336</v>
      </c>
      <c r="I2042" s="275">
        <f t="shared" si="95"/>
        <v>255.00000000000003</v>
      </c>
      <c r="J2042" s="95">
        <f t="shared" si="96"/>
        <v>306</v>
      </c>
      <c r="K2042" s="93">
        <f>IFERROR(VLOOKUP(E2042,'Inventaire des produits'!$B$4:$J$1000,5,FALSE),"")</f>
        <v>124.32999999999998</v>
      </c>
      <c r="L2042" s="301">
        <f>IFERROR(VLOOKUP(E2042,'Inventaire des produits'!$B$4:$J$1000,6,FALSE),"")</f>
        <v>25</v>
      </c>
      <c r="M2042" s="62"/>
    </row>
    <row r="2043" spans="2:13" x14ac:dyDescent="0.3">
      <c r="B2043" s="378" t="s">
        <v>1704</v>
      </c>
      <c r="C2043" s="341"/>
      <c r="D2043" s="338"/>
      <c r="E2043" s="234" t="s">
        <v>1463</v>
      </c>
      <c r="F2043" s="274" t="str">
        <f>IFERROR(VLOOKUP(E2043,'Inventaire des produits'!$B$4:$K$1000,2,0),"")</f>
        <v>FOURCHETTE LUXE TRANSPARENTE</v>
      </c>
      <c r="G2043" s="54">
        <v>61</v>
      </c>
      <c r="H2043" s="60">
        <v>19.1666666666667</v>
      </c>
      <c r="I2043" s="275">
        <f t="shared" si="95"/>
        <v>1169.1666666666688</v>
      </c>
      <c r="J2043" s="95">
        <f t="shared" si="96"/>
        <v>1403.0000000000025</v>
      </c>
      <c r="K2043" s="93">
        <f>IFERROR(VLOOKUP(E2043,'Inventaire des produits'!$B$4:$J$1000,5,FALSE),"")</f>
        <v>922</v>
      </c>
      <c r="L2043" s="301">
        <f>IFERROR(VLOOKUP(E2043,'Inventaire des produits'!$B$4:$J$1000,6,FALSE),"")</f>
        <v>15</v>
      </c>
      <c r="M2043" s="62"/>
    </row>
    <row r="2044" spans="2:13" x14ac:dyDescent="0.3">
      <c r="B2044" s="378" t="s">
        <v>1704</v>
      </c>
      <c r="C2044" s="341"/>
      <c r="D2044" s="338"/>
      <c r="E2044" s="234" t="s">
        <v>1464</v>
      </c>
      <c r="F2044" s="274" t="str">
        <f>IFERROR(VLOOKUP(E2044,'Inventaire des produits'!$B$4:$K$1000,2,0),"")</f>
        <v>CUILLERE LUXE TRANSPARENTE</v>
      </c>
      <c r="G2044" s="54">
        <v>9</v>
      </c>
      <c r="H2044" s="60">
        <v>19.1666666666667</v>
      </c>
      <c r="I2044" s="275">
        <f t="shared" si="95"/>
        <v>172.50000000000028</v>
      </c>
      <c r="J2044" s="95">
        <f t="shared" si="96"/>
        <v>207.00000000000034</v>
      </c>
      <c r="K2044" s="93">
        <f>IFERROR(VLOOKUP(E2044,'Inventaire des produits'!$B$4:$J$1000,5,FALSE),"")</f>
        <v>33</v>
      </c>
      <c r="L2044" s="301">
        <f>IFERROR(VLOOKUP(E2044,'Inventaire des produits'!$B$4:$J$1000,6,FALSE),"")</f>
        <v>15</v>
      </c>
      <c r="M2044" s="62"/>
    </row>
    <row r="2045" spans="2:13" x14ac:dyDescent="0.3">
      <c r="B2045" s="378" t="s">
        <v>1704</v>
      </c>
      <c r="C2045" s="341"/>
      <c r="D2045" s="338"/>
      <c r="E2045" s="234" t="s">
        <v>869</v>
      </c>
      <c r="F2045" s="274" t="str">
        <f>IFERROR(VLOOKUP(E2045,'Inventaire des produits'!$B$4:$K$1000,2,0),"")</f>
        <v>PAILLE ENVELOPPEE CODE 100 TRANS</v>
      </c>
      <c r="G2045" s="54">
        <v>37</v>
      </c>
      <c r="H2045" s="60">
        <v>6.666666666666667</v>
      </c>
      <c r="I2045" s="275">
        <f t="shared" si="95"/>
        <v>246.66666666666669</v>
      </c>
      <c r="J2045" s="95">
        <f t="shared" si="96"/>
        <v>296</v>
      </c>
      <c r="K2045" s="93">
        <f>IFERROR(VLOOKUP(E2045,'Inventaire des produits'!$B$4:$J$1000,5,FALSE),"")</f>
        <v>898</v>
      </c>
      <c r="L2045" s="301">
        <f>IFERROR(VLOOKUP(E2045,'Inventaire des produits'!$B$4:$J$1000,6,FALSE),"")</f>
        <v>3.9166666659999998</v>
      </c>
      <c r="M2045" s="62"/>
    </row>
    <row r="2046" spans="2:13" x14ac:dyDescent="0.3">
      <c r="B2046" s="378" t="s">
        <v>1704</v>
      </c>
      <c r="C2046" s="341"/>
      <c r="D2046" s="338"/>
      <c r="E2046" s="234" t="s">
        <v>772</v>
      </c>
      <c r="F2046" s="274" t="str">
        <f>IFERROR(VLOOKUP(E2046,'Inventaire des produits'!$B$4:$K$1000,2,0),"")</f>
        <v>GANT VINYL NOIR EXTRA PREMIUM GLOVE MEDIUM</v>
      </c>
      <c r="G2046" s="54">
        <v>21</v>
      </c>
      <c r="H2046" s="60">
        <v>33.333333333333336</v>
      </c>
      <c r="I2046" s="275">
        <f t="shared" si="95"/>
        <v>700</v>
      </c>
      <c r="J2046" s="95">
        <f t="shared" si="96"/>
        <v>840</v>
      </c>
      <c r="K2046" s="93">
        <f>IFERROR(VLOOKUP(E2046,'Inventaire des produits'!$B$4:$J$1000,5,FALSE),"")</f>
        <v>0</v>
      </c>
      <c r="L2046" s="301">
        <f>IFERROR(VLOOKUP(E2046,'Inventaire des produits'!$B$4:$J$1000,6,FALSE),"")</f>
        <v>20.833333333300001</v>
      </c>
      <c r="M2046" s="62"/>
    </row>
    <row r="2047" spans="2:13" x14ac:dyDescent="0.3">
      <c r="B2047" s="378" t="s">
        <v>1704</v>
      </c>
      <c r="C2047" s="341"/>
      <c r="D2047" s="338"/>
      <c r="E2047" s="234" t="s">
        <v>1139</v>
      </c>
      <c r="F2047" s="274" t="str">
        <f>IFERROR(VLOOKUP(E2047,'Inventaire des produits'!$B$4:$K$1000,2,0),"")</f>
        <v>BARQUETTE ALUMINIUM 250</v>
      </c>
      <c r="G2047" s="54">
        <v>1500</v>
      </c>
      <c r="H2047" s="60">
        <v>0.374</v>
      </c>
      <c r="I2047" s="275">
        <f t="shared" si="95"/>
        <v>561</v>
      </c>
      <c r="J2047" s="95">
        <f t="shared" si="96"/>
        <v>673.19999999999993</v>
      </c>
      <c r="K2047" s="93">
        <f>IFERROR(VLOOKUP(E2047,'Inventaire des produits'!$B$4:$J$1000,5,FALSE),"")</f>
        <v>6400</v>
      </c>
      <c r="L2047" s="301">
        <f>IFERROR(VLOOKUP(E2047,'Inventaire des produits'!$B$4:$J$1000,6,FALSE),"")</f>
        <v>0.29167000000000004</v>
      </c>
      <c r="M2047" s="62"/>
    </row>
    <row r="2048" spans="2:13" x14ac:dyDescent="0.3">
      <c r="B2048" s="378" t="s">
        <v>1704</v>
      </c>
      <c r="C2048" s="341"/>
      <c r="D2048" s="338"/>
      <c r="E2048" s="234" t="s">
        <v>1149</v>
      </c>
      <c r="F2048" s="274" t="str">
        <f>IFERROR(VLOOKUP(E2048,'Inventaire des produits'!$B$4:$K$1000,2,0),"")</f>
        <v>ROULEAU DE CAISSE THERMIQUE 80X80</v>
      </c>
      <c r="G2048" s="54">
        <v>58</v>
      </c>
      <c r="H2048" s="60">
        <v>10.315</v>
      </c>
      <c r="I2048" s="275">
        <f t="shared" si="95"/>
        <v>598.27</v>
      </c>
      <c r="J2048" s="95">
        <f t="shared" si="96"/>
        <v>717.92399999999998</v>
      </c>
      <c r="K2048" s="93">
        <f>IFERROR(VLOOKUP(E2048,'Inventaire des produits'!$B$4:$J$1000,5,FALSE),"")</f>
        <v>253</v>
      </c>
      <c r="L2048" s="301">
        <f>IFERROR(VLOOKUP(E2048,'Inventaire des produits'!$B$4:$J$1000,6,FALSE),"")</f>
        <v>7.5</v>
      </c>
      <c r="M2048" s="62"/>
    </row>
    <row r="2049" spans="2:13" x14ac:dyDescent="0.3">
      <c r="B2049" s="378" t="s">
        <v>1704</v>
      </c>
      <c r="C2049" s="341"/>
      <c r="D2049" s="338"/>
      <c r="E2049" s="234" t="s">
        <v>1129</v>
      </c>
      <c r="F2049" s="274" t="str">
        <f>IFERROR(VLOOKUP(E2049,'Inventaire des produits'!$B$4:$K$1000,2,0),"")</f>
        <v>FILM ALIMENTAIRE ORIGINAL 45*500</v>
      </c>
      <c r="G2049" s="54">
        <v>17</v>
      </c>
      <c r="H2049" s="60">
        <v>43.3</v>
      </c>
      <c r="I2049" s="275">
        <f t="shared" si="95"/>
        <v>736.09999999999991</v>
      </c>
      <c r="J2049" s="95">
        <f t="shared" si="96"/>
        <v>883.31999999999982</v>
      </c>
      <c r="K2049" s="93">
        <f>IFERROR(VLOOKUP(E2049,'Inventaire des produits'!$B$4:$J$1000,5,FALSE),"")</f>
        <v>182</v>
      </c>
      <c r="L2049" s="301">
        <f>IFERROR(VLOOKUP(E2049,'Inventaire des produits'!$B$4:$J$1000,6,FALSE),"")</f>
        <v>27.5</v>
      </c>
      <c r="M2049" s="62"/>
    </row>
    <row r="2050" spans="2:13" x14ac:dyDescent="0.3">
      <c r="B2050" s="378" t="s">
        <v>1704</v>
      </c>
      <c r="C2050" s="342"/>
      <c r="D2050" s="339"/>
      <c r="E2050" s="234" t="s">
        <v>1452</v>
      </c>
      <c r="F2050" s="274" t="str">
        <f>IFERROR(VLOOKUP(E2050,'Inventaire des produits'!$B$4:$K$1000,2,0),"")</f>
        <v>GANT POLYETHLENE</v>
      </c>
      <c r="G2050" s="54">
        <v>12</v>
      </c>
      <c r="H2050" s="60">
        <v>5</v>
      </c>
      <c r="I2050" s="275">
        <f t="shared" si="95"/>
        <v>60</v>
      </c>
      <c r="J2050" s="95">
        <f t="shared" si="96"/>
        <v>72</v>
      </c>
      <c r="K2050" s="93">
        <f>IFERROR(VLOOKUP(E2050,'Inventaire des produits'!$B$4:$J$1000,5,FALSE),"")</f>
        <v>530</v>
      </c>
      <c r="L2050" s="301">
        <f>IFERROR(VLOOKUP(E2050,'Inventaire des produits'!$B$4:$J$1000,6,FALSE),"")</f>
        <v>2.5099999999999998</v>
      </c>
      <c r="M2050" s="62"/>
    </row>
    <row r="2051" spans="2:13" x14ac:dyDescent="0.3">
      <c r="B2051" s="378" t="s">
        <v>1704</v>
      </c>
      <c r="C2051" s="340">
        <v>45609</v>
      </c>
      <c r="D2051" s="337" t="s">
        <v>1607</v>
      </c>
      <c r="E2051" s="234" t="s">
        <v>1222</v>
      </c>
      <c r="F2051" s="274" t="str">
        <f>IFERROR(VLOOKUP(E2051,'Inventaire des produits'!$B$4:$K$1000,2,0),"")</f>
        <v>POT DE SAUCE 1OZ PROCLEAN</v>
      </c>
      <c r="G2051" s="54">
        <v>7500</v>
      </c>
      <c r="H2051" s="60">
        <v>0.1633</v>
      </c>
      <c r="I2051" s="275">
        <f t="shared" si="95"/>
        <v>1224.75</v>
      </c>
      <c r="J2051" s="95">
        <f t="shared" si="96"/>
        <v>1469.7</v>
      </c>
      <c r="K2051" s="93">
        <f>IFERROR(VLOOKUP(E2051,'Inventaire des produits'!$B$4:$J$1000,5,FALSE),"")</f>
        <v>557100</v>
      </c>
      <c r="L2051" s="301">
        <f>IFERROR(VLOOKUP(E2051,'Inventaire des produits'!$B$4:$J$1000,6,FALSE),"")</f>
        <v>0.1167</v>
      </c>
      <c r="M2051" s="62">
        <f>SUM(J2051:J2062)</f>
        <v>4208.5000000000009</v>
      </c>
    </row>
    <row r="2052" spans="2:13" x14ac:dyDescent="0.3">
      <c r="B2052" s="378" t="s">
        <v>1704</v>
      </c>
      <c r="C2052" s="341"/>
      <c r="D2052" s="338"/>
      <c r="E2052" s="234" t="s">
        <v>1128</v>
      </c>
      <c r="F2052" s="274" t="str">
        <f>IFERROR(VLOOKUP(E2052,'Inventaire des produits'!$B$4:$K$1000,2,0),"")</f>
        <v xml:space="preserve">ESSUIE MAIN 1KG </v>
      </c>
      <c r="G2052" s="54">
        <v>9</v>
      </c>
      <c r="H2052" s="60">
        <v>28.333333333333336</v>
      </c>
      <c r="I2052" s="275">
        <f t="shared" si="95"/>
        <v>255.00000000000003</v>
      </c>
      <c r="J2052" s="95">
        <f t="shared" si="96"/>
        <v>306</v>
      </c>
      <c r="K2052" s="93">
        <f>IFERROR(VLOOKUP(E2052,'Inventaire des produits'!$B$4:$J$1000,5,FALSE),"")</f>
        <v>375</v>
      </c>
      <c r="L2052" s="301">
        <f>IFERROR(VLOOKUP(E2052,'Inventaire des produits'!$B$4:$J$1000,6,FALSE),"")</f>
        <v>21.667000000000002</v>
      </c>
      <c r="M2052" s="62"/>
    </row>
    <row r="2053" spans="2:13" x14ac:dyDescent="0.3">
      <c r="B2053" s="378" t="s">
        <v>1704</v>
      </c>
      <c r="C2053" s="341"/>
      <c r="D2053" s="338"/>
      <c r="E2053" s="234" t="s">
        <v>1463</v>
      </c>
      <c r="F2053" s="274" t="str">
        <f>IFERROR(VLOOKUP(E2053,'Inventaire des produits'!$B$4:$K$1000,2,0),"")</f>
        <v>FOURCHETTE LUXE TRANSPARENTE</v>
      </c>
      <c r="G2053" s="54">
        <v>17</v>
      </c>
      <c r="H2053" s="60">
        <v>19.1666666666667</v>
      </c>
      <c r="I2053" s="275">
        <f t="shared" si="95"/>
        <v>325.83333333333388</v>
      </c>
      <c r="J2053" s="95">
        <f t="shared" si="96"/>
        <v>391.00000000000063</v>
      </c>
      <c r="K2053" s="93">
        <f>IFERROR(VLOOKUP(E2053,'Inventaire des produits'!$B$4:$J$1000,5,FALSE),"")</f>
        <v>922</v>
      </c>
      <c r="L2053" s="301">
        <f>IFERROR(VLOOKUP(E2053,'Inventaire des produits'!$B$4:$J$1000,6,FALSE),"")</f>
        <v>15</v>
      </c>
      <c r="M2053" s="62"/>
    </row>
    <row r="2054" spans="2:13" x14ac:dyDescent="0.3">
      <c r="B2054" s="378" t="s">
        <v>1704</v>
      </c>
      <c r="C2054" s="341"/>
      <c r="D2054" s="338"/>
      <c r="E2054" s="234" t="s">
        <v>869</v>
      </c>
      <c r="F2054" s="274" t="str">
        <f>IFERROR(VLOOKUP(E2054,'Inventaire des produits'!$B$4:$K$1000,2,0),"")</f>
        <v>PAILLE ENVELOPPEE CODE 100 TRANS</v>
      </c>
      <c r="G2054" s="54">
        <v>16</v>
      </c>
      <c r="H2054" s="60">
        <v>6.666666666666667</v>
      </c>
      <c r="I2054" s="275">
        <f t="shared" si="95"/>
        <v>106.66666666666667</v>
      </c>
      <c r="J2054" s="95">
        <f t="shared" si="96"/>
        <v>128</v>
      </c>
      <c r="K2054" s="93">
        <f>IFERROR(VLOOKUP(E2054,'Inventaire des produits'!$B$4:$J$1000,5,FALSE),"")</f>
        <v>898</v>
      </c>
      <c r="L2054" s="301">
        <f>IFERROR(VLOOKUP(E2054,'Inventaire des produits'!$B$4:$J$1000,6,FALSE),"")</f>
        <v>3.9166666659999998</v>
      </c>
      <c r="M2054" s="62"/>
    </row>
    <row r="2055" spans="2:13" x14ac:dyDescent="0.3">
      <c r="B2055" s="378" t="s">
        <v>1704</v>
      </c>
      <c r="C2055" s="341"/>
      <c r="D2055" s="338"/>
      <c r="E2055" s="234" t="s">
        <v>772</v>
      </c>
      <c r="F2055" s="274" t="str">
        <f>IFERROR(VLOOKUP(E2055,'Inventaire des produits'!$B$4:$K$1000,2,0),"")</f>
        <v>GANT VINYL NOIR EXTRA PREMIUM GLOVE MEDIUM</v>
      </c>
      <c r="G2055" s="54">
        <v>16</v>
      </c>
      <c r="H2055" s="60">
        <v>33.333333333333336</v>
      </c>
      <c r="I2055" s="275">
        <f t="shared" si="95"/>
        <v>533.33333333333337</v>
      </c>
      <c r="J2055" s="95">
        <f t="shared" si="96"/>
        <v>640</v>
      </c>
      <c r="K2055" s="93">
        <f>IFERROR(VLOOKUP(E2055,'Inventaire des produits'!$B$4:$J$1000,5,FALSE),"")</f>
        <v>0</v>
      </c>
      <c r="L2055" s="301">
        <f>IFERROR(VLOOKUP(E2055,'Inventaire des produits'!$B$4:$J$1000,6,FALSE),"")</f>
        <v>20.833333333300001</v>
      </c>
      <c r="M2055" s="62"/>
    </row>
    <row r="2056" spans="2:13" x14ac:dyDescent="0.3">
      <c r="B2056" s="378" t="s">
        <v>1704</v>
      </c>
      <c r="C2056" s="341"/>
      <c r="D2056" s="338"/>
      <c r="E2056" s="234" t="s">
        <v>1452</v>
      </c>
      <c r="F2056" s="274" t="str">
        <f>IFERROR(VLOOKUP(E2056,'Inventaire des produits'!$B$4:$K$1000,2,0),"")</f>
        <v>GANT POLYETHLENE</v>
      </c>
      <c r="G2056" s="54">
        <v>12</v>
      </c>
      <c r="H2056" s="60">
        <v>5</v>
      </c>
      <c r="I2056" s="275">
        <f t="shared" si="95"/>
        <v>60</v>
      </c>
      <c r="J2056" s="95">
        <f t="shared" si="96"/>
        <v>72</v>
      </c>
      <c r="K2056" s="93">
        <f>IFERROR(VLOOKUP(E2056,'Inventaire des produits'!$B$4:$J$1000,5,FALSE),"")</f>
        <v>530</v>
      </c>
      <c r="L2056" s="301">
        <f>IFERROR(VLOOKUP(E2056,'Inventaire des produits'!$B$4:$J$1000,6,FALSE),"")</f>
        <v>2.5099999999999998</v>
      </c>
      <c r="M2056" s="62"/>
    </row>
    <row r="2057" spans="2:13" x14ac:dyDescent="0.3">
      <c r="B2057" s="378" t="s">
        <v>1704</v>
      </c>
      <c r="C2057" s="341"/>
      <c r="D2057" s="338"/>
      <c r="E2057" s="234" t="s">
        <v>1149</v>
      </c>
      <c r="F2057" s="274" t="str">
        <f>IFERROR(VLOOKUP(E2057,'Inventaire des produits'!$B$4:$K$1000,2,0),"")</f>
        <v>ROULEAU DE CAISSE THERMIQUE 80X80</v>
      </c>
      <c r="G2057" s="54">
        <v>37</v>
      </c>
      <c r="H2057" s="60">
        <v>10.333333333333334</v>
      </c>
      <c r="I2057" s="275">
        <f t="shared" si="95"/>
        <v>382.33333333333337</v>
      </c>
      <c r="J2057" s="95">
        <f t="shared" si="96"/>
        <v>458.8</v>
      </c>
      <c r="K2057" s="93">
        <f>IFERROR(VLOOKUP(E2057,'Inventaire des produits'!$B$4:$J$1000,5,FALSE),"")</f>
        <v>253</v>
      </c>
      <c r="L2057" s="301">
        <f>IFERROR(VLOOKUP(E2057,'Inventaire des produits'!$B$4:$J$1000,6,FALSE),"")</f>
        <v>7.5</v>
      </c>
      <c r="M2057" s="62"/>
    </row>
    <row r="2058" spans="2:13" x14ac:dyDescent="0.3">
      <c r="B2058" s="378" t="s">
        <v>1704</v>
      </c>
      <c r="C2058" s="341"/>
      <c r="D2058" s="338"/>
      <c r="E2058" s="234" t="s">
        <v>1129</v>
      </c>
      <c r="F2058" s="274" t="str">
        <f>IFERROR(VLOOKUP(E2058,'Inventaire des produits'!$B$4:$K$1000,2,0),"")</f>
        <v>FILM ALIMENTAIRE ORIGINAL 45*500</v>
      </c>
      <c r="G2058" s="54">
        <v>7</v>
      </c>
      <c r="H2058" s="60">
        <v>43.333333333333336</v>
      </c>
      <c r="I2058" s="275">
        <f t="shared" si="95"/>
        <v>303.33333333333337</v>
      </c>
      <c r="J2058" s="95">
        <f t="shared" si="96"/>
        <v>364.00000000000006</v>
      </c>
      <c r="K2058" s="93">
        <f>IFERROR(VLOOKUP(E2058,'Inventaire des produits'!$B$4:$J$1000,5,FALSE),"")</f>
        <v>182</v>
      </c>
      <c r="L2058" s="301">
        <f>IFERROR(VLOOKUP(E2058,'Inventaire des produits'!$B$4:$J$1000,6,FALSE),"")</f>
        <v>27.5</v>
      </c>
      <c r="M2058" s="62"/>
    </row>
    <row r="2059" spans="2:13" x14ac:dyDescent="0.3">
      <c r="B2059" s="378" t="s">
        <v>1704</v>
      </c>
      <c r="C2059" s="341"/>
      <c r="D2059" s="338"/>
      <c r="E2059" s="234" t="s">
        <v>1464</v>
      </c>
      <c r="F2059" s="274" t="str">
        <f>IFERROR(VLOOKUP(E2059,'Inventaire des produits'!$B$4:$K$1000,2,0),"")</f>
        <v>CUILLERE LUXE TRANSPARENTE</v>
      </c>
      <c r="G2059" s="54">
        <v>200</v>
      </c>
      <c r="H2059" s="60">
        <v>0.19166666666666668</v>
      </c>
      <c r="I2059" s="275">
        <f t="shared" si="95"/>
        <v>38.333333333333336</v>
      </c>
      <c r="J2059" s="95">
        <f t="shared" si="96"/>
        <v>46</v>
      </c>
      <c r="K2059" s="93">
        <f>IFERROR(VLOOKUP(E2059,'Inventaire des produits'!$B$4:$J$1000,5,FALSE),"")</f>
        <v>33</v>
      </c>
      <c r="L2059" s="301">
        <f>IFERROR(VLOOKUP(E2059,'Inventaire des produits'!$B$4:$J$1000,6,FALSE),"")</f>
        <v>15</v>
      </c>
      <c r="M2059" s="62"/>
    </row>
    <row r="2060" spans="2:13" x14ac:dyDescent="0.3">
      <c r="B2060" s="378" t="s">
        <v>1704</v>
      </c>
      <c r="C2060" s="341"/>
      <c r="D2060" s="338"/>
      <c r="E2060" s="234" t="s">
        <v>1465</v>
      </c>
      <c r="F2060" s="274" t="str">
        <f>IFERROR(VLOOKUP(E2060,'Inventaire des produits'!$B$4:$K$1000,2,0),"")</f>
        <v>COUTEAU LUXE TRANSPARENTE</v>
      </c>
      <c r="G2060" s="54">
        <v>100</v>
      </c>
      <c r="H2060" s="60">
        <v>0.19166666666666668</v>
      </c>
      <c r="I2060" s="275">
        <f t="shared" si="95"/>
        <v>19.166666666666668</v>
      </c>
      <c r="J2060" s="95">
        <f t="shared" si="96"/>
        <v>23</v>
      </c>
      <c r="K2060" s="93">
        <f>IFERROR(VLOOKUP(E2060,'Inventaire des produits'!$B$4:$J$1000,5,FALSE),"")</f>
        <v>27</v>
      </c>
      <c r="L2060" s="301">
        <f>IFERROR(VLOOKUP(E2060,'Inventaire des produits'!$B$4:$J$1000,6,FALSE),"")</f>
        <v>15</v>
      </c>
      <c r="M2060" s="62"/>
    </row>
    <row r="2061" spans="2:13" x14ac:dyDescent="0.3">
      <c r="B2061" s="378" t="s">
        <v>1704</v>
      </c>
      <c r="C2061" s="341"/>
      <c r="D2061" s="338"/>
      <c r="E2061" s="234" t="s">
        <v>1139</v>
      </c>
      <c r="F2061" s="274" t="str">
        <f>IFERROR(VLOOKUP(E2061,'Inventaire des produits'!$B$4:$K$1000,2,0),"")</f>
        <v>BARQUETTE ALUMINIUM 250</v>
      </c>
      <c r="G2061" s="54">
        <v>500</v>
      </c>
      <c r="H2061" s="60">
        <v>0.375</v>
      </c>
      <c r="I2061" s="275">
        <f t="shared" si="95"/>
        <v>187.5</v>
      </c>
      <c r="J2061" s="95">
        <f t="shared" si="96"/>
        <v>225</v>
      </c>
      <c r="K2061" s="93">
        <f>IFERROR(VLOOKUP(E2061,'Inventaire des produits'!$B$4:$J$1000,5,FALSE),"")</f>
        <v>6400</v>
      </c>
      <c r="L2061" s="301">
        <f>IFERROR(VLOOKUP(E2061,'Inventaire des produits'!$B$4:$J$1000,6,FALSE),"")</f>
        <v>0.29167000000000004</v>
      </c>
      <c r="M2061" s="62"/>
    </row>
    <row r="2062" spans="2:13" x14ac:dyDescent="0.3">
      <c r="B2062" s="378" t="s">
        <v>1704</v>
      </c>
      <c r="C2062" s="342"/>
      <c r="D2062" s="339"/>
      <c r="E2062" s="234" t="s">
        <v>979</v>
      </c>
      <c r="F2062" s="274" t="str">
        <f>IFERROR(VLOOKUP(E2062,'Inventaire des produits'!$B$4:$K$1000,2,0),"")</f>
        <v>ROULEAU ALUMINIUM 200</v>
      </c>
      <c r="G2062" s="54">
        <v>1</v>
      </c>
      <c r="H2062" s="60">
        <v>70.833333333333343</v>
      </c>
      <c r="I2062" s="275">
        <f t="shared" si="95"/>
        <v>70.833333333333343</v>
      </c>
      <c r="J2062" s="95">
        <f t="shared" si="96"/>
        <v>85.000000000000014</v>
      </c>
      <c r="K2062" s="93">
        <f>IFERROR(VLOOKUP(E2062,'Inventaire des produits'!$B$4:$J$1000,5,FALSE),"")</f>
        <v>44</v>
      </c>
      <c r="L2062" s="301">
        <f>IFERROR(VLOOKUP(E2062,'Inventaire des produits'!$B$4:$J$1000,6,FALSE),"")</f>
        <v>48.23</v>
      </c>
      <c r="M2062" s="62"/>
    </row>
    <row r="2063" spans="2:13" x14ac:dyDescent="0.3">
      <c r="B2063" s="378" t="s">
        <v>1704</v>
      </c>
      <c r="C2063" s="340">
        <v>45610</v>
      </c>
      <c r="D2063" s="337" t="s">
        <v>1611</v>
      </c>
      <c r="E2063" s="234" t="s">
        <v>511</v>
      </c>
      <c r="F2063" s="274" t="str">
        <f>IFERROR(VLOOKUP(E2063,'Inventaire des produits'!$B$4:$K$1000,2,0),"")</f>
        <v>CURE DENT ENVELOPE</v>
      </c>
      <c r="G2063" s="54">
        <v>20000</v>
      </c>
      <c r="H2063" s="60">
        <v>5.4449999999999998E-2</v>
      </c>
      <c r="I2063" s="275">
        <f t="shared" si="95"/>
        <v>1089</v>
      </c>
      <c r="J2063" s="95">
        <f t="shared" si="96"/>
        <v>1306.8</v>
      </c>
      <c r="K2063" s="93">
        <f>IFERROR(VLOOKUP(E2063,'Inventaire des produits'!$B$4:$J$1000,5,FALSE),"")</f>
        <v>0</v>
      </c>
      <c r="L2063" s="301">
        <f>IFERROR(VLOOKUP(E2063,'Inventaire des produits'!$B$4:$J$1000,6,FALSE),"")</f>
        <v>1.6666666699999999E-2</v>
      </c>
      <c r="M2063" s="62">
        <f>SUM(J2063:J2071)</f>
        <v>8760</v>
      </c>
    </row>
    <row r="2064" spans="2:13" x14ac:dyDescent="0.3">
      <c r="B2064" s="378" t="s">
        <v>1704</v>
      </c>
      <c r="C2064" s="341"/>
      <c r="D2064" s="338"/>
      <c r="E2064" s="234" t="s">
        <v>493</v>
      </c>
      <c r="F2064" s="274" t="str">
        <f>IFERROR(VLOOKUP(E2064,'Inventaire des produits'!$B$4:$K$1000,2,0),"")</f>
        <v>CVL DE GOBLET 4OZ NOIR BON APPETIT</v>
      </c>
      <c r="G2064" s="54">
        <v>8000</v>
      </c>
      <c r="H2064" s="60">
        <v>0.11</v>
      </c>
      <c r="I2064" s="275">
        <f t="shared" si="95"/>
        <v>880</v>
      </c>
      <c r="J2064" s="95">
        <f t="shared" si="96"/>
        <v>1056</v>
      </c>
      <c r="K2064" s="93">
        <f>IFERROR(VLOOKUP(E2064,'Inventaire des produits'!$B$4:$J$1000,5,FALSE),"")</f>
        <v>0</v>
      </c>
      <c r="L2064" s="301">
        <f>IFERROR(VLOOKUP(E2064,'Inventaire des produits'!$B$4:$J$1000,6,FALSE),"")</f>
        <v>7.4999999999999997E-2</v>
      </c>
      <c r="M2064" s="62"/>
    </row>
    <row r="2065" spans="2:13" x14ac:dyDescent="0.3">
      <c r="B2065" s="378" t="s">
        <v>1704</v>
      </c>
      <c r="C2065" s="341"/>
      <c r="D2065" s="338"/>
      <c r="E2065" s="234" t="s">
        <v>439</v>
      </c>
      <c r="F2065" s="274" t="str">
        <f>IFERROR(VLOOKUP(E2065,'Inventaire des produits'!$B$4:$K$1000,2,0),"")</f>
        <v>EGOUTOIR 250 GRS</v>
      </c>
      <c r="G2065" s="54">
        <v>5000</v>
      </c>
      <c r="H2065" s="60">
        <v>0.5</v>
      </c>
      <c r="I2065" s="275">
        <f t="shared" si="95"/>
        <v>2500</v>
      </c>
      <c r="J2065" s="95">
        <f t="shared" si="96"/>
        <v>3000</v>
      </c>
      <c r="K2065" s="93">
        <f>IFERROR(VLOOKUP(E2065,'Inventaire des produits'!$B$4:$J$1000,5,FALSE),"")</f>
        <v>0</v>
      </c>
      <c r="L2065" s="301">
        <f>IFERROR(VLOOKUP(E2065,'Inventaire des produits'!$B$4:$J$1000,6,FALSE),"")</f>
        <v>0.39</v>
      </c>
      <c r="M2065" s="62"/>
    </row>
    <row r="2066" spans="2:13" x14ac:dyDescent="0.3">
      <c r="B2066" s="378" t="s">
        <v>1704</v>
      </c>
      <c r="C2066" s="341"/>
      <c r="D2066" s="338"/>
      <c r="E2066" s="234" t="s">
        <v>442</v>
      </c>
      <c r="F2066" s="274" t="str">
        <f>IFERROR(VLOOKUP(E2066,'Inventaire des produits'!$B$4:$K$1000,2,0),"")</f>
        <v>CVL DE COUPE MACEDONIA</v>
      </c>
      <c r="G2066" s="54">
        <v>2100</v>
      </c>
      <c r="H2066" s="60">
        <v>0.39</v>
      </c>
      <c r="I2066" s="275">
        <f t="shared" si="95"/>
        <v>819</v>
      </c>
      <c r="J2066" s="95">
        <f t="shared" si="96"/>
        <v>982.8</v>
      </c>
      <c r="K2066" s="93">
        <f>IFERROR(VLOOKUP(E2066,'Inventaire des produits'!$B$4:$J$1000,5,FALSE),"")</f>
        <v>0</v>
      </c>
      <c r="L2066" s="301">
        <f>IFERROR(VLOOKUP(E2066,'Inventaire des produits'!$B$4:$J$1000,6,FALSE),"")</f>
        <v>0.22</v>
      </c>
      <c r="M2066" s="62"/>
    </row>
    <row r="2067" spans="2:13" x14ac:dyDescent="0.3">
      <c r="B2067" s="378" t="s">
        <v>1704</v>
      </c>
      <c r="C2067" s="341"/>
      <c r="D2067" s="338"/>
      <c r="E2067" s="234" t="s">
        <v>544</v>
      </c>
      <c r="F2067" s="274" t="str">
        <f>IFERROR(VLOOKUP(E2067,'Inventaire des produits'!$B$4:$K$1000,2,0),"")</f>
        <v>ROULEAU ALUMINIUM SOFTIS 200 ECO</v>
      </c>
      <c r="G2067" s="54">
        <v>16</v>
      </c>
      <c r="H2067" s="60">
        <v>20</v>
      </c>
      <c r="I2067" s="275">
        <f t="shared" si="95"/>
        <v>320</v>
      </c>
      <c r="J2067" s="95">
        <f t="shared" si="96"/>
        <v>384</v>
      </c>
      <c r="K2067" s="93">
        <f>IFERROR(VLOOKUP(E2067,'Inventaire des produits'!$B$4:$J$1000,5,FALSE),"")</f>
        <v>160</v>
      </c>
      <c r="L2067" s="301">
        <f>IFERROR(VLOOKUP(E2067,'Inventaire des produits'!$B$4:$J$1000,6,FALSE),"")</f>
        <v>16.666666666699999</v>
      </c>
      <c r="M2067" s="62"/>
    </row>
    <row r="2068" spans="2:13" x14ac:dyDescent="0.3">
      <c r="B2068" s="378" t="s">
        <v>1704</v>
      </c>
      <c r="C2068" s="341"/>
      <c r="D2068" s="338"/>
      <c r="E2068" s="234" t="s">
        <v>553</v>
      </c>
      <c r="F2068" s="274" t="str">
        <f>IFERROR(VLOOKUP(E2068,'Inventaire des produits'!$B$4:$K$1000,2,0),"")</f>
        <v>FOURCHETTE ECOLUXE TRANSPARENTE</v>
      </c>
      <c r="G2068" s="54">
        <v>7</v>
      </c>
      <c r="H2068" s="60">
        <v>21</v>
      </c>
      <c r="I2068" s="275">
        <f t="shared" si="95"/>
        <v>147</v>
      </c>
      <c r="J2068" s="95">
        <f t="shared" si="96"/>
        <v>176.4</v>
      </c>
      <c r="K2068" s="93">
        <f>IFERROR(VLOOKUP(E2068,'Inventaire des produits'!$B$4:$J$1000,5,FALSE),"")</f>
        <v>0</v>
      </c>
      <c r="L2068" s="301">
        <f>IFERROR(VLOOKUP(E2068,'Inventaire des produits'!$B$4:$J$1000,6,FALSE),"")</f>
        <v>17.5</v>
      </c>
      <c r="M2068" s="62"/>
    </row>
    <row r="2069" spans="2:13" x14ac:dyDescent="0.3">
      <c r="B2069" s="378" t="s">
        <v>1704</v>
      </c>
      <c r="C2069" s="341"/>
      <c r="D2069" s="338"/>
      <c r="E2069" s="234" t="s">
        <v>412</v>
      </c>
      <c r="F2069" s="274" t="str">
        <f>IFERROR(VLOOKUP(E2069,'Inventaire des produits'!$B$4:$K$1000,2,0),"")</f>
        <v>SACHET VERGER KG</v>
      </c>
      <c r="G2069" s="54">
        <v>3</v>
      </c>
      <c r="H2069" s="60">
        <v>20</v>
      </c>
      <c r="I2069" s="275">
        <f t="shared" si="95"/>
        <v>60</v>
      </c>
      <c r="J2069" s="95">
        <f t="shared" si="96"/>
        <v>72</v>
      </c>
      <c r="K2069" s="93">
        <f>IFERROR(VLOOKUP(E2069,'Inventaire des produits'!$B$4:$J$1000,5,FALSE),"")</f>
        <v>0</v>
      </c>
      <c r="L2069" s="301">
        <f>IFERROR(VLOOKUP(E2069,'Inventaire des produits'!$B$4:$J$1000,6,FALSE),"")</f>
        <v>15</v>
      </c>
      <c r="M2069" s="62"/>
    </row>
    <row r="2070" spans="2:13" x14ac:dyDescent="0.3">
      <c r="B2070" s="378" t="s">
        <v>1704</v>
      </c>
      <c r="C2070" s="341"/>
      <c r="D2070" s="338"/>
      <c r="E2070" s="234" t="s">
        <v>444</v>
      </c>
      <c r="F2070" s="274" t="str">
        <f>IFERROR(VLOOKUP(E2070,'Inventaire des produits'!$B$4:$K$1000,2,0),"")</f>
        <v>COUPE DESSERT</v>
      </c>
      <c r="G2070" s="54">
        <v>1500</v>
      </c>
      <c r="H2070" s="60">
        <v>0.68</v>
      </c>
      <c r="I2070" s="275">
        <f t="shared" si="95"/>
        <v>1020.0000000000001</v>
      </c>
      <c r="J2070" s="95">
        <f t="shared" si="96"/>
        <v>1224</v>
      </c>
      <c r="K2070" s="93">
        <f>IFERROR(VLOOKUP(E2070,'Inventaire des produits'!$B$4:$J$1000,5,FALSE),"")</f>
        <v>0</v>
      </c>
      <c r="L2070" s="301">
        <f>IFERROR(VLOOKUP(E2070,'Inventaire des produits'!$B$4:$J$1000,6,FALSE),"")</f>
        <v>0.5</v>
      </c>
      <c r="M2070" s="62"/>
    </row>
    <row r="2071" spans="2:13" x14ac:dyDescent="0.3">
      <c r="B2071" s="378" t="s">
        <v>1704</v>
      </c>
      <c r="C2071" s="342"/>
      <c r="D2071" s="339"/>
      <c r="E2071" s="234" t="s">
        <v>446</v>
      </c>
      <c r="F2071" s="274" t="str">
        <f>IFERROR(VLOOKUP(E2071,'Inventaire des produits'!$B$4:$K$1000,2,0),"")</f>
        <v>CVL DE COUPE DESSERT</v>
      </c>
      <c r="G2071" s="54">
        <v>1500</v>
      </c>
      <c r="H2071" s="60">
        <v>0.31</v>
      </c>
      <c r="I2071" s="275">
        <f t="shared" si="95"/>
        <v>465</v>
      </c>
      <c r="J2071" s="95">
        <f t="shared" si="96"/>
        <v>558</v>
      </c>
      <c r="K2071" s="93">
        <f>IFERROR(VLOOKUP(E2071,'Inventaire des produits'!$B$4:$J$1000,5,FALSE),"")</f>
        <v>0</v>
      </c>
      <c r="L2071" s="301">
        <f>IFERROR(VLOOKUP(E2071,'Inventaire des produits'!$B$4:$J$1000,6,FALSE),"")</f>
        <v>0.27</v>
      </c>
      <c r="M2071" s="62"/>
    </row>
    <row r="2072" spans="2:13" x14ac:dyDescent="0.3">
      <c r="B2072" s="378" t="s">
        <v>1704</v>
      </c>
      <c r="C2072" s="340">
        <v>45611</v>
      </c>
      <c r="D2072" s="337" t="s">
        <v>1613</v>
      </c>
      <c r="E2072" s="234" t="s">
        <v>440</v>
      </c>
      <c r="F2072" s="274" t="str">
        <f>IFERROR(VLOOKUP(E2072,'Inventaire des produits'!$B$4:$K$1000,2,0),"")</f>
        <v>COUPE MACEDONIA</v>
      </c>
      <c r="G2072" s="54">
        <v>2900</v>
      </c>
      <c r="H2072" s="60">
        <v>0.53</v>
      </c>
      <c r="I2072" s="275">
        <f t="shared" si="95"/>
        <v>1537</v>
      </c>
      <c r="J2072" s="95">
        <f t="shared" si="96"/>
        <v>1844.3999999999999</v>
      </c>
      <c r="K2072" s="93">
        <f>IFERROR(VLOOKUP(E2072,'Inventaire des produits'!$B$4:$J$1000,5,FALSE),"")</f>
        <v>0</v>
      </c>
      <c r="L2072" s="301">
        <f>IFERROR(VLOOKUP(E2072,'Inventaire des produits'!$B$4:$J$1000,6,FALSE),"")</f>
        <v>0.47</v>
      </c>
      <c r="M2072" s="62">
        <f>SUM(J2072:J2075)</f>
        <v>4652.3999999999996</v>
      </c>
    </row>
    <row r="2073" spans="2:13" x14ac:dyDescent="0.3">
      <c r="B2073" s="378" t="s">
        <v>1704</v>
      </c>
      <c r="C2073" s="341"/>
      <c r="D2073" s="338"/>
      <c r="E2073" s="234" t="s">
        <v>442</v>
      </c>
      <c r="F2073" s="274" t="str">
        <f>IFERROR(VLOOKUP(E2073,'Inventaire des produits'!$B$4:$K$1000,2,0),"")</f>
        <v>CVL DE COUPE MACEDONIA</v>
      </c>
      <c r="G2073" s="54">
        <v>2900</v>
      </c>
      <c r="H2073" s="60">
        <v>0.3</v>
      </c>
      <c r="I2073" s="275">
        <f t="shared" si="95"/>
        <v>870</v>
      </c>
      <c r="J2073" s="95">
        <f t="shared" si="96"/>
        <v>1044</v>
      </c>
      <c r="K2073" s="93">
        <f>IFERROR(VLOOKUP(E2073,'Inventaire des produits'!$B$4:$J$1000,5,FALSE),"")</f>
        <v>0</v>
      </c>
      <c r="L2073" s="301">
        <f>IFERROR(VLOOKUP(E2073,'Inventaire des produits'!$B$4:$J$1000,6,FALSE),"")</f>
        <v>0.22</v>
      </c>
      <c r="M2073" s="62"/>
    </row>
    <row r="2074" spans="2:13" x14ac:dyDescent="0.3">
      <c r="B2074" s="378" t="s">
        <v>1704</v>
      </c>
      <c r="C2074" s="341"/>
      <c r="D2074" s="338"/>
      <c r="E2074" s="234" t="s">
        <v>444</v>
      </c>
      <c r="F2074" s="274" t="str">
        <f>IFERROR(VLOOKUP(E2074,'Inventaire des produits'!$B$4:$K$1000,2,0),"")</f>
        <v>COUPE DESSERT</v>
      </c>
      <c r="G2074" s="54">
        <v>1500</v>
      </c>
      <c r="H2074" s="60">
        <v>0.63</v>
      </c>
      <c r="I2074" s="275">
        <f t="shared" si="95"/>
        <v>945</v>
      </c>
      <c r="J2074" s="95">
        <f t="shared" si="96"/>
        <v>1134</v>
      </c>
      <c r="K2074" s="93">
        <f>IFERROR(VLOOKUP(E2074,'Inventaire des produits'!$B$4:$J$1000,5,FALSE),"")</f>
        <v>0</v>
      </c>
      <c r="L2074" s="301">
        <f>IFERROR(VLOOKUP(E2074,'Inventaire des produits'!$B$4:$J$1000,6,FALSE),"")</f>
        <v>0.5</v>
      </c>
      <c r="M2074" s="62"/>
    </row>
    <row r="2075" spans="2:13" x14ac:dyDescent="0.3">
      <c r="B2075" s="378" t="s">
        <v>1704</v>
      </c>
      <c r="C2075" s="342"/>
      <c r="D2075" s="339"/>
      <c r="E2075" s="234" t="s">
        <v>446</v>
      </c>
      <c r="F2075" s="274" t="str">
        <f>IFERROR(VLOOKUP(E2075,'Inventaire des produits'!$B$4:$K$1000,2,0),"")</f>
        <v>CVL DE COUPE DESSERT</v>
      </c>
      <c r="G2075" s="54">
        <v>1500</v>
      </c>
      <c r="H2075" s="60">
        <v>0.35</v>
      </c>
      <c r="I2075" s="275">
        <f t="shared" si="95"/>
        <v>525</v>
      </c>
      <c r="J2075" s="95">
        <f t="shared" si="96"/>
        <v>630</v>
      </c>
      <c r="K2075" s="93">
        <f>IFERROR(VLOOKUP(E2075,'Inventaire des produits'!$B$4:$J$1000,5,FALSE),"")</f>
        <v>0</v>
      </c>
      <c r="L2075" s="301">
        <f>IFERROR(VLOOKUP(E2075,'Inventaire des produits'!$B$4:$J$1000,6,FALSE),"")</f>
        <v>0.27</v>
      </c>
      <c r="M2075" s="62"/>
    </row>
    <row r="2076" spans="2:13" x14ac:dyDescent="0.3">
      <c r="B2076" s="378" t="s">
        <v>1704</v>
      </c>
      <c r="C2076" s="340">
        <v>45611</v>
      </c>
      <c r="D2076" s="337" t="s">
        <v>1614</v>
      </c>
      <c r="E2076" s="234" t="s">
        <v>522</v>
      </c>
      <c r="F2076" s="274" t="str">
        <f>IFERROR(VLOOKUP(E2076,'Inventaire des produits'!$B$4:$K$1000,2,0),"")</f>
        <v>BARQUETTE ALUMINIUM 815</v>
      </c>
      <c r="G2076" s="54">
        <v>1500</v>
      </c>
      <c r="H2076" s="60">
        <v>0.85</v>
      </c>
      <c r="I2076" s="275">
        <f t="shared" si="95"/>
        <v>1275</v>
      </c>
      <c r="J2076" s="95">
        <f t="shared" si="96"/>
        <v>1530</v>
      </c>
      <c r="K2076" s="93">
        <f>IFERROR(VLOOKUP(E2076,'Inventaire des produits'!$B$4:$J$1000,5,FALSE),"")</f>
        <v>0</v>
      </c>
      <c r="L2076" s="301">
        <f>IFERROR(VLOOKUP(E2076,'Inventaire des produits'!$B$4:$J$1000,6,FALSE),"")</f>
        <v>0.66666666669999997</v>
      </c>
      <c r="M2076" s="62">
        <f>SUM(J2076:J2079)</f>
        <v>2147.0639999999999</v>
      </c>
    </row>
    <row r="2077" spans="2:13" x14ac:dyDescent="0.3">
      <c r="B2077" s="378" t="s">
        <v>1704</v>
      </c>
      <c r="C2077" s="341"/>
      <c r="D2077" s="338"/>
      <c r="E2077" s="234" t="s">
        <v>536</v>
      </c>
      <c r="F2077" s="274" t="str">
        <f>IFERROR(VLOOKUP(E2077,'Inventaire des produits'!$B$4:$K$1000,2,0),"")</f>
        <v>PAILLE CODE 6MM 500 NOIR</v>
      </c>
      <c r="G2077" s="54">
        <v>20</v>
      </c>
      <c r="H2077" s="60">
        <v>18</v>
      </c>
      <c r="I2077" s="275">
        <f t="shared" si="95"/>
        <v>360</v>
      </c>
      <c r="J2077" s="95">
        <f t="shared" si="96"/>
        <v>432</v>
      </c>
      <c r="K2077" s="93">
        <f>IFERROR(VLOOKUP(E2077,'Inventaire des produits'!$B$4:$J$1000,5,FALSE),"")</f>
        <v>0</v>
      </c>
      <c r="L2077" s="301">
        <f>IFERROR(VLOOKUP(E2077,'Inventaire des produits'!$B$4:$J$1000,6,FALSE),"")</f>
        <v>15</v>
      </c>
      <c r="M2077" s="62"/>
    </row>
    <row r="2078" spans="2:13" x14ac:dyDescent="0.3">
      <c r="B2078" s="378" t="s">
        <v>1704</v>
      </c>
      <c r="C2078" s="341"/>
      <c r="D2078" s="338"/>
      <c r="E2078" s="234" t="s">
        <v>542</v>
      </c>
      <c r="F2078" s="274" t="str">
        <f>IFERROR(VLOOKUP(E2078,'Inventaire des produits'!$B$4:$K$1000,2,0),"")</f>
        <v>BARQUETTE ALUMINIUM 250</v>
      </c>
      <c r="G2078" s="54">
        <v>150</v>
      </c>
      <c r="H2078" s="60">
        <v>0.45</v>
      </c>
      <c r="I2078" s="275">
        <f t="shared" si="95"/>
        <v>67.5</v>
      </c>
      <c r="J2078" s="95">
        <f t="shared" si="96"/>
        <v>81</v>
      </c>
      <c r="K2078" s="93">
        <f>IFERROR(VLOOKUP(E2078,'Inventaire des produits'!$B$4:$J$1000,5,FALSE),"")</f>
        <v>0</v>
      </c>
      <c r="L2078" s="301">
        <f>IFERROR(VLOOKUP(E2078,'Inventaire des produits'!$B$4:$J$1000,6,FALSE),"")</f>
        <v>0.20338000000000001</v>
      </c>
      <c r="M2078" s="62"/>
    </row>
    <row r="2079" spans="2:13" x14ac:dyDescent="0.3">
      <c r="B2079" s="378" t="s">
        <v>1704</v>
      </c>
      <c r="C2079" s="342"/>
      <c r="D2079" s="339"/>
      <c r="E2079" s="234" t="s">
        <v>601</v>
      </c>
      <c r="F2079" s="274" t="str">
        <f>IFERROR(VLOOKUP(E2079,'Inventaire des produits'!$B$4:$K$1000,2,0),"")</f>
        <v>FILM ALIMENTAIRE VIOLET 280MM 500GR</v>
      </c>
      <c r="G2079" s="54">
        <v>2.71</v>
      </c>
      <c r="H2079" s="60">
        <v>32</v>
      </c>
      <c r="I2079" s="275">
        <f t="shared" si="95"/>
        <v>86.72</v>
      </c>
      <c r="J2079" s="95">
        <f t="shared" si="96"/>
        <v>104.06399999999999</v>
      </c>
      <c r="K2079" s="93">
        <f>IFERROR(VLOOKUP(E2079,'Inventaire des produits'!$B$4:$J$1000,5,FALSE),"")</f>
        <v>0</v>
      </c>
      <c r="L2079" s="301">
        <f>IFERROR(VLOOKUP(E2079,'Inventaire des produits'!$B$4:$J$1000,6,FALSE),"")</f>
        <v>29.17</v>
      </c>
      <c r="M2079" s="62"/>
    </row>
    <row r="2080" spans="2:13" x14ac:dyDescent="0.3">
      <c r="B2080" s="378" t="s">
        <v>1704</v>
      </c>
      <c r="C2080" s="340">
        <v>45611</v>
      </c>
      <c r="D2080" s="337" t="s">
        <v>1615</v>
      </c>
      <c r="E2080" s="234" t="s">
        <v>606</v>
      </c>
      <c r="F2080" s="274" t="str">
        <f>IFERROR(VLOOKUP(E2080,'Inventaire des produits'!$B$4:$K$1000,2,0),"")</f>
        <v>POT EN PLASTIQUE PP 250ML</v>
      </c>
      <c r="G2080" s="54">
        <v>300</v>
      </c>
      <c r="H2080" s="60">
        <v>0.53</v>
      </c>
      <c r="I2080" s="275">
        <f t="shared" si="95"/>
        <v>159</v>
      </c>
      <c r="J2080" s="95">
        <f t="shared" si="96"/>
        <v>190.79999999999998</v>
      </c>
      <c r="K2080" s="93">
        <f>IFERROR(VLOOKUP(E2080,'Inventaire des produits'!$B$4:$J$1000,5,FALSE),"")</f>
        <v>0</v>
      </c>
      <c r="L2080" s="301">
        <f>IFERROR(VLOOKUP(E2080,'Inventaire des produits'!$B$4:$J$1000,6,FALSE),"")</f>
        <v>0.46200000000000002</v>
      </c>
      <c r="M2080" s="62">
        <f>SUM(J2080:J2084)</f>
        <v>3832.5311999999994</v>
      </c>
    </row>
    <row r="2081" spans="2:13" x14ac:dyDescent="0.3">
      <c r="B2081" s="378" t="s">
        <v>1704</v>
      </c>
      <c r="C2081" s="341"/>
      <c r="D2081" s="338"/>
      <c r="E2081" s="234" t="s">
        <v>608</v>
      </c>
      <c r="F2081" s="274" t="str">
        <f>IFERROR(VLOOKUP(E2081,'Inventaire des produits'!$B$4:$K$1000,2,0),"")</f>
        <v>CVL ROND EN PLAST POUR POT 250ML</v>
      </c>
      <c r="G2081" s="54">
        <v>500</v>
      </c>
      <c r="H2081" s="60">
        <v>0.4</v>
      </c>
      <c r="I2081" s="275">
        <f t="shared" si="95"/>
        <v>200</v>
      </c>
      <c r="J2081" s="95">
        <f t="shared" si="96"/>
        <v>240</v>
      </c>
      <c r="K2081" s="93">
        <f>IFERROR(VLOOKUP(E2081,'Inventaire des produits'!$B$4:$J$1000,5,FALSE),"")</f>
        <v>0</v>
      </c>
      <c r="L2081" s="301">
        <f>IFERROR(VLOOKUP(E2081,'Inventaire des produits'!$B$4:$J$1000,6,FALSE),"")</f>
        <v>0.30280000000000001</v>
      </c>
      <c r="M2081" s="62"/>
    </row>
    <row r="2082" spans="2:13" x14ac:dyDescent="0.3">
      <c r="B2082" s="378" t="s">
        <v>1704</v>
      </c>
      <c r="C2082" s="341"/>
      <c r="D2082" s="338"/>
      <c r="E2082" s="234" t="s">
        <v>614</v>
      </c>
      <c r="F2082" s="274" t="str">
        <f>IFERROR(VLOOKUP(E2082,'Inventaire des produits'!$B$4:$K$1000,2,0),"")</f>
        <v>FILM ALIMENTAIRE ORIGINAL 45*500</v>
      </c>
      <c r="G2082" s="54">
        <v>3</v>
      </c>
      <c r="H2082" s="60">
        <v>49</v>
      </c>
      <c r="I2082" s="275">
        <f t="shared" si="95"/>
        <v>147</v>
      </c>
      <c r="J2082" s="95">
        <f t="shared" si="96"/>
        <v>176.4</v>
      </c>
      <c r="K2082" s="93">
        <f>IFERROR(VLOOKUP(E2082,'Inventaire des produits'!$B$4:$J$1000,5,FALSE),"")</f>
        <v>0</v>
      </c>
      <c r="L2082" s="301">
        <f>IFERROR(VLOOKUP(E2082,'Inventaire des produits'!$B$4:$J$1000,6,FALSE),"")</f>
        <v>29.167000000000002</v>
      </c>
      <c r="M2082" s="62"/>
    </row>
    <row r="2083" spans="2:13" x14ac:dyDescent="0.3">
      <c r="B2083" s="378" t="s">
        <v>1704</v>
      </c>
      <c r="C2083" s="341"/>
      <c r="D2083" s="338"/>
      <c r="E2083" s="234" t="s">
        <v>655</v>
      </c>
      <c r="F2083" s="274" t="str">
        <f>IFERROR(VLOOKUP(E2083,'Inventaire des produits'!$B$4:$K$1000,2,0),"")</f>
        <v>BARQUETTE SUSHI 205*275 ET CVL CARTON</v>
      </c>
      <c r="G2083" s="54">
        <v>400</v>
      </c>
      <c r="H2083" s="60">
        <v>3.9</v>
      </c>
      <c r="I2083" s="275">
        <f t="shared" si="95"/>
        <v>1560</v>
      </c>
      <c r="J2083" s="95">
        <f t="shared" si="96"/>
        <v>1872</v>
      </c>
      <c r="K2083" s="93">
        <f>IFERROR(VLOOKUP(E2083,'Inventaire des produits'!$B$4:$J$1000,5,FALSE),"")</f>
        <v>0</v>
      </c>
      <c r="L2083" s="301">
        <f>IFERROR(VLOOKUP(E2083,'Inventaire des produits'!$B$4:$J$1000,6,FALSE),"")</f>
        <v>3.0833333333000001</v>
      </c>
      <c r="M2083" s="62"/>
    </row>
    <row r="2084" spans="2:13" x14ac:dyDescent="0.3">
      <c r="B2084" s="378" t="s">
        <v>1704</v>
      </c>
      <c r="C2084" s="342"/>
      <c r="D2084" s="339"/>
      <c r="E2084" s="234" t="s">
        <v>682</v>
      </c>
      <c r="F2084" s="274" t="str">
        <f>IFERROR(VLOOKUP(E2084,'Inventaire des produits'!$B$4:$K$1000,2,0),"")</f>
        <v>BARQUETTE SUSHI 160*91 ET CVL</v>
      </c>
      <c r="G2084" s="54">
        <v>1300</v>
      </c>
      <c r="H2084" s="60">
        <v>0.86751999999999996</v>
      </c>
      <c r="I2084" s="275">
        <f t="shared" si="95"/>
        <v>1127.7759999999998</v>
      </c>
      <c r="J2084" s="95">
        <f t="shared" si="96"/>
        <v>1353.3311999999999</v>
      </c>
      <c r="K2084" s="93">
        <f>IFERROR(VLOOKUP(E2084,'Inventaire des produits'!$B$4:$J$1000,5,FALSE),"")</f>
        <v>700</v>
      </c>
      <c r="L2084" s="301">
        <f>IFERROR(VLOOKUP(E2084,'Inventaire des produits'!$B$4:$J$1000,6,FALSE),"")</f>
        <v>0.69750000000000001</v>
      </c>
      <c r="M2084" s="62"/>
    </row>
    <row r="2085" spans="2:13" x14ac:dyDescent="0.3">
      <c r="B2085" s="378" t="s">
        <v>1704</v>
      </c>
      <c r="C2085" s="340">
        <v>45611</v>
      </c>
      <c r="D2085" s="337" t="s">
        <v>1616</v>
      </c>
      <c r="E2085" s="234" t="s">
        <v>685</v>
      </c>
      <c r="F2085" s="274" t="str">
        <f>IFERROR(VLOOKUP(E2085,'Inventaire des produits'!$B$4:$K$1000,2,0),"")</f>
        <v>BARQUETTE SUSHI 218*90 ET CVL</v>
      </c>
      <c r="G2085" s="54">
        <v>1400</v>
      </c>
      <c r="H2085" s="60">
        <v>1.2</v>
      </c>
      <c r="I2085" s="275">
        <f t="shared" si="95"/>
        <v>1680</v>
      </c>
      <c r="J2085" s="95">
        <f t="shared" si="96"/>
        <v>2016</v>
      </c>
      <c r="K2085" s="93">
        <f>IFERROR(VLOOKUP(E2085,'Inventaire des produits'!$B$4:$J$1000,5,FALSE),"")</f>
        <v>600</v>
      </c>
      <c r="L2085" s="301">
        <f>IFERROR(VLOOKUP(E2085,'Inventaire des produits'!$B$4:$J$1000,6,FALSE),"")</f>
        <v>0.93</v>
      </c>
      <c r="M2085" s="62">
        <f>SUM(J2085:J2086)</f>
        <v>4368</v>
      </c>
    </row>
    <row r="2086" spans="2:13" x14ac:dyDescent="0.3">
      <c r="B2086" s="378" t="s">
        <v>1704</v>
      </c>
      <c r="C2086" s="342"/>
      <c r="D2086" s="339"/>
      <c r="E2086" s="234" t="s">
        <v>688</v>
      </c>
      <c r="F2086" s="274" t="str">
        <f>IFERROR(VLOOKUP(E2086,'Inventaire des produits'!$B$4:$K$1000,2,0),"")</f>
        <v xml:space="preserve">BARQUETTE SUSHI 216*136 ET CVL </v>
      </c>
      <c r="G2086" s="54">
        <v>1400</v>
      </c>
      <c r="H2086" s="60">
        <v>1.4</v>
      </c>
      <c r="I2086" s="275">
        <f t="shared" si="95"/>
        <v>1959.9999999999998</v>
      </c>
      <c r="J2086" s="95">
        <f t="shared" si="96"/>
        <v>2351.9999999999995</v>
      </c>
      <c r="K2086" s="93">
        <f>IFERROR(VLOOKUP(E2086,'Inventaire des produits'!$B$4:$J$1000,5,FALSE),"")</f>
        <v>600</v>
      </c>
      <c r="L2086" s="301">
        <f>IFERROR(VLOOKUP(E2086,'Inventaire des produits'!$B$4:$J$1000,6,FALSE),"")</f>
        <v>1.0687500000000001</v>
      </c>
      <c r="M2086" s="62">
        <f>SUM(J2087:J2089)</f>
        <v>630.00400000000002</v>
      </c>
    </row>
    <row r="2087" spans="2:13" x14ac:dyDescent="0.3">
      <c r="B2087" s="378" t="s">
        <v>1704</v>
      </c>
      <c r="C2087" s="340">
        <v>45611</v>
      </c>
      <c r="D2087" s="337" t="s">
        <v>1617</v>
      </c>
      <c r="E2087" s="234" t="s">
        <v>1079</v>
      </c>
      <c r="F2087" s="274" t="str">
        <f>IFERROR(VLOOKUP(E2087,'Inventaire des produits'!$B$4:$K$1000,2,0),"")</f>
        <v>FOURCHETTE ECOLUXE TRANSPARENTE</v>
      </c>
      <c r="G2087" s="54">
        <v>6</v>
      </c>
      <c r="H2087" s="60">
        <v>23.333333333333336</v>
      </c>
      <c r="I2087" s="275">
        <f t="shared" si="95"/>
        <v>140</v>
      </c>
      <c r="J2087" s="95">
        <f t="shared" si="96"/>
        <v>168</v>
      </c>
      <c r="K2087" s="93">
        <f>IFERROR(VLOOKUP(E2087,'Inventaire des produits'!$B$4:$J$1000,5,FALSE),"")</f>
        <v>0</v>
      </c>
      <c r="L2087" s="301">
        <f>IFERROR(VLOOKUP(E2087,'Inventaire des produits'!$B$4:$J$1000,6,FALSE),"")</f>
        <v>14.166665999999999</v>
      </c>
      <c r="M2087" s="62"/>
    </row>
    <row r="2088" spans="2:13" x14ac:dyDescent="0.3">
      <c r="B2088" s="378" t="s">
        <v>1704</v>
      </c>
      <c r="C2088" s="341"/>
      <c r="D2088" s="338"/>
      <c r="E2088" s="234" t="s">
        <v>1465</v>
      </c>
      <c r="F2088" s="274" t="str">
        <f>IFERROR(VLOOKUP(E2088,'Inventaire des produits'!$B$4:$K$1000,2,0),"")</f>
        <v>COUTEAU LUXE TRANSPARENTE</v>
      </c>
      <c r="G2088" s="54">
        <v>7</v>
      </c>
      <c r="H2088" s="60">
        <v>23.333333333333336</v>
      </c>
      <c r="I2088" s="275">
        <f t="shared" si="95"/>
        <v>163.33333333333334</v>
      </c>
      <c r="J2088" s="95">
        <f t="shared" si="96"/>
        <v>196</v>
      </c>
      <c r="K2088" s="93">
        <f>IFERROR(VLOOKUP(E2088,'Inventaire des produits'!$B$4:$J$1000,5,FALSE),"")</f>
        <v>27</v>
      </c>
      <c r="L2088" s="301">
        <f>IFERROR(VLOOKUP(E2088,'Inventaire des produits'!$B$4:$J$1000,6,FALSE),"")</f>
        <v>15</v>
      </c>
      <c r="M2088" s="62"/>
    </row>
    <row r="2089" spans="2:13" x14ac:dyDescent="0.3">
      <c r="B2089" s="378" t="s">
        <v>1704</v>
      </c>
      <c r="C2089" s="342"/>
      <c r="D2089" s="339"/>
      <c r="E2089" s="234" t="s">
        <v>726</v>
      </c>
      <c r="F2089" s="274" t="str">
        <f>IFERROR(VLOOKUP(E2089,'Inventaire des produits'!$B$4:$K$1000,2,0),"")</f>
        <v>PALETTE A GLACE BLANC</v>
      </c>
      <c r="G2089" s="54">
        <v>10</v>
      </c>
      <c r="H2089" s="60">
        <v>22.167000000000002</v>
      </c>
      <c r="I2089" s="275">
        <f t="shared" si="95"/>
        <v>221.67000000000002</v>
      </c>
      <c r="J2089" s="95">
        <f t="shared" si="96"/>
        <v>266.00400000000002</v>
      </c>
      <c r="K2089" s="93">
        <f>IFERROR(VLOOKUP(E2089,'Inventaire des produits'!$B$4:$J$1000,5,FALSE),"")</f>
        <v>0</v>
      </c>
      <c r="L2089" s="301">
        <f>IFERROR(VLOOKUP(E2089,'Inventaire des produits'!$B$4:$J$1000,6,FALSE),"")</f>
        <v>16.03</v>
      </c>
      <c r="M2089" s="62"/>
    </row>
    <row r="2090" spans="2:13" x14ac:dyDescent="0.3">
      <c r="B2090" s="378" t="s">
        <v>1704</v>
      </c>
      <c r="C2090" s="340">
        <v>45612</v>
      </c>
      <c r="D2090" s="337" t="s">
        <v>1618</v>
      </c>
      <c r="E2090" s="234" t="s">
        <v>1551</v>
      </c>
      <c r="F2090" s="274" t="str">
        <f>IFERROR(VLOOKUP(E2090,'Inventaire des produits'!$B$4:$K$1000,2,0),"")</f>
        <v>SAC KRAFT ECRU 26*17*28 IMP</v>
      </c>
      <c r="G2090" s="54">
        <v>3900</v>
      </c>
      <c r="H2090" s="60">
        <v>1</v>
      </c>
      <c r="I2090" s="275">
        <f t="shared" si="95"/>
        <v>3900</v>
      </c>
      <c r="J2090" s="95">
        <f t="shared" si="96"/>
        <v>4680</v>
      </c>
      <c r="K2090" s="93">
        <f>IFERROR(VLOOKUP(E2090,'Inventaire des produits'!$B$4:$J$1000,5,FALSE),"")</f>
        <v>12100</v>
      </c>
      <c r="L2090" s="301">
        <f>IFERROR(VLOOKUP(E2090,'Inventaire des produits'!$B$4:$J$1000,6,FALSE),"")</f>
        <v>0.83333333333000004</v>
      </c>
      <c r="M2090" s="62">
        <f>SUM(J2090:J2091)</f>
        <v>14285.0016</v>
      </c>
    </row>
    <row r="2091" spans="2:13" x14ac:dyDescent="0.3">
      <c r="B2091" s="378" t="s">
        <v>1704</v>
      </c>
      <c r="C2091" s="342"/>
      <c r="D2091" s="339"/>
      <c r="E2091" s="234" t="s">
        <v>1420</v>
      </c>
      <c r="F2091" s="274" t="str">
        <f>IFERROR(VLOOKUP(E2091,'Inventaire des produits'!$B$4:$K$1000,2,0),"")</f>
        <v>BARQUETTE TRAITEUR 750CC MICRON ONDABLE</v>
      </c>
      <c r="G2091" s="54">
        <v>6000</v>
      </c>
      <c r="H2091" s="60">
        <v>1.334028</v>
      </c>
      <c r="I2091" s="275">
        <f t="shared" si="95"/>
        <v>8004.1679999999997</v>
      </c>
      <c r="J2091" s="95">
        <f t="shared" si="96"/>
        <v>9605.0015999999996</v>
      </c>
      <c r="K2091" s="93">
        <f>IFERROR(VLOOKUP(E2091,'Inventaire des produits'!$B$4:$J$1000,5,FALSE),"")</f>
        <v>0</v>
      </c>
      <c r="L2091" s="301">
        <f>IFERROR(VLOOKUP(E2091,'Inventaire des produits'!$B$4:$J$1000,6,FALSE),"")</f>
        <v>1.1388888888888891</v>
      </c>
      <c r="M2091" s="62"/>
    </row>
    <row r="2092" spans="2:13" x14ac:dyDescent="0.3">
      <c r="B2092" s="378" t="s">
        <v>1704</v>
      </c>
      <c r="C2092" s="55">
        <v>45612</v>
      </c>
      <c r="D2092" s="54" t="s">
        <v>1621</v>
      </c>
      <c r="E2092" s="234" t="s">
        <v>1619</v>
      </c>
      <c r="F2092" s="274" t="str">
        <f>IFERROR(VLOOKUP(E2092,'Inventaire des produits'!$B$4:$K$1000,2,0),"")</f>
        <v>BOITE PIZZA N°29</v>
      </c>
      <c r="G2092" s="54">
        <v>2000</v>
      </c>
      <c r="H2092" s="60">
        <f>1.9/1.2</f>
        <v>1.5833333333333333</v>
      </c>
      <c r="I2092" s="275">
        <f t="shared" si="95"/>
        <v>3166.6666666666665</v>
      </c>
      <c r="J2092" s="95">
        <f t="shared" si="96"/>
        <v>3799.9999999999995</v>
      </c>
      <c r="K2092" s="93">
        <f>IFERROR(VLOOKUP(E2092,'Inventaire des produits'!$B$4:$J$1000,5,FALSE),"")</f>
        <v>0</v>
      </c>
      <c r="L2092" s="301">
        <f>IFERROR(VLOOKUP(E2092,'Inventaire des produits'!$B$4:$J$1000,6,FALSE),"")</f>
        <v>1.3</v>
      </c>
      <c r="M2092" s="62">
        <v>3799.9999999999995</v>
      </c>
    </row>
    <row r="2093" spans="2:13" x14ac:dyDescent="0.3">
      <c r="B2093" s="378" t="s">
        <v>1704</v>
      </c>
      <c r="C2093" s="55">
        <v>45614</v>
      </c>
      <c r="D2093" s="54" t="s">
        <v>1622</v>
      </c>
      <c r="E2093" s="234" t="s">
        <v>1149</v>
      </c>
      <c r="F2093" s="274" t="str">
        <f>IFERROR(VLOOKUP(E2093,'Inventaire des produits'!$B$4:$K$1000,2,0),"")</f>
        <v>ROULEAU DE CAISSE THERMIQUE 80X80</v>
      </c>
      <c r="G2093" s="54">
        <v>50</v>
      </c>
      <c r="H2093" s="60">
        <v>11.5</v>
      </c>
      <c r="I2093" s="275">
        <f t="shared" ref="I2093:I2161" si="97">IF(OR(G2093="",H2093=""),"",G2093*H2093)</f>
        <v>575</v>
      </c>
      <c r="J2093" s="95">
        <f t="shared" ref="J2093:J2161" si="98">IF(OR(I2093=""),"",I2093*1.2)</f>
        <v>690</v>
      </c>
      <c r="K2093" s="93">
        <f>IFERROR(VLOOKUP(E2093,'Inventaire des produits'!$B$4:$J$1000,5,FALSE),"")</f>
        <v>253</v>
      </c>
      <c r="L2093" s="301">
        <f>IFERROR(VLOOKUP(E2093,'Inventaire des produits'!$B$4:$J$1000,6,FALSE),"")</f>
        <v>7.5</v>
      </c>
      <c r="M2093" s="62">
        <v>690</v>
      </c>
    </row>
    <row r="2094" spans="2:13" x14ac:dyDescent="0.3">
      <c r="B2094" s="378" t="s">
        <v>1704</v>
      </c>
      <c r="C2094" s="55">
        <v>45615</v>
      </c>
      <c r="D2094" s="54" t="s">
        <v>1623</v>
      </c>
      <c r="E2094" s="234" t="s">
        <v>1183</v>
      </c>
      <c r="F2094" s="274" t="str">
        <f>IFERROR(VLOOKUP(E2094,'Inventaire des produits'!$B$4:$K$1000,2,0),"")</f>
        <v>ROULEAU ALUMINIUM EXTRA PACK 200M</v>
      </c>
      <c r="G2094" s="54">
        <v>248</v>
      </c>
      <c r="H2094" s="60">
        <v>45.866950000000003</v>
      </c>
      <c r="I2094" s="275">
        <f t="shared" si="97"/>
        <v>11375.0036</v>
      </c>
      <c r="J2094" s="95">
        <f t="shared" si="98"/>
        <v>13650.00432</v>
      </c>
      <c r="K2094" s="93">
        <f>IFERROR(VLOOKUP(E2094,'Inventaire des produits'!$B$4:$J$1000,5,FALSE),"")</f>
        <v>350</v>
      </c>
      <c r="L2094" s="301">
        <f>IFERROR(VLOOKUP(E2094,'Inventaire des produits'!$B$4:$J$1000,6,FALSE),"")</f>
        <v>44.166666666666671</v>
      </c>
      <c r="M2094" s="62">
        <f>SUM(J2094)</f>
        <v>13650.00432</v>
      </c>
    </row>
    <row r="2095" spans="2:13" x14ac:dyDescent="0.3">
      <c r="B2095" s="378" t="s">
        <v>1704</v>
      </c>
      <c r="C2095" s="340">
        <v>45615</v>
      </c>
      <c r="D2095" s="337" t="s">
        <v>1624</v>
      </c>
      <c r="E2095" s="234" t="s">
        <v>1512</v>
      </c>
      <c r="F2095" s="274" t="str">
        <f>IFERROR(VLOOKUP(E2095,'Inventaire des produits'!$B$4:$K$1000,2,0),"")</f>
        <v>GOBLET 14OZ EN PLAST TRANS SMART + CV PLAT</v>
      </c>
      <c r="G2095" s="54">
        <v>1000</v>
      </c>
      <c r="H2095" s="60">
        <f>0.78/1.2</f>
        <v>0.65</v>
      </c>
      <c r="I2095" s="275">
        <f t="shared" ref="I2095" si="99">IF(OR(G2095="",H2095=""),"",G2095*H2095)</f>
        <v>650</v>
      </c>
      <c r="J2095" s="95">
        <f t="shared" ref="J2095" si="100">IF(OR(I2095=""),"",I2095*1.2)</f>
        <v>780</v>
      </c>
      <c r="K2095" s="93">
        <f>IFERROR(VLOOKUP(E2095,'Inventaire des produits'!$B$4:$J$1000,5,FALSE),"")</f>
        <v>0</v>
      </c>
      <c r="L2095" s="301">
        <f>IFERROR(VLOOKUP(E2095,'Inventaire des produits'!$B$4:$J$1000,6,FALSE),"")</f>
        <v>0.57778333333333298</v>
      </c>
      <c r="M2095" s="62"/>
    </row>
    <row r="2096" spans="2:13" x14ac:dyDescent="0.3">
      <c r="B2096" s="378" t="s">
        <v>1704</v>
      </c>
      <c r="C2096" s="342"/>
      <c r="D2096" s="339"/>
      <c r="E2096" s="244" t="s">
        <v>1190</v>
      </c>
      <c r="F2096" s="274" t="str">
        <f>IFERROR(VLOOKUP(E2096,'Inventaire des produits'!$B$4:$K$1000,2,0),"")</f>
        <v>GOBLET 12OZ EN PLAST TRANS SMART AVEC CVL PLAT</v>
      </c>
      <c r="G2096" s="54">
        <v>4000</v>
      </c>
      <c r="H2096" s="60">
        <f>0.78/1.2</f>
        <v>0.65</v>
      </c>
      <c r="I2096" s="275">
        <f t="shared" si="97"/>
        <v>2600</v>
      </c>
      <c r="J2096" s="95">
        <f t="shared" si="98"/>
        <v>3120</v>
      </c>
      <c r="K2096" s="93">
        <f>IFERROR(VLOOKUP(E2096,'Inventaire des produits'!$B$4:$J$1000,5,FALSE),"")</f>
        <v>0</v>
      </c>
      <c r="L2096" s="301">
        <f>IFERROR(VLOOKUP(E2096,'Inventaire des produits'!$B$4:$J$1000,6,FALSE),"")</f>
        <v>0.55555833333333338</v>
      </c>
      <c r="M2096" s="62">
        <v>3900</v>
      </c>
    </row>
    <row r="2097" spans="2:13" x14ac:dyDescent="0.3">
      <c r="B2097" s="378" t="s">
        <v>1704</v>
      </c>
      <c r="C2097" s="55">
        <v>45615</v>
      </c>
      <c r="D2097" s="54" t="s">
        <v>1625</v>
      </c>
      <c r="E2097" s="234" t="s">
        <v>1311</v>
      </c>
      <c r="F2097" s="274" t="str">
        <f>IFERROR(VLOOKUP(E2097,'Inventaire des produits'!$B$4:$K$1000,2,0),"")</f>
        <v>POT CARTONIER BLANC 26OZ AVEC CVL</v>
      </c>
      <c r="G2097" s="54">
        <v>1000</v>
      </c>
      <c r="H2097" s="60">
        <v>2.4</v>
      </c>
      <c r="I2097" s="275">
        <f t="shared" si="97"/>
        <v>2400</v>
      </c>
      <c r="J2097" s="95">
        <f t="shared" si="98"/>
        <v>2880</v>
      </c>
      <c r="K2097" s="93">
        <f>IFERROR(VLOOKUP(E2097,'Inventaire des produits'!$B$4:$J$1000,5,FALSE),"")</f>
        <v>1000</v>
      </c>
      <c r="L2097" s="301">
        <f>IFERROR(VLOOKUP(E2097,'Inventaire des produits'!$B$4:$J$1000,6,FALSE),"")</f>
        <v>2</v>
      </c>
      <c r="M2097" s="62">
        <v>2880</v>
      </c>
    </row>
    <row r="2098" spans="2:13" x14ac:dyDescent="0.3">
      <c r="B2098" s="378" t="s">
        <v>1704</v>
      </c>
      <c r="C2098" s="340">
        <v>45615</v>
      </c>
      <c r="D2098" s="337" t="s">
        <v>1627</v>
      </c>
      <c r="E2098" s="234" t="s">
        <v>918</v>
      </c>
      <c r="F2098" s="274" t="str">
        <f>IFERROR(VLOOKUP(E2098,'Inventaire des produits'!$B$4:$K$1000,2,0),"")</f>
        <v>FILM ETIRABLE VIOLET 290mm kg</v>
      </c>
      <c r="G2098" s="54">
        <v>30</v>
      </c>
      <c r="H2098" s="60">
        <v>29.16</v>
      </c>
      <c r="I2098" s="275">
        <f t="shared" si="97"/>
        <v>874.8</v>
      </c>
      <c r="J2098" s="95">
        <f t="shared" si="98"/>
        <v>1049.76</v>
      </c>
      <c r="K2098" s="93">
        <f>IFERROR(VLOOKUP(E2098,'Inventaire des produits'!$B$4:$J$1000,5,FALSE),"")</f>
        <v>124.32999999999998</v>
      </c>
      <c r="L2098" s="301">
        <f>IFERROR(VLOOKUP(E2098,'Inventaire des produits'!$B$4:$J$1000,6,FALSE),"")</f>
        <v>25</v>
      </c>
      <c r="M2098" s="62">
        <f>SUM(J2098:J2102)</f>
        <v>11338.603999999999</v>
      </c>
    </row>
    <row r="2099" spans="2:13" x14ac:dyDescent="0.3">
      <c r="B2099" s="378" t="s">
        <v>1704</v>
      </c>
      <c r="C2099" s="341"/>
      <c r="D2099" s="338"/>
      <c r="E2099" s="234" t="s">
        <v>1240</v>
      </c>
      <c r="F2099" s="274" t="str">
        <f>IFERROR(VLOOKUP(E2099,'Inventaire des produits'!$B$4:$K$1000,2,0),"")</f>
        <v>SAUCE PIZZA BANGOR 5KG</v>
      </c>
      <c r="G2099" s="54">
        <v>10</v>
      </c>
      <c r="H2099" s="60">
        <v>66.611999999999995</v>
      </c>
      <c r="I2099" s="275">
        <f t="shared" si="97"/>
        <v>666.11999999999989</v>
      </c>
      <c r="J2099" s="95">
        <f t="shared" si="98"/>
        <v>799.34399999999982</v>
      </c>
      <c r="K2099" s="93">
        <f>IFERROR(VLOOKUP(E2099,'Inventaire des produits'!$B$4:$J$1000,5,FALSE),"")</f>
        <v>0</v>
      </c>
      <c r="L2099" s="301">
        <f>IFERROR(VLOOKUP(E2099,'Inventaire des produits'!$B$4:$J$1000,6,FALSE),"")</f>
        <v>62.5</v>
      </c>
      <c r="M2099" s="62"/>
    </row>
    <row r="2100" spans="2:13" x14ac:dyDescent="0.3">
      <c r="B2100" s="378" t="s">
        <v>1704</v>
      </c>
      <c r="C2100" s="341"/>
      <c r="D2100" s="338"/>
      <c r="E2100" s="234" t="s">
        <v>1231</v>
      </c>
      <c r="F2100" s="274" t="str">
        <f>IFERROR(VLOOKUP(E2100,'Inventaire des produits'!$B$4:$K$1000,2,0),"")</f>
        <v>THON TAM 2KG</v>
      </c>
      <c r="G2100" s="54">
        <v>68</v>
      </c>
      <c r="H2100" s="60">
        <v>105</v>
      </c>
      <c r="I2100" s="275">
        <f t="shared" si="97"/>
        <v>7140</v>
      </c>
      <c r="J2100" s="95">
        <f t="shared" si="98"/>
        <v>8568</v>
      </c>
      <c r="K2100" s="93">
        <f>IFERROR(VLOOKUP(E2100,'Inventaire des produits'!$B$4:$J$1000,5,FALSE),"")</f>
        <v>0</v>
      </c>
      <c r="L2100" s="301">
        <f>IFERROR(VLOOKUP(E2100,'Inventaire des produits'!$B$4:$J$1000,6,FALSE),"")</f>
        <v>103.33333330000001</v>
      </c>
      <c r="M2100" s="62"/>
    </row>
    <row r="2101" spans="2:13" x14ac:dyDescent="0.3">
      <c r="B2101" s="378" t="s">
        <v>1704</v>
      </c>
      <c r="C2101" s="341"/>
      <c r="D2101" s="338"/>
      <c r="E2101" s="234" t="s">
        <v>1234</v>
      </c>
      <c r="F2101" s="274" t="str">
        <f>IFERROR(VLOOKUP(E2101,'Inventaire des produits'!$B$4:$K$1000,2,0),"")</f>
        <v>SAUCE PIZZA BANGOR 1KG</v>
      </c>
      <c r="G2101" s="54">
        <v>19</v>
      </c>
      <c r="H2101" s="60">
        <v>25</v>
      </c>
      <c r="I2101" s="275">
        <f t="shared" si="97"/>
        <v>475</v>
      </c>
      <c r="J2101" s="95">
        <f t="shared" si="98"/>
        <v>570</v>
      </c>
      <c r="K2101" s="93">
        <f>IFERROR(VLOOKUP(E2101,'Inventaire des produits'!$B$4:$J$1000,5,FALSE),"")</f>
        <v>0</v>
      </c>
      <c r="L2101" s="301">
        <f>IFERROR(VLOOKUP(E2101,'Inventaire des produits'!$B$4:$J$1000,6,FALSE),"")</f>
        <v>20</v>
      </c>
      <c r="M2101" s="62"/>
    </row>
    <row r="2102" spans="2:13" x14ac:dyDescent="0.3">
      <c r="B2102" s="378" t="s">
        <v>1704</v>
      </c>
      <c r="C2102" s="341"/>
      <c r="D2102" s="338"/>
      <c r="E2102" s="234" t="s">
        <v>1131</v>
      </c>
      <c r="F2102" s="274" t="str">
        <f>IFERROR(VLOOKUP(E2102,'Inventaire des produits'!$B$4:$K$1000,2,0),"")</f>
        <v>MOUCHOIR ROTANA 600</v>
      </c>
      <c r="G2102" s="54">
        <v>37</v>
      </c>
      <c r="H2102" s="60">
        <f>9.5/1.2</f>
        <v>7.916666666666667</v>
      </c>
      <c r="I2102" s="275">
        <f t="shared" si="97"/>
        <v>292.91666666666669</v>
      </c>
      <c r="J2102" s="95">
        <f t="shared" si="98"/>
        <v>351.5</v>
      </c>
      <c r="K2102" s="93">
        <f>IFERROR(VLOOKUP(E2102,'Inventaire des produits'!$B$4:$J$1000,5,FALSE),"")</f>
        <v>333</v>
      </c>
      <c r="L2102" s="301">
        <f>IFERROR(VLOOKUP(E2102,'Inventaire des produits'!$B$4:$J$1000,6,FALSE),"")</f>
        <v>6.6669999999999998</v>
      </c>
      <c r="M2102" s="62"/>
    </row>
    <row r="2103" spans="2:13" x14ac:dyDescent="0.3">
      <c r="B2103" s="378" t="s">
        <v>1704</v>
      </c>
      <c r="C2103" s="55">
        <v>45618</v>
      </c>
      <c r="D2103" s="54" t="s">
        <v>1630</v>
      </c>
      <c r="E2103" s="234" t="s">
        <v>1628</v>
      </c>
      <c r="F2103" s="274" t="str">
        <f>IFERROR(VLOOKUP(E2103,'Inventaire des produits'!$B$4:$K$1000,2,0),"")</f>
        <v>BARQUETTE ALUMINIUM 831200</v>
      </c>
      <c r="G2103" s="54">
        <v>20000</v>
      </c>
      <c r="H2103" s="60">
        <f>1.21/1.2</f>
        <v>1.0083333333333333</v>
      </c>
      <c r="I2103" s="275">
        <f t="shared" si="97"/>
        <v>20166.666666666668</v>
      </c>
      <c r="J2103" s="95">
        <f t="shared" si="98"/>
        <v>24200</v>
      </c>
      <c r="K2103" s="93">
        <f>IFERROR(VLOOKUP(E2103,'Inventaire des produits'!$B$4:$J$1000,5,FALSE),"")</f>
        <v>0</v>
      </c>
      <c r="L2103" s="301">
        <f>IFERROR(VLOOKUP(E2103,'Inventaire des produits'!$B$4:$J$1000,6,FALSE),"")</f>
        <v>0.94</v>
      </c>
      <c r="M2103" s="62">
        <v>24200</v>
      </c>
    </row>
    <row r="2104" spans="2:13" x14ac:dyDescent="0.3">
      <c r="B2104" s="378" t="s">
        <v>1704</v>
      </c>
      <c r="C2104" s="340">
        <v>45621</v>
      </c>
      <c r="D2104" s="337" t="s">
        <v>1666</v>
      </c>
      <c r="E2104" s="234" t="s">
        <v>1294</v>
      </c>
      <c r="F2104" s="274" t="str">
        <f>IFERROR(VLOOKUP(E2104,'Inventaire des produits'!$B$4:$K$1000,2,0),"")</f>
        <v>BARQUETTE ALUMINIUM RECT 1200ML AVEC CVL</v>
      </c>
      <c r="G2104" s="54">
        <v>1000</v>
      </c>
      <c r="H2104" s="60">
        <v>0.88100000000000001</v>
      </c>
      <c r="I2104" s="275">
        <f t="shared" si="97"/>
        <v>881</v>
      </c>
      <c r="J2104" s="95">
        <f t="shared" si="98"/>
        <v>1057.2</v>
      </c>
      <c r="K2104" s="93">
        <f>IFERROR(VLOOKUP(E2104,'Inventaire des produits'!$B$4:$J$1000,5,FALSE),"")</f>
        <v>4000</v>
      </c>
      <c r="L2104" s="301">
        <f>IFERROR(VLOOKUP(E2104,'Inventaire des produits'!$B$4:$J$1000,6,FALSE),"")</f>
        <v>1.3666666667</v>
      </c>
      <c r="M2104" s="62">
        <f>SUM(J2104:J2113)</f>
        <v>6930.0011999999997</v>
      </c>
    </row>
    <row r="2105" spans="2:13" x14ac:dyDescent="0.3">
      <c r="B2105" s="378" t="s">
        <v>1704</v>
      </c>
      <c r="C2105" s="341"/>
      <c r="D2105" s="338"/>
      <c r="E2105" s="234" t="s">
        <v>779</v>
      </c>
      <c r="F2105" s="274" t="str">
        <f>IFERROR(VLOOKUP(E2105,'Inventaire des produits'!$B$4:$K$1000,2,0),"")</f>
        <v>BARQUETTE ALUMINIUM 83420</v>
      </c>
      <c r="G2105" s="54">
        <v>1000</v>
      </c>
      <c r="H2105" s="60">
        <v>0.47326000000000001</v>
      </c>
      <c r="I2105" s="275">
        <f t="shared" si="97"/>
        <v>473.26</v>
      </c>
      <c r="J2105" s="95">
        <f t="shared" si="98"/>
        <v>567.91199999999992</v>
      </c>
      <c r="K2105" s="93">
        <f>IFERROR(VLOOKUP(E2105,'Inventaire des produits'!$B$4:$J$1000,5,FALSE),"")</f>
        <v>0</v>
      </c>
      <c r="L2105" s="301">
        <f>IFERROR(VLOOKUP(E2105,'Inventaire des produits'!$B$4:$J$1000,6,FALSE),"")</f>
        <v>0.30833333330000001</v>
      </c>
      <c r="M2105" s="62"/>
    </row>
    <row r="2106" spans="2:13" x14ac:dyDescent="0.3">
      <c r="B2106" s="378" t="s">
        <v>1704</v>
      </c>
      <c r="C2106" s="341"/>
      <c r="D2106" s="338"/>
      <c r="E2106" s="234" t="s">
        <v>869</v>
      </c>
      <c r="F2106" s="274" t="str">
        <f>IFERROR(VLOOKUP(E2106,'Inventaire des produits'!$B$4:$K$1000,2,0),"")</f>
        <v>PAILLE ENVELOPPEE CODE 100 TRANS</v>
      </c>
      <c r="G2106" s="54">
        <v>20</v>
      </c>
      <c r="H2106" s="60">
        <v>6.25</v>
      </c>
      <c r="I2106" s="275">
        <f t="shared" si="97"/>
        <v>125</v>
      </c>
      <c r="J2106" s="95">
        <f t="shared" si="98"/>
        <v>150</v>
      </c>
      <c r="K2106" s="93">
        <f>IFERROR(VLOOKUP(E2106,'Inventaire des produits'!$B$4:$J$1000,5,FALSE),"")</f>
        <v>898</v>
      </c>
      <c r="L2106" s="301">
        <f>IFERROR(VLOOKUP(E2106,'Inventaire des produits'!$B$4:$J$1000,6,FALSE),"")</f>
        <v>3.9166666659999998</v>
      </c>
      <c r="M2106" s="62"/>
    </row>
    <row r="2107" spans="2:13" x14ac:dyDescent="0.3">
      <c r="B2107" s="378" t="s">
        <v>1704</v>
      </c>
      <c r="C2107" s="341"/>
      <c r="D2107" s="338"/>
      <c r="E2107" s="234" t="s">
        <v>1190</v>
      </c>
      <c r="F2107" s="274" t="str">
        <f>IFERROR(VLOOKUP(E2107,'Inventaire des produits'!$B$4:$K$1000,2,0),"")</f>
        <v>GOBLET 12OZ EN PLAST TRANS SMART AVEC CVL PLAT</v>
      </c>
      <c r="G2107" s="54">
        <v>600</v>
      </c>
      <c r="H2107" s="60">
        <v>0.6</v>
      </c>
      <c r="I2107" s="275">
        <f t="shared" si="97"/>
        <v>360</v>
      </c>
      <c r="J2107" s="95">
        <f t="shared" si="98"/>
        <v>432</v>
      </c>
      <c r="K2107" s="93">
        <f>IFERROR(VLOOKUP(E2107,'Inventaire des produits'!$B$4:$J$1000,5,FALSE),"")</f>
        <v>0</v>
      </c>
      <c r="L2107" s="301">
        <f>IFERROR(VLOOKUP(E2107,'Inventaire des produits'!$B$4:$J$1000,6,FALSE),"")</f>
        <v>0.55555833333333338</v>
      </c>
      <c r="M2107" s="62"/>
    </row>
    <row r="2108" spans="2:13" x14ac:dyDescent="0.3">
      <c r="B2108" s="378" t="s">
        <v>1704</v>
      </c>
      <c r="C2108" s="341"/>
      <c r="D2108" s="338"/>
      <c r="E2108" s="234" t="s">
        <v>1184</v>
      </c>
      <c r="F2108" s="274" t="str">
        <f>IFERROR(VLOOKUP(E2108,'Inventaire des produits'!$B$4:$K$1000,2,0),"")</f>
        <v>COQUILLE MEAL BOX 2 COMP BLANC</v>
      </c>
      <c r="G2108" s="54">
        <v>1000</v>
      </c>
      <c r="H2108" s="60">
        <v>1.04575</v>
      </c>
      <c r="I2108" s="275">
        <f t="shared" si="97"/>
        <v>1045.75</v>
      </c>
      <c r="J2108" s="95">
        <f t="shared" si="98"/>
        <v>1254.8999999999999</v>
      </c>
      <c r="K2108" s="93">
        <f>IFERROR(VLOOKUP(E2108,'Inventaire des produits'!$B$4:$J$1000,5,FALSE),"")</f>
        <v>5800</v>
      </c>
      <c r="L2108" s="301">
        <f>IFERROR(VLOOKUP(E2108,'Inventaire des produits'!$B$4:$J$1000,6,FALSE),"")</f>
        <v>0.79166666666666663</v>
      </c>
      <c r="M2108" s="62"/>
    </row>
    <row r="2109" spans="2:13" x14ac:dyDescent="0.3">
      <c r="B2109" s="378" t="s">
        <v>1704</v>
      </c>
      <c r="C2109" s="341"/>
      <c r="D2109" s="338"/>
      <c r="E2109" s="234" t="s">
        <v>1079</v>
      </c>
      <c r="F2109" s="274" t="str">
        <f>IFERROR(VLOOKUP(E2109,'Inventaire des produits'!$B$4:$K$1000,2,0),"")</f>
        <v>FOURCHETTE ECOLUXE TRANSPARENTE</v>
      </c>
      <c r="G2109" s="54">
        <v>19</v>
      </c>
      <c r="H2109" s="60">
        <v>17.5</v>
      </c>
      <c r="I2109" s="275">
        <f t="shared" si="97"/>
        <v>332.5</v>
      </c>
      <c r="J2109" s="95">
        <f t="shared" si="98"/>
        <v>399</v>
      </c>
      <c r="K2109" s="93">
        <f>IFERROR(VLOOKUP(E2109,'Inventaire des produits'!$B$4:$J$1000,5,FALSE),"")</f>
        <v>0</v>
      </c>
      <c r="L2109" s="301">
        <f>IFERROR(VLOOKUP(E2109,'Inventaire des produits'!$B$4:$J$1000,6,FALSE),"")</f>
        <v>14.166665999999999</v>
      </c>
      <c r="M2109" s="62"/>
    </row>
    <row r="2110" spans="2:13" x14ac:dyDescent="0.3">
      <c r="B2110" s="378" t="s">
        <v>1704</v>
      </c>
      <c r="C2110" s="341"/>
      <c r="D2110" s="338"/>
      <c r="E2110" s="234" t="s">
        <v>1464</v>
      </c>
      <c r="F2110" s="274" t="str">
        <f>IFERROR(VLOOKUP(E2110,'Inventaire des produits'!$B$4:$K$1000,2,0),"")</f>
        <v>CUILLERE LUXE TRANSPARENTE</v>
      </c>
      <c r="G2110" s="54">
        <v>25</v>
      </c>
      <c r="H2110" s="60">
        <v>17.5</v>
      </c>
      <c r="I2110" s="275">
        <f t="shared" si="97"/>
        <v>437.5</v>
      </c>
      <c r="J2110" s="95">
        <f t="shared" si="98"/>
        <v>525</v>
      </c>
      <c r="K2110" s="93">
        <f>IFERROR(VLOOKUP(E2110,'Inventaire des produits'!$B$4:$J$1000,5,FALSE),"")</f>
        <v>33</v>
      </c>
      <c r="L2110" s="301">
        <f>IFERROR(VLOOKUP(E2110,'Inventaire des produits'!$B$4:$J$1000,6,FALSE),"")</f>
        <v>15</v>
      </c>
      <c r="M2110" s="62"/>
    </row>
    <row r="2111" spans="2:13" x14ac:dyDescent="0.3">
      <c r="B2111" s="378" t="s">
        <v>1704</v>
      </c>
      <c r="C2111" s="341"/>
      <c r="D2111" s="338"/>
      <c r="E2111" s="234" t="s">
        <v>772</v>
      </c>
      <c r="F2111" s="274" t="str">
        <f>IFERROR(VLOOKUP(E2111,'Inventaire des produits'!$B$4:$K$1000,2,0),"")</f>
        <v>GANT VINYL NOIR EXTRA PREMIUM GLOVE MEDIUM</v>
      </c>
      <c r="G2111" s="54">
        <v>22</v>
      </c>
      <c r="H2111" s="60">
        <v>29.166499999999999</v>
      </c>
      <c r="I2111" s="275">
        <f t="shared" si="97"/>
        <v>641.66300000000001</v>
      </c>
      <c r="J2111" s="95">
        <f t="shared" si="98"/>
        <v>769.99559999999997</v>
      </c>
      <c r="K2111" s="93">
        <f>IFERROR(VLOOKUP(E2111,'Inventaire des produits'!$B$4:$J$1000,5,FALSE),"")</f>
        <v>0</v>
      </c>
      <c r="L2111" s="301">
        <f>IFERROR(VLOOKUP(E2111,'Inventaire des produits'!$B$4:$J$1000,6,FALSE),"")</f>
        <v>20.833333333300001</v>
      </c>
      <c r="M2111" s="62"/>
    </row>
    <row r="2112" spans="2:13" x14ac:dyDescent="0.3">
      <c r="B2112" s="378" t="s">
        <v>1704</v>
      </c>
      <c r="C2112" s="341"/>
      <c r="D2112" s="338"/>
      <c r="E2112" s="234" t="s">
        <v>1133</v>
      </c>
      <c r="F2112" s="274" t="str">
        <f>IFERROR(VLOOKUP(E2112,'Inventaire des produits'!$B$4:$K$1000,2,0),"")</f>
        <v>MOUCHOIR SWEET 600</v>
      </c>
      <c r="G2112" s="54">
        <v>16</v>
      </c>
      <c r="H2112" s="60">
        <v>7.0830000000000002</v>
      </c>
      <c r="I2112" s="275">
        <f t="shared" si="97"/>
        <v>113.328</v>
      </c>
      <c r="J2112" s="95">
        <f t="shared" si="98"/>
        <v>135.99359999999999</v>
      </c>
      <c r="K2112" s="93">
        <f>IFERROR(VLOOKUP(E2112,'Inventaire des produits'!$B$4:$J$1000,5,FALSE),"")</f>
        <v>179</v>
      </c>
      <c r="L2112" s="301">
        <f>IFERROR(VLOOKUP(E2112,'Inventaire des produits'!$B$4:$J$1000,6,FALSE),"")</f>
        <v>6.25</v>
      </c>
      <c r="M2112" s="62"/>
    </row>
    <row r="2113" spans="2:13" x14ac:dyDescent="0.3">
      <c r="B2113" s="378" t="s">
        <v>1704</v>
      </c>
      <c r="C2113" s="342"/>
      <c r="D2113" s="339"/>
      <c r="E2113" s="234" t="s">
        <v>979</v>
      </c>
      <c r="F2113" s="274" t="str">
        <f>IFERROR(VLOOKUP(E2113,'Inventaire des produits'!$B$4:$K$1000,2,0),"")</f>
        <v>ROULEAU ALUMINIUM 200</v>
      </c>
      <c r="G2113" s="54">
        <v>21</v>
      </c>
      <c r="H2113" s="60">
        <v>65</v>
      </c>
      <c r="I2113" s="275">
        <f t="shared" si="97"/>
        <v>1365</v>
      </c>
      <c r="J2113" s="95">
        <f t="shared" si="98"/>
        <v>1638</v>
      </c>
      <c r="K2113" s="93">
        <f>IFERROR(VLOOKUP(E2113,'Inventaire des produits'!$B$4:$J$1000,5,FALSE),"")</f>
        <v>44</v>
      </c>
      <c r="L2113" s="301">
        <f>IFERROR(VLOOKUP(E2113,'Inventaire des produits'!$B$4:$J$1000,6,FALSE),"")</f>
        <v>48.23</v>
      </c>
      <c r="M2113" s="62"/>
    </row>
    <row r="2114" spans="2:13" x14ac:dyDescent="0.3">
      <c r="B2114" s="378" t="s">
        <v>1704</v>
      </c>
      <c r="C2114" s="340">
        <v>45623</v>
      </c>
      <c r="D2114" s="337" t="s">
        <v>1667</v>
      </c>
      <c r="E2114" s="234" t="s">
        <v>929</v>
      </c>
      <c r="F2114" s="274" t="str">
        <f>IFERROR(VLOOKUP(E2114,'Inventaire des produits'!$B$4:$K$1000,2,0),"")</f>
        <v xml:space="preserve">SERVIETTE DE TABLE </v>
      </c>
      <c r="G2114" s="54">
        <v>120</v>
      </c>
      <c r="H2114" s="60">
        <v>3.7551000000000001</v>
      </c>
      <c r="I2114" s="275">
        <f t="shared" si="97"/>
        <v>450.61200000000002</v>
      </c>
      <c r="J2114" s="95">
        <f t="shared" si="98"/>
        <v>540.73440000000005</v>
      </c>
      <c r="K2114" s="93">
        <f>IFERROR(VLOOKUP(E2114,'Inventaire des produits'!$B$4:$J$1000,5,FALSE),"")</f>
        <v>0</v>
      </c>
      <c r="L2114" s="301">
        <f>IFERROR(VLOOKUP(E2114,'Inventaire des produits'!$B$4:$J$1000,6,FALSE),"")</f>
        <v>2.9169999999999998</v>
      </c>
      <c r="M2114" s="62">
        <f>SUM(J2114:J2123)</f>
        <v>13999.997600000001</v>
      </c>
    </row>
    <row r="2115" spans="2:13" x14ac:dyDescent="0.3">
      <c r="B2115" s="378" t="s">
        <v>1704</v>
      </c>
      <c r="C2115" s="341"/>
      <c r="D2115" s="338"/>
      <c r="E2115" s="234" t="s">
        <v>1303</v>
      </c>
      <c r="F2115" s="274" t="str">
        <f>IFERROR(VLOOKUP(E2115,'Inventaire des produits'!$B$4:$K$1000,2,0),"")</f>
        <v>BARQUETTE ALUMINIUM 83670</v>
      </c>
      <c r="G2115" s="54">
        <v>2000</v>
      </c>
      <c r="H2115" s="60">
        <v>0.75051999999999996</v>
      </c>
      <c r="I2115" s="275">
        <f t="shared" si="97"/>
        <v>1501.04</v>
      </c>
      <c r="J2115" s="95">
        <f t="shared" si="98"/>
        <v>1801.2479999999998</v>
      </c>
      <c r="K2115" s="93">
        <f>IFERROR(VLOOKUP(E2115,'Inventaire des produits'!$B$4:$J$1000,5,FALSE),"")</f>
        <v>200</v>
      </c>
      <c r="L2115" s="301">
        <f>IFERROR(VLOOKUP(E2115,'Inventaire des produits'!$B$4:$J$1000,6,FALSE),"")</f>
        <v>0.51666666666666672</v>
      </c>
      <c r="M2115" s="62"/>
    </row>
    <row r="2116" spans="2:13" x14ac:dyDescent="0.3">
      <c r="B2116" s="378" t="s">
        <v>1704</v>
      </c>
      <c r="C2116" s="341"/>
      <c r="D2116" s="338"/>
      <c r="E2116" s="234" t="s">
        <v>1056</v>
      </c>
      <c r="F2116" s="274" t="str">
        <f>IFERROR(VLOOKUP(E2116,'Inventaire des produits'!$B$4:$K$1000,2,0),"")</f>
        <v>SAC PN BLANC NI 30*40*10</v>
      </c>
      <c r="G2116" s="54">
        <v>2000</v>
      </c>
      <c r="H2116" s="60">
        <v>0.50800000000000001</v>
      </c>
      <c r="I2116" s="275">
        <f t="shared" si="97"/>
        <v>1016</v>
      </c>
      <c r="J2116" s="95">
        <f t="shared" si="98"/>
        <v>1219.2</v>
      </c>
      <c r="K2116" s="93">
        <f>IFERROR(VLOOKUP(E2116,'Inventaire des produits'!$B$4:$J$1000,5,FALSE),"")</f>
        <v>27400</v>
      </c>
      <c r="L2116" s="301">
        <f>IFERROR(VLOOKUP(E2116,'Inventaire des produits'!$B$4:$J$1000,6,FALSE),"")</f>
        <v>0.33334000000000003</v>
      </c>
      <c r="M2116" s="62"/>
    </row>
    <row r="2117" spans="2:13" x14ac:dyDescent="0.3">
      <c r="B2117" s="378" t="s">
        <v>1704</v>
      </c>
      <c r="C2117" s="341"/>
      <c r="D2117" s="338"/>
      <c r="E2117" s="234" t="s">
        <v>1316</v>
      </c>
      <c r="F2117" s="274" t="str">
        <f>IFERROR(VLOOKUP(E2117,'Inventaire des produits'!$B$4:$K$1000,2,0),"")</f>
        <v>SAC PN BLANCE 40*45</v>
      </c>
      <c r="G2117" s="54">
        <v>1800</v>
      </c>
      <c r="H2117" s="60">
        <v>0.58499999999999996</v>
      </c>
      <c r="I2117" s="275">
        <f t="shared" si="97"/>
        <v>1053</v>
      </c>
      <c r="J2117" s="95">
        <f t="shared" si="98"/>
        <v>1263.5999999999999</v>
      </c>
      <c r="K2117" s="93">
        <f>IFERROR(VLOOKUP(E2117,'Inventaire des produits'!$B$4:$J$1000,5,FALSE),"")</f>
        <v>5400</v>
      </c>
      <c r="L2117" s="301">
        <f>IFERROR(VLOOKUP(E2117,'Inventaire des produits'!$B$4:$J$1000,6,FALSE),"")</f>
        <v>0.41665999999999997</v>
      </c>
      <c r="M2117" s="62"/>
    </row>
    <row r="2118" spans="2:13" x14ac:dyDescent="0.3">
      <c r="B2118" s="378" t="s">
        <v>1704</v>
      </c>
      <c r="C2118" s="341"/>
      <c r="D2118" s="338"/>
      <c r="E2118" s="234" t="s">
        <v>979</v>
      </c>
      <c r="F2118" s="274" t="str">
        <f>IFERROR(VLOOKUP(E2118,'Inventaire des produits'!$B$4:$K$1000,2,0),"")</f>
        <v>ROULEAU ALUMINIUM 200</v>
      </c>
      <c r="G2118" s="54">
        <v>32</v>
      </c>
      <c r="H2118" s="60">
        <v>66.668000000000006</v>
      </c>
      <c r="I2118" s="275">
        <f t="shared" si="97"/>
        <v>2133.3760000000002</v>
      </c>
      <c r="J2118" s="95">
        <f t="shared" si="98"/>
        <v>2560.0512000000003</v>
      </c>
      <c r="K2118" s="93">
        <f>IFERROR(VLOOKUP(E2118,'Inventaire des produits'!$B$4:$J$1000,5,FALSE),"")</f>
        <v>44</v>
      </c>
      <c r="L2118" s="301">
        <f>IFERROR(VLOOKUP(E2118,'Inventaire des produits'!$B$4:$J$1000,6,FALSE),"")</f>
        <v>48.23</v>
      </c>
      <c r="M2118" s="62"/>
    </row>
    <row r="2119" spans="2:13" x14ac:dyDescent="0.3">
      <c r="B2119" s="378" t="s">
        <v>1704</v>
      </c>
      <c r="C2119" s="341"/>
      <c r="D2119" s="338"/>
      <c r="E2119" s="234" t="s">
        <v>779</v>
      </c>
      <c r="F2119" s="274" t="str">
        <f>IFERROR(VLOOKUP(E2119,'Inventaire des produits'!$B$4:$K$1000,2,0),"")</f>
        <v>BARQUETTE ALUMINIUM 83420</v>
      </c>
      <c r="G2119" s="54">
        <v>1700</v>
      </c>
      <c r="H2119" s="60">
        <v>0.45833333333333298</v>
      </c>
      <c r="I2119" s="275">
        <f t="shared" si="97"/>
        <v>779.16666666666606</v>
      </c>
      <c r="J2119" s="95">
        <f t="shared" si="98"/>
        <v>934.9999999999992</v>
      </c>
      <c r="K2119" s="93">
        <f>IFERROR(VLOOKUP(E2119,'Inventaire des produits'!$B$4:$J$1000,5,FALSE),"")</f>
        <v>0</v>
      </c>
      <c r="L2119" s="301">
        <f>IFERROR(VLOOKUP(E2119,'Inventaire des produits'!$B$4:$J$1000,6,FALSE),"")</f>
        <v>0.30833333330000001</v>
      </c>
      <c r="M2119" s="62"/>
    </row>
    <row r="2120" spans="2:13" x14ac:dyDescent="0.3">
      <c r="B2120" s="378" t="s">
        <v>1704</v>
      </c>
      <c r="C2120" s="341"/>
      <c r="D2120" s="338"/>
      <c r="E2120" s="234" t="s">
        <v>1128</v>
      </c>
      <c r="F2120" s="274" t="str">
        <f>IFERROR(VLOOKUP(E2120,'Inventaire des produits'!$B$4:$K$1000,2,0),"")</f>
        <v xml:space="preserve">ESSUIE MAIN 1KG </v>
      </c>
      <c r="G2120" s="54">
        <v>30</v>
      </c>
      <c r="H2120" s="60">
        <v>28.5</v>
      </c>
      <c r="I2120" s="275">
        <f t="shared" si="97"/>
        <v>855</v>
      </c>
      <c r="J2120" s="95">
        <f t="shared" si="98"/>
        <v>1026</v>
      </c>
      <c r="K2120" s="93">
        <f>IFERROR(VLOOKUP(E2120,'Inventaire des produits'!$B$4:$J$1000,5,FALSE),"")</f>
        <v>375</v>
      </c>
      <c r="L2120" s="301">
        <f>IFERROR(VLOOKUP(E2120,'Inventaire des produits'!$B$4:$J$1000,6,FALSE),"")</f>
        <v>21.667000000000002</v>
      </c>
      <c r="M2120" s="62"/>
    </row>
    <row r="2121" spans="2:13" x14ac:dyDescent="0.3">
      <c r="B2121" s="378" t="s">
        <v>1704</v>
      </c>
      <c r="C2121" s="341"/>
      <c r="D2121" s="338"/>
      <c r="E2121" s="234" t="s">
        <v>856</v>
      </c>
      <c r="F2121" s="274" t="str">
        <f>IFERROR(VLOOKUP(E2121,'Inventaire des produits'!$B$4:$K$1000,2,0),"")</f>
        <v>BOL SOUP/NOUILLE BLANC ET CVL</v>
      </c>
      <c r="G2121" s="54">
        <v>1000</v>
      </c>
      <c r="H2121" s="60">
        <v>0.91700000000000004</v>
      </c>
      <c r="I2121" s="275">
        <f t="shared" si="97"/>
        <v>917</v>
      </c>
      <c r="J2121" s="95">
        <f t="shared" si="98"/>
        <v>1100.3999999999999</v>
      </c>
      <c r="K2121" s="93">
        <f>IFERROR(VLOOKUP(E2121,'Inventaire des produits'!$B$4:$J$1000,5,FALSE),"")</f>
        <v>0</v>
      </c>
      <c r="L2121" s="301">
        <f>IFERROR(VLOOKUP(E2121,'Inventaire des produits'!$B$4:$J$1000,6,FALSE),"")</f>
        <v>0.79166666669999997</v>
      </c>
      <c r="M2121" s="62"/>
    </row>
    <row r="2122" spans="2:13" x14ac:dyDescent="0.3">
      <c r="B2122" s="378" t="s">
        <v>1704</v>
      </c>
      <c r="C2122" s="341"/>
      <c r="D2122" s="338"/>
      <c r="E2122" s="234" t="s">
        <v>662</v>
      </c>
      <c r="F2122" s="274" t="str">
        <f>IFERROR(VLOOKUP(E2122,'Inventaire des produits'!$B$4:$K$1000,2,0),"")</f>
        <v>BARQUETTE MICRON ONDABLE 1 COMP AVEC CVL</v>
      </c>
      <c r="G2122" s="54">
        <v>900</v>
      </c>
      <c r="H2122" s="60">
        <v>2.1482999999999999</v>
      </c>
      <c r="I2122" s="275">
        <f t="shared" si="97"/>
        <v>1933.4699999999998</v>
      </c>
      <c r="J2122" s="95">
        <f t="shared" si="98"/>
        <v>2320.1639999999998</v>
      </c>
      <c r="K2122" s="93">
        <f>IFERROR(VLOOKUP(E2122,'Inventaire des produits'!$B$4:$J$1000,5,FALSE),"")</f>
        <v>0</v>
      </c>
      <c r="L2122" s="301">
        <f>IFERROR(VLOOKUP(E2122,'Inventaire des produits'!$B$4:$J$1000,6,FALSE),"")</f>
        <v>1.6166666667</v>
      </c>
      <c r="M2122" s="62"/>
    </row>
    <row r="2123" spans="2:13" x14ac:dyDescent="0.3">
      <c r="B2123" s="378" t="s">
        <v>1704</v>
      </c>
      <c r="C2123" s="342"/>
      <c r="D2123" s="339"/>
      <c r="E2123" s="234" t="s">
        <v>741</v>
      </c>
      <c r="F2123" s="274" t="str">
        <f>IFERROR(VLOOKUP(E2123,'Inventaire des produits'!$B$4:$K$1000,2,0),"")</f>
        <v>POT DESSERT 8OZ</v>
      </c>
      <c r="G2123" s="54">
        <v>2000</v>
      </c>
      <c r="H2123" s="60">
        <v>0.51400000000000001</v>
      </c>
      <c r="I2123" s="275">
        <f t="shared" si="97"/>
        <v>1028</v>
      </c>
      <c r="J2123" s="95">
        <f t="shared" si="98"/>
        <v>1233.5999999999999</v>
      </c>
      <c r="K2123" s="93">
        <f>IFERROR(VLOOKUP(E2123,'Inventaire des produits'!$B$4:$J$1000,5,FALSE),"")</f>
        <v>0</v>
      </c>
      <c r="L2123" s="301">
        <f>IFERROR(VLOOKUP(E2123,'Inventaire des produits'!$B$4:$J$1000,6,FALSE),"")</f>
        <v>0.33333333329999998</v>
      </c>
      <c r="M2123" s="62"/>
    </row>
    <row r="2124" spans="2:13" x14ac:dyDescent="0.3">
      <c r="B2124" s="378" t="s">
        <v>1704</v>
      </c>
      <c r="C2124" s="340">
        <v>45624</v>
      </c>
      <c r="D2124" s="337" t="s">
        <v>1668</v>
      </c>
      <c r="E2124" s="234" t="s">
        <v>1194</v>
      </c>
      <c r="F2124" s="274" t="str">
        <f>IFERROR(VLOOKUP(E2124,'Inventaire des produits'!$B$4:$K$1000,2,0),"")</f>
        <v>POT DE SAUCE 2OZ EN PLASTIQUE</v>
      </c>
      <c r="G2124" s="54">
        <v>1000</v>
      </c>
      <c r="H2124" s="60">
        <v>0.28000000000000003</v>
      </c>
      <c r="I2124" s="275">
        <f t="shared" si="97"/>
        <v>280</v>
      </c>
      <c r="J2124" s="95">
        <f t="shared" si="98"/>
        <v>336</v>
      </c>
      <c r="K2124" s="93">
        <f>IFERROR(VLOOKUP(E2124,'Inventaire des produits'!$B$4:$J$1000,5,FALSE),"")</f>
        <v>0</v>
      </c>
      <c r="L2124" s="301">
        <f>IFERROR(VLOOKUP(E2124,'Inventaire des produits'!$B$4:$J$1000,6,FALSE),"")</f>
        <v>0.28999999999999998</v>
      </c>
      <c r="M2124" s="62">
        <f>SUM(J2124:J2128)</f>
        <v>6300</v>
      </c>
    </row>
    <row r="2125" spans="2:13" x14ac:dyDescent="0.3">
      <c r="B2125" s="378" t="s">
        <v>1704</v>
      </c>
      <c r="C2125" s="341"/>
      <c r="D2125" s="338"/>
      <c r="E2125" s="234" t="s">
        <v>929</v>
      </c>
      <c r="F2125" s="274" t="str">
        <f>IFERROR(VLOOKUP(E2125,'Inventaire des produits'!$B$4:$K$1000,2,0),"")</f>
        <v xml:space="preserve">SERVIETTE DE TABLE </v>
      </c>
      <c r="G2125" s="54">
        <v>80</v>
      </c>
      <c r="H2125" s="60">
        <v>3.7</v>
      </c>
      <c r="I2125" s="275">
        <f t="shared" si="97"/>
        <v>296</v>
      </c>
      <c r="J2125" s="95">
        <f t="shared" si="98"/>
        <v>355.2</v>
      </c>
      <c r="K2125" s="93">
        <f>IFERROR(VLOOKUP(E2125,'Inventaire des produits'!$B$4:$J$1000,5,FALSE),"")</f>
        <v>0</v>
      </c>
      <c r="L2125" s="301">
        <f>IFERROR(VLOOKUP(E2125,'Inventaire des produits'!$B$4:$J$1000,6,FALSE),"")</f>
        <v>2.9169999999999998</v>
      </c>
      <c r="M2125" s="62"/>
    </row>
    <row r="2126" spans="2:13" x14ac:dyDescent="0.3">
      <c r="B2126" s="378" t="s">
        <v>1704</v>
      </c>
      <c r="C2126" s="341"/>
      <c r="D2126" s="338"/>
      <c r="E2126" s="234" t="s">
        <v>1207</v>
      </c>
      <c r="F2126" s="274" t="str">
        <f>IFERROR(VLOOKUP(E2126,'Inventaire des produits'!$B$4:$K$1000,2,0),"")</f>
        <v>BOX NOUILLE ET PATE 32OZ BLANC</v>
      </c>
      <c r="G2126" s="54">
        <v>1000</v>
      </c>
      <c r="H2126" s="60">
        <v>2.27</v>
      </c>
      <c r="I2126" s="275">
        <f t="shared" si="97"/>
        <v>2270</v>
      </c>
      <c r="J2126" s="95">
        <f t="shared" si="98"/>
        <v>2724</v>
      </c>
      <c r="K2126" s="93">
        <f>IFERROR(VLOOKUP(E2126,'Inventaire des produits'!$B$4:$J$1000,5,FALSE),"")</f>
        <v>0</v>
      </c>
      <c r="L2126" s="301">
        <f>IFERROR(VLOOKUP(E2126,'Inventaire des produits'!$B$4:$J$1000,6,FALSE),"")</f>
        <v>1.0833333333333335</v>
      </c>
      <c r="M2126" s="62"/>
    </row>
    <row r="2127" spans="2:13" x14ac:dyDescent="0.3">
      <c r="B2127" s="378" t="s">
        <v>1704</v>
      </c>
      <c r="C2127" s="341"/>
      <c r="D2127" s="338"/>
      <c r="E2127" s="234" t="s">
        <v>1404</v>
      </c>
      <c r="F2127" s="274" t="str">
        <f>IFERROR(VLOOKUP(E2127,'Inventaire des produits'!$B$4:$K$1000,2,0),"")</f>
        <v>BOL SALADE ET CVL BLANC 38OZ</v>
      </c>
      <c r="G2127" s="54">
        <v>500</v>
      </c>
      <c r="H2127" s="60">
        <v>2.6480000000000001</v>
      </c>
      <c r="I2127" s="275">
        <f t="shared" si="97"/>
        <v>1324</v>
      </c>
      <c r="J2127" s="95">
        <f t="shared" si="98"/>
        <v>1588.8</v>
      </c>
      <c r="K2127" s="93">
        <f>IFERROR(VLOOKUP(E2127,'Inventaire des produits'!$B$4:$J$1000,5,FALSE),"")</f>
        <v>400</v>
      </c>
      <c r="L2127" s="301">
        <f>IFERROR(VLOOKUP(E2127,'Inventaire des produits'!$B$4:$J$1000,6,FALSE),"")</f>
        <v>1.8333333333333333</v>
      </c>
      <c r="M2127" s="62"/>
    </row>
    <row r="2128" spans="2:13" x14ac:dyDescent="0.3">
      <c r="B2128" s="378" t="s">
        <v>1704</v>
      </c>
      <c r="C2128" s="342"/>
      <c r="D2128" s="339"/>
      <c r="E2128" s="234" t="s">
        <v>1386</v>
      </c>
      <c r="F2128" s="274" t="str">
        <f>IFERROR(VLOOKUP(E2128,'Inventaire des produits'!$B$4:$K$1000,2,0),"")</f>
        <v>SET COUVERT 4PCS</v>
      </c>
      <c r="G2128" s="54">
        <v>1200</v>
      </c>
      <c r="H2128" s="60">
        <v>0.9</v>
      </c>
      <c r="I2128" s="275">
        <f t="shared" si="97"/>
        <v>1080</v>
      </c>
      <c r="J2128" s="95">
        <f t="shared" si="98"/>
        <v>1296</v>
      </c>
      <c r="K2128" s="93">
        <f>IFERROR(VLOOKUP(E2128,'Inventaire des produits'!$B$4:$J$1000,5,FALSE),"")</f>
        <v>3800</v>
      </c>
      <c r="L2128" s="301">
        <f>IFERROR(VLOOKUP(E2128,'Inventaire des produits'!$B$4:$J$1000,6,FALSE),"")</f>
        <v>0.65</v>
      </c>
      <c r="M2128" s="62"/>
    </row>
    <row r="2129" spans="2:13" x14ac:dyDescent="0.3">
      <c r="B2129" s="378" t="s">
        <v>1704</v>
      </c>
      <c r="C2129" s="340">
        <v>45625</v>
      </c>
      <c r="D2129" s="337" t="s">
        <v>1672</v>
      </c>
      <c r="E2129" s="234" t="s">
        <v>1303</v>
      </c>
      <c r="F2129" s="274" t="str">
        <f>IFERROR(VLOOKUP(E2129,'Inventaire des produits'!$B$4:$K$1000,2,0),"")</f>
        <v>BARQUETTE ALUMINIUM 83670</v>
      </c>
      <c r="G2129" s="54">
        <v>1000</v>
      </c>
      <c r="H2129" s="60">
        <v>0.75051999999999996</v>
      </c>
      <c r="I2129" s="275">
        <f t="shared" si="97"/>
        <v>750.52</v>
      </c>
      <c r="J2129" s="95">
        <f t="shared" si="98"/>
        <v>900.62399999999991</v>
      </c>
      <c r="K2129" s="93">
        <f>IFERROR(VLOOKUP(E2129,'Inventaire des produits'!$B$4:$J$1000,5,FALSE),"")</f>
        <v>200</v>
      </c>
      <c r="L2129" s="301">
        <f>IFERROR(VLOOKUP(E2129,'Inventaire des produits'!$B$4:$J$1000,6,FALSE),"")</f>
        <v>0.51666666666666672</v>
      </c>
      <c r="M2129" s="62">
        <f>SUM(J2129:J2134)</f>
        <v>5499.9960000000001</v>
      </c>
    </row>
    <row r="2130" spans="2:13" x14ac:dyDescent="0.3">
      <c r="B2130" s="378" t="s">
        <v>1704</v>
      </c>
      <c r="C2130" s="341"/>
      <c r="D2130" s="338"/>
      <c r="E2130" s="234" t="s">
        <v>1056</v>
      </c>
      <c r="F2130" s="274" t="str">
        <f>IFERROR(VLOOKUP(E2130,'Inventaire des produits'!$B$4:$K$1000,2,0),"")</f>
        <v>SAC PN BLANC NI 30*40*10</v>
      </c>
      <c r="G2130" s="54">
        <v>1000</v>
      </c>
      <c r="H2130" s="60">
        <v>0.50800000000000001</v>
      </c>
      <c r="I2130" s="275">
        <f t="shared" si="97"/>
        <v>508</v>
      </c>
      <c r="J2130" s="95">
        <f t="shared" si="98"/>
        <v>609.6</v>
      </c>
      <c r="K2130" s="93">
        <f>IFERROR(VLOOKUP(E2130,'Inventaire des produits'!$B$4:$J$1000,5,FALSE),"")</f>
        <v>27400</v>
      </c>
      <c r="L2130" s="301">
        <f>IFERROR(VLOOKUP(E2130,'Inventaire des produits'!$B$4:$J$1000,6,FALSE),"")</f>
        <v>0.33334000000000003</v>
      </c>
      <c r="M2130" s="62"/>
    </row>
    <row r="2131" spans="2:13" x14ac:dyDescent="0.3">
      <c r="B2131" s="378" t="s">
        <v>1704</v>
      </c>
      <c r="C2131" s="341"/>
      <c r="D2131" s="338"/>
      <c r="E2131" s="234" t="s">
        <v>1316</v>
      </c>
      <c r="F2131" s="274" t="str">
        <f>IFERROR(VLOOKUP(E2131,'Inventaire des produits'!$B$4:$K$1000,2,0),"")</f>
        <v>SAC PN BLANCE 40*45</v>
      </c>
      <c r="G2131" s="54">
        <v>1000</v>
      </c>
      <c r="H2131" s="60">
        <v>0.58499999999999996</v>
      </c>
      <c r="I2131" s="275">
        <f t="shared" si="97"/>
        <v>585</v>
      </c>
      <c r="J2131" s="95">
        <f t="shared" si="98"/>
        <v>702</v>
      </c>
      <c r="K2131" s="93">
        <f>IFERROR(VLOOKUP(E2131,'Inventaire des produits'!$B$4:$J$1000,5,FALSE),"")</f>
        <v>5400</v>
      </c>
      <c r="L2131" s="301">
        <f>IFERROR(VLOOKUP(E2131,'Inventaire des produits'!$B$4:$J$1000,6,FALSE),"")</f>
        <v>0.41665999999999997</v>
      </c>
      <c r="M2131" s="62"/>
    </row>
    <row r="2132" spans="2:13" x14ac:dyDescent="0.3">
      <c r="B2132" s="378" t="s">
        <v>1704</v>
      </c>
      <c r="C2132" s="341"/>
      <c r="D2132" s="338"/>
      <c r="E2132" s="234" t="s">
        <v>979</v>
      </c>
      <c r="F2132" s="274" t="str">
        <f>IFERROR(VLOOKUP(E2132,'Inventaire des produits'!$B$4:$K$1000,2,0),"")</f>
        <v>ROULEAU ALUMINIUM 200</v>
      </c>
      <c r="G2132" s="54">
        <v>20</v>
      </c>
      <c r="H2132" s="60">
        <v>66.670500000000004</v>
      </c>
      <c r="I2132" s="275">
        <f t="shared" si="97"/>
        <v>1333.41</v>
      </c>
      <c r="J2132" s="95">
        <f t="shared" si="98"/>
        <v>1600.0920000000001</v>
      </c>
      <c r="K2132" s="93">
        <f>IFERROR(VLOOKUP(E2132,'Inventaire des produits'!$B$4:$J$1000,5,FALSE),"")</f>
        <v>44</v>
      </c>
      <c r="L2132" s="301">
        <f>IFERROR(VLOOKUP(E2132,'Inventaire des produits'!$B$4:$J$1000,6,FALSE),"")</f>
        <v>48.23</v>
      </c>
      <c r="M2132" s="62"/>
    </row>
    <row r="2133" spans="2:13" x14ac:dyDescent="0.3">
      <c r="B2133" s="378" t="s">
        <v>1704</v>
      </c>
      <c r="C2133" s="341"/>
      <c r="D2133" s="338"/>
      <c r="E2133" s="234" t="s">
        <v>779</v>
      </c>
      <c r="F2133" s="274" t="str">
        <f>IFERROR(VLOOKUP(E2133,'Inventaire des produits'!$B$4:$K$1000,2,0),"")</f>
        <v>BARQUETTE ALUMINIUM 83420</v>
      </c>
      <c r="G2133" s="54">
        <v>1200</v>
      </c>
      <c r="H2133" s="60">
        <v>0.45950000000000002</v>
      </c>
      <c r="I2133" s="275">
        <f t="shared" si="97"/>
        <v>551.4</v>
      </c>
      <c r="J2133" s="95">
        <f t="shared" si="98"/>
        <v>661.68</v>
      </c>
      <c r="K2133" s="93">
        <f>IFERROR(VLOOKUP(E2133,'Inventaire des produits'!$B$4:$J$1000,5,FALSE),"")</f>
        <v>0</v>
      </c>
      <c r="L2133" s="301">
        <f>IFERROR(VLOOKUP(E2133,'Inventaire des produits'!$B$4:$J$1000,6,FALSE),"")</f>
        <v>0.30833333330000001</v>
      </c>
      <c r="M2133" s="62"/>
    </row>
    <row r="2134" spans="2:13" x14ac:dyDescent="0.3">
      <c r="B2134" s="378" t="s">
        <v>1704</v>
      </c>
      <c r="C2134" s="342"/>
      <c r="D2134" s="339"/>
      <c r="E2134" s="234" t="s">
        <v>1128</v>
      </c>
      <c r="F2134" s="274" t="str">
        <f>IFERROR(VLOOKUP(E2134,'Inventaire des produits'!$B$4:$K$1000,2,0),"")</f>
        <v xml:space="preserve">ESSUIE MAIN 1KG </v>
      </c>
      <c r="G2134" s="54">
        <v>30</v>
      </c>
      <c r="H2134" s="60">
        <v>28.5</v>
      </c>
      <c r="I2134" s="275">
        <f t="shared" si="97"/>
        <v>855</v>
      </c>
      <c r="J2134" s="95">
        <f t="shared" si="98"/>
        <v>1026</v>
      </c>
      <c r="K2134" s="93">
        <f>IFERROR(VLOOKUP(E2134,'Inventaire des produits'!$B$4:$J$1000,5,FALSE),"")</f>
        <v>375</v>
      </c>
      <c r="L2134" s="301">
        <f>IFERROR(VLOOKUP(E2134,'Inventaire des produits'!$B$4:$J$1000,6,FALSE),"")</f>
        <v>21.667000000000002</v>
      </c>
      <c r="M2134" s="62"/>
    </row>
    <row r="2135" spans="2:13" x14ac:dyDescent="0.3">
      <c r="B2135" s="378" t="s">
        <v>1704</v>
      </c>
      <c r="C2135" s="340">
        <v>45626</v>
      </c>
      <c r="D2135" s="337" t="s">
        <v>1673</v>
      </c>
      <c r="E2135" s="234" t="s">
        <v>869</v>
      </c>
      <c r="F2135" s="274" t="str">
        <f>IFERROR(VLOOKUP(E2135,'Inventaire des produits'!$B$4:$K$1000,2,0),"")</f>
        <v>PAILLE ENVELOPPEE CODE 100 TRANS</v>
      </c>
      <c r="G2135" s="54">
        <v>28</v>
      </c>
      <c r="H2135" s="60">
        <v>6.6666666666666696</v>
      </c>
      <c r="I2135" s="275">
        <f t="shared" si="97"/>
        <v>186.66666666666674</v>
      </c>
      <c r="J2135" s="95">
        <f t="shared" si="98"/>
        <v>224.00000000000009</v>
      </c>
      <c r="K2135" s="93">
        <f>IFERROR(VLOOKUP(E2135,'Inventaire des produits'!$B$4:$J$1000,5,FALSE),"")</f>
        <v>898</v>
      </c>
      <c r="L2135" s="301">
        <f>IFERROR(VLOOKUP(E2135,'Inventaire des produits'!$B$4:$J$1000,6,FALSE),"")</f>
        <v>3.9166666659999998</v>
      </c>
      <c r="M2135" s="62">
        <f>SUM(J2135:J2145)</f>
        <v>9699.996799999999</v>
      </c>
    </row>
    <row r="2136" spans="2:13" x14ac:dyDescent="0.3">
      <c r="B2136" s="378" t="s">
        <v>1704</v>
      </c>
      <c r="C2136" s="341"/>
      <c r="D2136" s="338"/>
      <c r="E2136" s="234" t="s">
        <v>1149</v>
      </c>
      <c r="F2136" s="274" t="str">
        <f>IFERROR(VLOOKUP(E2136,'Inventaire des produits'!$B$4:$K$1000,2,0),"")</f>
        <v>ROULEAU DE CAISSE THERMIQUE 80X80</v>
      </c>
      <c r="G2136" s="54">
        <v>20</v>
      </c>
      <c r="H2136" s="60">
        <v>8.3333333333333304</v>
      </c>
      <c r="I2136" s="275">
        <f t="shared" si="97"/>
        <v>166.6666666666666</v>
      </c>
      <c r="J2136" s="95">
        <f t="shared" si="98"/>
        <v>199.99999999999991</v>
      </c>
      <c r="K2136" s="93">
        <f>IFERROR(VLOOKUP(E2136,'Inventaire des produits'!$B$4:$J$1000,5,FALSE),"")</f>
        <v>253</v>
      </c>
      <c r="L2136" s="301">
        <f>IFERROR(VLOOKUP(E2136,'Inventaire des produits'!$B$4:$J$1000,6,FALSE),"")</f>
        <v>7.5</v>
      </c>
      <c r="M2136" s="62"/>
    </row>
    <row r="2137" spans="2:13" x14ac:dyDescent="0.3">
      <c r="B2137" s="378" t="s">
        <v>1704</v>
      </c>
      <c r="C2137" s="341"/>
      <c r="D2137" s="338"/>
      <c r="E2137" s="234" t="s">
        <v>1128</v>
      </c>
      <c r="F2137" s="274" t="str">
        <f>IFERROR(VLOOKUP(E2137,'Inventaire des produits'!$B$4:$K$1000,2,0),"")</f>
        <v xml:space="preserve">ESSUIE MAIN 1KG </v>
      </c>
      <c r="G2137" s="54">
        <v>36</v>
      </c>
      <c r="H2137" s="60">
        <v>27.5</v>
      </c>
      <c r="I2137" s="275">
        <f t="shared" si="97"/>
        <v>990</v>
      </c>
      <c r="J2137" s="95">
        <f t="shared" si="98"/>
        <v>1188</v>
      </c>
      <c r="K2137" s="93">
        <f>IFERROR(VLOOKUP(E2137,'Inventaire des produits'!$B$4:$J$1000,5,FALSE),"")</f>
        <v>375</v>
      </c>
      <c r="L2137" s="301">
        <f>IFERROR(VLOOKUP(E2137,'Inventaire des produits'!$B$4:$J$1000,6,FALSE),"")</f>
        <v>21.667000000000002</v>
      </c>
      <c r="M2137" s="62"/>
    </row>
    <row r="2138" spans="2:13" x14ac:dyDescent="0.3">
      <c r="B2138" s="378" t="s">
        <v>1704</v>
      </c>
      <c r="C2138" s="341"/>
      <c r="D2138" s="338"/>
      <c r="E2138" s="234" t="s">
        <v>1378</v>
      </c>
      <c r="F2138" s="274" t="str">
        <f>IFERROR(VLOOKUP(E2138,'Inventaire des produits'!$B$4:$K$1000,2,0),"")</f>
        <v>SERVIETTE SEVAN</v>
      </c>
      <c r="G2138" s="54">
        <v>160</v>
      </c>
      <c r="H2138" s="60">
        <v>3.9</v>
      </c>
      <c r="I2138" s="275">
        <f t="shared" si="97"/>
        <v>624</v>
      </c>
      <c r="J2138" s="95">
        <f t="shared" si="98"/>
        <v>748.8</v>
      </c>
      <c r="K2138" s="93">
        <f>IFERROR(VLOOKUP(E2138,'Inventaire des produits'!$B$4:$J$1000,5,FALSE),"")</f>
        <v>1840</v>
      </c>
      <c r="L2138" s="301">
        <f>IFERROR(VLOOKUP(E2138,'Inventaire des produits'!$B$4:$J$1000,6,FALSE),"")</f>
        <v>2.9166666666666599</v>
      </c>
      <c r="M2138" s="62"/>
    </row>
    <row r="2139" spans="2:13" x14ac:dyDescent="0.3">
      <c r="B2139" s="378" t="s">
        <v>1704</v>
      </c>
      <c r="C2139" s="341"/>
      <c r="D2139" s="338"/>
      <c r="E2139" s="234" t="s">
        <v>979</v>
      </c>
      <c r="F2139" s="274" t="str">
        <f>IFERROR(VLOOKUP(E2139,'Inventaire des produits'!$B$4:$K$1000,2,0),"")</f>
        <v>ROULEAU ALUMINIUM 200</v>
      </c>
      <c r="G2139" s="54">
        <v>13</v>
      </c>
      <c r="H2139" s="60">
        <v>73.3333333333333</v>
      </c>
      <c r="I2139" s="275">
        <f t="shared" si="97"/>
        <v>953.33333333333292</v>
      </c>
      <c r="J2139" s="95">
        <f t="shared" si="98"/>
        <v>1143.9999999999995</v>
      </c>
      <c r="K2139" s="93">
        <f>IFERROR(VLOOKUP(E2139,'Inventaire des produits'!$B$4:$J$1000,5,FALSE),"")</f>
        <v>44</v>
      </c>
      <c r="L2139" s="301">
        <f>IFERROR(VLOOKUP(E2139,'Inventaire des produits'!$B$4:$J$1000,6,FALSE),"")</f>
        <v>48.23</v>
      </c>
      <c r="M2139" s="62"/>
    </row>
    <row r="2140" spans="2:13" x14ac:dyDescent="0.3">
      <c r="B2140" s="378" t="s">
        <v>1704</v>
      </c>
      <c r="C2140" s="341"/>
      <c r="D2140" s="338"/>
      <c r="E2140" s="234" t="s">
        <v>918</v>
      </c>
      <c r="F2140" s="274" t="str">
        <f>IFERROR(VLOOKUP(E2140,'Inventaire des produits'!$B$4:$K$1000,2,0),"")</f>
        <v>FILM ETIRABLE VIOLET 290mm kg</v>
      </c>
      <c r="G2140" s="54">
        <v>35</v>
      </c>
      <c r="H2140" s="60">
        <v>29.5</v>
      </c>
      <c r="I2140" s="275">
        <f t="shared" si="97"/>
        <v>1032.5</v>
      </c>
      <c r="J2140" s="95">
        <f t="shared" si="98"/>
        <v>1239</v>
      </c>
      <c r="K2140" s="93">
        <f>IFERROR(VLOOKUP(E2140,'Inventaire des produits'!$B$4:$J$1000,5,FALSE),"")</f>
        <v>124.32999999999998</v>
      </c>
      <c r="L2140" s="301">
        <f>IFERROR(VLOOKUP(E2140,'Inventaire des produits'!$B$4:$J$1000,6,FALSE),"")</f>
        <v>25</v>
      </c>
      <c r="M2140" s="62"/>
    </row>
    <row r="2141" spans="2:13" x14ac:dyDescent="0.3">
      <c r="B2141" s="378" t="s">
        <v>1704</v>
      </c>
      <c r="C2141" s="341"/>
      <c r="D2141" s="338"/>
      <c r="E2141" s="234" t="s">
        <v>1303</v>
      </c>
      <c r="F2141" s="274" t="str">
        <f>IFERROR(VLOOKUP(E2141,'Inventaire des produits'!$B$4:$K$1000,2,0),"")</f>
        <v>BARQUETTE ALUMINIUM 83670</v>
      </c>
      <c r="G2141" s="54">
        <v>1300</v>
      </c>
      <c r="H2141" s="60">
        <v>0.66666666666666696</v>
      </c>
      <c r="I2141" s="275">
        <f t="shared" si="97"/>
        <v>866.66666666666708</v>
      </c>
      <c r="J2141" s="95">
        <f t="shared" si="98"/>
        <v>1040.0000000000005</v>
      </c>
      <c r="K2141" s="93">
        <f>IFERROR(VLOOKUP(E2141,'Inventaire des produits'!$B$4:$J$1000,5,FALSE),"")</f>
        <v>200</v>
      </c>
      <c r="L2141" s="301">
        <f>IFERROR(VLOOKUP(E2141,'Inventaire des produits'!$B$4:$J$1000,6,FALSE),"")</f>
        <v>0.51666666666666672</v>
      </c>
      <c r="M2141" s="62"/>
    </row>
    <row r="2142" spans="2:13" x14ac:dyDescent="0.3">
      <c r="B2142" s="378" t="s">
        <v>1704</v>
      </c>
      <c r="C2142" s="341"/>
      <c r="D2142" s="338"/>
      <c r="E2142" s="234" t="s">
        <v>990</v>
      </c>
      <c r="F2142" s="274" t="str">
        <f>IFERROR(VLOOKUP(E2142,'Inventaire des produits'!$B$4:$K$1000,2,0),"")</f>
        <v>BARQUETTE ALUMINIUM 420</v>
      </c>
      <c r="G2142" s="54">
        <v>1400</v>
      </c>
      <c r="H2142" s="60">
        <v>0.41666666666666702</v>
      </c>
      <c r="I2142" s="275">
        <f t="shared" si="97"/>
        <v>583.33333333333383</v>
      </c>
      <c r="J2142" s="95">
        <f t="shared" si="98"/>
        <v>700.00000000000057</v>
      </c>
      <c r="K2142" s="93">
        <f>IFERROR(VLOOKUP(E2142,'Inventaire des produits'!$B$4:$J$1000,5,FALSE),"")</f>
        <v>14600</v>
      </c>
      <c r="L2142" s="301">
        <f>IFERROR(VLOOKUP(E2142,'Inventaire des produits'!$B$4:$J$1000,6,FALSE),"")</f>
        <v>0.3</v>
      </c>
      <c r="M2142" s="62"/>
    </row>
    <row r="2143" spans="2:13" x14ac:dyDescent="0.3">
      <c r="B2143" s="378" t="s">
        <v>1704</v>
      </c>
      <c r="C2143" s="341"/>
      <c r="D2143" s="338"/>
      <c r="E2143" s="234" t="s">
        <v>1217</v>
      </c>
      <c r="F2143" s="274" t="str">
        <f>IFERROR(VLOOKUP(E2143,'Inventaire des produits'!$B$4:$K$1000,2,0),"")</f>
        <v>BARQUETTE TRAITEUR 750CC MICRON ONDABLE TRANS</v>
      </c>
      <c r="G2143" s="54">
        <v>900</v>
      </c>
      <c r="H2143" s="60">
        <v>1.5855999999999999</v>
      </c>
      <c r="I2143" s="275">
        <f t="shared" si="97"/>
        <v>1427.04</v>
      </c>
      <c r="J2143" s="95">
        <f t="shared" si="98"/>
        <v>1712.4479999999999</v>
      </c>
      <c r="K2143" s="93">
        <f>IFERROR(VLOOKUP(E2143,'Inventaire des produits'!$B$4:$J$1000,5,FALSE),"")</f>
        <v>1550</v>
      </c>
      <c r="L2143" s="301">
        <f>IFERROR(VLOOKUP(E2143,'Inventaire des produits'!$B$4:$J$1000,6,FALSE),"")</f>
        <v>1.0694444444444446</v>
      </c>
      <c r="M2143" s="62"/>
    </row>
    <row r="2144" spans="2:13" x14ac:dyDescent="0.3">
      <c r="B2144" s="378" t="s">
        <v>1704</v>
      </c>
      <c r="C2144" s="341"/>
      <c r="D2144" s="338"/>
      <c r="E2144" s="234" t="s">
        <v>1289</v>
      </c>
      <c r="F2144" s="274" t="str">
        <f>IFERROR(VLOOKUP(E2144,'Inventaire des produits'!$B$4:$K$1000,2,0),"")</f>
        <v>FOURCHETTE LUXE TRANSPARENTE/100</v>
      </c>
      <c r="G2144" s="54">
        <v>14</v>
      </c>
      <c r="H2144" s="60">
        <v>21.666</v>
      </c>
      <c r="I2144" s="275">
        <f t="shared" si="97"/>
        <v>303.32400000000001</v>
      </c>
      <c r="J2144" s="95">
        <f t="shared" si="98"/>
        <v>363.98880000000003</v>
      </c>
      <c r="K2144" s="93">
        <f>IFERROR(VLOOKUP(E2144,'Inventaire des produits'!$B$4:$J$1000,5,FALSE),"")</f>
        <v>21</v>
      </c>
      <c r="L2144" s="301">
        <f>IFERROR(VLOOKUP(E2144,'Inventaire des produits'!$B$4:$J$1000,6,FALSE),"")</f>
        <v>22</v>
      </c>
      <c r="M2144" s="62"/>
    </row>
    <row r="2145" spans="2:13" x14ac:dyDescent="0.3">
      <c r="B2145" s="378" t="s">
        <v>1704</v>
      </c>
      <c r="C2145" s="342"/>
      <c r="D2145" s="339"/>
      <c r="E2145" s="234" t="s">
        <v>982</v>
      </c>
      <c r="F2145" s="274" t="str">
        <f>IFERROR(VLOOKUP(E2145,'Inventaire des produits'!$B$4:$K$1000,2,0),"")</f>
        <v>GANT VINYL NOIR EXTRA PREMIUM GLOVE MEDIUM</v>
      </c>
      <c r="G2145" s="54">
        <v>30</v>
      </c>
      <c r="H2145" s="60">
        <v>31.66</v>
      </c>
      <c r="I2145" s="275">
        <f t="shared" si="97"/>
        <v>949.8</v>
      </c>
      <c r="J2145" s="95">
        <f t="shared" si="98"/>
        <v>1139.76</v>
      </c>
      <c r="K2145" s="93">
        <f>IFERROR(VLOOKUP(E2145,'Inventaire des produits'!$B$4:$J$1000,5,FALSE),"")</f>
        <v>120</v>
      </c>
      <c r="L2145" s="301">
        <f>IFERROR(VLOOKUP(E2145,'Inventaire des produits'!$B$4:$J$1000,6,FALSE),"")</f>
        <v>22.5</v>
      </c>
      <c r="M2145" s="62"/>
    </row>
    <row r="2146" spans="2:13" x14ac:dyDescent="0.3">
      <c r="B2146" s="378" t="s">
        <v>1704</v>
      </c>
      <c r="C2146" s="55">
        <v>45626</v>
      </c>
      <c r="D2146" s="54" t="s">
        <v>1674</v>
      </c>
      <c r="E2146" s="234"/>
      <c r="F2146" s="274" t="str">
        <f>IFERROR(VLOOKUP(E2146,'Inventaire des produits'!$B$4:$K$1000,2,0),"")</f>
        <v/>
      </c>
      <c r="G2146" s="54"/>
      <c r="H2146" s="60"/>
      <c r="I2146" s="275" t="str">
        <f t="shared" si="97"/>
        <v/>
      </c>
      <c r="J2146" s="95" t="str">
        <f t="shared" si="98"/>
        <v/>
      </c>
      <c r="K2146" s="93" t="str">
        <f>IFERROR(VLOOKUP(E2146,'Inventaire des produits'!$B$4:$J$1000,5,FALSE),"")</f>
        <v/>
      </c>
      <c r="L2146" s="301" t="str">
        <f>IFERROR(VLOOKUP(E2146,'Inventaire des produits'!$B$4:$J$1000,6,FALSE),"")</f>
        <v/>
      </c>
      <c r="M2146" s="62"/>
    </row>
    <row r="2147" spans="2:13" x14ac:dyDescent="0.3">
      <c r="B2147" s="378" t="s">
        <v>1704</v>
      </c>
      <c r="C2147" s="340">
        <v>45628</v>
      </c>
      <c r="D2147" s="337" t="s">
        <v>1675</v>
      </c>
      <c r="E2147" s="234" t="s">
        <v>1465</v>
      </c>
      <c r="F2147" s="274" t="str">
        <f>IFERROR(VLOOKUP(E2147,'Inventaire des produits'!$B$4:$K$1000,2,0),"")</f>
        <v>COUTEAU LUXE TRANSPARENTE</v>
      </c>
      <c r="G2147" s="54">
        <v>9</v>
      </c>
      <c r="H2147" s="60">
        <v>23.33</v>
      </c>
      <c r="I2147" s="275">
        <f t="shared" si="97"/>
        <v>209.96999999999997</v>
      </c>
      <c r="J2147" s="95">
        <f t="shared" si="98"/>
        <v>251.96399999999994</v>
      </c>
      <c r="K2147" s="93">
        <f>IFERROR(VLOOKUP(E2147,'Inventaire des produits'!$B$4:$J$1000,5,FALSE),"")</f>
        <v>27</v>
      </c>
      <c r="L2147" s="301">
        <f>IFERROR(VLOOKUP(E2147,'Inventaire des produits'!$B$4:$J$1000,6,FALSE),"")</f>
        <v>15</v>
      </c>
      <c r="M2147" s="62">
        <f>SUM(J2147:J2149)</f>
        <v>768.00047999999992</v>
      </c>
    </row>
    <row r="2148" spans="2:13" x14ac:dyDescent="0.3">
      <c r="B2148" s="378" t="s">
        <v>1704</v>
      </c>
      <c r="C2148" s="341"/>
      <c r="D2148" s="338"/>
      <c r="E2148" s="234" t="s">
        <v>1289</v>
      </c>
      <c r="F2148" s="274" t="str">
        <f>IFERROR(VLOOKUP(E2148,'Inventaire des produits'!$B$4:$K$1000,2,0),"")</f>
        <v>FOURCHETTE LUXE TRANSPARENTE/100</v>
      </c>
      <c r="G2148" s="54">
        <v>9</v>
      </c>
      <c r="H2148" s="60">
        <v>23.33</v>
      </c>
      <c r="I2148" s="275">
        <f t="shared" si="97"/>
        <v>209.96999999999997</v>
      </c>
      <c r="J2148" s="95">
        <f t="shared" si="98"/>
        <v>251.96399999999994</v>
      </c>
      <c r="K2148" s="93">
        <f>IFERROR(VLOOKUP(E2148,'Inventaire des produits'!$B$4:$J$1000,5,FALSE),"")</f>
        <v>21</v>
      </c>
      <c r="L2148" s="301">
        <f>IFERROR(VLOOKUP(E2148,'Inventaire des produits'!$B$4:$J$1000,6,FALSE),"")</f>
        <v>22</v>
      </c>
      <c r="M2148" s="62"/>
    </row>
    <row r="2149" spans="2:13" x14ac:dyDescent="0.3">
      <c r="B2149" s="378" t="s">
        <v>1704</v>
      </c>
      <c r="C2149" s="342"/>
      <c r="D2149" s="339"/>
      <c r="E2149" s="234" t="s">
        <v>1509</v>
      </c>
      <c r="F2149" s="274" t="str">
        <f>IFERROR(VLOOKUP(E2149,'Inventaire des produits'!$B$4:$K$1000,2,0),"")</f>
        <v>CUILLERE EN PLAST TRANS ECO 100</v>
      </c>
      <c r="G2149" s="54">
        <v>28</v>
      </c>
      <c r="H2149" s="60">
        <v>7.8593000000000002</v>
      </c>
      <c r="I2149" s="275">
        <f t="shared" si="97"/>
        <v>220.06040000000002</v>
      </c>
      <c r="J2149" s="95">
        <f t="shared" si="98"/>
        <v>264.07247999999998</v>
      </c>
      <c r="K2149" s="93">
        <f>IFERROR(VLOOKUP(E2149,'Inventaire des produits'!$B$4:$J$1000,5,FALSE),"")</f>
        <v>28</v>
      </c>
      <c r="L2149" s="301">
        <f>IFERROR(VLOOKUP(E2149,'Inventaire des produits'!$B$4:$J$1000,6,FALSE),"")</f>
        <v>6.6666666660000002</v>
      </c>
      <c r="M2149" s="62"/>
    </row>
    <row r="2150" spans="2:13" x14ac:dyDescent="0.3">
      <c r="B2150" s="378" t="s">
        <v>1704</v>
      </c>
      <c r="C2150" s="340">
        <v>45628</v>
      </c>
      <c r="D2150" s="337" t="s">
        <v>1676</v>
      </c>
      <c r="E2150" s="234" t="s">
        <v>1294</v>
      </c>
      <c r="F2150" s="274" t="str">
        <f>IFERROR(VLOOKUP(E2150,'Inventaire des produits'!$B$4:$K$1000,2,0),"")</f>
        <v>BARQUETTE ALUMINIUM RECT 1200ML AVEC CVL</v>
      </c>
      <c r="G2150" s="54">
        <v>200</v>
      </c>
      <c r="H2150" s="60">
        <v>0.88100000000000001</v>
      </c>
      <c r="I2150" s="275">
        <f t="shared" si="97"/>
        <v>176.2</v>
      </c>
      <c r="J2150" s="95">
        <f t="shared" si="98"/>
        <v>211.43999999999997</v>
      </c>
      <c r="K2150" s="93">
        <f>IFERROR(VLOOKUP(E2150,'Inventaire des produits'!$B$4:$J$1000,5,FALSE),"")</f>
        <v>4000</v>
      </c>
      <c r="L2150" s="301">
        <f>IFERROR(VLOOKUP(E2150,'Inventaire des produits'!$B$4:$J$1000,6,FALSE),"")</f>
        <v>1.3666666667</v>
      </c>
      <c r="M2150" s="62">
        <f>SUM(J2150:J2154)</f>
        <v>1999.9979999999998</v>
      </c>
    </row>
    <row r="2151" spans="2:13" x14ac:dyDescent="0.3">
      <c r="B2151" s="378" t="s">
        <v>1704</v>
      </c>
      <c r="C2151" s="341"/>
      <c r="D2151" s="338"/>
      <c r="E2151" s="234" t="s">
        <v>869</v>
      </c>
      <c r="F2151" s="274" t="str">
        <f>IFERROR(VLOOKUP(E2151,'Inventaire des produits'!$B$4:$K$1000,2,0),"")</f>
        <v>PAILLE ENVELOPPEE CODE 100 TRANS</v>
      </c>
      <c r="G2151" s="54">
        <v>20</v>
      </c>
      <c r="H2151" s="60">
        <v>6.25</v>
      </c>
      <c r="I2151" s="275">
        <f t="shared" si="97"/>
        <v>125</v>
      </c>
      <c r="J2151" s="95">
        <f t="shared" si="98"/>
        <v>150</v>
      </c>
      <c r="K2151" s="93">
        <f>IFERROR(VLOOKUP(E2151,'Inventaire des produits'!$B$4:$J$1000,5,FALSE),"")</f>
        <v>898</v>
      </c>
      <c r="L2151" s="301">
        <f>IFERROR(VLOOKUP(E2151,'Inventaire des produits'!$B$4:$J$1000,6,FALSE),"")</f>
        <v>3.9166666659999998</v>
      </c>
      <c r="M2151" s="62"/>
    </row>
    <row r="2152" spans="2:13" x14ac:dyDescent="0.3">
      <c r="B2152" s="378" t="s">
        <v>1704</v>
      </c>
      <c r="C2152" s="341"/>
      <c r="D2152" s="338"/>
      <c r="E2152" s="234" t="s">
        <v>1184</v>
      </c>
      <c r="F2152" s="274" t="str">
        <f>IFERROR(VLOOKUP(E2152,'Inventaire des produits'!$B$4:$K$1000,2,0),"")</f>
        <v>COQUILLE MEAL BOX 2 COMP BLANC</v>
      </c>
      <c r="G2152" s="54">
        <v>1000</v>
      </c>
      <c r="H2152" s="60">
        <v>1.04922</v>
      </c>
      <c r="I2152" s="275">
        <f t="shared" si="97"/>
        <v>1049.22</v>
      </c>
      <c r="J2152" s="95">
        <f t="shared" si="98"/>
        <v>1259.0640000000001</v>
      </c>
      <c r="K2152" s="93">
        <f>IFERROR(VLOOKUP(E2152,'Inventaire des produits'!$B$4:$J$1000,5,FALSE),"")</f>
        <v>5800</v>
      </c>
      <c r="L2152" s="301">
        <f>IFERROR(VLOOKUP(E2152,'Inventaire des produits'!$B$4:$J$1000,6,FALSE),"")</f>
        <v>0.79166666666666663</v>
      </c>
      <c r="M2152" s="62"/>
    </row>
    <row r="2153" spans="2:13" x14ac:dyDescent="0.3">
      <c r="B2153" s="378" t="s">
        <v>1704</v>
      </c>
      <c r="C2153" s="341"/>
      <c r="D2153" s="338"/>
      <c r="E2153" s="234" t="s">
        <v>1464</v>
      </c>
      <c r="F2153" s="274" t="str">
        <f>IFERROR(VLOOKUP(E2153,'Inventaire des produits'!$B$4:$K$1000,2,0),"")</f>
        <v>CUILLERE LUXE TRANSPARENTE</v>
      </c>
      <c r="G2153" s="54">
        <v>12</v>
      </c>
      <c r="H2153" s="60">
        <v>17.5</v>
      </c>
      <c r="I2153" s="275">
        <f t="shared" si="97"/>
        <v>210</v>
      </c>
      <c r="J2153" s="95">
        <f t="shared" si="98"/>
        <v>252</v>
      </c>
      <c r="K2153" s="93">
        <f>IFERROR(VLOOKUP(E2153,'Inventaire des produits'!$B$4:$J$1000,5,FALSE),"")</f>
        <v>33</v>
      </c>
      <c r="L2153" s="301">
        <f>IFERROR(VLOOKUP(E2153,'Inventaire des produits'!$B$4:$J$1000,6,FALSE),"")</f>
        <v>15</v>
      </c>
      <c r="M2153" s="62"/>
    </row>
    <row r="2154" spans="2:13" x14ac:dyDescent="0.3">
      <c r="B2154" s="378" t="s">
        <v>1704</v>
      </c>
      <c r="C2154" s="342"/>
      <c r="D2154" s="339"/>
      <c r="E2154" s="234" t="s">
        <v>1133</v>
      </c>
      <c r="F2154" s="274" t="str">
        <f>IFERROR(VLOOKUP(E2154,'Inventaire des produits'!$B$4:$K$1000,2,0),"")</f>
        <v>MOUCHOIR SWEET 600</v>
      </c>
      <c r="G2154" s="54">
        <v>15</v>
      </c>
      <c r="H2154" s="60">
        <v>7.0830000000000002</v>
      </c>
      <c r="I2154" s="275">
        <f t="shared" si="97"/>
        <v>106.245</v>
      </c>
      <c r="J2154" s="95">
        <f t="shared" si="98"/>
        <v>127.494</v>
      </c>
      <c r="K2154" s="93">
        <f>IFERROR(VLOOKUP(E2154,'Inventaire des produits'!$B$4:$J$1000,5,FALSE),"")</f>
        <v>179</v>
      </c>
      <c r="L2154" s="301">
        <f>IFERROR(VLOOKUP(E2154,'Inventaire des produits'!$B$4:$J$1000,6,FALSE),"")</f>
        <v>6.25</v>
      </c>
      <c r="M2154" s="62"/>
    </row>
    <row r="2155" spans="2:13" x14ac:dyDescent="0.3">
      <c r="B2155" s="378" t="s">
        <v>1704</v>
      </c>
      <c r="C2155" s="340">
        <v>45628</v>
      </c>
      <c r="D2155" s="337" t="s">
        <v>1679</v>
      </c>
      <c r="E2155" s="296" t="s">
        <v>1678</v>
      </c>
      <c r="F2155" s="274" t="str">
        <f>IFERROR(VLOOKUP(E2155,'Inventaire des produits'!$B$4:$K$1000,2,0),"")</f>
        <v/>
      </c>
      <c r="G2155" s="54">
        <f>20*50</f>
        <v>1000</v>
      </c>
      <c r="H2155" s="60">
        <v>3.4170799999999999</v>
      </c>
      <c r="I2155" s="275">
        <f t="shared" si="97"/>
        <v>3417.08</v>
      </c>
      <c r="J2155" s="95">
        <f t="shared" si="98"/>
        <v>4100.4960000000001</v>
      </c>
      <c r="K2155" s="93" t="str">
        <f>IFERROR(VLOOKUP(E2155,'Inventaire des produits'!$B$4:$J$1000,5,FALSE),"")</f>
        <v/>
      </c>
      <c r="L2155" s="301" t="str">
        <f>IFERROR(VLOOKUP(E2155,'Inventaire des produits'!$B$4:$J$1000,6,FALSE),"")</f>
        <v/>
      </c>
      <c r="M2155" s="62">
        <f>SUM(J2155:J2160)</f>
        <v>7290.3959999999997</v>
      </c>
    </row>
    <row r="2156" spans="2:13" x14ac:dyDescent="0.3">
      <c r="B2156" s="378" t="s">
        <v>1704</v>
      </c>
      <c r="C2156" s="341"/>
      <c r="D2156" s="338"/>
      <c r="E2156" s="296" t="s">
        <v>1677</v>
      </c>
      <c r="F2156" s="274" t="str">
        <f>IFERROR(VLOOKUP(E2156,'Inventaire des produits'!$B$4:$K$1000,2,0),"")</f>
        <v/>
      </c>
      <c r="G2156" s="54">
        <v>2000</v>
      </c>
      <c r="H2156" s="60">
        <f>0.6/1.2</f>
        <v>0.5</v>
      </c>
      <c r="I2156" s="275">
        <f t="shared" si="97"/>
        <v>1000</v>
      </c>
      <c r="J2156" s="95">
        <f t="shared" si="98"/>
        <v>1200</v>
      </c>
      <c r="K2156" s="93" t="str">
        <f>IFERROR(VLOOKUP(E2156,'Inventaire des produits'!$B$4:$J$1000,5,FALSE),"")</f>
        <v/>
      </c>
      <c r="L2156" s="301" t="str">
        <f>IFERROR(VLOOKUP(E2156,'Inventaire des produits'!$B$4:$J$1000,6,FALSE),"")</f>
        <v/>
      </c>
      <c r="M2156" s="62"/>
    </row>
    <row r="2157" spans="2:13" x14ac:dyDescent="0.3">
      <c r="B2157" s="378" t="s">
        <v>1704</v>
      </c>
      <c r="C2157" s="341"/>
      <c r="D2157" s="338"/>
      <c r="E2157" s="310" t="s">
        <v>1237</v>
      </c>
      <c r="F2157" s="274" t="str">
        <f>IFERROR(VLOOKUP(E2157,'Inventaire des produits'!$B$4:$K$1000,2,0),"")</f>
        <v>KETCHUP STAR 2KG</v>
      </c>
      <c r="G2157" s="54">
        <v>12</v>
      </c>
      <c r="H2157" s="60">
        <f>24/1.2</f>
        <v>20</v>
      </c>
      <c r="I2157" s="275">
        <f t="shared" ref="I2157:I2158" si="101">IF(OR(G2157="",H2157=""),"",G2157*H2157)</f>
        <v>240</v>
      </c>
      <c r="J2157" s="95">
        <f t="shared" ref="J2157:J2158" si="102">IF(OR(I2157=""),"",I2157*1.2)</f>
        <v>288</v>
      </c>
      <c r="K2157" s="93">
        <f>IFERROR(VLOOKUP(E2157,'Inventaire des produits'!$B$4:$J$1000,5,FALSE),"")</f>
        <v>0</v>
      </c>
      <c r="L2157" s="301">
        <f>IFERROR(VLOOKUP(E2157,'Inventaire des produits'!$B$4:$J$1000,6,FALSE),"")</f>
        <v>18.3333333</v>
      </c>
      <c r="M2157" s="62"/>
    </row>
    <row r="2158" spans="2:13" x14ac:dyDescent="0.3">
      <c r="B2158" s="378" t="s">
        <v>1704</v>
      </c>
      <c r="C2158" s="341"/>
      <c r="D2158" s="338"/>
      <c r="E2158" s="310" t="s">
        <v>1238</v>
      </c>
      <c r="F2158" s="274" t="str">
        <f>IFERROR(VLOOKUP(E2158,'Inventaire des produits'!$B$4:$K$1000,2,0),"")</f>
        <v>MOUTARDE STAR OK 2KG</v>
      </c>
      <c r="G2158" s="54">
        <v>12</v>
      </c>
      <c r="H2158" s="60">
        <f>42/1.2</f>
        <v>35</v>
      </c>
      <c r="I2158" s="275">
        <f t="shared" si="101"/>
        <v>420</v>
      </c>
      <c r="J2158" s="95">
        <f t="shared" si="102"/>
        <v>504</v>
      </c>
      <c r="K2158" s="93">
        <f>IFERROR(VLOOKUP(E2158,'Inventaire des produits'!$B$4:$J$1000,5,FALSE),"")</f>
        <v>0</v>
      </c>
      <c r="L2158" s="301">
        <f>IFERROR(VLOOKUP(E2158,'Inventaire des produits'!$B$4:$J$1000,6,FALSE),"")</f>
        <v>33.3333333</v>
      </c>
      <c r="M2158" s="62"/>
    </row>
    <row r="2159" spans="2:13" x14ac:dyDescent="0.3">
      <c r="B2159" s="378" t="s">
        <v>1704</v>
      </c>
      <c r="C2159" s="341"/>
      <c r="D2159" s="338"/>
      <c r="E2159" s="310" t="s">
        <v>1202</v>
      </c>
      <c r="F2159" s="274" t="str">
        <f>IFERROR(VLOOKUP(E2159,'Inventaire des produits'!$B$4:$K$1000,2,0),"")</f>
        <v>POT DE SAUCE 1OZ AVEC CVL</v>
      </c>
      <c r="G2159" s="54">
        <v>2500</v>
      </c>
      <c r="H2159" s="60">
        <v>0.1993</v>
      </c>
      <c r="I2159" s="275">
        <f t="shared" ref="I2159" si="103">IF(OR(G2159="",H2159=""),"",G2159*H2159)</f>
        <v>498.25</v>
      </c>
      <c r="J2159" s="95">
        <f t="shared" ref="J2159" si="104">IF(OR(I2159=""),"",I2159*1.2)</f>
        <v>597.9</v>
      </c>
      <c r="K2159" s="93">
        <f>IFERROR(VLOOKUP(E2159,'Inventaire des produits'!$B$4:$J$1000,5,FALSE),"")</f>
        <v>4500</v>
      </c>
      <c r="L2159" s="301">
        <f>IFERROR(VLOOKUP(E2159,'Inventaire des produits'!$B$4:$J$1000,6,FALSE),"")</f>
        <v>0.14166666666666669</v>
      </c>
      <c r="M2159" s="62"/>
    </row>
    <row r="2160" spans="2:13" x14ac:dyDescent="0.3">
      <c r="B2160" s="378" t="s">
        <v>1704</v>
      </c>
      <c r="C2160" s="342"/>
      <c r="D2160" s="339"/>
      <c r="E2160" s="310" t="s">
        <v>1131</v>
      </c>
      <c r="F2160" s="274" t="str">
        <f>IFERROR(VLOOKUP(E2160,'Inventaire des produits'!$B$4:$K$1000,2,0),"")</f>
        <v>MOUCHOIR ROTANA 600</v>
      </c>
      <c r="G2160" s="54">
        <v>60</v>
      </c>
      <c r="H2160" s="60">
        <f>10/1.2</f>
        <v>8.3333333333333339</v>
      </c>
      <c r="I2160" s="275">
        <f t="shared" ref="I2160" si="105">IF(OR(G2160="",H2160=""),"",G2160*H2160)</f>
        <v>500.00000000000006</v>
      </c>
      <c r="J2160" s="95">
        <f t="shared" ref="J2160" si="106">IF(OR(I2160=""),"",I2160*1.2)</f>
        <v>600</v>
      </c>
      <c r="K2160" s="93">
        <f>IFERROR(VLOOKUP(E2160,'Inventaire des produits'!$B$4:$J$1000,5,FALSE),"")</f>
        <v>333</v>
      </c>
      <c r="L2160" s="301">
        <f>IFERROR(VLOOKUP(E2160,'Inventaire des produits'!$B$4:$J$1000,6,FALSE),"")</f>
        <v>6.6669999999999998</v>
      </c>
      <c r="M2160" s="62"/>
    </row>
    <row r="2161" spans="2:13" x14ac:dyDescent="0.3">
      <c r="B2161" s="378" t="s">
        <v>1704</v>
      </c>
      <c r="C2161" s="55">
        <v>45629</v>
      </c>
      <c r="D2161" s="54" t="s">
        <v>1700</v>
      </c>
      <c r="E2161" s="234" t="s">
        <v>1311</v>
      </c>
      <c r="F2161" s="274" t="str">
        <f>IFERROR(VLOOKUP(E2161,'Inventaire des produits'!$B$4:$K$1000,2,0),"")</f>
        <v>POT CARTONIER BLANC 26OZ AVEC CVL</v>
      </c>
      <c r="G2161" s="54">
        <v>1000</v>
      </c>
      <c r="H2161" s="60">
        <v>2.4</v>
      </c>
      <c r="I2161" s="275">
        <f t="shared" si="97"/>
        <v>2400</v>
      </c>
      <c r="J2161" s="95">
        <f t="shared" si="98"/>
        <v>2880</v>
      </c>
      <c r="K2161" s="93">
        <f>IFERROR(VLOOKUP(E2161,'Inventaire des produits'!$B$4:$J$1000,5,FALSE),"")</f>
        <v>1000</v>
      </c>
      <c r="L2161" s="301">
        <f>IFERROR(VLOOKUP(E2161,'Inventaire des produits'!$B$4:$J$1000,6,FALSE),"")</f>
        <v>2</v>
      </c>
      <c r="M2161" s="62">
        <v>2880</v>
      </c>
    </row>
    <row r="2162" spans="2:13" x14ac:dyDescent="0.3">
      <c r="B2162" s="54"/>
      <c r="C2162" s="55"/>
      <c r="D2162" s="54"/>
      <c r="E2162" s="234"/>
      <c r="F2162" s="274" t="str">
        <f>IFERROR(VLOOKUP(E2162,'Inventaire des produits'!$B$4:$K$1000,2,0),"")</f>
        <v/>
      </c>
      <c r="G2162" s="54"/>
      <c r="H2162" s="60"/>
      <c r="I2162" s="275" t="str">
        <f t="shared" ref="I2162:I2225" si="107">IF(OR(G2162="",H2162=""),"",G2162*H2162)</f>
        <v/>
      </c>
      <c r="J2162" s="95" t="str">
        <f t="shared" ref="J2162:J2225" si="108">IF(OR(I2162=""),"",I2162*1.2)</f>
        <v/>
      </c>
      <c r="K2162" s="93" t="str">
        <f>IFERROR(VLOOKUP(E2162,'Inventaire des produits'!$B$4:$J$1000,5,FALSE),"")</f>
        <v/>
      </c>
      <c r="L2162" s="301" t="str">
        <f>IFERROR(VLOOKUP(E2162,'Inventaire des produits'!$B$4:$J$1000,6,FALSE),"")</f>
        <v/>
      </c>
      <c r="M2162" s="62"/>
    </row>
    <row r="2163" spans="2:13" x14ac:dyDescent="0.3">
      <c r="B2163" s="54"/>
      <c r="C2163" s="55"/>
      <c r="D2163" s="54"/>
      <c r="E2163" s="234"/>
      <c r="F2163" s="274" t="str">
        <f>IFERROR(VLOOKUP(E2163,'Inventaire des produits'!$B$4:$K$1000,2,0),"")</f>
        <v/>
      </c>
      <c r="G2163" s="54"/>
      <c r="H2163" s="60"/>
      <c r="I2163" s="275" t="str">
        <f t="shared" si="107"/>
        <v/>
      </c>
      <c r="J2163" s="95" t="str">
        <f t="shared" si="108"/>
        <v/>
      </c>
      <c r="K2163" s="93" t="str">
        <f>IFERROR(VLOOKUP(E2163,'Inventaire des produits'!$B$4:$J$1000,5,FALSE),"")</f>
        <v/>
      </c>
      <c r="L2163" s="301" t="str">
        <f>IFERROR(VLOOKUP(E2163,'Inventaire des produits'!$B$4:$J$1000,6,FALSE),"")</f>
        <v/>
      </c>
      <c r="M2163" s="62"/>
    </row>
    <row r="2164" spans="2:13" x14ac:dyDescent="0.3">
      <c r="B2164" s="54"/>
      <c r="C2164" s="55"/>
      <c r="D2164" s="54"/>
      <c r="E2164" s="234"/>
      <c r="F2164" s="274" t="str">
        <f>IFERROR(VLOOKUP(E2164,'Inventaire des produits'!$B$4:$K$1000,2,0),"")</f>
        <v/>
      </c>
      <c r="G2164" s="54"/>
      <c r="H2164" s="60"/>
      <c r="I2164" s="275" t="str">
        <f t="shared" si="107"/>
        <v/>
      </c>
      <c r="J2164" s="95" t="str">
        <f t="shared" si="108"/>
        <v/>
      </c>
      <c r="K2164" s="93" t="str">
        <f>IFERROR(VLOOKUP(E2164,'Inventaire des produits'!$B$4:$J$1000,5,FALSE),"")</f>
        <v/>
      </c>
      <c r="L2164" s="301" t="str">
        <f>IFERROR(VLOOKUP(E2164,'Inventaire des produits'!$B$4:$J$1000,6,FALSE),"")</f>
        <v/>
      </c>
      <c r="M2164" s="62"/>
    </row>
    <row r="2165" spans="2:13" x14ac:dyDescent="0.3">
      <c r="B2165" s="54"/>
      <c r="C2165" s="55"/>
      <c r="D2165" s="54"/>
      <c r="E2165" s="234"/>
      <c r="F2165" s="274" t="str">
        <f>IFERROR(VLOOKUP(E2165,'Inventaire des produits'!$B$4:$K$1000,2,0),"")</f>
        <v/>
      </c>
      <c r="G2165" s="54"/>
      <c r="H2165" s="60"/>
      <c r="I2165" s="275" t="str">
        <f t="shared" si="107"/>
        <v/>
      </c>
      <c r="J2165" s="95" t="str">
        <f t="shared" si="108"/>
        <v/>
      </c>
      <c r="K2165" s="93" t="str">
        <f>IFERROR(VLOOKUP(E2165,'Inventaire des produits'!$B$4:$J$1000,5,FALSE),"")</f>
        <v/>
      </c>
      <c r="L2165" s="301" t="str">
        <f>IFERROR(VLOOKUP(E2165,'Inventaire des produits'!$B$4:$J$1000,6,FALSE),"")</f>
        <v/>
      </c>
      <c r="M2165" s="62"/>
    </row>
    <row r="2166" spans="2:13" x14ac:dyDescent="0.3">
      <c r="B2166" s="54"/>
      <c r="C2166" s="55"/>
      <c r="D2166" s="54"/>
      <c r="E2166" s="234"/>
      <c r="F2166" s="274" t="str">
        <f>IFERROR(VLOOKUP(E2166,'Inventaire des produits'!$B$4:$K$1000,2,0),"")</f>
        <v/>
      </c>
      <c r="G2166" s="54"/>
      <c r="H2166" s="60"/>
      <c r="I2166" s="275" t="str">
        <f t="shared" si="107"/>
        <v/>
      </c>
      <c r="J2166" s="95" t="str">
        <f t="shared" si="108"/>
        <v/>
      </c>
      <c r="K2166" s="93" t="str">
        <f>IFERROR(VLOOKUP(E2166,'Inventaire des produits'!$B$4:$J$1000,5,FALSE),"")</f>
        <v/>
      </c>
      <c r="L2166" s="301" t="str">
        <f>IFERROR(VLOOKUP(E2166,'Inventaire des produits'!$B$4:$J$1000,6,FALSE),"")</f>
        <v/>
      </c>
      <c r="M2166" s="62"/>
    </row>
    <row r="2167" spans="2:13" x14ac:dyDescent="0.3">
      <c r="B2167" s="54"/>
      <c r="C2167" s="55"/>
      <c r="D2167" s="54"/>
      <c r="E2167" s="234"/>
      <c r="F2167" s="274" t="str">
        <f>IFERROR(VLOOKUP(E2167,'Inventaire des produits'!$B$4:$K$1000,2,0),"")</f>
        <v/>
      </c>
      <c r="G2167" s="54"/>
      <c r="H2167" s="60"/>
      <c r="I2167" s="275" t="str">
        <f t="shared" si="107"/>
        <v/>
      </c>
      <c r="J2167" s="95" t="str">
        <f t="shared" si="108"/>
        <v/>
      </c>
      <c r="K2167" s="93" t="str">
        <f>IFERROR(VLOOKUP(E2167,'Inventaire des produits'!$B$4:$J$1000,5,FALSE),"")</f>
        <v/>
      </c>
      <c r="L2167" s="301" t="str">
        <f>IFERROR(VLOOKUP(E2167,'Inventaire des produits'!$B$4:$J$1000,6,FALSE),"")</f>
        <v/>
      </c>
      <c r="M2167" s="62"/>
    </row>
    <row r="2168" spans="2:13" x14ac:dyDescent="0.3">
      <c r="B2168" s="54"/>
      <c r="C2168" s="55"/>
      <c r="D2168" s="54"/>
      <c r="E2168" s="234"/>
      <c r="F2168" s="274" t="str">
        <f>IFERROR(VLOOKUP(E2168,'Inventaire des produits'!$B$4:$K$1000,2,0),"")</f>
        <v/>
      </c>
      <c r="G2168" s="54"/>
      <c r="H2168" s="60"/>
      <c r="I2168" s="275" t="str">
        <f t="shared" si="107"/>
        <v/>
      </c>
      <c r="J2168" s="95" t="str">
        <f t="shared" si="108"/>
        <v/>
      </c>
      <c r="K2168" s="93" t="str">
        <f>IFERROR(VLOOKUP(E2168,'Inventaire des produits'!$B$4:$J$1000,5,FALSE),"")</f>
        <v/>
      </c>
      <c r="L2168" s="301" t="str">
        <f>IFERROR(VLOOKUP(E2168,'Inventaire des produits'!$B$4:$J$1000,6,FALSE),"")</f>
        <v/>
      </c>
      <c r="M2168" s="62"/>
    </row>
    <row r="2169" spans="2:13" x14ac:dyDescent="0.3">
      <c r="B2169" s="54"/>
      <c r="C2169" s="55"/>
      <c r="D2169" s="54"/>
      <c r="E2169" s="234"/>
      <c r="F2169" s="274" t="str">
        <f>IFERROR(VLOOKUP(E2169,'Inventaire des produits'!$B$4:$K$1000,2,0),"")</f>
        <v/>
      </c>
      <c r="G2169" s="54"/>
      <c r="H2169" s="60"/>
      <c r="I2169" s="275" t="str">
        <f t="shared" si="107"/>
        <v/>
      </c>
      <c r="J2169" s="95" t="str">
        <f t="shared" si="108"/>
        <v/>
      </c>
      <c r="K2169" s="93" t="str">
        <f>IFERROR(VLOOKUP(E2169,'Inventaire des produits'!$B$4:$J$1000,5,FALSE),"")</f>
        <v/>
      </c>
      <c r="L2169" s="301" t="str">
        <f>IFERROR(VLOOKUP(E2169,'Inventaire des produits'!$B$4:$J$1000,6,FALSE),"")</f>
        <v/>
      </c>
      <c r="M2169" s="62"/>
    </row>
    <row r="2170" spans="2:13" x14ac:dyDescent="0.3">
      <c r="B2170" s="54"/>
      <c r="C2170" s="55"/>
      <c r="D2170" s="54"/>
      <c r="E2170" s="234"/>
      <c r="F2170" s="274" t="str">
        <f>IFERROR(VLOOKUP(E2170,'Inventaire des produits'!$B$4:$K$1000,2,0),"")</f>
        <v/>
      </c>
      <c r="G2170" s="54"/>
      <c r="H2170" s="60"/>
      <c r="I2170" s="275" t="str">
        <f t="shared" si="107"/>
        <v/>
      </c>
      <c r="J2170" s="95" t="str">
        <f t="shared" si="108"/>
        <v/>
      </c>
      <c r="K2170" s="93" t="str">
        <f>IFERROR(VLOOKUP(E2170,'Inventaire des produits'!$B$4:$J$1000,5,FALSE),"")</f>
        <v/>
      </c>
      <c r="L2170" s="301" t="str">
        <f>IFERROR(VLOOKUP(E2170,'Inventaire des produits'!$B$4:$J$1000,6,FALSE),"")</f>
        <v/>
      </c>
      <c r="M2170" s="62"/>
    </row>
    <row r="2171" spans="2:13" x14ac:dyDescent="0.3">
      <c r="B2171" s="54"/>
      <c r="C2171" s="55"/>
      <c r="D2171" s="54"/>
      <c r="E2171" s="234"/>
      <c r="F2171" s="274" t="str">
        <f>IFERROR(VLOOKUP(E2171,'Inventaire des produits'!$B$4:$K$1000,2,0),"")</f>
        <v/>
      </c>
      <c r="G2171" s="54"/>
      <c r="H2171" s="60"/>
      <c r="I2171" s="275" t="str">
        <f t="shared" si="107"/>
        <v/>
      </c>
      <c r="J2171" s="95" t="str">
        <f t="shared" si="108"/>
        <v/>
      </c>
      <c r="K2171" s="93" t="str">
        <f>IFERROR(VLOOKUP(E2171,'Inventaire des produits'!$B$4:$J$1000,5,FALSE),"")</f>
        <v/>
      </c>
      <c r="L2171" s="301" t="str">
        <f>IFERROR(VLOOKUP(E2171,'Inventaire des produits'!$B$4:$J$1000,6,FALSE),"")</f>
        <v/>
      </c>
      <c r="M2171" s="62"/>
    </row>
    <row r="2172" spans="2:13" x14ac:dyDescent="0.3">
      <c r="B2172" s="54"/>
      <c r="C2172" s="55"/>
      <c r="D2172" s="54"/>
      <c r="E2172" s="234"/>
      <c r="F2172" s="274" t="str">
        <f>IFERROR(VLOOKUP(E2172,'Inventaire des produits'!$B$4:$K$1000,2,0),"")</f>
        <v/>
      </c>
      <c r="G2172" s="54"/>
      <c r="H2172" s="60"/>
      <c r="I2172" s="275" t="str">
        <f t="shared" si="107"/>
        <v/>
      </c>
      <c r="J2172" s="95" t="str">
        <f t="shared" si="108"/>
        <v/>
      </c>
      <c r="K2172" s="93" t="str">
        <f>IFERROR(VLOOKUP(E2172,'Inventaire des produits'!$B$4:$J$1000,5,FALSE),"")</f>
        <v/>
      </c>
      <c r="L2172" s="301" t="str">
        <f>IFERROR(VLOOKUP(E2172,'Inventaire des produits'!$B$4:$J$1000,6,FALSE),"")</f>
        <v/>
      </c>
      <c r="M2172" s="62"/>
    </row>
    <row r="2173" spans="2:13" x14ac:dyDescent="0.3">
      <c r="B2173" s="54"/>
      <c r="C2173" s="55"/>
      <c r="D2173" s="54"/>
      <c r="E2173" s="234"/>
      <c r="F2173" s="274" t="str">
        <f>IFERROR(VLOOKUP(E2173,'Inventaire des produits'!$B$4:$K$1000,2,0),"")</f>
        <v/>
      </c>
      <c r="G2173" s="54"/>
      <c r="H2173" s="60"/>
      <c r="I2173" s="275" t="str">
        <f t="shared" si="107"/>
        <v/>
      </c>
      <c r="J2173" s="95" t="str">
        <f t="shared" si="108"/>
        <v/>
      </c>
      <c r="K2173" s="93" t="str">
        <f>IFERROR(VLOOKUP(E2173,'Inventaire des produits'!$B$4:$J$1000,5,FALSE),"")</f>
        <v/>
      </c>
      <c r="L2173" s="301" t="str">
        <f>IFERROR(VLOOKUP(E2173,'Inventaire des produits'!$B$4:$J$1000,6,FALSE),"")</f>
        <v/>
      </c>
      <c r="M2173" s="62"/>
    </row>
    <row r="2174" spans="2:13" x14ac:dyDescent="0.3">
      <c r="B2174" s="54"/>
      <c r="C2174" s="55"/>
      <c r="D2174" s="54"/>
      <c r="E2174" s="234"/>
      <c r="F2174" s="274" t="str">
        <f>IFERROR(VLOOKUP(E2174,'Inventaire des produits'!$B$4:$K$1000,2,0),"")</f>
        <v/>
      </c>
      <c r="G2174" s="54"/>
      <c r="H2174" s="60"/>
      <c r="I2174" s="275" t="str">
        <f t="shared" si="107"/>
        <v/>
      </c>
      <c r="J2174" s="95" t="str">
        <f t="shared" si="108"/>
        <v/>
      </c>
      <c r="K2174" s="93" t="str">
        <f>IFERROR(VLOOKUP(E2174,'Inventaire des produits'!$B$4:$J$1000,5,FALSE),"")</f>
        <v/>
      </c>
      <c r="L2174" s="301" t="str">
        <f>IFERROR(VLOOKUP(E2174,'Inventaire des produits'!$B$4:$J$1000,6,FALSE),"")</f>
        <v/>
      </c>
      <c r="M2174" s="62"/>
    </row>
    <row r="2175" spans="2:13" x14ac:dyDescent="0.3">
      <c r="B2175" s="54"/>
      <c r="C2175" s="55"/>
      <c r="D2175" s="54"/>
      <c r="E2175" s="234"/>
      <c r="F2175" s="274" t="str">
        <f>IFERROR(VLOOKUP(E2175,'Inventaire des produits'!$B$4:$K$1000,2,0),"")</f>
        <v/>
      </c>
      <c r="G2175" s="54"/>
      <c r="H2175" s="60"/>
      <c r="I2175" s="275" t="str">
        <f t="shared" si="107"/>
        <v/>
      </c>
      <c r="J2175" s="95" t="str">
        <f t="shared" si="108"/>
        <v/>
      </c>
      <c r="K2175" s="93" t="str">
        <f>IFERROR(VLOOKUP(E2175,'Inventaire des produits'!$B$4:$J$1000,5,FALSE),"")</f>
        <v/>
      </c>
      <c r="L2175" s="301" t="str">
        <f>IFERROR(VLOOKUP(E2175,'Inventaire des produits'!$B$4:$J$1000,6,FALSE),"")</f>
        <v/>
      </c>
      <c r="M2175" s="62"/>
    </row>
    <row r="2176" spans="2:13" x14ac:dyDescent="0.3">
      <c r="B2176" s="54"/>
      <c r="C2176" s="55"/>
      <c r="D2176" s="54"/>
      <c r="E2176" s="234"/>
      <c r="F2176" s="274" t="str">
        <f>IFERROR(VLOOKUP(E2176,'Inventaire des produits'!$B$4:$K$1000,2,0),"")</f>
        <v/>
      </c>
      <c r="G2176" s="54"/>
      <c r="H2176" s="60"/>
      <c r="I2176" s="275" t="str">
        <f t="shared" si="107"/>
        <v/>
      </c>
      <c r="J2176" s="95" t="str">
        <f t="shared" si="108"/>
        <v/>
      </c>
      <c r="K2176" s="93" t="str">
        <f>IFERROR(VLOOKUP(E2176,'Inventaire des produits'!$B$4:$J$1000,5,FALSE),"")</f>
        <v/>
      </c>
      <c r="L2176" s="301" t="str">
        <f>IFERROR(VLOOKUP(E2176,'Inventaire des produits'!$B$4:$J$1000,6,FALSE),"")</f>
        <v/>
      </c>
      <c r="M2176" s="62"/>
    </row>
    <row r="2177" spans="2:13" x14ac:dyDescent="0.3">
      <c r="B2177" s="54"/>
      <c r="C2177" s="55"/>
      <c r="D2177" s="54"/>
      <c r="E2177" s="234"/>
      <c r="F2177" s="274" t="str">
        <f>IFERROR(VLOOKUP(E2177,'Inventaire des produits'!$B$4:$K$1000,2,0),"")</f>
        <v/>
      </c>
      <c r="G2177" s="54"/>
      <c r="H2177" s="60"/>
      <c r="I2177" s="275" t="str">
        <f t="shared" si="107"/>
        <v/>
      </c>
      <c r="J2177" s="95" t="str">
        <f t="shared" si="108"/>
        <v/>
      </c>
      <c r="K2177" s="93" t="str">
        <f>IFERROR(VLOOKUP(E2177,'Inventaire des produits'!$B$4:$J$1000,5,FALSE),"")</f>
        <v/>
      </c>
      <c r="L2177" s="301" t="str">
        <f>IFERROR(VLOOKUP(E2177,'Inventaire des produits'!$B$4:$J$1000,6,FALSE),"")</f>
        <v/>
      </c>
      <c r="M2177" s="62"/>
    </row>
    <row r="2178" spans="2:13" x14ac:dyDescent="0.3">
      <c r="B2178" s="54"/>
      <c r="C2178" s="55"/>
      <c r="D2178" s="54"/>
      <c r="E2178" s="234"/>
      <c r="F2178" s="274" t="str">
        <f>IFERROR(VLOOKUP(E2178,'Inventaire des produits'!$B$4:$K$1000,2,0),"")</f>
        <v/>
      </c>
      <c r="G2178" s="54"/>
      <c r="H2178" s="60"/>
      <c r="I2178" s="275" t="str">
        <f t="shared" si="107"/>
        <v/>
      </c>
      <c r="J2178" s="95" t="str">
        <f t="shared" si="108"/>
        <v/>
      </c>
      <c r="K2178" s="93" t="str">
        <f>IFERROR(VLOOKUP(E2178,'Inventaire des produits'!$B$4:$J$1000,5,FALSE),"")</f>
        <v/>
      </c>
      <c r="L2178" s="301" t="str">
        <f>IFERROR(VLOOKUP(E2178,'Inventaire des produits'!$B$4:$J$1000,6,FALSE),"")</f>
        <v/>
      </c>
      <c r="M2178" s="62"/>
    </row>
    <row r="2179" spans="2:13" x14ac:dyDescent="0.3">
      <c r="B2179" s="54"/>
      <c r="C2179" s="55"/>
      <c r="D2179" s="54"/>
      <c r="E2179" s="234"/>
      <c r="F2179" s="274" t="str">
        <f>IFERROR(VLOOKUP(E2179,'Inventaire des produits'!$B$4:$K$1000,2,0),"")</f>
        <v/>
      </c>
      <c r="G2179" s="54"/>
      <c r="H2179" s="60"/>
      <c r="I2179" s="275" t="str">
        <f t="shared" si="107"/>
        <v/>
      </c>
      <c r="J2179" s="95" t="str">
        <f t="shared" si="108"/>
        <v/>
      </c>
      <c r="K2179" s="93" t="str">
        <f>IFERROR(VLOOKUP(E2179,'Inventaire des produits'!$B$4:$J$1000,5,FALSE),"")</f>
        <v/>
      </c>
      <c r="L2179" s="301" t="str">
        <f>IFERROR(VLOOKUP(E2179,'Inventaire des produits'!$B$4:$J$1000,6,FALSE),"")</f>
        <v/>
      </c>
      <c r="M2179" s="62"/>
    </row>
    <row r="2180" spans="2:13" x14ac:dyDescent="0.3">
      <c r="B2180" s="54"/>
      <c r="C2180" s="55"/>
      <c r="D2180" s="54"/>
      <c r="E2180" s="234"/>
      <c r="F2180" s="274" t="str">
        <f>IFERROR(VLOOKUP(E2180,'Inventaire des produits'!$B$4:$K$1000,2,0),"")</f>
        <v/>
      </c>
      <c r="G2180" s="54"/>
      <c r="H2180" s="60"/>
      <c r="I2180" s="275" t="str">
        <f t="shared" si="107"/>
        <v/>
      </c>
      <c r="J2180" s="95" t="str">
        <f t="shared" si="108"/>
        <v/>
      </c>
      <c r="K2180" s="93" t="str">
        <f>IFERROR(VLOOKUP(E2180,'Inventaire des produits'!$B$4:$J$1000,5,FALSE),"")</f>
        <v/>
      </c>
      <c r="L2180" s="301" t="str">
        <f>IFERROR(VLOOKUP(E2180,'Inventaire des produits'!$B$4:$J$1000,6,FALSE),"")</f>
        <v/>
      </c>
      <c r="M2180" s="62"/>
    </row>
    <row r="2181" spans="2:13" x14ac:dyDescent="0.3">
      <c r="B2181" s="54"/>
      <c r="C2181" s="55"/>
      <c r="D2181" s="54"/>
      <c r="E2181" s="234"/>
      <c r="F2181" s="274" t="str">
        <f>IFERROR(VLOOKUP(E2181,'Inventaire des produits'!$B$4:$K$1000,2,0),"")</f>
        <v/>
      </c>
      <c r="G2181" s="54"/>
      <c r="H2181" s="60"/>
      <c r="I2181" s="275" t="str">
        <f t="shared" si="107"/>
        <v/>
      </c>
      <c r="J2181" s="95" t="str">
        <f t="shared" si="108"/>
        <v/>
      </c>
      <c r="K2181" s="93" t="str">
        <f>IFERROR(VLOOKUP(E2181,'Inventaire des produits'!$B$4:$J$1000,5,FALSE),"")</f>
        <v/>
      </c>
      <c r="L2181" s="301" t="str">
        <f>IFERROR(VLOOKUP(E2181,'Inventaire des produits'!$B$4:$J$1000,6,FALSE),"")</f>
        <v/>
      </c>
      <c r="M2181" s="62"/>
    </row>
    <row r="2182" spans="2:13" x14ac:dyDescent="0.3">
      <c r="B2182" s="54"/>
      <c r="C2182" s="55"/>
      <c r="D2182" s="54"/>
      <c r="E2182" s="234"/>
      <c r="F2182" s="274" t="str">
        <f>IFERROR(VLOOKUP(E2182,'Inventaire des produits'!$B$4:$K$1000,2,0),"")</f>
        <v/>
      </c>
      <c r="G2182" s="54"/>
      <c r="H2182" s="60"/>
      <c r="I2182" s="275" t="str">
        <f t="shared" si="107"/>
        <v/>
      </c>
      <c r="J2182" s="95" t="str">
        <f t="shared" si="108"/>
        <v/>
      </c>
      <c r="K2182" s="93" t="str">
        <f>IFERROR(VLOOKUP(E2182,'Inventaire des produits'!$B$4:$J$1000,5,FALSE),"")</f>
        <v/>
      </c>
      <c r="L2182" s="301" t="str">
        <f>IFERROR(VLOOKUP(E2182,'Inventaire des produits'!$B$4:$J$1000,6,FALSE),"")</f>
        <v/>
      </c>
      <c r="M2182" s="62"/>
    </row>
    <row r="2183" spans="2:13" x14ac:dyDescent="0.3">
      <c r="B2183" s="54"/>
      <c r="C2183" s="55"/>
      <c r="D2183" s="54"/>
      <c r="E2183" s="234"/>
      <c r="F2183" s="274" t="str">
        <f>IFERROR(VLOOKUP(E2183,'Inventaire des produits'!$B$4:$K$1000,2,0),"")</f>
        <v/>
      </c>
      <c r="G2183" s="54"/>
      <c r="H2183" s="60"/>
      <c r="I2183" s="275" t="str">
        <f t="shared" si="107"/>
        <v/>
      </c>
      <c r="J2183" s="95" t="str">
        <f t="shared" si="108"/>
        <v/>
      </c>
      <c r="K2183" s="93" t="str">
        <f>IFERROR(VLOOKUP(E2183,'Inventaire des produits'!$B$4:$J$1000,5,FALSE),"")</f>
        <v/>
      </c>
      <c r="L2183" s="301" t="str">
        <f>IFERROR(VLOOKUP(E2183,'Inventaire des produits'!$B$4:$J$1000,6,FALSE),"")</f>
        <v/>
      </c>
      <c r="M2183" s="62"/>
    </row>
    <row r="2184" spans="2:13" x14ac:dyDescent="0.3">
      <c r="B2184" s="54"/>
      <c r="C2184" s="55"/>
      <c r="D2184" s="54"/>
      <c r="E2184" s="234"/>
      <c r="F2184" s="274" t="str">
        <f>IFERROR(VLOOKUP(E2184,'Inventaire des produits'!$B$4:$K$1000,2,0),"")</f>
        <v/>
      </c>
      <c r="G2184" s="54"/>
      <c r="H2184" s="60"/>
      <c r="I2184" s="275" t="str">
        <f t="shared" si="107"/>
        <v/>
      </c>
      <c r="J2184" s="95" t="str">
        <f t="shared" si="108"/>
        <v/>
      </c>
      <c r="K2184" s="93" t="str">
        <f>IFERROR(VLOOKUP(E2184,'Inventaire des produits'!$B$4:$J$1000,5,FALSE),"")</f>
        <v/>
      </c>
      <c r="L2184" s="301" t="str">
        <f>IFERROR(VLOOKUP(E2184,'Inventaire des produits'!$B$4:$J$1000,6,FALSE),"")</f>
        <v/>
      </c>
      <c r="M2184" s="62"/>
    </row>
    <row r="2185" spans="2:13" x14ac:dyDescent="0.3">
      <c r="B2185" s="54"/>
      <c r="C2185" s="55"/>
      <c r="D2185" s="54"/>
      <c r="E2185" s="234"/>
      <c r="F2185" s="274" t="str">
        <f>IFERROR(VLOOKUP(E2185,'Inventaire des produits'!$B$4:$K$1000,2,0),"")</f>
        <v/>
      </c>
      <c r="G2185" s="54"/>
      <c r="H2185" s="60"/>
      <c r="I2185" s="275" t="str">
        <f t="shared" si="107"/>
        <v/>
      </c>
      <c r="J2185" s="95" t="str">
        <f t="shared" si="108"/>
        <v/>
      </c>
      <c r="K2185" s="93" t="str">
        <f>IFERROR(VLOOKUP(E2185,'Inventaire des produits'!$B$4:$J$1000,5,FALSE),"")</f>
        <v/>
      </c>
      <c r="L2185" s="301" t="str">
        <f>IFERROR(VLOOKUP(E2185,'Inventaire des produits'!$B$4:$J$1000,6,FALSE),"")</f>
        <v/>
      </c>
      <c r="M2185" s="62"/>
    </row>
    <row r="2186" spans="2:13" x14ac:dyDescent="0.3">
      <c r="B2186" s="54"/>
      <c r="C2186" s="55"/>
      <c r="D2186" s="54"/>
      <c r="E2186" s="234"/>
      <c r="F2186" s="274" t="str">
        <f>IFERROR(VLOOKUP(E2186,'Inventaire des produits'!$B$4:$K$1000,2,0),"")</f>
        <v/>
      </c>
      <c r="G2186" s="54"/>
      <c r="H2186" s="60"/>
      <c r="I2186" s="275" t="str">
        <f t="shared" si="107"/>
        <v/>
      </c>
      <c r="J2186" s="95" t="str">
        <f t="shared" si="108"/>
        <v/>
      </c>
      <c r="K2186" s="93" t="str">
        <f>IFERROR(VLOOKUP(E2186,'Inventaire des produits'!$B$4:$J$1000,5,FALSE),"")</f>
        <v/>
      </c>
      <c r="L2186" s="301" t="str">
        <f>IFERROR(VLOOKUP(E2186,'Inventaire des produits'!$B$4:$J$1000,6,FALSE),"")</f>
        <v/>
      </c>
      <c r="M2186" s="62"/>
    </row>
    <row r="2187" spans="2:13" x14ac:dyDescent="0.3">
      <c r="B2187" s="54"/>
      <c r="C2187" s="55"/>
      <c r="D2187" s="54"/>
      <c r="E2187" s="234"/>
      <c r="F2187" s="274" t="str">
        <f>IFERROR(VLOOKUP(E2187,'Inventaire des produits'!$B$4:$K$1000,2,0),"")</f>
        <v/>
      </c>
      <c r="G2187" s="54"/>
      <c r="H2187" s="60"/>
      <c r="I2187" s="275" t="str">
        <f t="shared" si="107"/>
        <v/>
      </c>
      <c r="J2187" s="95" t="str">
        <f t="shared" si="108"/>
        <v/>
      </c>
      <c r="K2187" s="93" t="str">
        <f>IFERROR(VLOOKUP(E2187,'Inventaire des produits'!$B$4:$J$1000,5,FALSE),"")</f>
        <v/>
      </c>
      <c r="L2187" s="301" t="str">
        <f>IFERROR(VLOOKUP(E2187,'Inventaire des produits'!$B$4:$J$1000,6,FALSE),"")</f>
        <v/>
      </c>
      <c r="M2187" s="62"/>
    </row>
    <row r="2188" spans="2:13" x14ac:dyDescent="0.3">
      <c r="B2188" s="54"/>
      <c r="C2188" s="55"/>
      <c r="D2188" s="54"/>
      <c r="E2188" s="234"/>
      <c r="F2188" s="274" t="str">
        <f>IFERROR(VLOOKUP(E2188,'Inventaire des produits'!$B$4:$K$1000,2,0),"")</f>
        <v/>
      </c>
      <c r="G2188" s="54"/>
      <c r="H2188" s="60"/>
      <c r="I2188" s="275" t="str">
        <f t="shared" si="107"/>
        <v/>
      </c>
      <c r="J2188" s="95" t="str">
        <f t="shared" si="108"/>
        <v/>
      </c>
      <c r="K2188" s="93" t="str">
        <f>IFERROR(VLOOKUP(E2188,'Inventaire des produits'!$B$4:$J$1000,5,FALSE),"")</f>
        <v/>
      </c>
      <c r="L2188" s="301" t="str">
        <f>IFERROR(VLOOKUP(E2188,'Inventaire des produits'!$B$4:$J$1000,6,FALSE),"")</f>
        <v/>
      </c>
      <c r="M2188" s="62"/>
    </row>
    <row r="2189" spans="2:13" x14ac:dyDescent="0.3">
      <c r="B2189" s="54"/>
      <c r="C2189" s="55"/>
      <c r="D2189" s="54"/>
      <c r="E2189" s="234"/>
      <c r="F2189" s="274" t="str">
        <f>IFERROR(VLOOKUP(E2189,'Inventaire des produits'!$B$4:$K$1000,2,0),"")</f>
        <v/>
      </c>
      <c r="G2189" s="54"/>
      <c r="H2189" s="60"/>
      <c r="I2189" s="275" t="str">
        <f t="shared" si="107"/>
        <v/>
      </c>
      <c r="J2189" s="95" t="str">
        <f t="shared" si="108"/>
        <v/>
      </c>
      <c r="K2189" s="93" t="str">
        <f>IFERROR(VLOOKUP(E2189,'Inventaire des produits'!$B$4:$J$1000,5,FALSE),"")</f>
        <v/>
      </c>
      <c r="L2189" s="301" t="str">
        <f>IFERROR(VLOOKUP(E2189,'Inventaire des produits'!$B$4:$J$1000,6,FALSE),"")</f>
        <v/>
      </c>
      <c r="M2189" s="62"/>
    </row>
    <row r="2190" spans="2:13" x14ac:dyDescent="0.3">
      <c r="B2190" s="54"/>
      <c r="C2190" s="55"/>
      <c r="D2190" s="54"/>
      <c r="E2190" s="234"/>
      <c r="F2190" s="274" t="str">
        <f>IFERROR(VLOOKUP(E2190,'Inventaire des produits'!$B$4:$K$1000,2,0),"")</f>
        <v/>
      </c>
      <c r="G2190" s="54"/>
      <c r="H2190" s="60"/>
      <c r="I2190" s="275" t="str">
        <f t="shared" si="107"/>
        <v/>
      </c>
      <c r="J2190" s="95" t="str">
        <f t="shared" si="108"/>
        <v/>
      </c>
      <c r="K2190" s="93" t="str">
        <f>IFERROR(VLOOKUP(E2190,'Inventaire des produits'!$B$4:$J$1000,5,FALSE),"")</f>
        <v/>
      </c>
      <c r="L2190" s="301" t="str">
        <f>IFERROR(VLOOKUP(E2190,'Inventaire des produits'!$B$4:$J$1000,6,FALSE),"")</f>
        <v/>
      </c>
      <c r="M2190" s="62"/>
    </row>
    <row r="2191" spans="2:13" x14ac:dyDescent="0.3">
      <c r="B2191" s="54"/>
      <c r="C2191" s="54"/>
      <c r="D2191" s="54"/>
      <c r="E2191" s="234"/>
      <c r="F2191" s="274" t="str">
        <f>IFERROR(VLOOKUP(E2191,'Inventaire des produits'!$B$4:$K$1000,2,0),"")</f>
        <v/>
      </c>
      <c r="G2191" s="54"/>
      <c r="H2191" s="60"/>
      <c r="I2191" s="275" t="str">
        <f t="shared" si="107"/>
        <v/>
      </c>
      <c r="J2191" s="95" t="str">
        <f t="shared" si="108"/>
        <v/>
      </c>
      <c r="K2191" s="93" t="str">
        <f>IFERROR(VLOOKUP(E2191,'Inventaire des produits'!$B$4:$J$1000,5,FALSE),"")</f>
        <v/>
      </c>
      <c r="L2191" s="301" t="str">
        <f>IFERROR(VLOOKUP(E2191,'Inventaire des produits'!$B$4:$J$1000,6,FALSE),"")</f>
        <v/>
      </c>
      <c r="M2191" s="62"/>
    </row>
    <row r="2192" spans="2:13" x14ac:dyDescent="0.3">
      <c r="B2192" s="54"/>
      <c r="C2192" s="54"/>
      <c r="D2192" s="54"/>
      <c r="E2192" s="234"/>
      <c r="F2192" s="274" t="str">
        <f>IFERROR(VLOOKUP(E2192,'Inventaire des produits'!$B$4:$K$1000,2,0),"")</f>
        <v/>
      </c>
      <c r="G2192" s="54"/>
      <c r="H2192" s="60"/>
      <c r="I2192" s="275" t="str">
        <f t="shared" si="107"/>
        <v/>
      </c>
      <c r="J2192" s="95" t="str">
        <f t="shared" si="108"/>
        <v/>
      </c>
      <c r="K2192" s="93" t="str">
        <f>IFERROR(VLOOKUP(E2192,'Inventaire des produits'!$B$4:$J$1000,5,FALSE),"")</f>
        <v/>
      </c>
      <c r="L2192" s="301" t="str">
        <f>IFERROR(VLOOKUP(E2192,'Inventaire des produits'!$B$4:$J$1000,6,FALSE),"")</f>
        <v/>
      </c>
      <c r="M2192" s="62"/>
    </row>
    <row r="2193" spans="2:13" x14ac:dyDescent="0.3">
      <c r="B2193" s="54"/>
      <c r="C2193" s="54"/>
      <c r="D2193" s="54"/>
      <c r="E2193" s="234"/>
      <c r="F2193" s="274" t="str">
        <f>IFERROR(VLOOKUP(E2193,'Inventaire des produits'!$B$4:$K$1000,2,0),"")</f>
        <v/>
      </c>
      <c r="G2193" s="54"/>
      <c r="H2193" s="60"/>
      <c r="I2193" s="275" t="str">
        <f t="shared" si="107"/>
        <v/>
      </c>
      <c r="J2193" s="95" t="str">
        <f t="shared" si="108"/>
        <v/>
      </c>
      <c r="K2193" s="93" t="str">
        <f>IFERROR(VLOOKUP(E2193,'Inventaire des produits'!$B$4:$J$1000,5,FALSE),"")</f>
        <v/>
      </c>
      <c r="L2193" s="301" t="str">
        <f>IFERROR(VLOOKUP(E2193,'Inventaire des produits'!$B$4:$J$1000,6,FALSE),"")</f>
        <v/>
      </c>
      <c r="M2193" s="62"/>
    </row>
    <row r="2194" spans="2:13" x14ac:dyDescent="0.3">
      <c r="B2194" s="54"/>
      <c r="C2194" s="54"/>
      <c r="D2194" s="54"/>
      <c r="E2194" s="234"/>
      <c r="F2194" s="274" t="str">
        <f>IFERROR(VLOOKUP(E2194,'Inventaire des produits'!$B$4:$K$1000,2,0),"")</f>
        <v/>
      </c>
      <c r="G2194" s="54"/>
      <c r="H2194" s="60"/>
      <c r="I2194" s="275" t="str">
        <f t="shared" si="107"/>
        <v/>
      </c>
      <c r="J2194" s="95" t="str">
        <f t="shared" si="108"/>
        <v/>
      </c>
      <c r="K2194" s="93" t="str">
        <f>IFERROR(VLOOKUP(E2194,'Inventaire des produits'!$B$4:$J$1000,5,FALSE),"")</f>
        <v/>
      </c>
      <c r="L2194" s="301" t="str">
        <f>IFERROR(VLOOKUP(E2194,'Inventaire des produits'!$B$4:$J$1000,6,FALSE),"")</f>
        <v/>
      </c>
      <c r="M2194" s="62"/>
    </row>
    <row r="2195" spans="2:13" x14ac:dyDescent="0.3">
      <c r="B2195" s="54"/>
      <c r="C2195" s="54"/>
      <c r="D2195" s="54"/>
      <c r="E2195" s="234"/>
      <c r="F2195" s="274" t="str">
        <f>IFERROR(VLOOKUP(E2195,'Inventaire des produits'!$B$4:$K$1000,2,0),"")</f>
        <v/>
      </c>
      <c r="G2195" s="54"/>
      <c r="H2195" s="60"/>
      <c r="I2195" s="275" t="str">
        <f t="shared" si="107"/>
        <v/>
      </c>
      <c r="J2195" s="95" t="str">
        <f t="shared" si="108"/>
        <v/>
      </c>
      <c r="K2195" s="93" t="str">
        <f>IFERROR(VLOOKUP(E2195,'Inventaire des produits'!$B$4:$J$1000,5,FALSE),"")</f>
        <v/>
      </c>
      <c r="L2195" s="301" t="str">
        <f>IFERROR(VLOOKUP(E2195,'Inventaire des produits'!$B$4:$J$1000,6,FALSE),"")</f>
        <v/>
      </c>
      <c r="M2195" s="62"/>
    </row>
    <row r="2196" spans="2:13" x14ac:dyDescent="0.3">
      <c r="B2196" s="54"/>
      <c r="C2196" s="54"/>
      <c r="D2196" s="54"/>
      <c r="E2196" s="234"/>
      <c r="F2196" s="274" t="str">
        <f>IFERROR(VLOOKUP(E2196,'Inventaire des produits'!$B$4:$K$1000,2,0),"")</f>
        <v/>
      </c>
      <c r="G2196" s="54"/>
      <c r="H2196" s="60"/>
      <c r="I2196" s="275" t="str">
        <f t="shared" si="107"/>
        <v/>
      </c>
      <c r="J2196" s="95" t="str">
        <f t="shared" si="108"/>
        <v/>
      </c>
      <c r="K2196" s="93" t="str">
        <f>IFERROR(VLOOKUP(E2196,'Inventaire des produits'!$B$4:$J$1000,5,FALSE),"")</f>
        <v/>
      </c>
      <c r="L2196" s="301" t="str">
        <f>IFERROR(VLOOKUP(E2196,'Inventaire des produits'!$B$4:$J$1000,6,FALSE),"")</f>
        <v/>
      </c>
      <c r="M2196" s="62"/>
    </row>
    <row r="2197" spans="2:13" x14ac:dyDescent="0.3">
      <c r="B2197" s="54"/>
      <c r="C2197" s="54"/>
      <c r="D2197" s="54"/>
      <c r="E2197" s="234"/>
      <c r="F2197" s="274" t="str">
        <f>IFERROR(VLOOKUP(E2197,'Inventaire des produits'!$B$4:$K$1000,2,0),"")</f>
        <v/>
      </c>
      <c r="G2197" s="54"/>
      <c r="H2197" s="60"/>
      <c r="I2197" s="275" t="str">
        <f t="shared" si="107"/>
        <v/>
      </c>
      <c r="J2197" s="95" t="str">
        <f t="shared" si="108"/>
        <v/>
      </c>
      <c r="K2197" s="93" t="str">
        <f>IFERROR(VLOOKUP(E2197,'Inventaire des produits'!$B$4:$J$1000,5,FALSE),"")</f>
        <v/>
      </c>
      <c r="L2197" s="301" t="str">
        <f>IFERROR(VLOOKUP(E2197,'Inventaire des produits'!$B$4:$J$1000,6,FALSE),"")</f>
        <v/>
      </c>
      <c r="M2197" s="62"/>
    </row>
    <row r="2198" spans="2:13" x14ac:dyDescent="0.3">
      <c r="B2198" s="54"/>
      <c r="C2198" s="54"/>
      <c r="D2198" s="54"/>
      <c r="E2198" s="234"/>
      <c r="F2198" s="274" t="str">
        <f>IFERROR(VLOOKUP(E2198,'Inventaire des produits'!$B$4:$K$1000,2,0),"")</f>
        <v/>
      </c>
      <c r="G2198" s="54"/>
      <c r="H2198" s="60"/>
      <c r="I2198" s="275" t="str">
        <f t="shared" si="107"/>
        <v/>
      </c>
      <c r="J2198" s="95" t="str">
        <f t="shared" si="108"/>
        <v/>
      </c>
      <c r="K2198" s="93" t="str">
        <f>IFERROR(VLOOKUP(E2198,'Inventaire des produits'!$B$4:$J$1000,5,FALSE),"")</f>
        <v/>
      </c>
      <c r="L2198" s="301" t="str">
        <f>IFERROR(VLOOKUP(E2198,'Inventaire des produits'!$B$4:$J$1000,6,FALSE),"")</f>
        <v/>
      </c>
      <c r="M2198" s="62"/>
    </row>
    <row r="2199" spans="2:13" x14ac:dyDescent="0.3">
      <c r="B2199" s="54"/>
      <c r="C2199" s="54"/>
      <c r="D2199" s="54"/>
      <c r="E2199" s="234"/>
      <c r="F2199" s="274" t="str">
        <f>IFERROR(VLOOKUP(E2199,'Inventaire des produits'!$B$4:$K$1000,2,0),"")</f>
        <v/>
      </c>
      <c r="G2199" s="54"/>
      <c r="H2199" s="60"/>
      <c r="I2199" s="275" t="str">
        <f t="shared" si="107"/>
        <v/>
      </c>
      <c r="J2199" s="95" t="str">
        <f t="shared" si="108"/>
        <v/>
      </c>
      <c r="K2199" s="93" t="str">
        <f>IFERROR(VLOOKUP(E2199,'Inventaire des produits'!$B$4:$J$1000,5,FALSE),"")</f>
        <v/>
      </c>
      <c r="L2199" s="301" t="str">
        <f>IFERROR(VLOOKUP(E2199,'Inventaire des produits'!$B$4:$J$1000,6,FALSE),"")</f>
        <v/>
      </c>
      <c r="M2199" s="62"/>
    </row>
    <row r="2200" spans="2:13" x14ac:dyDescent="0.3">
      <c r="B2200" s="54"/>
      <c r="C2200" s="54"/>
      <c r="D2200" s="54"/>
      <c r="E2200" s="234"/>
      <c r="F2200" s="274" t="str">
        <f>IFERROR(VLOOKUP(E2200,'Inventaire des produits'!$B$4:$K$1000,2,0),"")</f>
        <v/>
      </c>
      <c r="G2200" s="54"/>
      <c r="H2200" s="60"/>
      <c r="I2200" s="275" t="str">
        <f t="shared" si="107"/>
        <v/>
      </c>
      <c r="J2200" s="95" t="str">
        <f t="shared" si="108"/>
        <v/>
      </c>
      <c r="K2200" s="93" t="str">
        <f>IFERROR(VLOOKUP(E2200,'Inventaire des produits'!$B$4:$J$1000,5,FALSE),"")</f>
        <v/>
      </c>
      <c r="L2200" s="301" t="str">
        <f>IFERROR(VLOOKUP(E2200,'Inventaire des produits'!$B$4:$J$1000,6,FALSE),"")</f>
        <v/>
      </c>
      <c r="M2200" s="62"/>
    </row>
    <row r="2201" spans="2:13" x14ac:dyDescent="0.3">
      <c r="B2201" s="54"/>
      <c r="C2201" s="54"/>
      <c r="D2201" s="54"/>
      <c r="E2201" s="234"/>
      <c r="F2201" s="274" t="str">
        <f>IFERROR(VLOOKUP(E2201,'Inventaire des produits'!$B$4:$K$1000,2,0),"")</f>
        <v/>
      </c>
      <c r="G2201" s="54"/>
      <c r="H2201" s="60"/>
      <c r="I2201" s="275" t="str">
        <f t="shared" si="107"/>
        <v/>
      </c>
      <c r="J2201" s="95" t="str">
        <f t="shared" si="108"/>
        <v/>
      </c>
      <c r="K2201" s="93" t="str">
        <f>IFERROR(VLOOKUP(E2201,'Inventaire des produits'!$B$4:$J$1000,5,FALSE),"")</f>
        <v/>
      </c>
      <c r="L2201" s="301" t="str">
        <f>IFERROR(VLOOKUP(E2201,'Inventaire des produits'!$B$4:$J$1000,6,FALSE),"")</f>
        <v/>
      </c>
      <c r="M2201" s="62"/>
    </row>
    <row r="2202" spans="2:13" x14ac:dyDescent="0.3">
      <c r="B2202" s="54"/>
      <c r="C2202" s="54"/>
      <c r="D2202" s="54"/>
      <c r="E2202" s="234"/>
      <c r="F2202" s="274" t="str">
        <f>IFERROR(VLOOKUP(E2202,'Inventaire des produits'!$B$4:$K$1000,2,0),"")</f>
        <v/>
      </c>
      <c r="G2202" s="54"/>
      <c r="H2202" s="60"/>
      <c r="I2202" s="275" t="str">
        <f t="shared" si="107"/>
        <v/>
      </c>
      <c r="J2202" s="95" t="str">
        <f t="shared" si="108"/>
        <v/>
      </c>
      <c r="K2202" s="93" t="str">
        <f>IFERROR(VLOOKUP(E2202,'Inventaire des produits'!$B$4:$J$1000,5,FALSE),"")</f>
        <v/>
      </c>
      <c r="L2202" s="301" t="str">
        <f>IFERROR(VLOOKUP(E2202,'Inventaire des produits'!$B$4:$J$1000,6,FALSE),"")</f>
        <v/>
      </c>
      <c r="M2202" s="62"/>
    </row>
    <row r="2203" spans="2:13" x14ac:dyDescent="0.3">
      <c r="B2203" s="54"/>
      <c r="C2203" s="54"/>
      <c r="D2203" s="54"/>
      <c r="E2203" s="234"/>
      <c r="F2203" s="274" t="str">
        <f>IFERROR(VLOOKUP(E2203,'Inventaire des produits'!$B$4:$K$1000,2,0),"")</f>
        <v/>
      </c>
      <c r="G2203" s="54"/>
      <c r="H2203" s="60"/>
      <c r="I2203" s="275" t="str">
        <f t="shared" si="107"/>
        <v/>
      </c>
      <c r="J2203" s="95" t="str">
        <f t="shared" si="108"/>
        <v/>
      </c>
      <c r="K2203" s="93" t="str">
        <f>IFERROR(VLOOKUP(E2203,'Inventaire des produits'!$B$4:$J$1000,5,FALSE),"")</f>
        <v/>
      </c>
      <c r="L2203" s="301" t="str">
        <f>IFERROR(VLOOKUP(E2203,'Inventaire des produits'!$B$4:$J$1000,6,FALSE),"")</f>
        <v/>
      </c>
      <c r="M2203" s="62"/>
    </row>
    <row r="2204" spans="2:13" x14ac:dyDescent="0.3">
      <c r="B2204" s="54"/>
      <c r="C2204" s="54"/>
      <c r="D2204" s="54"/>
      <c r="E2204" s="234"/>
      <c r="F2204" s="274" t="str">
        <f>IFERROR(VLOOKUP(E2204,'Inventaire des produits'!$B$4:$K$1000,2,0),"")</f>
        <v/>
      </c>
      <c r="G2204" s="54"/>
      <c r="H2204" s="60"/>
      <c r="I2204" s="275" t="str">
        <f t="shared" si="107"/>
        <v/>
      </c>
      <c r="J2204" s="95" t="str">
        <f t="shared" si="108"/>
        <v/>
      </c>
      <c r="K2204" s="93" t="str">
        <f>IFERROR(VLOOKUP(E2204,'Inventaire des produits'!$B$4:$J$1000,5,FALSE),"")</f>
        <v/>
      </c>
      <c r="L2204" s="301" t="str">
        <f>IFERROR(VLOOKUP(E2204,'Inventaire des produits'!$B$4:$J$1000,6,FALSE),"")</f>
        <v/>
      </c>
      <c r="M2204" s="62"/>
    </row>
    <row r="2205" spans="2:13" x14ac:dyDescent="0.3">
      <c r="B2205" s="54"/>
      <c r="C2205" s="54"/>
      <c r="D2205" s="54"/>
      <c r="E2205" s="234"/>
      <c r="F2205" s="274" t="str">
        <f>IFERROR(VLOOKUP(E2205,'Inventaire des produits'!$B$4:$K$1000,2,0),"")</f>
        <v/>
      </c>
      <c r="G2205" s="54"/>
      <c r="H2205" s="60"/>
      <c r="I2205" s="275" t="str">
        <f t="shared" si="107"/>
        <v/>
      </c>
      <c r="J2205" s="95" t="str">
        <f t="shared" si="108"/>
        <v/>
      </c>
      <c r="K2205" s="93" t="str">
        <f>IFERROR(VLOOKUP(E2205,'Inventaire des produits'!$B$4:$J$1000,5,FALSE),"")</f>
        <v/>
      </c>
      <c r="L2205" s="301" t="str">
        <f>IFERROR(VLOOKUP(E2205,'Inventaire des produits'!$B$4:$J$1000,6,FALSE),"")</f>
        <v/>
      </c>
      <c r="M2205" s="62"/>
    </row>
    <row r="2206" spans="2:13" x14ac:dyDescent="0.3">
      <c r="B2206" s="54"/>
      <c r="C2206" s="54"/>
      <c r="D2206" s="54"/>
      <c r="E2206" s="234"/>
      <c r="F2206" s="274" t="str">
        <f>IFERROR(VLOOKUP(E2206,'Inventaire des produits'!$B$4:$K$1000,2,0),"")</f>
        <v/>
      </c>
      <c r="G2206" s="54"/>
      <c r="H2206" s="60"/>
      <c r="I2206" s="275" t="str">
        <f t="shared" si="107"/>
        <v/>
      </c>
      <c r="J2206" s="95" t="str">
        <f t="shared" si="108"/>
        <v/>
      </c>
      <c r="K2206" s="93" t="str">
        <f>IFERROR(VLOOKUP(E2206,'Inventaire des produits'!$B$4:$J$1000,5,FALSE),"")</f>
        <v/>
      </c>
      <c r="L2206" s="301" t="str">
        <f>IFERROR(VLOOKUP(E2206,'Inventaire des produits'!$B$4:$J$1000,6,FALSE),"")</f>
        <v/>
      </c>
      <c r="M2206" s="62"/>
    </row>
    <row r="2207" spans="2:13" x14ac:dyDescent="0.3">
      <c r="B2207" s="54"/>
      <c r="C2207" s="54"/>
      <c r="D2207" s="54"/>
      <c r="E2207" s="234"/>
      <c r="F2207" s="274" t="str">
        <f>IFERROR(VLOOKUP(E2207,'Inventaire des produits'!$B$4:$K$1000,2,0),"")</f>
        <v/>
      </c>
      <c r="G2207" s="54"/>
      <c r="H2207" s="60"/>
      <c r="I2207" s="275" t="str">
        <f t="shared" si="107"/>
        <v/>
      </c>
      <c r="J2207" s="95" t="str">
        <f t="shared" si="108"/>
        <v/>
      </c>
      <c r="K2207" s="93" t="str">
        <f>IFERROR(VLOOKUP(E2207,'Inventaire des produits'!$B$4:$J$1000,5,FALSE),"")</f>
        <v/>
      </c>
      <c r="L2207" s="301" t="str">
        <f>IFERROR(VLOOKUP(E2207,'Inventaire des produits'!$B$4:$J$1000,6,FALSE),"")</f>
        <v/>
      </c>
      <c r="M2207" s="62"/>
    </row>
    <row r="2208" spans="2:13" x14ac:dyDescent="0.3">
      <c r="B2208" s="54"/>
      <c r="C2208" s="54"/>
      <c r="D2208" s="54"/>
      <c r="E2208" s="234"/>
      <c r="F2208" s="274" t="str">
        <f>IFERROR(VLOOKUP(E2208,'Inventaire des produits'!$B$4:$K$1000,2,0),"")</f>
        <v/>
      </c>
      <c r="G2208" s="54"/>
      <c r="H2208" s="60"/>
      <c r="I2208" s="275" t="str">
        <f t="shared" si="107"/>
        <v/>
      </c>
      <c r="J2208" s="95" t="str">
        <f t="shared" si="108"/>
        <v/>
      </c>
      <c r="K2208" s="93" t="str">
        <f>IFERROR(VLOOKUP(E2208,'Inventaire des produits'!$B$4:$J$1000,5,FALSE),"")</f>
        <v/>
      </c>
      <c r="L2208" s="301" t="str">
        <f>IFERROR(VLOOKUP(E2208,'Inventaire des produits'!$B$4:$J$1000,6,FALSE),"")</f>
        <v/>
      </c>
      <c r="M2208" s="62"/>
    </row>
    <row r="2209" spans="2:13" x14ac:dyDescent="0.3">
      <c r="B2209" s="54"/>
      <c r="C2209" s="54"/>
      <c r="D2209" s="54"/>
      <c r="E2209" s="234"/>
      <c r="F2209" s="274" t="str">
        <f>IFERROR(VLOOKUP(E2209,'Inventaire des produits'!$B$4:$K$1000,2,0),"")</f>
        <v/>
      </c>
      <c r="G2209" s="54"/>
      <c r="H2209" s="60"/>
      <c r="I2209" s="275" t="str">
        <f t="shared" si="107"/>
        <v/>
      </c>
      <c r="J2209" s="95" t="str">
        <f t="shared" si="108"/>
        <v/>
      </c>
      <c r="K2209" s="93" t="str">
        <f>IFERROR(VLOOKUP(E2209,'Inventaire des produits'!$B$4:$J$1000,5,FALSE),"")</f>
        <v/>
      </c>
      <c r="L2209" s="301" t="str">
        <f>IFERROR(VLOOKUP(E2209,'Inventaire des produits'!$B$4:$J$1000,6,FALSE),"")</f>
        <v/>
      </c>
      <c r="M2209" s="62"/>
    </row>
    <row r="2210" spans="2:13" x14ac:dyDescent="0.3">
      <c r="B2210" s="54"/>
      <c r="C2210" s="54"/>
      <c r="D2210" s="54"/>
      <c r="E2210" s="234"/>
      <c r="F2210" s="274" t="str">
        <f>IFERROR(VLOOKUP(E2210,'Inventaire des produits'!$B$4:$K$1000,2,0),"")</f>
        <v/>
      </c>
      <c r="G2210" s="54"/>
      <c r="H2210" s="60"/>
      <c r="I2210" s="275" t="str">
        <f t="shared" si="107"/>
        <v/>
      </c>
      <c r="J2210" s="95" t="str">
        <f t="shared" si="108"/>
        <v/>
      </c>
      <c r="K2210" s="93" t="str">
        <f>IFERROR(VLOOKUP(E2210,'Inventaire des produits'!$B$4:$J$1000,5,FALSE),"")</f>
        <v/>
      </c>
      <c r="L2210" s="301" t="str">
        <f>IFERROR(VLOOKUP(E2210,'Inventaire des produits'!$B$4:$J$1000,6,FALSE),"")</f>
        <v/>
      </c>
      <c r="M2210" s="62"/>
    </row>
    <row r="2211" spans="2:13" x14ac:dyDescent="0.3">
      <c r="B2211" s="54"/>
      <c r="C2211" s="54"/>
      <c r="D2211" s="54"/>
      <c r="E2211" s="234"/>
      <c r="F2211" s="274" t="str">
        <f>IFERROR(VLOOKUP(E2211,'Inventaire des produits'!$B$4:$K$1000,2,0),"")</f>
        <v/>
      </c>
      <c r="G2211" s="54"/>
      <c r="H2211" s="60"/>
      <c r="I2211" s="275" t="str">
        <f t="shared" si="107"/>
        <v/>
      </c>
      <c r="J2211" s="95" t="str">
        <f t="shared" si="108"/>
        <v/>
      </c>
      <c r="K2211" s="93" t="str">
        <f>IFERROR(VLOOKUP(E2211,'Inventaire des produits'!$B$4:$J$1000,5,FALSE),"")</f>
        <v/>
      </c>
      <c r="L2211" s="301" t="str">
        <f>IFERROR(VLOOKUP(E2211,'Inventaire des produits'!$B$4:$J$1000,6,FALSE),"")</f>
        <v/>
      </c>
      <c r="M2211" s="62"/>
    </row>
    <row r="2212" spans="2:13" x14ac:dyDescent="0.3">
      <c r="B2212" s="54"/>
      <c r="C2212" s="54"/>
      <c r="D2212" s="54"/>
      <c r="E2212" s="234"/>
      <c r="F2212" s="274" t="str">
        <f>IFERROR(VLOOKUP(E2212,'Inventaire des produits'!$B$4:$K$1000,2,0),"")</f>
        <v/>
      </c>
      <c r="G2212" s="54"/>
      <c r="H2212" s="60"/>
      <c r="I2212" s="275" t="str">
        <f t="shared" si="107"/>
        <v/>
      </c>
      <c r="J2212" s="95" t="str">
        <f t="shared" si="108"/>
        <v/>
      </c>
      <c r="K2212" s="93" t="str">
        <f>IFERROR(VLOOKUP(E2212,'Inventaire des produits'!$B$4:$J$1000,5,FALSE),"")</f>
        <v/>
      </c>
      <c r="L2212" s="301" t="str">
        <f>IFERROR(VLOOKUP(E2212,'Inventaire des produits'!$B$4:$J$1000,6,FALSE),"")</f>
        <v/>
      </c>
      <c r="M2212" s="62"/>
    </row>
    <row r="2213" spans="2:13" x14ac:dyDescent="0.3">
      <c r="B2213" s="54"/>
      <c r="C2213" s="54"/>
      <c r="D2213" s="54"/>
      <c r="E2213" s="234"/>
      <c r="F2213" s="274" t="str">
        <f>IFERROR(VLOOKUP(E2213,'Inventaire des produits'!$B$4:$K$1000,2,0),"")</f>
        <v/>
      </c>
      <c r="G2213" s="54"/>
      <c r="H2213" s="60"/>
      <c r="I2213" s="275" t="str">
        <f t="shared" si="107"/>
        <v/>
      </c>
      <c r="J2213" s="95" t="str">
        <f t="shared" si="108"/>
        <v/>
      </c>
      <c r="K2213" s="93" t="str">
        <f>IFERROR(VLOOKUP(E2213,'Inventaire des produits'!$B$4:$J$1000,5,FALSE),"")</f>
        <v/>
      </c>
      <c r="L2213" s="301" t="str">
        <f>IFERROR(VLOOKUP(E2213,'Inventaire des produits'!$B$4:$J$1000,6,FALSE),"")</f>
        <v/>
      </c>
      <c r="M2213" s="62"/>
    </row>
    <row r="2214" spans="2:13" x14ac:dyDescent="0.3">
      <c r="B2214" s="54"/>
      <c r="C2214" s="54"/>
      <c r="D2214" s="54"/>
      <c r="E2214" s="234"/>
      <c r="F2214" s="274" t="str">
        <f>IFERROR(VLOOKUP(E2214,'Inventaire des produits'!$B$4:$K$1000,2,0),"")</f>
        <v/>
      </c>
      <c r="G2214" s="54"/>
      <c r="H2214" s="60"/>
      <c r="I2214" s="275" t="str">
        <f t="shared" si="107"/>
        <v/>
      </c>
      <c r="J2214" s="95" t="str">
        <f t="shared" si="108"/>
        <v/>
      </c>
      <c r="K2214" s="93" t="str">
        <f>IFERROR(VLOOKUP(E2214,'Inventaire des produits'!$B$4:$J$1000,5,FALSE),"")</f>
        <v/>
      </c>
      <c r="L2214" s="301" t="str">
        <f>IFERROR(VLOOKUP(E2214,'Inventaire des produits'!$B$4:$J$1000,6,FALSE),"")</f>
        <v/>
      </c>
      <c r="M2214" s="62"/>
    </row>
    <row r="2215" spans="2:13" x14ac:dyDescent="0.3">
      <c r="B2215" s="54"/>
      <c r="C2215" s="54"/>
      <c r="D2215" s="54"/>
      <c r="E2215" s="234"/>
      <c r="F2215" s="274" t="str">
        <f>IFERROR(VLOOKUP(E2215,'Inventaire des produits'!$B$4:$K$1000,2,0),"")</f>
        <v/>
      </c>
      <c r="G2215" s="54"/>
      <c r="H2215" s="60"/>
      <c r="I2215" s="275" t="str">
        <f t="shared" si="107"/>
        <v/>
      </c>
      <c r="J2215" s="95" t="str">
        <f t="shared" si="108"/>
        <v/>
      </c>
      <c r="K2215" s="93" t="str">
        <f>IFERROR(VLOOKUP(E2215,'Inventaire des produits'!$B$4:$J$1000,5,FALSE),"")</f>
        <v/>
      </c>
      <c r="L2215" s="301" t="str">
        <f>IFERROR(VLOOKUP(E2215,'Inventaire des produits'!$B$4:$J$1000,6,FALSE),"")</f>
        <v/>
      </c>
      <c r="M2215" s="62"/>
    </row>
    <row r="2216" spans="2:13" x14ac:dyDescent="0.3">
      <c r="B2216" s="54"/>
      <c r="C2216" s="54"/>
      <c r="D2216" s="54"/>
      <c r="E2216" s="234"/>
      <c r="F2216" s="274" t="str">
        <f>IFERROR(VLOOKUP(E2216,'Inventaire des produits'!$B$4:$K$1000,2,0),"")</f>
        <v/>
      </c>
      <c r="G2216" s="54"/>
      <c r="H2216" s="60"/>
      <c r="I2216" s="275" t="str">
        <f t="shared" si="107"/>
        <v/>
      </c>
      <c r="J2216" s="95" t="str">
        <f t="shared" si="108"/>
        <v/>
      </c>
      <c r="K2216" s="93" t="str">
        <f>IFERROR(VLOOKUP(E2216,'Inventaire des produits'!$B$4:$J$1000,5,FALSE),"")</f>
        <v/>
      </c>
      <c r="L2216" s="301" t="str">
        <f>IFERROR(VLOOKUP(E2216,'Inventaire des produits'!$B$4:$J$1000,6,FALSE),"")</f>
        <v/>
      </c>
      <c r="M2216" s="62"/>
    </row>
    <row r="2217" spans="2:13" x14ac:dyDescent="0.3">
      <c r="B2217" s="54"/>
      <c r="C2217" s="54"/>
      <c r="D2217" s="54"/>
      <c r="E2217" s="234"/>
      <c r="F2217" s="274" t="str">
        <f>IFERROR(VLOOKUP(E2217,'Inventaire des produits'!$B$4:$K$1000,2,0),"")</f>
        <v/>
      </c>
      <c r="G2217" s="54"/>
      <c r="H2217" s="60"/>
      <c r="I2217" s="275" t="str">
        <f t="shared" si="107"/>
        <v/>
      </c>
      <c r="J2217" s="95" t="str">
        <f t="shared" si="108"/>
        <v/>
      </c>
      <c r="K2217" s="93" t="str">
        <f>IFERROR(VLOOKUP(E2217,'Inventaire des produits'!$B$4:$J$1000,5,FALSE),"")</f>
        <v/>
      </c>
      <c r="L2217" s="301" t="str">
        <f>IFERROR(VLOOKUP(E2217,'Inventaire des produits'!$B$4:$J$1000,6,FALSE),"")</f>
        <v/>
      </c>
      <c r="M2217" s="62"/>
    </row>
    <row r="2218" spans="2:13" x14ac:dyDescent="0.3">
      <c r="B2218" s="54"/>
      <c r="C2218" s="54"/>
      <c r="D2218" s="54"/>
      <c r="E2218" s="234"/>
      <c r="F2218" s="274" t="str">
        <f>IFERROR(VLOOKUP(E2218,'Inventaire des produits'!$B$4:$K$1000,2,0),"")</f>
        <v/>
      </c>
      <c r="G2218" s="54"/>
      <c r="H2218" s="60"/>
      <c r="I2218" s="275" t="str">
        <f t="shared" si="107"/>
        <v/>
      </c>
      <c r="J2218" s="95" t="str">
        <f t="shared" si="108"/>
        <v/>
      </c>
      <c r="K2218" s="93" t="str">
        <f>IFERROR(VLOOKUP(E2218,'Inventaire des produits'!$B$4:$J$1000,5,FALSE),"")</f>
        <v/>
      </c>
      <c r="L2218" s="301" t="str">
        <f>IFERROR(VLOOKUP(E2218,'Inventaire des produits'!$B$4:$J$1000,6,FALSE),"")</f>
        <v/>
      </c>
      <c r="M2218" s="62"/>
    </row>
    <row r="2219" spans="2:13" x14ac:dyDescent="0.3">
      <c r="B2219" s="54"/>
      <c r="C2219" s="54"/>
      <c r="D2219" s="54"/>
      <c r="E2219" s="234"/>
      <c r="F2219" s="274" t="str">
        <f>IFERROR(VLOOKUP(E2219,'Inventaire des produits'!$B$4:$K$1000,2,0),"")</f>
        <v/>
      </c>
      <c r="G2219" s="54"/>
      <c r="H2219" s="60"/>
      <c r="I2219" s="275" t="str">
        <f t="shared" si="107"/>
        <v/>
      </c>
      <c r="J2219" s="95" t="str">
        <f t="shared" si="108"/>
        <v/>
      </c>
      <c r="K2219" s="93" t="str">
        <f>IFERROR(VLOOKUP(E2219,'Inventaire des produits'!$B$4:$J$1000,5,FALSE),"")</f>
        <v/>
      </c>
      <c r="L2219" s="301" t="str">
        <f>IFERROR(VLOOKUP(E2219,'Inventaire des produits'!$B$4:$J$1000,6,FALSE),"")</f>
        <v/>
      </c>
      <c r="M2219" s="62"/>
    </row>
    <row r="2220" spans="2:13" x14ac:dyDescent="0.3">
      <c r="B2220" s="54"/>
      <c r="C2220" s="54"/>
      <c r="D2220" s="54"/>
      <c r="E2220" s="234"/>
      <c r="F2220" s="274" t="str">
        <f>IFERROR(VLOOKUP(E2220,'Inventaire des produits'!$B$4:$K$1000,2,0),"")</f>
        <v/>
      </c>
      <c r="G2220" s="54"/>
      <c r="H2220" s="60"/>
      <c r="I2220" s="275" t="str">
        <f t="shared" si="107"/>
        <v/>
      </c>
      <c r="J2220" s="95" t="str">
        <f t="shared" si="108"/>
        <v/>
      </c>
      <c r="K2220" s="93" t="str">
        <f>IFERROR(VLOOKUP(E2220,'Inventaire des produits'!$B$4:$J$1000,5,FALSE),"")</f>
        <v/>
      </c>
      <c r="L2220" s="301" t="str">
        <f>IFERROR(VLOOKUP(E2220,'Inventaire des produits'!$B$4:$J$1000,6,FALSE),"")</f>
        <v/>
      </c>
      <c r="M2220" s="62"/>
    </row>
    <row r="2221" spans="2:13" x14ac:dyDescent="0.3">
      <c r="B2221" s="54"/>
      <c r="C2221" s="54"/>
      <c r="D2221" s="54"/>
      <c r="E2221" s="234"/>
      <c r="F2221" s="274" t="str">
        <f>IFERROR(VLOOKUP(E2221,'Inventaire des produits'!$B$4:$K$1000,2,0),"")</f>
        <v/>
      </c>
      <c r="G2221" s="54"/>
      <c r="H2221" s="60"/>
      <c r="I2221" s="275" t="str">
        <f t="shared" si="107"/>
        <v/>
      </c>
      <c r="J2221" s="95" t="str">
        <f t="shared" si="108"/>
        <v/>
      </c>
      <c r="K2221" s="93" t="str">
        <f>IFERROR(VLOOKUP(E2221,'Inventaire des produits'!$B$4:$J$1000,5,FALSE),"")</f>
        <v/>
      </c>
      <c r="L2221" s="301" t="str">
        <f>IFERROR(VLOOKUP(E2221,'Inventaire des produits'!$B$4:$J$1000,6,FALSE),"")</f>
        <v/>
      </c>
      <c r="M2221" s="62"/>
    </row>
    <row r="2222" spans="2:13" x14ac:dyDescent="0.3">
      <c r="B2222" s="54"/>
      <c r="C2222" s="54"/>
      <c r="D2222" s="54"/>
      <c r="E2222" s="234"/>
      <c r="F2222" s="274" t="str">
        <f>IFERROR(VLOOKUP(E2222,'Inventaire des produits'!$B$4:$K$1000,2,0),"")</f>
        <v/>
      </c>
      <c r="G2222" s="54"/>
      <c r="H2222" s="60"/>
      <c r="I2222" s="275" t="str">
        <f t="shared" si="107"/>
        <v/>
      </c>
      <c r="J2222" s="95" t="str">
        <f t="shared" si="108"/>
        <v/>
      </c>
      <c r="K2222" s="93" t="str">
        <f>IFERROR(VLOOKUP(E2222,'Inventaire des produits'!$B$4:$J$1000,5,FALSE),"")</f>
        <v/>
      </c>
      <c r="L2222" s="301" t="str">
        <f>IFERROR(VLOOKUP(E2222,'Inventaire des produits'!$B$4:$J$1000,6,FALSE),"")</f>
        <v/>
      </c>
      <c r="M2222" s="62"/>
    </row>
    <row r="2223" spans="2:13" x14ac:dyDescent="0.3">
      <c r="B2223" s="54"/>
      <c r="C2223" s="54"/>
      <c r="D2223" s="54"/>
      <c r="E2223" s="234"/>
      <c r="F2223" s="274" t="str">
        <f>IFERROR(VLOOKUP(E2223,'Inventaire des produits'!$B$4:$K$1000,2,0),"")</f>
        <v/>
      </c>
      <c r="G2223" s="54"/>
      <c r="H2223" s="60"/>
      <c r="I2223" s="275" t="str">
        <f t="shared" si="107"/>
        <v/>
      </c>
      <c r="J2223" s="95" t="str">
        <f t="shared" si="108"/>
        <v/>
      </c>
      <c r="K2223" s="93" t="str">
        <f>IFERROR(VLOOKUP(E2223,'Inventaire des produits'!$B$4:$J$1000,5,FALSE),"")</f>
        <v/>
      </c>
      <c r="L2223" s="301" t="str">
        <f>IFERROR(VLOOKUP(E2223,'Inventaire des produits'!$B$4:$J$1000,6,FALSE),"")</f>
        <v/>
      </c>
      <c r="M2223" s="62"/>
    </row>
    <row r="2224" spans="2:13" x14ac:dyDescent="0.3">
      <c r="B2224" s="54"/>
      <c r="C2224" s="54"/>
      <c r="D2224" s="54"/>
      <c r="E2224" s="234"/>
      <c r="F2224" s="274" t="str">
        <f>IFERROR(VLOOKUP(E2224,'Inventaire des produits'!$B$4:$K$1000,2,0),"")</f>
        <v/>
      </c>
      <c r="G2224" s="54"/>
      <c r="H2224" s="60"/>
      <c r="I2224" s="275" t="str">
        <f t="shared" si="107"/>
        <v/>
      </c>
      <c r="J2224" s="95" t="str">
        <f t="shared" si="108"/>
        <v/>
      </c>
      <c r="K2224" s="93" t="str">
        <f>IFERROR(VLOOKUP(E2224,'Inventaire des produits'!$B$4:$J$1000,5,FALSE),"")</f>
        <v/>
      </c>
      <c r="L2224" s="301" t="str">
        <f>IFERROR(VLOOKUP(E2224,'Inventaire des produits'!$B$4:$J$1000,6,FALSE),"")</f>
        <v/>
      </c>
      <c r="M2224" s="62"/>
    </row>
    <row r="2225" spans="2:13" x14ac:dyDescent="0.3">
      <c r="B2225" s="54"/>
      <c r="C2225" s="54"/>
      <c r="D2225" s="54"/>
      <c r="E2225" s="234"/>
      <c r="F2225" s="274" t="str">
        <f>IFERROR(VLOOKUP(E2225,'Inventaire des produits'!$B$4:$K$1000,2,0),"")</f>
        <v/>
      </c>
      <c r="G2225" s="54"/>
      <c r="H2225" s="60"/>
      <c r="I2225" s="275" t="str">
        <f t="shared" si="107"/>
        <v/>
      </c>
      <c r="J2225" s="95" t="str">
        <f t="shared" si="108"/>
        <v/>
      </c>
      <c r="K2225" s="93" t="str">
        <f>IFERROR(VLOOKUP(E2225,'Inventaire des produits'!$B$4:$J$1000,5,FALSE),"")</f>
        <v/>
      </c>
      <c r="L2225" s="301" t="str">
        <f>IFERROR(VLOOKUP(E2225,'Inventaire des produits'!$B$4:$J$1000,6,FALSE),"")</f>
        <v/>
      </c>
      <c r="M2225" s="62"/>
    </row>
    <row r="2226" spans="2:13" x14ac:dyDescent="0.3">
      <c r="B2226" s="54"/>
      <c r="C2226" s="54"/>
      <c r="D2226" s="54"/>
      <c r="E2226" s="234"/>
      <c r="F2226" s="274" t="str">
        <f>IFERROR(VLOOKUP(E2226,'Inventaire des produits'!$B$4:$K$1000,2,0),"")</f>
        <v/>
      </c>
      <c r="G2226" s="54"/>
      <c r="H2226" s="60"/>
      <c r="I2226" s="275" t="str">
        <f t="shared" ref="I2226:I2289" si="109">IF(OR(G2226="",H2226=""),"",G2226*H2226)</f>
        <v/>
      </c>
      <c r="J2226" s="95" t="str">
        <f t="shared" ref="J2226:J2289" si="110">IF(OR(I2226=""),"",I2226*1.2)</f>
        <v/>
      </c>
      <c r="K2226" s="93" t="str">
        <f>IFERROR(VLOOKUP(E2226,'Inventaire des produits'!$B$4:$J$1000,5,FALSE),"")</f>
        <v/>
      </c>
      <c r="L2226" s="301" t="str">
        <f>IFERROR(VLOOKUP(E2226,'Inventaire des produits'!$B$4:$J$1000,6,FALSE),"")</f>
        <v/>
      </c>
      <c r="M2226" s="62"/>
    </row>
    <row r="2227" spans="2:13" x14ac:dyDescent="0.3">
      <c r="B2227" s="54"/>
      <c r="C2227" s="54"/>
      <c r="D2227" s="54"/>
      <c r="E2227" s="234"/>
      <c r="F2227" s="274" t="str">
        <f>IFERROR(VLOOKUP(E2227,'Inventaire des produits'!$B$4:$K$1000,2,0),"")</f>
        <v/>
      </c>
      <c r="G2227" s="54"/>
      <c r="H2227" s="60"/>
      <c r="I2227" s="275" t="str">
        <f t="shared" si="109"/>
        <v/>
      </c>
      <c r="J2227" s="95" t="str">
        <f t="shared" si="110"/>
        <v/>
      </c>
      <c r="K2227" s="93" t="str">
        <f>IFERROR(VLOOKUP(E2227,'Inventaire des produits'!$B$4:$J$1000,5,FALSE),"")</f>
        <v/>
      </c>
      <c r="L2227" s="301" t="str">
        <f>IFERROR(VLOOKUP(E2227,'Inventaire des produits'!$B$4:$J$1000,6,FALSE),"")</f>
        <v/>
      </c>
      <c r="M2227" s="62"/>
    </row>
    <row r="2228" spans="2:13" x14ac:dyDescent="0.3">
      <c r="B2228" s="54"/>
      <c r="C2228" s="54"/>
      <c r="D2228" s="54"/>
      <c r="E2228" s="234"/>
      <c r="F2228" s="274" t="str">
        <f>IFERROR(VLOOKUP(E2228,'Inventaire des produits'!$B$4:$K$1000,2,0),"")</f>
        <v/>
      </c>
      <c r="G2228" s="54"/>
      <c r="H2228" s="60"/>
      <c r="I2228" s="275" t="str">
        <f t="shared" si="109"/>
        <v/>
      </c>
      <c r="J2228" s="95" t="str">
        <f t="shared" si="110"/>
        <v/>
      </c>
      <c r="K2228" s="93" t="str">
        <f>IFERROR(VLOOKUP(E2228,'Inventaire des produits'!$B$4:$J$1000,5,FALSE),"")</f>
        <v/>
      </c>
      <c r="L2228" s="301" t="str">
        <f>IFERROR(VLOOKUP(E2228,'Inventaire des produits'!$B$4:$J$1000,6,FALSE),"")</f>
        <v/>
      </c>
      <c r="M2228" s="62"/>
    </row>
    <row r="2229" spans="2:13" x14ac:dyDescent="0.3">
      <c r="B2229" s="54"/>
      <c r="C2229" s="54"/>
      <c r="D2229" s="54"/>
      <c r="E2229" s="234"/>
      <c r="F2229" s="274" t="str">
        <f>IFERROR(VLOOKUP(E2229,'Inventaire des produits'!$B$4:$K$1000,2,0),"")</f>
        <v/>
      </c>
      <c r="G2229" s="54"/>
      <c r="H2229" s="60"/>
      <c r="I2229" s="275" t="str">
        <f t="shared" si="109"/>
        <v/>
      </c>
      <c r="J2229" s="95" t="str">
        <f t="shared" si="110"/>
        <v/>
      </c>
      <c r="K2229" s="93" t="str">
        <f>IFERROR(VLOOKUP(E2229,'Inventaire des produits'!$B$4:$J$1000,5,FALSE),"")</f>
        <v/>
      </c>
      <c r="L2229" s="301" t="str">
        <f>IFERROR(VLOOKUP(E2229,'Inventaire des produits'!$B$4:$J$1000,6,FALSE),"")</f>
        <v/>
      </c>
      <c r="M2229" s="62"/>
    </row>
    <row r="2230" spans="2:13" x14ac:dyDescent="0.3">
      <c r="B2230" s="54"/>
      <c r="C2230" s="54"/>
      <c r="D2230" s="54"/>
      <c r="E2230" s="234"/>
      <c r="F2230" s="274" t="str">
        <f>IFERROR(VLOOKUP(E2230,'Inventaire des produits'!$B$4:$K$1000,2,0),"")</f>
        <v/>
      </c>
      <c r="G2230" s="54"/>
      <c r="H2230" s="60"/>
      <c r="I2230" s="275" t="str">
        <f t="shared" si="109"/>
        <v/>
      </c>
      <c r="J2230" s="95" t="str">
        <f t="shared" si="110"/>
        <v/>
      </c>
      <c r="K2230" s="93" t="str">
        <f>IFERROR(VLOOKUP(E2230,'Inventaire des produits'!$B$4:$J$1000,5,FALSE),"")</f>
        <v/>
      </c>
      <c r="L2230" s="301" t="str">
        <f>IFERROR(VLOOKUP(E2230,'Inventaire des produits'!$B$4:$J$1000,6,FALSE),"")</f>
        <v/>
      </c>
      <c r="M2230" s="62"/>
    </row>
    <row r="2231" spans="2:13" x14ac:dyDescent="0.3">
      <c r="B2231" s="54"/>
      <c r="C2231" s="54"/>
      <c r="D2231" s="54"/>
      <c r="E2231" s="234"/>
      <c r="F2231" s="274" t="str">
        <f>IFERROR(VLOOKUP(E2231,'Inventaire des produits'!$B$4:$K$1000,2,0),"")</f>
        <v/>
      </c>
      <c r="G2231" s="54"/>
      <c r="H2231" s="60"/>
      <c r="I2231" s="275" t="str">
        <f t="shared" si="109"/>
        <v/>
      </c>
      <c r="J2231" s="95" t="str">
        <f t="shared" si="110"/>
        <v/>
      </c>
      <c r="K2231" s="93" t="str">
        <f>IFERROR(VLOOKUP(E2231,'Inventaire des produits'!$B$4:$J$1000,5,FALSE),"")</f>
        <v/>
      </c>
      <c r="L2231" s="301" t="str">
        <f>IFERROR(VLOOKUP(E2231,'Inventaire des produits'!$B$4:$J$1000,6,FALSE),"")</f>
        <v/>
      </c>
      <c r="M2231" s="62"/>
    </row>
    <row r="2232" spans="2:13" x14ac:dyDescent="0.3">
      <c r="B2232" s="54"/>
      <c r="C2232" s="54"/>
      <c r="D2232" s="54"/>
      <c r="E2232" s="234"/>
      <c r="F2232" s="274" t="str">
        <f>IFERROR(VLOOKUP(E2232,'Inventaire des produits'!$B$4:$K$1000,2,0),"")</f>
        <v/>
      </c>
      <c r="G2232" s="54"/>
      <c r="H2232" s="60"/>
      <c r="I2232" s="275" t="str">
        <f t="shared" si="109"/>
        <v/>
      </c>
      <c r="J2232" s="95" t="str">
        <f t="shared" si="110"/>
        <v/>
      </c>
      <c r="K2232" s="93" t="str">
        <f>IFERROR(VLOOKUP(E2232,'Inventaire des produits'!$B$4:$J$1000,5,FALSE),"")</f>
        <v/>
      </c>
      <c r="L2232" s="301" t="str">
        <f>IFERROR(VLOOKUP(E2232,'Inventaire des produits'!$B$4:$J$1000,6,FALSE),"")</f>
        <v/>
      </c>
      <c r="M2232" s="62"/>
    </row>
    <row r="2233" spans="2:13" x14ac:dyDescent="0.3">
      <c r="B2233" s="54"/>
      <c r="C2233" s="54"/>
      <c r="D2233" s="54"/>
      <c r="E2233" s="234"/>
      <c r="F2233" s="274" t="str">
        <f>IFERROR(VLOOKUP(E2233,'Inventaire des produits'!$B$4:$K$1000,2,0),"")</f>
        <v/>
      </c>
      <c r="G2233" s="54"/>
      <c r="H2233" s="60"/>
      <c r="I2233" s="275" t="str">
        <f t="shared" si="109"/>
        <v/>
      </c>
      <c r="J2233" s="95" t="str">
        <f t="shared" si="110"/>
        <v/>
      </c>
      <c r="K2233" s="93" t="str">
        <f>IFERROR(VLOOKUP(E2233,'Inventaire des produits'!$B$4:$J$1000,5,FALSE),"")</f>
        <v/>
      </c>
      <c r="L2233" s="301" t="str">
        <f>IFERROR(VLOOKUP(E2233,'Inventaire des produits'!$B$4:$J$1000,6,FALSE),"")</f>
        <v/>
      </c>
      <c r="M2233" s="62"/>
    </row>
    <row r="2234" spans="2:13" x14ac:dyDescent="0.3">
      <c r="B2234" s="54"/>
      <c r="C2234" s="54"/>
      <c r="D2234" s="54"/>
      <c r="E2234" s="234"/>
      <c r="F2234" s="274" t="str">
        <f>IFERROR(VLOOKUP(E2234,'Inventaire des produits'!$B$4:$K$1000,2,0),"")</f>
        <v/>
      </c>
      <c r="G2234" s="54"/>
      <c r="H2234" s="60"/>
      <c r="I2234" s="275" t="str">
        <f t="shared" si="109"/>
        <v/>
      </c>
      <c r="J2234" s="95" t="str">
        <f t="shared" si="110"/>
        <v/>
      </c>
      <c r="K2234" s="93" t="str">
        <f>IFERROR(VLOOKUP(E2234,'Inventaire des produits'!$B$4:$J$1000,5,FALSE),"")</f>
        <v/>
      </c>
      <c r="L2234" s="301" t="str">
        <f>IFERROR(VLOOKUP(E2234,'Inventaire des produits'!$B$4:$J$1000,6,FALSE),"")</f>
        <v/>
      </c>
      <c r="M2234" s="62"/>
    </row>
    <row r="2235" spans="2:13" x14ac:dyDescent="0.3">
      <c r="B2235" s="54"/>
      <c r="C2235" s="54"/>
      <c r="D2235" s="54"/>
      <c r="E2235" s="234"/>
      <c r="F2235" s="274" t="str">
        <f>IFERROR(VLOOKUP(E2235,'Inventaire des produits'!$B$4:$K$1000,2,0),"")</f>
        <v/>
      </c>
      <c r="G2235" s="54"/>
      <c r="H2235" s="60"/>
      <c r="I2235" s="275" t="str">
        <f t="shared" si="109"/>
        <v/>
      </c>
      <c r="J2235" s="95" t="str">
        <f t="shared" si="110"/>
        <v/>
      </c>
      <c r="K2235" s="93" t="str">
        <f>IFERROR(VLOOKUP(E2235,'Inventaire des produits'!$B$4:$J$1000,5,FALSE),"")</f>
        <v/>
      </c>
      <c r="L2235" s="301" t="str">
        <f>IFERROR(VLOOKUP(E2235,'Inventaire des produits'!$B$4:$J$1000,6,FALSE),"")</f>
        <v/>
      </c>
      <c r="M2235" s="62"/>
    </row>
    <row r="2236" spans="2:13" x14ac:dyDescent="0.3">
      <c r="B2236" s="54"/>
      <c r="C2236" s="54"/>
      <c r="D2236" s="54"/>
      <c r="E2236" s="234"/>
      <c r="F2236" s="274" t="str">
        <f>IFERROR(VLOOKUP(E2236,'Inventaire des produits'!$B$4:$K$1000,2,0),"")</f>
        <v/>
      </c>
      <c r="G2236" s="54"/>
      <c r="H2236" s="60"/>
      <c r="I2236" s="275" t="str">
        <f t="shared" si="109"/>
        <v/>
      </c>
      <c r="J2236" s="95" t="str">
        <f t="shared" si="110"/>
        <v/>
      </c>
      <c r="K2236" s="93" t="str">
        <f>IFERROR(VLOOKUP(E2236,'Inventaire des produits'!$B$4:$J$1000,5,FALSE),"")</f>
        <v/>
      </c>
      <c r="L2236" s="301" t="str">
        <f>IFERROR(VLOOKUP(E2236,'Inventaire des produits'!$B$4:$J$1000,6,FALSE),"")</f>
        <v/>
      </c>
      <c r="M2236" s="62"/>
    </row>
    <row r="2237" spans="2:13" x14ac:dyDescent="0.3">
      <c r="B2237" s="54"/>
      <c r="C2237" s="54"/>
      <c r="D2237" s="54"/>
      <c r="E2237" s="234"/>
      <c r="F2237" s="274" t="str">
        <f>IFERROR(VLOOKUP(E2237,'Inventaire des produits'!$B$4:$K$1000,2,0),"")</f>
        <v/>
      </c>
      <c r="G2237" s="54"/>
      <c r="H2237" s="60"/>
      <c r="I2237" s="275" t="str">
        <f t="shared" si="109"/>
        <v/>
      </c>
      <c r="J2237" s="95" t="str">
        <f t="shared" si="110"/>
        <v/>
      </c>
      <c r="K2237" s="93" t="str">
        <f>IFERROR(VLOOKUP(E2237,'Inventaire des produits'!$B$4:$J$1000,5,FALSE),"")</f>
        <v/>
      </c>
      <c r="L2237" s="301" t="str">
        <f>IFERROR(VLOOKUP(E2237,'Inventaire des produits'!$B$4:$J$1000,6,FALSE),"")</f>
        <v/>
      </c>
      <c r="M2237" s="62"/>
    </row>
    <row r="2238" spans="2:13" x14ac:dyDescent="0.3">
      <c r="B2238" s="54"/>
      <c r="C2238" s="54"/>
      <c r="D2238" s="54"/>
      <c r="E2238" s="234"/>
      <c r="F2238" s="274" t="str">
        <f>IFERROR(VLOOKUP(E2238,'Inventaire des produits'!$B$4:$K$1000,2,0),"")</f>
        <v/>
      </c>
      <c r="G2238" s="54"/>
      <c r="H2238" s="60"/>
      <c r="I2238" s="275" t="str">
        <f t="shared" si="109"/>
        <v/>
      </c>
      <c r="J2238" s="95" t="str">
        <f t="shared" si="110"/>
        <v/>
      </c>
      <c r="K2238" s="93" t="str">
        <f>IFERROR(VLOOKUP(E2238,'Inventaire des produits'!$B$4:$J$1000,5,FALSE),"")</f>
        <v/>
      </c>
      <c r="L2238" s="301" t="str">
        <f>IFERROR(VLOOKUP(E2238,'Inventaire des produits'!$B$4:$J$1000,6,FALSE),"")</f>
        <v/>
      </c>
      <c r="M2238" s="62"/>
    </row>
    <row r="2239" spans="2:13" x14ac:dyDescent="0.3">
      <c r="B2239" s="54"/>
      <c r="C2239" s="54"/>
      <c r="D2239" s="54"/>
      <c r="E2239" s="234"/>
      <c r="F2239" s="274" t="str">
        <f>IFERROR(VLOOKUP(E2239,'Inventaire des produits'!$B$4:$K$1000,2,0),"")</f>
        <v/>
      </c>
      <c r="G2239" s="54"/>
      <c r="H2239" s="60"/>
      <c r="I2239" s="275" t="str">
        <f t="shared" si="109"/>
        <v/>
      </c>
      <c r="J2239" s="95" t="str">
        <f t="shared" si="110"/>
        <v/>
      </c>
      <c r="K2239" s="93" t="str">
        <f>IFERROR(VLOOKUP(E2239,'Inventaire des produits'!$B$4:$J$1000,5,FALSE),"")</f>
        <v/>
      </c>
      <c r="L2239" s="301" t="str">
        <f>IFERROR(VLOOKUP(E2239,'Inventaire des produits'!$B$4:$J$1000,6,FALSE),"")</f>
        <v/>
      </c>
      <c r="M2239" s="62"/>
    </row>
    <row r="2240" spans="2:13" x14ac:dyDescent="0.3">
      <c r="B2240" s="54"/>
      <c r="C2240" s="54"/>
      <c r="D2240" s="54"/>
      <c r="E2240" s="234"/>
      <c r="F2240" s="274" t="str">
        <f>IFERROR(VLOOKUP(E2240,'Inventaire des produits'!$B$4:$K$1000,2,0),"")</f>
        <v/>
      </c>
      <c r="G2240" s="54"/>
      <c r="H2240" s="60"/>
      <c r="I2240" s="275" t="str">
        <f t="shared" si="109"/>
        <v/>
      </c>
      <c r="J2240" s="95" t="str">
        <f t="shared" si="110"/>
        <v/>
      </c>
      <c r="K2240" s="93" t="str">
        <f>IFERROR(VLOOKUP(E2240,'Inventaire des produits'!$B$4:$J$1000,5,FALSE),"")</f>
        <v/>
      </c>
      <c r="L2240" s="301" t="str">
        <f>IFERROR(VLOOKUP(E2240,'Inventaire des produits'!$B$4:$J$1000,6,FALSE),"")</f>
        <v/>
      </c>
      <c r="M2240" s="62"/>
    </row>
    <row r="2241" spans="2:13" x14ac:dyDescent="0.3">
      <c r="B2241" s="54"/>
      <c r="C2241" s="54"/>
      <c r="D2241" s="54"/>
      <c r="E2241" s="234"/>
      <c r="F2241" s="274" t="str">
        <f>IFERROR(VLOOKUP(E2241,'Inventaire des produits'!$B$4:$K$1000,2,0),"")</f>
        <v/>
      </c>
      <c r="G2241" s="54"/>
      <c r="H2241" s="60"/>
      <c r="I2241" s="275" t="str">
        <f t="shared" si="109"/>
        <v/>
      </c>
      <c r="J2241" s="95" t="str">
        <f t="shared" si="110"/>
        <v/>
      </c>
      <c r="K2241" s="93" t="str">
        <f>IFERROR(VLOOKUP(E2241,'Inventaire des produits'!$B$4:$J$1000,5,FALSE),"")</f>
        <v/>
      </c>
      <c r="L2241" s="301" t="str">
        <f>IFERROR(VLOOKUP(E2241,'Inventaire des produits'!$B$4:$J$1000,6,FALSE),"")</f>
        <v/>
      </c>
      <c r="M2241" s="62"/>
    </row>
    <row r="2242" spans="2:13" x14ac:dyDescent="0.3">
      <c r="B2242" s="54"/>
      <c r="C2242" s="54"/>
      <c r="D2242" s="54"/>
      <c r="E2242" s="234"/>
      <c r="F2242" s="274" t="str">
        <f>IFERROR(VLOOKUP(E2242,'Inventaire des produits'!$B$4:$K$1000,2,0),"")</f>
        <v/>
      </c>
      <c r="G2242" s="54"/>
      <c r="H2242" s="60"/>
      <c r="I2242" s="275" t="str">
        <f t="shared" si="109"/>
        <v/>
      </c>
      <c r="J2242" s="95" t="str">
        <f t="shared" si="110"/>
        <v/>
      </c>
      <c r="K2242" s="93" t="str">
        <f>IFERROR(VLOOKUP(E2242,'Inventaire des produits'!$B$4:$J$1000,5,FALSE),"")</f>
        <v/>
      </c>
      <c r="L2242" s="301" t="str">
        <f>IFERROR(VLOOKUP(E2242,'Inventaire des produits'!$B$4:$J$1000,6,FALSE),"")</f>
        <v/>
      </c>
      <c r="M2242" s="62"/>
    </row>
    <row r="2243" spans="2:13" x14ac:dyDescent="0.3">
      <c r="B2243" s="54"/>
      <c r="C2243" s="54"/>
      <c r="D2243" s="54"/>
      <c r="E2243" s="234"/>
      <c r="F2243" s="274" t="str">
        <f>IFERROR(VLOOKUP(E2243,'Inventaire des produits'!$B$4:$K$1000,2,0),"")</f>
        <v/>
      </c>
      <c r="G2243" s="54"/>
      <c r="H2243" s="60"/>
      <c r="I2243" s="275" t="str">
        <f t="shared" si="109"/>
        <v/>
      </c>
      <c r="J2243" s="95" t="str">
        <f t="shared" si="110"/>
        <v/>
      </c>
      <c r="K2243" s="93" t="str">
        <f>IFERROR(VLOOKUP(E2243,'Inventaire des produits'!$B$4:$J$1000,5,FALSE),"")</f>
        <v/>
      </c>
      <c r="L2243" s="301" t="str">
        <f>IFERROR(VLOOKUP(E2243,'Inventaire des produits'!$B$4:$J$1000,6,FALSE),"")</f>
        <v/>
      </c>
      <c r="M2243" s="62"/>
    </row>
    <row r="2244" spans="2:13" x14ac:dyDescent="0.3">
      <c r="B2244" s="54"/>
      <c r="C2244" s="54"/>
      <c r="D2244" s="54"/>
      <c r="E2244" s="234"/>
      <c r="F2244" s="274" t="str">
        <f>IFERROR(VLOOKUP(E2244,'Inventaire des produits'!$B$4:$K$1000,2,0),"")</f>
        <v/>
      </c>
      <c r="G2244" s="54"/>
      <c r="H2244" s="60"/>
      <c r="I2244" s="275" t="str">
        <f t="shared" si="109"/>
        <v/>
      </c>
      <c r="J2244" s="95" t="str">
        <f t="shared" si="110"/>
        <v/>
      </c>
      <c r="K2244" s="93" t="str">
        <f>IFERROR(VLOOKUP(E2244,'Inventaire des produits'!$B$4:$J$1000,5,FALSE),"")</f>
        <v/>
      </c>
      <c r="L2244" s="301" t="str">
        <f>IFERROR(VLOOKUP(E2244,'Inventaire des produits'!$B$4:$J$1000,6,FALSE),"")</f>
        <v/>
      </c>
      <c r="M2244" s="62"/>
    </row>
    <row r="2245" spans="2:13" x14ac:dyDescent="0.3">
      <c r="B2245" s="54"/>
      <c r="C2245" s="54"/>
      <c r="D2245" s="54"/>
      <c r="E2245" s="234"/>
      <c r="F2245" s="274" t="str">
        <f>IFERROR(VLOOKUP(E2245,'Inventaire des produits'!$B$4:$K$1000,2,0),"")</f>
        <v/>
      </c>
      <c r="G2245" s="54"/>
      <c r="H2245" s="60"/>
      <c r="I2245" s="275" t="str">
        <f t="shared" si="109"/>
        <v/>
      </c>
      <c r="J2245" s="95" t="str">
        <f t="shared" si="110"/>
        <v/>
      </c>
      <c r="K2245" s="93" t="str">
        <f>IFERROR(VLOOKUP(E2245,'Inventaire des produits'!$B$4:$J$1000,5,FALSE),"")</f>
        <v/>
      </c>
      <c r="L2245" s="301" t="str">
        <f>IFERROR(VLOOKUP(E2245,'Inventaire des produits'!$B$4:$J$1000,6,FALSE),"")</f>
        <v/>
      </c>
      <c r="M2245" s="62"/>
    </row>
    <row r="2246" spans="2:13" x14ac:dyDescent="0.3">
      <c r="B2246" s="54"/>
      <c r="C2246" s="54"/>
      <c r="D2246" s="54"/>
      <c r="E2246" s="234"/>
      <c r="F2246" s="274" t="str">
        <f>IFERROR(VLOOKUP(E2246,'Inventaire des produits'!$B$4:$K$1000,2,0),"")</f>
        <v/>
      </c>
      <c r="G2246" s="54"/>
      <c r="H2246" s="60"/>
      <c r="I2246" s="275" t="str">
        <f t="shared" si="109"/>
        <v/>
      </c>
      <c r="J2246" s="95" t="str">
        <f t="shared" si="110"/>
        <v/>
      </c>
      <c r="K2246" s="93" t="str">
        <f>IFERROR(VLOOKUP(E2246,'Inventaire des produits'!$B$4:$J$1000,5,FALSE),"")</f>
        <v/>
      </c>
      <c r="L2246" s="301" t="str">
        <f>IFERROR(VLOOKUP(E2246,'Inventaire des produits'!$B$4:$J$1000,6,FALSE),"")</f>
        <v/>
      </c>
      <c r="M2246" s="62"/>
    </row>
    <row r="2247" spans="2:13" x14ac:dyDescent="0.3">
      <c r="B2247" s="54"/>
      <c r="C2247" s="54"/>
      <c r="D2247" s="54"/>
      <c r="E2247" s="234"/>
      <c r="F2247" s="274" t="str">
        <f>IFERROR(VLOOKUP(E2247,'Inventaire des produits'!$B$4:$K$1000,2,0),"")</f>
        <v/>
      </c>
      <c r="G2247" s="54"/>
      <c r="H2247" s="60"/>
      <c r="I2247" s="275" t="str">
        <f t="shared" si="109"/>
        <v/>
      </c>
      <c r="J2247" s="95" t="str">
        <f t="shared" si="110"/>
        <v/>
      </c>
      <c r="K2247" s="93" t="str">
        <f>IFERROR(VLOOKUP(E2247,'Inventaire des produits'!$B$4:$J$1000,5,FALSE),"")</f>
        <v/>
      </c>
      <c r="L2247" s="301" t="str">
        <f>IFERROR(VLOOKUP(E2247,'Inventaire des produits'!$B$4:$J$1000,6,FALSE),"")</f>
        <v/>
      </c>
      <c r="M2247" s="62"/>
    </row>
    <row r="2248" spans="2:13" x14ac:dyDescent="0.3">
      <c r="B2248" s="54"/>
      <c r="C2248" s="54"/>
      <c r="D2248" s="54"/>
      <c r="E2248" s="234"/>
      <c r="F2248" s="274" t="str">
        <f>IFERROR(VLOOKUP(E2248,'Inventaire des produits'!$B$4:$K$1000,2,0),"")</f>
        <v/>
      </c>
      <c r="G2248" s="54"/>
      <c r="H2248" s="60"/>
      <c r="I2248" s="275" t="str">
        <f t="shared" si="109"/>
        <v/>
      </c>
      <c r="J2248" s="95" t="str">
        <f t="shared" si="110"/>
        <v/>
      </c>
      <c r="K2248" s="93" t="str">
        <f>IFERROR(VLOOKUP(E2248,'Inventaire des produits'!$B$4:$J$1000,5,FALSE),"")</f>
        <v/>
      </c>
      <c r="L2248" s="301" t="str">
        <f>IFERROR(VLOOKUP(E2248,'Inventaire des produits'!$B$4:$J$1000,6,FALSE),"")</f>
        <v/>
      </c>
      <c r="M2248" s="62"/>
    </row>
    <row r="2249" spans="2:13" x14ac:dyDescent="0.3">
      <c r="B2249" s="54"/>
      <c r="C2249" s="54"/>
      <c r="D2249" s="54"/>
      <c r="E2249" s="234"/>
      <c r="F2249" s="274" t="str">
        <f>IFERROR(VLOOKUP(E2249,'Inventaire des produits'!$B$4:$K$1000,2,0),"")</f>
        <v/>
      </c>
      <c r="G2249" s="54"/>
      <c r="H2249" s="60"/>
      <c r="I2249" s="275" t="str">
        <f t="shared" si="109"/>
        <v/>
      </c>
      <c r="J2249" s="95" t="str">
        <f t="shared" si="110"/>
        <v/>
      </c>
      <c r="K2249" s="93" t="str">
        <f>IFERROR(VLOOKUP(E2249,'Inventaire des produits'!$B$4:$J$1000,5,FALSE),"")</f>
        <v/>
      </c>
      <c r="L2249" s="301" t="str">
        <f>IFERROR(VLOOKUP(E2249,'Inventaire des produits'!$B$4:$J$1000,6,FALSE),"")</f>
        <v/>
      </c>
      <c r="M2249" s="62"/>
    </row>
    <row r="2250" spans="2:13" x14ac:dyDescent="0.3">
      <c r="B2250" s="54"/>
      <c r="C2250" s="54"/>
      <c r="D2250" s="54"/>
      <c r="E2250" s="234"/>
      <c r="F2250" s="274" t="str">
        <f>IFERROR(VLOOKUP(E2250,'Inventaire des produits'!$B$4:$K$1000,2,0),"")</f>
        <v/>
      </c>
      <c r="G2250" s="54"/>
      <c r="H2250" s="60"/>
      <c r="I2250" s="275" t="str">
        <f t="shared" si="109"/>
        <v/>
      </c>
      <c r="J2250" s="95" t="str">
        <f t="shared" si="110"/>
        <v/>
      </c>
      <c r="K2250" s="93" t="str">
        <f>IFERROR(VLOOKUP(E2250,'Inventaire des produits'!$B$4:$J$1000,5,FALSE),"")</f>
        <v/>
      </c>
      <c r="L2250" s="301" t="str">
        <f>IFERROR(VLOOKUP(E2250,'Inventaire des produits'!$B$4:$J$1000,6,FALSE),"")</f>
        <v/>
      </c>
      <c r="M2250" s="62"/>
    </row>
    <row r="2251" spans="2:13" x14ac:dyDescent="0.3">
      <c r="B2251" s="54"/>
      <c r="C2251" s="54"/>
      <c r="D2251" s="54"/>
      <c r="E2251" s="234"/>
      <c r="F2251" s="274" t="str">
        <f>IFERROR(VLOOKUP(E2251,'Inventaire des produits'!$B$4:$K$1000,2,0),"")</f>
        <v/>
      </c>
      <c r="G2251" s="54"/>
      <c r="H2251" s="60"/>
      <c r="I2251" s="275" t="str">
        <f t="shared" si="109"/>
        <v/>
      </c>
      <c r="J2251" s="95" t="str">
        <f t="shared" si="110"/>
        <v/>
      </c>
      <c r="K2251" s="93" t="str">
        <f>IFERROR(VLOOKUP(E2251,'Inventaire des produits'!$B$4:$J$1000,5,FALSE),"")</f>
        <v/>
      </c>
      <c r="L2251" s="301" t="str">
        <f>IFERROR(VLOOKUP(E2251,'Inventaire des produits'!$B$4:$J$1000,6,FALSE),"")</f>
        <v/>
      </c>
      <c r="M2251" s="62"/>
    </row>
    <row r="2252" spans="2:13" x14ac:dyDescent="0.3">
      <c r="B2252" s="54"/>
      <c r="C2252" s="54"/>
      <c r="D2252" s="54"/>
      <c r="E2252" s="234"/>
      <c r="F2252" s="274" t="str">
        <f>IFERROR(VLOOKUP(E2252,'Inventaire des produits'!$B$4:$K$1000,2,0),"")</f>
        <v/>
      </c>
      <c r="G2252" s="54"/>
      <c r="H2252" s="60"/>
      <c r="I2252" s="275" t="str">
        <f t="shared" si="109"/>
        <v/>
      </c>
      <c r="J2252" s="95" t="str">
        <f t="shared" si="110"/>
        <v/>
      </c>
      <c r="K2252" s="93" t="str">
        <f>IFERROR(VLOOKUP(E2252,'Inventaire des produits'!$B$4:$J$1000,5,FALSE),"")</f>
        <v/>
      </c>
      <c r="L2252" s="301" t="str">
        <f>IFERROR(VLOOKUP(E2252,'Inventaire des produits'!$B$4:$J$1000,6,FALSE),"")</f>
        <v/>
      </c>
      <c r="M2252" s="62"/>
    </row>
    <row r="2253" spans="2:13" x14ac:dyDescent="0.3">
      <c r="B2253" s="54"/>
      <c r="C2253" s="54"/>
      <c r="D2253" s="54"/>
      <c r="E2253" s="234"/>
      <c r="F2253" s="274" t="str">
        <f>IFERROR(VLOOKUP(E2253,'Inventaire des produits'!$B$4:$K$1000,2,0),"")</f>
        <v/>
      </c>
      <c r="G2253" s="54"/>
      <c r="H2253" s="60"/>
      <c r="I2253" s="275" t="str">
        <f t="shared" si="109"/>
        <v/>
      </c>
      <c r="J2253" s="95" t="str">
        <f t="shared" si="110"/>
        <v/>
      </c>
      <c r="K2253" s="93" t="str">
        <f>IFERROR(VLOOKUP(E2253,'Inventaire des produits'!$B$4:$J$1000,5,FALSE),"")</f>
        <v/>
      </c>
      <c r="L2253" s="301" t="str">
        <f>IFERROR(VLOOKUP(E2253,'Inventaire des produits'!$B$4:$J$1000,6,FALSE),"")</f>
        <v/>
      </c>
      <c r="M2253" s="62"/>
    </row>
    <row r="2254" spans="2:13" x14ac:dyDescent="0.3">
      <c r="B2254" s="54"/>
      <c r="C2254" s="54"/>
      <c r="D2254" s="54"/>
      <c r="E2254" s="234"/>
      <c r="F2254" s="274" t="str">
        <f>IFERROR(VLOOKUP(E2254,'Inventaire des produits'!$B$4:$K$1000,2,0),"")</f>
        <v/>
      </c>
      <c r="G2254" s="54"/>
      <c r="H2254" s="60"/>
      <c r="I2254" s="275" t="str">
        <f t="shared" si="109"/>
        <v/>
      </c>
      <c r="J2254" s="95" t="str">
        <f t="shared" si="110"/>
        <v/>
      </c>
      <c r="K2254" s="93" t="str">
        <f>IFERROR(VLOOKUP(E2254,'Inventaire des produits'!$B$4:$J$1000,5,FALSE),"")</f>
        <v/>
      </c>
      <c r="L2254" s="301" t="str">
        <f>IFERROR(VLOOKUP(E2254,'Inventaire des produits'!$B$4:$J$1000,6,FALSE),"")</f>
        <v/>
      </c>
      <c r="M2254" s="62"/>
    </row>
    <row r="2255" spans="2:13" x14ac:dyDescent="0.3">
      <c r="B2255" s="54"/>
      <c r="C2255" s="54"/>
      <c r="D2255" s="54"/>
      <c r="E2255" s="234"/>
      <c r="F2255" s="274" t="str">
        <f>IFERROR(VLOOKUP(E2255,'Inventaire des produits'!$B$4:$K$1000,2,0),"")</f>
        <v/>
      </c>
      <c r="G2255" s="54"/>
      <c r="H2255" s="60"/>
      <c r="I2255" s="275" t="str">
        <f t="shared" si="109"/>
        <v/>
      </c>
      <c r="J2255" s="95" t="str">
        <f t="shared" si="110"/>
        <v/>
      </c>
      <c r="K2255" s="93" t="str">
        <f>IFERROR(VLOOKUP(E2255,'Inventaire des produits'!$B$4:$J$1000,5,FALSE),"")</f>
        <v/>
      </c>
      <c r="L2255" s="301" t="str">
        <f>IFERROR(VLOOKUP(E2255,'Inventaire des produits'!$B$4:$J$1000,6,FALSE),"")</f>
        <v/>
      </c>
      <c r="M2255" s="62"/>
    </row>
    <row r="2256" spans="2:13" x14ac:dyDescent="0.3">
      <c r="B2256" s="54"/>
      <c r="C2256" s="54"/>
      <c r="D2256" s="54"/>
      <c r="E2256" s="234"/>
      <c r="F2256" s="274" t="str">
        <f>IFERROR(VLOOKUP(E2256,'Inventaire des produits'!$B$4:$K$1000,2,0),"")</f>
        <v/>
      </c>
      <c r="G2256" s="54"/>
      <c r="H2256" s="60"/>
      <c r="I2256" s="275" t="str">
        <f t="shared" si="109"/>
        <v/>
      </c>
      <c r="J2256" s="95" t="str">
        <f t="shared" si="110"/>
        <v/>
      </c>
      <c r="K2256" s="93" t="str">
        <f>IFERROR(VLOOKUP(E2256,'Inventaire des produits'!$B$4:$J$1000,5,FALSE),"")</f>
        <v/>
      </c>
      <c r="L2256" s="301" t="str">
        <f>IFERROR(VLOOKUP(E2256,'Inventaire des produits'!$B$4:$J$1000,6,FALSE),"")</f>
        <v/>
      </c>
      <c r="M2256" s="62"/>
    </row>
    <row r="2257" spans="2:13" x14ac:dyDescent="0.3">
      <c r="B2257" s="54"/>
      <c r="C2257" s="54"/>
      <c r="D2257" s="54"/>
      <c r="E2257" s="234"/>
      <c r="F2257" s="274" t="str">
        <f>IFERROR(VLOOKUP(E2257,'Inventaire des produits'!$B$4:$K$1000,2,0),"")</f>
        <v/>
      </c>
      <c r="G2257" s="54"/>
      <c r="H2257" s="60"/>
      <c r="I2257" s="275" t="str">
        <f t="shared" si="109"/>
        <v/>
      </c>
      <c r="J2257" s="95" t="str">
        <f t="shared" si="110"/>
        <v/>
      </c>
      <c r="K2257" s="93" t="str">
        <f>IFERROR(VLOOKUP(E2257,'Inventaire des produits'!$B$4:$J$1000,5,FALSE),"")</f>
        <v/>
      </c>
      <c r="L2257" s="301" t="str">
        <f>IFERROR(VLOOKUP(E2257,'Inventaire des produits'!$B$4:$J$1000,6,FALSE),"")</f>
        <v/>
      </c>
      <c r="M2257" s="62"/>
    </row>
    <row r="2258" spans="2:13" x14ac:dyDescent="0.3">
      <c r="B2258" s="54"/>
      <c r="C2258" s="54"/>
      <c r="D2258" s="54"/>
      <c r="E2258" s="234"/>
      <c r="F2258" s="274" t="str">
        <f>IFERROR(VLOOKUP(E2258,'Inventaire des produits'!$B$4:$K$1000,2,0),"")</f>
        <v/>
      </c>
      <c r="G2258" s="54"/>
      <c r="H2258" s="60"/>
      <c r="I2258" s="275" t="str">
        <f t="shared" si="109"/>
        <v/>
      </c>
      <c r="J2258" s="95" t="str">
        <f t="shared" si="110"/>
        <v/>
      </c>
      <c r="K2258" s="93" t="str">
        <f>IFERROR(VLOOKUP(E2258,'Inventaire des produits'!$B$4:$J$1000,5,FALSE),"")</f>
        <v/>
      </c>
      <c r="L2258" s="301" t="str">
        <f>IFERROR(VLOOKUP(E2258,'Inventaire des produits'!$B$4:$J$1000,6,FALSE),"")</f>
        <v/>
      </c>
      <c r="M2258" s="62"/>
    </row>
    <row r="2259" spans="2:13" x14ac:dyDescent="0.3">
      <c r="B2259" s="54"/>
      <c r="C2259" s="54"/>
      <c r="D2259" s="54"/>
      <c r="E2259" s="234"/>
      <c r="F2259" s="274" t="str">
        <f>IFERROR(VLOOKUP(E2259,'Inventaire des produits'!$B$4:$K$1000,2,0),"")</f>
        <v/>
      </c>
      <c r="G2259" s="54"/>
      <c r="H2259" s="60"/>
      <c r="I2259" s="275" t="str">
        <f t="shared" si="109"/>
        <v/>
      </c>
      <c r="J2259" s="95" t="str">
        <f t="shared" si="110"/>
        <v/>
      </c>
      <c r="K2259" s="93" t="str">
        <f>IFERROR(VLOOKUP(E2259,'Inventaire des produits'!$B$4:$J$1000,5,FALSE),"")</f>
        <v/>
      </c>
      <c r="L2259" s="301" t="str">
        <f>IFERROR(VLOOKUP(E2259,'Inventaire des produits'!$B$4:$J$1000,6,FALSE),"")</f>
        <v/>
      </c>
      <c r="M2259" s="62"/>
    </row>
    <row r="2260" spans="2:13" x14ac:dyDescent="0.3">
      <c r="B2260" s="54"/>
      <c r="C2260" s="54"/>
      <c r="D2260" s="54"/>
      <c r="E2260" s="234"/>
      <c r="F2260" s="274" t="str">
        <f>IFERROR(VLOOKUP(E2260,'Inventaire des produits'!$B$4:$K$1000,2,0),"")</f>
        <v/>
      </c>
      <c r="G2260" s="54"/>
      <c r="H2260" s="60"/>
      <c r="I2260" s="275" t="str">
        <f t="shared" si="109"/>
        <v/>
      </c>
      <c r="J2260" s="95" t="str">
        <f t="shared" si="110"/>
        <v/>
      </c>
      <c r="K2260" s="93" t="str">
        <f>IFERROR(VLOOKUP(E2260,'Inventaire des produits'!$B$4:$J$1000,5,FALSE),"")</f>
        <v/>
      </c>
      <c r="L2260" s="301" t="str">
        <f>IFERROR(VLOOKUP(E2260,'Inventaire des produits'!$B$4:$J$1000,6,FALSE),"")</f>
        <v/>
      </c>
      <c r="M2260" s="62"/>
    </row>
    <row r="2261" spans="2:13" x14ac:dyDescent="0.3">
      <c r="B2261" s="54"/>
      <c r="C2261" s="54"/>
      <c r="D2261" s="54"/>
      <c r="E2261" s="234"/>
      <c r="F2261" s="274" t="str">
        <f>IFERROR(VLOOKUP(E2261,'Inventaire des produits'!$B$4:$K$1000,2,0),"")</f>
        <v/>
      </c>
      <c r="G2261" s="54"/>
      <c r="H2261" s="60"/>
      <c r="I2261" s="275" t="str">
        <f t="shared" si="109"/>
        <v/>
      </c>
      <c r="J2261" s="95" t="str">
        <f t="shared" si="110"/>
        <v/>
      </c>
      <c r="K2261" s="93" t="str">
        <f>IFERROR(VLOOKUP(E2261,'Inventaire des produits'!$B$4:$J$1000,5,FALSE),"")</f>
        <v/>
      </c>
      <c r="L2261" s="301" t="str">
        <f>IFERROR(VLOOKUP(E2261,'Inventaire des produits'!$B$4:$J$1000,6,FALSE),"")</f>
        <v/>
      </c>
      <c r="M2261" s="62"/>
    </row>
    <row r="2262" spans="2:13" x14ac:dyDescent="0.3">
      <c r="B2262" s="54"/>
      <c r="C2262" s="54"/>
      <c r="D2262" s="54"/>
      <c r="E2262" s="234"/>
      <c r="F2262" s="274" t="str">
        <f>IFERROR(VLOOKUP(E2262,'Inventaire des produits'!$B$4:$K$1000,2,0),"")</f>
        <v/>
      </c>
      <c r="G2262" s="54"/>
      <c r="H2262" s="60"/>
      <c r="I2262" s="275" t="str">
        <f t="shared" si="109"/>
        <v/>
      </c>
      <c r="J2262" s="95" t="str">
        <f t="shared" si="110"/>
        <v/>
      </c>
      <c r="K2262" s="93" t="str">
        <f>IFERROR(VLOOKUP(E2262,'Inventaire des produits'!$B$4:$J$1000,5,FALSE),"")</f>
        <v/>
      </c>
      <c r="L2262" s="301" t="str">
        <f>IFERROR(VLOOKUP(E2262,'Inventaire des produits'!$B$4:$J$1000,6,FALSE),"")</f>
        <v/>
      </c>
      <c r="M2262" s="62"/>
    </row>
    <row r="2263" spans="2:13" x14ac:dyDescent="0.3">
      <c r="B2263" s="54"/>
      <c r="C2263" s="54"/>
      <c r="D2263" s="54"/>
      <c r="E2263" s="234"/>
      <c r="F2263" s="274" t="str">
        <f>IFERROR(VLOOKUP(E2263,'Inventaire des produits'!$B$4:$K$1000,2,0),"")</f>
        <v/>
      </c>
      <c r="G2263" s="54"/>
      <c r="H2263" s="60"/>
      <c r="I2263" s="275" t="str">
        <f t="shared" si="109"/>
        <v/>
      </c>
      <c r="J2263" s="95" t="str">
        <f t="shared" si="110"/>
        <v/>
      </c>
      <c r="K2263" s="93" t="str">
        <f>IFERROR(VLOOKUP(E2263,'Inventaire des produits'!$B$4:$J$1000,5,FALSE),"")</f>
        <v/>
      </c>
      <c r="L2263" s="301" t="str">
        <f>IFERROR(VLOOKUP(E2263,'Inventaire des produits'!$B$4:$J$1000,6,FALSE),"")</f>
        <v/>
      </c>
      <c r="M2263" s="62"/>
    </row>
    <row r="2264" spans="2:13" x14ac:dyDescent="0.3">
      <c r="B2264" s="54"/>
      <c r="C2264" s="54"/>
      <c r="D2264" s="54"/>
      <c r="E2264" s="234"/>
      <c r="F2264" s="274" t="str">
        <f>IFERROR(VLOOKUP(E2264,'Inventaire des produits'!$B$4:$K$1000,2,0),"")</f>
        <v/>
      </c>
      <c r="G2264" s="54"/>
      <c r="H2264" s="60"/>
      <c r="I2264" s="275" t="str">
        <f t="shared" si="109"/>
        <v/>
      </c>
      <c r="J2264" s="95" t="str">
        <f t="shared" si="110"/>
        <v/>
      </c>
      <c r="K2264" s="93" t="str">
        <f>IFERROR(VLOOKUP(E2264,'Inventaire des produits'!$B$4:$J$1000,5,FALSE),"")</f>
        <v/>
      </c>
      <c r="L2264" s="301" t="str">
        <f>IFERROR(VLOOKUP(E2264,'Inventaire des produits'!$B$4:$J$1000,6,FALSE),"")</f>
        <v/>
      </c>
      <c r="M2264" s="62"/>
    </row>
    <row r="2265" spans="2:13" x14ac:dyDescent="0.3">
      <c r="B2265" s="54"/>
      <c r="C2265" s="54"/>
      <c r="D2265" s="54"/>
      <c r="E2265" s="234"/>
      <c r="F2265" s="274" t="str">
        <f>IFERROR(VLOOKUP(E2265,'Inventaire des produits'!$B$4:$K$1000,2,0),"")</f>
        <v/>
      </c>
      <c r="G2265" s="54"/>
      <c r="H2265" s="60"/>
      <c r="I2265" s="275" t="str">
        <f t="shared" si="109"/>
        <v/>
      </c>
      <c r="J2265" s="95" t="str">
        <f t="shared" si="110"/>
        <v/>
      </c>
      <c r="K2265" s="93" t="str">
        <f>IFERROR(VLOOKUP(E2265,'Inventaire des produits'!$B$4:$J$1000,5,FALSE),"")</f>
        <v/>
      </c>
      <c r="L2265" s="301" t="str">
        <f>IFERROR(VLOOKUP(E2265,'Inventaire des produits'!$B$4:$J$1000,6,FALSE),"")</f>
        <v/>
      </c>
      <c r="M2265" s="62"/>
    </row>
    <row r="2266" spans="2:13" x14ac:dyDescent="0.3">
      <c r="B2266" s="54"/>
      <c r="C2266" s="54"/>
      <c r="D2266" s="54"/>
      <c r="E2266" s="234"/>
      <c r="F2266" s="274" t="str">
        <f>IFERROR(VLOOKUP(E2266,'Inventaire des produits'!$B$4:$K$1000,2,0),"")</f>
        <v/>
      </c>
      <c r="G2266" s="54"/>
      <c r="H2266" s="60"/>
      <c r="I2266" s="275" t="str">
        <f t="shared" si="109"/>
        <v/>
      </c>
      <c r="J2266" s="95" t="str">
        <f t="shared" si="110"/>
        <v/>
      </c>
      <c r="K2266" s="93" t="str">
        <f>IFERROR(VLOOKUP(E2266,'Inventaire des produits'!$B$4:$J$1000,5,FALSE),"")</f>
        <v/>
      </c>
      <c r="L2266" s="301" t="str">
        <f>IFERROR(VLOOKUP(E2266,'Inventaire des produits'!$B$4:$J$1000,6,FALSE),"")</f>
        <v/>
      </c>
      <c r="M2266" s="62"/>
    </row>
    <row r="2267" spans="2:13" x14ac:dyDescent="0.3">
      <c r="B2267" s="54"/>
      <c r="C2267" s="54"/>
      <c r="D2267" s="54"/>
      <c r="E2267" s="234"/>
      <c r="F2267" s="274" t="str">
        <f>IFERROR(VLOOKUP(E2267,'Inventaire des produits'!$B$4:$K$1000,2,0),"")</f>
        <v/>
      </c>
      <c r="G2267" s="54"/>
      <c r="H2267" s="60"/>
      <c r="I2267" s="275" t="str">
        <f t="shared" si="109"/>
        <v/>
      </c>
      <c r="J2267" s="95" t="str">
        <f t="shared" si="110"/>
        <v/>
      </c>
      <c r="K2267" s="93" t="str">
        <f>IFERROR(VLOOKUP(E2267,'Inventaire des produits'!$B$4:$J$1000,5,FALSE),"")</f>
        <v/>
      </c>
      <c r="L2267" s="301" t="str">
        <f>IFERROR(VLOOKUP(E2267,'Inventaire des produits'!$B$4:$J$1000,6,FALSE),"")</f>
        <v/>
      </c>
      <c r="M2267" s="62"/>
    </row>
    <row r="2268" spans="2:13" x14ac:dyDescent="0.3">
      <c r="B2268" s="54"/>
      <c r="C2268" s="54"/>
      <c r="D2268" s="54"/>
      <c r="E2268" s="234"/>
      <c r="F2268" s="274" t="str">
        <f>IFERROR(VLOOKUP(E2268,'Inventaire des produits'!$B$4:$K$1000,2,0),"")</f>
        <v/>
      </c>
      <c r="G2268" s="54"/>
      <c r="H2268" s="60"/>
      <c r="I2268" s="275" t="str">
        <f t="shared" si="109"/>
        <v/>
      </c>
      <c r="J2268" s="95" t="str">
        <f t="shared" si="110"/>
        <v/>
      </c>
      <c r="K2268" s="93" t="str">
        <f>IFERROR(VLOOKUP(E2268,'Inventaire des produits'!$B$4:$J$1000,5,FALSE),"")</f>
        <v/>
      </c>
      <c r="L2268" s="301" t="str">
        <f>IFERROR(VLOOKUP(E2268,'Inventaire des produits'!$B$4:$J$1000,6,FALSE),"")</f>
        <v/>
      </c>
      <c r="M2268" s="62"/>
    </row>
    <row r="2269" spans="2:13" x14ac:dyDescent="0.3">
      <c r="B2269" s="54"/>
      <c r="C2269" s="54"/>
      <c r="D2269" s="54"/>
      <c r="E2269" s="234"/>
      <c r="F2269" s="274" t="str">
        <f>IFERROR(VLOOKUP(E2269,'Inventaire des produits'!$B$4:$K$1000,2,0),"")</f>
        <v/>
      </c>
      <c r="G2269" s="54"/>
      <c r="H2269" s="60"/>
      <c r="I2269" s="275" t="str">
        <f t="shared" si="109"/>
        <v/>
      </c>
      <c r="J2269" s="95" t="str">
        <f t="shared" si="110"/>
        <v/>
      </c>
      <c r="K2269" s="93" t="str">
        <f>IFERROR(VLOOKUP(E2269,'Inventaire des produits'!$B$4:$J$1000,5,FALSE),"")</f>
        <v/>
      </c>
      <c r="L2269" s="301" t="str">
        <f>IFERROR(VLOOKUP(E2269,'Inventaire des produits'!$B$4:$J$1000,6,FALSE),"")</f>
        <v/>
      </c>
      <c r="M2269" s="62"/>
    </row>
    <row r="2270" spans="2:13" x14ac:dyDescent="0.3">
      <c r="B2270" s="54"/>
      <c r="C2270" s="54"/>
      <c r="D2270" s="54"/>
      <c r="E2270" s="234"/>
      <c r="F2270" s="274" t="str">
        <f>IFERROR(VLOOKUP(E2270,'Inventaire des produits'!$B$4:$K$1000,2,0),"")</f>
        <v/>
      </c>
      <c r="G2270" s="54"/>
      <c r="H2270" s="60"/>
      <c r="I2270" s="275" t="str">
        <f t="shared" si="109"/>
        <v/>
      </c>
      <c r="J2270" s="95" t="str">
        <f t="shared" si="110"/>
        <v/>
      </c>
      <c r="K2270" s="93" t="str">
        <f>IFERROR(VLOOKUP(E2270,'Inventaire des produits'!$B$4:$J$1000,5,FALSE),"")</f>
        <v/>
      </c>
      <c r="L2270" s="301" t="str">
        <f>IFERROR(VLOOKUP(E2270,'Inventaire des produits'!$B$4:$J$1000,6,FALSE),"")</f>
        <v/>
      </c>
      <c r="M2270" s="62"/>
    </row>
    <row r="2271" spans="2:13" x14ac:dyDescent="0.3">
      <c r="B2271" s="54"/>
      <c r="C2271" s="54"/>
      <c r="D2271" s="54"/>
      <c r="E2271" s="234"/>
      <c r="F2271" s="274" t="str">
        <f>IFERROR(VLOOKUP(E2271,'Inventaire des produits'!$B$4:$K$1000,2,0),"")</f>
        <v/>
      </c>
      <c r="G2271" s="54"/>
      <c r="H2271" s="60"/>
      <c r="I2271" s="275" t="str">
        <f t="shared" si="109"/>
        <v/>
      </c>
      <c r="J2271" s="95" t="str">
        <f t="shared" si="110"/>
        <v/>
      </c>
      <c r="K2271" s="93" t="str">
        <f>IFERROR(VLOOKUP(E2271,'Inventaire des produits'!$B$4:$J$1000,5,FALSE),"")</f>
        <v/>
      </c>
      <c r="L2271" s="301" t="str">
        <f>IFERROR(VLOOKUP(E2271,'Inventaire des produits'!$B$4:$J$1000,6,FALSE),"")</f>
        <v/>
      </c>
      <c r="M2271" s="62"/>
    </row>
    <row r="2272" spans="2:13" x14ac:dyDescent="0.3">
      <c r="B2272" s="54"/>
      <c r="C2272" s="54"/>
      <c r="D2272" s="54"/>
      <c r="E2272" s="234"/>
      <c r="F2272" s="274" t="str">
        <f>IFERROR(VLOOKUP(E2272,'Inventaire des produits'!$B$4:$K$1000,2,0),"")</f>
        <v/>
      </c>
      <c r="G2272" s="54"/>
      <c r="H2272" s="60"/>
      <c r="I2272" s="275" t="str">
        <f t="shared" si="109"/>
        <v/>
      </c>
      <c r="J2272" s="95" t="str">
        <f t="shared" si="110"/>
        <v/>
      </c>
      <c r="K2272" s="93" t="str">
        <f>IFERROR(VLOOKUP(E2272,'Inventaire des produits'!$B$4:$J$1000,5,FALSE),"")</f>
        <v/>
      </c>
      <c r="L2272" s="301" t="str">
        <f>IFERROR(VLOOKUP(E2272,'Inventaire des produits'!$B$4:$J$1000,6,FALSE),"")</f>
        <v/>
      </c>
      <c r="M2272" s="62"/>
    </row>
    <row r="2273" spans="2:13" x14ac:dyDescent="0.3">
      <c r="B2273" s="54"/>
      <c r="C2273" s="54"/>
      <c r="D2273" s="54"/>
      <c r="E2273" s="234"/>
      <c r="F2273" s="274" t="str">
        <f>IFERROR(VLOOKUP(E2273,'Inventaire des produits'!$B$4:$K$1000,2,0),"")</f>
        <v/>
      </c>
      <c r="G2273" s="54"/>
      <c r="H2273" s="60"/>
      <c r="I2273" s="275" t="str">
        <f t="shared" si="109"/>
        <v/>
      </c>
      <c r="J2273" s="95" t="str">
        <f t="shared" si="110"/>
        <v/>
      </c>
      <c r="K2273" s="93" t="str">
        <f>IFERROR(VLOOKUP(E2273,'Inventaire des produits'!$B$4:$J$1000,5,FALSE),"")</f>
        <v/>
      </c>
      <c r="L2273" s="301" t="str">
        <f>IFERROR(VLOOKUP(E2273,'Inventaire des produits'!$B$4:$J$1000,6,FALSE),"")</f>
        <v/>
      </c>
      <c r="M2273" s="62"/>
    </row>
    <row r="2274" spans="2:13" x14ac:dyDescent="0.3">
      <c r="B2274" s="54"/>
      <c r="C2274" s="54"/>
      <c r="D2274" s="54"/>
      <c r="E2274" s="234"/>
      <c r="F2274" s="274" t="str">
        <f>IFERROR(VLOOKUP(E2274,'Inventaire des produits'!$B$4:$K$1000,2,0),"")</f>
        <v/>
      </c>
      <c r="G2274" s="54"/>
      <c r="H2274" s="60"/>
      <c r="I2274" s="275" t="str">
        <f t="shared" si="109"/>
        <v/>
      </c>
      <c r="J2274" s="95" t="str">
        <f t="shared" si="110"/>
        <v/>
      </c>
      <c r="K2274" s="93" t="str">
        <f>IFERROR(VLOOKUP(E2274,'Inventaire des produits'!$B$4:$J$1000,5,FALSE),"")</f>
        <v/>
      </c>
      <c r="L2274" s="301" t="str">
        <f>IFERROR(VLOOKUP(E2274,'Inventaire des produits'!$B$4:$J$1000,6,FALSE),"")</f>
        <v/>
      </c>
      <c r="M2274" s="62"/>
    </row>
    <row r="2275" spans="2:13" x14ac:dyDescent="0.3">
      <c r="B2275" s="54"/>
      <c r="C2275" s="54"/>
      <c r="D2275" s="54"/>
      <c r="E2275" s="234"/>
      <c r="F2275" s="274" t="str">
        <f>IFERROR(VLOOKUP(E2275,'Inventaire des produits'!$B$4:$K$1000,2,0),"")</f>
        <v/>
      </c>
      <c r="G2275" s="54"/>
      <c r="H2275" s="60"/>
      <c r="I2275" s="275" t="str">
        <f t="shared" si="109"/>
        <v/>
      </c>
      <c r="J2275" s="95" t="str">
        <f t="shared" si="110"/>
        <v/>
      </c>
      <c r="K2275" s="93" t="str">
        <f>IFERROR(VLOOKUP(E2275,'Inventaire des produits'!$B$4:$J$1000,5,FALSE),"")</f>
        <v/>
      </c>
      <c r="L2275" s="301" t="str">
        <f>IFERROR(VLOOKUP(E2275,'Inventaire des produits'!$B$4:$J$1000,6,FALSE),"")</f>
        <v/>
      </c>
      <c r="M2275" s="62"/>
    </row>
    <row r="2276" spans="2:13" x14ac:dyDescent="0.3">
      <c r="B2276" s="54"/>
      <c r="C2276" s="54"/>
      <c r="D2276" s="54"/>
      <c r="E2276" s="234"/>
      <c r="F2276" s="274" t="str">
        <f>IFERROR(VLOOKUP(E2276,'Inventaire des produits'!$B$4:$K$1000,2,0),"")</f>
        <v/>
      </c>
      <c r="G2276" s="54"/>
      <c r="H2276" s="60"/>
      <c r="I2276" s="275" t="str">
        <f t="shared" si="109"/>
        <v/>
      </c>
      <c r="J2276" s="95" t="str">
        <f t="shared" si="110"/>
        <v/>
      </c>
      <c r="K2276" s="93" t="str">
        <f>IFERROR(VLOOKUP(E2276,'Inventaire des produits'!$B$4:$J$1000,5,FALSE),"")</f>
        <v/>
      </c>
      <c r="L2276" s="301" t="str">
        <f>IFERROR(VLOOKUP(E2276,'Inventaire des produits'!$B$4:$J$1000,6,FALSE),"")</f>
        <v/>
      </c>
      <c r="M2276" s="62"/>
    </row>
    <row r="2277" spans="2:13" x14ac:dyDescent="0.3">
      <c r="B2277" s="54"/>
      <c r="C2277" s="54"/>
      <c r="D2277" s="54"/>
      <c r="E2277" s="234"/>
      <c r="F2277" s="274" t="str">
        <f>IFERROR(VLOOKUP(E2277,'Inventaire des produits'!$B$4:$K$1000,2,0),"")</f>
        <v/>
      </c>
      <c r="G2277" s="54"/>
      <c r="H2277" s="60"/>
      <c r="I2277" s="275" t="str">
        <f t="shared" si="109"/>
        <v/>
      </c>
      <c r="J2277" s="95" t="str">
        <f t="shared" si="110"/>
        <v/>
      </c>
      <c r="K2277" s="93" t="str">
        <f>IFERROR(VLOOKUP(E2277,'Inventaire des produits'!$B$4:$J$1000,5,FALSE),"")</f>
        <v/>
      </c>
      <c r="L2277" s="301" t="str">
        <f>IFERROR(VLOOKUP(E2277,'Inventaire des produits'!$B$4:$J$1000,6,FALSE),"")</f>
        <v/>
      </c>
      <c r="M2277" s="62"/>
    </row>
    <row r="2278" spans="2:13" x14ac:dyDescent="0.3">
      <c r="B2278" s="54"/>
      <c r="C2278" s="54"/>
      <c r="D2278" s="54"/>
      <c r="E2278" s="234"/>
      <c r="F2278" s="274" t="str">
        <f>IFERROR(VLOOKUP(E2278,'Inventaire des produits'!$B$4:$K$1000,2,0),"")</f>
        <v/>
      </c>
      <c r="G2278" s="54"/>
      <c r="H2278" s="60"/>
      <c r="I2278" s="275" t="str">
        <f t="shared" si="109"/>
        <v/>
      </c>
      <c r="J2278" s="95" t="str">
        <f t="shared" si="110"/>
        <v/>
      </c>
      <c r="K2278" s="93" t="str">
        <f>IFERROR(VLOOKUP(E2278,'Inventaire des produits'!$B$4:$J$1000,5,FALSE),"")</f>
        <v/>
      </c>
      <c r="L2278" s="301" t="str">
        <f>IFERROR(VLOOKUP(E2278,'Inventaire des produits'!$B$4:$J$1000,6,FALSE),"")</f>
        <v/>
      </c>
      <c r="M2278" s="62"/>
    </row>
    <row r="2279" spans="2:13" x14ac:dyDescent="0.3">
      <c r="B2279" s="54"/>
      <c r="C2279" s="54"/>
      <c r="D2279" s="54"/>
      <c r="E2279" s="234"/>
      <c r="F2279" s="274" t="str">
        <f>IFERROR(VLOOKUP(E2279,'Inventaire des produits'!$B$4:$K$1000,2,0),"")</f>
        <v/>
      </c>
      <c r="G2279" s="54"/>
      <c r="H2279" s="60"/>
      <c r="I2279" s="275" t="str">
        <f t="shared" si="109"/>
        <v/>
      </c>
      <c r="J2279" s="95" t="str">
        <f t="shared" si="110"/>
        <v/>
      </c>
      <c r="K2279" s="93" t="str">
        <f>IFERROR(VLOOKUP(E2279,'Inventaire des produits'!$B$4:$J$1000,5,FALSE),"")</f>
        <v/>
      </c>
      <c r="L2279" s="301" t="str">
        <f>IFERROR(VLOOKUP(E2279,'Inventaire des produits'!$B$4:$J$1000,6,FALSE),"")</f>
        <v/>
      </c>
      <c r="M2279" s="62"/>
    </row>
    <row r="2280" spans="2:13" x14ac:dyDescent="0.3">
      <c r="B2280" s="54"/>
      <c r="C2280" s="54"/>
      <c r="D2280" s="54"/>
      <c r="E2280" s="234"/>
      <c r="F2280" s="274" t="str">
        <f>IFERROR(VLOOKUP(E2280,'Inventaire des produits'!$B$4:$K$1000,2,0),"")</f>
        <v/>
      </c>
      <c r="G2280" s="54"/>
      <c r="H2280" s="60"/>
      <c r="I2280" s="275" t="str">
        <f t="shared" si="109"/>
        <v/>
      </c>
      <c r="J2280" s="95" t="str">
        <f t="shared" si="110"/>
        <v/>
      </c>
      <c r="K2280" s="93" t="str">
        <f>IFERROR(VLOOKUP(E2280,'Inventaire des produits'!$B$4:$J$1000,5,FALSE),"")</f>
        <v/>
      </c>
      <c r="L2280" s="301" t="str">
        <f>IFERROR(VLOOKUP(E2280,'Inventaire des produits'!$B$4:$J$1000,6,FALSE),"")</f>
        <v/>
      </c>
      <c r="M2280" s="62"/>
    </row>
    <row r="2281" spans="2:13" x14ac:dyDescent="0.3">
      <c r="B2281" s="54"/>
      <c r="C2281" s="54"/>
      <c r="D2281" s="54"/>
      <c r="E2281" s="234"/>
      <c r="F2281" s="274" t="str">
        <f>IFERROR(VLOOKUP(E2281,'Inventaire des produits'!$B$4:$K$1000,2,0),"")</f>
        <v/>
      </c>
      <c r="G2281" s="54"/>
      <c r="H2281" s="60"/>
      <c r="I2281" s="275" t="str">
        <f t="shared" si="109"/>
        <v/>
      </c>
      <c r="J2281" s="95" t="str">
        <f t="shared" si="110"/>
        <v/>
      </c>
      <c r="K2281" s="93" t="str">
        <f>IFERROR(VLOOKUP(E2281,'Inventaire des produits'!$B$4:$J$1000,5,FALSE),"")</f>
        <v/>
      </c>
      <c r="L2281" s="301" t="str">
        <f>IFERROR(VLOOKUP(E2281,'Inventaire des produits'!$B$4:$J$1000,6,FALSE),"")</f>
        <v/>
      </c>
      <c r="M2281" s="62"/>
    </row>
    <row r="2282" spans="2:13" x14ac:dyDescent="0.3">
      <c r="B2282" s="54"/>
      <c r="C2282" s="54"/>
      <c r="D2282" s="54"/>
      <c r="E2282" s="234"/>
      <c r="F2282" s="274" t="str">
        <f>IFERROR(VLOOKUP(E2282,'Inventaire des produits'!$B$4:$K$1000,2,0),"")</f>
        <v/>
      </c>
      <c r="G2282" s="54"/>
      <c r="H2282" s="60"/>
      <c r="I2282" s="275" t="str">
        <f t="shared" si="109"/>
        <v/>
      </c>
      <c r="J2282" s="95" t="str">
        <f t="shared" si="110"/>
        <v/>
      </c>
      <c r="K2282" s="93" t="str">
        <f>IFERROR(VLOOKUP(E2282,'Inventaire des produits'!$B$4:$J$1000,5,FALSE),"")</f>
        <v/>
      </c>
      <c r="L2282" s="301" t="str">
        <f>IFERROR(VLOOKUP(E2282,'Inventaire des produits'!$B$4:$J$1000,6,FALSE),"")</f>
        <v/>
      </c>
      <c r="M2282" s="62"/>
    </row>
    <row r="2283" spans="2:13" x14ac:dyDescent="0.3">
      <c r="B2283" s="54"/>
      <c r="C2283" s="54"/>
      <c r="D2283" s="54"/>
      <c r="E2283" s="234"/>
      <c r="F2283" s="274" t="str">
        <f>IFERROR(VLOOKUP(E2283,'Inventaire des produits'!$B$4:$K$1000,2,0),"")</f>
        <v/>
      </c>
      <c r="G2283" s="54"/>
      <c r="H2283" s="60"/>
      <c r="I2283" s="275" t="str">
        <f t="shared" si="109"/>
        <v/>
      </c>
      <c r="J2283" s="95" t="str">
        <f t="shared" si="110"/>
        <v/>
      </c>
      <c r="K2283" s="93" t="str">
        <f>IFERROR(VLOOKUP(E2283,'Inventaire des produits'!$B$4:$J$1000,5,FALSE),"")</f>
        <v/>
      </c>
      <c r="L2283" s="301" t="str">
        <f>IFERROR(VLOOKUP(E2283,'Inventaire des produits'!$B$4:$J$1000,6,FALSE),"")</f>
        <v/>
      </c>
      <c r="M2283" s="62"/>
    </row>
    <row r="2284" spans="2:13" x14ac:dyDescent="0.3">
      <c r="B2284" s="54"/>
      <c r="C2284" s="54"/>
      <c r="D2284" s="54"/>
      <c r="E2284" s="234"/>
      <c r="F2284" s="274" t="str">
        <f>IFERROR(VLOOKUP(E2284,'Inventaire des produits'!$B$4:$K$1000,2,0),"")</f>
        <v/>
      </c>
      <c r="G2284" s="54"/>
      <c r="H2284" s="60"/>
      <c r="I2284" s="275" t="str">
        <f t="shared" si="109"/>
        <v/>
      </c>
      <c r="J2284" s="95" t="str">
        <f t="shared" si="110"/>
        <v/>
      </c>
      <c r="K2284" s="93" t="str">
        <f>IFERROR(VLOOKUP(E2284,'Inventaire des produits'!$B$4:$J$1000,5,FALSE),"")</f>
        <v/>
      </c>
      <c r="L2284" s="301" t="str">
        <f>IFERROR(VLOOKUP(E2284,'Inventaire des produits'!$B$4:$J$1000,6,FALSE),"")</f>
        <v/>
      </c>
      <c r="M2284" s="62"/>
    </row>
    <row r="2285" spans="2:13" x14ac:dyDescent="0.3">
      <c r="B2285" s="54"/>
      <c r="C2285" s="54"/>
      <c r="D2285" s="54"/>
      <c r="E2285" s="234"/>
      <c r="F2285" s="274" t="str">
        <f>IFERROR(VLOOKUP(E2285,'Inventaire des produits'!$B$4:$K$1000,2,0),"")</f>
        <v/>
      </c>
      <c r="G2285" s="54"/>
      <c r="H2285" s="60"/>
      <c r="I2285" s="275" t="str">
        <f t="shared" si="109"/>
        <v/>
      </c>
      <c r="J2285" s="95" t="str">
        <f t="shared" si="110"/>
        <v/>
      </c>
      <c r="K2285" s="93" t="str">
        <f>IFERROR(VLOOKUP(E2285,'Inventaire des produits'!$B$4:$J$1000,5,FALSE),"")</f>
        <v/>
      </c>
      <c r="L2285" s="301" t="str">
        <f>IFERROR(VLOOKUP(E2285,'Inventaire des produits'!$B$4:$J$1000,6,FALSE),"")</f>
        <v/>
      </c>
      <c r="M2285" s="62"/>
    </row>
    <row r="2286" spans="2:13" x14ac:dyDescent="0.3">
      <c r="B2286" s="54"/>
      <c r="C2286" s="54"/>
      <c r="D2286" s="54"/>
      <c r="E2286" s="234"/>
      <c r="F2286" s="274" t="str">
        <f>IFERROR(VLOOKUP(E2286,'Inventaire des produits'!$B$4:$K$1000,2,0),"")</f>
        <v/>
      </c>
      <c r="G2286" s="54"/>
      <c r="H2286" s="60"/>
      <c r="I2286" s="275" t="str">
        <f t="shared" si="109"/>
        <v/>
      </c>
      <c r="J2286" s="95" t="str">
        <f t="shared" si="110"/>
        <v/>
      </c>
      <c r="K2286" s="93" t="str">
        <f>IFERROR(VLOOKUP(E2286,'Inventaire des produits'!$B$4:$J$1000,5,FALSE),"")</f>
        <v/>
      </c>
      <c r="L2286" s="301" t="str">
        <f>IFERROR(VLOOKUP(E2286,'Inventaire des produits'!$B$4:$J$1000,6,FALSE),"")</f>
        <v/>
      </c>
      <c r="M2286" s="62"/>
    </row>
    <row r="2287" spans="2:13" x14ac:dyDescent="0.3">
      <c r="B2287" s="54"/>
      <c r="C2287" s="54"/>
      <c r="D2287" s="54"/>
      <c r="E2287" s="234"/>
      <c r="F2287" s="274" t="str">
        <f>IFERROR(VLOOKUP(E2287,'Inventaire des produits'!$B$4:$K$1000,2,0),"")</f>
        <v/>
      </c>
      <c r="G2287" s="54"/>
      <c r="H2287" s="60"/>
      <c r="I2287" s="275" t="str">
        <f t="shared" si="109"/>
        <v/>
      </c>
      <c r="J2287" s="95" t="str">
        <f t="shared" si="110"/>
        <v/>
      </c>
      <c r="K2287" s="93" t="str">
        <f>IFERROR(VLOOKUP(E2287,'Inventaire des produits'!$B$4:$J$1000,5,FALSE),"")</f>
        <v/>
      </c>
      <c r="L2287" s="301" t="str">
        <f>IFERROR(VLOOKUP(E2287,'Inventaire des produits'!$B$4:$J$1000,6,FALSE),"")</f>
        <v/>
      </c>
      <c r="M2287" s="62"/>
    </row>
    <row r="2288" spans="2:13" x14ac:dyDescent="0.3">
      <c r="B2288" s="54"/>
      <c r="C2288" s="54"/>
      <c r="D2288" s="54"/>
      <c r="E2288" s="234"/>
      <c r="F2288" s="274" t="str">
        <f>IFERROR(VLOOKUP(E2288,'Inventaire des produits'!$B$4:$K$1000,2,0),"")</f>
        <v/>
      </c>
      <c r="G2288" s="54"/>
      <c r="H2288" s="60"/>
      <c r="I2288" s="275" t="str">
        <f t="shared" si="109"/>
        <v/>
      </c>
      <c r="J2288" s="95" t="str">
        <f t="shared" si="110"/>
        <v/>
      </c>
      <c r="K2288" s="93" t="str">
        <f>IFERROR(VLOOKUP(E2288,'Inventaire des produits'!$B$4:$J$1000,5,FALSE),"")</f>
        <v/>
      </c>
      <c r="L2288" s="301" t="str">
        <f>IFERROR(VLOOKUP(E2288,'Inventaire des produits'!$B$4:$J$1000,6,FALSE),"")</f>
        <v/>
      </c>
      <c r="M2288" s="62"/>
    </row>
    <row r="2289" spans="2:13" x14ac:dyDescent="0.3">
      <c r="B2289" s="54"/>
      <c r="C2289" s="54"/>
      <c r="D2289" s="54"/>
      <c r="E2289" s="234"/>
      <c r="F2289" s="274" t="str">
        <f>IFERROR(VLOOKUP(E2289,'Inventaire des produits'!$B$4:$K$1000,2,0),"")</f>
        <v/>
      </c>
      <c r="G2289" s="54"/>
      <c r="H2289" s="60"/>
      <c r="I2289" s="275" t="str">
        <f t="shared" si="109"/>
        <v/>
      </c>
      <c r="J2289" s="95" t="str">
        <f t="shared" si="110"/>
        <v/>
      </c>
      <c r="K2289" s="93" t="str">
        <f>IFERROR(VLOOKUP(E2289,'Inventaire des produits'!$B$4:$J$1000,5,FALSE),"")</f>
        <v/>
      </c>
      <c r="L2289" s="301" t="str">
        <f>IFERROR(VLOOKUP(E2289,'Inventaire des produits'!$B$4:$J$1000,6,FALSE),"")</f>
        <v/>
      </c>
      <c r="M2289" s="62"/>
    </row>
    <row r="2290" spans="2:13" x14ac:dyDescent="0.3">
      <c r="B2290" s="54"/>
      <c r="C2290" s="54"/>
      <c r="D2290" s="54"/>
      <c r="E2290" s="234"/>
      <c r="F2290" s="274" t="str">
        <f>IFERROR(VLOOKUP(E2290,'Inventaire des produits'!$B$4:$K$1000,2,0),"")</f>
        <v/>
      </c>
      <c r="G2290" s="54"/>
      <c r="H2290" s="60"/>
      <c r="I2290" s="275" t="str">
        <f t="shared" ref="I2290:I2353" si="111">IF(OR(G2290="",H2290=""),"",G2290*H2290)</f>
        <v/>
      </c>
      <c r="J2290" s="95" t="str">
        <f t="shared" ref="J2290:J2353" si="112">IF(OR(I2290=""),"",I2290*1.2)</f>
        <v/>
      </c>
      <c r="K2290" s="93" t="str">
        <f>IFERROR(VLOOKUP(E2290,'Inventaire des produits'!$B$4:$J$1000,5,FALSE),"")</f>
        <v/>
      </c>
      <c r="L2290" s="301" t="str">
        <f>IFERROR(VLOOKUP(E2290,'Inventaire des produits'!$B$4:$J$1000,6,FALSE),"")</f>
        <v/>
      </c>
      <c r="M2290" s="62"/>
    </row>
    <row r="2291" spans="2:13" x14ac:dyDescent="0.3">
      <c r="B2291" s="54"/>
      <c r="C2291" s="54"/>
      <c r="D2291" s="54"/>
      <c r="E2291" s="234"/>
      <c r="F2291" s="274" t="str">
        <f>IFERROR(VLOOKUP(E2291,'Inventaire des produits'!$B$4:$K$1000,2,0),"")</f>
        <v/>
      </c>
      <c r="G2291" s="54"/>
      <c r="H2291" s="60"/>
      <c r="I2291" s="275" t="str">
        <f t="shared" si="111"/>
        <v/>
      </c>
      <c r="J2291" s="95" t="str">
        <f t="shared" si="112"/>
        <v/>
      </c>
      <c r="K2291" s="93" t="str">
        <f>IFERROR(VLOOKUP(E2291,'Inventaire des produits'!$B$4:$J$1000,5,FALSE),"")</f>
        <v/>
      </c>
      <c r="L2291" s="301" t="str">
        <f>IFERROR(VLOOKUP(E2291,'Inventaire des produits'!$B$4:$J$1000,6,FALSE),"")</f>
        <v/>
      </c>
      <c r="M2291" s="62"/>
    </row>
    <row r="2292" spans="2:13" x14ac:dyDescent="0.3">
      <c r="B2292" s="54"/>
      <c r="C2292" s="54"/>
      <c r="D2292" s="54"/>
      <c r="E2292" s="234"/>
      <c r="F2292" s="274" t="str">
        <f>IFERROR(VLOOKUP(E2292,'Inventaire des produits'!$B$4:$K$1000,2,0),"")</f>
        <v/>
      </c>
      <c r="G2292" s="54"/>
      <c r="H2292" s="60"/>
      <c r="I2292" s="275" t="str">
        <f t="shared" si="111"/>
        <v/>
      </c>
      <c r="J2292" s="95" t="str">
        <f t="shared" si="112"/>
        <v/>
      </c>
      <c r="K2292" s="93" t="str">
        <f>IFERROR(VLOOKUP(E2292,'Inventaire des produits'!$B$4:$J$1000,5,FALSE),"")</f>
        <v/>
      </c>
      <c r="L2292" s="301" t="str">
        <f>IFERROR(VLOOKUP(E2292,'Inventaire des produits'!$B$4:$J$1000,6,FALSE),"")</f>
        <v/>
      </c>
      <c r="M2292" s="62"/>
    </row>
    <row r="2293" spans="2:13" x14ac:dyDescent="0.3">
      <c r="B2293" s="54"/>
      <c r="C2293" s="54"/>
      <c r="D2293" s="54"/>
      <c r="E2293" s="234"/>
      <c r="F2293" s="274" t="str">
        <f>IFERROR(VLOOKUP(E2293,'Inventaire des produits'!$B$4:$K$1000,2,0),"")</f>
        <v/>
      </c>
      <c r="G2293" s="54"/>
      <c r="H2293" s="60"/>
      <c r="I2293" s="275" t="str">
        <f t="shared" si="111"/>
        <v/>
      </c>
      <c r="J2293" s="95" t="str">
        <f t="shared" si="112"/>
        <v/>
      </c>
      <c r="K2293" s="93" t="str">
        <f>IFERROR(VLOOKUP(E2293,'Inventaire des produits'!$B$4:$J$1000,5,FALSE),"")</f>
        <v/>
      </c>
      <c r="L2293" s="301" t="str">
        <f>IFERROR(VLOOKUP(E2293,'Inventaire des produits'!$B$4:$J$1000,6,FALSE),"")</f>
        <v/>
      </c>
      <c r="M2293" s="62"/>
    </row>
    <row r="2294" spans="2:13" x14ac:dyDescent="0.3">
      <c r="B2294" s="54"/>
      <c r="C2294" s="54"/>
      <c r="D2294" s="54"/>
      <c r="E2294" s="234"/>
      <c r="F2294" s="274" t="str">
        <f>IFERROR(VLOOKUP(E2294,'Inventaire des produits'!$B$4:$K$1000,2,0),"")</f>
        <v/>
      </c>
      <c r="G2294" s="54"/>
      <c r="H2294" s="60"/>
      <c r="I2294" s="275" t="str">
        <f t="shared" si="111"/>
        <v/>
      </c>
      <c r="J2294" s="95" t="str">
        <f t="shared" si="112"/>
        <v/>
      </c>
      <c r="K2294" s="93" t="str">
        <f>IFERROR(VLOOKUP(E2294,'Inventaire des produits'!$B$4:$J$1000,5,FALSE),"")</f>
        <v/>
      </c>
      <c r="L2294" s="301" t="str">
        <f>IFERROR(VLOOKUP(E2294,'Inventaire des produits'!$B$4:$J$1000,6,FALSE),"")</f>
        <v/>
      </c>
      <c r="M2294" s="62"/>
    </row>
    <row r="2295" spans="2:13" x14ac:dyDescent="0.3">
      <c r="B2295" s="54"/>
      <c r="C2295" s="54"/>
      <c r="D2295" s="54"/>
      <c r="E2295" s="234"/>
      <c r="F2295" s="274" t="str">
        <f>IFERROR(VLOOKUP(E2295,'Inventaire des produits'!$B$4:$K$1000,2,0),"")</f>
        <v/>
      </c>
      <c r="G2295" s="54"/>
      <c r="H2295" s="60"/>
      <c r="I2295" s="275" t="str">
        <f t="shared" si="111"/>
        <v/>
      </c>
      <c r="J2295" s="95" t="str">
        <f t="shared" si="112"/>
        <v/>
      </c>
      <c r="K2295" s="93" t="str">
        <f>IFERROR(VLOOKUP(E2295,'Inventaire des produits'!$B$4:$J$1000,5,FALSE),"")</f>
        <v/>
      </c>
      <c r="L2295" s="301" t="str">
        <f>IFERROR(VLOOKUP(E2295,'Inventaire des produits'!$B$4:$J$1000,6,FALSE),"")</f>
        <v/>
      </c>
      <c r="M2295" s="62"/>
    </row>
    <row r="2296" spans="2:13" x14ac:dyDescent="0.3">
      <c r="B2296" s="54"/>
      <c r="C2296" s="54"/>
      <c r="D2296" s="54"/>
      <c r="E2296" s="234"/>
      <c r="F2296" s="274" t="str">
        <f>IFERROR(VLOOKUP(E2296,'Inventaire des produits'!$B$4:$K$1000,2,0),"")</f>
        <v/>
      </c>
      <c r="G2296" s="54"/>
      <c r="H2296" s="60"/>
      <c r="I2296" s="275" t="str">
        <f t="shared" si="111"/>
        <v/>
      </c>
      <c r="J2296" s="95" t="str">
        <f t="shared" si="112"/>
        <v/>
      </c>
      <c r="K2296" s="93" t="str">
        <f>IFERROR(VLOOKUP(E2296,'Inventaire des produits'!$B$4:$J$1000,5,FALSE),"")</f>
        <v/>
      </c>
      <c r="L2296" s="301" t="str">
        <f>IFERROR(VLOOKUP(E2296,'Inventaire des produits'!$B$4:$J$1000,6,FALSE),"")</f>
        <v/>
      </c>
      <c r="M2296" s="62"/>
    </row>
    <row r="2297" spans="2:13" x14ac:dyDescent="0.3">
      <c r="B2297" s="54"/>
      <c r="C2297" s="54"/>
      <c r="D2297" s="54"/>
      <c r="E2297" s="234"/>
      <c r="F2297" s="274" t="str">
        <f>IFERROR(VLOOKUP(E2297,'Inventaire des produits'!$B$4:$K$1000,2,0),"")</f>
        <v/>
      </c>
      <c r="G2297" s="54"/>
      <c r="H2297" s="60"/>
      <c r="I2297" s="275" t="str">
        <f t="shared" si="111"/>
        <v/>
      </c>
      <c r="J2297" s="95" t="str">
        <f t="shared" si="112"/>
        <v/>
      </c>
      <c r="K2297" s="93" t="str">
        <f>IFERROR(VLOOKUP(E2297,'Inventaire des produits'!$B$4:$J$1000,5,FALSE),"")</f>
        <v/>
      </c>
      <c r="L2297" s="301" t="str">
        <f>IFERROR(VLOOKUP(E2297,'Inventaire des produits'!$B$4:$J$1000,6,FALSE),"")</f>
        <v/>
      </c>
      <c r="M2297" s="62"/>
    </row>
    <row r="2298" spans="2:13" x14ac:dyDescent="0.3">
      <c r="B2298" s="54"/>
      <c r="C2298" s="54"/>
      <c r="D2298" s="54"/>
      <c r="E2298" s="234"/>
      <c r="F2298" s="274" t="str">
        <f>IFERROR(VLOOKUP(E2298,'Inventaire des produits'!$B$4:$K$1000,2,0),"")</f>
        <v/>
      </c>
      <c r="G2298" s="54"/>
      <c r="H2298" s="60"/>
      <c r="I2298" s="275" t="str">
        <f t="shared" si="111"/>
        <v/>
      </c>
      <c r="J2298" s="95" t="str">
        <f t="shared" si="112"/>
        <v/>
      </c>
      <c r="K2298" s="93" t="str">
        <f>IFERROR(VLOOKUP(E2298,'Inventaire des produits'!$B$4:$J$1000,5,FALSE),"")</f>
        <v/>
      </c>
      <c r="L2298" s="301" t="str">
        <f>IFERROR(VLOOKUP(E2298,'Inventaire des produits'!$B$4:$J$1000,6,FALSE),"")</f>
        <v/>
      </c>
      <c r="M2298" s="62"/>
    </row>
    <row r="2299" spans="2:13" x14ac:dyDescent="0.3">
      <c r="B2299" s="54"/>
      <c r="C2299" s="54"/>
      <c r="D2299" s="54"/>
      <c r="E2299" s="234"/>
      <c r="F2299" s="274" t="str">
        <f>IFERROR(VLOOKUP(E2299,'Inventaire des produits'!$B$4:$K$1000,2,0),"")</f>
        <v/>
      </c>
      <c r="G2299" s="54"/>
      <c r="H2299" s="60"/>
      <c r="I2299" s="275" t="str">
        <f t="shared" si="111"/>
        <v/>
      </c>
      <c r="J2299" s="95" t="str">
        <f t="shared" si="112"/>
        <v/>
      </c>
      <c r="K2299" s="93" t="str">
        <f>IFERROR(VLOOKUP(E2299,'Inventaire des produits'!$B$4:$J$1000,5,FALSE),"")</f>
        <v/>
      </c>
      <c r="L2299" s="301" t="str">
        <f>IFERROR(VLOOKUP(E2299,'Inventaire des produits'!$B$4:$J$1000,6,FALSE),"")</f>
        <v/>
      </c>
      <c r="M2299" s="62"/>
    </row>
    <row r="2300" spans="2:13" x14ac:dyDescent="0.3">
      <c r="B2300" s="54"/>
      <c r="C2300" s="54"/>
      <c r="D2300" s="54"/>
      <c r="E2300" s="234"/>
      <c r="F2300" s="274" t="str">
        <f>IFERROR(VLOOKUP(E2300,'Inventaire des produits'!$B$4:$K$1000,2,0),"")</f>
        <v/>
      </c>
      <c r="G2300" s="54"/>
      <c r="H2300" s="60"/>
      <c r="I2300" s="275" t="str">
        <f t="shared" si="111"/>
        <v/>
      </c>
      <c r="J2300" s="95" t="str">
        <f t="shared" si="112"/>
        <v/>
      </c>
      <c r="K2300" s="93" t="str">
        <f>IFERROR(VLOOKUP(E2300,'Inventaire des produits'!$B$4:$J$1000,5,FALSE),"")</f>
        <v/>
      </c>
      <c r="L2300" s="301" t="str">
        <f>IFERROR(VLOOKUP(E2300,'Inventaire des produits'!$B$4:$J$1000,6,FALSE),"")</f>
        <v/>
      </c>
      <c r="M2300" s="62"/>
    </row>
    <row r="2301" spans="2:13" x14ac:dyDescent="0.3">
      <c r="B2301" s="54"/>
      <c r="C2301" s="54"/>
      <c r="D2301" s="54"/>
      <c r="E2301" s="234"/>
      <c r="F2301" s="274" t="str">
        <f>IFERROR(VLOOKUP(E2301,'Inventaire des produits'!$B$4:$K$1000,2,0),"")</f>
        <v/>
      </c>
      <c r="G2301" s="54"/>
      <c r="H2301" s="60"/>
      <c r="I2301" s="275" t="str">
        <f t="shared" si="111"/>
        <v/>
      </c>
      <c r="J2301" s="95" t="str">
        <f t="shared" si="112"/>
        <v/>
      </c>
      <c r="K2301" s="93" t="str">
        <f>IFERROR(VLOOKUP(E2301,'Inventaire des produits'!$B$4:$J$1000,5,FALSE),"")</f>
        <v/>
      </c>
      <c r="L2301" s="301" t="str">
        <f>IFERROR(VLOOKUP(E2301,'Inventaire des produits'!$B$4:$J$1000,6,FALSE),"")</f>
        <v/>
      </c>
      <c r="M2301" s="62"/>
    </row>
    <row r="2302" spans="2:13" x14ac:dyDescent="0.3">
      <c r="B2302" s="54"/>
      <c r="C2302" s="54"/>
      <c r="D2302" s="54"/>
      <c r="E2302" s="234"/>
      <c r="F2302" s="274" t="str">
        <f>IFERROR(VLOOKUP(E2302,'Inventaire des produits'!$B$4:$K$1000,2,0),"")</f>
        <v/>
      </c>
      <c r="G2302" s="54"/>
      <c r="H2302" s="60"/>
      <c r="I2302" s="275" t="str">
        <f t="shared" si="111"/>
        <v/>
      </c>
      <c r="J2302" s="95" t="str">
        <f t="shared" si="112"/>
        <v/>
      </c>
      <c r="K2302" s="93" t="str">
        <f>IFERROR(VLOOKUP(E2302,'Inventaire des produits'!$B$4:$J$1000,5,FALSE),"")</f>
        <v/>
      </c>
      <c r="L2302" s="301" t="str">
        <f>IFERROR(VLOOKUP(E2302,'Inventaire des produits'!$B$4:$J$1000,6,FALSE),"")</f>
        <v/>
      </c>
      <c r="M2302" s="62"/>
    </row>
    <row r="2303" spans="2:13" x14ac:dyDescent="0.3">
      <c r="B2303" s="54"/>
      <c r="C2303" s="54"/>
      <c r="D2303" s="54"/>
      <c r="E2303" s="234"/>
      <c r="F2303" s="274" t="str">
        <f>IFERROR(VLOOKUP(E2303,'Inventaire des produits'!$B$4:$K$1000,2,0),"")</f>
        <v/>
      </c>
      <c r="G2303" s="54"/>
      <c r="H2303" s="60"/>
      <c r="I2303" s="275" t="str">
        <f t="shared" si="111"/>
        <v/>
      </c>
      <c r="J2303" s="95" t="str">
        <f t="shared" si="112"/>
        <v/>
      </c>
      <c r="K2303" s="93" t="str">
        <f>IFERROR(VLOOKUP(E2303,'Inventaire des produits'!$B$4:$J$1000,5,FALSE),"")</f>
        <v/>
      </c>
      <c r="L2303" s="301" t="str">
        <f>IFERROR(VLOOKUP(E2303,'Inventaire des produits'!$B$4:$J$1000,6,FALSE),"")</f>
        <v/>
      </c>
      <c r="M2303" s="62"/>
    </row>
    <row r="2304" spans="2:13" x14ac:dyDescent="0.3">
      <c r="B2304" s="54"/>
      <c r="C2304" s="54"/>
      <c r="D2304" s="54"/>
      <c r="E2304" s="234"/>
      <c r="F2304" s="274" t="str">
        <f>IFERROR(VLOOKUP(E2304,'Inventaire des produits'!$B$4:$K$1000,2,0),"")</f>
        <v/>
      </c>
      <c r="G2304" s="54"/>
      <c r="H2304" s="60"/>
      <c r="I2304" s="275" t="str">
        <f t="shared" si="111"/>
        <v/>
      </c>
      <c r="J2304" s="95" t="str">
        <f t="shared" si="112"/>
        <v/>
      </c>
      <c r="K2304" s="93" t="str">
        <f>IFERROR(VLOOKUP(E2304,'Inventaire des produits'!$B$4:$J$1000,5,FALSE),"")</f>
        <v/>
      </c>
      <c r="L2304" s="301" t="str">
        <f>IFERROR(VLOOKUP(E2304,'Inventaire des produits'!$B$4:$J$1000,6,FALSE),"")</f>
        <v/>
      </c>
      <c r="M2304" s="62"/>
    </row>
    <row r="2305" spans="2:13" x14ac:dyDescent="0.3">
      <c r="B2305" s="54"/>
      <c r="C2305" s="54"/>
      <c r="D2305" s="54"/>
      <c r="E2305" s="234"/>
      <c r="F2305" s="274" t="str">
        <f>IFERROR(VLOOKUP(E2305,'Inventaire des produits'!$B$4:$K$1000,2,0),"")</f>
        <v/>
      </c>
      <c r="G2305" s="54"/>
      <c r="H2305" s="60"/>
      <c r="I2305" s="275" t="str">
        <f t="shared" si="111"/>
        <v/>
      </c>
      <c r="J2305" s="95" t="str">
        <f t="shared" si="112"/>
        <v/>
      </c>
      <c r="K2305" s="93" t="str">
        <f>IFERROR(VLOOKUP(E2305,'Inventaire des produits'!$B$4:$J$1000,5,FALSE),"")</f>
        <v/>
      </c>
      <c r="L2305" s="301" t="str">
        <f>IFERROR(VLOOKUP(E2305,'Inventaire des produits'!$B$4:$J$1000,6,FALSE),"")</f>
        <v/>
      </c>
      <c r="M2305" s="62"/>
    </row>
    <row r="2306" spans="2:13" x14ac:dyDescent="0.3">
      <c r="B2306" s="54"/>
      <c r="C2306" s="54"/>
      <c r="D2306" s="54"/>
      <c r="E2306" s="234"/>
      <c r="F2306" s="274" t="str">
        <f>IFERROR(VLOOKUP(E2306,'Inventaire des produits'!$B$4:$K$1000,2,0),"")</f>
        <v/>
      </c>
      <c r="G2306" s="54"/>
      <c r="H2306" s="60"/>
      <c r="I2306" s="275" t="str">
        <f t="shared" si="111"/>
        <v/>
      </c>
      <c r="J2306" s="95" t="str">
        <f t="shared" si="112"/>
        <v/>
      </c>
      <c r="K2306" s="93" t="str">
        <f>IFERROR(VLOOKUP(E2306,'Inventaire des produits'!$B$4:$J$1000,5,FALSE),"")</f>
        <v/>
      </c>
      <c r="L2306" s="301" t="str">
        <f>IFERROR(VLOOKUP(E2306,'Inventaire des produits'!$B$4:$J$1000,6,FALSE),"")</f>
        <v/>
      </c>
      <c r="M2306" s="62"/>
    </row>
    <row r="2307" spans="2:13" x14ac:dyDescent="0.3">
      <c r="B2307" s="54"/>
      <c r="C2307" s="54"/>
      <c r="D2307" s="54"/>
      <c r="E2307" s="234"/>
      <c r="F2307" s="274" t="str">
        <f>IFERROR(VLOOKUP(E2307,'Inventaire des produits'!$B$4:$K$1000,2,0),"")</f>
        <v/>
      </c>
      <c r="G2307" s="54"/>
      <c r="H2307" s="60"/>
      <c r="I2307" s="275" t="str">
        <f t="shared" si="111"/>
        <v/>
      </c>
      <c r="J2307" s="95" t="str">
        <f t="shared" si="112"/>
        <v/>
      </c>
      <c r="K2307" s="93" t="str">
        <f>IFERROR(VLOOKUP(E2307,'Inventaire des produits'!$B$4:$J$1000,5,FALSE),"")</f>
        <v/>
      </c>
      <c r="L2307" s="301" t="str">
        <f>IFERROR(VLOOKUP(E2307,'Inventaire des produits'!$B$4:$J$1000,6,FALSE),"")</f>
        <v/>
      </c>
      <c r="M2307" s="62"/>
    </row>
    <row r="2308" spans="2:13" x14ac:dyDescent="0.3">
      <c r="B2308" s="54"/>
      <c r="C2308" s="54"/>
      <c r="D2308" s="54"/>
      <c r="E2308" s="234"/>
      <c r="F2308" s="274" t="str">
        <f>IFERROR(VLOOKUP(E2308,'Inventaire des produits'!$B$4:$K$1000,2,0),"")</f>
        <v/>
      </c>
      <c r="G2308" s="54"/>
      <c r="H2308" s="60"/>
      <c r="I2308" s="275" t="str">
        <f t="shared" si="111"/>
        <v/>
      </c>
      <c r="J2308" s="95" t="str">
        <f t="shared" si="112"/>
        <v/>
      </c>
      <c r="K2308" s="93" t="str">
        <f>IFERROR(VLOOKUP(E2308,'Inventaire des produits'!$B$4:$J$1000,5,FALSE),"")</f>
        <v/>
      </c>
      <c r="L2308" s="301" t="str">
        <f>IFERROR(VLOOKUP(E2308,'Inventaire des produits'!$B$4:$J$1000,6,FALSE),"")</f>
        <v/>
      </c>
      <c r="M2308" s="62"/>
    </row>
    <row r="2309" spans="2:13" x14ac:dyDescent="0.3">
      <c r="B2309" s="54"/>
      <c r="C2309" s="54"/>
      <c r="D2309" s="54"/>
      <c r="E2309" s="234"/>
      <c r="F2309" s="274" t="str">
        <f>IFERROR(VLOOKUP(E2309,'Inventaire des produits'!$B$4:$K$1000,2,0),"")</f>
        <v/>
      </c>
      <c r="G2309" s="54"/>
      <c r="H2309" s="60"/>
      <c r="I2309" s="275" t="str">
        <f t="shared" si="111"/>
        <v/>
      </c>
      <c r="J2309" s="95" t="str">
        <f t="shared" si="112"/>
        <v/>
      </c>
      <c r="K2309" s="93" t="str">
        <f>IFERROR(VLOOKUP(E2309,'Inventaire des produits'!$B$4:$J$1000,5,FALSE),"")</f>
        <v/>
      </c>
      <c r="L2309" s="301" t="str">
        <f>IFERROR(VLOOKUP(E2309,'Inventaire des produits'!$B$4:$J$1000,6,FALSE),"")</f>
        <v/>
      </c>
      <c r="M2309" s="62"/>
    </row>
    <row r="2310" spans="2:13" x14ac:dyDescent="0.3">
      <c r="B2310" s="54"/>
      <c r="C2310" s="54"/>
      <c r="D2310" s="54"/>
      <c r="E2310" s="234"/>
      <c r="F2310" s="274" t="str">
        <f>IFERROR(VLOOKUP(E2310,'Inventaire des produits'!$B$4:$K$1000,2,0),"")</f>
        <v/>
      </c>
      <c r="G2310" s="54"/>
      <c r="H2310" s="60"/>
      <c r="I2310" s="275" t="str">
        <f t="shared" si="111"/>
        <v/>
      </c>
      <c r="J2310" s="95" t="str">
        <f t="shared" si="112"/>
        <v/>
      </c>
      <c r="K2310" s="93" t="str">
        <f>IFERROR(VLOOKUP(E2310,'Inventaire des produits'!$B$4:$J$1000,5,FALSE),"")</f>
        <v/>
      </c>
      <c r="L2310" s="301" t="str">
        <f>IFERROR(VLOOKUP(E2310,'Inventaire des produits'!$B$4:$J$1000,6,FALSE),"")</f>
        <v/>
      </c>
      <c r="M2310" s="62"/>
    </row>
    <row r="2311" spans="2:13" x14ac:dyDescent="0.3">
      <c r="B2311" s="54"/>
      <c r="C2311" s="54"/>
      <c r="D2311" s="54"/>
      <c r="E2311" s="234"/>
      <c r="F2311" s="274" t="str">
        <f>IFERROR(VLOOKUP(E2311,'Inventaire des produits'!$B$4:$K$1000,2,0),"")</f>
        <v/>
      </c>
      <c r="G2311" s="54"/>
      <c r="H2311" s="60"/>
      <c r="I2311" s="275" t="str">
        <f t="shared" si="111"/>
        <v/>
      </c>
      <c r="J2311" s="95" t="str">
        <f t="shared" si="112"/>
        <v/>
      </c>
      <c r="K2311" s="93" t="str">
        <f>IFERROR(VLOOKUP(E2311,'Inventaire des produits'!$B$4:$J$1000,5,FALSE),"")</f>
        <v/>
      </c>
      <c r="L2311" s="301" t="str">
        <f>IFERROR(VLOOKUP(E2311,'Inventaire des produits'!$B$4:$J$1000,6,FALSE),"")</f>
        <v/>
      </c>
      <c r="M2311" s="62"/>
    </row>
    <row r="2312" spans="2:13" x14ac:dyDescent="0.3">
      <c r="B2312" s="54"/>
      <c r="C2312" s="54"/>
      <c r="D2312" s="54"/>
      <c r="E2312" s="234"/>
      <c r="F2312" s="274" t="str">
        <f>IFERROR(VLOOKUP(E2312,'Inventaire des produits'!$B$4:$K$1000,2,0),"")</f>
        <v/>
      </c>
      <c r="G2312" s="54"/>
      <c r="H2312" s="60"/>
      <c r="I2312" s="275" t="str">
        <f t="shared" si="111"/>
        <v/>
      </c>
      <c r="J2312" s="95" t="str">
        <f t="shared" si="112"/>
        <v/>
      </c>
      <c r="K2312" s="93" t="str">
        <f>IFERROR(VLOOKUP(E2312,'Inventaire des produits'!$B$4:$J$1000,5,FALSE),"")</f>
        <v/>
      </c>
      <c r="L2312" s="301" t="str">
        <f>IFERROR(VLOOKUP(E2312,'Inventaire des produits'!$B$4:$J$1000,6,FALSE),"")</f>
        <v/>
      </c>
      <c r="M2312" s="62"/>
    </row>
    <row r="2313" spans="2:13" x14ac:dyDescent="0.3">
      <c r="B2313" s="54"/>
      <c r="C2313" s="54"/>
      <c r="D2313" s="54"/>
      <c r="E2313" s="234"/>
      <c r="F2313" s="274" t="str">
        <f>IFERROR(VLOOKUP(E2313,'Inventaire des produits'!$B$4:$K$1000,2,0),"")</f>
        <v/>
      </c>
      <c r="G2313" s="54"/>
      <c r="H2313" s="60"/>
      <c r="I2313" s="275" t="str">
        <f t="shared" si="111"/>
        <v/>
      </c>
      <c r="J2313" s="95" t="str">
        <f t="shared" si="112"/>
        <v/>
      </c>
      <c r="K2313" s="93" t="str">
        <f>IFERROR(VLOOKUP(E2313,'Inventaire des produits'!$B$4:$J$1000,5,FALSE),"")</f>
        <v/>
      </c>
      <c r="L2313" s="301" t="str">
        <f>IFERROR(VLOOKUP(E2313,'Inventaire des produits'!$B$4:$J$1000,6,FALSE),"")</f>
        <v/>
      </c>
      <c r="M2313" s="62"/>
    </row>
    <row r="2314" spans="2:13" x14ac:dyDescent="0.3">
      <c r="B2314" s="54"/>
      <c r="C2314" s="54"/>
      <c r="D2314" s="54"/>
      <c r="E2314" s="234"/>
      <c r="F2314" s="274" t="str">
        <f>IFERROR(VLOOKUP(E2314,'Inventaire des produits'!$B$4:$K$1000,2,0),"")</f>
        <v/>
      </c>
      <c r="G2314" s="54"/>
      <c r="H2314" s="60"/>
      <c r="I2314" s="275" t="str">
        <f t="shared" si="111"/>
        <v/>
      </c>
      <c r="J2314" s="95" t="str">
        <f t="shared" si="112"/>
        <v/>
      </c>
      <c r="K2314" s="93" t="str">
        <f>IFERROR(VLOOKUP(E2314,'Inventaire des produits'!$B$4:$J$1000,5,FALSE),"")</f>
        <v/>
      </c>
      <c r="L2314" s="301" t="str">
        <f>IFERROR(VLOOKUP(E2314,'Inventaire des produits'!$B$4:$J$1000,6,FALSE),"")</f>
        <v/>
      </c>
      <c r="M2314" s="62"/>
    </row>
    <row r="2315" spans="2:13" x14ac:dyDescent="0.3">
      <c r="B2315" s="54"/>
      <c r="C2315" s="54"/>
      <c r="D2315" s="54"/>
      <c r="E2315" s="234"/>
      <c r="F2315" s="274" t="str">
        <f>IFERROR(VLOOKUP(E2315,'Inventaire des produits'!$B$4:$K$1000,2,0),"")</f>
        <v/>
      </c>
      <c r="G2315" s="54"/>
      <c r="H2315" s="60"/>
      <c r="I2315" s="275" t="str">
        <f t="shared" si="111"/>
        <v/>
      </c>
      <c r="J2315" s="95" t="str">
        <f t="shared" si="112"/>
        <v/>
      </c>
      <c r="K2315" s="93" t="str">
        <f>IFERROR(VLOOKUP(E2315,'Inventaire des produits'!$B$4:$J$1000,5,FALSE),"")</f>
        <v/>
      </c>
      <c r="L2315" s="301" t="str">
        <f>IFERROR(VLOOKUP(E2315,'Inventaire des produits'!$B$4:$J$1000,6,FALSE),"")</f>
        <v/>
      </c>
      <c r="M2315" s="62"/>
    </row>
    <row r="2316" spans="2:13" x14ac:dyDescent="0.3">
      <c r="B2316" s="54"/>
      <c r="C2316" s="54"/>
      <c r="D2316" s="54"/>
      <c r="E2316" s="234"/>
      <c r="F2316" s="274" t="str">
        <f>IFERROR(VLOOKUP(E2316,'Inventaire des produits'!$B$4:$K$1000,2,0),"")</f>
        <v/>
      </c>
      <c r="G2316" s="54"/>
      <c r="H2316" s="60"/>
      <c r="I2316" s="275" t="str">
        <f t="shared" si="111"/>
        <v/>
      </c>
      <c r="J2316" s="95" t="str">
        <f t="shared" si="112"/>
        <v/>
      </c>
      <c r="K2316" s="93" t="str">
        <f>IFERROR(VLOOKUP(E2316,'Inventaire des produits'!$B$4:$J$1000,5,FALSE),"")</f>
        <v/>
      </c>
      <c r="L2316" s="301" t="str">
        <f>IFERROR(VLOOKUP(E2316,'Inventaire des produits'!$B$4:$J$1000,6,FALSE),"")</f>
        <v/>
      </c>
      <c r="M2316" s="62"/>
    </row>
    <row r="2317" spans="2:13" x14ac:dyDescent="0.3">
      <c r="B2317" s="54"/>
      <c r="C2317" s="54"/>
      <c r="D2317" s="54"/>
      <c r="E2317" s="234"/>
      <c r="F2317" s="274" t="str">
        <f>IFERROR(VLOOKUP(E2317,'Inventaire des produits'!$B$4:$K$1000,2,0),"")</f>
        <v/>
      </c>
      <c r="G2317" s="54"/>
      <c r="H2317" s="60"/>
      <c r="I2317" s="275" t="str">
        <f t="shared" si="111"/>
        <v/>
      </c>
      <c r="J2317" s="95" t="str">
        <f t="shared" si="112"/>
        <v/>
      </c>
      <c r="K2317" s="93" t="str">
        <f>IFERROR(VLOOKUP(E2317,'Inventaire des produits'!$B$4:$J$1000,5,FALSE),"")</f>
        <v/>
      </c>
      <c r="L2317" s="301" t="str">
        <f>IFERROR(VLOOKUP(E2317,'Inventaire des produits'!$B$4:$J$1000,6,FALSE),"")</f>
        <v/>
      </c>
      <c r="M2317" s="62"/>
    </row>
    <row r="2318" spans="2:13" x14ac:dyDescent="0.3">
      <c r="B2318" s="54"/>
      <c r="C2318" s="54"/>
      <c r="D2318" s="54"/>
      <c r="E2318" s="234"/>
      <c r="F2318" s="274" t="str">
        <f>IFERROR(VLOOKUP(E2318,'Inventaire des produits'!$B$4:$K$1000,2,0),"")</f>
        <v/>
      </c>
      <c r="G2318" s="54"/>
      <c r="H2318" s="60"/>
      <c r="I2318" s="275" t="str">
        <f t="shared" si="111"/>
        <v/>
      </c>
      <c r="J2318" s="95" t="str">
        <f t="shared" si="112"/>
        <v/>
      </c>
      <c r="K2318" s="93" t="str">
        <f>IFERROR(VLOOKUP(E2318,'Inventaire des produits'!$B$4:$J$1000,5,FALSE),"")</f>
        <v/>
      </c>
      <c r="L2318" s="301" t="str">
        <f>IFERROR(VLOOKUP(E2318,'Inventaire des produits'!$B$4:$J$1000,6,FALSE),"")</f>
        <v/>
      </c>
      <c r="M2318" s="62"/>
    </row>
    <row r="2319" spans="2:13" x14ac:dyDescent="0.3">
      <c r="B2319" s="54"/>
      <c r="C2319" s="54"/>
      <c r="D2319" s="54"/>
      <c r="E2319" s="234"/>
      <c r="F2319" s="274" t="str">
        <f>IFERROR(VLOOKUP(E2319,'Inventaire des produits'!$B$4:$K$1000,2,0),"")</f>
        <v/>
      </c>
      <c r="G2319" s="54"/>
      <c r="H2319" s="60"/>
      <c r="I2319" s="275" t="str">
        <f t="shared" si="111"/>
        <v/>
      </c>
      <c r="J2319" s="95" t="str">
        <f t="shared" si="112"/>
        <v/>
      </c>
      <c r="K2319" s="93" t="str">
        <f>IFERROR(VLOOKUP(E2319,'Inventaire des produits'!$B$4:$J$1000,5,FALSE),"")</f>
        <v/>
      </c>
      <c r="L2319" s="301" t="str">
        <f>IFERROR(VLOOKUP(E2319,'Inventaire des produits'!$B$4:$J$1000,6,FALSE),"")</f>
        <v/>
      </c>
      <c r="M2319" s="62"/>
    </row>
    <row r="2320" spans="2:13" x14ac:dyDescent="0.3">
      <c r="B2320" s="54"/>
      <c r="C2320" s="54"/>
      <c r="D2320" s="54"/>
      <c r="E2320" s="234"/>
      <c r="F2320" s="274" t="str">
        <f>IFERROR(VLOOKUP(E2320,'Inventaire des produits'!$B$4:$K$1000,2,0),"")</f>
        <v/>
      </c>
      <c r="G2320" s="54"/>
      <c r="H2320" s="60"/>
      <c r="I2320" s="275" t="str">
        <f t="shared" si="111"/>
        <v/>
      </c>
      <c r="J2320" s="95" t="str">
        <f t="shared" si="112"/>
        <v/>
      </c>
      <c r="K2320" s="93" t="str">
        <f>IFERROR(VLOOKUP(E2320,'Inventaire des produits'!$B$4:$J$1000,5,FALSE),"")</f>
        <v/>
      </c>
      <c r="L2320" s="301" t="str">
        <f>IFERROR(VLOOKUP(E2320,'Inventaire des produits'!$B$4:$J$1000,6,FALSE),"")</f>
        <v/>
      </c>
      <c r="M2320" s="62"/>
    </row>
    <row r="2321" spans="2:13" x14ac:dyDescent="0.3">
      <c r="B2321" s="54"/>
      <c r="C2321" s="54"/>
      <c r="D2321" s="54"/>
      <c r="E2321" s="234"/>
      <c r="F2321" s="274" t="str">
        <f>IFERROR(VLOOKUP(E2321,'Inventaire des produits'!$B$4:$K$1000,2,0),"")</f>
        <v/>
      </c>
      <c r="G2321" s="54"/>
      <c r="H2321" s="60"/>
      <c r="I2321" s="275" t="str">
        <f t="shared" si="111"/>
        <v/>
      </c>
      <c r="J2321" s="95" t="str">
        <f t="shared" si="112"/>
        <v/>
      </c>
      <c r="K2321" s="93" t="str">
        <f>IFERROR(VLOOKUP(E2321,'Inventaire des produits'!$B$4:$J$1000,5,FALSE),"")</f>
        <v/>
      </c>
      <c r="L2321" s="301" t="str">
        <f>IFERROR(VLOOKUP(E2321,'Inventaire des produits'!$B$4:$J$1000,6,FALSE),"")</f>
        <v/>
      </c>
      <c r="M2321" s="62"/>
    </row>
    <row r="2322" spans="2:13" x14ac:dyDescent="0.3">
      <c r="B2322" s="54"/>
      <c r="C2322" s="54"/>
      <c r="D2322" s="54"/>
      <c r="E2322" s="234"/>
      <c r="F2322" s="274" t="str">
        <f>IFERROR(VLOOKUP(E2322,'Inventaire des produits'!$B$4:$K$1000,2,0),"")</f>
        <v/>
      </c>
      <c r="G2322" s="54"/>
      <c r="H2322" s="60"/>
      <c r="I2322" s="275" t="str">
        <f t="shared" si="111"/>
        <v/>
      </c>
      <c r="J2322" s="95" t="str">
        <f t="shared" si="112"/>
        <v/>
      </c>
      <c r="K2322" s="93" t="str">
        <f>IFERROR(VLOOKUP(E2322,'Inventaire des produits'!$B$4:$J$1000,5,FALSE),"")</f>
        <v/>
      </c>
      <c r="L2322" s="301" t="str">
        <f>IFERROR(VLOOKUP(E2322,'Inventaire des produits'!$B$4:$J$1000,6,FALSE),"")</f>
        <v/>
      </c>
      <c r="M2322" s="62"/>
    </row>
    <row r="2323" spans="2:13" x14ac:dyDescent="0.3">
      <c r="B2323" s="54"/>
      <c r="C2323" s="54"/>
      <c r="D2323" s="54"/>
      <c r="E2323" s="234"/>
      <c r="F2323" s="274" t="str">
        <f>IFERROR(VLOOKUP(E2323,'Inventaire des produits'!$B$4:$K$1000,2,0),"")</f>
        <v/>
      </c>
      <c r="G2323" s="54"/>
      <c r="H2323" s="60"/>
      <c r="I2323" s="275" t="str">
        <f t="shared" si="111"/>
        <v/>
      </c>
      <c r="J2323" s="95" t="str">
        <f t="shared" si="112"/>
        <v/>
      </c>
      <c r="K2323" s="93" t="str">
        <f>IFERROR(VLOOKUP(E2323,'Inventaire des produits'!$B$4:$J$1000,5,FALSE),"")</f>
        <v/>
      </c>
      <c r="L2323" s="301" t="str">
        <f>IFERROR(VLOOKUP(E2323,'Inventaire des produits'!$B$4:$J$1000,6,FALSE),"")</f>
        <v/>
      </c>
      <c r="M2323" s="62"/>
    </row>
    <row r="2324" spans="2:13" x14ac:dyDescent="0.3">
      <c r="B2324" s="54"/>
      <c r="C2324" s="54"/>
      <c r="D2324" s="54"/>
      <c r="E2324" s="234"/>
      <c r="F2324" s="274" t="str">
        <f>IFERROR(VLOOKUP(E2324,'Inventaire des produits'!$B$4:$K$1000,2,0),"")</f>
        <v/>
      </c>
      <c r="G2324" s="54"/>
      <c r="H2324" s="60"/>
      <c r="I2324" s="275" t="str">
        <f t="shared" si="111"/>
        <v/>
      </c>
      <c r="J2324" s="95" t="str">
        <f t="shared" si="112"/>
        <v/>
      </c>
      <c r="K2324" s="93" t="str">
        <f>IFERROR(VLOOKUP(E2324,'Inventaire des produits'!$B$4:$J$1000,5,FALSE),"")</f>
        <v/>
      </c>
      <c r="L2324" s="301" t="str">
        <f>IFERROR(VLOOKUP(E2324,'Inventaire des produits'!$B$4:$J$1000,6,FALSE),"")</f>
        <v/>
      </c>
      <c r="M2324" s="62"/>
    </row>
    <row r="2325" spans="2:13" x14ac:dyDescent="0.3">
      <c r="B2325" s="54"/>
      <c r="C2325" s="54"/>
      <c r="D2325" s="54"/>
      <c r="E2325" s="234"/>
      <c r="F2325" s="274" t="str">
        <f>IFERROR(VLOOKUP(E2325,'Inventaire des produits'!$B$4:$K$1000,2,0),"")</f>
        <v/>
      </c>
      <c r="G2325" s="54"/>
      <c r="H2325" s="60"/>
      <c r="I2325" s="275" t="str">
        <f t="shared" si="111"/>
        <v/>
      </c>
      <c r="J2325" s="95" t="str">
        <f t="shared" si="112"/>
        <v/>
      </c>
      <c r="K2325" s="93" t="str">
        <f>IFERROR(VLOOKUP(E2325,'Inventaire des produits'!$B$4:$J$1000,5,FALSE),"")</f>
        <v/>
      </c>
      <c r="L2325" s="301" t="str">
        <f>IFERROR(VLOOKUP(E2325,'Inventaire des produits'!$B$4:$J$1000,6,FALSE),"")</f>
        <v/>
      </c>
      <c r="M2325" s="62"/>
    </row>
    <row r="2326" spans="2:13" x14ac:dyDescent="0.3">
      <c r="B2326" s="54"/>
      <c r="C2326" s="54"/>
      <c r="D2326" s="54"/>
      <c r="E2326" s="234"/>
      <c r="F2326" s="274" t="str">
        <f>IFERROR(VLOOKUP(E2326,'Inventaire des produits'!$B$4:$K$1000,2,0),"")</f>
        <v/>
      </c>
      <c r="G2326" s="54"/>
      <c r="H2326" s="60"/>
      <c r="I2326" s="275" t="str">
        <f t="shared" si="111"/>
        <v/>
      </c>
      <c r="J2326" s="95" t="str">
        <f t="shared" si="112"/>
        <v/>
      </c>
      <c r="K2326" s="93" t="str">
        <f>IFERROR(VLOOKUP(E2326,'Inventaire des produits'!$B$4:$J$1000,5,FALSE),"")</f>
        <v/>
      </c>
      <c r="L2326" s="301" t="str">
        <f>IFERROR(VLOOKUP(E2326,'Inventaire des produits'!$B$4:$J$1000,6,FALSE),"")</f>
        <v/>
      </c>
      <c r="M2326" s="62"/>
    </row>
    <row r="2327" spans="2:13" x14ac:dyDescent="0.3">
      <c r="B2327" s="54"/>
      <c r="C2327" s="54"/>
      <c r="D2327" s="54"/>
      <c r="E2327" s="234"/>
      <c r="F2327" s="274" t="str">
        <f>IFERROR(VLOOKUP(E2327,'Inventaire des produits'!$B$4:$K$1000,2,0),"")</f>
        <v/>
      </c>
      <c r="G2327" s="54"/>
      <c r="H2327" s="60"/>
      <c r="I2327" s="275" t="str">
        <f t="shared" si="111"/>
        <v/>
      </c>
      <c r="J2327" s="95" t="str">
        <f t="shared" si="112"/>
        <v/>
      </c>
      <c r="K2327" s="93" t="str">
        <f>IFERROR(VLOOKUP(E2327,'Inventaire des produits'!$B$4:$J$1000,5,FALSE),"")</f>
        <v/>
      </c>
      <c r="L2327" s="301" t="str">
        <f>IFERROR(VLOOKUP(E2327,'Inventaire des produits'!$B$4:$J$1000,6,FALSE),"")</f>
        <v/>
      </c>
      <c r="M2327" s="62"/>
    </row>
    <row r="2328" spans="2:13" x14ac:dyDescent="0.3">
      <c r="B2328" s="54"/>
      <c r="C2328" s="54"/>
      <c r="D2328" s="54"/>
      <c r="E2328" s="234"/>
      <c r="F2328" s="274" t="str">
        <f>IFERROR(VLOOKUP(E2328,'Inventaire des produits'!$B$4:$K$1000,2,0),"")</f>
        <v/>
      </c>
      <c r="G2328" s="54"/>
      <c r="H2328" s="60"/>
      <c r="I2328" s="275" t="str">
        <f t="shared" si="111"/>
        <v/>
      </c>
      <c r="J2328" s="95" t="str">
        <f t="shared" si="112"/>
        <v/>
      </c>
      <c r="K2328" s="93" t="str">
        <f>IFERROR(VLOOKUP(E2328,'Inventaire des produits'!$B$4:$J$1000,5,FALSE),"")</f>
        <v/>
      </c>
      <c r="L2328" s="301" t="str">
        <f>IFERROR(VLOOKUP(E2328,'Inventaire des produits'!$B$4:$J$1000,6,FALSE),"")</f>
        <v/>
      </c>
      <c r="M2328" s="62"/>
    </row>
    <row r="2329" spans="2:13" x14ac:dyDescent="0.3">
      <c r="B2329" s="54"/>
      <c r="C2329" s="54"/>
      <c r="D2329" s="54"/>
      <c r="E2329" s="234"/>
      <c r="F2329" s="274" t="str">
        <f>IFERROR(VLOOKUP(E2329,'Inventaire des produits'!$B$4:$K$1000,2,0),"")</f>
        <v/>
      </c>
      <c r="G2329" s="54"/>
      <c r="H2329" s="60"/>
      <c r="I2329" s="275" t="str">
        <f t="shared" si="111"/>
        <v/>
      </c>
      <c r="J2329" s="95" t="str">
        <f t="shared" si="112"/>
        <v/>
      </c>
      <c r="K2329" s="93" t="str">
        <f>IFERROR(VLOOKUP(E2329,'Inventaire des produits'!$B$4:$J$1000,5,FALSE),"")</f>
        <v/>
      </c>
      <c r="L2329" s="301" t="str">
        <f>IFERROR(VLOOKUP(E2329,'Inventaire des produits'!$B$4:$J$1000,6,FALSE),"")</f>
        <v/>
      </c>
      <c r="M2329" s="62"/>
    </row>
    <row r="2330" spans="2:13" x14ac:dyDescent="0.3">
      <c r="B2330" s="54"/>
      <c r="C2330" s="54"/>
      <c r="D2330" s="54"/>
      <c r="E2330" s="234"/>
      <c r="F2330" s="274" t="str">
        <f>IFERROR(VLOOKUP(E2330,'Inventaire des produits'!$B$4:$K$1000,2,0),"")</f>
        <v/>
      </c>
      <c r="G2330" s="54"/>
      <c r="H2330" s="60"/>
      <c r="I2330" s="275" t="str">
        <f t="shared" si="111"/>
        <v/>
      </c>
      <c r="J2330" s="95" t="str">
        <f t="shared" si="112"/>
        <v/>
      </c>
      <c r="K2330" s="93" t="str">
        <f>IFERROR(VLOOKUP(E2330,'Inventaire des produits'!$B$4:$J$1000,5,FALSE),"")</f>
        <v/>
      </c>
      <c r="L2330" s="301" t="str">
        <f>IFERROR(VLOOKUP(E2330,'Inventaire des produits'!$B$4:$J$1000,6,FALSE),"")</f>
        <v/>
      </c>
      <c r="M2330" s="62"/>
    </row>
    <row r="2331" spans="2:13" x14ac:dyDescent="0.3">
      <c r="B2331" s="54"/>
      <c r="C2331" s="54"/>
      <c r="D2331" s="54"/>
      <c r="E2331" s="234"/>
      <c r="F2331" s="274" t="str">
        <f>IFERROR(VLOOKUP(E2331,'Inventaire des produits'!$B$4:$K$1000,2,0),"")</f>
        <v/>
      </c>
      <c r="G2331" s="54"/>
      <c r="H2331" s="60"/>
      <c r="I2331" s="275" t="str">
        <f t="shared" si="111"/>
        <v/>
      </c>
      <c r="J2331" s="95" t="str">
        <f t="shared" si="112"/>
        <v/>
      </c>
      <c r="K2331" s="93" t="str">
        <f>IFERROR(VLOOKUP(E2331,'Inventaire des produits'!$B$4:$J$1000,5,FALSE),"")</f>
        <v/>
      </c>
      <c r="L2331" s="301" t="str">
        <f>IFERROR(VLOOKUP(E2331,'Inventaire des produits'!$B$4:$J$1000,6,FALSE),"")</f>
        <v/>
      </c>
      <c r="M2331" s="62"/>
    </row>
    <row r="2332" spans="2:13" x14ac:dyDescent="0.3">
      <c r="B2332" s="54"/>
      <c r="C2332" s="54"/>
      <c r="D2332" s="54"/>
      <c r="E2332" s="234"/>
      <c r="F2332" s="274" t="str">
        <f>IFERROR(VLOOKUP(E2332,'Inventaire des produits'!$B$4:$K$1000,2,0),"")</f>
        <v/>
      </c>
      <c r="G2332" s="54"/>
      <c r="H2332" s="60"/>
      <c r="I2332" s="275" t="str">
        <f t="shared" si="111"/>
        <v/>
      </c>
      <c r="J2332" s="95" t="str">
        <f t="shared" si="112"/>
        <v/>
      </c>
      <c r="K2332" s="93" t="str">
        <f>IFERROR(VLOOKUP(E2332,'Inventaire des produits'!$B$4:$J$1000,5,FALSE),"")</f>
        <v/>
      </c>
      <c r="L2332" s="301" t="str">
        <f>IFERROR(VLOOKUP(E2332,'Inventaire des produits'!$B$4:$J$1000,6,FALSE),"")</f>
        <v/>
      </c>
      <c r="M2332" s="62"/>
    </row>
    <row r="2333" spans="2:13" x14ac:dyDescent="0.3">
      <c r="B2333" s="54"/>
      <c r="C2333" s="54"/>
      <c r="D2333" s="54"/>
      <c r="E2333" s="234"/>
      <c r="F2333" s="274" t="str">
        <f>IFERROR(VLOOKUP(E2333,'Inventaire des produits'!$B$4:$K$1000,2,0),"")</f>
        <v/>
      </c>
      <c r="G2333" s="54"/>
      <c r="H2333" s="60"/>
      <c r="I2333" s="275" t="str">
        <f t="shared" si="111"/>
        <v/>
      </c>
      <c r="J2333" s="95" t="str">
        <f t="shared" si="112"/>
        <v/>
      </c>
      <c r="K2333" s="93" t="str">
        <f>IFERROR(VLOOKUP(E2333,'Inventaire des produits'!$B$4:$J$1000,5,FALSE),"")</f>
        <v/>
      </c>
      <c r="L2333" s="301" t="str">
        <f>IFERROR(VLOOKUP(E2333,'Inventaire des produits'!$B$4:$J$1000,6,FALSE),"")</f>
        <v/>
      </c>
      <c r="M2333" s="62"/>
    </row>
    <row r="2334" spans="2:13" x14ac:dyDescent="0.3">
      <c r="B2334" s="54"/>
      <c r="C2334" s="54"/>
      <c r="D2334" s="54"/>
      <c r="E2334" s="234"/>
      <c r="F2334" s="274" t="str">
        <f>IFERROR(VLOOKUP(E2334,'Inventaire des produits'!$B$4:$K$1000,2,0),"")</f>
        <v/>
      </c>
      <c r="G2334" s="54"/>
      <c r="H2334" s="60"/>
      <c r="I2334" s="275" t="str">
        <f t="shared" si="111"/>
        <v/>
      </c>
      <c r="J2334" s="95" t="str">
        <f t="shared" si="112"/>
        <v/>
      </c>
      <c r="K2334" s="93" t="str">
        <f>IFERROR(VLOOKUP(E2334,'Inventaire des produits'!$B$4:$J$1000,5,FALSE),"")</f>
        <v/>
      </c>
      <c r="L2334" s="301" t="str">
        <f>IFERROR(VLOOKUP(E2334,'Inventaire des produits'!$B$4:$J$1000,6,FALSE),"")</f>
        <v/>
      </c>
      <c r="M2334" s="62"/>
    </row>
    <row r="2335" spans="2:13" x14ac:dyDescent="0.3">
      <c r="B2335" s="54"/>
      <c r="C2335" s="54"/>
      <c r="D2335" s="54"/>
      <c r="E2335" s="234"/>
      <c r="F2335" s="274" t="str">
        <f>IFERROR(VLOOKUP(E2335,'Inventaire des produits'!$B$4:$K$1000,2,0),"")</f>
        <v/>
      </c>
      <c r="G2335" s="54"/>
      <c r="H2335" s="60"/>
      <c r="I2335" s="275" t="str">
        <f t="shared" si="111"/>
        <v/>
      </c>
      <c r="J2335" s="95" t="str">
        <f t="shared" si="112"/>
        <v/>
      </c>
      <c r="K2335" s="93" t="str">
        <f>IFERROR(VLOOKUP(E2335,'Inventaire des produits'!$B$4:$J$1000,5,FALSE),"")</f>
        <v/>
      </c>
      <c r="L2335" s="301" t="str">
        <f>IFERROR(VLOOKUP(E2335,'Inventaire des produits'!$B$4:$J$1000,6,FALSE),"")</f>
        <v/>
      </c>
      <c r="M2335" s="62"/>
    </row>
    <row r="2336" spans="2:13" x14ac:dyDescent="0.3">
      <c r="B2336" s="54"/>
      <c r="C2336" s="54"/>
      <c r="D2336" s="54"/>
      <c r="E2336" s="234"/>
      <c r="F2336" s="274" t="str">
        <f>IFERROR(VLOOKUP(E2336,'Inventaire des produits'!$B$4:$K$1000,2,0),"")</f>
        <v/>
      </c>
      <c r="G2336" s="54"/>
      <c r="H2336" s="60"/>
      <c r="I2336" s="275" t="str">
        <f t="shared" si="111"/>
        <v/>
      </c>
      <c r="J2336" s="95" t="str">
        <f t="shared" si="112"/>
        <v/>
      </c>
      <c r="K2336" s="93" t="str">
        <f>IFERROR(VLOOKUP(E2336,'Inventaire des produits'!$B$4:$J$1000,5,FALSE),"")</f>
        <v/>
      </c>
      <c r="L2336" s="301" t="str">
        <f>IFERROR(VLOOKUP(E2336,'Inventaire des produits'!$B$4:$J$1000,6,FALSE),"")</f>
        <v/>
      </c>
      <c r="M2336" s="62"/>
    </row>
    <row r="2337" spans="2:13" x14ac:dyDescent="0.3">
      <c r="B2337" s="54"/>
      <c r="C2337" s="54"/>
      <c r="D2337" s="54"/>
      <c r="E2337" s="234"/>
      <c r="F2337" s="274" t="str">
        <f>IFERROR(VLOOKUP(E2337,'Inventaire des produits'!$B$4:$K$1000,2,0),"")</f>
        <v/>
      </c>
      <c r="G2337" s="54"/>
      <c r="H2337" s="60"/>
      <c r="I2337" s="275" t="str">
        <f t="shared" si="111"/>
        <v/>
      </c>
      <c r="J2337" s="95" t="str">
        <f t="shared" si="112"/>
        <v/>
      </c>
      <c r="K2337" s="93" t="str">
        <f>IFERROR(VLOOKUP(E2337,'Inventaire des produits'!$B$4:$J$1000,5,FALSE),"")</f>
        <v/>
      </c>
      <c r="L2337" s="301" t="str">
        <f>IFERROR(VLOOKUP(E2337,'Inventaire des produits'!$B$4:$J$1000,6,FALSE),"")</f>
        <v/>
      </c>
      <c r="M2337" s="62"/>
    </row>
    <row r="2338" spans="2:13" x14ac:dyDescent="0.3">
      <c r="B2338" s="54"/>
      <c r="C2338" s="54"/>
      <c r="D2338" s="54"/>
      <c r="E2338" s="234"/>
      <c r="F2338" s="274" t="str">
        <f>IFERROR(VLOOKUP(E2338,'Inventaire des produits'!$B$4:$K$1000,2,0),"")</f>
        <v/>
      </c>
      <c r="G2338" s="54"/>
      <c r="H2338" s="60"/>
      <c r="I2338" s="275" t="str">
        <f t="shared" si="111"/>
        <v/>
      </c>
      <c r="J2338" s="95" t="str">
        <f t="shared" si="112"/>
        <v/>
      </c>
      <c r="K2338" s="93" t="str">
        <f>IFERROR(VLOOKUP(E2338,'Inventaire des produits'!$B$4:$J$1000,5,FALSE),"")</f>
        <v/>
      </c>
      <c r="L2338" s="301" t="str">
        <f>IFERROR(VLOOKUP(E2338,'Inventaire des produits'!$B$4:$J$1000,6,FALSE),"")</f>
        <v/>
      </c>
      <c r="M2338" s="62"/>
    </row>
    <row r="2339" spans="2:13" x14ac:dyDescent="0.3">
      <c r="B2339" s="54"/>
      <c r="C2339" s="54"/>
      <c r="D2339" s="54"/>
      <c r="E2339" s="234"/>
      <c r="F2339" s="274" t="str">
        <f>IFERROR(VLOOKUP(E2339,'Inventaire des produits'!$B$4:$K$1000,2,0),"")</f>
        <v/>
      </c>
      <c r="G2339" s="54"/>
      <c r="H2339" s="60"/>
      <c r="I2339" s="275" t="str">
        <f t="shared" si="111"/>
        <v/>
      </c>
      <c r="J2339" s="95" t="str">
        <f t="shared" si="112"/>
        <v/>
      </c>
      <c r="K2339" s="93" t="str">
        <f>IFERROR(VLOOKUP(E2339,'Inventaire des produits'!$B$4:$J$1000,5,FALSE),"")</f>
        <v/>
      </c>
      <c r="L2339" s="301" t="str">
        <f>IFERROR(VLOOKUP(E2339,'Inventaire des produits'!$B$4:$J$1000,6,FALSE),"")</f>
        <v/>
      </c>
      <c r="M2339" s="62"/>
    </row>
    <row r="2340" spans="2:13" x14ac:dyDescent="0.3">
      <c r="B2340" s="54"/>
      <c r="C2340" s="54"/>
      <c r="D2340" s="54"/>
      <c r="E2340" s="234"/>
      <c r="F2340" s="274" t="str">
        <f>IFERROR(VLOOKUP(E2340,'Inventaire des produits'!$B$4:$K$1000,2,0),"")</f>
        <v/>
      </c>
      <c r="G2340" s="54"/>
      <c r="H2340" s="60"/>
      <c r="I2340" s="275" t="str">
        <f t="shared" si="111"/>
        <v/>
      </c>
      <c r="J2340" s="95" t="str">
        <f t="shared" si="112"/>
        <v/>
      </c>
      <c r="K2340" s="93" t="str">
        <f>IFERROR(VLOOKUP(E2340,'Inventaire des produits'!$B$4:$J$1000,5,FALSE),"")</f>
        <v/>
      </c>
      <c r="L2340" s="301" t="str">
        <f>IFERROR(VLOOKUP(E2340,'Inventaire des produits'!$B$4:$J$1000,6,FALSE),"")</f>
        <v/>
      </c>
      <c r="M2340" s="62"/>
    </row>
    <row r="2341" spans="2:13" x14ac:dyDescent="0.3">
      <c r="B2341" s="54"/>
      <c r="C2341" s="54"/>
      <c r="D2341" s="54"/>
      <c r="E2341" s="234"/>
      <c r="F2341" s="274" t="str">
        <f>IFERROR(VLOOKUP(E2341,'Inventaire des produits'!$B$4:$K$1000,2,0),"")</f>
        <v/>
      </c>
      <c r="G2341" s="54"/>
      <c r="H2341" s="60"/>
      <c r="I2341" s="275" t="str">
        <f t="shared" si="111"/>
        <v/>
      </c>
      <c r="J2341" s="95" t="str">
        <f t="shared" si="112"/>
        <v/>
      </c>
      <c r="K2341" s="93" t="str">
        <f>IFERROR(VLOOKUP(E2341,'Inventaire des produits'!$B$4:$J$1000,5,FALSE),"")</f>
        <v/>
      </c>
      <c r="L2341" s="301" t="str">
        <f>IFERROR(VLOOKUP(E2341,'Inventaire des produits'!$B$4:$J$1000,6,FALSE),"")</f>
        <v/>
      </c>
      <c r="M2341" s="62"/>
    </row>
    <row r="2342" spans="2:13" x14ac:dyDescent="0.3">
      <c r="B2342" s="54"/>
      <c r="C2342" s="54"/>
      <c r="D2342" s="54"/>
      <c r="E2342" s="234"/>
      <c r="F2342" s="274" t="str">
        <f>IFERROR(VLOOKUP(E2342,'Inventaire des produits'!$B$4:$K$1000,2,0),"")</f>
        <v/>
      </c>
      <c r="G2342" s="54"/>
      <c r="H2342" s="60"/>
      <c r="I2342" s="275" t="str">
        <f t="shared" si="111"/>
        <v/>
      </c>
      <c r="J2342" s="95" t="str">
        <f t="shared" si="112"/>
        <v/>
      </c>
      <c r="K2342" s="93" t="str">
        <f>IFERROR(VLOOKUP(E2342,'Inventaire des produits'!$B$4:$J$1000,5,FALSE),"")</f>
        <v/>
      </c>
      <c r="L2342" s="301" t="str">
        <f>IFERROR(VLOOKUP(E2342,'Inventaire des produits'!$B$4:$J$1000,6,FALSE),"")</f>
        <v/>
      </c>
      <c r="M2342" s="62"/>
    </row>
    <row r="2343" spans="2:13" x14ac:dyDescent="0.3">
      <c r="B2343" s="54"/>
      <c r="C2343" s="54"/>
      <c r="D2343" s="54"/>
      <c r="E2343" s="234"/>
      <c r="F2343" s="274" t="str">
        <f>IFERROR(VLOOKUP(E2343,'Inventaire des produits'!$B$4:$K$1000,2,0),"")</f>
        <v/>
      </c>
      <c r="G2343" s="54"/>
      <c r="H2343" s="60"/>
      <c r="I2343" s="275" t="str">
        <f t="shared" si="111"/>
        <v/>
      </c>
      <c r="J2343" s="95" t="str">
        <f t="shared" si="112"/>
        <v/>
      </c>
      <c r="K2343" s="93" t="str">
        <f>IFERROR(VLOOKUP(E2343,'Inventaire des produits'!$B$4:$J$1000,5,FALSE),"")</f>
        <v/>
      </c>
      <c r="L2343" s="301" t="str">
        <f>IFERROR(VLOOKUP(E2343,'Inventaire des produits'!$B$4:$J$1000,6,FALSE),"")</f>
        <v/>
      </c>
      <c r="M2343" s="62"/>
    </row>
    <row r="2344" spans="2:13" x14ac:dyDescent="0.3">
      <c r="B2344" s="54"/>
      <c r="C2344" s="54"/>
      <c r="D2344" s="54"/>
      <c r="E2344" s="234"/>
      <c r="F2344" s="274" t="str">
        <f>IFERROR(VLOOKUP(E2344,'Inventaire des produits'!$B$4:$K$1000,2,0),"")</f>
        <v/>
      </c>
      <c r="G2344" s="54"/>
      <c r="H2344" s="60"/>
      <c r="I2344" s="275" t="str">
        <f t="shared" si="111"/>
        <v/>
      </c>
      <c r="J2344" s="95" t="str">
        <f t="shared" si="112"/>
        <v/>
      </c>
      <c r="K2344" s="93" t="str">
        <f>IFERROR(VLOOKUP(E2344,'Inventaire des produits'!$B$4:$J$1000,5,FALSE),"")</f>
        <v/>
      </c>
      <c r="L2344" s="301" t="str">
        <f>IFERROR(VLOOKUP(E2344,'Inventaire des produits'!$B$4:$J$1000,6,FALSE),"")</f>
        <v/>
      </c>
      <c r="M2344" s="62"/>
    </row>
    <row r="2345" spans="2:13" x14ac:dyDescent="0.3">
      <c r="B2345" s="54"/>
      <c r="C2345" s="54"/>
      <c r="D2345" s="54"/>
      <c r="E2345" s="234"/>
      <c r="F2345" s="274" t="str">
        <f>IFERROR(VLOOKUP(E2345,'Inventaire des produits'!$B$4:$K$1000,2,0),"")</f>
        <v/>
      </c>
      <c r="G2345" s="54"/>
      <c r="H2345" s="60"/>
      <c r="I2345" s="275" t="str">
        <f t="shared" si="111"/>
        <v/>
      </c>
      <c r="J2345" s="95" t="str">
        <f t="shared" si="112"/>
        <v/>
      </c>
      <c r="K2345" s="93" t="str">
        <f>IFERROR(VLOOKUP(E2345,'Inventaire des produits'!$B$4:$J$1000,5,FALSE),"")</f>
        <v/>
      </c>
      <c r="L2345" s="301" t="str">
        <f>IFERROR(VLOOKUP(E2345,'Inventaire des produits'!$B$4:$J$1000,6,FALSE),"")</f>
        <v/>
      </c>
      <c r="M2345" s="62"/>
    </row>
    <row r="2346" spans="2:13" x14ac:dyDescent="0.3">
      <c r="B2346" s="54"/>
      <c r="C2346" s="54"/>
      <c r="D2346" s="54"/>
      <c r="E2346" s="234"/>
      <c r="F2346" s="274" t="str">
        <f>IFERROR(VLOOKUP(E2346,'Inventaire des produits'!$B$4:$K$1000,2,0),"")</f>
        <v/>
      </c>
      <c r="G2346" s="54"/>
      <c r="H2346" s="60"/>
      <c r="I2346" s="275" t="str">
        <f t="shared" si="111"/>
        <v/>
      </c>
      <c r="J2346" s="95" t="str">
        <f t="shared" si="112"/>
        <v/>
      </c>
      <c r="K2346" s="93" t="str">
        <f>IFERROR(VLOOKUP(E2346,'Inventaire des produits'!$B$4:$J$1000,5,FALSE),"")</f>
        <v/>
      </c>
      <c r="L2346" s="301" t="str">
        <f>IFERROR(VLOOKUP(E2346,'Inventaire des produits'!$B$4:$J$1000,6,FALSE),"")</f>
        <v/>
      </c>
      <c r="M2346" s="62"/>
    </row>
    <row r="2347" spans="2:13" x14ac:dyDescent="0.3">
      <c r="B2347" s="54"/>
      <c r="C2347" s="54"/>
      <c r="D2347" s="54"/>
      <c r="E2347" s="234"/>
      <c r="F2347" s="274" t="str">
        <f>IFERROR(VLOOKUP(E2347,'Inventaire des produits'!$B$4:$K$1000,2,0),"")</f>
        <v/>
      </c>
      <c r="G2347" s="54"/>
      <c r="H2347" s="60"/>
      <c r="I2347" s="275" t="str">
        <f t="shared" si="111"/>
        <v/>
      </c>
      <c r="J2347" s="95" t="str">
        <f t="shared" si="112"/>
        <v/>
      </c>
      <c r="K2347" s="93" t="str">
        <f>IFERROR(VLOOKUP(E2347,'Inventaire des produits'!$B$4:$J$1000,5,FALSE),"")</f>
        <v/>
      </c>
      <c r="L2347" s="301" t="str">
        <f>IFERROR(VLOOKUP(E2347,'Inventaire des produits'!$B$4:$J$1000,6,FALSE),"")</f>
        <v/>
      </c>
      <c r="M2347" s="62"/>
    </row>
    <row r="2348" spans="2:13" x14ac:dyDescent="0.3">
      <c r="B2348" s="54"/>
      <c r="C2348" s="54"/>
      <c r="D2348" s="54"/>
      <c r="E2348" s="234"/>
      <c r="F2348" s="274" t="str">
        <f>IFERROR(VLOOKUP(E2348,'Inventaire des produits'!$B$4:$K$1000,2,0),"")</f>
        <v/>
      </c>
      <c r="G2348" s="54"/>
      <c r="H2348" s="60"/>
      <c r="I2348" s="275" t="str">
        <f t="shared" si="111"/>
        <v/>
      </c>
      <c r="J2348" s="95" t="str">
        <f t="shared" si="112"/>
        <v/>
      </c>
      <c r="K2348" s="93" t="str">
        <f>IFERROR(VLOOKUP(E2348,'Inventaire des produits'!$B$4:$J$1000,5,FALSE),"")</f>
        <v/>
      </c>
      <c r="L2348" s="301" t="str">
        <f>IFERROR(VLOOKUP(E2348,'Inventaire des produits'!$B$4:$J$1000,6,FALSE),"")</f>
        <v/>
      </c>
      <c r="M2348" s="62"/>
    </row>
    <row r="2349" spans="2:13" x14ac:dyDescent="0.3">
      <c r="B2349" s="54"/>
      <c r="C2349" s="54"/>
      <c r="D2349" s="54"/>
      <c r="E2349" s="234"/>
      <c r="F2349" s="274" t="str">
        <f>IFERROR(VLOOKUP(E2349,'Inventaire des produits'!$B$4:$K$1000,2,0),"")</f>
        <v/>
      </c>
      <c r="G2349" s="54"/>
      <c r="H2349" s="60"/>
      <c r="I2349" s="275" t="str">
        <f t="shared" si="111"/>
        <v/>
      </c>
      <c r="J2349" s="95" t="str">
        <f t="shared" si="112"/>
        <v/>
      </c>
      <c r="K2349" s="93" t="str">
        <f>IFERROR(VLOOKUP(E2349,'Inventaire des produits'!$B$4:$J$1000,5,FALSE),"")</f>
        <v/>
      </c>
      <c r="L2349" s="301" t="str">
        <f>IFERROR(VLOOKUP(E2349,'Inventaire des produits'!$B$4:$J$1000,6,FALSE),"")</f>
        <v/>
      </c>
      <c r="M2349" s="62"/>
    </row>
    <row r="2350" spans="2:13" x14ac:dyDescent="0.3">
      <c r="B2350" s="54"/>
      <c r="C2350" s="54"/>
      <c r="D2350" s="54"/>
      <c r="E2350" s="234"/>
      <c r="F2350" s="274" t="str">
        <f>IFERROR(VLOOKUP(E2350,'Inventaire des produits'!$B$4:$K$1000,2,0),"")</f>
        <v/>
      </c>
      <c r="G2350" s="54"/>
      <c r="H2350" s="60"/>
      <c r="I2350" s="275" t="str">
        <f t="shared" si="111"/>
        <v/>
      </c>
      <c r="J2350" s="95" t="str">
        <f t="shared" si="112"/>
        <v/>
      </c>
      <c r="K2350" s="93" t="str">
        <f>IFERROR(VLOOKUP(E2350,'Inventaire des produits'!$B$4:$J$1000,5,FALSE),"")</f>
        <v/>
      </c>
      <c r="L2350" s="301" t="str">
        <f>IFERROR(VLOOKUP(E2350,'Inventaire des produits'!$B$4:$J$1000,6,FALSE),"")</f>
        <v/>
      </c>
      <c r="M2350" s="62"/>
    </row>
    <row r="2351" spans="2:13" x14ac:dyDescent="0.3">
      <c r="B2351" s="54"/>
      <c r="C2351" s="54"/>
      <c r="D2351" s="54"/>
      <c r="E2351" s="234"/>
      <c r="F2351" s="274" t="str">
        <f>IFERROR(VLOOKUP(E2351,'Inventaire des produits'!$B$4:$K$1000,2,0),"")</f>
        <v/>
      </c>
      <c r="G2351" s="54"/>
      <c r="H2351" s="60"/>
      <c r="I2351" s="275" t="str">
        <f t="shared" si="111"/>
        <v/>
      </c>
      <c r="J2351" s="95" t="str">
        <f t="shared" si="112"/>
        <v/>
      </c>
      <c r="K2351" s="93" t="str">
        <f>IFERROR(VLOOKUP(E2351,'Inventaire des produits'!$B$4:$J$1000,5,FALSE),"")</f>
        <v/>
      </c>
      <c r="L2351" s="301" t="str">
        <f>IFERROR(VLOOKUP(E2351,'Inventaire des produits'!$B$4:$J$1000,6,FALSE),"")</f>
        <v/>
      </c>
      <c r="M2351" s="62"/>
    </row>
    <row r="2352" spans="2:13" x14ac:dyDescent="0.3">
      <c r="B2352" s="54"/>
      <c r="C2352" s="54"/>
      <c r="D2352" s="54"/>
      <c r="E2352" s="234"/>
      <c r="F2352" s="274" t="str">
        <f>IFERROR(VLOOKUP(E2352,'Inventaire des produits'!$B$4:$K$1000,2,0),"")</f>
        <v/>
      </c>
      <c r="G2352" s="54"/>
      <c r="H2352" s="60"/>
      <c r="I2352" s="275" t="str">
        <f t="shared" si="111"/>
        <v/>
      </c>
      <c r="J2352" s="95" t="str">
        <f t="shared" si="112"/>
        <v/>
      </c>
      <c r="K2352" s="93" t="str">
        <f>IFERROR(VLOOKUP(E2352,'Inventaire des produits'!$B$4:$J$1000,5,FALSE),"")</f>
        <v/>
      </c>
      <c r="L2352" s="301" t="str">
        <f>IFERROR(VLOOKUP(E2352,'Inventaire des produits'!$B$4:$J$1000,6,FALSE),"")</f>
        <v/>
      </c>
      <c r="M2352" s="62"/>
    </row>
    <row r="2353" spans="2:13" x14ac:dyDescent="0.3">
      <c r="B2353" s="54"/>
      <c r="C2353" s="54"/>
      <c r="D2353" s="54"/>
      <c r="E2353" s="234"/>
      <c r="F2353" s="274" t="str">
        <f>IFERROR(VLOOKUP(E2353,'Inventaire des produits'!$B$4:$K$1000,2,0),"")</f>
        <v/>
      </c>
      <c r="G2353" s="54"/>
      <c r="H2353" s="60"/>
      <c r="I2353" s="275" t="str">
        <f t="shared" si="111"/>
        <v/>
      </c>
      <c r="J2353" s="95" t="str">
        <f t="shared" si="112"/>
        <v/>
      </c>
      <c r="K2353" s="93" t="str">
        <f>IFERROR(VLOOKUP(E2353,'Inventaire des produits'!$B$4:$J$1000,5,FALSE),"")</f>
        <v/>
      </c>
      <c r="L2353" s="301" t="str">
        <f>IFERROR(VLOOKUP(E2353,'Inventaire des produits'!$B$4:$J$1000,6,FALSE),"")</f>
        <v/>
      </c>
      <c r="M2353" s="62"/>
    </row>
    <row r="2354" spans="2:13" x14ac:dyDescent="0.3">
      <c r="B2354" s="54"/>
      <c r="C2354" s="54"/>
      <c r="D2354" s="54"/>
      <c r="E2354" s="234"/>
      <c r="F2354" s="274" t="str">
        <f>IFERROR(VLOOKUP(E2354,'Inventaire des produits'!$B$4:$K$1000,2,0),"")</f>
        <v/>
      </c>
      <c r="G2354" s="54"/>
      <c r="H2354" s="60"/>
      <c r="I2354" s="275" t="str">
        <f t="shared" ref="I2354:I2417" si="113">IF(OR(G2354="",H2354=""),"",G2354*H2354)</f>
        <v/>
      </c>
      <c r="J2354" s="95" t="str">
        <f t="shared" ref="J2354:J2417" si="114">IF(OR(I2354=""),"",I2354*1.2)</f>
        <v/>
      </c>
      <c r="K2354" s="93" t="str">
        <f>IFERROR(VLOOKUP(E2354,'Inventaire des produits'!$B$4:$J$1000,5,FALSE),"")</f>
        <v/>
      </c>
      <c r="L2354" s="301" t="str">
        <f>IFERROR(VLOOKUP(E2354,'Inventaire des produits'!$B$4:$J$1000,6,FALSE),"")</f>
        <v/>
      </c>
      <c r="M2354" s="62"/>
    </row>
    <row r="2355" spans="2:13" x14ac:dyDescent="0.3">
      <c r="B2355" s="54"/>
      <c r="C2355" s="54"/>
      <c r="D2355" s="54"/>
      <c r="E2355" s="234"/>
      <c r="F2355" s="274" t="str">
        <f>IFERROR(VLOOKUP(E2355,'Inventaire des produits'!$B$4:$K$1000,2,0),"")</f>
        <v/>
      </c>
      <c r="G2355" s="54"/>
      <c r="H2355" s="60"/>
      <c r="I2355" s="275" t="str">
        <f t="shared" si="113"/>
        <v/>
      </c>
      <c r="J2355" s="95" t="str">
        <f t="shared" si="114"/>
        <v/>
      </c>
      <c r="K2355" s="93" t="str">
        <f>IFERROR(VLOOKUP(E2355,'Inventaire des produits'!$B$4:$J$1000,5,FALSE),"")</f>
        <v/>
      </c>
      <c r="L2355" s="301" t="str">
        <f>IFERROR(VLOOKUP(E2355,'Inventaire des produits'!$B$4:$J$1000,6,FALSE),"")</f>
        <v/>
      </c>
      <c r="M2355" s="62"/>
    </row>
    <row r="2356" spans="2:13" x14ac:dyDescent="0.3">
      <c r="B2356" s="54"/>
      <c r="C2356" s="54"/>
      <c r="D2356" s="54"/>
      <c r="E2356" s="234"/>
      <c r="F2356" s="274" t="str">
        <f>IFERROR(VLOOKUP(E2356,'Inventaire des produits'!$B$4:$K$1000,2,0),"")</f>
        <v/>
      </c>
      <c r="G2356" s="54"/>
      <c r="H2356" s="60"/>
      <c r="I2356" s="275" t="str">
        <f t="shared" si="113"/>
        <v/>
      </c>
      <c r="J2356" s="95" t="str">
        <f t="shared" si="114"/>
        <v/>
      </c>
      <c r="K2356" s="93" t="str">
        <f>IFERROR(VLOOKUP(E2356,'Inventaire des produits'!$B$4:$J$1000,5,FALSE),"")</f>
        <v/>
      </c>
      <c r="L2356" s="301" t="str">
        <f>IFERROR(VLOOKUP(E2356,'Inventaire des produits'!$B$4:$J$1000,6,FALSE),"")</f>
        <v/>
      </c>
      <c r="M2356" s="62"/>
    </row>
    <row r="2357" spans="2:13" x14ac:dyDescent="0.3">
      <c r="B2357" s="54"/>
      <c r="C2357" s="54"/>
      <c r="D2357" s="54"/>
      <c r="E2357" s="234"/>
      <c r="F2357" s="274" t="str">
        <f>IFERROR(VLOOKUP(E2357,'Inventaire des produits'!$B$4:$K$1000,2,0),"")</f>
        <v/>
      </c>
      <c r="G2357" s="54"/>
      <c r="H2357" s="60"/>
      <c r="I2357" s="275" t="str">
        <f t="shared" si="113"/>
        <v/>
      </c>
      <c r="J2357" s="95" t="str">
        <f t="shared" si="114"/>
        <v/>
      </c>
      <c r="K2357" s="93" t="str">
        <f>IFERROR(VLOOKUP(E2357,'Inventaire des produits'!$B$4:$J$1000,5,FALSE),"")</f>
        <v/>
      </c>
      <c r="L2357" s="301" t="str">
        <f>IFERROR(VLOOKUP(E2357,'Inventaire des produits'!$B$4:$J$1000,6,FALSE),"")</f>
        <v/>
      </c>
      <c r="M2357" s="62"/>
    </row>
    <row r="2358" spans="2:13" x14ac:dyDescent="0.3">
      <c r="B2358" s="54"/>
      <c r="C2358" s="54"/>
      <c r="D2358" s="54"/>
      <c r="E2358" s="234"/>
      <c r="F2358" s="274" t="str">
        <f>IFERROR(VLOOKUP(E2358,'Inventaire des produits'!$B$4:$K$1000,2,0),"")</f>
        <v/>
      </c>
      <c r="G2358" s="54"/>
      <c r="H2358" s="60"/>
      <c r="I2358" s="275" t="str">
        <f t="shared" si="113"/>
        <v/>
      </c>
      <c r="J2358" s="95" t="str">
        <f t="shared" si="114"/>
        <v/>
      </c>
      <c r="K2358" s="93" t="str">
        <f>IFERROR(VLOOKUP(E2358,'Inventaire des produits'!$B$4:$J$1000,5,FALSE),"")</f>
        <v/>
      </c>
      <c r="L2358" s="301" t="str">
        <f>IFERROR(VLOOKUP(E2358,'Inventaire des produits'!$B$4:$J$1000,6,FALSE),"")</f>
        <v/>
      </c>
      <c r="M2358" s="62"/>
    </row>
    <row r="2359" spans="2:13" x14ac:dyDescent="0.3">
      <c r="B2359" s="54"/>
      <c r="C2359" s="54"/>
      <c r="D2359" s="54"/>
      <c r="E2359" s="234"/>
      <c r="F2359" s="274" t="str">
        <f>IFERROR(VLOOKUP(E2359,'Inventaire des produits'!$B$4:$K$1000,2,0),"")</f>
        <v/>
      </c>
      <c r="G2359" s="54"/>
      <c r="H2359" s="60"/>
      <c r="I2359" s="275" t="str">
        <f t="shared" si="113"/>
        <v/>
      </c>
      <c r="J2359" s="95" t="str">
        <f t="shared" si="114"/>
        <v/>
      </c>
      <c r="K2359" s="93" t="str">
        <f>IFERROR(VLOOKUP(E2359,'Inventaire des produits'!$B$4:$J$1000,5,FALSE),"")</f>
        <v/>
      </c>
      <c r="L2359" s="301" t="str">
        <f>IFERROR(VLOOKUP(E2359,'Inventaire des produits'!$B$4:$J$1000,6,FALSE),"")</f>
        <v/>
      </c>
      <c r="M2359" s="62"/>
    </row>
    <row r="2360" spans="2:13" x14ac:dyDescent="0.3">
      <c r="B2360" s="54"/>
      <c r="C2360" s="54"/>
      <c r="D2360" s="54"/>
      <c r="E2360" s="234"/>
      <c r="F2360" s="274" t="str">
        <f>IFERROR(VLOOKUP(E2360,'Inventaire des produits'!$B$4:$K$1000,2,0),"")</f>
        <v/>
      </c>
      <c r="G2360" s="54"/>
      <c r="H2360" s="60"/>
      <c r="I2360" s="275" t="str">
        <f t="shared" si="113"/>
        <v/>
      </c>
      <c r="J2360" s="95" t="str">
        <f t="shared" si="114"/>
        <v/>
      </c>
      <c r="K2360" s="93" t="str">
        <f>IFERROR(VLOOKUP(E2360,'Inventaire des produits'!$B$4:$J$1000,5,FALSE),"")</f>
        <v/>
      </c>
      <c r="L2360" s="301" t="str">
        <f>IFERROR(VLOOKUP(E2360,'Inventaire des produits'!$B$4:$J$1000,6,FALSE),"")</f>
        <v/>
      </c>
      <c r="M2360" s="62"/>
    </row>
    <row r="2361" spans="2:13" x14ac:dyDescent="0.3">
      <c r="B2361" s="54"/>
      <c r="C2361" s="54"/>
      <c r="D2361" s="54"/>
      <c r="E2361" s="234"/>
      <c r="F2361" s="274" t="str">
        <f>IFERROR(VLOOKUP(E2361,'Inventaire des produits'!$B$4:$K$1000,2,0),"")</f>
        <v/>
      </c>
      <c r="G2361" s="54"/>
      <c r="H2361" s="60"/>
      <c r="I2361" s="275" t="str">
        <f t="shared" si="113"/>
        <v/>
      </c>
      <c r="J2361" s="95" t="str">
        <f t="shared" si="114"/>
        <v/>
      </c>
      <c r="K2361" s="93" t="str">
        <f>IFERROR(VLOOKUP(E2361,'Inventaire des produits'!$B$4:$J$1000,5,FALSE),"")</f>
        <v/>
      </c>
      <c r="L2361" s="301" t="str">
        <f>IFERROR(VLOOKUP(E2361,'Inventaire des produits'!$B$4:$J$1000,6,FALSE),"")</f>
        <v/>
      </c>
      <c r="M2361" s="62"/>
    </row>
    <row r="2362" spans="2:13" x14ac:dyDescent="0.3">
      <c r="B2362" s="54"/>
      <c r="C2362" s="54"/>
      <c r="D2362" s="54"/>
      <c r="E2362" s="234"/>
      <c r="F2362" s="274" t="str">
        <f>IFERROR(VLOOKUP(E2362,'Inventaire des produits'!$B$4:$K$1000,2,0),"")</f>
        <v/>
      </c>
      <c r="G2362" s="54"/>
      <c r="H2362" s="60"/>
      <c r="I2362" s="275" t="str">
        <f t="shared" si="113"/>
        <v/>
      </c>
      <c r="J2362" s="95" t="str">
        <f t="shared" si="114"/>
        <v/>
      </c>
      <c r="K2362" s="93" t="str">
        <f>IFERROR(VLOOKUP(E2362,'Inventaire des produits'!$B$4:$J$1000,5,FALSE),"")</f>
        <v/>
      </c>
      <c r="L2362" s="301" t="str">
        <f>IFERROR(VLOOKUP(E2362,'Inventaire des produits'!$B$4:$J$1000,6,FALSE),"")</f>
        <v/>
      </c>
      <c r="M2362" s="62"/>
    </row>
    <row r="2363" spans="2:13" x14ac:dyDescent="0.3">
      <c r="B2363" s="54"/>
      <c r="C2363" s="54"/>
      <c r="D2363" s="54"/>
      <c r="E2363" s="234"/>
      <c r="F2363" s="274" t="str">
        <f>IFERROR(VLOOKUP(E2363,'Inventaire des produits'!$B$4:$K$1000,2,0),"")</f>
        <v/>
      </c>
      <c r="G2363" s="54"/>
      <c r="H2363" s="60"/>
      <c r="I2363" s="275" t="str">
        <f t="shared" si="113"/>
        <v/>
      </c>
      <c r="J2363" s="95" t="str">
        <f t="shared" si="114"/>
        <v/>
      </c>
      <c r="K2363" s="93" t="str">
        <f>IFERROR(VLOOKUP(E2363,'Inventaire des produits'!$B$4:$J$1000,5,FALSE),"")</f>
        <v/>
      </c>
      <c r="L2363" s="301" t="str">
        <f>IFERROR(VLOOKUP(E2363,'Inventaire des produits'!$B$4:$J$1000,6,FALSE),"")</f>
        <v/>
      </c>
      <c r="M2363" s="62"/>
    </row>
    <row r="2364" spans="2:13" x14ac:dyDescent="0.3">
      <c r="B2364" s="54"/>
      <c r="C2364" s="54"/>
      <c r="D2364" s="54"/>
      <c r="E2364" s="234"/>
      <c r="F2364" s="274" t="str">
        <f>IFERROR(VLOOKUP(E2364,'Inventaire des produits'!$B$4:$K$1000,2,0),"")</f>
        <v/>
      </c>
      <c r="G2364" s="54"/>
      <c r="H2364" s="60"/>
      <c r="I2364" s="275" t="str">
        <f t="shared" si="113"/>
        <v/>
      </c>
      <c r="J2364" s="95" t="str">
        <f t="shared" si="114"/>
        <v/>
      </c>
      <c r="K2364" s="93" t="str">
        <f>IFERROR(VLOOKUP(E2364,'Inventaire des produits'!$B$4:$J$1000,5,FALSE),"")</f>
        <v/>
      </c>
      <c r="L2364" s="301" t="str">
        <f>IFERROR(VLOOKUP(E2364,'Inventaire des produits'!$B$4:$J$1000,6,FALSE),"")</f>
        <v/>
      </c>
      <c r="M2364" s="62"/>
    </row>
    <row r="2365" spans="2:13" x14ac:dyDescent="0.3">
      <c r="B2365" s="54"/>
      <c r="C2365" s="54"/>
      <c r="D2365" s="54"/>
      <c r="E2365" s="234"/>
      <c r="F2365" s="274" t="str">
        <f>IFERROR(VLOOKUP(E2365,'Inventaire des produits'!$B$4:$K$1000,2,0),"")</f>
        <v/>
      </c>
      <c r="G2365" s="54"/>
      <c r="H2365" s="60"/>
      <c r="I2365" s="275" t="str">
        <f t="shared" si="113"/>
        <v/>
      </c>
      <c r="J2365" s="95" t="str">
        <f t="shared" si="114"/>
        <v/>
      </c>
      <c r="K2365" s="93" t="str">
        <f>IFERROR(VLOOKUP(E2365,'Inventaire des produits'!$B$4:$J$1000,5,FALSE),"")</f>
        <v/>
      </c>
      <c r="L2365" s="301" t="str">
        <f>IFERROR(VLOOKUP(E2365,'Inventaire des produits'!$B$4:$J$1000,6,FALSE),"")</f>
        <v/>
      </c>
      <c r="M2365" s="62"/>
    </row>
    <row r="2366" spans="2:13" x14ac:dyDescent="0.3">
      <c r="B2366" s="54"/>
      <c r="C2366" s="54"/>
      <c r="D2366" s="54"/>
      <c r="E2366" s="234"/>
      <c r="F2366" s="274" t="str">
        <f>IFERROR(VLOOKUP(E2366,'Inventaire des produits'!$B$4:$K$1000,2,0),"")</f>
        <v/>
      </c>
      <c r="G2366" s="54"/>
      <c r="H2366" s="60"/>
      <c r="I2366" s="275" t="str">
        <f t="shared" si="113"/>
        <v/>
      </c>
      <c r="J2366" s="95" t="str">
        <f t="shared" si="114"/>
        <v/>
      </c>
      <c r="K2366" s="93" t="str">
        <f>IFERROR(VLOOKUP(E2366,'Inventaire des produits'!$B$4:$J$1000,5,FALSE),"")</f>
        <v/>
      </c>
      <c r="L2366" s="301" t="str">
        <f>IFERROR(VLOOKUP(E2366,'Inventaire des produits'!$B$4:$J$1000,6,FALSE),"")</f>
        <v/>
      </c>
      <c r="M2366" s="62"/>
    </row>
    <row r="2367" spans="2:13" x14ac:dyDescent="0.3">
      <c r="B2367" s="54"/>
      <c r="C2367" s="54"/>
      <c r="D2367" s="54"/>
      <c r="E2367" s="234"/>
      <c r="F2367" s="274" t="str">
        <f>IFERROR(VLOOKUP(E2367,'Inventaire des produits'!$B$4:$K$1000,2,0),"")</f>
        <v/>
      </c>
      <c r="G2367" s="54"/>
      <c r="H2367" s="60"/>
      <c r="I2367" s="275" t="str">
        <f t="shared" si="113"/>
        <v/>
      </c>
      <c r="J2367" s="95" t="str">
        <f t="shared" si="114"/>
        <v/>
      </c>
      <c r="K2367" s="93" t="str">
        <f>IFERROR(VLOOKUP(E2367,'Inventaire des produits'!$B$4:$J$1000,5,FALSE),"")</f>
        <v/>
      </c>
      <c r="L2367" s="301" t="str">
        <f>IFERROR(VLOOKUP(E2367,'Inventaire des produits'!$B$4:$J$1000,6,FALSE),"")</f>
        <v/>
      </c>
      <c r="M2367" s="62"/>
    </row>
    <row r="2368" spans="2:13" x14ac:dyDescent="0.3">
      <c r="B2368" s="54"/>
      <c r="C2368" s="54"/>
      <c r="D2368" s="54"/>
      <c r="E2368" s="234"/>
      <c r="F2368" s="274" t="str">
        <f>IFERROR(VLOOKUP(E2368,'Inventaire des produits'!$B$4:$K$1000,2,0),"")</f>
        <v/>
      </c>
      <c r="G2368" s="54"/>
      <c r="H2368" s="60"/>
      <c r="I2368" s="275" t="str">
        <f t="shared" si="113"/>
        <v/>
      </c>
      <c r="J2368" s="95" t="str">
        <f t="shared" si="114"/>
        <v/>
      </c>
      <c r="K2368" s="93" t="str">
        <f>IFERROR(VLOOKUP(E2368,'Inventaire des produits'!$B$4:$J$1000,5,FALSE),"")</f>
        <v/>
      </c>
      <c r="L2368" s="301" t="str">
        <f>IFERROR(VLOOKUP(E2368,'Inventaire des produits'!$B$4:$J$1000,6,FALSE),"")</f>
        <v/>
      </c>
      <c r="M2368" s="62"/>
    </row>
    <row r="2369" spans="2:13" x14ac:dyDescent="0.3">
      <c r="B2369" s="54"/>
      <c r="C2369" s="54"/>
      <c r="D2369" s="54"/>
      <c r="E2369" s="234"/>
      <c r="F2369" s="274" t="str">
        <f>IFERROR(VLOOKUP(E2369,'Inventaire des produits'!$B$4:$K$1000,2,0),"")</f>
        <v/>
      </c>
      <c r="G2369" s="54"/>
      <c r="H2369" s="60"/>
      <c r="I2369" s="275" t="str">
        <f t="shared" si="113"/>
        <v/>
      </c>
      <c r="J2369" s="95" t="str">
        <f t="shared" si="114"/>
        <v/>
      </c>
      <c r="K2369" s="93" t="str">
        <f>IFERROR(VLOOKUP(E2369,'Inventaire des produits'!$B$4:$J$1000,5,FALSE),"")</f>
        <v/>
      </c>
      <c r="L2369" s="301" t="str">
        <f>IFERROR(VLOOKUP(E2369,'Inventaire des produits'!$B$4:$J$1000,6,FALSE),"")</f>
        <v/>
      </c>
      <c r="M2369" s="62"/>
    </row>
    <row r="2370" spans="2:13" x14ac:dyDescent="0.3">
      <c r="B2370" s="54"/>
      <c r="C2370" s="54"/>
      <c r="D2370" s="54"/>
      <c r="E2370" s="234"/>
      <c r="F2370" s="274" t="str">
        <f>IFERROR(VLOOKUP(E2370,'Inventaire des produits'!$B$4:$K$1000,2,0),"")</f>
        <v/>
      </c>
      <c r="G2370" s="54"/>
      <c r="H2370" s="60"/>
      <c r="I2370" s="275" t="str">
        <f t="shared" si="113"/>
        <v/>
      </c>
      <c r="J2370" s="95" t="str">
        <f t="shared" si="114"/>
        <v/>
      </c>
      <c r="K2370" s="93" t="str">
        <f>IFERROR(VLOOKUP(E2370,'Inventaire des produits'!$B$4:$J$1000,5,FALSE),"")</f>
        <v/>
      </c>
      <c r="L2370" s="301" t="str">
        <f>IFERROR(VLOOKUP(E2370,'Inventaire des produits'!$B$4:$J$1000,6,FALSE),"")</f>
        <v/>
      </c>
      <c r="M2370" s="62"/>
    </row>
    <row r="2371" spans="2:13" x14ac:dyDescent="0.3">
      <c r="B2371" s="54"/>
      <c r="C2371" s="54"/>
      <c r="D2371" s="54"/>
      <c r="E2371" s="234"/>
      <c r="F2371" s="274" t="str">
        <f>IFERROR(VLOOKUP(E2371,'Inventaire des produits'!$B$4:$K$1000,2,0),"")</f>
        <v/>
      </c>
      <c r="G2371" s="54"/>
      <c r="H2371" s="60"/>
      <c r="I2371" s="275" t="str">
        <f t="shared" si="113"/>
        <v/>
      </c>
      <c r="J2371" s="95" t="str">
        <f t="shared" si="114"/>
        <v/>
      </c>
      <c r="K2371" s="93" t="str">
        <f>IFERROR(VLOOKUP(E2371,'Inventaire des produits'!$B$4:$J$1000,5,FALSE),"")</f>
        <v/>
      </c>
      <c r="L2371" s="301" t="str">
        <f>IFERROR(VLOOKUP(E2371,'Inventaire des produits'!$B$4:$J$1000,6,FALSE),"")</f>
        <v/>
      </c>
      <c r="M2371" s="62"/>
    </row>
    <row r="2372" spans="2:13" x14ac:dyDescent="0.3">
      <c r="B2372" s="54"/>
      <c r="C2372" s="54"/>
      <c r="D2372" s="54"/>
      <c r="E2372" s="234"/>
      <c r="F2372" s="274" t="str">
        <f>IFERROR(VLOOKUP(E2372,'Inventaire des produits'!$B$4:$K$1000,2,0),"")</f>
        <v/>
      </c>
      <c r="G2372" s="54"/>
      <c r="H2372" s="60"/>
      <c r="I2372" s="275" t="str">
        <f t="shared" si="113"/>
        <v/>
      </c>
      <c r="J2372" s="95" t="str">
        <f t="shared" si="114"/>
        <v/>
      </c>
      <c r="K2372" s="93" t="str">
        <f>IFERROR(VLOOKUP(E2372,'Inventaire des produits'!$B$4:$J$1000,5,FALSE),"")</f>
        <v/>
      </c>
      <c r="L2372" s="301" t="str">
        <f>IFERROR(VLOOKUP(E2372,'Inventaire des produits'!$B$4:$J$1000,6,FALSE),"")</f>
        <v/>
      </c>
      <c r="M2372" s="62"/>
    </row>
    <row r="2373" spans="2:13" x14ac:dyDescent="0.3">
      <c r="B2373" s="54"/>
      <c r="C2373" s="54"/>
      <c r="D2373" s="54"/>
      <c r="E2373" s="234"/>
      <c r="F2373" s="274" t="str">
        <f>IFERROR(VLOOKUP(E2373,'Inventaire des produits'!$B$4:$K$1000,2,0),"")</f>
        <v/>
      </c>
      <c r="G2373" s="54"/>
      <c r="H2373" s="60"/>
      <c r="I2373" s="275" t="str">
        <f t="shared" si="113"/>
        <v/>
      </c>
      <c r="J2373" s="95" t="str">
        <f t="shared" si="114"/>
        <v/>
      </c>
      <c r="K2373" s="93" t="str">
        <f>IFERROR(VLOOKUP(E2373,'Inventaire des produits'!$B$4:$J$1000,5,FALSE),"")</f>
        <v/>
      </c>
      <c r="L2373" s="301" t="str">
        <f>IFERROR(VLOOKUP(E2373,'Inventaire des produits'!$B$4:$J$1000,6,FALSE),"")</f>
        <v/>
      </c>
      <c r="M2373" s="62"/>
    </row>
    <row r="2374" spans="2:13" x14ac:dyDescent="0.3">
      <c r="B2374" s="54"/>
      <c r="C2374" s="54"/>
      <c r="D2374" s="54"/>
      <c r="E2374" s="234"/>
      <c r="F2374" s="274" t="str">
        <f>IFERROR(VLOOKUP(E2374,'Inventaire des produits'!$B$4:$K$1000,2,0),"")</f>
        <v/>
      </c>
      <c r="G2374" s="54"/>
      <c r="H2374" s="60"/>
      <c r="I2374" s="275" t="str">
        <f t="shared" si="113"/>
        <v/>
      </c>
      <c r="J2374" s="95" t="str">
        <f t="shared" si="114"/>
        <v/>
      </c>
      <c r="K2374" s="93" t="str">
        <f>IFERROR(VLOOKUP(E2374,'Inventaire des produits'!$B$4:$J$1000,5,FALSE),"")</f>
        <v/>
      </c>
      <c r="L2374" s="301" t="str">
        <f>IFERROR(VLOOKUP(E2374,'Inventaire des produits'!$B$4:$J$1000,6,FALSE),"")</f>
        <v/>
      </c>
      <c r="M2374" s="62"/>
    </row>
    <row r="2375" spans="2:13" x14ac:dyDescent="0.3">
      <c r="B2375" s="54"/>
      <c r="C2375" s="54"/>
      <c r="D2375" s="54"/>
      <c r="E2375" s="234"/>
      <c r="F2375" s="274" t="str">
        <f>IFERROR(VLOOKUP(E2375,'Inventaire des produits'!$B$4:$K$1000,2,0),"")</f>
        <v/>
      </c>
      <c r="G2375" s="54"/>
      <c r="H2375" s="60"/>
      <c r="I2375" s="275" t="str">
        <f t="shared" si="113"/>
        <v/>
      </c>
      <c r="J2375" s="95" t="str">
        <f t="shared" si="114"/>
        <v/>
      </c>
      <c r="K2375" s="93" t="str">
        <f>IFERROR(VLOOKUP(E2375,'Inventaire des produits'!$B$4:$J$1000,5,FALSE),"")</f>
        <v/>
      </c>
      <c r="L2375" s="301" t="str">
        <f>IFERROR(VLOOKUP(E2375,'Inventaire des produits'!$B$4:$J$1000,6,FALSE),"")</f>
        <v/>
      </c>
      <c r="M2375" s="62"/>
    </row>
    <row r="2376" spans="2:13" x14ac:dyDescent="0.3">
      <c r="B2376" s="54"/>
      <c r="C2376" s="54"/>
      <c r="D2376" s="54"/>
      <c r="E2376" s="234"/>
      <c r="F2376" s="274" t="str">
        <f>IFERROR(VLOOKUP(E2376,'Inventaire des produits'!$B$4:$K$1000,2,0),"")</f>
        <v/>
      </c>
      <c r="G2376" s="54"/>
      <c r="H2376" s="60"/>
      <c r="I2376" s="275" t="str">
        <f t="shared" si="113"/>
        <v/>
      </c>
      <c r="J2376" s="95" t="str">
        <f t="shared" si="114"/>
        <v/>
      </c>
      <c r="K2376" s="93" t="str">
        <f>IFERROR(VLOOKUP(E2376,'Inventaire des produits'!$B$4:$J$1000,5,FALSE),"")</f>
        <v/>
      </c>
      <c r="L2376" s="301" t="str">
        <f>IFERROR(VLOOKUP(E2376,'Inventaire des produits'!$B$4:$J$1000,6,FALSE),"")</f>
        <v/>
      </c>
      <c r="M2376" s="62"/>
    </row>
    <row r="2377" spans="2:13" x14ac:dyDescent="0.3">
      <c r="B2377" s="54"/>
      <c r="C2377" s="54"/>
      <c r="D2377" s="54"/>
      <c r="E2377" s="234"/>
      <c r="F2377" s="274" t="str">
        <f>IFERROR(VLOOKUP(E2377,'Inventaire des produits'!$B$4:$K$1000,2,0),"")</f>
        <v/>
      </c>
      <c r="G2377" s="54"/>
      <c r="H2377" s="60"/>
      <c r="I2377" s="275" t="str">
        <f t="shared" si="113"/>
        <v/>
      </c>
      <c r="J2377" s="95" t="str">
        <f t="shared" si="114"/>
        <v/>
      </c>
      <c r="K2377" s="93" t="str">
        <f>IFERROR(VLOOKUP(E2377,'Inventaire des produits'!$B$4:$J$1000,5,FALSE),"")</f>
        <v/>
      </c>
      <c r="L2377" s="301" t="str">
        <f>IFERROR(VLOOKUP(E2377,'Inventaire des produits'!$B$4:$J$1000,6,FALSE),"")</f>
        <v/>
      </c>
      <c r="M2377" s="62"/>
    </row>
    <row r="2378" spans="2:13" x14ac:dyDescent="0.3">
      <c r="B2378" s="54"/>
      <c r="C2378" s="54"/>
      <c r="D2378" s="54"/>
      <c r="E2378" s="234"/>
      <c r="F2378" s="274" t="str">
        <f>IFERROR(VLOOKUP(E2378,'Inventaire des produits'!$B$4:$K$1000,2,0),"")</f>
        <v/>
      </c>
      <c r="G2378" s="54"/>
      <c r="H2378" s="60"/>
      <c r="I2378" s="275" t="str">
        <f t="shared" si="113"/>
        <v/>
      </c>
      <c r="J2378" s="95" t="str">
        <f t="shared" si="114"/>
        <v/>
      </c>
      <c r="K2378" s="93" t="str">
        <f>IFERROR(VLOOKUP(E2378,'Inventaire des produits'!$B$4:$J$1000,5,FALSE),"")</f>
        <v/>
      </c>
      <c r="L2378" s="301" t="str">
        <f>IFERROR(VLOOKUP(E2378,'Inventaire des produits'!$B$4:$J$1000,6,FALSE),"")</f>
        <v/>
      </c>
      <c r="M2378" s="62"/>
    </row>
    <row r="2379" spans="2:13" x14ac:dyDescent="0.3">
      <c r="B2379" s="54"/>
      <c r="C2379" s="54"/>
      <c r="D2379" s="54"/>
      <c r="E2379" s="234"/>
      <c r="F2379" s="274" t="str">
        <f>IFERROR(VLOOKUP(E2379,'Inventaire des produits'!$B$4:$K$1000,2,0),"")</f>
        <v/>
      </c>
      <c r="G2379" s="54"/>
      <c r="H2379" s="60"/>
      <c r="I2379" s="275" t="str">
        <f t="shared" si="113"/>
        <v/>
      </c>
      <c r="J2379" s="95" t="str">
        <f t="shared" si="114"/>
        <v/>
      </c>
      <c r="K2379" s="93" t="str">
        <f>IFERROR(VLOOKUP(E2379,'Inventaire des produits'!$B$4:$J$1000,5,FALSE),"")</f>
        <v/>
      </c>
      <c r="L2379" s="301" t="str">
        <f>IFERROR(VLOOKUP(E2379,'Inventaire des produits'!$B$4:$J$1000,6,FALSE),"")</f>
        <v/>
      </c>
      <c r="M2379" s="62"/>
    </row>
    <row r="2380" spans="2:13" x14ac:dyDescent="0.3">
      <c r="B2380" s="54"/>
      <c r="C2380" s="54"/>
      <c r="D2380" s="54"/>
      <c r="E2380" s="234"/>
      <c r="F2380" s="274" t="str">
        <f>IFERROR(VLOOKUP(E2380,'Inventaire des produits'!$B$4:$K$1000,2,0),"")</f>
        <v/>
      </c>
      <c r="G2380" s="54"/>
      <c r="H2380" s="60"/>
      <c r="I2380" s="275" t="str">
        <f t="shared" si="113"/>
        <v/>
      </c>
      <c r="J2380" s="95" t="str">
        <f t="shared" si="114"/>
        <v/>
      </c>
      <c r="K2380" s="93" t="str">
        <f>IFERROR(VLOOKUP(E2380,'Inventaire des produits'!$B$4:$J$1000,5,FALSE),"")</f>
        <v/>
      </c>
      <c r="L2380" s="301" t="str">
        <f>IFERROR(VLOOKUP(E2380,'Inventaire des produits'!$B$4:$J$1000,6,FALSE),"")</f>
        <v/>
      </c>
      <c r="M2380" s="62"/>
    </row>
    <row r="2381" spans="2:13" x14ac:dyDescent="0.3">
      <c r="B2381" s="54"/>
      <c r="C2381" s="54"/>
      <c r="D2381" s="54"/>
      <c r="E2381" s="234"/>
      <c r="F2381" s="274" t="str">
        <f>IFERROR(VLOOKUP(E2381,'Inventaire des produits'!$B$4:$K$1000,2,0),"")</f>
        <v/>
      </c>
      <c r="G2381" s="54"/>
      <c r="H2381" s="60"/>
      <c r="I2381" s="275" t="str">
        <f t="shared" si="113"/>
        <v/>
      </c>
      <c r="J2381" s="95" t="str">
        <f t="shared" si="114"/>
        <v/>
      </c>
      <c r="K2381" s="93" t="str">
        <f>IFERROR(VLOOKUP(E2381,'Inventaire des produits'!$B$4:$J$1000,5,FALSE),"")</f>
        <v/>
      </c>
      <c r="L2381" s="301" t="str">
        <f>IFERROR(VLOOKUP(E2381,'Inventaire des produits'!$B$4:$J$1000,6,FALSE),"")</f>
        <v/>
      </c>
      <c r="M2381" s="62"/>
    </row>
    <row r="2382" spans="2:13" x14ac:dyDescent="0.3">
      <c r="B2382" s="54"/>
      <c r="C2382" s="54"/>
      <c r="D2382" s="54"/>
      <c r="E2382" s="234"/>
      <c r="F2382" s="274" t="str">
        <f>IFERROR(VLOOKUP(E2382,'Inventaire des produits'!$B$4:$K$1000,2,0),"")</f>
        <v/>
      </c>
      <c r="G2382" s="54"/>
      <c r="H2382" s="60"/>
      <c r="I2382" s="275" t="str">
        <f t="shared" si="113"/>
        <v/>
      </c>
      <c r="J2382" s="95" t="str">
        <f t="shared" si="114"/>
        <v/>
      </c>
      <c r="K2382" s="93" t="str">
        <f>IFERROR(VLOOKUP(E2382,'Inventaire des produits'!$B$4:$J$1000,5,FALSE),"")</f>
        <v/>
      </c>
      <c r="L2382" s="301" t="str">
        <f>IFERROR(VLOOKUP(E2382,'Inventaire des produits'!$B$4:$J$1000,6,FALSE),"")</f>
        <v/>
      </c>
      <c r="M2382" s="62"/>
    </row>
    <row r="2383" spans="2:13" x14ac:dyDescent="0.3">
      <c r="B2383" s="54"/>
      <c r="C2383" s="54"/>
      <c r="D2383" s="54"/>
      <c r="E2383" s="234"/>
      <c r="F2383" s="274" t="str">
        <f>IFERROR(VLOOKUP(E2383,'Inventaire des produits'!$B$4:$K$1000,2,0),"")</f>
        <v/>
      </c>
      <c r="G2383" s="54"/>
      <c r="H2383" s="60"/>
      <c r="I2383" s="275" t="str">
        <f t="shared" si="113"/>
        <v/>
      </c>
      <c r="J2383" s="95" t="str">
        <f t="shared" si="114"/>
        <v/>
      </c>
      <c r="K2383" s="93" t="str">
        <f>IFERROR(VLOOKUP(E2383,'Inventaire des produits'!$B$4:$J$1000,5,FALSE),"")</f>
        <v/>
      </c>
      <c r="L2383" s="301" t="str">
        <f>IFERROR(VLOOKUP(E2383,'Inventaire des produits'!$B$4:$J$1000,6,FALSE),"")</f>
        <v/>
      </c>
      <c r="M2383" s="62"/>
    </row>
    <row r="2384" spans="2:13" x14ac:dyDescent="0.3">
      <c r="B2384" s="54"/>
      <c r="C2384" s="54"/>
      <c r="D2384" s="54"/>
      <c r="E2384" s="234"/>
      <c r="F2384" s="274" t="str">
        <f>IFERROR(VLOOKUP(E2384,'Inventaire des produits'!$B$4:$K$1000,2,0),"")</f>
        <v/>
      </c>
      <c r="G2384" s="54"/>
      <c r="H2384" s="60"/>
      <c r="I2384" s="275" t="str">
        <f t="shared" si="113"/>
        <v/>
      </c>
      <c r="J2384" s="95" t="str">
        <f t="shared" si="114"/>
        <v/>
      </c>
      <c r="K2384" s="93" t="str">
        <f>IFERROR(VLOOKUP(E2384,'Inventaire des produits'!$B$4:$J$1000,5,FALSE),"")</f>
        <v/>
      </c>
      <c r="L2384" s="301" t="str">
        <f>IFERROR(VLOOKUP(E2384,'Inventaire des produits'!$B$4:$J$1000,6,FALSE),"")</f>
        <v/>
      </c>
      <c r="M2384" s="62"/>
    </row>
    <row r="2385" spans="2:13" x14ac:dyDescent="0.3">
      <c r="B2385" s="54"/>
      <c r="C2385" s="54"/>
      <c r="D2385" s="54"/>
      <c r="E2385" s="234"/>
      <c r="F2385" s="274" t="str">
        <f>IFERROR(VLOOKUP(E2385,'Inventaire des produits'!$B$4:$K$1000,2,0),"")</f>
        <v/>
      </c>
      <c r="G2385" s="54"/>
      <c r="H2385" s="60"/>
      <c r="I2385" s="275" t="str">
        <f t="shared" si="113"/>
        <v/>
      </c>
      <c r="J2385" s="95" t="str">
        <f t="shared" si="114"/>
        <v/>
      </c>
      <c r="K2385" s="93" t="str">
        <f>IFERROR(VLOOKUP(E2385,'Inventaire des produits'!$B$4:$J$1000,5,FALSE),"")</f>
        <v/>
      </c>
      <c r="L2385" s="301" t="str">
        <f>IFERROR(VLOOKUP(E2385,'Inventaire des produits'!$B$4:$J$1000,6,FALSE),"")</f>
        <v/>
      </c>
      <c r="M2385" s="62"/>
    </row>
    <row r="2386" spans="2:13" x14ac:dyDescent="0.3">
      <c r="B2386" s="54"/>
      <c r="C2386" s="54"/>
      <c r="D2386" s="54"/>
      <c r="E2386" s="234"/>
      <c r="F2386" s="274" t="str">
        <f>IFERROR(VLOOKUP(E2386,'Inventaire des produits'!$B$4:$K$1000,2,0),"")</f>
        <v/>
      </c>
      <c r="G2386" s="54"/>
      <c r="H2386" s="60"/>
      <c r="I2386" s="275" t="str">
        <f t="shared" si="113"/>
        <v/>
      </c>
      <c r="J2386" s="95" t="str">
        <f t="shared" si="114"/>
        <v/>
      </c>
      <c r="K2386" s="93" t="str">
        <f>IFERROR(VLOOKUP(E2386,'Inventaire des produits'!$B$4:$J$1000,5,FALSE),"")</f>
        <v/>
      </c>
      <c r="L2386" s="301" t="str">
        <f>IFERROR(VLOOKUP(E2386,'Inventaire des produits'!$B$4:$J$1000,6,FALSE),"")</f>
        <v/>
      </c>
      <c r="M2386" s="62"/>
    </row>
    <row r="2387" spans="2:13" x14ac:dyDescent="0.3">
      <c r="B2387" s="54"/>
      <c r="C2387" s="54"/>
      <c r="D2387" s="54"/>
      <c r="E2387" s="234"/>
      <c r="F2387" s="274" t="str">
        <f>IFERROR(VLOOKUP(E2387,'Inventaire des produits'!$B$4:$K$1000,2,0),"")</f>
        <v/>
      </c>
      <c r="G2387" s="54"/>
      <c r="H2387" s="60"/>
      <c r="I2387" s="275" t="str">
        <f t="shared" si="113"/>
        <v/>
      </c>
      <c r="J2387" s="95" t="str">
        <f t="shared" si="114"/>
        <v/>
      </c>
      <c r="K2387" s="93" t="str">
        <f>IFERROR(VLOOKUP(E2387,'Inventaire des produits'!$B$4:$J$1000,5,FALSE),"")</f>
        <v/>
      </c>
      <c r="L2387" s="301" t="str">
        <f>IFERROR(VLOOKUP(E2387,'Inventaire des produits'!$B$4:$J$1000,6,FALSE),"")</f>
        <v/>
      </c>
      <c r="M2387" s="62"/>
    </row>
    <row r="2388" spans="2:13" x14ac:dyDescent="0.3">
      <c r="B2388" s="54"/>
      <c r="C2388" s="54"/>
      <c r="D2388" s="54"/>
      <c r="E2388" s="234"/>
      <c r="F2388" s="274" t="str">
        <f>IFERROR(VLOOKUP(E2388,'Inventaire des produits'!$B$4:$K$1000,2,0),"")</f>
        <v/>
      </c>
      <c r="G2388" s="54"/>
      <c r="H2388" s="60"/>
      <c r="I2388" s="275" t="str">
        <f t="shared" si="113"/>
        <v/>
      </c>
      <c r="J2388" s="95" t="str">
        <f t="shared" si="114"/>
        <v/>
      </c>
      <c r="K2388" s="93" t="str">
        <f>IFERROR(VLOOKUP(E2388,'Inventaire des produits'!$B$4:$J$1000,5,FALSE),"")</f>
        <v/>
      </c>
      <c r="L2388" s="301" t="str">
        <f>IFERROR(VLOOKUP(E2388,'Inventaire des produits'!$B$4:$J$1000,6,FALSE),"")</f>
        <v/>
      </c>
      <c r="M2388" s="62"/>
    </row>
    <row r="2389" spans="2:13" x14ac:dyDescent="0.3">
      <c r="B2389" s="54"/>
      <c r="C2389" s="54"/>
      <c r="D2389" s="54"/>
      <c r="E2389" s="234"/>
      <c r="F2389" s="274" t="str">
        <f>IFERROR(VLOOKUP(E2389,'Inventaire des produits'!$B$4:$K$1000,2,0),"")</f>
        <v/>
      </c>
      <c r="G2389" s="54"/>
      <c r="H2389" s="60"/>
      <c r="I2389" s="275" t="str">
        <f t="shared" si="113"/>
        <v/>
      </c>
      <c r="J2389" s="95" t="str">
        <f t="shared" si="114"/>
        <v/>
      </c>
      <c r="K2389" s="93" t="str">
        <f>IFERROR(VLOOKUP(E2389,'Inventaire des produits'!$B$4:$J$1000,5,FALSE),"")</f>
        <v/>
      </c>
      <c r="L2389" s="301" t="str">
        <f>IFERROR(VLOOKUP(E2389,'Inventaire des produits'!$B$4:$J$1000,6,FALSE),"")</f>
        <v/>
      </c>
      <c r="M2389" s="62"/>
    </row>
    <row r="2390" spans="2:13" x14ac:dyDescent="0.3">
      <c r="B2390" s="54"/>
      <c r="C2390" s="54"/>
      <c r="D2390" s="54"/>
      <c r="E2390" s="234"/>
      <c r="F2390" s="274" t="str">
        <f>IFERROR(VLOOKUP(E2390,'Inventaire des produits'!$B$4:$K$1000,2,0),"")</f>
        <v/>
      </c>
      <c r="G2390" s="54"/>
      <c r="H2390" s="60"/>
      <c r="I2390" s="275" t="str">
        <f t="shared" si="113"/>
        <v/>
      </c>
      <c r="J2390" s="95" t="str">
        <f t="shared" si="114"/>
        <v/>
      </c>
      <c r="K2390" s="93" t="str">
        <f>IFERROR(VLOOKUP(E2390,'Inventaire des produits'!$B$4:$J$1000,5,FALSE),"")</f>
        <v/>
      </c>
      <c r="L2390" s="301" t="str">
        <f>IFERROR(VLOOKUP(E2390,'Inventaire des produits'!$B$4:$J$1000,6,FALSE),"")</f>
        <v/>
      </c>
      <c r="M2390" s="62"/>
    </row>
    <row r="2391" spans="2:13" x14ac:dyDescent="0.3">
      <c r="B2391" s="54"/>
      <c r="C2391" s="54"/>
      <c r="D2391" s="54"/>
      <c r="E2391" s="234"/>
      <c r="F2391" s="274" t="str">
        <f>IFERROR(VLOOKUP(E2391,'Inventaire des produits'!$B$4:$K$1000,2,0),"")</f>
        <v/>
      </c>
      <c r="G2391" s="54"/>
      <c r="H2391" s="60"/>
      <c r="I2391" s="275" t="str">
        <f t="shared" si="113"/>
        <v/>
      </c>
      <c r="J2391" s="95" t="str">
        <f t="shared" si="114"/>
        <v/>
      </c>
      <c r="K2391" s="93" t="str">
        <f>IFERROR(VLOOKUP(E2391,'Inventaire des produits'!$B$4:$J$1000,5,FALSE),"")</f>
        <v/>
      </c>
      <c r="L2391" s="301" t="str">
        <f>IFERROR(VLOOKUP(E2391,'Inventaire des produits'!$B$4:$J$1000,6,FALSE),"")</f>
        <v/>
      </c>
      <c r="M2391" s="62"/>
    </row>
    <row r="2392" spans="2:13" x14ac:dyDescent="0.3">
      <c r="B2392" s="54"/>
      <c r="C2392" s="54"/>
      <c r="D2392" s="54"/>
      <c r="E2392" s="234"/>
      <c r="F2392" s="274" t="str">
        <f>IFERROR(VLOOKUP(E2392,'Inventaire des produits'!$B$4:$K$1000,2,0),"")</f>
        <v/>
      </c>
      <c r="G2392" s="54"/>
      <c r="H2392" s="60"/>
      <c r="I2392" s="275" t="str">
        <f t="shared" si="113"/>
        <v/>
      </c>
      <c r="J2392" s="95" t="str">
        <f t="shared" si="114"/>
        <v/>
      </c>
      <c r="K2392" s="93" t="str">
        <f>IFERROR(VLOOKUP(E2392,'Inventaire des produits'!$B$4:$J$1000,5,FALSE),"")</f>
        <v/>
      </c>
      <c r="L2392" s="301" t="str">
        <f>IFERROR(VLOOKUP(E2392,'Inventaire des produits'!$B$4:$J$1000,6,FALSE),"")</f>
        <v/>
      </c>
      <c r="M2392" s="62"/>
    </row>
    <row r="2393" spans="2:13" x14ac:dyDescent="0.3">
      <c r="B2393" s="54"/>
      <c r="C2393" s="54"/>
      <c r="D2393" s="54"/>
      <c r="E2393" s="234"/>
      <c r="F2393" s="274" t="str">
        <f>IFERROR(VLOOKUP(E2393,'Inventaire des produits'!$B$4:$K$1000,2,0),"")</f>
        <v/>
      </c>
      <c r="G2393" s="54"/>
      <c r="H2393" s="60"/>
      <c r="I2393" s="275" t="str">
        <f t="shared" si="113"/>
        <v/>
      </c>
      <c r="J2393" s="95" t="str">
        <f t="shared" si="114"/>
        <v/>
      </c>
      <c r="K2393" s="93" t="str">
        <f>IFERROR(VLOOKUP(E2393,'Inventaire des produits'!$B$4:$J$1000,5,FALSE),"")</f>
        <v/>
      </c>
      <c r="L2393" s="301" t="str">
        <f>IFERROR(VLOOKUP(E2393,'Inventaire des produits'!$B$4:$J$1000,6,FALSE),"")</f>
        <v/>
      </c>
      <c r="M2393" s="62"/>
    </row>
    <row r="2394" spans="2:13" x14ac:dyDescent="0.3">
      <c r="B2394" s="54"/>
      <c r="C2394" s="54"/>
      <c r="D2394" s="54"/>
      <c r="E2394" s="234"/>
      <c r="F2394" s="274" t="str">
        <f>IFERROR(VLOOKUP(E2394,'Inventaire des produits'!$B$4:$K$1000,2,0),"")</f>
        <v/>
      </c>
      <c r="G2394" s="54"/>
      <c r="H2394" s="60"/>
      <c r="I2394" s="275" t="str">
        <f t="shared" si="113"/>
        <v/>
      </c>
      <c r="J2394" s="95" t="str">
        <f t="shared" si="114"/>
        <v/>
      </c>
      <c r="K2394" s="93" t="str">
        <f>IFERROR(VLOOKUP(E2394,'Inventaire des produits'!$B$4:$J$1000,5,FALSE),"")</f>
        <v/>
      </c>
      <c r="L2394" s="301" t="str">
        <f>IFERROR(VLOOKUP(E2394,'Inventaire des produits'!$B$4:$J$1000,6,FALSE),"")</f>
        <v/>
      </c>
      <c r="M2394" s="62"/>
    </row>
    <row r="2395" spans="2:13" x14ac:dyDescent="0.3">
      <c r="B2395" s="54"/>
      <c r="C2395" s="54"/>
      <c r="D2395" s="54"/>
      <c r="E2395" s="234"/>
      <c r="F2395" s="274" t="str">
        <f>IFERROR(VLOOKUP(E2395,'Inventaire des produits'!$B$4:$K$1000,2,0),"")</f>
        <v/>
      </c>
      <c r="G2395" s="54"/>
      <c r="H2395" s="60"/>
      <c r="I2395" s="275" t="str">
        <f t="shared" si="113"/>
        <v/>
      </c>
      <c r="J2395" s="95" t="str">
        <f t="shared" si="114"/>
        <v/>
      </c>
      <c r="K2395" s="93" t="str">
        <f>IFERROR(VLOOKUP(E2395,'Inventaire des produits'!$B$4:$J$1000,5,FALSE),"")</f>
        <v/>
      </c>
      <c r="L2395" s="301" t="str">
        <f>IFERROR(VLOOKUP(E2395,'Inventaire des produits'!$B$4:$J$1000,6,FALSE),"")</f>
        <v/>
      </c>
      <c r="M2395" s="62"/>
    </row>
    <row r="2396" spans="2:13" x14ac:dyDescent="0.3">
      <c r="B2396" s="54"/>
      <c r="C2396" s="54"/>
      <c r="D2396" s="54"/>
      <c r="E2396" s="234"/>
      <c r="F2396" s="274" t="str">
        <f>IFERROR(VLOOKUP(E2396,'Inventaire des produits'!$B$4:$K$1000,2,0),"")</f>
        <v/>
      </c>
      <c r="G2396" s="54"/>
      <c r="H2396" s="60"/>
      <c r="I2396" s="275" t="str">
        <f t="shared" si="113"/>
        <v/>
      </c>
      <c r="J2396" s="95" t="str">
        <f t="shared" si="114"/>
        <v/>
      </c>
      <c r="K2396" s="93" t="str">
        <f>IFERROR(VLOOKUP(E2396,'Inventaire des produits'!$B$4:$J$1000,5,FALSE),"")</f>
        <v/>
      </c>
      <c r="L2396" s="301" t="str">
        <f>IFERROR(VLOOKUP(E2396,'Inventaire des produits'!$B$4:$J$1000,6,FALSE),"")</f>
        <v/>
      </c>
      <c r="M2396" s="62"/>
    </row>
    <row r="2397" spans="2:13" x14ac:dyDescent="0.3">
      <c r="B2397" s="54"/>
      <c r="C2397" s="54"/>
      <c r="D2397" s="54"/>
      <c r="E2397" s="234"/>
      <c r="F2397" s="274" t="str">
        <f>IFERROR(VLOOKUP(E2397,'Inventaire des produits'!$B$4:$K$1000,2,0),"")</f>
        <v/>
      </c>
      <c r="G2397" s="54"/>
      <c r="H2397" s="60"/>
      <c r="I2397" s="275" t="str">
        <f t="shared" si="113"/>
        <v/>
      </c>
      <c r="J2397" s="95" t="str">
        <f t="shared" si="114"/>
        <v/>
      </c>
      <c r="K2397" s="93" t="str">
        <f>IFERROR(VLOOKUP(E2397,'Inventaire des produits'!$B$4:$J$1000,5,FALSE),"")</f>
        <v/>
      </c>
      <c r="L2397" s="301" t="str">
        <f>IFERROR(VLOOKUP(E2397,'Inventaire des produits'!$B$4:$J$1000,6,FALSE),"")</f>
        <v/>
      </c>
      <c r="M2397" s="62"/>
    </row>
    <row r="2398" spans="2:13" x14ac:dyDescent="0.3">
      <c r="B2398" s="54"/>
      <c r="C2398" s="54"/>
      <c r="D2398" s="54"/>
      <c r="E2398" s="234"/>
      <c r="F2398" s="274" t="str">
        <f>IFERROR(VLOOKUP(E2398,'Inventaire des produits'!$B$4:$K$1000,2,0),"")</f>
        <v/>
      </c>
      <c r="G2398" s="54"/>
      <c r="H2398" s="60"/>
      <c r="I2398" s="275" t="str">
        <f t="shared" si="113"/>
        <v/>
      </c>
      <c r="J2398" s="95" t="str">
        <f t="shared" si="114"/>
        <v/>
      </c>
      <c r="K2398" s="93" t="str">
        <f>IFERROR(VLOOKUP(E2398,'Inventaire des produits'!$B$4:$J$1000,5,FALSE),"")</f>
        <v/>
      </c>
      <c r="L2398" s="301" t="str">
        <f>IFERROR(VLOOKUP(E2398,'Inventaire des produits'!$B$4:$J$1000,6,FALSE),"")</f>
        <v/>
      </c>
      <c r="M2398" s="62"/>
    </row>
    <row r="2399" spans="2:13" x14ac:dyDescent="0.3">
      <c r="B2399" s="54"/>
      <c r="C2399" s="54"/>
      <c r="D2399" s="54"/>
      <c r="E2399" s="234"/>
      <c r="F2399" s="274" t="str">
        <f>IFERROR(VLOOKUP(E2399,'Inventaire des produits'!$B$4:$K$1000,2,0),"")</f>
        <v/>
      </c>
      <c r="G2399" s="54"/>
      <c r="H2399" s="60"/>
      <c r="I2399" s="275" t="str">
        <f t="shared" si="113"/>
        <v/>
      </c>
      <c r="J2399" s="95" t="str">
        <f t="shared" si="114"/>
        <v/>
      </c>
      <c r="K2399" s="93" t="str">
        <f>IFERROR(VLOOKUP(E2399,'Inventaire des produits'!$B$4:$J$1000,5,FALSE),"")</f>
        <v/>
      </c>
      <c r="L2399" s="301" t="str">
        <f>IFERROR(VLOOKUP(E2399,'Inventaire des produits'!$B$4:$J$1000,6,FALSE),"")</f>
        <v/>
      </c>
      <c r="M2399" s="62"/>
    </row>
    <row r="2400" spans="2:13" x14ac:dyDescent="0.3">
      <c r="B2400" s="54"/>
      <c r="C2400" s="54"/>
      <c r="D2400" s="54"/>
      <c r="E2400" s="234"/>
      <c r="F2400" s="274" t="str">
        <f>IFERROR(VLOOKUP(E2400,'Inventaire des produits'!$B$4:$K$1000,2,0),"")</f>
        <v/>
      </c>
      <c r="G2400" s="54"/>
      <c r="H2400" s="60"/>
      <c r="I2400" s="275" t="str">
        <f t="shared" si="113"/>
        <v/>
      </c>
      <c r="J2400" s="95" t="str">
        <f t="shared" si="114"/>
        <v/>
      </c>
      <c r="K2400" s="93" t="str">
        <f>IFERROR(VLOOKUP(E2400,'Inventaire des produits'!$B$4:$J$1000,5,FALSE),"")</f>
        <v/>
      </c>
      <c r="L2400" s="301" t="str">
        <f>IFERROR(VLOOKUP(E2400,'Inventaire des produits'!$B$4:$J$1000,6,FALSE),"")</f>
        <v/>
      </c>
      <c r="M2400" s="62"/>
    </row>
    <row r="2401" spans="2:13" x14ac:dyDescent="0.3">
      <c r="B2401" s="54"/>
      <c r="C2401" s="54"/>
      <c r="D2401" s="54"/>
      <c r="E2401" s="234"/>
      <c r="F2401" s="274" t="str">
        <f>IFERROR(VLOOKUP(E2401,'Inventaire des produits'!$B$4:$K$1000,2,0),"")</f>
        <v/>
      </c>
      <c r="G2401" s="54"/>
      <c r="H2401" s="60"/>
      <c r="I2401" s="275" t="str">
        <f t="shared" si="113"/>
        <v/>
      </c>
      <c r="J2401" s="95" t="str">
        <f t="shared" si="114"/>
        <v/>
      </c>
      <c r="K2401" s="93" t="str">
        <f>IFERROR(VLOOKUP(E2401,'Inventaire des produits'!$B$4:$J$1000,5,FALSE),"")</f>
        <v/>
      </c>
      <c r="L2401" s="301" t="str">
        <f>IFERROR(VLOOKUP(E2401,'Inventaire des produits'!$B$4:$J$1000,6,FALSE),"")</f>
        <v/>
      </c>
      <c r="M2401" s="62"/>
    </row>
    <row r="2402" spans="2:13" x14ac:dyDescent="0.3">
      <c r="B2402" s="54"/>
      <c r="C2402" s="54"/>
      <c r="D2402" s="54"/>
      <c r="E2402" s="234"/>
      <c r="F2402" s="274" t="str">
        <f>IFERROR(VLOOKUP(E2402,'Inventaire des produits'!$B$4:$K$1000,2,0),"")</f>
        <v/>
      </c>
      <c r="G2402" s="54"/>
      <c r="H2402" s="60"/>
      <c r="I2402" s="275" t="str">
        <f t="shared" si="113"/>
        <v/>
      </c>
      <c r="J2402" s="95" t="str">
        <f t="shared" si="114"/>
        <v/>
      </c>
      <c r="K2402" s="93" t="str">
        <f>IFERROR(VLOOKUP(E2402,'Inventaire des produits'!$B$4:$J$1000,5,FALSE),"")</f>
        <v/>
      </c>
      <c r="L2402" s="301" t="str">
        <f>IFERROR(VLOOKUP(E2402,'Inventaire des produits'!$B$4:$J$1000,6,FALSE),"")</f>
        <v/>
      </c>
      <c r="M2402" s="62"/>
    </row>
    <row r="2403" spans="2:13" x14ac:dyDescent="0.3">
      <c r="B2403" s="54"/>
      <c r="C2403" s="54"/>
      <c r="D2403" s="54"/>
      <c r="E2403" s="234"/>
      <c r="F2403" s="274" t="str">
        <f>IFERROR(VLOOKUP(E2403,'Inventaire des produits'!$B$4:$K$1000,2,0),"")</f>
        <v/>
      </c>
      <c r="G2403" s="54"/>
      <c r="H2403" s="60"/>
      <c r="I2403" s="275" t="str">
        <f t="shared" si="113"/>
        <v/>
      </c>
      <c r="J2403" s="95" t="str">
        <f t="shared" si="114"/>
        <v/>
      </c>
      <c r="K2403" s="93" t="str">
        <f>IFERROR(VLOOKUP(E2403,'Inventaire des produits'!$B$4:$J$1000,5,FALSE),"")</f>
        <v/>
      </c>
      <c r="L2403" s="301" t="str">
        <f>IFERROR(VLOOKUP(E2403,'Inventaire des produits'!$B$4:$J$1000,6,FALSE),"")</f>
        <v/>
      </c>
      <c r="M2403" s="62"/>
    </row>
    <row r="2404" spans="2:13" x14ac:dyDescent="0.3">
      <c r="B2404" s="54"/>
      <c r="C2404" s="54"/>
      <c r="D2404" s="54"/>
      <c r="E2404" s="234"/>
      <c r="F2404" s="274" t="str">
        <f>IFERROR(VLOOKUP(E2404,'Inventaire des produits'!$B$4:$K$1000,2,0),"")</f>
        <v/>
      </c>
      <c r="G2404" s="54"/>
      <c r="H2404" s="60"/>
      <c r="I2404" s="275" t="str">
        <f t="shared" si="113"/>
        <v/>
      </c>
      <c r="J2404" s="95" t="str">
        <f t="shared" si="114"/>
        <v/>
      </c>
      <c r="K2404" s="93" t="str">
        <f>IFERROR(VLOOKUP(E2404,'Inventaire des produits'!$B$4:$J$1000,5,FALSE),"")</f>
        <v/>
      </c>
      <c r="L2404" s="301" t="str">
        <f>IFERROR(VLOOKUP(E2404,'Inventaire des produits'!$B$4:$J$1000,6,FALSE),"")</f>
        <v/>
      </c>
      <c r="M2404" s="62"/>
    </row>
    <row r="2405" spans="2:13" x14ac:dyDescent="0.3">
      <c r="B2405" s="54"/>
      <c r="C2405" s="54"/>
      <c r="D2405" s="54"/>
      <c r="E2405" s="234"/>
      <c r="F2405" s="274" t="str">
        <f>IFERROR(VLOOKUP(E2405,'Inventaire des produits'!$B$4:$K$1000,2,0),"")</f>
        <v/>
      </c>
      <c r="G2405" s="54"/>
      <c r="H2405" s="60"/>
      <c r="I2405" s="275" t="str">
        <f t="shared" si="113"/>
        <v/>
      </c>
      <c r="J2405" s="95" t="str">
        <f t="shared" si="114"/>
        <v/>
      </c>
      <c r="K2405" s="93" t="str">
        <f>IFERROR(VLOOKUP(E2405,'Inventaire des produits'!$B$4:$J$1000,5,FALSE),"")</f>
        <v/>
      </c>
      <c r="L2405" s="301" t="str">
        <f>IFERROR(VLOOKUP(E2405,'Inventaire des produits'!$B$4:$J$1000,6,FALSE),"")</f>
        <v/>
      </c>
      <c r="M2405" s="62"/>
    </row>
    <row r="2406" spans="2:13" x14ac:dyDescent="0.3">
      <c r="B2406" s="54"/>
      <c r="C2406" s="54"/>
      <c r="D2406" s="54"/>
      <c r="E2406" s="234"/>
      <c r="F2406" s="274" t="str">
        <f>IFERROR(VLOOKUP(E2406,'Inventaire des produits'!$B$4:$K$1000,2,0),"")</f>
        <v/>
      </c>
      <c r="G2406" s="54"/>
      <c r="H2406" s="60"/>
      <c r="I2406" s="275" t="str">
        <f t="shared" si="113"/>
        <v/>
      </c>
      <c r="J2406" s="95" t="str">
        <f t="shared" si="114"/>
        <v/>
      </c>
      <c r="K2406" s="93" t="str">
        <f>IFERROR(VLOOKUP(E2406,'Inventaire des produits'!$B$4:$J$1000,5,FALSE),"")</f>
        <v/>
      </c>
      <c r="L2406" s="301" t="str">
        <f>IFERROR(VLOOKUP(E2406,'Inventaire des produits'!$B$4:$J$1000,6,FALSE),"")</f>
        <v/>
      </c>
      <c r="M2406" s="62"/>
    </row>
    <row r="2407" spans="2:13" x14ac:dyDescent="0.3">
      <c r="B2407" s="54"/>
      <c r="C2407" s="54"/>
      <c r="D2407" s="54"/>
      <c r="E2407" s="234"/>
      <c r="F2407" s="274" t="str">
        <f>IFERROR(VLOOKUP(E2407,'Inventaire des produits'!$B$4:$K$1000,2,0),"")</f>
        <v/>
      </c>
      <c r="G2407" s="54"/>
      <c r="H2407" s="60"/>
      <c r="I2407" s="275" t="str">
        <f t="shared" si="113"/>
        <v/>
      </c>
      <c r="J2407" s="95" t="str">
        <f t="shared" si="114"/>
        <v/>
      </c>
      <c r="K2407" s="93" t="str">
        <f>IFERROR(VLOOKUP(E2407,'Inventaire des produits'!$B$4:$J$1000,5,FALSE),"")</f>
        <v/>
      </c>
      <c r="L2407" s="301" t="str">
        <f>IFERROR(VLOOKUP(E2407,'Inventaire des produits'!$B$4:$J$1000,6,FALSE),"")</f>
        <v/>
      </c>
      <c r="M2407" s="62"/>
    </row>
    <row r="2408" spans="2:13" x14ac:dyDescent="0.3">
      <c r="B2408" s="54"/>
      <c r="C2408" s="54"/>
      <c r="D2408" s="54"/>
      <c r="E2408" s="234"/>
      <c r="F2408" s="274" t="str">
        <f>IFERROR(VLOOKUP(E2408,'Inventaire des produits'!$B$4:$K$1000,2,0),"")</f>
        <v/>
      </c>
      <c r="G2408" s="54"/>
      <c r="H2408" s="60"/>
      <c r="I2408" s="275" t="str">
        <f t="shared" si="113"/>
        <v/>
      </c>
      <c r="J2408" s="95" t="str">
        <f t="shared" si="114"/>
        <v/>
      </c>
      <c r="K2408" s="93" t="str">
        <f>IFERROR(VLOOKUP(E2408,'Inventaire des produits'!$B$4:$J$1000,5,FALSE),"")</f>
        <v/>
      </c>
      <c r="L2408" s="301" t="str">
        <f>IFERROR(VLOOKUP(E2408,'Inventaire des produits'!$B$4:$J$1000,6,FALSE),"")</f>
        <v/>
      </c>
      <c r="M2408" s="62"/>
    </row>
    <row r="2409" spans="2:13" x14ac:dyDescent="0.3">
      <c r="B2409" s="54"/>
      <c r="C2409" s="54"/>
      <c r="D2409" s="54"/>
      <c r="E2409" s="234"/>
      <c r="F2409" s="274" t="str">
        <f>IFERROR(VLOOKUP(E2409,'Inventaire des produits'!$B$4:$K$1000,2,0),"")</f>
        <v/>
      </c>
      <c r="G2409" s="54"/>
      <c r="H2409" s="60"/>
      <c r="I2409" s="275" t="str">
        <f t="shared" si="113"/>
        <v/>
      </c>
      <c r="J2409" s="95" t="str">
        <f t="shared" si="114"/>
        <v/>
      </c>
      <c r="K2409" s="93" t="str">
        <f>IFERROR(VLOOKUP(E2409,'Inventaire des produits'!$B$4:$J$1000,5,FALSE),"")</f>
        <v/>
      </c>
      <c r="L2409" s="301" t="str">
        <f>IFERROR(VLOOKUP(E2409,'Inventaire des produits'!$B$4:$J$1000,6,FALSE),"")</f>
        <v/>
      </c>
      <c r="M2409" s="62"/>
    </row>
    <row r="2410" spans="2:13" x14ac:dyDescent="0.3">
      <c r="B2410" s="54"/>
      <c r="C2410" s="54"/>
      <c r="D2410" s="54"/>
      <c r="E2410" s="234"/>
      <c r="F2410" s="274" t="str">
        <f>IFERROR(VLOOKUP(E2410,'Inventaire des produits'!$B$4:$K$1000,2,0),"")</f>
        <v/>
      </c>
      <c r="G2410" s="54"/>
      <c r="H2410" s="60"/>
      <c r="I2410" s="275" t="str">
        <f t="shared" si="113"/>
        <v/>
      </c>
      <c r="J2410" s="95" t="str">
        <f t="shared" si="114"/>
        <v/>
      </c>
      <c r="K2410" s="93" t="str">
        <f>IFERROR(VLOOKUP(E2410,'Inventaire des produits'!$B$4:$J$1000,5,FALSE),"")</f>
        <v/>
      </c>
      <c r="L2410" s="301" t="str">
        <f>IFERROR(VLOOKUP(E2410,'Inventaire des produits'!$B$4:$J$1000,6,FALSE),"")</f>
        <v/>
      </c>
      <c r="M2410" s="62"/>
    </row>
    <row r="2411" spans="2:13" x14ac:dyDescent="0.3">
      <c r="B2411" s="54"/>
      <c r="C2411" s="54"/>
      <c r="D2411" s="54"/>
      <c r="E2411" s="234"/>
      <c r="F2411" s="274" t="str">
        <f>IFERROR(VLOOKUP(E2411,'Inventaire des produits'!$B$4:$K$1000,2,0),"")</f>
        <v/>
      </c>
      <c r="G2411" s="54"/>
      <c r="H2411" s="60"/>
      <c r="I2411" s="275" t="str">
        <f t="shared" si="113"/>
        <v/>
      </c>
      <c r="J2411" s="95" t="str">
        <f t="shared" si="114"/>
        <v/>
      </c>
      <c r="K2411" s="93" t="str">
        <f>IFERROR(VLOOKUP(E2411,'Inventaire des produits'!$B$4:$J$1000,5,FALSE),"")</f>
        <v/>
      </c>
      <c r="L2411" s="301" t="str">
        <f>IFERROR(VLOOKUP(E2411,'Inventaire des produits'!$B$4:$J$1000,6,FALSE),"")</f>
        <v/>
      </c>
      <c r="M2411" s="62"/>
    </row>
    <row r="2412" spans="2:13" x14ac:dyDescent="0.3">
      <c r="B2412" s="54"/>
      <c r="C2412" s="54"/>
      <c r="D2412" s="54"/>
      <c r="E2412" s="234"/>
      <c r="F2412" s="274" t="str">
        <f>IFERROR(VLOOKUP(E2412,'Inventaire des produits'!$B$4:$K$1000,2,0),"")</f>
        <v/>
      </c>
      <c r="G2412" s="54"/>
      <c r="H2412" s="60"/>
      <c r="I2412" s="275" t="str">
        <f t="shared" si="113"/>
        <v/>
      </c>
      <c r="J2412" s="95" t="str">
        <f t="shared" si="114"/>
        <v/>
      </c>
      <c r="K2412" s="93" t="str">
        <f>IFERROR(VLOOKUP(E2412,'Inventaire des produits'!$B$4:$J$1000,5,FALSE),"")</f>
        <v/>
      </c>
      <c r="L2412" s="301" t="str">
        <f>IFERROR(VLOOKUP(E2412,'Inventaire des produits'!$B$4:$J$1000,6,FALSE),"")</f>
        <v/>
      </c>
      <c r="M2412" s="62"/>
    </row>
    <row r="2413" spans="2:13" x14ac:dyDescent="0.3">
      <c r="B2413" s="54"/>
      <c r="C2413" s="54"/>
      <c r="D2413" s="54"/>
      <c r="E2413" s="234"/>
      <c r="F2413" s="274" t="str">
        <f>IFERROR(VLOOKUP(E2413,'Inventaire des produits'!$B$4:$K$1000,2,0),"")</f>
        <v/>
      </c>
      <c r="G2413" s="54"/>
      <c r="H2413" s="60"/>
      <c r="I2413" s="275" t="str">
        <f t="shared" si="113"/>
        <v/>
      </c>
      <c r="J2413" s="95" t="str">
        <f t="shared" si="114"/>
        <v/>
      </c>
      <c r="K2413" s="93" t="str">
        <f>IFERROR(VLOOKUP(E2413,'Inventaire des produits'!$B$4:$J$1000,5,FALSE),"")</f>
        <v/>
      </c>
      <c r="L2413" s="301" t="str">
        <f>IFERROR(VLOOKUP(E2413,'Inventaire des produits'!$B$4:$J$1000,6,FALSE),"")</f>
        <v/>
      </c>
      <c r="M2413" s="62"/>
    </row>
    <row r="2414" spans="2:13" x14ac:dyDescent="0.3">
      <c r="B2414" s="54"/>
      <c r="C2414" s="54"/>
      <c r="D2414" s="54"/>
      <c r="E2414" s="234"/>
      <c r="F2414" s="274" t="str">
        <f>IFERROR(VLOOKUP(E2414,'Inventaire des produits'!$B$4:$K$1000,2,0),"")</f>
        <v/>
      </c>
      <c r="G2414" s="54"/>
      <c r="H2414" s="60"/>
      <c r="I2414" s="275" t="str">
        <f t="shared" si="113"/>
        <v/>
      </c>
      <c r="J2414" s="95" t="str">
        <f t="shared" si="114"/>
        <v/>
      </c>
      <c r="K2414" s="93" t="str">
        <f>IFERROR(VLOOKUP(E2414,'Inventaire des produits'!$B$4:$J$1000,5,FALSE),"")</f>
        <v/>
      </c>
      <c r="L2414" s="301" t="str">
        <f>IFERROR(VLOOKUP(E2414,'Inventaire des produits'!$B$4:$J$1000,6,FALSE),"")</f>
        <v/>
      </c>
      <c r="M2414" s="62"/>
    </row>
    <row r="2415" spans="2:13" x14ac:dyDescent="0.3">
      <c r="B2415" s="54"/>
      <c r="C2415" s="54"/>
      <c r="D2415" s="54"/>
      <c r="E2415" s="234"/>
      <c r="F2415" s="274" t="str">
        <f>IFERROR(VLOOKUP(E2415,'Inventaire des produits'!$B$4:$K$1000,2,0),"")</f>
        <v/>
      </c>
      <c r="G2415" s="54"/>
      <c r="H2415" s="60"/>
      <c r="I2415" s="275" t="str">
        <f t="shared" si="113"/>
        <v/>
      </c>
      <c r="J2415" s="95" t="str">
        <f t="shared" si="114"/>
        <v/>
      </c>
      <c r="K2415" s="93" t="str">
        <f>IFERROR(VLOOKUP(E2415,'Inventaire des produits'!$B$4:$J$1000,5,FALSE),"")</f>
        <v/>
      </c>
      <c r="L2415" s="301" t="str">
        <f>IFERROR(VLOOKUP(E2415,'Inventaire des produits'!$B$4:$J$1000,6,FALSE),"")</f>
        <v/>
      </c>
      <c r="M2415" s="62"/>
    </row>
    <row r="2416" spans="2:13" x14ac:dyDescent="0.3">
      <c r="B2416" s="54"/>
      <c r="C2416" s="54"/>
      <c r="D2416" s="54"/>
      <c r="E2416" s="234"/>
      <c r="F2416" s="274" t="str">
        <f>IFERROR(VLOOKUP(E2416,'Inventaire des produits'!$B$4:$K$1000,2,0),"")</f>
        <v/>
      </c>
      <c r="G2416" s="54"/>
      <c r="H2416" s="60"/>
      <c r="I2416" s="275" t="str">
        <f t="shared" si="113"/>
        <v/>
      </c>
      <c r="J2416" s="95" t="str">
        <f t="shared" si="114"/>
        <v/>
      </c>
      <c r="K2416" s="93" t="str">
        <f>IFERROR(VLOOKUP(E2416,'Inventaire des produits'!$B$4:$J$1000,5,FALSE),"")</f>
        <v/>
      </c>
      <c r="L2416" s="301" t="str">
        <f>IFERROR(VLOOKUP(E2416,'Inventaire des produits'!$B$4:$J$1000,6,FALSE),"")</f>
        <v/>
      </c>
      <c r="M2416" s="62"/>
    </row>
    <row r="2417" spans="2:13" x14ac:dyDescent="0.3">
      <c r="B2417" s="54"/>
      <c r="C2417" s="54"/>
      <c r="D2417" s="54"/>
      <c r="E2417" s="234"/>
      <c r="F2417" s="274" t="str">
        <f>IFERROR(VLOOKUP(E2417,'Inventaire des produits'!$B$4:$K$1000,2,0),"")</f>
        <v/>
      </c>
      <c r="G2417" s="54"/>
      <c r="H2417" s="60"/>
      <c r="I2417" s="275" t="str">
        <f t="shared" si="113"/>
        <v/>
      </c>
      <c r="J2417" s="95" t="str">
        <f t="shared" si="114"/>
        <v/>
      </c>
      <c r="K2417" s="93" t="str">
        <f>IFERROR(VLOOKUP(E2417,'Inventaire des produits'!$B$4:$J$1000,5,FALSE),"")</f>
        <v/>
      </c>
      <c r="L2417" s="301" t="str">
        <f>IFERROR(VLOOKUP(E2417,'Inventaire des produits'!$B$4:$J$1000,6,FALSE),"")</f>
        <v/>
      </c>
      <c r="M2417" s="62"/>
    </row>
    <row r="2418" spans="2:13" x14ac:dyDescent="0.3">
      <c r="B2418" s="54"/>
      <c r="C2418" s="54"/>
      <c r="D2418" s="54"/>
      <c r="E2418" s="234"/>
      <c r="F2418" s="274" t="str">
        <f>IFERROR(VLOOKUP(E2418,'Inventaire des produits'!$B$4:$K$1000,2,0),"")</f>
        <v/>
      </c>
      <c r="G2418" s="54"/>
      <c r="H2418" s="60"/>
      <c r="I2418" s="275" t="str">
        <f t="shared" ref="I2418:I2481" si="115">IF(OR(G2418="",H2418=""),"",G2418*H2418)</f>
        <v/>
      </c>
      <c r="J2418" s="95" t="str">
        <f t="shared" ref="J2418:J2481" si="116">IF(OR(I2418=""),"",I2418*1.2)</f>
        <v/>
      </c>
      <c r="K2418" s="93" t="str">
        <f>IFERROR(VLOOKUP(E2418,'Inventaire des produits'!$B$4:$J$1000,5,FALSE),"")</f>
        <v/>
      </c>
      <c r="L2418" s="301" t="str">
        <f>IFERROR(VLOOKUP(E2418,'Inventaire des produits'!$B$4:$J$1000,6,FALSE),"")</f>
        <v/>
      </c>
      <c r="M2418" s="62"/>
    </row>
    <row r="2419" spans="2:13" x14ac:dyDescent="0.3">
      <c r="B2419" s="54"/>
      <c r="C2419" s="54"/>
      <c r="D2419" s="54"/>
      <c r="E2419" s="234"/>
      <c r="F2419" s="274" t="str">
        <f>IFERROR(VLOOKUP(E2419,'Inventaire des produits'!$B$4:$K$1000,2,0),"")</f>
        <v/>
      </c>
      <c r="G2419" s="54"/>
      <c r="H2419" s="60"/>
      <c r="I2419" s="275" t="str">
        <f t="shared" si="115"/>
        <v/>
      </c>
      <c r="J2419" s="95" t="str">
        <f t="shared" si="116"/>
        <v/>
      </c>
      <c r="K2419" s="93" t="str">
        <f>IFERROR(VLOOKUP(E2419,'Inventaire des produits'!$B$4:$J$1000,5,FALSE),"")</f>
        <v/>
      </c>
      <c r="L2419" s="301" t="str">
        <f>IFERROR(VLOOKUP(E2419,'Inventaire des produits'!$B$4:$J$1000,6,FALSE),"")</f>
        <v/>
      </c>
      <c r="M2419" s="62"/>
    </row>
    <row r="2420" spans="2:13" x14ac:dyDescent="0.3">
      <c r="B2420" s="54"/>
      <c r="C2420" s="54"/>
      <c r="D2420" s="54"/>
      <c r="E2420" s="234"/>
      <c r="F2420" s="274" t="str">
        <f>IFERROR(VLOOKUP(E2420,'Inventaire des produits'!$B$4:$K$1000,2,0),"")</f>
        <v/>
      </c>
      <c r="G2420" s="54"/>
      <c r="H2420" s="60"/>
      <c r="I2420" s="275" t="str">
        <f t="shared" si="115"/>
        <v/>
      </c>
      <c r="J2420" s="95" t="str">
        <f t="shared" si="116"/>
        <v/>
      </c>
      <c r="K2420" s="93" t="str">
        <f>IFERROR(VLOOKUP(E2420,'Inventaire des produits'!$B$4:$J$1000,5,FALSE),"")</f>
        <v/>
      </c>
      <c r="L2420" s="301" t="str">
        <f>IFERROR(VLOOKUP(E2420,'Inventaire des produits'!$B$4:$J$1000,6,FALSE),"")</f>
        <v/>
      </c>
      <c r="M2420" s="62"/>
    </row>
    <row r="2421" spans="2:13" x14ac:dyDescent="0.3">
      <c r="B2421" s="54"/>
      <c r="C2421" s="54"/>
      <c r="D2421" s="54"/>
      <c r="E2421" s="234"/>
      <c r="F2421" s="274" t="str">
        <f>IFERROR(VLOOKUP(E2421,'Inventaire des produits'!$B$4:$K$1000,2,0),"")</f>
        <v/>
      </c>
      <c r="G2421" s="54"/>
      <c r="H2421" s="60"/>
      <c r="I2421" s="275" t="str">
        <f t="shared" si="115"/>
        <v/>
      </c>
      <c r="J2421" s="95" t="str">
        <f t="shared" si="116"/>
        <v/>
      </c>
      <c r="K2421" s="93" t="str">
        <f>IFERROR(VLOOKUP(E2421,'Inventaire des produits'!$B$4:$J$1000,5,FALSE),"")</f>
        <v/>
      </c>
      <c r="L2421" s="301" t="str">
        <f>IFERROR(VLOOKUP(E2421,'Inventaire des produits'!$B$4:$J$1000,6,FALSE),"")</f>
        <v/>
      </c>
      <c r="M2421" s="62"/>
    </row>
    <row r="2422" spans="2:13" x14ac:dyDescent="0.3">
      <c r="B2422" s="54"/>
      <c r="C2422" s="54"/>
      <c r="D2422" s="54"/>
      <c r="E2422" s="234"/>
      <c r="F2422" s="274" t="str">
        <f>IFERROR(VLOOKUP(E2422,'Inventaire des produits'!$B$4:$K$1000,2,0),"")</f>
        <v/>
      </c>
      <c r="G2422" s="54"/>
      <c r="H2422" s="60"/>
      <c r="I2422" s="275" t="str">
        <f t="shared" si="115"/>
        <v/>
      </c>
      <c r="J2422" s="95" t="str">
        <f t="shared" si="116"/>
        <v/>
      </c>
      <c r="K2422" s="93" t="str">
        <f>IFERROR(VLOOKUP(E2422,'Inventaire des produits'!$B$4:$J$1000,5,FALSE),"")</f>
        <v/>
      </c>
      <c r="L2422" s="301" t="str">
        <f>IFERROR(VLOOKUP(E2422,'Inventaire des produits'!$B$4:$J$1000,6,FALSE),"")</f>
        <v/>
      </c>
      <c r="M2422" s="62"/>
    </row>
    <row r="2423" spans="2:13" x14ac:dyDescent="0.3">
      <c r="B2423" s="54"/>
      <c r="C2423" s="54"/>
      <c r="D2423" s="54"/>
      <c r="E2423" s="234"/>
      <c r="F2423" s="274" t="str">
        <f>IFERROR(VLOOKUP(E2423,'Inventaire des produits'!$B$4:$K$1000,2,0),"")</f>
        <v/>
      </c>
      <c r="G2423" s="54"/>
      <c r="H2423" s="60"/>
      <c r="I2423" s="275" t="str">
        <f t="shared" si="115"/>
        <v/>
      </c>
      <c r="J2423" s="95" t="str">
        <f t="shared" si="116"/>
        <v/>
      </c>
      <c r="K2423" s="93" t="str">
        <f>IFERROR(VLOOKUP(E2423,'Inventaire des produits'!$B$4:$J$1000,5,FALSE),"")</f>
        <v/>
      </c>
      <c r="L2423" s="301" t="str">
        <f>IFERROR(VLOOKUP(E2423,'Inventaire des produits'!$B$4:$J$1000,6,FALSE),"")</f>
        <v/>
      </c>
      <c r="M2423" s="62"/>
    </row>
    <row r="2424" spans="2:13" x14ac:dyDescent="0.3">
      <c r="B2424" s="54"/>
      <c r="C2424" s="54"/>
      <c r="D2424" s="54"/>
      <c r="E2424" s="234"/>
      <c r="F2424" s="274" t="str">
        <f>IFERROR(VLOOKUP(E2424,'Inventaire des produits'!$B$4:$K$1000,2,0),"")</f>
        <v/>
      </c>
      <c r="G2424" s="54"/>
      <c r="H2424" s="60"/>
      <c r="I2424" s="275" t="str">
        <f t="shared" si="115"/>
        <v/>
      </c>
      <c r="J2424" s="95" t="str">
        <f t="shared" si="116"/>
        <v/>
      </c>
      <c r="K2424" s="93" t="str">
        <f>IFERROR(VLOOKUP(E2424,'Inventaire des produits'!$B$4:$J$1000,5,FALSE),"")</f>
        <v/>
      </c>
      <c r="L2424" s="301" t="str">
        <f>IFERROR(VLOOKUP(E2424,'Inventaire des produits'!$B$4:$J$1000,6,FALSE),"")</f>
        <v/>
      </c>
      <c r="M2424" s="62"/>
    </row>
    <row r="2425" spans="2:13" x14ac:dyDescent="0.3">
      <c r="B2425" s="54"/>
      <c r="C2425" s="54"/>
      <c r="D2425" s="54"/>
      <c r="E2425" s="234"/>
      <c r="F2425" s="274" t="str">
        <f>IFERROR(VLOOKUP(E2425,'Inventaire des produits'!$B$4:$K$1000,2,0),"")</f>
        <v/>
      </c>
      <c r="G2425" s="54"/>
      <c r="H2425" s="60"/>
      <c r="I2425" s="275" t="str">
        <f t="shared" si="115"/>
        <v/>
      </c>
      <c r="J2425" s="95" t="str">
        <f t="shared" si="116"/>
        <v/>
      </c>
      <c r="K2425" s="93" t="str">
        <f>IFERROR(VLOOKUP(E2425,'Inventaire des produits'!$B$4:$J$1000,5,FALSE),"")</f>
        <v/>
      </c>
      <c r="L2425" s="301" t="str">
        <f>IFERROR(VLOOKUP(E2425,'Inventaire des produits'!$B$4:$J$1000,6,FALSE),"")</f>
        <v/>
      </c>
      <c r="M2425" s="62"/>
    </row>
    <row r="2426" spans="2:13" x14ac:dyDescent="0.3">
      <c r="B2426" s="54"/>
      <c r="C2426" s="54"/>
      <c r="D2426" s="54"/>
      <c r="E2426" s="234"/>
      <c r="F2426" s="274" t="str">
        <f>IFERROR(VLOOKUP(E2426,'Inventaire des produits'!$B$4:$K$1000,2,0),"")</f>
        <v/>
      </c>
      <c r="G2426" s="54"/>
      <c r="H2426" s="60"/>
      <c r="I2426" s="275" t="str">
        <f t="shared" si="115"/>
        <v/>
      </c>
      <c r="J2426" s="95" t="str">
        <f t="shared" si="116"/>
        <v/>
      </c>
      <c r="K2426" s="93" t="str">
        <f>IFERROR(VLOOKUP(E2426,'Inventaire des produits'!$B$4:$J$1000,5,FALSE),"")</f>
        <v/>
      </c>
      <c r="L2426" s="301" t="str">
        <f>IFERROR(VLOOKUP(E2426,'Inventaire des produits'!$B$4:$J$1000,6,FALSE),"")</f>
        <v/>
      </c>
      <c r="M2426" s="62"/>
    </row>
    <row r="2427" spans="2:13" x14ac:dyDescent="0.3">
      <c r="B2427" s="54"/>
      <c r="C2427" s="54"/>
      <c r="D2427" s="54"/>
      <c r="E2427" s="234"/>
      <c r="F2427" s="274" t="str">
        <f>IFERROR(VLOOKUP(E2427,'Inventaire des produits'!$B$4:$K$1000,2,0),"")</f>
        <v/>
      </c>
      <c r="G2427" s="54"/>
      <c r="H2427" s="60"/>
      <c r="I2427" s="275" t="str">
        <f t="shared" si="115"/>
        <v/>
      </c>
      <c r="J2427" s="95" t="str">
        <f t="shared" si="116"/>
        <v/>
      </c>
      <c r="K2427" s="93" t="str">
        <f>IFERROR(VLOOKUP(E2427,'Inventaire des produits'!$B$4:$J$1000,5,FALSE),"")</f>
        <v/>
      </c>
      <c r="L2427" s="301" t="str">
        <f>IFERROR(VLOOKUP(E2427,'Inventaire des produits'!$B$4:$J$1000,6,FALSE),"")</f>
        <v/>
      </c>
      <c r="M2427" s="62"/>
    </row>
    <row r="2428" spans="2:13" x14ac:dyDescent="0.3">
      <c r="B2428" s="54"/>
      <c r="C2428" s="54"/>
      <c r="D2428" s="54"/>
      <c r="E2428" s="234"/>
      <c r="F2428" s="274" t="str">
        <f>IFERROR(VLOOKUP(E2428,'Inventaire des produits'!$B$4:$K$1000,2,0),"")</f>
        <v/>
      </c>
      <c r="G2428" s="54"/>
      <c r="H2428" s="60"/>
      <c r="I2428" s="275" t="str">
        <f t="shared" si="115"/>
        <v/>
      </c>
      <c r="J2428" s="95" t="str">
        <f t="shared" si="116"/>
        <v/>
      </c>
      <c r="K2428" s="93" t="str">
        <f>IFERROR(VLOOKUP(E2428,'Inventaire des produits'!$B$4:$J$1000,5,FALSE),"")</f>
        <v/>
      </c>
      <c r="L2428" s="301" t="str">
        <f>IFERROR(VLOOKUP(E2428,'Inventaire des produits'!$B$4:$J$1000,6,FALSE),"")</f>
        <v/>
      </c>
      <c r="M2428" s="62"/>
    </row>
    <row r="2429" spans="2:13" x14ac:dyDescent="0.3">
      <c r="B2429" s="54"/>
      <c r="C2429" s="54"/>
      <c r="D2429" s="54"/>
      <c r="E2429" s="234"/>
      <c r="F2429" s="274" t="str">
        <f>IFERROR(VLOOKUP(E2429,'Inventaire des produits'!$B$4:$K$1000,2,0),"")</f>
        <v/>
      </c>
      <c r="G2429" s="54"/>
      <c r="H2429" s="60"/>
      <c r="I2429" s="275" t="str">
        <f t="shared" si="115"/>
        <v/>
      </c>
      <c r="J2429" s="95" t="str">
        <f t="shared" si="116"/>
        <v/>
      </c>
      <c r="K2429" s="93" t="str">
        <f>IFERROR(VLOOKUP(E2429,'Inventaire des produits'!$B$4:$J$1000,5,FALSE),"")</f>
        <v/>
      </c>
      <c r="L2429" s="301" t="str">
        <f>IFERROR(VLOOKUP(E2429,'Inventaire des produits'!$B$4:$J$1000,6,FALSE),"")</f>
        <v/>
      </c>
      <c r="M2429" s="62"/>
    </row>
    <row r="2430" spans="2:13" x14ac:dyDescent="0.3">
      <c r="B2430" s="54"/>
      <c r="C2430" s="54"/>
      <c r="D2430" s="54"/>
      <c r="E2430" s="234"/>
      <c r="F2430" s="274" t="str">
        <f>IFERROR(VLOOKUP(E2430,'Inventaire des produits'!$B$4:$K$1000,2,0),"")</f>
        <v/>
      </c>
      <c r="G2430" s="54"/>
      <c r="H2430" s="60"/>
      <c r="I2430" s="275" t="str">
        <f t="shared" si="115"/>
        <v/>
      </c>
      <c r="J2430" s="95" t="str">
        <f t="shared" si="116"/>
        <v/>
      </c>
      <c r="K2430" s="93" t="str">
        <f>IFERROR(VLOOKUP(E2430,'Inventaire des produits'!$B$4:$J$1000,5,FALSE),"")</f>
        <v/>
      </c>
      <c r="L2430" s="301" t="str">
        <f>IFERROR(VLOOKUP(E2430,'Inventaire des produits'!$B$4:$J$1000,6,FALSE),"")</f>
        <v/>
      </c>
      <c r="M2430" s="62"/>
    </row>
    <row r="2431" spans="2:13" x14ac:dyDescent="0.3">
      <c r="B2431" s="54"/>
      <c r="C2431" s="54"/>
      <c r="D2431" s="54"/>
      <c r="E2431" s="234"/>
      <c r="F2431" s="274" t="str">
        <f>IFERROR(VLOOKUP(E2431,'Inventaire des produits'!$B$4:$K$1000,2,0),"")</f>
        <v/>
      </c>
      <c r="G2431" s="54"/>
      <c r="H2431" s="60"/>
      <c r="I2431" s="275" t="str">
        <f t="shared" si="115"/>
        <v/>
      </c>
      <c r="J2431" s="95" t="str">
        <f t="shared" si="116"/>
        <v/>
      </c>
      <c r="K2431" s="93" t="str">
        <f>IFERROR(VLOOKUP(E2431,'Inventaire des produits'!$B$4:$J$1000,5,FALSE),"")</f>
        <v/>
      </c>
      <c r="L2431" s="301" t="str">
        <f>IFERROR(VLOOKUP(E2431,'Inventaire des produits'!$B$4:$J$1000,6,FALSE),"")</f>
        <v/>
      </c>
      <c r="M2431" s="62"/>
    </row>
    <row r="2432" spans="2:13" x14ac:dyDescent="0.3">
      <c r="B2432" s="54"/>
      <c r="C2432" s="54"/>
      <c r="D2432" s="54"/>
      <c r="E2432" s="234"/>
      <c r="F2432" s="274" t="str">
        <f>IFERROR(VLOOKUP(E2432,'Inventaire des produits'!$B$4:$K$1000,2,0),"")</f>
        <v/>
      </c>
      <c r="G2432" s="54"/>
      <c r="H2432" s="60"/>
      <c r="I2432" s="275" t="str">
        <f t="shared" si="115"/>
        <v/>
      </c>
      <c r="J2432" s="95" t="str">
        <f t="shared" si="116"/>
        <v/>
      </c>
      <c r="K2432" s="93" t="str">
        <f>IFERROR(VLOOKUP(E2432,'Inventaire des produits'!$B$4:$J$1000,5,FALSE),"")</f>
        <v/>
      </c>
      <c r="L2432" s="301" t="str">
        <f>IFERROR(VLOOKUP(E2432,'Inventaire des produits'!$B$4:$J$1000,6,FALSE),"")</f>
        <v/>
      </c>
      <c r="M2432" s="62"/>
    </row>
    <row r="2433" spans="2:13" x14ac:dyDescent="0.3">
      <c r="B2433" s="54"/>
      <c r="C2433" s="54"/>
      <c r="D2433" s="54"/>
      <c r="E2433" s="234"/>
      <c r="F2433" s="274" t="str">
        <f>IFERROR(VLOOKUP(E2433,'Inventaire des produits'!$B$4:$K$1000,2,0),"")</f>
        <v/>
      </c>
      <c r="G2433" s="54"/>
      <c r="H2433" s="60"/>
      <c r="I2433" s="275" t="str">
        <f t="shared" si="115"/>
        <v/>
      </c>
      <c r="J2433" s="95" t="str">
        <f t="shared" si="116"/>
        <v/>
      </c>
      <c r="K2433" s="93" t="str">
        <f>IFERROR(VLOOKUP(E2433,'Inventaire des produits'!$B$4:$J$1000,5,FALSE),"")</f>
        <v/>
      </c>
      <c r="L2433" s="301" t="str">
        <f>IFERROR(VLOOKUP(E2433,'Inventaire des produits'!$B$4:$J$1000,6,FALSE),"")</f>
        <v/>
      </c>
      <c r="M2433" s="62"/>
    </row>
    <row r="2434" spans="2:13" x14ac:dyDescent="0.3">
      <c r="B2434" s="54"/>
      <c r="C2434" s="54"/>
      <c r="D2434" s="54"/>
      <c r="E2434" s="234"/>
      <c r="F2434" s="274" t="str">
        <f>IFERROR(VLOOKUP(E2434,'Inventaire des produits'!$B$4:$K$1000,2,0),"")</f>
        <v/>
      </c>
      <c r="G2434" s="54"/>
      <c r="H2434" s="60"/>
      <c r="I2434" s="275" t="str">
        <f t="shared" si="115"/>
        <v/>
      </c>
      <c r="J2434" s="95" t="str">
        <f t="shared" si="116"/>
        <v/>
      </c>
      <c r="K2434" s="93" t="str">
        <f>IFERROR(VLOOKUP(E2434,'Inventaire des produits'!$B$4:$J$1000,5,FALSE),"")</f>
        <v/>
      </c>
      <c r="L2434" s="301" t="str">
        <f>IFERROR(VLOOKUP(E2434,'Inventaire des produits'!$B$4:$J$1000,6,FALSE),"")</f>
        <v/>
      </c>
      <c r="M2434" s="62"/>
    </row>
    <row r="2435" spans="2:13" x14ac:dyDescent="0.3">
      <c r="B2435" s="54"/>
      <c r="C2435" s="54"/>
      <c r="D2435" s="54"/>
      <c r="E2435" s="234"/>
      <c r="F2435" s="274" t="str">
        <f>IFERROR(VLOOKUP(E2435,'Inventaire des produits'!$B$4:$K$1000,2,0),"")</f>
        <v/>
      </c>
      <c r="G2435" s="54"/>
      <c r="H2435" s="60"/>
      <c r="I2435" s="275" t="str">
        <f t="shared" si="115"/>
        <v/>
      </c>
      <c r="J2435" s="95" t="str">
        <f t="shared" si="116"/>
        <v/>
      </c>
      <c r="K2435" s="93" t="str">
        <f>IFERROR(VLOOKUP(E2435,'Inventaire des produits'!$B$4:$J$1000,5,FALSE),"")</f>
        <v/>
      </c>
      <c r="L2435" s="301" t="str">
        <f>IFERROR(VLOOKUP(E2435,'Inventaire des produits'!$B$4:$J$1000,6,FALSE),"")</f>
        <v/>
      </c>
      <c r="M2435" s="62"/>
    </row>
    <row r="2436" spans="2:13" x14ac:dyDescent="0.3">
      <c r="B2436" s="54"/>
      <c r="C2436" s="54"/>
      <c r="D2436" s="54"/>
      <c r="E2436" s="234"/>
      <c r="F2436" s="274" t="str">
        <f>IFERROR(VLOOKUP(E2436,'Inventaire des produits'!$B$4:$K$1000,2,0),"")</f>
        <v/>
      </c>
      <c r="G2436" s="54"/>
      <c r="H2436" s="60"/>
      <c r="I2436" s="275" t="str">
        <f t="shared" si="115"/>
        <v/>
      </c>
      <c r="J2436" s="95" t="str">
        <f t="shared" si="116"/>
        <v/>
      </c>
      <c r="K2436" s="93" t="str">
        <f>IFERROR(VLOOKUP(E2436,'Inventaire des produits'!$B$4:$J$1000,5,FALSE),"")</f>
        <v/>
      </c>
      <c r="L2436" s="301" t="str">
        <f>IFERROR(VLOOKUP(E2436,'Inventaire des produits'!$B$4:$J$1000,6,FALSE),"")</f>
        <v/>
      </c>
      <c r="M2436" s="62"/>
    </row>
    <row r="2437" spans="2:13" x14ac:dyDescent="0.3">
      <c r="B2437" s="54"/>
      <c r="C2437" s="54"/>
      <c r="D2437" s="54"/>
      <c r="E2437" s="234"/>
      <c r="F2437" s="274" t="str">
        <f>IFERROR(VLOOKUP(E2437,'Inventaire des produits'!$B$4:$K$1000,2,0),"")</f>
        <v/>
      </c>
      <c r="G2437" s="54"/>
      <c r="H2437" s="60"/>
      <c r="I2437" s="275" t="str">
        <f t="shared" si="115"/>
        <v/>
      </c>
      <c r="J2437" s="95" t="str">
        <f t="shared" si="116"/>
        <v/>
      </c>
      <c r="K2437" s="93" t="str">
        <f>IFERROR(VLOOKUP(E2437,'Inventaire des produits'!$B$4:$J$1000,5,FALSE),"")</f>
        <v/>
      </c>
      <c r="L2437" s="301" t="str">
        <f>IFERROR(VLOOKUP(E2437,'Inventaire des produits'!$B$4:$J$1000,6,FALSE),"")</f>
        <v/>
      </c>
      <c r="M2437" s="62"/>
    </row>
    <row r="2438" spans="2:13" x14ac:dyDescent="0.3">
      <c r="B2438" s="54"/>
      <c r="C2438" s="54"/>
      <c r="D2438" s="54"/>
      <c r="E2438" s="234"/>
      <c r="F2438" s="274" t="str">
        <f>IFERROR(VLOOKUP(E2438,'Inventaire des produits'!$B$4:$K$1000,2,0),"")</f>
        <v/>
      </c>
      <c r="G2438" s="54"/>
      <c r="H2438" s="60"/>
      <c r="I2438" s="275" t="str">
        <f t="shared" si="115"/>
        <v/>
      </c>
      <c r="J2438" s="95" t="str">
        <f t="shared" si="116"/>
        <v/>
      </c>
      <c r="K2438" s="93" t="str">
        <f>IFERROR(VLOOKUP(E2438,'Inventaire des produits'!$B$4:$J$1000,5,FALSE),"")</f>
        <v/>
      </c>
      <c r="L2438" s="301" t="str">
        <f>IFERROR(VLOOKUP(E2438,'Inventaire des produits'!$B$4:$J$1000,6,FALSE),"")</f>
        <v/>
      </c>
      <c r="M2438" s="62"/>
    </row>
    <row r="2439" spans="2:13" x14ac:dyDescent="0.3">
      <c r="B2439" s="54"/>
      <c r="C2439" s="54"/>
      <c r="D2439" s="54"/>
      <c r="E2439" s="234"/>
      <c r="F2439" s="274" t="str">
        <f>IFERROR(VLOOKUP(E2439,'Inventaire des produits'!$B$4:$K$1000,2,0),"")</f>
        <v/>
      </c>
      <c r="G2439" s="54"/>
      <c r="H2439" s="60"/>
      <c r="I2439" s="275" t="str">
        <f t="shared" si="115"/>
        <v/>
      </c>
      <c r="J2439" s="95" t="str">
        <f t="shared" si="116"/>
        <v/>
      </c>
      <c r="K2439" s="93" t="str">
        <f>IFERROR(VLOOKUP(E2439,'Inventaire des produits'!$B$4:$J$1000,5,FALSE),"")</f>
        <v/>
      </c>
      <c r="L2439" s="301" t="str">
        <f>IFERROR(VLOOKUP(E2439,'Inventaire des produits'!$B$4:$J$1000,6,FALSE),"")</f>
        <v/>
      </c>
      <c r="M2439" s="62"/>
    </row>
    <row r="2440" spans="2:13" x14ac:dyDescent="0.3">
      <c r="B2440" s="54"/>
      <c r="C2440" s="54"/>
      <c r="D2440" s="54"/>
      <c r="E2440" s="234"/>
      <c r="F2440" s="274" t="str">
        <f>IFERROR(VLOOKUP(E2440,'Inventaire des produits'!$B$4:$K$1000,2,0),"")</f>
        <v/>
      </c>
      <c r="G2440" s="54"/>
      <c r="H2440" s="60"/>
      <c r="I2440" s="275" t="str">
        <f t="shared" si="115"/>
        <v/>
      </c>
      <c r="J2440" s="95" t="str">
        <f t="shared" si="116"/>
        <v/>
      </c>
      <c r="K2440" s="93" t="str">
        <f>IFERROR(VLOOKUP(E2440,'Inventaire des produits'!$B$4:$J$1000,5,FALSE),"")</f>
        <v/>
      </c>
      <c r="L2440" s="301" t="str">
        <f>IFERROR(VLOOKUP(E2440,'Inventaire des produits'!$B$4:$J$1000,6,FALSE),"")</f>
        <v/>
      </c>
      <c r="M2440" s="62"/>
    </row>
    <row r="2441" spans="2:13" x14ac:dyDescent="0.3">
      <c r="B2441" s="54"/>
      <c r="C2441" s="54"/>
      <c r="D2441" s="54"/>
      <c r="E2441" s="234"/>
      <c r="F2441" s="274" t="str">
        <f>IFERROR(VLOOKUP(E2441,'Inventaire des produits'!$B$4:$K$1000,2,0),"")</f>
        <v/>
      </c>
      <c r="G2441" s="54"/>
      <c r="H2441" s="60"/>
      <c r="I2441" s="275" t="str">
        <f t="shared" si="115"/>
        <v/>
      </c>
      <c r="J2441" s="95" t="str">
        <f t="shared" si="116"/>
        <v/>
      </c>
      <c r="K2441" s="93" t="str">
        <f>IFERROR(VLOOKUP(E2441,'Inventaire des produits'!$B$4:$J$1000,5,FALSE),"")</f>
        <v/>
      </c>
      <c r="L2441" s="301" t="str">
        <f>IFERROR(VLOOKUP(E2441,'Inventaire des produits'!$B$4:$J$1000,6,FALSE),"")</f>
        <v/>
      </c>
      <c r="M2441" s="62"/>
    </row>
    <row r="2442" spans="2:13" x14ac:dyDescent="0.3">
      <c r="B2442" s="54"/>
      <c r="C2442" s="54"/>
      <c r="D2442" s="54"/>
      <c r="E2442" s="234"/>
      <c r="F2442" s="274" t="str">
        <f>IFERROR(VLOOKUP(E2442,'Inventaire des produits'!$B$4:$K$1000,2,0),"")</f>
        <v/>
      </c>
      <c r="G2442" s="54"/>
      <c r="H2442" s="60"/>
      <c r="I2442" s="275" t="str">
        <f t="shared" si="115"/>
        <v/>
      </c>
      <c r="J2442" s="95" t="str">
        <f t="shared" si="116"/>
        <v/>
      </c>
      <c r="K2442" s="93" t="str">
        <f>IFERROR(VLOOKUP(E2442,'Inventaire des produits'!$B$4:$J$1000,5,FALSE),"")</f>
        <v/>
      </c>
      <c r="L2442" s="301" t="str">
        <f>IFERROR(VLOOKUP(E2442,'Inventaire des produits'!$B$4:$J$1000,6,FALSE),"")</f>
        <v/>
      </c>
      <c r="M2442" s="62"/>
    </row>
    <row r="2443" spans="2:13" x14ac:dyDescent="0.3">
      <c r="B2443" s="54"/>
      <c r="C2443" s="54"/>
      <c r="D2443" s="54"/>
      <c r="E2443" s="234"/>
      <c r="F2443" s="274" t="str">
        <f>IFERROR(VLOOKUP(E2443,'Inventaire des produits'!$B$4:$K$1000,2,0),"")</f>
        <v/>
      </c>
      <c r="G2443" s="54"/>
      <c r="H2443" s="60"/>
      <c r="I2443" s="275" t="str">
        <f t="shared" si="115"/>
        <v/>
      </c>
      <c r="J2443" s="95" t="str">
        <f t="shared" si="116"/>
        <v/>
      </c>
      <c r="K2443" s="93" t="str">
        <f>IFERROR(VLOOKUP(E2443,'Inventaire des produits'!$B$4:$J$1000,5,FALSE),"")</f>
        <v/>
      </c>
      <c r="L2443" s="301" t="str">
        <f>IFERROR(VLOOKUP(E2443,'Inventaire des produits'!$B$4:$J$1000,6,FALSE),"")</f>
        <v/>
      </c>
      <c r="M2443" s="62"/>
    </row>
    <row r="2444" spans="2:13" x14ac:dyDescent="0.3">
      <c r="B2444" s="54"/>
      <c r="C2444" s="54"/>
      <c r="D2444" s="54"/>
      <c r="E2444" s="234"/>
      <c r="F2444" s="274" t="str">
        <f>IFERROR(VLOOKUP(E2444,'Inventaire des produits'!$B$4:$K$1000,2,0),"")</f>
        <v/>
      </c>
      <c r="G2444" s="54"/>
      <c r="H2444" s="60"/>
      <c r="I2444" s="275" t="str">
        <f t="shared" si="115"/>
        <v/>
      </c>
      <c r="J2444" s="95" t="str">
        <f t="shared" si="116"/>
        <v/>
      </c>
      <c r="K2444" s="93" t="str">
        <f>IFERROR(VLOOKUP(E2444,'Inventaire des produits'!$B$4:$J$1000,5,FALSE),"")</f>
        <v/>
      </c>
      <c r="L2444" s="301" t="str">
        <f>IFERROR(VLOOKUP(E2444,'Inventaire des produits'!$B$4:$J$1000,6,FALSE),"")</f>
        <v/>
      </c>
      <c r="M2444" s="62"/>
    </row>
    <row r="2445" spans="2:13" x14ac:dyDescent="0.3">
      <c r="B2445" s="54"/>
      <c r="C2445" s="54"/>
      <c r="D2445" s="54"/>
      <c r="E2445" s="234"/>
      <c r="F2445" s="274" t="str">
        <f>IFERROR(VLOOKUP(E2445,'Inventaire des produits'!$B$4:$K$1000,2,0),"")</f>
        <v/>
      </c>
      <c r="G2445" s="54"/>
      <c r="H2445" s="60"/>
      <c r="I2445" s="275" t="str">
        <f t="shared" si="115"/>
        <v/>
      </c>
      <c r="J2445" s="95" t="str">
        <f t="shared" si="116"/>
        <v/>
      </c>
      <c r="K2445" s="93" t="str">
        <f>IFERROR(VLOOKUP(E2445,'Inventaire des produits'!$B$4:$J$1000,5,FALSE),"")</f>
        <v/>
      </c>
      <c r="L2445" s="301" t="str">
        <f>IFERROR(VLOOKUP(E2445,'Inventaire des produits'!$B$4:$J$1000,6,FALSE),"")</f>
        <v/>
      </c>
      <c r="M2445" s="62"/>
    </row>
    <row r="2446" spans="2:13" x14ac:dyDescent="0.3">
      <c r="B2446" s="54"/>
      <c r="C2446" s="54"/>
      <c r="D2446" s="54"/>
      <c r="E2446" s="234"/>
      <c r="F2446" s="274" t="str">
        <f>IFERROR(VLOOKUP(E2446,'Inventaire des produits'!$B$4:$K$1000,2,0),"")</f>
        <v/>
      </c>
      <c r="G2446" s="54"/>
      <c r="H2446" s="60"/>
      <c r="I2446" s="275" t="str">
        <f t="shared" si="115"/>
        <v/>
      </c>
      <c r="J2446" s="95" t="str">
        <f t="shared" si="116"/>
        <v/>
      </c>
      <c r="K2446" s="93" t="str">
        <f>IFERROR(VLOOKUP(E2446,'Inventaire des produits'!$B$4:$J$1000,5,FALSE),"")</f>
        <v/>
      </c>
      <c r="L2446" s="301" t="str">
        <f>IFERROR(VLOOKUP(E2446,'Inventaire des produits'!$B$4:$J$1000,6,FALSE),"")</f>
        <v/>
      </c>
      <c r="M2446" s="62"/>
    </row>
    <row r="2447" spans="2:13" x14ac:dyDescent="0.3">
      <c r="B2447" s="54"/>
      <c r="C2447" s="54"/>
      <c r="D2447" s="54"/>
      <c r="E2447" s="234"/>
      <c r="F2447" s="274" t="str">
        <f>IFERROR(VLOOKUP(E2447,'Inventaire des produits'!$B$4:$K$1000,2,0),"")</f>
        <v/>
      </c>
      <c r="G2447" s="54"/>
      <c r="H2447" s="60"/>
      <c r="I2447" s="275" t="str">
        <f t="shared" si="115"/>
        <v/>
      </c>
      <c r="J2447" s="95" t="str">
        <f t="shared" si="116"/>
        <v/>
      </c>
      <c r="K2447" s="93" t="str">
        <f>IFERROR(VLOOKUP(E2447,'Inventaire des produits'!$B$4:$J$1000,5,FALSE),"")</f>
        <v/>
      </c>
      <c r="L2447" s="301" t="str">
        <f>IFERROR(VLOOKUP(E2447,'Inventaire des produits'!$B$4:$J$1000,6,FALSE),"")</f>
        <v/>
      </c>
      <c r="M2447" s="62"/>
    </row>
    <row r="2448" spans="2:13" x14ac:dyDescent="0.3">
      <c r="B2448" s="54"/>
      <c r="C2448" s="54"/>
      <c r="D2448" s="54"/>
      <c r="E2448" s="234"/>
      <c r="F2448" s="274" t="str">
        <f>IFERROR(VLOOKUP(E2448,'Inventaire des produits'!$B$4:$K$1000,2,0),"")</f>
        <v/>
      </c>
      <c r="G2448" s="54"/>
      <c r="H2448" s="60"/>
      <c r="I2448" s="275" t="str">
        <f t="shared" si="115"/>
        <v/>
      </c>
      <c r="J2448" s="95" t="str">
        <f t="shared" si="116"/>
        <v/>
      </c>
      <c r="K2448" s="93" t="str">
        <f>IFERROR(VLOOKUP(E2448,'Inventaire des produits'!$B$4:$J$1000,5,FALSE),"")</f>
        <v/>
      </c>
      <c r="L2448" s="301" t="str">
        <f>IFERROR(VLOOKUP(E2448,'Inventaire des produits'!$B$4:$J$1000,6,FALSE),"")</f>
        <v/>
      </c>
      <c r="M2448" s="62"/>
    </row>
    <row r="2449" spans="2:13" x14ac:dyDescent="0.3">
      <c r="B2449" s="54"/>
      <c r="C2449" s="54"/>
      <c r="D2449" s="54"/>
      <c r="E2449" s="234"/>
      <c r="F2449" s="274" t="str">
        <f>IFERROR(VLOOKUP(E2449,'Inventaire des produits'!$B$4:$K$1000,2,0),"")</f>
        <v/>
      </c>
      <c r="G2449" s="54"/>
      <c r="H2449" s="60"/>
      <c r="I2449" s="275" t="str">
        <f t="shared" si="115"/>
        <v/>
      </c>
      <c r="J2449" s="95" t="str">
        <f t="shared" si="116"/>
        <v/>
      </c>
      <c r="K2449" s="93" t="str">
        <f>IFERROR(VLOOKUP(E2449,'Inventaire des produits'!$B$4:$J$1000,5,FALSE),"")</f>
        <v/>
      </c>
      <c r="L2449" s="301" t="str">
        <f>IFERROR(VLOOKUP(E2449,'Inventaire des produits'!$B$4:$J$1000,6,FALSE),"")</f>
        <v/>
      </c>
      <c r="M2449" s="62"/>
    </row>
    <row r="2450" spans="2:13" x14ac:dyDescent="0.3">
      <c r="B2450" s="54"/>
      <c r="C2450" s="54"/>
      <c r="D2450" s="54"/>
      <c r="E2450" s="234"/>
      <c r="F2450" s="274" t="str">
        <f>IFERROR(VLOOKUP(E2450,'Inventaire des produits'!$B$4:$K$1000,2,0),"")</f>
        <v/>
      </c>
      <c r="G2450" s="54"/>
      <c r="H2450" s="60"/>
      <c r="I2450" s="275" t="str">
        <f t="shared" si="115"/>
        <v/>
      </c>
      <c r="J2450" s="95" t="str">
        <f t="shared" si="116"/>
        <v/>
      </c>
      <c r="K2450" s="93" t="str">
        <f>IFERROR(VLOOKUP(E2450,'Inventaire des produits'!$B$4:$J$1000,5,FALSE),"")</f>
        <v/>
      </c>
      <c r="L2450" s="301" t="str">
        <f>IFERROR(VLOOKUP(E2450,'Inventaire des produits'!$B$4:$J$1000,6,FALSE),"")</f>
        <v/>
      </c>
      <c r="M2450" s="62"/>
    </row>
    <row r="2451" spans="2:13" x14ac:dyDescent="0.3">
      <c r="B2451" s="54"/>
      <c r="C2451" s="54"/>
      <c r="D2451" s="54"/>
      <c r="E2451" s="234"/>
      <c r="F2451" s="274" t="str">
        <f>IFERROR(VLOOKUP(E2451,'Inventaire des produits'!$B$4:$K$1000,2,0),"")</f>
        <v/>
      </c>
      <c r="G2451" s="54"/>
      <c r="H2451" s="60"/>
      <c r="I2451" s="275" t="str">
        <f t="shared" si="115"/>
        <v/>
      </c>
      <c r="J2451" s="95" t="str">
        <f t="shared" si="116"/>
        <v/>
      </c>
      <c r="K2451" s="93" t="str">
        <f>IFERROR(VLOOKUP(E2451,'Inventaire des produits'!$B$4:$J$1000,5,FALSE),"")</f>
        <v/>
      </c>
      <c r="L2451" s="301" t="str">
        <f>IFERROR(VLOOKUP(E2451,'Inventaire des produits'!$B$4:$J$1000,6,FALSE),"")</f>
        <v/>
      </c>
      <c r="M2451" s="62"/>
    </row>
    <row r="2452" spans="2:13" x14ac:dyDescent="0.3">
      <c r="B2452" s="54"/>
      <c r="C2452" s="54"/>
      <c r="D2452" s="54"/>
      <c r="E2452" s="234"/>
      <c r="F2452" s="274" t="str">
        <f>IFERROR(VLOOKUP(E2452,'Inventaire des produits'!$B$4:$K$1000,2,0),"")</f>
        <v/>
      </c>
      <c r="G2452" s="54"/>
      <c r="H2452" s="60"/>
      <c r="I2452" s="275" t="str">
        <f t="shared" si="115"/>
        <v/>
      </c>
      <c r="J2452" s="95" t="str">
        <f t="shared" si="116"/>
        <v/>
      </c>
      <c r="K2452" s="93" t="str">
        <f>IFERROR(VLOOKUP(E2452,'Inventaire des produits'!$B$4:$J$1000,5,FALSE),"")</f>
        <v/>
      </c>
      <c r="L2452" s="301" t="str">
        <f>IFERROR(VLOOKUP(E2452,'Inventaire des produits'!$B$4:$J$1000,6,FALSE),"")</f>
        <v/>
      </c>
      <c r="M2452" s="62"/>
    </row>
    <row r="2453" spans="2:13" x14ac:dyDescent="0.3">
      <c r="B2453" s="54"/>
      <c r="C2453" s="54"/>
      <c r="D2453" s="54"/>
      <c r="E2453" s="234"/>
      <c r="F2453" s="274" t="str">
        <f>IFERROR(VLOOKUP(E2453,'Inventaire des produits'!$B$4:$K$1000,2,0),"")</f>
        <v/>
      </c>
      <c r="G2453" s="54"/>
      <c r="H2453" s="60"/>
      <c r="I2453" s="275" t="str">
        <f t="shared" si="115"/>
        <v/>
      </c>
      <c r="J2453" s="95" t="str">
        <f t="shared" si="116"/>
        <v/>
      </c>
      <c r="K2453" s="93" t="str">
        <f>IFERROR(VLOOKUP(E2453,'Inventaire des produits'!$B$4:$J$1000,5,FALSE),"")</f>
        <v/>
      </c>
      <c r="L2453" s="301" t="str">
        <f>IFERROR(VLOOKUP(E2453,'Inventaire des produits'!$B$4:$J$1000,6,FALSE),"")</f>
        <v/>
      </c>
      <c r="M2453" s="62"/>
    </row>
    <row r="2454" spans="2:13" x14ac:dyDescent="0.3">
      <c r="B2454" s="54"/>
      <c r="C2454" s="54"/>
      <c r="D2454" s="54"/>
      <c r="E2454" s="234"/>
      <c r="F2454" s="274" t="str">
        <f>IFERROR(VLOOKUP(E2454,'Inventaire des produits'!$B$4:$K$1000,2,0),"")</f>
        <v/>
      </c>
      <c r="G2454" s="54"/>
      <c r="H2454" s="60"/>
      <c r="I2454" s="275" t="str">
        <f t="shared" si="115"/>
        <v/>
      </c>
      <c r="J2454" s="95" t="str">
        <f t="shared" si="116"/>
        <v/>
      </c>
      <c r="K2454" s="93" t="str">
        <f>IFERROR(VLOOKUP(E2454,'Inventaire des produits'!$B$4:$J$1000,5,FALSE),"")</f>
        <v/>
      </c>
      <c r="L2454" s="301" t="str">
        <f>IFERROR(VLOOKUP(E2454,'Inventaire des produits'!$B$4:$J$1000,6,FALSE),"")</f>
        <v/>
      </c>
      <c r="M2454" s="62"/>
    </row>
    <row r="2455" spans="2:13" x14ac:dyDescent="0.3">
      <c r="B2455" s="54"/>
      <c r="C2455" s="54"/>
      <c r="D2455" s="54"/>
      <c r="E2455" s="234"/>
      <c r="F2455" s="274" t="str">
        <f>IFERROR(VLOOKUP(E2455,'Inventaire des produits'!$B$4:$K$1000,2,0),"")</f>
        <v/>
      </c>
      <c r="G2455" s="54"/>
      <c r="H2455" s="60"/>
      <c r="I2455" s="275" t="str">
        <f t="shared" si="115"/>
        <v/>
      </c>
      <c r="J2455" s="95" t="str">
        <f t="shared" si="116"/>
        <v/>
      </c>
      <c r="K2455" s="93" t="str">
        <f>IFERROR(VLOOKUP(E2455,'Inventaire des produits'!$B$4:$J$1000,5,FALSE),"")</f>
        <v/>
      </c>
      <c r="L2455" s="301" t="str">
        <f>IFERROR(VLOOKUP(E2455,'Inventaire des produits'!$B$4:$J$1000,6,FALSE),"")</f>
        <v/>
      </c>
      <c r="M2455" s="62"/>
    </row>
    <row r="2456" spans="2:13" x14ac:dyDescent="0.3">
      <c r="B2456" s="54"/>
      <c r="C2456" s="54"/>
      <c r="D2456" s="54"/>
      <c r="E2456" s="234"/>
      <c r="F2456" s="274" t="str">
        <f>IFERROR(VLOOKUP(E2456,'Inventaire des produits'!$B$4:$K$1000,2,0),"")</f>
        <v/>
      </c>
      <c r="G2456" s="54"/>
      <c r="H2456" s="60"/>
      <c r="I2456" s="275" t="str">
        <f t="shared" si="115"/>
        <v/>
      </c>
      <c r="J2456" s="95" t="str">
        <f t="shared" si="116"/>
        <v/>
      </c>
      <c r="K2456" s="93" t="str">
        <f>IFERROR(VLOOKUP(E2456,'Inventaire des produits'!$B$4:$J$1000,5,FALSE),"")</f>
        <v/>
      </c>
      <c r="L2456" s="301" t="str">
        <f>IFERROR(VLOOKUP(E2456,'Inventaire des produits'!$B$4:$J$1000,6,FALSE),"")</f>
        <v/>
      </c>
      <c r="M2456" s="62"/>
    </row>
    <row r="2457" spans="2:13" x14ac:dyDescent="0.3">
      <c r="B2457" s="54"/>
      <c r="C2457" s="54"/>
      <c r="D2457" s="54"/>
      <c r="E2457" s="234"/>
      <c r="F2457" s="274" t="str">
        <f>IFERROR(VLOOKUP(E2457,'Inventaire des produits'!$B$4:$K$1000,2,0),"")</f>
        <v/>
      </c>
      <c r="G2457" s="54"/>
      <c r="H2457" s="60"/>
      <c r="I2457" s="275" t="str">
        <f t="shared" si="115"/>
        <v/>
      </c>
      <c r="J2457" s="95" t="str">
        <f t="shared" si="116"/>
        <v/>
      </c>
      <c r="K2457" s="93" t="str">
        <f>IFERROR(VLOOKUP(E2457,'Inventaire des produits'!$B$4:$J$1000,5,FALSE),"")</f>
        <v/>
      </c>
      <c r="L2457" s="301" t="str">
        <f>IFERROR(VLOOKUP(E2457,'Inventaire des produits'!$B$4:$J$1000,6,FALSE),"")</f>
        <v/>
      </c>
      <c r="M2457" s="62"/>
    </row>
    <row r="2458" spans="2:13" x14ac:dyDescent="0.3">
      <c r="B2458" s="54"/>
      <c r="C2458" s="54"/>
      <c r="D2458" s="54"/>
      <c r="E2458" s="234"/>
      <c r="F2458" s="274" t="str">
        <f>IFERROR(VLOOKUP(E2458,'Inventaire des produits'!$B$4:$K$1000,2,0),"")</f>
        <v/>
      </c>
      <c r="G2458" s="54"/>
      <c r="H2458" s="60"/>
      <c r="I2458" s="275" t="str">
        <f t="shared" si="115"/>
        <v/>
      </c>
      <c r="J2458" s="95" t="str">
        <f t="shared" si="116"/>
        <v/>
      </c>
      <c r="K2458" s="93" t="str">
        <f>IFERROR(VLOOKUP(E2458,'Inventaire des produits'!$B$4:$J$1000,5,FALSE),"")</f>
        <v/>
      </c>
      <c r="L2458" s="301" t="str">
        <f>IFERROR(VLOOKUP(E2458,'Inventaire des produits'!$B$4:$J$1000,6,FALSE),"")</f>
        <v/>
      </c>
      <c r="M2458" s="62"/>
    </row>
    <row r="2459" spans="2:13" x14ac:dyDescent="0.3">
      <c r="B2459" s="54"/>
      <c r="C2459" s="54"/>
      <c r="D2459" s="54"/>
      <c r="E2459" s="234"/>
      <c r="F2459" s="274" t="str">
        <f>IFERROR(VLOOKUP(E2459,'Inventaire des produits'!$B$4:$K$1000,2,0),"")</f>
        <v/>
      </c>
      <c r="G2459" s="54"/>
      <c r="H2459" s="60"/>
      <c r="I2459" s="275" t="str">
        <f t="shared" si="115"/>
        <v/>
      </c>
      <c r="J2459" s="95" t="str">
        <f t="shared" si="116"/>
        <v/>
      </c>
      <c r="K2459" s="93" t="str">
        <f>IFERROR(VLOOKUP(E2459,'Inventaire des produits'!$B$4:$J$1000,5,FALSE),"")</f>
        <v/>
      </c>
      <c r="L2459" s="301" t="str">
        <f>IFERROR(VLOOKUP(E2459,'Inventaire des produits'!$B$4:$J$1000,6,FALSE),"")</f>
        <v/>
      </c>
      <c r="M2459" s="62"/>
    </row>
    <row r="2460" spans="2:13" x14ac:dyDescent="0.3">
      <c r="B2460" s="54"/>
      <c r="C2460" s="54"/>
      <c r="D2460" s="54"/>
      <c r="E2460" s="234"/>
      <c r="F2460" s="274" t="str">
        <f>IFERROR(VLOOKUP(E2460,'Inventaire des produits'!$B$4:$K$1000,2,0),"")</f>
        <v/>
      </c>
      <c r="G2460" s="54"/>
      <c r="H2460" s="60"/>
      <c r="I2460" s="275" t="str">
        <f t="shared" si="115"/>
        <v/>
      </c>
      <c r="J2460" s="95" t="str">
        <f t="shared" si="116"/>
        <v/>
      </c>
      <c r="K2460" s="93" t="str">
        <f>IFERROR(VLOOKUP(E2460,'Inventaire des produits'!$B$4:$J$1000,5,FALSE),"")</f>
        <v/>
      </c>
      <c r="L2460" s="301" t="str">
        <f>IFERROR(VLOOKUP(E2460,'Inventaire des produits'!$B$4:$J$1000,6,FALSE),"")</f>
        <v/>
      </c>
      <c r="M2460" s="62"/>
    </row>
    <row r="2461" spans="2:13" x14ac:dyDescent="0.3">
      <c r="B2461" s="54"/>
      <c r="C2461" s="54"/>
      <c r="D2461" s="54"/>
      <c r="E2461" s="234"/>
      <c r="F2461" s="274" t="str">
        <f>IFERROR(VLOOKUP(E2461,'Inventaire des produits'!$B$4:$K$1000,2,0),"")</f>
        <v/>
      </c>
      <c r="G2461" s="54"/>
      <c r="H2461" s="60"/>
      <c r="I2461" s="275" t="str">
        <f t="shared" si="115"/>
        <v/>
      </c>
      <c r="J2461" s="95" t="str">
        <f t="shared" si="116"/>
        <v/>
      </c>
      <c r="K2461" s="93" t="str">
        <f>IFERROR(VLOOKUP(E2461,'Inventaire des produits'!$B$4:$J$1000,5,FALSE),"")</f>
        <v/>
      </c>
      <c r="L2461" s="301" t="str">
        <f>IFERROR(VLOOKUP(E2461,'Inventaire des produits'!$B$4:$J$1000,6,FALSE),"")</f>
        <v/>
      </c>
      <c r="M2461" s="62"/>
    </row>
    <row r="2462" spans="2:13" x14ac:dyDescent="0.3">
      <c r="B2462" s="54"/>
      <c r="C2462" s="54"/>
      <c r="D2462" s="54"/>
      <c r="E2462" s="234"/>
      <c r="F2462" s="274" t="str">
        <f>IFERROR(VLOOKUP(E2462,'Inventaire des produits'!$B$4:$K$1000,2,0),"")</f>
        <v/>
      </c>
      <c r="G2462" s="54"/>
      <c r="H2462" s="60"/>
      <c r="I2462" s="275" t="str">
        <f t="shared" si="115"/>
        <v/>
      </c>
      <c r="J2462" s="95" t="str">
        <f t="shared" si="116"/>
        <v/>
      </c>
      <c r="K2462" s="93" t="str">
        <f>IFERROR(VLOOKUP(E2462,'Inventaire des produits'!$B$4:$J$1000,5,FALSE),"")</f>
        <v/>
      </c>
      <c r="L2462" s="301" t="str">
        <f>IFERROR(VLOOKUP(E2462,'Inventaire des produits'!$B$4:$J$1000,6,FALSE),"")</f>
        <v/>
      </c>
      <c r="M2462" s="62"/>
    </row>
    <row r="2463" spans="2:13" x14ac:dyDescent="0.3">
      <c r="B2463" s="54"/>
      <c r="C2463" s="54"/>
      <c r="D2463" s="54"/>
      <c r="E2463" s="234"/>
      <c r="F2463" s="274" t="str">
        <f>IFERROR(VLOOKUP(E2463,'Inventaire des produits'!$B$4:$K$1000,2,0),"")</f>
        <v/>
      </c>
      <c r="G2463" s="54"/>
      <c r="H2463" s="60"/>
      <c r="I2463" s="275" t="str">
        <f t="shared" si="115"/>
        <v/>
      </c>
      <c r="J2463" s="95" t="str">
        <f t="shared" si="116"/>
        <v/>
      </c>
      <c r="K2463" s="93" t="str">
        <f>IFERROR(VLOOKUP(E2463,'Inventaire des produits'!$B$4:$J$1000,5,FALSE),"")</f>
        <v/>
      </c>
      <c r="L2463" s="301" t="str">
        <f>IFERROR(VLOOKUP(E2463,'Inventaire des produits'!$B$4:$J$1000,6,FALSE),"")</f>
        <v/>
      </c>
      <c r="M2463" s="62"/>
    </row>
    <row r="2464" spans="2:13" x14ac:dyDescent="0.3">
      <c r="B2464" s="54"/>
      <c r="C2464" s="54"/>
      <c r="D2464" s="54"/>
      <c r="E2464" s="234"/>
      <c r="F2464" s="274" t="str">
        <f>IFERROR(VLOOKUP(E2464,'Inventaire des produits'!$B$4:$K$1000,2,0),"")</f>
        <v/>
      </c>
      <c r="G2464" s="54"/>
      <c r="H2464" s="60"/>
      <c r="I2464" s="275" t="str">
        <f t="shared" si="115"/>
        <v/>
      </c>
      <c r="J2464" s="95" t="str">
        <f t="shared" si="116"/>
        <v/>
      </c>
      <c r="K2464" s="93" t="str">
        <f>IFERROR(VLOOKUP(E2464,'Inventaire des produits'!$B$4:$J$1000,5,FALSE),"")</f>
        <v/>
      </c>
      <c r="L2464" s="301" t="str">
        <f>IFERROR(VLOOKUP(E2464,'Inventaire des produits'!$B$4:$J$1000,6,FALSE),"")</f>
        <v/>
      </c>
      <c r="M2464" s="62"/>
    </row>
    <row r="2465" spans="2:13" x14ac:dyDescent="0.3">
      <c r="B2465" s="54"/>
      <c r="C2465" s="54"/>
      <c r="D2465" s="54"/>
      <c r="E2465" s="234"/>
      <c r="F2465" s="274" t="str">
        <f>IFERROR(VLOOKUP(E2465,'Inventaire des produits'!$B$4:$K$1000,2,0),"")</f>
        <v/>
      </c>
      <c r="G2465" s="54"/>
      <c r="H2465" s="60"/>
      <c r="I2465" s="275" t="str">
        <f t="shared" si="115"/>
        <v/>
      </c>
      <c r="J2465" s="95" t="str">
        <f t="shared" si="116"/>
        <v/>
      </c>
      <c r="K2465" s="93" t="str">
        <f>IFERROR(VLOOKUP(E2465,'Inventaire des produits'!$B$4:$J$1000,5,FALSE),"")</f>
        <v/>
      </c>
      <c r="L2465" s="301" t="str">
        <f>IFERROR(VLOOKUP(E2465,'Inventaire des produits'!$B$4:$J$1000,6,FALSE),"")</f>
        <v/>
      </c>
      <c r="M2465" s="62"/>
    </row>
    <row r="2466" spans="2:13" x14ac:dyDescent="0.3">
      <c r="B2466" s="54"/>
      <c r="C2466" s="54"/>
      <c r="D2466" s="54"/>
      <c r="E2466" s="234"/>
      <c r="F2466" s="274" t="str">
        <f>IFERROR(VLOOKUP(E2466,'Inventaire des produits'!$B$4:$K$1000,2,0),"")</f>
        <v/>
      </c>
      <c r="G2466" s="54"/>
      <c r="H2466" s="60"/>
      <c r="I2466" s="275" t="str">
        <f t="shared" si="115"/>
        <v/>
      </c>
      <c r="J2466" s="95" t="str">
        <f t="shared" si="116"/>
        <v/>
      </c>
      <c r="K2466" s="93" t="str">
        <f>IFERROR(VLOOKUP(E2466,'Inventaire des produits'!$B$4:$J$1000,5,FALSE),"")</f>
        <v/>
      </c>
      <c r="L2466" s="301" t="str">
        <f>IFERROR(VLOOKUP(E2466,'Inventaire des produits'!$B$4:$J$1000,6,FALSE),"")</f>
        <v/>
      </c>
      <c r="M2466" s="62"/>
    </row>
    <row r="2467" spans="2:13" x14ac:dyDescent="0.3">
      <c r="B2467" s="54"/>
      <c r="C2467" s="54"/>
      <c r="D2467" s="54"/>
      <c r="E2467" s="234"/>
      <c r="F2467" s="274" t="str">
        <f>IFERROR(VLOOKUP(E2467,'Inventaire des produits'!$B$4:$K$1000,2,0),"")</f>
        <v/>
      </c>
      <c r="G2467" s="54"/>
      <c r="H2467" s="60"/>
      <c r="I2467" s="275" t="str">
        <f t="shared" si="115"/>
        <v/>
      </c>
      <c r="J2467" s="95" t="str">
        <f t="shared" si="116"/>
        <v/>
      </c>
      <c r="K2467" s="93" t="str">
        <f>IFERROR(VLOOKUP(E2467,'Inventaire des produits'!$B$4:$J$1000,5,FALSE),"")</f>
        <v/>
      </c>
      <c r="L2467" s="301" t="str">
        <f>IFERROR(VLOOKUP(E2467,'Inventaire des produits'!$B$4:$J$1000,6,FALSE),"")</f>
        <v/>
      </c>
      <c r="M2467" s="62"/>
    </row>
    <row r="2468" spans="2:13" x14ac:dyDescent="0.3">
      <c r="B2468" s="54"/>
      <c r="C2468" s="54"/>
      <c r="D2468" s="54"/>
      <c r="E2468" s="234"/>
      <c r="F2468" s="274" t="str">
        <f>IFERROR(VLOOKUP(E2468,'Inventaire des produits'!$B$4:$K$1000,2,0),"")</f>
        <v/>
      </c>
      <c r="G2468" s="54"/>
      <c r="H2468" s="60"/>
      <c r="I2468" s="275" t="str">
        <f t="shared" si="115"/>
        <v/>
      </c>
      <c r="J2468" s="95" t="str">
        <f t="shared" si="116"/>
        <v/>
      </c>
      <c r="K2468" s="93" t="str">
        <f>IFERROR(VLOOKUP(E2468,'Inventaire des produits'!$B$4:$J$1000,5,FALSE),"")</f>
        <v/>
      </c>
      <c r="L2468" s="301" t="str">
        <f>IFERROR(VLOOKUP(E2468,'Inventaire des produits'!$B$4:$J$1000,6,FALSE),"")</f>
        <v/>
      </c>
      <c r="M2468" s="62"/>
    </row>
    <row r="2469" spans="2:13" x14ac:dyDescent="0.3">
      <c r="B2469" s="54"/>
      <c r="C2469" s="54"/>
      <c r="D2469" s="54"/>
      <c r="E2469" s="234"/>
      <c r="F2469" s="274" t="str">
        <f>IFERROR(VLOOKUP(E2469,'Inventaire des produits'!$B$4:$K$1000,2,0),"")</f>
        <v/>
      </c>
      <c r="G2469" s="54"/>
      <c r="H2469" s="60"/>
      <c r="I2469" s="275" t="str">
        <f t="shared" si="115"/>
        <v/>
      </c>
      <c r="J2469" s="95" t="str">
        <f t="shared" si="116"/>
        <v/>
      </c>
      <c r="K2469" s="93" t="str">
        <f>IFERROR(VLOOKUP(E2469,'Inventaire des produits'!$B$4:$J$1000,5,FALSE),"")</f>
        <v/>
      </c>
      <c r="L2469" s="301" t="str">
        <f>IFERROR(VLOOKUP(E2469,'Inventaire des produits'!$B$4:$J$1000,6,FALSE),"")</f>
        <v/>
      </c>
      <c r="M2469" s="62"/>
    </row>
    <row r="2470" spans="2:13" x14ac:dyDescent="0.3">
      <c r="B2470" s="54"/>
      <c r="C2470" s="54"/>
      <c r="D2470" s="54"/>
      <c r="E2470" s="234"/>
      <c r="F2470" s="274" t="str">
        <f>IFERROR(VLOOKUP(E2470,'Inventaire des produits'!$B$4:$K$1000,2,0),"")</f>
        <v/>
      </c>
      <c r="G2470" s="54"/>
      <c r="H2470" s="60"/>
      <c r="I2470" s="275" t="str">
        <f t="shared" si="115"/>
        <v/>
      </c>
      <c r="J2470" s="95" t="str">
        <f t="shared" si="116"/>
        <v/>
      </c>
      <c r="K2470" s="93" t="str">
        <f>IFERROR(VLOOKUP(E2470,'Inventaire des produits'!$B$4:$J$1000,5,FALSE),"")</f>
        <v/>
      </c>
      <c r="L2470" s="301" t="str">
        <f>IFERROR(VLOOKUP(E2470,'Inventaire des produits'!$B$4:$J$1000,6,FALSE),"")</f>
        <v/>
      </c>
      <c r="M2470" s="62"/>
    </row>
    <row r="2471" spans="2:13" x14ac:dyDescent="0.3">
      <c r="B2471" s="54"/>
      <c r="C2471" s="54"/>
      <c r="D2471" s="54"/>
      <c r="E2471" s="234"/>
      <c r="F2471" s="274" t="str">
        <f>IFERROR(VLOOKUP(E2471,'Inventaire des produits'!$B$4:$K$1000,2,0),"")</f>
        <v/>
      </c>
      <c r="G2471" s="54"/>
      <c r="H2471" s="60"/>
      <c r="I2471" s="275" t="str">
        <f t="shared" si="115"/>
        <v/>
      </c>
      <c r="J2471" s="95" t="str">
        <f t="shared" si="116"/>
        <v/>
      </c>
      <c r="K2471" s="93" t="str">
        <f>IFERROR(VLOOKUP(E2471,'Inventaire des produits'!$B$4:$J$1000,5,FALSE),"")</f>
        <v/>
      </c>
      <c r="L2471" s="301" t="str">
        <f>IFERROR(VLOOKUP(E2471,'Inventaire des produits'!$B$4:$J$1000,6,FALSE),"")</f>
        <v/>
      </c>
      <c r="M2471" s="62"/>
    </row>
    <row r="2472" spans="2:13" x14ac:dyDescent="0.3">
      <c r="B2472" s="54"/>
      <c r="C2472" s="54"/>
      <c r="D2472" s="54"/>
      <c r="E2472" s="234"/>
      <c r="F2472" s="274" t="str">
        <f>IFERROR(VLOOKUP(E2472,'Inventaire des produits'!$B$4:$K$1000,2,0),"")</f>
        <v/>
      </c>
      <c r="G2472" s="54"/>
      <c r="H2472" s="60"/>
      <c r="I2472" s="275" t="str">
        <f t="shared" si="115"/>
        <v/>
      </c>
      <c r="J2472" s="95" t="str">
        <f t="shared" si="116"/>
        <v/>
      </c>
      <c r="K2472" s="93" t="str">
        <f>IFERROR(VLOOKUP(E2472,'Inventaire des produits'!$B$4:$J$1000,5,FALSE),"")</f>
        <v/>
      </c>
      <c r="L2472" s="301" t="str">
        <f>IFERROR(VLOOKUP(E2472,'Inventaire des produits'!$B$4:$J$1000,6,FALSE),"")</f>
        <v/>
      </c>
      <c r="M2472" s="62"/>
    </row>
    <row r="2473" spans="2:13" x14ac:dyDescent="0.3">
      <c r="B2473" s="54"/>
      <c r="C2473" s="54"/>
      <c r="D2473" s="54"/>
      <c r="E2473" s="234"/>
      <c r="F2473" s="274" t="str">
        <f>IFERROR(VLOOKUP(E2473,'Inventaire des produits'!$B$4:$K$1000,2,0),"")</f>
        <v/>
      </c>
      <c r="G2473" s="54"/>
      <c r="H2473" s="60"/>
      <c r="I2473" s="275" t="str">
        <f t="shared" si="115"/>
        <v/>
      </c>
      <c r="J2473" s="95" t="str">
        <f t="shared" si="116"/>
        <v/>
      </c>
      <c r="K2473" s="93" t="str">
        <f>IFERROR(VLOOKUP(E2473,'Inventaire des produits'!$B$4:$J$1000,5,FALSE),"")</f>
        <v/>
      </c>
      <c r="L2473" s="301" t="str">
        <f>IFERROR(VLOOKUP(E2473,'Inventaire des produits'!$B$4:$J$1000,6,FALSE),"")</f>
        <v/>
      </c>
      <c r="M2473" s="62"/>
    </row>
    <row r="2474" spans="2:13" x14ac:dyDescent="0.3">
      <c r="B2474" s="54"/>
      <c r="C2474" s="54"/>
      <c r="D2474" s="54"/>
      <c r="E2474" s="234"/>
      <c r="F2474" s="274" t="str">
        <f>IFERROR(VLOOKUP(E2474,'Inventaire des produits'!$B$4:$K$1000,2,0),"")</f>
        <v/>
      </c>
      <c r="G2474" s="54"/>
      <c r="H2474" s="60"/>
      <c r="I2474" s="275" t="str">
        <f t="shared" si="115"/>
        <v/>
      </c>
      <c r="J2474" s="95" t="str">
        <f t="shared" si="116"/>
        <v/>
      </c>
      <c r="K2474" s="93" t="str">
        <f>IFERROR(VLOOKUP(E2474,'Inventaire des produits'!$B$4:$J$1000,5,FALSE),"")</f>
        <v/>
      </c>
      <c r="L2474" s="301" t="str">
        <f>IFERROR(VLOOKUP(E2474,'Inventaire des produits'!$B$4:$J$1000,6,FALSE),"")</f>
        <v/>
      </c>
      <c r="M2474" s="62"/>
    </row>
    <row r="2475" spans="2:13" x14ac:dyDescent="0.3">
      <c r="B2475" s="54"/>
      <c r="C2475" s="54"/>
      <c r="D2475" s="54"/>
      <c r="E2475" s="234"/>
      <c r="F2475" s="274" t="str">
        <f>IFERROR(VLOOKUP(E2475,'Inventaire des produits'!$B$4:$K$1000,2,0),"")</f>
        <v/>
      </c>
      <c r="G2475" s="54"/>
      <c r="H2475" s="60"/>
      <c r="I2475" s="275" t="str">
        <f t="shared" si="115"/>
        <v/>
      </c>
      <c r="J2475" s="95" t="str">
        <f t="shared" si="116"/>
        <v/>
      </c>
      <c r="K2475" s="93" t="str">
        <f>IFERROR(VLOOKUP(E2475,'Inventaire des produits'!$B$4:$J$1000,5,FALSE),"")</f>
        <v/>
      </c>
      <c r="L2475" s="301" t="str">
        <f>IFERROR(VLOOKUP(E2475,'Inventaire des produits'!$B$4:$J$1000,6,FALSE),"")</f>
        <v/>
      </c>
      <c r="M2475" s="62"/>
    </row>
    <row r="2476" spans="2:13" x14ac:dyDescent="0.3">
      <c r="B2476" s="54"/>
      <c r="C2476" s="54"/>
      <c r="D2476" s="54"/>
      <c r="E2476" s="234"/>
      <c r="F2476" s="274" t="str">
        <f>IFERROR(VLOOKUP(E2476,'Inventaire des produits'!$B$4:$K$1000,2,0),"")</f>
        <v/>
      </c>
      <c r="G2476" s="54"/>
      <c r="H2476" s="60"/>
      <c r="I2476" s="275" t="str">
        <f t="shared" si="115"/>
        <v/>
      </c>
      <c r="J2476" s="95" t="str">
        <f t="shared" si="116"/>
        <v/>
      </c>
      <c r="K2476" s="93" t="str">
        <f>IFERROR(VLOOKUP(E2476,'Inventaire des produits'!$B$4:$J$1000,5,FALSE),"")</f>
        <v/>
      </c>
      <c r="L2476" s="301" t="str">
        <f>IFERROR(VLOOKUP(E2476,'Inventaire des produits'!$B$4:$J$1000,6,FALSE),"")</f>
        <v/>
      </c>
      <c r="M2476" s="62"/>
    </row>
    <row r="2477" spans="2:13" x14ac:dyDescent="0.3">
      <c r="B2477" s="54"/>
      <c r="C2477" s="54"/>
      <c r="D2477" s="54"/>
      <c r="E2477" s="234"/>
      <c r="F2477" s="274" t="str">
        <f>IFERROR(VLOOKUP(E2477,'Inventaire des produits'!$B$4:$K$1000,2,0),"")</f>
        <v/>
      </c>
      <c r="G2477" s="54"/>
      <c r="H2477" s="60"/>
      <c r="I2477" s="275" t="str">
        <f t="shared" si="115"/>
        <v/>
      </c>
      <c r="J2477" s="95" t="str">
        <f t="shared" si="116"/>
        <v/>
      </c>
      <c r="K2477" s="93" t="str">
        <f>IFERROR(VLOOKUP(E2477,'Inventaire des produits'!$B$4:$J$1000,5,FALSE),"")</f>
        <v/>
      </c>
      <c r="L2477" s="301" t="str">
        <f>IFERROR(VLOOKUP(E2477,'Inventaire des produits'!$B$4:$J$1000,6,FALSE),"")</f>
        <v/>
      </c>
      <c r="M2477" s="62"/>
    </row>
    <row r="2478" spans="2:13" x14ac:dyDescent="0.3">
      <c r="B2478" s="54"/>
      <c r="C2478" s="54"/>
      <c r="D2478" s="54"/>
      <c r="E2478" s="234"/>
      <c r="F2478" s="274" t="str">
        <f>IFERROR(VLOOKUP(E2478,'Inventaire des produits'!$B$4:$K$1000,2,0),"")</f>
        <v/>
      </c>
      <c r="G2478" s="54"/>
      <c r="H2478" s="60"/>
      <c r="I2478" s="275" t="str">
        <f t="shared" si="115"/>
        <v/>
      </c>
      <c r="J2478" s="95" t="str">
        <f t="shared" si="116"/>
        <v/>
      </c>
      <c r="K2478" s="93" t="str">
        <f>IFERROR(VLOOKUP(E2478,'Inventaire des produits'!$B$4:$J$1000,5,FALSE),"")</f>
        <v/>
      </c>
      <c r="L2478" s="301" t="str">
        <f>IFERROR(VLOOKUP(E2478,'Inventaire des produits'!$B$4:$J$1000,6,FALSE),"")</f>
        <v/>
      </c>
      <c r="M2478" s="62"/>
    </row>
    <row r="2479" spans="2:13" x14ac:dyDescent="0.3">
      <c r="B2479" s="54"/>
      <c r="C2479" s="54"/>
      <c r="D2479" s="54"/>
      <c r="E2479" s="234"/>
      <c r="F2479" s="274" t="str">
        <f>IFERROR(VLOOKUP(E2479,'Inventaire des produits'!$B$4:$K$1000,2,0),"")</f>
        <v/>
      </c>
      <c r="G2479" s="54"/>
      <c r="H2479" s="60"/>
      <c r="I2479" s="275" t="str">
        <f t="shared" si="115"/>
        <v/>
      </c>
      <c r="J2479" s="95" t="str">
        <f t="shared" si="116"/>
        <v/>
      </c>
      <c r="K2479" s="93" t="str">
        <f>IFERROR(VLOOKUP(E2479,'Inventaire des produits'!$B$4:$J$1000,5,FALSE),"")</f>
        <v/>
      </c>
      <c r="L2479" s="301" t="str">
        <f>IFERROR(VLOOKUP(E2479,'Inventaire des produits'!$B$4:$J$1000,6,FALSE),"")</f>
        <v/>
      </c>
      <c r="M2479" s="62"/>
    </row>
    <row r="2480" spans="2:13" x14ac:dyDescent="0.3">
      <c r="B2480" s="54"/>
      <c r="C2480" s="54"/>
      <c r="D2480" s="54"/>
      <c r="E2480" s="234"/>
      <c r="F2480" s="274" t="str">
        <f>IFERROR(VLOOKUP(E2480,'Inventaire des produits'!$B$4:$K$1000,2,0),"")</f>
        <v/>
      </c>
      <c r="G2480" s="54"/>
      <c r="H2480" s="60"/>
      <c r="I2480" s="275" t="str">
        <f t="shared" si="115"/>
        <v/>
      </c>
      <c r="J2480" s="95" t="str">
        <f t="shared" si="116"/>
        <v/>
      </c>
      <c r="K2480" s="93" t="str">
        <f>IFERROR(VLOOKUP(E2480,'Inventaire des produits'!$B$4:$J$1000,5,FALSE),"")</f>
        <v/>
      </c>
      <c r="L2480" s="301" t="str">
        <f>IFERROR(VLOOKUP(E2480,'Inventaire des produits'!$B$4:$J$1000,6,FALSE),"")</f>
        <v/>
      </c>
      <c r="M2480" s="62"/>
    </row>
    <row r="2481" spans="2:13" x14ac:dyDescent="0.3">
      <c r="B2481" s="54"/>
      <c r="C2481" s="54"/>
      <c r="D2481" s="54"/>
      <c r="E2481" s="234"/>
      <c r="F2481" s="274" t="str">
        <f>IFERROR(VLOOKUP(E2481,'Inventaire des produits'!$B$4:$K$1000,2,0),"")</f>
        <v/>
      </c>
      <c r="G2481" s="54"/>
      <c r="H2481" s="60"/>
      <c r="I2481" s="275" t="str">
        <f t="shared" si="115"/>
        <v/>
      </c>
      <c r="J2481" s="95" t="str">
        <f t="shared" si="116"/>
        <v/>
      </c>
      <c r="K2481" s="93" t="str">
        <f>IFERROR(VLOOKUP(E2481,'Inventaire des produits'!$B$4:$J$1000,5,FALSE),"")</f>
        <v/>
      </c>
      <c r="L2481" s="301" t="str">
        <f>IFERROR(VLOOKUP(E2481,'Inventaire des produits'!$B$4:$J$1000,6,FALSE),"")</f>
        <v/>
      </c>
      <c r="M2481" s="62"/>
    </row>
    <row r="2482" spans="2:13" x14ac:dyDescent="0.3">
      <c r="B2482" s="54"/>
      <c r="C2482" s="54"/>
      <c r="D2482" s="54"/>
      <c r="E2482" s="234"/>
      <c r="F2482" s="274" t="str">
        <f>IFERROR(VLOOKUP(E2482,'Inventaire des produits'!$B$4:$K$1000,2,0),"")</f>
        <v/>
      </c>
      <c r="G2482" s="54"/>
      <c r="H2482" s="60"/>
      <c r="I2482" s="275" t="str">
        <f t="shared" ref="I2482:I2545" si="117">IF(OR(G2482="",H2482=""),"",G2482*H2482)</f>
        <v/>
      </c>
      <c r="J2482" s="95" t="str">
        <f t="shared" ref="J2482:J2545" si="118">IF(OR(I2482=""),"",I2482*1.2)</f>
        <v/>
      </c>
      <c r="K2482" s="93" t="str">
        <f>IFERROR(VLOOKUP(E2482,'Inventaire des produits'!$B$4:$J$1000,5,FALSE),"")</f>
        <v/>
      </c>
      <c r="L2482" s="301" t="str">
        <f>IFERROR(VLOOKUP(E2482,'Inventaire des produits'!$B$4:$J$1000,6,FALSE),"")</f>
        <v/>
      </c>
      <c r="M2482" s="62"/>
    </row>
    <row r="2483" spans="2:13" x14ac:dyDescent="0.3">
      <c r="B2483" s="54"/>
      <c r="C2483" s="54"/>
      <c r="D2483" s="54"/>
      <c r="E2483" s="234"/>
      <c r="F2483" s="274" t="str">
        <f>IFERROR(VLOOKUP(E2483,'Inventaire des produits'!$B$4:$K$1000,2,0),"")</f>
        <v/>
      </c>
      <c r="G2483" s="54"/>
      <c r="H2483" s="60"/>
      <c r="I2483" s="275" t="str">
        <f t="shared" si="117"/>
        <v/>
      </c>
      <c r="J2483" s="95" t="str">
        <f t="shared" si="118"/>
        <v/>
      </c>
      <c r="K2483" s="93" t="str">
        <f>IFERROR(VLOOKUP(E2483,'Inventaire des produits'!$B$4:$J$1000,5,FALSE),"")</f>
        <v/>
      </c>
      <c r="L2483" s="301" t="str">
        <f>IFERROR(VLOOKUP(E2483,'Inventaire des produits'!$B$4:$J$1000,6,FALSE),"")</f>
        <v/>
      </c>
      <c r="M2483" s="62"/>
    </row>
    <row r="2484" spans="2:13" x14ac:dyDescent="0.3">
      <c r="B2484" s="54"/>
      <c r="C2484" s="54"/>
      <c r="D2484" s="54"/>
      <c r="E2484" s="234"/>
      <c r="F2484" s="274" t="str">
        <f>IFERROR(VLOOKUP(E2484,'Inventaire des produits'!$B$4:$K$1000,2,0),"")</f>
        <v/>
      </c>
      <c r="G2484" s="54"/>
      <c r="H2484" s="60"/>
      <c r="I2484" s="275" t="str">
        <f t="shared" si="117"/>
        <v/>
      </c>
      <c r="J2484" s="95" t="str">
        <f t="shared" si="118"/>
        <v/>
      </c>
      <c r="K2484" s="93" t="str">
        <f>IFERROR(VLOOKUP(E2484,'Inventaire des produits'!$B$4:$J$1000,5,FALSE),"")</f>
        <v/>
      </c>
      <c r="L2484" s="301" t="str">
        <f>IFERROR(VLOOKUP(E2484,'Inventaire des produits'!$B$4:$J$1000,6,FALSE),"")</f>
        <v/>
      </c>
      <c r="M2484" s="62"/>
    </row>
    <row r="2485" spans="2:13" x14ac:dyDescent="0.3">
      <c r="B2485" s="54"/>
      <c r="C2485" s="54"/>
      <c r="D2485" s="54"/>
      <c r="E2485" s="234"/>
      <c r="F2485" s="274" t="str">
        <f>IFERROR(VLOOKUP(E2485,'Inventaire des produits'!$B$4:$K$1000,2,0),"")</f>
        <v/>
      </c>
      <c r="G2485" s="54"/>
      <c r="H2485" s="60"/>
      <c r="I2485" s="275" t="str">
        <f t="shared" si="117"/>
        <v/>
      </c>
      <c r="J2485" s="95" t="str">
        <f t="shared" si="118"/>
        <v/>
      </c>
      <c r="K2485" s="93" t="str">
        <f>IFERROR(VLOOKUP(E2485,'Inventaire des produits'!$B$4:$J$1000,5,FALSE),"")</f>
        <v/>
      </c>
      <c r="L2485" s="301" t="str">
        <f>IFERROR(VLOOKUP(E2485,'Inventaire des produits'!$B$4:$J$1000,6,FALSE),"")</f>
        <v/>
      </c>
      <c r="M2485" s="62"/>
    </row>
    <row r="2486" spans="2:13" x14ac:dyDescent="0.3">
      <c r="B2486" s="54"/>
      <c r="C2486" s="54"/>
      <c r="D2486" s="54"/>
      <c r="E2486" s="234"/>
      <c r="F2486" s="274" t="str">
        <f>IFERROR(VLOOKUP(E2486,'Inventaire des produits'!$B$4:$K$1000,2,0),"")</f>
        <v/>
      </c>
      <c r="G2486" s="54"/>
      <c r="H2486" s="60"/>
      <c r="I2486" s="275" t="str">
        <f t="shared" si="117"/>
        <v/>
      </c>
      <c r="J2486" s="95" t="str">
        <f t="shared" si="118"/>
        <v/>
      </c>
      <c r="K2486" s="93" t="str">
        <f>IFERROR(VLOOKUP(E2486,'Inventaire des produits'!$B$4:$J$1000,5,FALSE),"")</f>
        <v/>
      </c>
      <c r="L2486" s="301" t="str">
        <f>IFERROR(VLOOKUP(E2486,'Inventaire des produits'!$B$4:$J$1000,6,FALSE),"")</f>
        <v/>
      </c>
      <c r="M2486" s="62"/>
    </row>
    <row r="2487" spans="2:13" x14ac:dyDescent="0.3">
      <c r="B2487" s="54"/>
      <c r="C2487" s="54"/>
      <c r="D2487" s="54"/>
      <c r="E2487" s="234"/>
      <c r="F2487" s="274" t="str">
        <f>IFERROR(VLOOKUP(E2487,'Inventaire des produits'!$B$4:$K$1000,2,0),"")</f>
        <v/>
      </c>
      <c r="G2487" s="54"/>
      <c r="H2487" s="60"/>
      <c r="I2487" s="275" t="str">
        <f t="shared" si="117"/>
        <v/>
      </c>
      <c r="J2487" s="95" t="str">
        <f t="shared" si="118"/>
        <v/>
      </c>
      <c r="K2487" s="93" t="str">
        <f>IFERROR(VLOOKUP(E2487,'Inventaire des produits'!$B$4:$J$1000,5,FALSE),"")</f>
        <v/>
      </c>
      <c r="L2487" s="301" t="str">
        <f>IFERROR(VLOOKUP(E2487,'Inventaire des produits'!$B$4:$J$1000,6,FALSE),"")</f>
        <v/>
      </c>
      <c r="M2487" s="62"/>
    </row>
    <row r="2488" spans="2:13" x14ac:dyDescent="0.3">
      <c r="B2488" s="54"/>
      <c r="C2488" s="54"/>
      <c r="D2488" s="54"/>
      <c r="E2488" s="234"/>
      <c r="F2488" s="274" t="str">
        <f>IFERROR(VLOOKUP(E2488,'Inventaire des produits'!$B$4:$K$1000,2,0),"")</f>
        <v/>
      </c>
      <c r="G2488" s="54"/>
      <c r="H2488" s="60"/>
      <c r="I2488" s="275" t="str">
        <f t="shared" si="117"/>
        <v/>
      </c>
      <c r="J2488" s="95" t="str">
        <f t="shared" si="118"/>
        <v/>
      </c>
      <c r="K2488" s="93" t="str">
        <f>IFERROR(VLOOKUP(E2488,'Inventaire des produits'!$B$4:$J$1000,5,FALSE),"")</f>
        <v/>
      </c>
      <c r="L2488" s="301" t="str">
        <f>IFERROR(VLOOKUP(E2488,'Inventaire des produits'!$B$4:$J$1000,6,FALSE),"")</f>
        <v/>
      </c>
      <c r="M2488" s="62"/>
    </row>
    <row r="2489" spans="2:13" x14ac:dyDescent="0.3">
      <c r="B2489" s="54"/>
      <c r="C2489" s="54"/>
      <c r="D2489" s="54"/>
      <c r="E2489" s="234"/>
      <c r="F2489" s="274" t="str">
        <f>IFERROR(VLOOKUP(E2489,'Inventaire des produits'!$B$4:$K$1000,2,0),"")</f>
        <v/>
      </c>
      <c r="G2489" s="54"/>
      <c r="H2489" s="60"/>
      <c r="I2489" s="275" t="str">
        <f t="shared" si="117"/>
        <v/>
      </c>
      <c r="J2489" s="95" t="str">
        <f t="shared" si="118"/>
        <v/>
      </c>
      <c r="K2489" s="93" t="str">
        <f>IFERROR(VLOOKUP(E2489,'Inventaire des produits'!$B$4:$J$1000,5,FALSE),"")</f>
        <v/>
      </c>
      <c r="L2489" s="301" t="str">
        <f>IFERROR(VLOOKUP(E2489,'Inventaire des produits'!$B$4:$J$1000,6,FALSE),"")</f>
        <v/>
      </c>
      <c r="M2489" s="62"/>
    </row>
    <row r="2490" spans="2:13" x14ac:dyDescent="0.3">
      <c r="B2490" s="54"/>
      <c r="C2490" s="54"/>
      <c r="D2490" s="54"/>
      <c r="E2490" s="234"/>
      <c r="F2490" s="274" t="str">
        <f>IFERROR(VLOOKUP(E2490,'Inventaire des produits'!$B$4:$K$1000,2,0),"")</f>
        <v/>
      </c>
      <c r="G2490" s="54"/>
      <c r="H2490" s="60"/>
      <c r="I2490" s="275" t="str">
        <f t="shared" si="117"/>
        <v/>
      </c>
      <c r="J2490" s="95" t="str">
        <f t="shared" si="118"/>
        <v/>
      </c>
      <c r="K2490" s="93" t="str">
        <f>IFERROR(VLOOKUP(E2490,'Inventaire des produits'!$B$4:$J$1000,5,FALSE),"")</f>
        <v/>
      </c>
      <c r="L2490" s="301" t="str">
        <f>IFERROR(VLOOKUP(E2490,'Inventaire des produits'!$B$4:$J$1000,6,FALSE),"")</f>
        <v/>
      </c>
      <c r="M2490" s="62"/>
    </row>
    <row r="2491" spans="2:13" x14ac:dyDescent="0.3">
      <c r="B2491" s="54"/>
      <c r="C2491" s="54"/>
      <c r="D2491" s="54"/>
      <c r="E2491" s="234"/>
      <c r="F2491" s="274" t="str">
        <f>IFERROR(VLOOKUP(E2491,'Inventaire des produits'!$B$4:$K$1000,2,0),"")</f>
        <v/>
      </c>
      <c r="G2491" s="54"/>
      <c r="H2491" s="60"/>
      <c r="I2491" s="275" t="str">
        <f t="shared" si="117"/>
        <v/>
      </c>
      <c r="J2491" s="95" t="str">
        <f t="shared" si="118"/>
        <v/>
      </c>
      <c r="K2491" s="93" t="str">
        <f>IFERROR(VLOOKUP(E2491,'Inventaire des produits'!$B$4:$J$1000,5,FALSE),"")</f>
        <v/>
      </c>
      <c r="L2491" s="301" t="str">
        <f>IFERROR(VLOOKUP(E2491,'Inventaire des produits'!$B$4:$J$1000,6,FALSE),"")</f>
        <v/>
      </c>
      <c r="M2491" s="62"/>
    </row>
    <row r="2492" spans="2:13" x14ac:dyDescent="0.3">
      <c r="B2492" s="54"/>
      <c r="C2492" s="54"/>
      <c r="D2492" s="54"/>
      <c r="E2492" s="234"/>
      <c r="F2492" s="274" t="str">
        <f>IFERROR(VLOOKUP(E2492,'Inventaire des produits'!$B$4:$K$1000,2,0),"")</f>
        <v/>
      </c>
      <c r="G2492" s="54"/>
      <c r="H2492" s="60"/>
      <c r="I2492" s="275" t="str">
        <f t="shared" si="117"/>
        <v/>
      </c>
      <c r="J2492" s="95" t="str">
        <f t="shared" si="118"/>
        <v/>
      </c>
      <c r="K2492" s="93" t="str">
        <f>IFERROR(VLOOKUP(E2492,'Inventaire des produits'!$B$4:$J$1000,5,FALSE),"")</f>
        <v/>
      </c>
      <c r="L2492" s="301" t="str">
        <f>IFERROR(VLOOKUP(E2492,'Inventaire des produits'!$B$4:$J$1000,6,FALSE),"")</f>
        <v/>
      </c>
      <c r="M2492" s="62"/>
    </row>
    <row r="2493" spans="2:13" x14ac:dyDescent="0.3">
      <c r="B2493" s="54"/>
      <c r="C2493" s="54"/>
      <c r="D2493" s="54"/>
      <c r="E2493" s="234"/>
      <c r="F2493" s="274" t="str">
        <f>IFERROR(VLOOKUP(E2493,'Inventaire des produits'!$B$4:$K$1000,2,0),"")</f>
        <v/>
      </c>
      <c r="G2493" s="54"/>
      <c r="H2493" s="60"/>
      <c r="I2493" s="275" t="str">
        <f t="shared" si="117"/>
        <v/>
      </c>
      <c r="J2493" s="95" t="str">
        <f t="shared" si="118"/>
        <v/>
      </c>
      <c r="K2493" s="93" t="str">
        <f>IFERROR(VLOOKUP(E2493,'Inventaire des produits'!$B$4:$J$1000,5,FALSE),"")</f>
        <v/>
      </c>
      <c r="L2493" s="301" t="str">
        <f>IFERROR(VLOOKUP(E2493,'Inventaire des produits'!$B$4:$J$1000,6,FALSE),"")</f>
        <v/>
      </c>
      <c r="M2493" s="62"/>
    </row>
    <row r="2494" spans="2:13" x14ac:dyDescent="0.3">
      <c r="B2494" s="54"/>
      <c r="C2494" s="54"/>
      <c r="D2494" s="54"/>
      <c r="E2494" s="234"/>
      <c r="F2494" s="274" t="str">
        <f>IFERROR(VLOOKUP(E2494,'Inventaire des produits'!$B$4:$K$1000,2,0),"")</f>
        <v/>
      </c>
      <c r="G2494" s="54"/>
      <c r="H2494" s="60"/>
      <c r="I2494" s="275" t="str">
        <f t="shared" si="117"/>
        <v/>
      </c>
      <c r="J2494" s="95" t="str">
        <f t="shared" si="118"/>
        <v/>
      </c>
      <c r="K2494" s="93" t="str">
        <f>IFERROR(VLOOKUP(E2494,'Inventaire des produits'!$B$4:$J$1000,5,FALSE),"")</f>
        <v/>
      </c>
      <c r="L2494" s="301" t="str">
        <f>IFERROR(VLOOKUP(E2494,'Inventaire des produits'!$B$4:$J$1000,6,FALSE),"")</f>
        <v/>
      </c>
      <c r="M2494" s="62"/>
    </row>
    <row r="2495" spans="2:13" x14ac:dyDescent="0.3">
      <c r="B2495" s="54"/>
      <c r="C2495" s="54"/>
      <c r="D2495" s="54"/>
      <c r="E2495" s="234"/>
      <c r="F2495" s="274" t="str">
        <f>IFERROR(VLOOKUP(E2495,'Inventaire des produits'!$B$4:$K$1000,2,0),"")</f>
        <v/>
      </c>
      <c r="G2495" s="54"/>
      <c r="H2495" s="60"/>
      <c r="I2495" s="275" t="str">
        <f t="shared" si="117"/>
        <v/>
      </c>
      <c r="J2495" s="95" t="str">
        <f t="shared" si="118"/>
        <v/>
      </c>
      <c r="K2495" s="93" t="str">
        <f>IFERROR(VLOOKUP(E2495,'Inventaire des produits'!$B$4:$J$1000,5,FALSE),"")</f>
        <v/>
      </c>
      <c r="L2495" s="301" t="str">
        <f>IFERROR(VLOOKUP(E2495,'Inventaire des produits'!$B$4:$J$1000,6,FALSE),"")</f>
        <v/>
      </c>
      <c r="M2495" s="62"/>
    </row>
    <row r="2496" spans="2:13" x14ac:dyDescent="0.3">
      <c r="B2496" s="54"/>
      <c r="C2496" s="54"/>
      <c r="D2496" s="54"/>
      <c r="E2496" s="234"/>
      <c r="F2496" s="274" t="str">
        <f>IFERROR(VLOOKUP(E2496,'Inventaire des produits'!$B$4:$K$1000,2,0),"")</f>
        <v/>
      </c>
      <c r="G2496" s="54"/>
      <c r="H2496" s="60"/>
      <c r="I2496" s="275" t="str">
        <f t="shared" si="117"/>
        <v/>
      </c>
      <c r="J2496" s="95" t="str">
        <f t="shared" si="118"/>
        <v/>
      </c>
      <c r="K2496" s="93" t="str">
        <f>IFERROR(VLOOKUP(E2496,'Inventaire des produits'!$B$4:$J$1000,5,FALSE),"")</f>
        <v/>
      </c>
      <c r="L2496" s="301" t="str">
        <f>IFERROR(VLOOKUP(E2496,'Inventaire des produits'!$B$4:$J$1000,6,FALSE),"")</f>
        <v/>
      </c>
      <c r="M2496" s="62"/>
    </row>
    <row r="2497" spans="2:13" x14ac:dyDescent="0.3">
      <c r="B2497" s="54"/>
      <c r="C2497" s="54"/>
      <c r="D2497" s="54"/>
      <c r="E2497" s="234"/>
      <c r="F2497" s="274" t="str">
        <f>IFERROR(VLOOKUP(E2497,'Inventaire des produits'!$B$4:$K$1000,2,0),"")</f>
        <v/>
      </c>
      <c r="G2497" s="54"/>
      <c r="H2497" s="60"/>
      <c r="I2497" s="275" t="str">
        <f t="shared" si="117"/>
        <v/>
      </c>
      <c r="J2497" s="95" t="str">
        <f t="shared" si="118"/>
        <v/>
      </c>
      <c r="K2497" s="93" t="str">
        <f>IFERROR(VLOOKUP(E2497,'Inventaire des produits'!$B$4:$J$1000,5,FALSE),"")</f>
        <v/>
      </c>
      <c r="L2497" s="301" t="str">
        <f>IFERROR(VLOOKUP(E2497,'Inventaire des produits'!$B$4:$J$1000,6,FALSE),"")</f>
        <v/>
      </c>
      <c r="M2497" s="62"/>
    </row>
    <row r="2498" spans="2:13" x14ac:dyDescent="0.3">
      <c r="B2498" s="54"/>
      <c r="C2498" s="54"/>
      <c r="D2498" s="54"/>
      <c r="E2498" s="234"/>
      <c r="F2498" s="274" t="str">
        <f>IFERROR(VLOOKUP(E2498,'Inventaire des produits'!$B$4:$K$1000,2,0),"")</f>
        <v/>
      </c>
      <c r="G2498" s="54"/>
      <c r="H2498" s="60"/>
      <c r="I2498" s="275" t="str">
        <f t="shared" si="117"/>
        <v/>
      </c>
      <c r="J2498" s="95" t="str">
        <f t="shared" si="118"/>
        <v/>
      </c>
      <c r="K2498" s="93" t="str">
        <f>IFERROR(VLOOKUP(E2498,'Inventaire des produits'!$B$4:$J$1000,5,FALSE),"")</f>
        <v/>
      </c>
      <c r="L2498" s="301" t="str">
        <f>IFERROR(VLOOKUP(E2498,'Inventaire des produits'!$B$4:$J$1000,6,FALSE),"")</f>
        <v/>
      </c>
      <c r="M2498" s="62"/>
    </row>
    <row r="2499" spans="2:13" x14ac:dyDescent="0.3">
      <c r="B2499" s="54"/>
      <c r="C2499" s="54"/>
      <c r="D2499" s="54"/>
      <c r="E2499" s="234"/>
      <c r="F2499" s="274" t="str">
        <f>IFERROR(VLOOKUP(E2499,'Inventaire des produits'!$B$4:$K$1000,2,0),"")</f>
        <v/>
      </c>
      <c r="G2499" s="54"/>
      <c r="H2499" s="60"/>
      <c r="I2499" s="275" t="str">
        <f t="shared" si="117"/>
        <v/>
      </c>
      <c r="J2499" s="95" t="str">
        <f t="shared" si="118"/>
        <v/>
      </c>
      <c r="K2499" s="93" t="str">
        <f>IFERROR(VLOOKUP(E2499,'Inventaire des produits'!$B$4:$J$1000,5,FALSE),"")</f>
        <v/>
      </c>
      <c r="L2499" s="301" t="str">
        <f>IFERROR(VLOOKUP(E2499,'Inventaire des produits'!$B$4:$J$1000,6,FALSE),"")</f>
        <v/>
      </c>
      <c r="M2499" s="62"/>
    </row>
    <row r="2500" spans="2:13" x14ac:dyDescent="0.3">
      <c r="B2500" s="54"/>
      <c r="C2500" s="54"/>
      <c r="D2500" s="54"/>
      <c r="E2500" s="234"/>
      <c r="F2500" s="274" t="str">
        <f>IFERROR(VLOOKUP(E2500,'Inventaire des produits'!$B$4:$K$1000,2,0),"")</f>
        <v/>
      </c>
      <c r="G2500" s="54"/>
      <c r="H2500" s="60"/>
      <c r="I2500" s="275" t="str">
        <f t="shared" si="117"/>
        <v/>
      </c>
      <c r="J2500" s="95" t="str">
        <f t="shared" si="118"/>
        <v/>
      </c>
      <c r="K2500" s="93" t="str">
        <f>IFERROR(VLOOKUP(E2500,'Inventaire des produits'!$B$4:$J$1000,5,FALSE),"")</f>
        <v/>
      </c>
      <c r="L2500" s="301" t="str">
        <f>IFERROR(VLOOKUP(E2500,'Inventaire des produits'!$B$4:$J$1000,6,FALSE),"")</f>
        <v/>
      </c>
      <c r="M2500" s="62"/>
    </row>
    <row r="2501" spans="2:13" x14ac:dyDescent="0.3">
      <c r="B2501" s="54"/>
      <c r="C2501" s="54"/>
      <c r="D2501" s="54"/>
      <c r="E2501" s="234"/>
      <c r="F2501" s="274" t="str">
        <f>IFERROR(VLOOKUP(E2501,'Inventaire des produits'!$B$4:$K$1000,2,0),"")</f>
        <v/>
      </c>
      <c r="G2501" s="54"/>
      <c r="H2501" s="60"/>
      <c r="I2501" s="275" t="str">
        <f t="shared" si="117"/>
        <v/>
      </c>
      <c r="J2501" s="95" t="str">
        <f t="shared" si="118"/>
        <v/>
      </c>
      <c r="K2501" s="93" t="str">
        <f>IFERROR(VLOOKUP(E2501,'Inventaire des produits'!$B$4:$J$1000,5,FALSE),"")</f>
        <v/>
      </c>
      <c r="L2501" s="301" t="str">
        <f>IFERROR(VLOOKUP(E2501,'Inventaire des produits'!$B$4:$J$1000,6,FALSE),"")</f>
        <v/>
      </c>
      <c r="M2501" s="62"/>
    </row>
    <row r="2502" spans="2:13" x14ac:dyDescent="0.3">
      <c r="B2502" s="54"/>
      <c r="C2502" s="54"/>
      <c r="D2502" s="54"/>
      <c r="E2502" s="234"/>
      <c r="F2502" s="274" t="str">
        <f>IFERROR(VLOOKUP(E2502,'Inventaire des produits'!$B$4:$K$1000,2,0),"")</f>
        <v/>
      </c>
      <c r="G2502" s="54"/>
      <c r="H2502" s="60"/>
      <c r="I2502" s="275" t="str">
        <f t="shared" si="117"/>
        <v/>
      </c>
      <c r="J2502" s="95" t="str">
        <f t="shared" si="118"/>
        <v/>
      </c>
      <c r="K2502" s="93" t="str">
        <f>IFERROR(VLOOKUP(E2502,'Inventaire des produits'!$B$4:$J$1000,5,FALSE),"")</f>
        <v/>
      </c>
      <c r="L2502" s="301" t="str">
        <f>IFERROR(VLOOKUP(E2502,'Inventaire des produits'!$B$4:$J$1000,6,FALSE),"")</f>
        <v/>
      </c>
      <c r="M2502" s="62"/>
    </row>
    <row r="2503" spans="2:13" x14ac:dyDescent="0.3">
      <c r="B2503" s="54"/>
      <c r="C2503" s="54"/>
      <c r="D2503" s="54"/>
      <c r="E2503" s="234"/>
      <c r="F2503" s="274" t="str">
        <f>IFERROR(VLOOKUP(E2503,'Inventaire des produits'!$B$4:$K$1000,2,0),"")</f>
        <v/>
      </c>
      <c r="G2503" s="54"/>
      <c r="H2503" s="60"/>
      <c r="I2503" s="275" t="str">
        <f t="shared" si="117"/>
        <v/>
      </c>
      <c r="J2503" s="95" t="str">
        <f t="shared" si="118"/>
        <v/>
      </c>
      <c r="K2503" s="93" t="str">
        <f>IFERROR(VLOOKUP(E2503,'Inventaire des produits'!$B$4:$J$1000,5,FALSE),"")</f>
        <v/>
      </c>
      <c r="L2503" s="301" t="str">
        <f>IFERROR(VLOOKUP(E2503,'Inventaire des produits'!$B$4:$J$1000,6,FALSE),"")</f>
        <v/>
      </c>
      <c r="M2503" s="62"/>
    </row>
    <row r="2504" spans="2:13" x14ac:dyDescent="0.3">
      <c r="B2504" s="54"/>
      <c r="C2504" s="54"/>
      <c r="D2504" s="54"/>
      <c r="E2504" s="234"/>
      <c r="F2504" s="274" t="str">
        <f>IFERROR(VLOOKUP(E2504,'Inventaire des produits'!$B$4:$K$1000,2,0),"")</f>
        <v/>
      </c>
      <c r="G2504" s="54"/>
      <c r="H2504" s="60"/>
      <c r="I2504" s="275" t="str">
        <f t="shared" si="117"/>
        <v/>
      </c>
      <c r="J2504" s="95" t="str">
        <f t="shared" si="118"/>
        <v/>
      </c>
      <c r="K2504" s="93" t="str">
        <f>IFERROR(VLOOKUP(E2504,'Inventaire des produits'!$B$4:$J$1000,5,FALSE),"")</f>
        <v/>
      </c>
      <c r="L2504" s="301" t="str">
        <f>IFERROR(VLOOKUP(E2504,'Inventaire des produits'!$B$4:$J$1000,6,FALSE),"")</f>
        <v/>
      </c>
      <c r="M2504" s="62"/>
    </row>
    <row r="2505" spans="2:13" x14ac:dyDescent="0.3">
      <c r="B2505" s="54"/>
      <c r="C2505" s="54"/>
      <c r="D2505" s="54"/>
      <c r="E2505" s="234"/>
      <c r="F2505" s="274" t="str">
        <f>IFERROR(VLOOKUP(E2505,'Inventaire des produits'!$B$4:$K$1000,2,0),"")</f>
        <v/>
      </c>
      <c r="G2505" s="54"/>
      <c r="H2505" s="60"/>
      <c r="I2505" s="275" t="str">
        <f t="shared" si="117"/>
        <v/>
      </c>
      <c r="J2505" s="95" t="str">
        <f t="shared" si="118"/>
        <v/>
      </c>
      <c r="K2505" s="93" t="str">
        <f>IFERROR(VLOOKUP(E2505,'Inventaire des produits'!$B$4:$J$1000,5,FALSE),"")</f>
        <v/>
      </c>
      <c r="L2505" s="301" t="str">
        <f>IFERROR(VLOOKUP(E2505,'Inventaire des produits'!$B$4:$J$1000,6,FALSE),"")</f>
        <v/>
      </c>
      <c r="M2505" s="62"/>
    </row>
    <row r="2506" spans="2:13" x14ac:dyDescent="0.3">
      <c r="B2506" s="54"/>
      <c r="C2506" s="54"/>
      <c r="D2506" s="54"/>
      <c r="E2506" s="234"/>
      <c r="F2506" s="274" t="str">
        <f>IFERROR(VLOOKUP(E2506,'Inventaire des produits'!$B$4:$K$1000,2,0),"")</f>
        <v/>
      </c>
      <c r="G2506" s="54"/>
      <c r="H2506" s="60"/>
      <c r="I2506" s="275" t="str">
        <f t="shared" si="117"/>
        <v/>
      </c>
      <c r="J2506" s="95" t="str">
        <f t="shared" si="118"/>
        <v/>
      </c>
      <c r="K2506" s="93" t="str">
        <f>IFERROR(VLOOKUP(E2506,'Inventaire des produits'!$B$4:$J$1000,5,FALSE),"")</f>
        <v/>
      </c>
      <c r="L2506" s="301" t="str">
        <f>IFERROR(VLOOKUP(E2506,'Inventaire des produits'!$B$4:$J$1000,6,FALSE),"")</f>
        <v/>
      </c>
      <c r="M2506" s="62"/>
    </row>
    <row r="2507" spans="2:13" x14ac:dyDescent="0.3">
      <c r="B2507" s="54"/>
      <c r="C2507" s="54"/>
      <c r="D2507" s="54"/>
      <c r="E2507" s="234"/>
      <c r="F2507" s="274" t="str">
        <f>IFERROR(VLOOKUP(E2507,'Inventaire des produits'!$B$4:$K$1000,2,0),"")</f>
        <v/>
      </c>
      <c r="G2507" s="54"/>
      <c r="H2507" s="60"/>
      <c r="I2507" s="275" t="str">
        <f t="shared" si="117"/>
        <v/>
      </c>
      <c r="J2507" s="95" t="str">
        <f t="shared" si="118"/>
        <v/>
      </c>
      <c r="K2507" s="93" t="str">
        <f>IFERROR(VLOOKUP(E2507,'Inventaire des produits'!$B$4:$J$1000,5,FALSE),"")</f>
        <v/>
      </c>
      <c r="L2507" s="301" t="str">
        <f>IFERROR(VLOOKUP(E2507,'Inventaire des produits'!$B$4:$J$1000,6,FALSE),"")</f>
        <v/>
      </c>
      <c r="M2507" s="62"/>
    </row>
    <row r="2508" spans="2:13" x14ac:dyDescent="0.3">
      <c r="B2508" s="54"/>
      <c r="C2508" s="54"/>
      <c r="D2508" s="54"/>
      <c r="E2508" s="234"/>
      <c r="F2508" s="274" t="str">
        <f>IFERROR(VLOOKUP(E2508,'Inventaire des produits'!$B$4:$K$1000,2,0),"")</f>
        <v/>
      </c>
      <c r="G2508" s="54"/>
      <c r="H2508" s="60"/>
      <c r="I2508" s="275" t="str">
        <f t="shared" si="117"/>
        <v/>
      </c>
      <c r="J2508" s="95" t="str">
        <f t="shared" si="118"/>
        <v/>
      </c>
      <c r="K2508" s="93" t="str">
        <f>IFERROR(VLOOKUP(E2508,'Inventaire des produits'!$B$4:$J$1000,5,FALSE),"")</f>
        <v/>
      </c>
      <c r="L2508" s="301" t="str">
        <f>IFERROR(VLOOKUP(E2508,'Inventaire des produits'!$B$4:$J$1000,6,FALSE),"")</f>
        <v/>
      </c>
      <c r="M2508" s="62"/>
    </row>
    <row r="2509" spans="2:13" x14ac:dyDescent="0.3">
      <c r="B2509" s="54"/>
      <c r="C2509" s="54"/>
      <c r="D2509" s="54"/>
      <c r="E2509" s="234"/>
      <c r="F2509" s="274" t="str">
        <f>IFERROR(VLOOKUP(E2509,'Inventaire des produits'!$B$4:$K$1000,2,0),"")</f>
        <v/>
      </c>
      <c r="G2509" s="54"/>
      <c r="H2509" s="60"/>
      <c r="I2509" s="275" t="str">
        <f t="shared" si="117"/>
        <v/>
      </c>
      <c r="J2509" s="95" t="str">
        <f t="shared" si="118"/>
        <v/>
      </c>
      <c r="K2509" s="93" t="str">
        <f>IFERROR(VLOOKUP(E2509,'Inventaire des produits'!$B$4:$J$1000,5,FALSE),"")</f>
        <v/>
      </c>
      <c r="L2509" s="301" t="str">
        <f>IFERROR(VLOOKUP(E2509,'Inventaire des produits'!$B$4:$J$1000,6,FALSE),"")</f>
        <v/>
      </c>
      <c r="M2509" s="62"/>
    </row>
    <row r="2510" spans="2:13" x14ac:dyDescent="0.3">
      <c r="B2510" s="54"/>
      <c r="C2510" s="54"/>
      <c r="D2510" s="54"/>
      <c r="E2510" s="234"/>
      <c r="F2510" s="274" t="str">
        <f>IFERROR(VLOOKUP(E2510,'Inventaire des produits'!$B$4:$K$1000,2,0),"")</f>
        <v/>
      </c>
      <c r="G2510" s="54"/>
      <c r="H2510" s="60"/>
      <c r="I2510" s="275" t="str">
        <f t="shared" si="117"/>
        <v/>
      </c>
      <c r="J2510" s="95" t="str">
        <f t="shared" si="118"/>
        <v/>
      </c>
      <c r="K2510" s="93" t="str">
        <f>IFERROR(VLOOKUP(E2510,'Inventaire des produits'!$B$4:$J$1000,5,FALSE),"")</f>
        <v/>
      </c>
      <c r="L2510" s="301" t="str">
        <f>IFERROR(VLOOKUP(E2510,'Inventaire des produits'!$B$4:$J$1000,6,FALSE),"")</f>
        <v/>
      </c>
      <c r="M2510" s="62"/>
    </row>
    <row r="2511" spans="2:13" x14ac:dyDescent="0.3">
      <c r="B2511" s="54"/>
      <c r="C2511" s="54"/>
      <c r="D2511" s="54"/>
      <c r="E2511" s="234"/>
      <c r="F2511" s="274" t="str">
        <f>IFERROR(VLOOKUP(E2511,'Inventaire des produits'!$B$4:$K$1000,2,0),"")</f>
        <v/>
      </c>
      <c r="G2511" s="54"/>
      <c r="H2511" s="60"/>
      <c r="I2511" s="275" t="str">
        <f t="shared" si="117"/>
        <v/>
      </c>
      <c r="J2511" s="95" t="str">
        <f t="shared" si="118"/>
        <v/>
      </c>
      <c r="K2511" s="93" t="str">
        <f>IFERROR(VLOOKUP(E2511,'Inventaire des produits'!$B$4:$J$1000,5,FALSE),"")</f>
        <v/>
      </c>
      <c r="L2511" s="301" t="str">
        <f>IFERROR(VLOOKUP(E2511,'Inventaire des produits'!$B$4:$J$1000,6,FALSE),"")</f>
        <v/>
      </c>
      <c r="M2511" s="62"/>
    </row>
    <row r="2512" spans="2:13" x14ac:dyDescent="0.3">
      <c r="B2512" s="54"/>
      <c r="C2512" s="54"/>
      <c r="D2512" s="54"/>
      <c r="E2512" s="234"/>
      <c r="F2512" s="274" t="str">
        <f>IFERROR(VLOOKUP(E2512,'Inventaire des produits'!$B$4:$K$1000,2,0),"")</f>
        <v/>
      </c>
      <c r="G2512" s="54"/>
      <c r="H2512" s="60"/>
      <c r="I2512" s="275" t="str">
        <f t="shared" si="117"/>
        <v/>
      </c>
      <c r="J2512" s="95" t="str">
        <f t="shared" si="118"/>
        <v/>
      </c>
      <c r="K2512" s="93" t="str">
        <f>IFERROR(VLOOKUP(E2512,'Inventaire des produits'!$B$4:$J$1000,5,FALSE),"")</f>
        <v/>
      </c>
      <c r="L2512" s="301" t="str">
        <f>IFERROR(VLOOKUP(E2512,'Inventaire des produits'!$B$4:$J$1000,6,FALSE),"")</f>
        <v/>
      </c>
      <c r="M2512" s="62"/>
    </row>
    <row r="2513" spans="2:13" x14ac:dyDescent="0.3">
      <c r="B2513" s="54"/>
      <c r="C2513" s="54"/>
      <c r="D2513" s="54"/>
      <c r="E2513" s="234"/>
      <c r="F2513" s="274" t="str">
        <f>IFERROR(VLOOKUP(E2513,'Inventaire des produits'!$B$4:$K$1000,2,0),"")</f>
        <v/>
      </c>
      <c r="G2513" s="54"/>
      <c r="H2513" s="60"/>
      <c r="I2513" s="275" t="str">
        <f t="shared" si="117"/>
        <v/>
      </c>
      <c r="J2513" s="95" t="str">
        <f t="shared" si="118"/>
        <v/>
      </c>
      <c r="K2513" s="93" t="str">
        <f>IFERROR(VLOOKUP(E2513,'Inventaire des produits'!$B$4:$J$1000,5,FALSE),"")</f>
        <v/>
      </c>
      <c r="L2513" s="301" t="str">
        <f>IFERROR(VLOOKUP(E2513,'Inventaire des produits'!$B$4:$J$1000,6,FALSE),"")</f>
        <v/>
      </c>
      <c r="M2513" s="62"/>
    </row>
    <row r="2514" spans="2:13" x14ac:dyDescent="0.3">
      <c r="B2514" s="54"/>
      <c r="C2514" s="54"/>
      <c r="D2514" s="54"/>
      <c r="E2514" s="234"/>
      <c r="F2514" s="274" t="str">
        <f>IFERROR(VLOOKUP(E2514,'Inventaire des produits'!$B$4:$K$1000,2,0),"")</f>
        <v/>
      </c>
      <c r="G2514" s="54"/>
      <c r="H2514" s="60"/>
      <c r="I2514" s="275" t="str">
        <f t="shared" si="117"/>
        <v/>
      </c>
      <c r="J2514" s="95" t="str">
        <f t="shared" si="118"/>
        <v/>
      </c>
      <c r="K2514" s="93" t="str">
        <f>IFERROR(VLOOKUP(E2514,'Inventaire des produits'!$B$4:$J$1000,5,FALSE),"")</f>
        <v/>
      </c>
      <c r="L2514" s="301" t="str">
        <f>IFERROR(VLOOKUP(E2514,'Inventaire des produits'!$B$4:$J$1000,6,FALSE),"")</f>
        <v/>
      </c>
      <c r="M2514" s="62"/>
    </row>
    <row r="2515" spans="2:13" x14ac:dyDescent="0.3">
      <c r="B2515" s="54"/>
      <c r="C2515" s="54"/>
      <c r="D2515" s="54"/>
      <c r="E2515" s="234"/>
      <c r="F2515" s="274" t="str">
        <f>IFERROR(VLOOKUP(E2515,'Inventaire des produits'!$B$4:$K$1000,2,0),"")</f>
        <v/>
      </c>
      <c r="G2515" s="54"/>
      <c r="H2515" s="60"/>
      <c r="I2515" s="275" t="str">
        <f t="shared" si="117"/>
        <v/>
      </c>
      <c r="J2515" s="95" t="str">
        <f t="shared" si="118"/>
        <v/>
      </c>
      <c r="K2515" s="93" t="str">
        <f>IFERROR(VLOOKUP(E2515,'Inventaire des produits'!$B$4:$J$1000,5,FALSE),"")</f>
        <v/>
      </c>
      <c r="L2515" s="301" t="str">
        <f>IFERROR(VLOOKUP(E2515,'Inventaire des produits'!$B$4:$J$1000,6,FALSE),"")</f>
        <v/>
      </c>
      <c r="M2515" s="62"/>
    </row>
    <row r="2516" spans="2:13" x14ac:dyDescent="0.3">
      <c r="B2516" s="54"/>
      <c r="C2516" s="54"/>
      <c r="D2516" s="54"/>
      <c r="E2516" s="234"/>
      <c r="F2516" s="274" t="str">
        <f>IFERROR(VLOOKUP(E2516,'Inventaire des produits'!$B$4:$K$1000,2,0),"")</f>
        <v/>
      </c>
      <c r="G2516" s="54"/>
      <c r="H2516" s="60"/>
      <c r="I2516" s="275" t="str">
        <f t="shared" si="117"/>
        <v/>
      </c>
      <c r="J2516" s="95" t="str">
        <f t="shared" si="118"/>
        <v/>
      </c>
      <c r="K2516" s="93" t="str">
        <f>IFERROR(VLOOKUP(E2516,'Inventaire des produits'!$B$4:$J$1000,5,FALSE),"")</f>
        <v/>
      </c>
      <c r="L2516" s="301" t="str">
        <f>IFERROR(VLOOKUP(E2516,'Inventaire des produits'!$B$4:$J$1000,6,FALSE),"")</f>
        <v/>
      </c>
      <c r="M2516" s="62"/>
    </row>
    <row r="2517" spans="2:13" x14ac:dyDescent="0.3">
      <c r="B2517" s="54"/>
      <c r="C2517" s="54"/>
      <c r="D2517" s="54"/>
      <c r="E2517" s="234"/>
      <c r="F2517" s="274" t="str">
        <f>IFERROR(VLOOKUP(E2517,'Inventaire des produits'!$B$4:$K$1000,2,0),"")</f>
        <v/>
      </c>
      <c r="G2517" s="54"/>
      <c r="H2517" s="60"/>
      <c r="I2517" s="275" t="str">
        <f t="shared" si="117"/>
        <v/>
      </c>
      <c r="J2517" s="95" t="str">
        <f t="shared" si="118"/>
        <v/>
      </c>
      <c r="K2517" s="93" t="str">
        <f>IFERROR(VLOOKUP(E2517,'Inventaire des produits'!$B$4:$J$1000,5,FALSE),"")</f>
        <v/>
      </c>
      <c r="L2517" s="301" t="str">
        <f>IFERROR(VLOOKUP(E2517,'Inventaire des produits'!$B$4:$J$1000,6,FALSE),"")</f>
        <v/>
      </c>
      <c r="M2517" s="62"/>
    </row>
    <row r="2518" spans="2:13" x14ac:dyDescent="0.3">
      <c r="B2518" s="54"/>
      <c r="C2518" s="54"/>
      <c r="D2518" s="54"/>
      <c r="E2518" s="234"/>
      <c r="F2518" s="274" t="str">
        <f>IFERROR(VLOOKUP(E2518,'Inventaire des produits'!$B$4:$K$1000,2,0),"")</f>
        <v/>
      </c>
      <c r="G2518" s="54"/>
      <c r="H2518" s="60"/>
      <c r="I2518" s="275" t="str">
        <f t="shared" si="117"/>
        <v/>
      </c>
      <c r="J2518" s="95" t="str">
        <f t="shared" si="118"/>
        <v/>
      </c>
      <c r="K2518" s="93" t="str">
        <f>IFERROR(VLOOKUP(E2518,'Inventaire des produits'!$B$4:$J$1000,5,FALSE),"")</f>
        <v/>
      </c>
      <c r="L2518" s="301" t="str">
        <f>IFERROR(VLOOKUP(E2518,'Inventaire des produits'!$B$4:$J$1000,6,FALSE),"")</f>
        <v/>
      </c>
      <c r="M2518" s="62"/>
    </row>
    <row r="2519" spans="2:13" x14ac:dyDescent="0.3">
      <c r="B2519" s="54"/>
      <c r="C2519" s="54"/>
      <c r="D2519" s="54"/>
      <c r="E2519" s="234"/>
      <c r="F2519" s="274" t="str">
        <f>IFERROR(VLOOKUP(E2519,'Inventaire des produits'!$B$4:$K$1000,2,0),"")</f>
        <v/>
      </c>
      <c r="G2519" s="54"/>
      <c r="H2519" s="60"/>
      <c r="I2519" s="275" t="str">
        <f t="shared" si="117"/>
        <v/>
      </c>
      <c r="J2519" s="95" t="str">
        <f t="shared" si="118"/>
        <v/>
      </c>
      <c r="K2519" s="93" t="str">
        <f>IFERROR(VLOOKUP(E2519,'Inventaire des produits'!$B$4:$J$1000,5,FALSE),"")</f>
        <v/>
      </c>
      <c r="L2519" s="301" t="str">
        <f>IFERROR(VLOOKUP(E2519,'Inventaire des produits'!$B$4:$J$1000,6,FALSE),"")</f>
        <v/>
      </c>
      <c r="M2519" s="62"/>
    </row>
    <row r="2520" spans="2:13" x14ac:dyDescent="0.3">
      <c r="B2520" s="54"/>
      <c r="C2520" s="54"/>
      <c r="D2520" s="54"/>
      <c r="E2520" s="234"/>
      <c r="F2520" s="274" t="str">
        <f>IFERROR(VLOOKUP(E2520,'Inventaire des produits'!$B$4:$K$1000,2,0),"")</f>
        <v/>
      </c>
      <c r="G2520" s="54"/>
      <c r="H2520" s="60"/>
      <c r="I2520" s="275" t="str">
        <f t="shared" si="117"/>
        <v/>
      </c>
      <c r="J2520" s="95" t="str">
        <f t="shared" si="118"/>
        <v/>
      </c>
      <c r="K2520" s="93" t="str">
        <f>IFERROR(VLOOKUP(E2520,'Inventaire des produits'!$B$4:$J$1000,5,FALSE),"")</f>
        <v/>
      </c>
      <c r="L2520" s="301" t="str">
        <f>IFERROR(VLOOKUP(E2520,'Inventaire des produits'!$B$4:$J$1000,6,FALSE),"")</f>
        <v/>
      </c>
      <c r="M2520" s="62"/>
    </row>
    <row r="2521" spans="2:13" x14ac:dyDescent="0.3">
      <c r="B2521" s="54"/>
      <c r="C2521" s="54"/>
      <c r="D2521" s="54"/>
      <c r="E2521" s="234"/>
      <c r="F2521" s="274" t="str">
        <f>IFERROR(VLOOKUP(E2521,'Inventaire des produits'!$B$4:$K$1000,2,0),"")</f>
        <v/>
      </c>
      <c r="G2521" s="54"/>
      <c r="H2521" s="60"/>
      <c r="I2521" s="275" t="str">
        <f t="shared" si="117"/>
        <v/>
      </c>
      <c r="J2521" s="95" t="str">
        <f t="shared" si="118"/>
        <v/>
      </c>
      <c r="K2521" s="93" t="str">
        <f>IFERROR(VLOOKUP(E2521,'Inventaire des produits'!$B$4:$J$1000,5,FALSE),"")</f>
        <v/>
      </c>
      <c r="L2521" s="301" t="str">
        <f>IFERROR(VLOOKUP(E2521,'Inventaire des produits'!$B$4:$J$1000,6,FALSE),"")</f>
        <v/>
      </c>
      <c r="M2521" s="62"/>
    </row>
    <row r="2522" spans="2:13" x14ac:dyDescent="0.3">
      <c r="B2522" s="54"/>
      <c r="C2522" s="54"/>
      <c r="D2522" s="54"/>
      <c r="E2522" s="234"/>
      <c r="F2522" s="274" t="str">
        <f>IFERROR(VLOOKUP(E2522,'Inventaire des produits'!$B$4:$K$1000,2,0),"")</f>
        <v/>
      </c>
      <c r="G2522" s="54"/>
      <c r="H2522" s="60"/>
      <c r="I2522" s="275" t="str">
        <f t="shared" si="117"/>
        <v/>
      </c>
      <c r="J2522" s="95" t="str">
        <f t="shared" si="118"/>
        <v/>
      </c>
      <c r="K2522" s="93" t="str">
        <f>IFERROR(VLOOKUP(E2522,'Inventaire des produits'!$B$4:$J$1000,5,FALSE),"")</f>
        <v/>
      </c>
      <c r="L2522" s="301" t="str">
        <f>IFERROR(VLOOKUP(E2522,'Inventaire des produits'!$B$4:$J$1000,6,FALSE),"")</f>
        <v/>
      </c>
      <c r="M2522" s="62"/>
    </row>
    <row r="2523" spans="2:13" x14ac:dyDescent="0.3">
      <c r="B2523" s="54"/>
      <c r="C2523" s="54"/>
      <c r="D2523" s="54"/>
      <c r="E2523" s="234"/>
      <c r="F2523" s="274" t="str">
        <f>IFERROR(VLOOKUP(E2523,'Inventaire des produits'!$B$4:$K$1000,2,0),"")</f>
        <v/>
      </c>
      <c r="G2523" s="54"/>
      <c r="H2523" s="60"/>
      <c r="I2523" s="275" t="str">
        <f t="shared" si="117"/>
        <v/>
      </c>
      <c r="J2523" s="95" t="str">
        <f t="shared" si="118"/>
        <v/>
      </c>
      <c r="K2523" s="93" t="str">
        <f>IFERROR(VLOOKUP(E2523,'Inventaire des produits'!$B$4:$J$1000,5,FALSE),"")</f>
        <v/>
      </c>
      <c r="L2523" s="301" t="str">
        <f>IFERROR(VLOOKUP(E2523,'Inventaire des produits'!$B$4:$J$1000,6,FALSE),"")</f>
        <v/>
      </c>
      <c r="M2523" s="62"/>
    </row>
    <row r="2524" spans="2:13" x14ac:dyDescent="0.3">
      <c r="B2524" s="54"/>
      <c r="C2524" s="54"/>
      <c r="D2524" s="54"/>
      <c r="E2524" s="234"/>
      <c r="F2524" s="274" t="str">
        <f>IFERROR(VLOOKUP(E2524,'Inventaire des produits'!$B$4:$K$1000,2,0),"")</f>
        <v/>
      </c>
      <c r="G2524" s="54"/>
      <c r="H2524" s="60"/>
      <c r="I2524" s="275" t="str">
        <f t="shared" si="117"/>
        <v/>
      </c>
      <c r="J2524" s="95" t="str">
        <f t="shared" si="118"/>
        <v/>
      </c>
      <c r="K2524" s="93" t="str">
        <f>IFERROR(VLOOKUP(E2524,'Inventaire des produits'!$B$4:$J$1000,5,FALSE),"")</f>
        <v/>
      </c>
      <c r="L2524" s="301" t="str">
        <f>IFERROR(VLOOKUP(E2524,'Inventaire des produits'!$B$4:$J$1000,6,FALSE),"")</f>
        <v/>
      </c>
      <c r="M2524" s="62"/>
    </row>
    <row r="2525" spans="2:13" x14ac:dyDescent="0.3">
      <c r="B2525" s="54"/>
      <c r="C2525" s="54"/>
      <c r="D2525" s="54"/>
      <c r="E2525" s="234"/>
      <c r="F2525" s="274" t="str">
        <f>IFERROR(VLOOKUP(E2525,'Inventaire des produits'!$B$4:$K$1000,2,0),"")</f>
        <v/>
      </c>
      <c r="G2525" s="54"/>
      <c r="H2525" s="60"/>
      <c r="I2525" s="275" t="str">
        <f t="shared" si="117"/>
        <v/>
      </c>
      <c r="J2525" s="95" t="str">
        <f t="shared" si="118"/>
        <v/>
      </c>
      <c r="K2525" s="93" t="str">
        <f>IFERROR(VLOOKUP(E2525,'Inventaire des produits'!$B$4:$J$1000,5,FALSE),"")</f>
        <v/>
      </c>
      <c r="L2525" s="301" t="str">
        <f>IFERROR(VLOOKUP(E2525,'Inventaire des produits'!$B$4:$J$1000,6,FALSE),"")</f>
        <v/>
      </c>
      <c r="M2525" s="62"/>
    </row>
    <row r="2526" spans="2:13" x14ac:dyDescent="0.3">
      <c r="B2526" s="54"/>
      <c r="C2526" s="54"/>
      <c r="D2526" s="54"/>
      <c r="E2526" s="234"/>
      <c r="F2526" s="274" t="str">
        <f>IFERROR(VLOOKUP(E2526,'Inventaire des produits'!$B$4:$K$1000,2,0),"")</f>
        <v/>
      </c>
      <c r="G2526" s="54"/>
      <c r="H2526" s="60"/>
      <c r="I2526" s="275" t="str">
        <f t="shared" si="117"/>
        <v/>
      </c>
      <c r="J2526" s="95" t="str">
        <f t="shared" si="118"/>
        <v/>
      </c>
      <c r="K2526" s="93" t="str">
        <f>IFERROR(VLOOKUP(E2526,'Inventaire des produits'!$B$4:$J$1000,5,FALSE),"")</f>
        <v/>
      </c>
      <c r="L2526" s="301" t="str">
        <f>IFERROR(VLOOKUP(E2526,'Inventaire des produits'!$B$4:$J$1000,6,FALSE),"")</f>
        <v/>
      </c>
      <c r="M2526" s="62"/>
    </row>
    <row r="2527" spans="2:13" x14ac:dyDescent="0.3">
      <c r="B2527" s="54"/>
      <c r="C2527" s="54"/>
      <c r="D2527" s="54"/>
      <c r="E2527" s="234"/>
      <c r="F2527" s="274" t="str">
        <f>IFERROR(VLOOKUP(E2527,'Inventaire des produits'!$B$4:$K$1000,2,0),"")</f>
        <v/>
      </c>
      <c r="G2527" s="54"/>
      <c r="H2527" s="60"/>
      <c r="I2527" s="275" t="str">
        <f t="shared" si="117"/>
        <v/>
      </c>
      <c r="J2527" s="95" t="str">
        <f t="shared" si="118"/>
        <v/>
      </c>
      <c r="K2527" s="93" t="str">
        <f>IFERROR(VLOOKUP(E2527,'Inventaire des produits'!$B$4:$J$1000,5,FALSE),"")</f>
        <v/>
      </c>
      <c r="L2527" s="301" t="str">
        <f>IFERROR(VLOOKUP(E2527,'Inventaire des produits'!$B$4:$J$1000,6,FALSE),"")</f>
        <v/>
      </c>
      <c r="M2527" s="62"/>
    </row>
    <row r="2528" spans="2:13" x14ac:dyDescent="0.3">
      <c r="B2528" s="54"/>
      <c r="C2528" s="54"/>
      <c r="D2528" s="54"/>
      <c r="E2528" s="234"/>
      <c r="F2528" s="274" t="str">
        <f>IFERROR(VLOOKUP(E2528,'Inventaire des produits'!$B$4:$K$1000,2,0),"")</f>
        <v/>
      </c>
      <c r="G2528" s="54"/>
      <c r="H2528" s="60"/>
      <c r="I2528" s="275" t="str">
        <f t="shared" si="117"/>
        <v/>
      </c>
      <c r="J2528" s="95" t="str">
        <f t="shared" si="118"/>
        <v/>
      </c>
      <c r="K2528" s="93" t="str">
        <f>IFERROR(VLOOKUP(E2528,'Inventaire des produits'!$B$4:$J$1000,5,FALSE),"")</f>
        <v/>
      </c>
      <c r="L2528" s="301" t="str">
        <f>IFERROR(VLOOKUP(E2528,'Inventaire des produits'!$B$4:$J$1000,6,FALSE),"")</f>
        <v/>
      </c>
      <c r="M2528" s="62"/>
    </row>
    <row r="2529" spans="2:13" x14ac:dyDescent="0.3">
      <c r="B2529" s="54"/>
      <c r="C2529" s="54"/>
      <c r="D2529" s="54"/>
      <c r="E2529" s="234"/>
      <c r="F2529" s="274" t="str">
        <f>IFERROR(VLOOKUP(E2529,'Inventaire des produits'!$B$4:$K$1000,2,0),"")</f>
        <v/>
      </c>
      <c r="G2529" s="54"/>
      <c r="H2529" s="60"/>
      <c r="I2529" s="275" t="str">
        <f t="shared" si="117"/>
        <v/>
      </c>
      <c r="J2529" s="95" t="str">
        <f t="shared" si="118"/>
        <v/>
      </c>
      <c r="K2529" s="93" t="str">
        <f>IFERROR(VLOOKUP(E2529,'Inventaire des produits'!$B$4:$J$1000,5,FALSE),"")</f>
        <v/>
      </c>
      <c r="L2529" s="301" t="str">
        <f>IFERROR(VLOOKUP(E2529,'Inventaire des produits'!$B$4:$J$1000,6,FALSE),"")</f>
        <v/>
      </c>
      <c r="M2529" s="62"/>
    </row>
    <row r="2530" spans="2:13" x14ac:dyDescent="0.3">
      <c r="B2530" s="54"/>
      <c r="C2530" s="54"/>
      <c r="D2530" s="54"/>
      <c r="E2530" s="234"/>
      <c r="F2530" s="274" t="str">
        <f>IFERROR(VLOOKUP(E2530,'Inventaire des produits'!$B$4:$K$1000,2,0),"")</f>
        <v/>
      </c>
      <c r="G2530" s="54"/>
      <c r="H2530" s="60"/>
      <c r="I2530" s="275" t="str">
        <f t="shared" si="117"/>
        <v/>
      </c>
      <c r="J2530" s="95" t="str">
        <f t="shared" si="118"/>
        <v/>
      </c>
      <c r="K2530" s="93" t="str">
        <f>IFERROR(VLOOKUP(E2530,'Inventaire des produits'!$B$4:$J$1000,5,FALSE),"")</f>
        <v/>
      </c>
      <c r="L2530" s="301" t="str">
        <f>IFERROR(VLOOKUP(E2530,'Inventaire des produits'!$B$4:$J$1000,6,FALSE),"")</f>
        <v/>
      </c>
      <c r="M2530" s="62"/>
    </row>
    <row r="2531" spans="2:13" x14ac:dyDescent="0.3">
      <c r="B2531" s="54"/>
      <c r="C2531" s="54"/>
      <c r="D2531" s="54"/>
      <c r="E2531" s="234"/>
      <c r="F2531" s="274" t="str">
        <f>IFERROR(VLOOKUP(E2531,'Inventaire des produits'!$B$4:$K$1000,2,0),"")</f>
        <v/>
      </c>
      <c r="G2531" s="54"/>
      <c r="H2531" s="60"/>
      <c r="I2531" s="275" t="str">
        <f t="shared" si="117"/>
        <v/>
      </c>
      <c r="J2531" s="95" t="str">
        <f t="shared" si="118"/>
        <v/>
      </c>
      <c r="K2531" s="93" t="str">
        <f>IFERROR(VLOOKUP(E2531,'Inventaire des produits'!$B$4:$J$1000,5,FALSE),"")</f>
        <v/>
      </c>
      <c r="L2531" s="301" t="str">
        <f>IFERROR(VLOOKUP(E2531,'Inventaire des produits'!$B$4:$J$1000,6,FALSE),"")</f>
        <v/>
      </c>
      <c r="M2531" s="62"/>
    </row>
    <row r="2532" spans="2:13" x14ac:dyDescent="0.3">
      <c r="B2532" s="54"/>
      <c r="C2532" s="54"/>
      <c r="D2532" s="54"/>
      <c r="E2532" s="234"/>
      <c r="F2532" s="274" t="str">
        <f>IFERROR(VLOOKUP(E2532,'Inventaire des produits'!$B$4:$K$1000,2,0),"")</f>
        <v/>
      </c>
      <c r="G2532" s="54"/>
      <c r="H2532" s="60"/>
      <c r="I2532" s="275" t="str">
        <f t="shared" si="117"/>
        <v/>
      </c>
      <c r="J2532" s="95" t="str">
        <f t="shared" si="118"/>
        <v/>
      </c>
      <c r="K2532" s="93" t="str">
        <f>IFERROR(VLOOKUP(E2532,'Inventaire des produits'!$B$4:$J$1000,5,FALSE),"")</f>
        <v/>
      </c>
      <c r="L2532" s="301" t="str">
        <f>IFERROR(VLOOKUP(E2532,'Inventaire des produits'!$B$4:$J$1000,6,FALSE),"")</f>
        <v/>
      </c>
      <c r="M2532" s="62"/>
    </row>
    <row r="2533" spans="2:13" x14ac:dyDescent="0.3">
      <c r="B2533" s="54"/>
      <c r="C2533" s="54"/>
      <c r="D2533" s="54"/>
      <c r="E2533" s="234"/>
      <c r="F2533" s="274" t="str">
        <f>IFERROR(VLOOKUP(E2533,'Inventaire des produits'!$B$4:$K$1000,2,0),"")</f>
        <v/>
      </c>
      <c r="G2533" s="54"/>
      <c r="H2533" s="60"/>
      <c r="I2533" s="275" t="str">
        <f t="shared" si="117"/>
        <v/>
      </c>
      <c r="J2533" s="95" t="str">
        <f t="shared" si="118"/>
        <v/>
      </c>
      <c r="K2533" s="93" t="str">
        <f>IFERROR(VLOOKUP(E2533,'Inventaire des produits'!$B$4:$J$1000,5,FALSE),"")</f>
        <v/>
      </c>
      <c r="L2533" s="301" t="str">
        <f>IFERROR(VLOOKUP(E2533,'Inventaire des produits'!$B$4:$J$1000,6,FALSE),"")</f>
        <v/>
      </c>
      <c r="M2533" s="62"/>
    </row>
    <row r="2534" spans="2:13" x14ac:dyDescent="0.3">
      <c r="B2534" s="54"/>
      <c r="C2534" s="54"/>
      <c r="D2534" s="54"/>
      <c r="E2534" s="234"/>
      <c r="F2534" s="274" t="str">
        <f>IFERROR(VLOOKUP(E2534,'Inventaire des produits'!$B$4:$K$1000,2,0),"")</f>
        <v/>
      </c>
      <c r="G2534" s="54"/>
      <c r="H2534" s="60"/>
      <c r="I2534" s="275" t="str">
        <f t="shared" si="117"/>
        <v/>
      </c>
      <c r="J2534" s="95" t="str">
        <f t="shared" si="118"/>
        <v/>
      </c>
      <c r="K2534" s="93" t="str">
        <f>IFERROR(VLOOKUP(E2534,'Inventaire des produits'!$B$4:$J$1000,5,FALSE),"")</f>
        <v/>
      </c>
      <c r="L2534" s="301" t="str">
        <f>IFERROR(VLOOKUP(E2534,'Inventaire des produits'!$B$4:$J$1000,6,FALSE),"")</f>
        <v/>
      </c>
      <c r="M2534" s="62"/>
    </row>
    <row r="2535" spans="2:13" x14ac:dyDescent="0.3">
      <c r="B2535" s="54"/>
      <c r="C2535" s="54"/>
      <c r="D2535" s="54"/>
      <c r="E2535" s="234"/>
      <c r="F2535" s="274" t="str">
        <f>IFERROR(VLOOKUP(E2535,'Inventaire des produits'!$B$4:$K$1000,2,0),"")</f>
        <v/>
      </c>
      <c r="G2535" s="54"/>
      <c r="H2535" s="60"/>
      <c r="I2535" s="275" t="str">
        <f t="shared" si="117"/>
        <v/>
      </c>
      <c r="J2535" s="95" t="str">
        <f t="shared" si="118"/>
        <v/>
      </c>
      <c r="K2535" s="93" t="str">
        <f>IFERROR(VLOOKUP(E2535,'Inventaire des produits'!$B$4:$J$1000,5,FALSE),"")</f>
        <v/>
      </c>
      <c r="L2535" s="301" t="str">
        <f>IFERROR(VLOOKUP(E2535,'Inventaire des produits'!$B$4:$J$1000,6,FALSE),"")</f>
        <v/>
      </c>
      <c r="M2535" s="62"/>
    </row>
    <row r="2536" spans="2:13" x14ac:dyDescent="0.3">
      <c r="B2536" s="54"/>
      <c r="C2536" s="54"/>
      <c r="D2536" s="54"/>
      <c r="E2536" s="234"/>
      <c r="F2536" s="274" t="str">
        <f>IFERROR(VLOOKUP(E2536,'Inventaire des produits'!$B$4:$K$1000,2,0),"")</f>
        <v/>
      </c>
      <c r="G2536" s="54"/>
      <c r="H2536" s="60"/>
      <c r="I2536" s="275" t="str">
        <f t="shared" si="117"/>
        <v/>
      </c>
      <c r="J2536" s="95" t="str">
        <f t="shared" si="118"/>
        <v/>
      </c>
      <c r="K2536" s="93" t="str">
        <f>IFERROR(VLOOKUP(E2536,'Inventaire des produits'!$B$4:$J$1000,5,FALSE),"")</f>
        <v/>
      </c>
      <c r="L2536" s="301" t="str">
        <f>IFERROR(VLOOKUP(E2536,'Inventaire des produits'!$B$4:$J$1000,6,FALSE),"")</f>
        <v/>
      </c>
      <c r="M2536" s="62"/>
    </row>
    <row r="2537" spans="2:13" x14ac:dyDescent="0.3">
      <c r="B2537" s="54"/>
      <c r="C2537" s="54"/>
      <c r="D2537" s="54"/>
      <c r="E2537" s="234"/>
      <c r="F2537" s="274" t="str">
        <f>IFERROR(VLOOKUP(E2537,'Inventaire des produits'!$B$4:$K$1000,2,0),"")</f>
        <v/>
      </c>
      <c r="G2537" s="54"/>
      <c r="H2537" s="60"/>
      <c r="I2537" s="275" t="str">
        <f t="shared" si="117"/>
        <v/>
      </c>
      <c r="J2537" s="95" t="str">
        <f t="shared" si="118"/>
        <v/>
      </c>
      <c r="K2537" s="93" t="str">
        <f>IFERROR(VLOOKUP(E2537,'Inventaire des produits'!$B$4:$J$1000,5,FALSE),"")</f>
        <v/>
      </c>
      <c r="L2537" s="301" t="str">
        <f>IFERROR(VLOOKUP(E2537,'Inventaire des produits'!$B$4:$J$1000,6,FALSE),"")</f>
        <v/>
      </c>
      <c r="M2537" s="62"/>
    </row>
    <row r="2538" spans="2:13" x14ac:dyDescent="0.3">
      <c r="B2538" s="54"/>
      <c r="C2538" s="54"/>
      <c r="D2538" s="54"/>
      <c r="E2538" s="234"/>
      <c r="F2538" s="274" t="str">
        <f>IFERROR(VLOOKUP(E2538,'Inventaire des produits'!$B$4:$K$1000,2,0),"")</f>
        <v/>
      </c>
      <c r="G2538" s="54"/>
      <c r="H2538" s="60"/>
      <c r="I2538" s="275" t="str">
        <f t="shared" si="117"/>
        <v/>
      </c>
      <c r="J2538" s="95" t="str">
        <f t="shared" si="118"/>
        <v/>
      </c>
      <c r="K2538" s="93" t="str">
        <f>IFERROR(VLOOKUP(E2538,'Inventaire des produits'!$B$4:$J$1000,5,FALSE),"")</f>
        <v/>
      </c>
      <c r="L2538" s="301" t="str">
        <f>IFERROR(VLOOKUP(E2538,'Inventaire des produits'!$B$4:$J$1000,6,FALSE),"")</f>
        <v/>
      </c>
      <c r="M2538" s="62"/>
    </row>
    <row r="2539" spans="2:13" x14ac:dyDescent="0.3">
      <c r="B2539" s="54"/>
      <c r="C2539" s="54"/>
      <c r="D2539" s="54"/>
      <c r="E2539" s="234"/>
      <c r="F2539" s="274" t="str">
        <f>IFERROR(VLOOKUP(E2539,'Inventaire des produits'!$B$4:$K$1000,2,0),"")</f>
        <v/>
      </c>
      <c r="G2539" s="54"/>
      <c r="H2539" s="60"/>
      <c r="I2539" s="275" t="str">
        <f t="shared" si="117"/>
        <v/>
      </c>
      <c r="J2539" s="95" t="str">
        <f t="shared" si="118"/>
        <v/>
      </c>
      <c r="K2539" s="93" t="str">
        <f>IFERROR(VLOOKUP(E2539,'Inventaire des produits'!$B$4:$J$1000,5,FALSE),"")</f>
        <v/>
      </c>
      <c r="L2539" s="301" t="str">
        <f>IFERROR(VLOOKUP(E2539,'Inventaire des produits'!$B$4:$J$1000,6,FALSE),"")</f>
        <v/>
      </c>
      <c r="M2539" s="62"/>
    </row>
    <row r="2540" spans="2:13" x14ac:dyDescent="0.3">
      <c r="B2540" s="54"/>
      <c r="C2540" s="54"/>
      <c r="D2540" s="54"/>
      <c r="E2540" s="234"/>
      <c r="F2540" s="274" t="str">
        <f>IFERROR(VLOOKUP(E2540,'Inventaire des produits'!$B$4:$K$1000,2,0),"")</f>
        <v/>
      </c>
      <c r="G2540" s="54"/>
      <c r="H2540" s="60"/>
      <c r="I2540" s="275" t="str">
        <f t="shared" si="117"/>
        <v/>
      </c>
      <c r="J2540" s="95" t="str">
        <f t="shared" si="118"/>
        <v/>
      </c>
      <c r="K2540" s="93" t="str">
        <f>IFERROR(VLOOKUP(E2540,'Inventaire des produits'!$B$4:$J$1000,5,FALSE),"")</f>
        <v/>
      </c>
      <c r="L2540" s="301" t="str">
        <f>IFERROR(VLOOKUP(E2540,'Inventaire des produits'!$B$4:$J$1000,6,FALSE),"")</f>
        <v/>
      </c>
      <c r="M2540" s="62"/>
    </row>
    <row r="2541" spans="2:13" x14ac:dyDescent="0.3">
      <c r="B2541" s="54"/>
      <c r="C2541" s="54"/>
      <c r="D2541" s="54"/>
      <c r="E2541" s="234"/>
      <c r="F2541" s="274" t="str">
        <f>IFERROR(VLOOKUP(E2541,'Inventaire des produits'!$B$4:$K$1000,2,0),"")</f>
        <v/>
      </c>
      <c r="G2541" s="54"/>
      <c r="H2541" s="60"/>
      <c r="I2541" s="275" t="str">
        <f t="shared" si="117"/>
        <v/>
      </c>
      <c r="J2541" s="95" t="str">
        <f t="shared" si="118"/>
        <v/>
      </c>
      <c r="K2541" s="93" t="str">
        <f>IFERROR(VLOOKUP(E2541,'Inventaire des produits'!$B$4:$J$1000,5,FALSE),"")</f>
        <v/>
      </c>
      <c r="L2541" s="301" t="str">
        <f>IFERROR(VLOOKUP(E2541,'Inventaire des produits'!$B$4:$J$1000,6,FALSE),"")</f>
        <v/>
      </c>
      <c r="M2541" s="62"/>
    </row>
    <row r="2542" spans="2:13" x14ac:dyDescent="0.3">
      <c r="B2542" s="54"/>
      <c r="C2542" s="54"/>
      <c r="D2542" s="54"/>
      <c r="E2542" s="234"/>
      <c r="F2542" s="274" t="str">
        <f>IFERROR(VLOOKUP(E2542,'Inventaire des produits'!$B$4:$K$1000,2,0),"")</f>
        <v/>
      </c>
      <c r="G2542" s="54"/>
      <c r="H2542" s="60"/>
      <c r="I2542" s="275" t="str">
        <f t="shared" si="117"/>
        <v/>
      </c>
      <c r="J2542" s="95" t="str">
        <f t="shared" si="118"/>
        <v/>
      </c>
      <c r="K2542" s="93" t="str">
        <f>IFERROR(VLOOKUP(E2542,'Inventaire des produits'!$B$4:$J$1000,5,FALSE),"")</f>
        <v/>
      </c>
      <c r="L2542" s="301" t="str">
        <f>IFERROR(VLOOKUP(E2542,'Inventaire des produits'!$B$4:$J$1000,6,FALSE),"")</f>
        <v/>
      </c>
      <c r="M2542" s="62"/>
    </row>
    <row r="2543" spans="2:13" x14ac:dyDescent="0.3">
      <c r="B2543" s="54"/>
      <c r="C2543" s="54"/>
      <c r="D2543" s="54"/>
      <c r="E2543" s="234"/>
      <c r="F2543" s="274" t="str">
        <f>IFERROR(VLOOKUP(E2543,'Inventaire des produits'!$B$4:$K$1000,2,0),"")</f>
        <v/>
      </c>
      <c r="G2543" s="54"/>
      <c r="H2543" s="60"/>
      <c r="I2543" s="275" t="str">
        <f t="shared" si="117"/>
        <v/>
      </c>
      <c r="J2543" s="95" t="str">
        <f t="shared" si="118"/>
        <v/>
      </c>
      <c r="K2543" s="93" t="str">
        <f>IFERROR(VLOOKUP(E2543,'Inventaire des produits'!$B$4:$J$1000,5,FALSE),"")</f>
        <v/>
      </c>
      <c r="L2543" s="301" t="str">
        <f>IFERROR(VLOOKUP(E2543,'Inventaire des produits'!$B$4:$J$1000,6,FALSE),"")</f>
        <v/>
      </c>
      <c r="M2543" s="62"/>
    </row>
    <row r="2544" spans="2:13" x14ac:dyDescent="0.3">
      <c r="B2544" s="54"/>
      <c r="C2544" s="54"/>
      <c r="D2544" s="54"/>
      <c r="E2544" s="234"/>
      <c r="F2544" s="274" t="str">
        <f>IFERROR(VLOOKUP(E2544,'Inventaire des produits'!$B$4:$K$1000,2,0),"")</f>
        <v/>
      </c>
      <c r="G2544" s="54"/>
      <c r="H2544" s="60"/>
      <c r="I2544" s="275" t="str">
        <f t="shared" si="117"/>
        <v/>
      </c>
      <c r="J2544" s="95" t="str">
        <f t="shared" si="118"/>
        <v/>
      </c>
      <c r="K2544" s="93" t="str">
        <f>IFERROR(VLOOKUP(E2544,'Inventaire des produits'!$B$4:$J$1000,5,FALSE),"")</f>
        <v/>
      </c>
      <c r="L2544" s="301" t="str">
        <f>IFERROR(VLOOKUP(E2544,'Inventaire des produits'!$B$4:$J$1000,6,FALSE),"")</f>
        <v/>
      </c>
      <c r="M2544" s="62"/>
    </row>
    <row r="2545" spans="2:13" x14ac:dyDescent="0.3">
      <c r="B2545" s="54"/>
      <c r="C2545" s="54"/>
      <c r="D2545" s="54"/>
      <c r="E2545" s="234"/>
      <c r="F2545" s="274" t="str">
        <f>IFERROR(VLOOKUP(E2545,'Inventaire des produits'!$B$4:$K$1000,2,0),"")</f>
        <v/>
      </c>
      <c r="G2545" s="54"/>
      <c r="H2545" s="60"/>
      <c r="I2545" s="275" t="str">
        <f t="shared" si="117"/>
        <v/>
      </c>
      <c r="J2545" s="95" t="str">
        <f t="shared" si="118"/>
        <v/>
      </c>
      <c r="K2545" s="93" t="str">
        <f>IFERROR(VLOOKUP(E2545,'Inventaire des produits'!$B$4:$J$1000,5,FALSE),"")</f>
        <v/>
      </c>
      <c r="L2545" s="301" t="str">
        <f>IFERROR(VLOOKUP(E2545,'Inventaire des produits'!$B$4:$J$1000,6,FALSE),"")</f>
        <v/>
      </c>
      <c r="M2545" s="62"/>
    </row>
    <row r="2546" spans="2:13" x14ac:dyDescent="0.3">
      <c r="B2546" s="54"/>
      <c r="C2546" s="54"/>
      <c r="D2546" s="54"/>
      <c r="E2546" s="234"/>
      <c r="F2546" s="274" t="str">
        <f>IFERROR(VLOOKUP(E2546,'Inventaire des produits'!$B$4:$K$1000,2,0),"")</f>
        <v/>
      </c>
      <c r="G2546" s="54"/>
      <c r="H2546" s="60"/>
      <c r="I2546" s="275" t="str">
        <f t="shared" ref="I2546:I2595" si="119">IF(OR(G2546="",H2546=""),"",G2546*H2546)</f>
        <v/>
      </c>
      <c r="J2546" s="95" t="str">
        <f t="shared" ref="J2546:J2595" si="120">IF(OR(I2546=""),"",I2546*1.2)</f>
        <v/>
      </c>
      <c r="K2546" s="93" t="str">
        <f>IFERROR(VLOOKUP(E2546,'Inventaire des produits'!$B$4:$J$1000,5,FALSE),"")</f>
        <v/>
      </c>
      <c r="L2546" s="301" t="str">
        <f>IFERROR(VLOOKUP(E2546,'Inventaire des produits'!$B$4:$J$1000,6,FALSE),"")</f>
        <v/>
      </c>
      <c r="M2546" s="62"/>
    </row>
    <row r="2547" spans="2:13" x14ac:dyDescent="0.3">
      <c r="B2547" s="54"/>
      <c r="C2547" s="54"/>
      <c r="D2547" s="54"/>
      <c r="E2547" s="234"/>
      <c r="F2547" s="274" t="str">
        <f>IFERROR(VLOOKUP(E2547,'Inventaire des produits'!$B$4:$K$1000,2,0),"")</f>
        <v/>
      </c>
      <c r="G2547" s="54"/>
      <c r="H2547" s="60"/>
      <c r="I2547" s="275" t="str">
        <f t="shared" si="119"/>
        <v/>
      </c>
      <c r="J2547" s="95" t="str">
        <f t="shared" si="120"/>
        <v/>
      </c>
      <c r="K2547" s="93" t="str">
        <f>IFERROR(VLOOKUP(E2547,'Inventaire des produits'!$B$4:$J$1000,5,FALSE),"")</f>
        <v/>
      </c>
      <c r="L2547" s="301" t="str">
        <f>IFERROR(VLOOKUP(E2547,'Inventaire des produits'!$B$4:$J$1000,6,FALSE),"")</f>
        <v/>
      </c>
      <c r="M2547" s="62"/>
    </row>
    <row r="2548" spans="2:13" x14ac:dyDescent="0.3">
      <c r="B2548" s="54"/>
      <c r="C2548" s="54"/>
      <c r="D2548" s="54"/>
      <c r="E2548" s="234"/>
      <c r="F2548" s="274" t="str">
        <f>IFERROR(VLOOKUP(E2548,'Inventaire des produits'!$B$4:$K$1000,2,0),"")</f>
        <v/>
      </c>
      <c r="G2548" s="54"/>
      <c r="H2548" s="60"/>
      <c r="I2548" s="275" t="str">
        <f t="shared" si="119"/>
        <v/>
      </c>
      <c r="J2548" s="95" t="str">
        <f t="shared" si="120"/>
        <v/>
      </c>
      <c r="K2548" s="93" t="str">
        <f>IFERROR(VLOOKUP(E2548,'Inventaire des produits'!$B$4:$J$1000,5,FALSE),"")</f>
        <v/>
      </c>
      <c r="L2548" s="301" t="str">
        <f>IFERROR(VLOOKUP(E2548,'Inventaire des produits'!$B$4:$J$1000,6,FALSE),"")</f>
        <v/>
      </c>
      <c r="M2548" s="62"/>
    </row>
    <row r="2549" spans="2:13" x14ac:dyDescent="0.3">
      <c r="B2549" s="54"/>
      <c r="C2549" s="54"/>
      <c r="D2549" s="54"/>
      <c r="E2549" s="234"/>
      <c r="F2549" s="274" t="str">
        <f>IFERROR(VLOOKUP(E2549,'Inventaire des produits'!$B$4:$K$1000,2,0),"")</f>
        <v/>
      </c>
      <c r="G2549" s="54"/>
      <c r="H2549" s="60"/>
      <c r="I2549" s="275" t="str">
        <f t="shared" si="119"/>
        <v/>
      </c>
      <c r="J2549" s="95" t="str">
        <f t="shared" si="120"/>
        <v/>
      </c>
      <c r="K2549" s="93" t="str">
        <f>IFERROR(VLOOKUP(E2549,'Inventaire des produits'!$B$4:$J$1000,5,FALSE),"")</f>
        <v/>
      </c>
      <c r="L2549" s="301" t="str">
        <f>IFERROR(VLOOKUP(E2549,'Inventaire des produits'!$B$4:$J$1000,6,FALSE),"")</f>
        <v/>
      </c>
      <c r="M2549" s="62"/>
    </row>
    <row r="2550" spans="2:13" x14ac:dyDescent="0.3">
      <c r="B2550" s="54"/>
      <c r="C2550" s="54"/>
      <c r="D2550" s="54"/>
      <c r="E2550" s="234"/>
      <c r="F2550" s="274" t="str">
        <f>IFERROR(VLOOKUP(E2550,'Inventaire des produits'!$B$4:$K$1000,2,0),"")</f>
        <v/>
      </c>
      <c r="G2550" s="54"/>
      <c r="H2550" s="60"/>
      <c r="I2550" s="275" t="str">
        <f t="shared" si="119"/>
        <v/>
      </c>
      <c r="J2550" s="95" t="str">
        <f t="shared" si="120"/>
        <v/>
      </c>
      <c r="K2550" s="93" t="str">
        <f>IFERROR(VLOOKUP(E2550,'Inventaire des produits'!$B$4:$J$1000,5,FALSE),"")</f>
        <v/>
      </c>
      <c r="L2550" s="301" t="str">
        <f>IFERROR(VLOOKUP(E2550,'Inventaire des produits'!$B$4:$J$1000,6,FALSE),"")</f>
        <v/>
      </c>
      <c r="M2550" s="62"/>
    </row>
    <row r="2551" spans="2:13" x14ac:dyDescent="0.3">
      <c r="B2551" s="54"/>
      <c r="C2551" s="54"/>
      <c r="D2551" s="54"/>
      <c r="E2551" s="234"/>
      <c r="F2551" s="274" t="str">
        <f>IFERROR(VLOOKUP(E2551,'Inventaire des produits'!$B$4:$K$1000,2,0),"")</f>
        <v/>
      </c>
      <c r="G2551" s="54"/>
      <c r="H2551" s="60"/>
      <c r="I2551" s="275" t="str">
        <f t="shared" si="119"/>
        <v/>
      </c>
      <c r="J2551" s="95" t="str">
        <f t="shared" si="120"/>
        <v/>
      </c>
      <c r="K2551" s="93" t="str">
        <f>IFERROR(VLOOKUP(E2551,'Inventaire des produits'!$B$4:$J$1000,5,FALSE),"")</f>
        <v/>
      </c>
      <c r="L2551" s="301" t="str">
        <f>IFERROR(VLOOKUP(E2551,'Inventaire des produits'!$B$4:$J$1000,6,FALSE),"")</f>
        <v/>
      </c>
      <c r="M2551" s="62"/>
    </row>
    <row r="2552" spans="2:13" x14ac:dyDescent="0.3">
      <c r="B2552" s="54"/>
      <c r="C2552" s="54"/>
      <c r="D2552" s="54"/>
      <c r="E2552" s="234"/>
      <c r="F2552" s="274" t="str">
        <f>IFERROR(VLOOKUP(E2552,'Inventaire des produits'!$B$4:$K$1000,2,0),"")</f>
        <v/>
      </c>
      <c r="G2552" s="54"/>
      <c r="H2552" s="60"/>
      <c r="I2552" s="275" t="str">
        <f t="shared" si="119"/>
        <v/>
      </c>
      <c r="J2552" s="95" t="str">
        <f t="shared" si="120"/>
        <v/>
      </c>
      <c r="K2552" s="93" t="str">
        <f>IFERROR(VLOOKUP(E2552,'Inventaire des produits'!$B$4:$J$1000,5,FALSE),"")</f>
        <v/>
      </c>
      <c r="L2552" s="301" t="str">
        <f>IFERROR(VLOOKUP(E2552,'Inventaire des produits'!$B$4:$J$1000,6,FALSE),"")</f>
        <v/>
      </c>
      <c r="M2552" s="62"/>
    </row>
    <row r="2553" spans="2:13" x14ac:dyDescent="0.3">
      <c r="B2553" s="54"/>
      <c r="C2553" s="54"/>
      <c r="D2553" s="54"/>
      <c r="E2553" s="234"/>
      <c r="F2553" s="274" t="str">
        <f>IFERROR(VLOOKUP(E2553,'Inventaire des produits'!$B$4:$K$1000,2,0),"")</f>
        <v/>
      </c>
      <c r="G2553" s="54"/>
      <c r="H2553" s="60"/>
      <c r="I2553" s="275" t="str">
        <f t="shared" si="119"/>
        <v/>
      </c>
      <c r="J2553" s="95" t="str">
        <f t="shared" si="120"/>
        <v/>
      </c>
      <c r="K2553" s="93" t="str">
        <f>IFERROR(VLOOKUP(E2553,'Inventaire des produits'!$B$4:$J$1000,5,FALSE),"")</f>
        <v/>
      </c>
      <c r="L2553" s="301" t="str">
        <f>IFERROR(VLOOKUP(E2553,'Inventaire des produits'!$B$4:$J$1000,6,FALSE),"")</f>
        <v/>
      </c>
      <c r="M2553" s="62"/>
    </row>
    <row r="2554" spans="2:13" x14ac:dyDescent="0.3">
      <c r="B2554" s="54"/>
      <c r="C2554" s="54"/>
      <c r="D2554" s="54"/>
      <c r="E2554" s="234"/>
      <c r="F2554" s="274" t="str">
        <f>IFERROR(VLOOKUP(E2554,'Inventaire des produits'!$B$4:$K$1000,2,0),"")</f>
        <v/>
      </c>
      <c r="G2554" s="54"/>
      <c r="H2554" s="60"/>
      <c r="I2554" s="275" t="str">
        <f t="shared" si="119"/>
        <v/>
      </c>
      <c r="J2554" s="95" t="str">
        <f t="shared" si="120"/>
        <v/>
      </c>
      <c r="K2554" s="93" t="str">
        <f>IFERROR(VLOOKUP(E2554,'Inventaire des produits'!$B$4:$J$1000,5,FALSE),"")</f>
        <v/>
      </c>
      <c r="L2554" s="301" t="str">
        <f>IFERROR(VLOOKUP(E2554,'Inventaire des produits'!$B$4:$J$1000,6,FALSE),"")</f>
        <v/>
      </c>
      <c r="M2554" s="62"/>
    </row>
    <row r="2555" spans="2:13" x14ac:dyDescent="0.3">
      <c r="B2555" s="54"/>
      <c r="C2555" s="54"/>
      <c r="D2555" s="54"/>
      <c r="E2555" s="234"/>
      <c r="F2555" s="274" t="str">
        <f>IFERROR(VLOOKUP(E2555,'Inventaire des produits'!$B$4:$K$1000,2,0),"")</f>
        <v/>
      </c>
      <c r="G2555" s="54"/>
      <c r="H2555" s="60"/>
      <c r="I2555" s="275" t="str">
        <f t="shared" si="119"/>
        <v/>
      </c>
      <c r="J2555" s="95" t="str">
        <f t="shared" si="120"/>
        <v/>
      </c>
      <c r="K2555" s="93" t="str">
        <f>IFERROR(VLOOKUP(E2555,'Inventaire des produits'!$B$4:$J$1000,5,FALSE),"")</f>
        <v/>
      </c>
      <c r="L2555" s="301" t="str">
        <f>IFERROR(VLOOKUP(E2555,'Inventaire des produits'!$B$4:$J$1000,6,FALSE),"")</f>
        <v/>
      </c>
      <c r="M2555" s="62"/>
    </row>
    <row r="2556" spans="2:13" x14ac:dyDescent="0.3">
      <c r="B2556" s="54"/>
      <c r="C2556" s="54"/>
      <c r="D2556" s="54"/>
      <c r="E2556" s="234"/>
      <c r="F2556" s="274" t="str">
        <f>IFERROR(VLOOKUP(E2556,'Inventaire des produits'!$B$4:$K$1000,2,0),"")</f>
        <v/>
      </c>
      <c r="G2556" s="54"/>
      <c r="H2556" s="60"/>
      <c r="I2556" s="275" t="str">
        <f t="shared" si="119"/>
        <v/>
      </c>
      <c r="J2556" s="95" t="str">
        <f t="shared" si="120"/>
        <v/>
      </c>
      <c r="K2556" s="93" t="str">
        <f>IFERROR(VLOOKUP(E2556,'Inventaire des produits'!$B$4:$J$1000,5,FALSE),"")</f>
        <v/>
      </c>
      <c r="L2556" s="301" t="str">
        <f>IFERROR(VLOOKUP(E2556,'Inventaire des produits'!$B$4:$J$1000,6,FALSE),"")</f>
        <v/>
      </c>
      <c r="M2556" s="62"/>
    </row>
    <row r="2557" spans="2:13" x14ac:dyDescent="0.3">
      <c r="B2557" s="54"/>
      <c r="C2557" s="54"/>
      <c r="D2557" s="54"/>
      <c r="E2557" s="234"/>
      <c r="F2557" s="274" t="str">
        <f>IFERROR(VLOOKUP(E2557,'Inventaire des produits'!$B$4:$K$1000,2,0),"")</f>
        <v/>
      </c>
      <c r="G2557" s="54"/>
      <c r="H2557" s="60"/>
      <c r="I2557" s="275" t="str">
        <f t="shared" si="119"/>
        <v/>
      </c>
      <c r="J2557" s="95" t="str">
        <f t="shared" si="120"/>
        <v/>
      </c>
      <c r="K2557" s="93" t="str">
        <f>IFERROR(VLOOKUP(E2557,'Inventaire des produits'!$B$4:$J$1000,5,FALSE),"")</f>
        <v/>
      </c>
      <c r="L2557" s="301" t="str">
        <f>IFERROR(VLOOKUP(E2557,'Inventaire des produits'!$B$4:$J$1000,6,FALSE),"")</f>
        <v/>
      </c>
      <c r="M2557" s="62"/>
    </row>
    <row r="2558" spans="2:13" x14ac:dyDescent="0.3">
      <c r="B2558" s="54"/>
      <c r="C2558" s="54"/>
      <c r="D2558" s="54"/>
      <c r="E2558" s="234"/>
      <c r="F2558" s="274" t="str">
        <f>IFERROR(VLOOKUP(E2558,'Inventaire des produits'!$B$4:$K$1000,2,0),"")</f>
        <v/>
      </c>
      <c r="G2558" s="54"/>
      <c r="H2558" s="60"/>
      <c r="I2558" s="275" t="str">
        <f t="shared" si="119"/>
        <v/>
      </c>
      <c r="J2558" s="95" t="str">
        <f t="shared" si="120"/>
        <v/>
      </c>
      <c r="K2558" s="93" t="str">
        <f>IFERROR(VLOOKUP(E2558,'Inventaire des produits'!$B$4:$J$1000,5,FALSE),"")</f>
        <v/>
      </c>
      <c r="L2558" s="301" t="str">
        <f>IFERROR(VLOOKUP(E2558,'Inventaire des produits'!$B$4:$J$1000,6,FALSE),"")</f>
        <v/>
      </c>
      <c r="M2558" s="62"/>
    </row>
    <row r="2559" spans="2:13" x14ac:dyDescent="0.3">
      <c r="B2559" s="54"/>
      <c r="C2559" s="54"/>
      <c r="D2559" s="54"/>
      <c r="E2559" s="234"/>
      <c r="F2559" s="274" t="str">
        <f>IFERROR(VLOOKUP(E2559,'Inventaire des produits'!$B$4:$K$1000,2,0),"")</f>
        <v/>
      </c>
      <c r="G2559" s="54"/>
      <c r="H2559" s="60"/>
      <c r="I2559" s="275" t="str">
        <f t="shared" si="119"/>
        <v/>
      </c>
      <c r="J2559" s="95" t="str">
        <f t="shared" si="120"/>
        <v/>
      </c>
      <c r="K2559" s="93" t="str">
        <f>IFERROR(VLOOKUP(E2559,'Inventaire des produits'!$B$4:$J$1000,5,FALSE),"")</f>
        <v/>
      </c>
      <c r="L2559" s="301" t="str">
        <f>IFERROR(VLOOKUP(E2559,'Inventaire des produits'!$B$4:$J$1000,6,FALSE),"")</f>
        <v/>
      </c>
      <c r="M2559" s="62"/>
    </row>
    <row r="2560" spans="2:13" x14ac:dyDescent="0.3">
      <c r="B2560" s="54"/>
      <c r="C2560" s="54"/>
      <c r="D2560" s="54"/>
      <c r="E2560" s="234"/>
      <c r="F2560" s="274" t="str">
        <f>IFERROR(VLOOKUP(E2560,'Inventaire des produits'!$B$4:$K$1000,2,0),"")</f>
        <v/>
      </c>
      <c r="G2560" s="54"/>
      <c r="H2560" s="60"/>
      <c r="I2560" s="275" t="str">
        <f t="shared" si="119"/>
        <v/>
      </c>
      <c r="J2560" s="95" t="str">
        <f t="shared" si="120"/>
        <v/>
      </c>
      <c r="K2560" s="93" t="str">
        <f>IFERROR(VLOOKUP(E2560,'Inventaire des produits'!$B$4:$J$1000,5,FALSE),"")</f>
        <v/>
      </c>
      <c r="L2560" s="301" t="str">
        <f>IFERROR(VLOOKUP(E2560,'Inventaire des produits'!$B$4:$J$1000,6,FALSE),"")</f>
        <v/>
      </c>
      <c r="M2560" s="62"/>
    </row>
    <row r="2561" spans="2:13" x14ac:dyDescent="0.3">
      <c r="B2561" s="54"/>
      <c r="C2561" s="54"/>
      <c r="D2561" s="54"/>
      <c r="E2561" s="234"/>
      <c r="F2561" s="274" t="str">
        <f>IFERROR(VLOOKUP(E2561,'Inventaire des produits'!$B$4:$K$1000,2,0),"")</f>
        <v/>
      </c>
      <c r="G2561" s="54"/>
      <c r="H2561" s="60"/>
      <c r="I2561" s="275" t="str">
        <f t="shared" si="119"/>
        <v/>
      </c>
      <c r="J2561" s="95" t="str">
        <f t="shared" si="120"/>
        <v/>
      </c>
      <c r="K2561" s="93" t="str">
        <f>IFERROR(VLOOKUP(E2561,'Inventaire des produits'!$B$4:$J$1000,5,FALSE),"")</f>
        <v/>
      </c>
      <c r="L2561" s="301" t="str">
        <f>IFERROR(VLOOKUP(E2561,'Inventaire des produits'!$B$4:$J$1000,6,FALSE),"")</f>
        <v/>
      </c>
      <c r="M2561" s="62"/>
    </row>
    <row r="2562" spans="2:13" x14ac:dyDescent="0.3">
      <c r="B2562" s="54"/>
      <c r="C2562" s="54"/>
      <c r="D2562" s="54"/>
      <c r="E2562" s="234"/>
      <c r="F2562" s="274" t="str">
        <f>IFERROR(VLOOKUP(E2562,'Inventaire des produits'!$B$4:$K$1000,2,0),"")</f>
        <v/>
      </c>
      <c r="G2562" s="54"/>
      <c r="H2562" s="60"/>
      <c r="I2562" s="275" t="str">
        <f t="shared" si="119"/>
        <v/>
      </c>
      <c r="J2562" s="95" t="str">
        <f t="shared" si="120"/>
        <v/>
      </c>
      <c r="K2562" s="93" t="str">
        <f>IFERROR(VLOOKUP(E2562,'Inventaire des produits'!$B$4:$J$1000,5,FALSE),"")</f>
        <v/>
      </c>
      <c r="L2562" s="301" t="str">
        <f>IFERROR(VLOOKUP(E2562,'Inventaire des produits'!$B$4:$J$1000,6,FALSE),"")</f>
        <v/>
      </c>
      <c r="M2562" s="62"/>
    </row>
    <row r="2563" spans="2:13" x14ac:dyDescent="0.3">
      <c r="B2563" s="54"/>
      <c r="C2563" s="54"/>
      <c r="D2563" s="54"/>
      <c r="E2563" s="234"/>
      <c r="F2563" s="274" t="str">
        <f>IFERROR(VLOOKUP(E2563,'Inventaire des produits'!$B$4:$K$1000,2,0),"")</f>
        <v/>
      </c>
      <c r="G2563" s="54"/>
      <c r="H2563" s="60"/>
      <c r="I2563" s="275" t="str">
        <f t="shared" si="119"/>
        <v/>
      </c>
      <c r="J2563" s="95" t="str">
        <f t="shared" si="120"/>
        <v/>
      </c>
      <c r="K2563" s="93" t="str">
        <f>IFERROR(VLOOKUP(E2563,'Inventaire des produits'!$B$4:$J$1000,5,FALSE),"")</f>
        <v/>
      </c>
      <c r="L2563" s="301" t="str">
        <f>IFERROR(VLOOKUP(E2563,'Inventaire des produits'!$B$4:$J$1000,6,FALSE),"")</f>
        <v/>
      </c>
      <c r="M2563" s="62"/>
    </row>
    <row r="2564" spans="2:13" x14ac:dyDescent="0.3">
      <c r="B2564" s="54"/>
      <c r="C2564" s="54"/>
      <c r="D2564" s="54"/>
      <c r="E2564" s="234"/>
      <c r="F2564" s="274" t="str">
        <f>IFERROR(VLOOKUP(E2564,'Inventaire des produits'!$B$4:$K$1000,2,0),"")</f>
        <v/>
      </c>
      <c r="G2564" s="54"/>
      <c r="H2564" s="60"/>
      <c r="I2564" s="275" t="str">
        <f t="shared" si="119"/>
        <v/>
      </c>
      <c r="J2564" s="95" t="str">
        <f t="shared" si="120"/>
        <v/>
      </c>
      <c r="K2564" s="93" t="str">
        <f>IFERROR(VLOOKUP(E2564,'Inventaire des produits'!$B$4:$J$1000,5,FALSE),"")</f>
        <v/>
      </c>
      <c r="L2564" s="301" t="str">
        <f>IFERROR(VLOOKUP(E2564,'Inventaire des produits'!$B$4:$J$1000,6,FALSE),"")</f>
        <v/>
      </c>
      <c r="M2564" s="62"/>
    </row>
    <row r="2565" spans="2:13" x14ac:dyDescent="0.3">
      <c r="B2565" s="54"/>
      <c r="C2565" s="54"/>
      <c r="D2565" s="54"/>
      <c r="E2565" s="234"/>
      <c r="F2565" s="274" t="str">
        <f>IFERROR(VLOOKUP(E2565,'Inventaire des produits'!$B$4:$K$1000,2,0),"")</f>
        <v/>
      </c>
      <c r="G2565" s="54"/>
      <c r="H2565" s="60"/>
      <c r="I2565" s="275" t="str">
        <f t="shared" si="119"/>
        <v/>
      </c>
      <c r="J2565" s="95" t="str">
        <f t="shared" si="120"/>
        <v/>
      </c>
      <c r="K2565" s="93" t="str">
        <f>IFERROR(VLOOKUP(E2565,'Inventaire des produits'!$B$4:$J$1000,5,FALSE),"")</f>
        <v/>
      </c>
      <c r="L2565" s="301" t="str">
        <f>IFERROR(VLOOKUP(E2565,'Inventaire des produits'!$B$4:$J$1000,6,FALSE),"")</f>
        <v/>
      </c>
      <c r="M2565" s="62"/>
    </row>
    <row r="2566" spans="2:13" x14ac:dyDescent="0.3">
      <c r="B2566" s="54"/>
      <c r="C2566" s="54"/>
      <c r="D2566" s="54"/>
      <c r="E2566" s="234"/>
      <c r="F2566" s="274" t="str">
        <f>IFERROR(VLOOKUP(E2566,'Inventaire des produits'!$B$4:$K$1000,2,0),"")</f>
        <v/>
      </c>
      <c r="G2566" s="54"/>
      <c r="H2566" s="60"/>
      <c r="I2566" s="275" t="str">
        <f t="shared" si="119"/>
        <v/>
      </c>
      <c r="J2566" s="95" t="str">
        <f t="shared" si="120"/>
        <v/>
      </c>
      <c r="K2566" s="93" t="str">
        <f>IFERROR(VLOOKUP(E2566,'Inventaire des produits'!$B$4:$J$1000,5,FALSE),"")</f>
        <v/>
      </c>
      <c r="L2566" s="301" t="str">
        <f>IFERROR(VLOOKUP(E2566,'Inventaire des produits'!$B$4:$J$1000,6,FALSE),"")</f>
        <v/>
      </c>
      <c r="M2566" s="62"/>
    </row>
    <row r="2567" spans="2:13" x14ac:dyDescent="0.3">
      <c r="B2567" s="54"/>
      <c r="C2567" s="54"/>
      <c r="D2567" s="54"/>
      <c r="E2567" s="234"/>
      <c r="F2567" s="274" t="str">
        <f>IFERROR(VLOOKUP(E2567,'Inventaire des produits'!$B$4:$K$1000,2,0),"")</f>
        <v/>
      </c>
      <c r="G2567" s="54"/>
      <c r="H2567" s="60"/>
      <c r="I2567" s="275" t="str">
        <f t="shared" si="119"/>
        <v/>
      </c>
      <c r="J2567" s="95" t="str">
        <f t="shared" si="120"/>
        <v/>
      </c>
      <c r="K2567" s="93" t="str">
        <f>IFERROR(VLOOKUP(E2567,'Inventaire des produits'!$B$4:$J$1000,5,FALSE),"")</f>
        <v/>
      </c>
      <c r="L2567" s="301" t="str">
        <f>IFERROR(VLOOKUP(E2567,'Inventaire des produits'!$B$4:$J$1000,6,FALSE),"")</f>
        <v/>
      </c>
      <c r="M2567" s="62"/>
    </row>
    <row r="2568" spans="2:13" x14ac:dyDescent="0.3">
      <c r="B2568" s="54"/>
      <c r="C2568" s="54"/>
      <c r="D2568" s="54"/>
      <c r="E2568" s="234"/>
      <c r="F2568" s="274" t="str">
        <f>IFERROR(VLOOKUP(E2568,'Inventaire des produits'!$B$4:$K$1000,2,0),"")</f>
        <v/>
      </c>
      <c r="G2568" s="54"/>
      <c r="H2568" s="60"/>
      <c r="I2568" s="275" t="str">
        <f t="shared" si="119"/>
        <v/>
      </c>
      <c r="J2568" s="95" t="str">
        <f t="shared" si="120"/>
        <v/>
      </c>
      <c r="K2568" s="93" t="str">
        <f>IFERROR(VLOOKUP(E2568,'Inventaire des produits'!$B$4:$J$1000,5,FALSE),"")</f>
        <v/>
      </c>
      <c r="L2568" s="301" t="str">
        <f>IFERROR(VLOOKUP(E2568,'Inventaire des produits'!$B$4:$J$1000,6,FALSE),"")</f>
        <v/>
      </c>
      <c r="M2568" s="62"/>
    </row>
    <row r="2569" spans="2:13" x14ac:dyDescent="0.3">
      <c r="B2569" s="54"/>
      <c r="C2569" s="54"/>
      <c r="D2569" s="54"/>
      <c r="E2569" s="234"/>
      <c r="F2569" s="274" t="str">
        <f>IFERROR(VLOOKUP(E2569,'Inventaire des produits'!$B$4:$K$1000,2,0),"")</f>
        <v/>
      </c>
      <c r="G2569" s="54"/>
      <c r="H2569" s="60"/>
      <c r="I2569" s="275" t="str">
        <f t="shared" si="119"/>
        <v/>
      </c>
      <c r="J2569" s="95" t="str">
        <f t="shared" si="120"/>
        <v/>
      </c>
      <c r="K2569" s="93" t="str">
        <f>IFERROR(VLOOKUP(E2569,'Inventaire des produits'!$B$4:$J$1000,5,FALSE),"")</f>
        <v/>
      </c>
      <c r="L2569" s="301" t="str">
        <f>IFERROR(VLOOKUP(E2569,'Inventaire des produits'!$B$4:$J$1000,6,FALSE),"")</f>
        <v/>
      </c>
      <c r="M2569" s="62"/>
    </row>
    <row r="2570" spans="2:13" x14ac:dyDescent="0.3">
      <c r="B2570" s="54"/>
      <c r="C2570" s="54"/>
      <c r="D2570" s="54"/>
      <c r="E2570" s="234"/>
      <c r="F2570" s="274" t="str">
        <f>IFERROR(VLOOKUP(E2570,'Inventaire des produits'!$B$4:$K$1000,2,0),"")</f>
        <v/>
      </c>
      <c r="G2570" s="54"/>
      <c r="H2570" s="60"/>
      <c r="I2570" s="275" t="str">
        <f t="shared" si="119"/>
        <v/>
      </c>
      <c r="J2570" s="95" t="str">
        <f t="shared" si="120"/>
        <v/>
      </c>
      <c r="K2570" s="93" t="str">
        <f>IFERROR(VLOOKUP(E2570,'Inventaire des produits'!$B$4:$J$1000,5,FALSE),"")</f>
        <v/>
      </c>
      <c r="L2570" s="301" t="str">
        <f>IFERROR(VLOOKUP(E2570,'Inventaire des produits'!$B$4:$J$1000,6,FALSE),"")</f>
        <v/>
      </c>
      <c r="M2570" s="62"/>
    </row>
    <row r="2571" spans="2:13" x14ac:dyDescent="0.3">
      <c r="B2571" s="54"/>
      <c r="C2571" s="54"/>
      <c r="D2571" s="54"/>
      <c r="E2571" s="234"/>
      <c r="F2571" s="274" t="str">
        <f>IFERROR(VLOOKUP(E2571,'Inventaire des produits'!$B$4:$K$1000,2,0),"")</f>
        <v/>
      </c>
      <c r="G2571" s="54"/>
      <c r="H2571" s="60"/>
      <c r="I2571" s="275" t="str">
        <f t="shared" si="119"/>
        <v/>
      </c>
      <c r="J2571" s="95" t="str">
        <f t="shared" si="120"/>
        <v/>
      </c>
      <c r="K2571" s="93" t="str">
        <f>IFERROR(VLOOKUP(E2571,'Inventaire des produits'!$B$4:$J$1000,5,FALSE),"")</f>
        <v/>
      </c>
      <c r="L2571" s="301" t="str">
        <f>IFERROR(VLOOKUP(E2571,'Inventaire des produits'!$B$4:$J$1000,6,FALSE),"")</f>
        <v/>
      </c>
      <c r="M2571" s="62"/>
    </row>
    <row r="2572" spans="2:13" x14ac:dyDescent="0.3">
      <c r="B2572" s="54"/>
      <c r="C2572" s="54"/>
      <c r="D2572" s="54"/>
      <c r="E2572" s="234"/>
      <c r="F2572" s="274" t="str">
        <f>IFERROR(VLOOKUP(E2572,'Inventaire des produits'!$B$4:$K$1000,2,0),"")</f>
        <v/>
      </c>
      <c r="G2572" s="54"/>
      <c r="H2572" s="60"/>
      <c r="I2572" s="275" t="str">
        <f t="shared" si="119"/>
        <v/>
      </c>
      <c r="J2572" s="95" t="str">
        <f t="shared" si="120"/>
        <v/>
      </c>
      <c r="K2572" s="93" t="str">
        <f>IFERROR(VLOOKUP(E2572,'Inventaire des produits'!$B$4:$J$1000,5,FALSE),"")</f>
        <v/>
      </c>
      <c r="L2572" s="301" t="str">
        <f>IFERROR(VLOOKUP(E2572,'Inventaire des produits'!$B$4:$J$1000,6,FALSE),"")</f>
        <v/>
      </c>
      <c r="M2572" s="62"/>
    </row>
    <row r="2573" spans="2:13" x14ac:dyDescent="0.3">
      <c r="B2573" s="54"/>
      <c r="C2573" s="54"/>
      <c r="D2573" s="54"/>
      <c r="E2573" s="234"/>
      <c r="F2573" s="274" t="str">
        <f>IFERROR(VLOOKUP(E2573,'Inventaire des produits'!$B$4:$K$1000,2,0),"")</f>
        <v/>
      </c>
      <c r="G2573" s="54"/>
      <c r="H2573" s="60"/>
      <c r="I2573" s="275" t="str">
        <f t="shared" si="119"/>
        <v/>
      </c>
      <c r="J2573" s="95" t="str">
        <f t="shared" si="120"/>
        <v/>
      </c>
      <c r="K2573" s="93" t="str">
        <f>IFERROR(VLOOKUP(E2573,'Inventaire des produits'!$B$4:$J$1000,5,FALSE),"")</f>
        <v/>
      </c>
      <c r="L2573" s="301" t="str">
        <f>IFERROR(VLOOKUP(E2573,'Inventaire des produits'!$B$4:$J$1000,6,FALSE),"")</f>
        <v/>
      </c>
      <c r="M2573" s="62"/>
    </row>
    <row r="2574" spans="2:13" x14ac:dyDescent="0.3">
      <c r="B2574" s="54"/>
      <c r="C2574" s="54"/>
      <c r="D2574" s="54"/>
      <c r="E2574" s="234"/>
      <c r="F2574" s="274" t="str">
        <f>IFERROR(VLOOKUP(E2574,'Inventaire des produits'!$B$4:$K$1000,2,0),"")</f>
        <v/>
      </c>
      <c r="G2574" s="54"/>
      <c r="H2574" s="60"/>
      <c r="I2574" s="275" t="str">
        <f t="shared" si="119"/>
        <v/>
      </c>
      <c r="J2574" s="95" t="str">
        <f t="shared" si="120"/>
        <v/>
      </c>
      <c r="K2574" s="93" t="str">
        <f>IFERROR(VLOOKUP(E2574,'Inventaire des produits'!$B$4:$J$1000,5,FALSE),"")</f>
        <v/>
      </c>
      <c r="L2574" s="301" t="str">
        <f>IFERROR(VLOOKUP(E2574,'Inventaire des produits'!$B$4:$J$1000,6,FALSE),"")</f>
        <v/>
      </c>
      <c r="M2574" s="62"/>
    </row>
    <row r="2575" spans="2:13" x14ac:dyDescent="0.3">
      <c r="B2575" s="54"/>
      <c r="C2575" s="54"/>
      <c r="D2575" s="54"/>
      <c r="E2575" s="234"/>
      <c r="F2575" s="274" t="str">
        <f>IFERROR(VLOOKUP(E2575,'Inventaire des produits'!$B$4:$K$1000,2,0),"")</f>
        <v/>
      </c>
      <c r="G2575" s="54"/>
      <c r="H2575" s="60"/>
      <c r="I2575" s="275" t="str">
        <f t="shared" si="119"/>
        <v/>
      </c>
      <c r="J2575" s="95" t="str">
        <f t="shared" si="120"/>
        <v/>
      </c>
      <c r="K2575" s="93" t="str">
        <f>IFERROR(VLOOKUP(E2575,'Inventaire des produits'!$B$4:$J$1000,5,FALSE),"")</f>
        <v/>
      </c>
      <c r="L2575" s="301" t="str">
        <f>IFERROR(VLOOKUP(E2575,'Inventaire des produits'!$B$4:$J$1000,6,FALSE),"")</f>
        <v/>
      </c>
      <c r="M2575" s="62"/>
    </row>
    <row r="2576" spans="2:13" x14ac:dyDescent="0.3">
      <c r="B2576" s="54"/>
      <c r="C2576" s="54"/>
      <c r="D2576" s="54"/>
      <c r="E2576" s="234"/>
      <c r="F2576" s="274" t="str">
        <f>IFERROR(VLOOKUP(E2576,'Inventaire des produits'!$B$4:$K$1000,2,0),"")</f>
        <v/>
      </c>
      <c r="G2576" s="54"/>
      <c r="H2576" s="60"/>
      <c r="I2576" s="275" t="str">
        <f t="shared" si="119"/>
        <v/>
      </c>
      <c r="J2576" s="95" t="str">
        <f t="shared" si="120"/>
        <v/>
      </c>
      <c r="K2576" s="93" t="str">
        <f>IFERROR(VLOOKUP(E2576,'Inventaire des produits'!$B$4:$J$1000,5,FALSE),"")</f>
        <v/>
      </c>
      <c r="L2576" s="301" t="str">
        <f>IFERROR(VLOOKUP(E2576,'Inventaire des produits'!$B$4:$J$1000,6,FALSE),"")</f>
        <v/>
      </c>
      <c r="M2576" s="62"/>
    </row>
    <row r="2577" spans="2:13" x14ac:dyDescent="0.3">
      <c r="B2577" s="54"/>
      <c r="C2577" s="54"/>
      <c r="D2577" s="54"/>
      <c r="E2577" s="234"/>
      <c r="F2577" s="274" t="str">
        <f>IFERROR(VLOOKUP(E2577,'Inventaire des produits'!$B$4:$K$1000,2,0),"")</f>
        <v/>
      </c>
      <c r="G2577" s="54"/>
      <c r="H2577" s="60"/>
      <c r="I2577" s="275" t="str">
        <f t="shared" si="119"/>
        <v/>
      </c>
      <c r="J2577" s="95" t="str">
        <f t="shared" si="120"/>
        <v/>
      </c>
      <c r="K2577" s="93" t="str">
        <f>IFERROR(VLOOKUP(E2577,'Inventaire des produits'!$B$4:$J$1000,5,FALSE),"")</f>
        <v/>
      </c>
      <c r="L2577" s="301" t="str">
        <f>IFERROR(VLOOKUP(E2577,'Inventaire des produits'!$B$4:$J$1000,6,FALSE),"")</f>
        <v/>
      </c>
      <c r="M2577" s="62"/>
    </row>
    <row r="2578" spans="2:13" x14ac:dyDescent="0.3">
      <c r="B2578" s="54"/>
      <c r="C2578" s="54"/>
      <c r="D2578" s="54"/>
      <c r="E2578" s="234"/>
      <c r="F2578" s="274" t="str">
        <f>IFERROR(VLOOKUP(E2578,'Inventaire des produits'!$B$4:$K$1000,2,0),"")</f>
        <v/>
      </c>
      <c r="G2578" s="54"/>
      <c r="H2578" s="60"/>
      <c r="I2578" s="275" t="str">
        <f t="shared" si="119"/>
        <v/>
      </c>
      <c r="J2578" s="95" t="str">
        <f t="shared" si="120"/>
        <v/>
      </c>
      <c r="K2578" s="93" t="str">
        <f>IFERROR(VLOOKUP(E2578,'Inventaire des produits'!$B$4:$J$1000,5,FALSE),"")</f>
        <v/>
      </c>
      <c r="L2578" s="301" t="str">
        <f>IFERROR(VLOOKUP(E2578,'Inventaire des produits'!$B$4:$J$1000,6,FALSE),"")</f>
        <v/>
      </c>
      <c r="M2578" s="62"/>
    </row>
    <row r="2579" spans="2:13" x14ac:dyDescent="0.3">
      <c r="B2579" s="54"/>
      <c r="C2579" s="54"/>
      <c r="D2579" s="54"/>
      <c r="E2579" s="234"/>
      <c r="F2579" s="274" t="str">
        <f>IFERROR(VLOOKUP(E2579,'Inventaire des produits'!$B$4:$K$1000,2,0),"")</f>
        <v/>
      </c>
      <c r="G2579" s="54"/>
      <c r="H2579" s="60"/>
      <c r="I2579" s="275" t="str">
        <f t="shared" si="119"/>
        <v/>
      </c>
      <c r="J2579" s="95" t="str">
        <f t="shared" si="120"/>
        <v/>
      </c>
      <c r="K2579" s="93" t="str">
        <f>IFERROR(VLOOKUP(E2579,'Inventaire des produits'!$B$4:$J$1000,5,FALSE),"")</f>
        <v/>
      </c>
      <c r="L2579" s="301" t="str">
        <f>IFERROR(VLOOKUP(E2579,'Inventaire des produits'!$B$4:$J$1000,6,FALSE),"")</f>
        <v/>
      </c>
      <c r="M2579" s="62"/>
    </row>
    <row r="2580" spans="2:13" x14ac:dyDescent="0.3">
      <c r="B2580" s="54"/>
      <c r="C2580" s="54"/>
      <c r="D2580" s="54"/>
      <c r="E2580" s="234"/>
      <c r="F2580" s="274" t="str">
        <f>IFERROR(VLOOKUP(E2580,'Inventaire des produits'!$B$4:$K$1000,2,0),"")</f>
        <v/>
      </c>
      <c r="G2580" s="54"/>
      <c r="H2580" s="60"/>
      <c r="I2580" s="275" t="str">
        <f t="shared" si="119"/>
        <v/>
      </c>
      <c r="J2580" s="95" t="str">
        <f t="shared" si="120"/>
        <v/>
      </c>
      <c r="K2580" s="93" t="str">
        <f>IFERROR(VLOOKUP(E2580,'Inventaire des produits'!$B$4:$J$1000,5,FALSE),"")</f>
        <v/>
      </c>
      <c r="L2580" s="301" t="str">
        <f>IFERROR(VLOOKUP(E2580,'Inventaire des produits'!$B$4:$J$1000,6,FALSE),"")</f>
        <v/>
      </c>
      <c r="M2580" s="62"/>
    </row>
    <row r="2581" spans="2:13" x14ac:dyDescent="0.3">
      <c r="B2581" s="54"/>
      <c r="C2581" s="54"/>
      <c r="D2581" s="54"/>
      <c r="E2581" s="234"/>
      <c r="F2581" s="274" t="str">
        <f>IFERROR(VLOOKUP(E2581,'Inventaire des produits'!$B$4:$K$1000,2,0),"")</f>
        <v/>
      </c>
      <c r="G2581" s="54"/>
      <c r="H2581" s="60"/>
      <c r="I2581" s="275" t="str">
        <f t="shared" si="119"/>
        <v/>
      </c>
      <c r="J2581" s="95" t="str">
        <f t="shared" si="120"/>
        <v/>
      </c>
      <c r="K2581" s="93" t="str">
        <f>IFERROR(VLOOKUP(E2581,'Inventaire des produits'!$B$4:$J$1000,5,FALSE),"")</f>
        <v/>
      </c>
      <c r="L2581" s="301" t="str">
        <f>IFERROR(VLOOKUP(E2581,'Inventaire des produits'!$B$4:$J$1000,6,FALSE),"")</f>
        <v/>
      </c>
      <c r="M2581" s="62"/>
    </row>
    <row r="2582" spans="2:13" x14ac:dyDescent="0.3">
      <c r="B2582" s="54"/>
      <c r="C2582" s="54"/>
      <c r="D2582" s="54"/>
      <c r="E2582" s="234"/>
      <c r="F2582" s="274" t="str">
        <f>IFERROR(VLOOKUP(E2582,'Inventaire des produits'!$B$4:$K$1000,2,0),"")</f>
        <v/>
      </c>
      <c r="G2582" s="54"/>
      <c r="H2582" s="60"/>
      <c r="I2582" s="275" t="str">
        <f t="shared" si="119"/>
        <v/>
      </c>
      <c r="J2582" s="95" t="str">
        <f t="shared" si="120"/>
        <v/>
      </c>
      <c r="K2582" s="93" t="str">
        <f>IFERROR(VLOOKUP(E2582,'Inventaire des produits'!$B$4:$J$1000,5,FALSE),"")</f>
        <v/>
      </c>
      <c r="L2582" s="301" t="str">
        <f>IFERROR(VLOOKUP(E2582,'Inventaire des produits'!$B$4:$J$1000,6,FALSE),"")</f>
        <v/>
      </c>
      <c r="M2582" s="62"/>
    </row>
    <row r="2583" spans="2:13" x14ac:dyDescent="0.3">
      <c r="B2583" s="54"/>
      <c r="C2583" s="54"/>
      <c r="D2583" s="54"/>
      <c r="E2583" s="234"/>
      <c r="F2583" s="274" t="str">
        <f>IFERROR(VLOOKUP(E2583,'Inventaire des produits'!$B$4:$K$1000,2,0),"")</f>
        <v/>
      </c>
      <c r="G2583" s="54"/>
      <c r="H2583" s="60"/>
      <c r="I2583" s="275" t="str">
        <f t="shared" si="119"/>
        <v/>
      </c>
      <c r="J2583" s="95" t="str">
        <f t="shared" si="120"/>
        <v/>
      </c>
      <c r="K2583" s="93" t="str">
        <f>IFERROR(VLOOKUP(E2583,'Inventaire des produits'!$B$4:$J$1000,5,FALSE),"")</f>
        <v/>
      </c>
      <c r="L2583" s="301" t="str">
        <f>IFERROR(VLOOKUP(E2583,'Inventaire des produits'!$B$4:$J$1000,6,FALSE),"")</f>
        <v/>
      </c>
      <c r="M2583" s="62"/>
    </row>
    <row r="2584" spans="2:13" x14ac:dyDescent="0.3">
      <c r="B2584" s="54"/>
      <c r="C2584" s="54"/>
      <c r="D2584" s="54"/>
      <c r="E2584" s="234"/>
      <c r="F2584" s="274" t="str">
        <f>IFERROR(VLOOKUP(E2584,'Inventaire des produits'!$B$4:$K$1000,2,0),"")</f>
        <v/>
      </c>
      <c r="G2584" s="54"/>
      <c r="H2584" s="60"/>
      <c r="I2584" s="275" t="str">
        <f t="shared" si="119"/>
        <v/>
      </c>
      <c r="J2584" s="95" t="str">
        <f t="shared" si="120"/>
        <v/>
      </c>
      <c r="K2584" s="93" t="str">
        <f>IFERROR(VLOOKUP(E2584,'Inventaire des produits'!$B$4:$J$1000,5,FALSE),"")</f>
        <v/>
      </c>
      <c r="L2584" s="301" t="str">
        <f>IFERROR(VLOOKUP(E2584,'Inventaire des produits'!$B$4:$J$1000,6,FALSE),"")</f>
        <v/>
      </c>
      <c r="M2584" s="62"/>
    </row>
    <row r="2585" spans="2:13" x14ac:dyDescent="0.3">
      <c r="B2585" s="54"/>
      <c r="C2585" s="54"/>
      <c r="D2585" s="54"/>
      <c r="E2585" s="234"/>
      <c r="F2585" s="274" t="str">
        <f>IFERROR(VLOOKUP(E2585,'Inventaire des produits'!$B$4:$K$1000,2,0),"")</f>
        <v/>
      </c>
      <c r="G2585" s="54"/>
      <c r="H2585" s="60"/>
      <c r="I2585" s="275" t="str">
        <f t="shared" si="119"/>
        <v/>
      </c>
      <c r="J2585" s="95" t="str">
        <f t="shared" si="120"/>
        <v/>
      </c>
      <c r="K2585" s="93" t="str">
        <f>IFERROR(VLOOKUP(E2585,'Inventaire des produits'!$B$4:$J$1000,5,FALSE),"")</f>
        <v/>
      </c>
      <c r="L2585" s="301" t="str">
        <f>IFERROR(VLOOKUP(E2585,'Inventaire des produits'!$B$4:$J$1000,6,FALSE),"")</f>
        <v/>
      </c>
      <c r="M2585" s="62"/>
    </row>
    <row r="2586" spans="2:13" x14ac:dyDescent="0.3">
      <c r="B2586" s="54"/>
      <c r="C2586" s="54"/>
      <c r="D2586" s="54"/>
      <c r="E2586" s="234"/>
      <c r="F2586" s="274" t="str">
        <f>IFERROR(VLOOKUP(E2586,'Inventaire des produits'!$B$4:$K$1000,2,0),"")</f>
        <v/>
      </c>
      <c r="G2586" s="54"/>
      <c r="H2586" s="60"/>
      <c r="I2586" s="275" t="str">
        <f t="shared" si="119"/>
        <v/>
      </c>
      <c r="J2586" s="95" t="str">
        <f t="shared" si="120"/>
        <v/>
      </c>
      <c r="K2586" s="93" t="str">
        <f>IFERROR(VLOOKUP(E2586,'Inventaire des produits'!$B$4:$J$1000,5,FALSE),"")</f>
        <v/>
      </c>
      <c r="L2586" s="301" t="str">
        <f>IFERROR(VLOOKUP(E2586,'Inventaire des produits'!$B$4:$J$1000,6,FALSE),"")</f>
        <v/>
      </c>
      <c r="M2586" s="62"/>
    </row>
    <row r="2587" spans="2:13" x14ac:dyDescent="0.3">
      <c r="B2587" s="54"/>
      <c r="C2587" s="54"/>
      <c r="D2587" s="54"/>
      <c r="E2587" s="234"/>
      <c r="F2587" s="274" t="str">
        <f>IFERROR(VLOOKUP(E2587,'Inventaire des produits'!$B$4:$K$1000,2,0),"")</f>
        <v/>
      </c>
      <c r="G2587" s="54"/>
      <c r="H2587" s="60"/>
      <c r="I2587" s="275" t="str">
        <f t="shared" si="119"/>
        <v/>
      </c>
      <c r="J2587" s="95" t="str">
        <f t="shared" si="120"/>
        <v/>
      </c>
      <c r="K2587" s="93" t="str">
        <f>IFERROR(VLOOKUP(E2587,'Inventaire des produits'!$B$4:$J$1000,5,FALSE),"")</f>
        <v/>
      </c>
      <c r="L2587" s="301" t="str">
        <f>IFERROR(VLOOKUP(E2587,'Inventaire des produits'!$B$4:$J$1000,6,FALSE),"")</f>
        <v/>
      </c>
      <c r="M2587" s="62"/>
    </row>
    <row r="2588" spans="2:13" x14ac:dyDescent="0.3">
      <c r="B2588" s="54"/>
      <c r="C2588" s="54"/>
      <c r="D2588" s="54"/>
      <c r="E2588" s="234"/>
      <c r="F2588" s="274" t="str">
        <f>IFERROR(VLOOKUP(E2588,'Inventaire des produits'!$B$4:$K$1000,2,0),"")</f>
        <v/>
      </c>
      <c r="G2588" s="54"/>
      <c r="H2588" s="60"/>
      <c r="I2588" s="275" t="str">
        <f t="shared" si="119"/>
        <v/>
      </c>
      <c r="J2588" s="95" t="str">
        <f t="shared" si="120"/>
        <v/>
      </c>
      <c r="K2588" s="93" t="str">
        <f>IFERROR(VLOOKUP(E2588,'Inventaire des produits'!$B$4:$J$1000,5,FALSE),"")</f>
        <v/>
      </c>
      <c r="L2588" s="301" t="str">
        <f>IFERROR(VLOOKUP(E2588,'Inventaire des produits'!$B$4:$J$1000,6,FALSE),"")</f>
        <v/>
      </c>
      <c r="M2588" s="62"/>
    </row>
    <row r="2589" spans="2:13" x14ac:dyDescent="0.3">
      <c r="B2589" s="54"/>
      <c r="C2589" s="54"/>
      <c r="D2589" s="54"/>
      <c r="E2589" s="234"/>
      <c r="F2589" s="274" t="str">
        <f>IFERROR(VLOOKUP(E2589,'Inventaire des produits'!$B$4:$K$1000,2,0),"")</f>
        <v/>
      </c>
      <c r="G2589" s="54"/>
      <c r="H2589" s="60"/>
      <c r="I2589" s="275" t="str">
        <f t="shared" si="119"/>
        <v/>
      </c>
      <c r="J2589" s="95" t="str">
        <f t="shared" si="120"/>
        <v/>
      </c>
      <c r="K2589" s="93" t="str">
        <f>IFERROR(VLOOKUP(E2589,'Inventaire des produits'!$B$4:$J$1000,5,FALSE),"")</f>
        <v/>
      </c>
      <c r="L2589" s="301" t="str">
        <f>IFERROR(VLOOKUP(E2589,'Inventaire des produits'!$B$4:$J$1000,6,FALSE),"")</f>
        <v/>
      </c>
      <c r="M2589" s="62"/>
    </row>
    <row r="2590" spans="2:13" x14ac:dyDescent="0.3">
      <c r="B2590" s="54"/>
      <c r="C2590" s="54"/>
      <c r="D2590" s="54"/>
      <c r="E2590" s="234"/>
      <c r="F2590" s="274" t="str">
        <f>IFERROR(VLOOKUP(E2590,'Inventaire des produits'!$B$4:$K$1000,2,0),"")</f>
        <v/>
      </c>
      <c r="G2590" s="54"/>
      <c r="H2590" s="60"/>
      <c r="I2590" s="275" t="str">
        <f t="shared" si="119"/>
        <v/>
      </c>
      <c r="J2590" s="95" t="str">
        <f t="shared" si="120"/>
        <v/>
      </c>
      <c r="K2590" s="93" t="str">
        <f>IFERROR(VLOOKUP(E2590,'Inventaire des produits'!$B$4:$J$1000,5,FALSE),"")</f>
        <v/>
      </c>
      <c r="L2590" s="301" t="str">
        <f>IFERROR(VLOOKUP(E2590,'Inventaire des produits'!$B$4:$J$1000,6,FALSE),"")</f>
        <v/>
      </c>
      <c r="M2590" s="62"/>
    </row>
    <row r="2591" spans="2:13" x14ac:dyDescent="0.3">
      <c r="B2591" s="54"/>
      <c r="C2591" s="54"/>
      <c r="D2591" s="54"/>
      <c r="E2591" s="234"/>
      <c r="F2591" s="274" t="str">
        <f>IFERROR(VLOOKUP(E2591,'Inventaire des produits'!$B$4:$K$1000,2,0),"")</f>
        <v/>
      </c>
      <c r="G2591" s="54"/>
      <c r="H2591" s="60"/>
      <c r="I2591" s="275" t="str">
        <f t="shared" si="119"/>
        <v/>
      </c>
      <c r="J2591" s="95" t="str">
        <f t="shared" si="120"/>
        <v/>
      </c>
      <c r="K2591" s="93" t="str">
        <f>IFERROR(VLOOKUP(E2591,'Inventaire des produits'!$B$4:$J$1000,5,FALSE),"")</f>
        <v/>
      </c>
      <c r="L2591" s="301" t="str">
        <f>IFERROR(VLOOKUP(E2591,'Inventaire des produits'!$B$4:$J$1000,6,FALSE),"")</f>
        <v/>
      </c>
      <c r="M2591" s="62"/>
    </row>
    <row r="2592" spans="2:13" x14ac:dyDescent="0.3">
      <c r="B2592" s="54"/>
      <c r="C2592" s="54"/>
      <c r="D2592" s="54"/>
      <c r="E2592" s="234"/>
      <c r="F2592" s="274" t="str">
        <f>IFERROR(VLOOKUP(E2592,'Inventaire des produits'!$B$4:$K$1000,2,0),"")</f>
        <v/>
      </c>
      <c r="G2592" s="54"/>
      <c r="H2592" s="60"/>
      <c r="I2592" s="275" t="str">
        <f t="shared" si="119"/>
        <v/>
      </c>
      <c r="J2592" s="95" t="str">
        <f t="shared" si="120"/>
        <v/>
      </c>
      <c r="K2592" s="93" t="str">
        <f>IFERROR(VLOOKUP(E2592,'Inventaire des produits'!$B$4:$J$1000,5,FALSE),"")</f>
        <v/>
      </c>
      <c r="L2592" s="301" t="str">
        <f>IFERROR(VLOOKUP(E2592,'Inventaire des produits'!$B$4:$J$1000,6,FALSE),"")</f>
        <v/>
      </c>
      <c r="M2592" s="62"/>
    </row>
    <row r="2593" spans="2:13" x14ac:dyDescent="0.3">
      <c r="B2593" s="54"/>
      <c r="C2593" s="54"/>
      <c r="D2593" s="54"/>
      <c r="E2593" s="234"/>
      <c r="F2593" s="274" t="str">
        <f>IFERROR(VLOOKUP(E2593,'Inventaire des produits'!$B$4:$K$1000,2,0),"")</f>
        <v/>
      </c>
      <c r="G2593" s="54"/>
      <c r="H2593" s="60"/>
      <c r="I2593" s="275" t="str">
        <f t="shared" si="119"/>
        <v/>
      </c>
      <c r="J2593" s="95" t="str">
        <f t="shared" si="120"/>
        <v/>
      </c>
      <c r="K2593" s="93" t="str">
        <f>IFERROR(VLOOKUP(E2593,'Inventaire des produits'!$B$4:$J$1000,5,FALSE),"")</f>
        <v/>
      </c>
      <c r="L2593" s="301" t="str">
        <f>IFERROR(VLOOKUP(E2593,'Inventaire des produits'!$B$4:$J$1000,6,FALSE),"")</f>
        <v/>
      </c>
      <c r="M2593" s="62"/>
    </row>
    <row r="2594" spans="2:13" x14ac:dyDescent="0.3">
      <c r="B2594" s="54"/>
      <c r="C2594" s="54"/>
      <c r="D2594" s="54"/>
      <c r="E2594" s="234"/>
      <c r="F2594" s="274" t="str">
        <f>IFERROR(VLOOKUP(E2594,'Inventaire des produits'!$B$4:$K$1000,2,0),"")</f>
        <v/>
      </c>
      <c r="G2594" s="54"/>
      <c r="H2594" s="60"/>
      <c r="I2594" s="275" t="str">
        <f t="shared" si="119"/>
        <v/>
      </c>
      <c r="J2594" s="95" t="str">
        <f t="shared" si="120"/>
        <v/>
      </c>
      <c r="K2594" s="93" t="str">
        <f>IFERROR(VLOOKUP(E2594,'Inventaire des produits'!$B$4:$J$1000,5,FALSE),"")</f>
        <v/>
      </c>
      <c r="L2594" s="301" t="str">
        <f>IFERROR(VLOOKUP(E2594,'Inventaire des produits'!$B$4:$J$1000,6,FALSE),"")</f>
        <v/>
      </c>
      <c r="M2594" s="62"/>
    </row>
    <row r="2595" spans="2:13" x14ac:dyDescent="0.3">
      <c r="B2595" s="54"/>
      <c r="C2595" s="54"/>
      <c r="D2595" s="54"/>
      <c r="E2595" s="234"/>
      <c r="F2595" s="274" t="str">
        <f>IFERROR(VLOOKUP(E2595,'Inventaire des produits'!$B$4:$K$1000,2,0),"")</f>
        <v/>
      </c>
      <c r="G2595" s="54"/>
      <c r="H2595" s="60"/>
      <c r="I2595" s="275" t="str">
        <f t="shared" si="119"/>
        <v/>
      </c>
      <c r="J2595" s="95" t="str">
        <f t="shared" si="120"/>
        <v/>
      </c>
      <c r="K2595" s="93" t="str">
        <f>IFERROR(VLOOKUP(E2595,'Inventaire des produits'!$B$4:$J$1000,5,FALSE),"")</f>
        <v/>
      </c>
      <c r="L2595" s="301" t="str">
        <f>IFERROR(VLOOKUP(E2595,'Inventaire des produits'!$B$4:$J$1000,6,FALSE),"")</f>
        <v/>
      </c>
      <c r="M2595" s="62"/>
    </row>
    <row r="2596" spans="2:13" x14ac:dyDescent="0.3">
      <c r="M2596" s="73"/>
    </row>
    <row r="2597" spans="2:13" x14ac:dyDescent="0.3">
      <c r="M2597" s="73"/>
    </row>
    <row r="2598" spans="2:13" x14ac:dyDescent="0.3">
      <c r="M2598" s="73"/>
    </row>
  </sheetData>
  <sheetProtection formatCells="0" formatColumns="0" formatRows="0" insertColumns="0" insertRows="0" insertHyperlinks="0" deleteColumns="0" deleteRows="0" sort="0" autoFilter="0" pivotTables="0"/>
  <autoFilter ref="B3:I811"/>
  <sortState ref="C1627:D1633">
    <sortCondition descending="1" ref="C1627"/>
  </sortState>
  <dataConsolidate>
    <dataRefs count="1">
      <dataRef ref="B4:K1385" sheet="vente" r:id="rId1"/>
    </dataRefs>
  </dataConsolidate>
  <mergeCells count="659">
    <mergeCell ref="D2150:D2154"/>
    <mergeCell ref="C2150:C2154"/>
    <mergeCell ref="D2147:D2149"/>
    <mergeCell ref="C2147:C2149"/>
    <mergeCell ref="D2098:D2102"/>
    <mergeCell ref="C2098:C2102"/>
    <mergeCell ref="D2124:D2128"/>
    <mergeCell ref="C2124:C2128"/>
    <mergeCell ref="D2114:D2123"/>
    <mergeCell ref="C2114:C2123"/>
    <mergeCell ref="D2104:D2113"/>
    <mergeCell ref="C2104:C2113"/>
    <mergeCell ref="D1879:D1883"/>
    <mergeCell ref="C1879:C1883"/>
    <mergeCell ref="D1965:D1968"/>
    <mergeCell ref="C1965:C1968"/>
    <mergeCell ref="D1957:D1964"/>
    <mergeCell ref="C1957:C1964"/>
    <mergeCell ref="D1942:D1943"/>
    <mergeCell ref="C1942:C1943"/>
    <mergeCell ref="D1944:D1954"/>
    <mergeCell ref="C1944:C1954"/>
    <mergeCell ref="D1884:D1888"/>
    <mergeCell ref="C1884:C1888"/>
    <mergeCell ref="D1907:D1925"/>
    <mergeCell ref="C1907:C1925"/>
    <mergeCell ref="C1889:C1897"/>
    <mergeCell ref="D1889:D1897"/>
    <mergeCell ref="D1828:D1831"/>
    <mergeCell ref="C1828:C1831"/>
    <mergeCell ref="D1832:D1835"/>
    <mergeCell ref="C1832:C1835"/>
    <mergeCell ref="D1836:D1840"/>
    <mergeCell ref="C1836:C1840"/>
    <mergeCell ref="C1841:C1853"/>
    <mergeCell ref="D1841:D1853"/>
    <mergeCell ref="D1874:D1878"/>
    <mergeCell ref="C1874:C1878"/>
    <mergeCell ref="D1863:D1873"/>
    <mergeCell ref="C1863:C1873"/>
    <mergeCell ref="D1854:D1859"/>
    <mergeCell ref="C1854:C1859"/>
    <mergeCell ref="D1860:D1862"/>
    <mergeCell ref="C1860:C1862"/>
    <mergeCell ref="D1716:D1726"/>
    <mergeCell ref="C1716:C1726"/>
    <mergeCell ref="D1742:D1753"/>
    <mergeCell ref="C1742:C1753"/>
    <mergeCell ref="C1727:C1729"/>
    <mergeCell ref="D1727:D1729"/>
    <mergeCell ref="C1765:C1768"/>
    <mergeCell ref="D1765:D1768"/>
    <mergeCell ref="D1730:D1741"/>
    <mergeCell ref="C1730:C1741"/>
    <mergeCell ref="D1788:D1791"/>
    <mergeCell ref="C1788:C1791"/>
    <mergeCell ref="D1773:D1774"/>
    <mergeCell ref="C1773:C1774"/>
    <mergeCell ref="D1769:D1772"/>
    <mergeCell ref="C1769:C1772"/>
    <mergeCell ref="D1754:D1764"/>
    <mergeCell ref="C1754:C1764"/>
    <mergeCell ref="D1667:D1669"/>
    <mergeCell ref="C1667:C1669"/>
    <mergeCell ref="D1704:D1715"/>
    <mergeCell ref="C1704:C1715"/>
    <mergeCell ref="D1670:D1680"/>
    <mergeCell ref="C1670:C1680"/>
    <mergeCell ref="D1681:D1692"/>
    <mergeCell ref="C1681:C1692"/>
    <mergeCell ref="D1693:D1703"/>
    <mergeCell ref="C1693:C1703"/>
    <mergeCell ref="D1656:D1663"/>
    <mergeCell ref="C1656:C1663"/>
    <mergeCell ref="D1643:D1649"/>
    <mergeCell ref="C1643:C1649"/>
    <mergeCell ref="D1650:D1655"/>
    <mergeCell ref="C1650:C1655"/>
    <mergeCell ref="D1627:D1633"/>
    <mergeCell ref="C1627:C1633"/>
    <mergeCell ref="D1636:D1642"/>
    <mergeCell ref="C1636:C1642"/>
    <mergeCell ref="D1612:D1615"/>
    <mergeCell ref="C1612:C1615"/>
    <mergeCell ref="D1616:D1618"/>
    <mergeCell ref="C1616:C1618"/>
    <mergeCell ref="D1619:D1626"/>
    <mergeCell ref="C1619:C1626"/>
    <mergeCell ref="D1601:D1608"/>
    <mergeCell ref="C1601:C1608"/>
    <mergeCell ref="D1609:D1611"/>
    <mergeCell ref="C1609:C1611"/>
    <mergeCell ref="D1581:D1592"/>
    <mergeCell ref="C1581:C1592"/>
    <mergeCell ref="D1578:D1580"/>
    <mergeCell ref="C1578:C1580"/>
    <mergeCell ref="D1593:D1599"/>
    <mergeCell ref="C1593:C1599"/>
    <mergeCell ref="D1564:D1573"/>
    <mergeCell ref="C1564:C1573"/>
    <mergeCell ref="D1574:D1577"/>
    <mergeCell ref="C1574:C1577"/>
    <mergeCell ref="D1015:D1018"/>
    <mergeCell ref="C1015:C1018"/>
    <mergeCell ref="D1089:D1092"/>
    <mergeCell ref="C1089:C1092"/>
    <mergeCell ref="D1380:D1381"/>
    <mergeCell ref="C1380:C1381"/>
    <mergeCell ref="D1083:D1084"/>
    <mergeCell ref="C1083:C1084"/>
    <mergeCell ref="D1086:D1088"/>
    <mergeCell ref="C1086:C1088"/>
    <mergeCell ref="C1057:C1070"/>
    <mergeCell ref="D1057:D1070"/>
    <mergeCell ref="C1037:C1046"/>
    <mergeCell ref="D1037:D1046"/>
    <mergeCell ref="C1077:C1082"/>
    <mergeCell ref="D1077:D1082"/>
    <mergeCell ref="D1047:D1050"/>
    <mergeCell ref="C1047:C1050"/>
    <mergeCell ref="C1071:C1076"/>
    <mergeCell ref="D1071:D1076"/>
    <mergeCell ref="C1051:C1056"/>
    <mergeCell ref="D1051:D1056"/>
    <mergeCell ref="D915:D918"/>
    <mergeCell ref="C915:C918"/>
    <mergeCell ref="C919:C920"/>
    <mergeCell ref="D919:D920"/>
    <mergeCell ref="C1023:C1031"/>
    <mergeCell ref="D1023:D1031"/>
    <mergeCell ref="D998:D1005"/>
    <mergeCell ref="C998:C1005"/>
    <mergeCell ref="D995:D997"/>
    <mergeCell ref="C995:C997"/>
    <mergeCell ref="D970:D982"/>
    <mergeCell ref="C970:C982"/>
    <mergeCell ref="D983:D994"/>
    <mergeCell ref="C983:C994"/>
    <mergeCell ref="D1007:D1009"/>
    <mergeCell ref="C1007:C1009"/>
    <mergeCell ref="C1032:C1036"/>
    <mergeCell ref="D1032:D1036"/>
    <mergeCell ref="D927:D928"/>
    <mergeCell ref="C927:C928"/>
    <mergeCell ref="D922:D925"/>
    <mergeCell ref="C922:C925"/>
    <mergeCell ref="D1019:D1022"/>
    <mergeCell ref="C1019:C1022"/>
    <mergeCell ref="D944:D956"/>
    <mergeCell ref="C944:C956"/>
    <mergeCell ref="D930:D942"/>
    <mergeCell ref="C930:C942"/>
    <mergeCell ref="D957:D969"/>
    <mergeCell ref="C957:C969"/>
    <mergeCell ref="D1010:D1014"/>
    <mergeCell ref="C1010:C1014"/>
    <mergeCell ref="D901:D903"/>
    <mergeCell ref="C901:C903"/>
    <mergeCell ref="D905:D910"/>
    <mergeCell ref="C905:C910"/>
    <mergeCell ref="D912:D914"/>
    <mergeCell ref="C912:C914"/>
    <mergeCell ref="D876:D881"/>
    <mergeCell ref="C876:C881"/>
    <mergeCell ref="D894:D896"/>
    <mergeCell ref="C894:C896"/>
    <mergeCell ref="D897:D899"/>
    <mergeCell ref="C897:C899"/>
    <mergeCell ref="D888:D893"/>
    <mergeCell ref="C888:C893"/>
    <mergeCell ref="D864:D866"/>
    <mergeCell ref="C864:C866"/>
    <mergeCell ref="D873:D875"/>
    <mergeCell ref="C873:C875"/>
    <mergeCell ref="D867:D872"/>
    <mergeCell ref="C867:C872"/>
    <mergeCell ref="D817:D818"/>
    <mergeCell ref="C817:C818"/>
    <mergeCell ref="D782:D786"/>
    <mergeCell ref="C782:C786"/>
    <mergeCell ref="D813:D816"/>
    <mergeCell ref="C813:C816"/>
    <mergeCell ref="D804:D812"/>
    <mergeCell ref="C804:C812"/>
    <mergeCell ref="D794:D803"/>
    <mergeCell ref="C794:C803"/>
    <mergeCell ref="D853:D863"/>
    <mergeCell ref="C853:C863"/>
    <mergeCell ref="D882:D887"/>
    <mergeCell ref="C882:C887"/>
    <mergeCell ref="D762:D770"/>
    <mergeCell ref="C762:C770"/>
    <mergeCell ref="D787:D793"/>
    <mergeCell ref="C787:C793"/>
    <mergeCell ref="D820:D830"/>
    <mergeCell ref="C820:C830"/>
    <mergeCell ref="D831:D841"/>
    <mergeCell ref="C831:C841"/>
    <mergeCell ref="D842:D852"/>
    <mergeCell ref="C842:C852"/>
    <mergeCell ref="D774:D781"/>
    <mergeCell ref="C774:C781"/>
    <mergeCell ref="D751:D760"/>
    <mergeCell ref="C751:C760"/>
    <mergeCell ref="D771:D773"/>
    <mergeCell ref="C771:C773"/>
    <mergeCell ref="D739:D746"/>
    <mergeCell ref="C739:C746"/>
    <mergeCell ref="D732:D736"/>
    <mergeCell ref="C732:C736"/>
    <mergeCell ref="D747:D749"/>
    <mergeCell ref="C747:C749"/>
    <mergeCell ref="C514:C515"/>
    <mergeCell ref="D514:D515"/>
    <mergeCell ref="D639:D642"/>
    <mergeCell ref="C639:C642"/>
    <mergeCell ref="D632:D637"/>
    <mergeCell ref="C632:C637"/>
    <mergeCell ref="C578:C581"/>
    <mergeCell ref="D578:D581"/>
    <mergeCell ref="D582:D583"/>
    <mergeCell ref="C582:C583"/>
    <mergeCell ref="D524:D528"/>
    <mergeCell ref="C524:C528"/>
    <mergeCell ref="D520:D523"/>
    <mergeCell ref="C520:C523"/>
    <mergeCell ref="D467:D469"/>
    <mergeCell ref="C467:C469"/>
    <mergeCell ref="D470:D473"/>
    <mergeCell ref="C470:C473"/>
    <mergeCell ref="D512:D513"/>
    <mergeCell ref="C512:C513"/>
    <mergeCell ref="D474:D485"/>
    <mergeCell ref="C474:C485"/>
    <mergeCell ref="D486:D497"/>
    <mergeCell ref="C486:C497"/>
    <mergeCell ref="D498:D508"/>
    <mergeCell ref="C498:C508"/>
    <mergeCell ref="D509:D511"/>
    <mergeCell ref="C509:C511"/>
    <mergeCell ref="D443:D444"/>
    <mergeCell ref="C443:C444"/>
    <mergeCell ref="D462:D466"/>
    <mergeCell ref="C462:C466"/>
    <mergeCell ref="D451:D452"/>
    <mergeCell ref="C451:C452"/>
    <mergeCell ref="D456:D461"/>
    <mergeCell ref="C456:C461"/>
    <mergeCell ref="D446:D450"/>
    <mergeCell ref="C446:C450"/>
    <mergeCell ref="C453:C455"/>
    <mergeCell ref="D453:D455"/>
    <mergeCell ref="D430:D433"/>
    <mergeCell ref="C430:C433"/>
    <mergeCell ref="D434:D439"/>
    <mergeCell ref="C434:C439"/>
    <mergeCell ref="D380:D384"/>
    <mergeCell ref="C380:C384"/>
    <mergeCell ref="D410:D413"/>
    <mergeCell ref="C410:C413"/>
    <mergeCell ref="D414:D424"/>
    <mergeCell ref="C414:C424"/>
    <mergeCell ref="D425:D429"/>
    <mergeCell ref="C425:C429"/>
    <mergeCell ref="D377:D379"/>
    <mergeCell ref="C377:C379"/>
    <mergeCell ref="D406:D409"/>
    <mergeCell ref="C406:C409"/>
    <mergeCell ref="D388:D397"/>
    <mergeCell ref="C388:C397"/>
    <mergeCell ref="D385:D386"/>
    <mergeCell ref="C385:C386"/>
    <mergeCell ref="D398:D403"/>
    <mergeCell ref="C398:C403"/>
    <mergeCell ref="D365:D376"/>
    <mergeCell ref="C365:C376"/>
    <mergeCell ref="D353:D364"/>
    <mergeCell ref="C353:C364"/>
    <mergeCell ref="D341:D344"/>
    <mergeCell ref="C341:C344"/>
    <mergeCell ref="D345:D352"/>
    <mergeCell ref="C345:C352"/>
    <mergeCell ref="D287:D288"/>
    <mergeCell ref="C287:C288"/>
    <mergeCell ref="D289:D293"/>
    <mergeCell ref="C289:C293"/>
    <mergeCell ref="D308:D311"/>
    <mergeCell ref="C308:C311"/>
    <mergeCell ref="D294:D296"/>
    <mergeCell ref="C294:C296"/>
    <mergeCell ref="D284:D286"/>
    <mergeCell ref="C284:C286"/>
    <mergeCell ref="D267:D270"/>
    <mergeCell ref="C267:C270"/>
    <mergeCell ref="D280:D283"/>
    <mergeCell ref="C280:C283"/>
    <mergeCell ref="D271:D279"/>
    <mergeCell ref="C271:C279"/>
    <mergeCell ref="D242:D243"/>
    <mergeCell ref="C242:C243"/>
    <mergeCell ref="D244:D247"/>
    <mergeCell ref="C244:C247"/>
    <mergeCell ref="D260:D266"/>
    <mergeCell ref="C260:C266"/>
    <mergeCell ref="D254:D258"/>
    <mergeCell ref="C254:C258"/>
    <mergeCell ref="D248:D253"/>
    <mergeCell ref="C248:C253"/>
    <mergeCell ref="D223:D226"/>
    <mergeCell ref="C223:C226"/>
    <mergeCell ref="D152:D154"/>
    <mergeCell ref="C152:C154"/>
    <mergeCell ref="C201:C204"/>
    <mergeCell ref="D189:D200"/>
    <mergeCell ref="C189:C200"/>
    <mergeCell ref="D205:D210"/>
    <mergeCell ref="C205:C210"/>
    <mergeCell ref="C211:C213"/>
    <mergeCell ref="D211:D213"/>
    <mergeCell ref="D177:D188"/>
    <mergeCell ref="D227:D230"/>
    <mergeCell ref="C227:C230"/>
    <mergeCell ref="D174:D176"/>
    <mergeCell ref="C174:C176"/>
    <mergeCell ref="D161:D164"/>
    <mergeCell ref="D58:D60"/>
    <mergeCell ref="C58:C60"/>
    <mergeCell ref="D61:D70"/>
    <mergeCell ref="D96:D99"/>
    <mergeCell ref="C96:C99"/>
    <mergeCell ref="C92:C94"/>
    <mergeCell ref="D92:D94"/>
    <mergeCell ref="D71:D74"/>
    <mergeCell ref="C71:C74"/>
    <mergeCell ref="D87:D90"/>
    <mergeCell ref="C87:C90"/>
    <mergeCell ref="B2:M2"/>
    <mergeCell ref="D4:D9"/>
    <mergeCell ref="C4:C9"/>
    <mergeCell ref="D11:D14"/>
    <mergeCell ref="C11:C14"/>
    <mergeCell ref="D18:D20"/>
    <mergeCell ref="C18:C20"/>
    <mergeCell ref="D21:D26"/>
    <mergeCell ref="C21:C26"/>
    <mergeCell ref="D27:D35"/>
    <mergeCell ref="C27:C35"/>
    <mergeCell ref="D104:D106"/>
    <mergeCell ref="C104:C106"/>
    <mergeCell ref="D36:D40"/>
    <mergeCell ref="C36:C40"/>
    <mergeCell ref="D83:D86"/>
    <mergeCell ref="C83:C86"/>
    <mergeCell ref="D80:D82"/>
    <mergeCell ref="C80:C82"/>
    <mergeCell ref="C75:C79"/>
    <mergeCell ref="D75:D79"/>
    <mergeCell ref="C50:C57"/>
    <mergeCell ref="D50:D57"/>
    <mergeCell ref="D42:D49"/>
    <mergeCell ref="C42:C49"/>
    <mergeCell ref="C61:C70"/>
    <mergeCell ref="D100:D103"/>
    <mergeCell ref="C100:C103"/>
    <mergeCell ref="C124:C128"/>
    <mergeCell ref="D130:D134"/>
    <mergeCell ref="C130:C134"/>
    <mergeCell ref="D120:D122"/>
    <mergeCell ref="C177:C188"/>
    <mergeCell ref="D148:D151"/>
    <mergeCell ref="C148:C151"/>
    <mergeCell ref="D136:D141"/>
    <mergeCell ref="C136:C141"/>
    <mergeCell ref="C161:C164"/>
    <mergeCell ref="D201:D204"/>
    <mergeCell ref="D107:D115"/>
    <mergeCell ref="C107:C115"/>
    <mergeCell ref="C232:C240"/>
    <mergeCell ref="D232:D240"/>
    <mergeCell ref="D214:D222"/>
    <mergeCell ref="C214:C222"/>
    <mergeCell ref="D144:D147"/>
    <mergeCell ref="C144:C147"/>
    <mergeCell ref="D165:D173"/>
    <mergeCell ref="C165:C173"/>
    <mergeCell ref="D156:D160"/>
    <mergeCell ref="C156:C160"/>
    <mergeCell ref="D116:D119"/>
    <mergeCell ref="C116:C119"/>
    <mergeCell ref="C120:C122"/>
    <mergeCell ref="D124:D128"/>
    <mergeCell ref="D329:D340"/>
    <mergeCell ref="C329:C340"/>
    <mergeCell ref="D312:D316"/>
    <mergeCell ref="C312:C316"/>
    <mergeCell ref="D297:D304"/>
    <mergeCell ref="C297:C304"/>
    <mergeCell ref="D305:D306"/>
    <mergeCell ref="C305:C306"/>
    <mergeCell ref="D317:D328"/>
    <mergeCell ref="C317:C328"/>
    <mergeCell ref="D529:D538"/>
    <mergeCell ref="C529:C538"/>
    <mergeCell ref="D553:D556"/>
    <mergeCell ref="C553:C556"/>
    <mergeCell ref="D547:D552"/>
    <mergeCell ref="C547:C552"/>
    <mergeCell ref="C544:C545"/>
    <mergeCell ref="D544:D545"/>
    <mergeCell ref="C540:C543"/>
    <mergeCell ref="D540:D543"/>
    <mergeCell ref="D597:D599"/>
    <mergeCell ref="C597:C599"/>
    <mergeCell ref="D584:D585"/>
    <mergeCell ref="C584:C585"/>
    <mergeCell ref="D591:D595"/>
    <mergeCell ref="C591:C595"/>
    <mergeCell ref="C586:C590"/>
    <mergeCell ref="D586:D590"/>
    <mergeCell ref="D568:D570"/>
    <mergeCell ref="C560:C566"/>
    <mergeCell ref="D560:D566"/>
    <mergeCell ref="C568:C570"/>
    <mergeCell ref="D571:D577"/>
    <mergeCell ref="C571:C577"/>
    <mergeCell ref="D624:D627"/>
    <mergeCell ref="C624:C627"/>
    <mergeCell ref="D600:D606"/>
    <mergeCell ref="C600:C606"/>
    <mergeCell ref="D611:D615"/>
    <mergeCell ref="C611:C615"/>
    <mergeCell ref="D607:D610"/>
    <mergeCell ref="C607:C610"/>
    <mergeCell ref="D619:D623"/>
    <mergeCell ref="C619:C623"/>
    <mergeCell ref="D616:D618"/>
    <mergeCell ref="C616:C618"/>
    <mergeCell ref="D699:D709"/>
    <mergeCell ref="C699:C709"/>
    <mergeCell ref="C696:C698"/>
    <mergeCell ref="D696:D698"/>
    <mergeCell ref="D628:D631"/>
    <mergeCell ref="C628:C631"/>
    <mergeCell ref="D688:D690"/>
    <mergeCell ref="C688:C690"/>
    <mergeCell ref="D643:D657"/>
    <mergeCell ref="C643:C657"/>
    <mergeCell ref="D658:D672"/>
    <mergeCell ref="C658:C672"/>
    <mergeCell ref="D673:D687"/>
    <mergeCell ref="C673:C687"/>
    <mergeCell ref="C516:C519"/>
    <mergeCell ref="D516:D519"/>
    <mergeCell ref="D722:D725"/>
    <mergeCell ref="C722:C725"/>
    <mergeCell ref="D726:D731"/>
    <mergeCell ref="C726:C731"/>
    <mergeCell ref="D711:D713"/>
    <mergeCell ref="C711:C713"/>
    <mergeCell ref="C714:C716"/>
    <mergeCell ref="D714:D716"/>
    <mergeCell ref="D718:D721"/>
    <mergeCell ref="C718:C721"/>
    <mergeCell ref="D691:D692"/>
    <mergeCell ref="C691:C692"/>
    <mergeCell ref="C693:C695"/>
    <mergeCell ref="D693:D695"/>
    <mergeCell ref="D1094:D1102"/>
    <mergeCell ref="C1094:C1102"/>
    <mergeCell ref="D1115:D1116"/>
    <mergeCell ref="C1115:C1116"/>
    <mergeCell ref="D1103:D1104"/>
    <mergeCell ref="C1103:C1104"/>
    <mergeCell ref="D1106:D1114"/>
    <mergeCell ref="C1106:C1114"/>
    <mergeCell ref="D1117:D1121"/>
    <mergeCell ref="C1117:C1121"/>
    <mergeCell ref="D1122:D1126"/>
    <mergeCell ref="C1122:C1126"/>
    <mergeCell ref="D1144:D1146"/>
    <mergeCell ref="C1144:C1146"/>
    <mergeCell ref="D1296:D1301"/>
    <mergeCell ref="C1296:C1301"/>
    <mergeCell ref="D1285:D1295"/>
    <mergeCell ref="C1285:C1295"/>
    <mergeCell ref="D1128:D1143"/>
    <mergeCell ref="C1128:C1143"/>
    <mergeCell ref="D1147:D1155"/>
    <mergeCell ref="C1147:C1155"/>
    <mergeCell ref="D1275:D1276"/>
    <mergeCell ref="C1275:C1276"/>
    <mergeCell ref="C1277:C1278"/>
    <mergeCell ref="D1277:D1278"/>
    <mergeCell ref="D1265:D1266"/>
    <mergeCell ref="C1265:C1266"/>
    <mergeCell ref="D1263:D1264"/>
    <mergeCell ref="C1263:C1264"/>
    <mergeCell ref="D1267:D1272"/>
    <mergeCell ref="C1267:C1272"/>
    <mergeCell ref="D1279:D1284"/>
    <mergeCell ref="C1279:C1284"/>
    <mergeCell ref="D1169:D1186"/>
    <mergeCell ref="C1169:C1186"/>
    <mergeCell ref="D1187:D1201"/>
    <mergeCell ref="C1187:C1201"/>
    <mergeCell ref="C1261:C1262"/>
    <mergeCell ref="D1261:D1262"/>
    <mergeCell ref="D1217:D1231"/>
    <mergeCell ref="D1232:D1246"/>
    <mergeCell ref="C1217:C1231"/>
    <mergeCell ref="D1156:D1167"/>
    <mergeCell ref="C1156:C1167"/>
    <mergeCell ref="D1202:D1216"/>
    <mergeCell ref="C1202:C1216"/>
    <mergeCell ref="D1257:D1260"/>
    <mergeCell ref="C1257:C1260"/>
    <mergeCell ref="D1252:D1256"/>
    <mergeCell ref="C1252:C1256"/>
    <mergeCell ref="C1232:C1246"/>
    <mergeCell ref="D1247:D1251"/>
    <mergeCell ref="C1247:C1251"/>
    <mergeCell ref="D1315:D1316"/>
    <mergeCell ref="C1315:C1316"/>
    <mergeCell ref="D1302:D1312"/>
    <mergeCell ref="C1302:C1312"/>
    <mergeCell ref="D1327:D1335"/>
    <mergeCell ref="C1327:C1335"/>
    <mergeCell ref="D1313:D1314"/>
    <mergeCell ref="C1313:C1314"/>
    <mergeCell ref="D1323:D1326"/>
    <mergeCell ref="C1323:C1326"/>
    <mergeCell ref="D1318:D1322"/>
    <mergeCell ref="C1318:C1322"/>
    <mergeCell ref="D1338:D1348"/>
    <mergeCell ref="C1338:C1348"/>
    <mergeCell ref="D1364:D1367"/>
    <mergeCell ref="C1364:C1367"/>
    <mergeCell ref="D1359:D1363"/>
    <mergeCell ref="C1359:C1363"/>
    <mergeCell ref="D1351:D1358"/>
    <mergeCell ref="C1351:C1358"/>
    <mergeCell ref="C1368:C1370"/>
    <mergeCell ref="D1368:D1370"/>
    <mergeCell ref="D1373:D1374"/>
    <mergeCell ref="C1373:C1374"/>
    <mergeCell ref="D1382:D1384"/>
    <mergeCell ref="C1382:C1384"/>
    <mergeCell ref="D1375:D1379"/>
    <mergeCell ref="C1375:C1379"/>
    <mergeCell ref="D1371:D1372"/>
    <mergeCell ref="C1371:C1372"/>
    <mergeCell ref="D1397:D1402"/>
    <mergeCell ref="C1397:C1402"/>
    <mergeCell ref="D1386:D1396"/>
    <mergeCell ref="C1386:C1396"/>
    <mergeCell ref="D1405:D1416"/>
    <mergeCell ref="C1405:C1416"/>
    <mergeCell ref="D1474:D1483"/>
    <mergeCell ref="C1474:C1483"/>
    <mergeCell ref="D1484:D1494"/>
    <mergeCell ref="C1484:C1494"/>
    <mergeCell ref="D1418:D1420"/>
    <mergeCell ref="C1418:C1420"/>
    <mergeCell ref="D1421:D1430"/>
    <mergeCell ref="C1421:C1430"/>
    <mergeCell ref="D1431:D1441"/>
    <mergeCell ref="C1431:C1441"/>
    <mergeCell ref="D1442:D1452"/>
    <mergeCell ref="C1442:C1452"/>
    <mergeCell ref="D1453:D1461"/>
    <mergeCell ref="C1453:C1461"/>
    <mergeCell ref="D1462:D1473"/>
    <mergeCell ref="C1462:C1473"/>
    <mergeCell ref="D1511:D1513"/>
    <mergeCell ref="C1511:C1513"/>
    <mergeCell ref="D1495:D1507"/>
    <mergeCell ref="C1495:C1507"/>
    <mergeCell ref="D1508:D1510"/>
    <mergeCell ref="C1508:C1510"/>
    <mergeCell ref="D1557:D1563"/>
    <mergeCell ref="C1557:C1563"/>
    <mergeCell ref="D1514:D1527"/>
    <mergeCell ref="C1514:C1527"/>
    <mergeCell ref="D1548:D1556"/>
    <mergeCell ref="C1548:C1556"/>
    <mergeCell ref="D1534:D1538"/>
    <mergeCell ref="C1534:C1538"/>
    <mergeCell ref="D1528:D1532"/>
    <mergeCell ref="C1528:C1532"/>
    <mergeCell ref="D1543:D1547"/>
    <mergeCell ref="C1543:C1547"/>
    <mergeCell ref="D1539:D1542"/>
    <mergeCell ref="C1539:C1542"/>
    <mergeCell ref="D1800:D1801"/>
    <mergeCell ref="C1800:C1801"/>
    <mergeCell ref="D1792:D1798"/>
    <mergeCell ref="C1792:C1798"/>
    <mergeCell ref="D1775:D1777"/>
    <mergeCell ref="C1775:C1777"/>
    <mergeCell ref="D1778:D1782"/>
    <mergeCell ref="C1778:C1782"/>
    <mergeCell ref="C1783:C1787"/>
    <mergeCell ref="D1783:D1787"/>
    <mergeCell ref="D1812:D1815"/>
    <mergeCell ref="C1812:C1815"/>
    <mergeCell ref="D1802:D1811"/>
    <mergeCell ref="C1802:C1811"/>
    <mergeCell ref="D1822:D1825"/>
    <mergeCell ref="C1822:C1825"/>
    <mergeCell ref="D1816:D1821"/>
    <mergeCell ref="C1816:C1821"/>
    <mergeCell ref="D1898:D1903"/>
    <mergeCell ref="C1898:C1903"/>
    <mergeCell ref="D2135:D2145"/>
    <mergeCell ref="C2135:C2145"/>
    <mergeCell ref="D1930:D1932"/>
    <mergeCell ref="C1930:C1932"/>
    <mergeCell ref="D1926:D1929"/>
    <mergeCell ref="C1926:C1929"/>
    <mergeCell ref="D1993:D2003"/>
    <mergeCell ref="C1993:C2003"/>
    <mergeCell ref="D1933:D1940"/>
    <mergeCell ref="C1933:C1940"/>
    <mergeCell ref="D1969:D1980"/>
    <mergeCell ref="C1969:C1980"/>
    <mergeCell ref="D2040:D2050"/>
    <mergeCell ref="C2040:C2050"/>
    <mergeCell ref="D1904:D1905"/>
    <mergeCell ref="C1904:C1905"/>
    <mergeCell ref="D2051:D2062"/>
    <mergeCell ref="C2051:C2062"/>
    <mergeCell ref="D2072:D2075"/>
    <mergeCell ref="D2076:D2079"/>
    <mergeCell ref="D2080:D2084"/>
    <mergeCell ref="C2076:C2079"/>
    <mergeCell ref="D2004:D2014"/>
    <mergeCell ref="C2004:C2014"/>
    <mergeCell ref="D2015:D2027"/>
    <mergeCell ref="C2015:C2027"/>
    <mergeCell ref="D2063:D2071"/>
    <mergeCell ref="C2063:C2071"/>
    <mergeCell ref="D2028:D2039"/>
    <mergeCell ref="C2028:C2039"/>
    <mergeCell ref="D2155:D2160"/>
    <mergeCell ref="C2155:C2160"/>
    <mergeCell ref="D1982:D1992"/>
    <mergeCell ref="C1982:C1992"/>
    <mergeCell ref="C2080:C2084"/>
    <mergeCell ref="C2085:C2086"/>
    <mergeCell ref="C2095:C2096"/>
    <mergeCell ref="D2095:D2096"/>
    <mergeCell ref="D2090:D2091"/>
    <mergeCell ref="C2090:C2091"/>
    <mergeCell ref="D2087:D2089"/>
    <mergeCell ref="C2087:C2089"/>
    <mergeCell ref="D2085:D2086"/>
    <mergeCell ref="C2072:C2075"/>
    <mergeCell ref="D2129:D2134"/>
    <mergeCell ref="C2129:C2134"/>
  </mergeCells>
  <conditionalFormatting sqref="E244:E245">
    <cfRule type="duplicateValues" dxfId="96" priority="186"/>
  </conditionalFormatting>
  <conditionalFormatting sqref="E291 E293">
    <cfRule type="duplicateValues" dxfId="95" priority="210"/>
  </conditionalFormatting>
  <conditionalFormatting sqref="E292">
    <cfRule type="duplicateValues" dxfId="94" priority="183"/>
  </conditionalFormatting>
  <conditionalFormatting sqref="E387:E388">
    <cfRule type="duplicateValues" dxfId="93" priority="182"/>
  </conditionalFormatting>
  <conditionalFormatting sqref="D425">
    <cfRule type="duplicateValues" dxfId="92" priority="180"/>
  </conditionalFormatting>
  <conditionalFormatting sqref="D425">
    <cfRule type="duplicateValues" dxfId="91" priority="179"/>
  </conditionalFormatting>
  <conditionalFormatting sqref="E432:E433">
    <cfRule type="duplicateValues" dxfId="90" priority="178"/>
  </conditionalFormatting>
  <conditionalFormatting sqref="D553">
    <cfRule type="duplicateValues" dxfId="89" priority="175"/>
  </conditionalFormatting>
  <conditionalFormatting sqref="D553">
    <cfRule type="duplicateValues" dxfId="88" priority="174"/>
  </conditionalFormatting>
  <conditionalFormatting sqref="D553">
    <cfRule type="duplicateValues" dxfId="87" priority="173"/>
  </conditionalFormatting>
  <conditionalFormatting sqref="D586">
    <cfRule type="duplicateValues" dxfId="86" priority="172"/>
  </conditionalFormatting>
  <conditionalFormatting sqref="D586">
    <cfRule type="duplicateValues" dxfId="85" priority="171"/>
  </conditionalFormatting>
  <conditionalFormatting sqref="D586">
    <cfRule type="duplicateValues" dxfId="84" priority="170"/>
  </conditionalFormatting>
  <conditionalFormatting sqref="D516">
    <cfRule type="duplicateValues" dxfId="83" priority="168"/>
  </conditionalFormatting>
  <conditionalFormatting sqref="D516">
    <cfRule type="duplicateValues" dxfId="82" priority="167"/>
  </conditionalFormatting>
  <conditionalFormatting sqref="D516">
    <cfRule type="duplicateValues" dxfId="81" priority="166"/>
  </conditionalFormatting>
  <conditionalFormatting sqref="D516">
    <cfRule type="duplicateValues" dxfId="80" priority="165"/>
  </conditionalFormatting>
  <conditionalFormatting sqref="E789:E790">
    <cfRule type="duplicateValues" dxfId="79" priority="164"/>
  </conditionalFormatting>
  <conditionalFormatting sqref="D904">
    <cfRule type="duplicateValues" dxfId="78" priority="163"/>
  </conditionalFormatting>
  <conditionalFormatting sqref="D904">
    <cfRule type="duplicateValues" dxfId="77" priority="162"/>
  </conditionalFormatting>
  <conditionalFormatting sqref="D904">
    <cfRule type="duplicateValues" dxfId="76" priority="161"/>
  </conditionalFormatting>
  <conditionalFormatting sqref="D904">
    <cfRule type="duplicateValues" dxfId="75" priority="160"/>
  </conditionalFormatting>
  <conditionalFormatting sqref="D782">
    <cfRule type="duplicateValues" dxfId="74" priority="159"/>
  </conditionalFormatting>
  <conditionalFormatting sqref="D782">
    <cfRule type="duplicateValues" dxfId="73" priority="158"/>
  </conditionalFormatting>
  <conditionalFormatting sqref="D782">
    <cfRule type="duplicateValues" dxfId="72" priority="157"/>
  </conditionalFormatting>
  <conditionalFormatting sqref="D782">
    <cfRule type="duplicateValues" dxfId="71" priority="156"/>
  </conditionalFormatting>
  <conditionalFormatting sqref="D919">
    <cfRule type="duplicateValues" dxfId="70" priority="103"/>
  </conditionalFormatting>
  <conditionalFormatting sqref="D919">
    <cfRule type="duplicateValues" dxfId="69" priority="102"/>
  </conditionalFormatting>
  <conditionalFormatting sqref="D919">
    <cfRule type="duplicateValues" dxfId="68" priority="101"/>
  </conditionalFormatting>
  <conditionalFormatting sqref="D919">
    <cfRule type="duplicateValues" dxfId="67" priority="100"/>
  </conditionalFormatting>
  <conditionalFormatting sqref="D926">
    <cfRule type="duplicateValues" dxfId="66" priority="95"/>
  </conditionalFormatting>
  <conditionalFormatting sqref="D926">
    <cfRule type="duplicateValues" dxfId="65" priority="94"/>
  </conditionalFormatting>
  <conditionalFormatting sqref="D926">
    <cfRule type="duplicateValues" dxfId="64" priority="93"/>
  </conditionalFormatting>
  <conditionalFormatting sqref="D926">
    <cfRule type="duplicateValues" dxfId="63" priority="92"/>
  </conditionalFormatting>
  <conditionalFormatting sqref="D1006">
    <cfRule type="duplicateValues" dxfId="62" priority="87"/>
  </conditionalFormatting>
  <conditionalFormatting sqref="D1006">
    <cfRule type="duplicateValues" dxfId="61" priority="86"/>
  </conditionalFormatting>
  <conditionalFormatting sqref="D1006">
    <cfRule type="duplicateValues" dxfId="60" priority="85"/>
  </conditionalFormatting>
  <conditionalFormatting sqref="D1006">
    <cfRule type="duplicateValues" dxfId="59" priority="84"/>
  </conditionalFormatting>
  <conditionalFormatting sqref="D1057">
    <cfRule type="duplicateValues" dxfId="58" priority="83"/>
  </conditionalFormatting>
  <conditionalFormatting sqref="D1057">
    <cfRule type="duplicateValues" dxfId="57" priority="82"/>
  </conditionalFormatting>
  <conditionalFormatting sqref="D1057">
    <cfRule type="duplicateValues" dxfId="56" priority="81"/>
  </conditionalFormatting>
  <conditionalFormatting sqref="D1057">
    <cfRule type="duplicateValues" dxfId="55" priority="80"/>
  </conditionalFormatting>
  <conditionalFormatting sqref="D1023">
    <cfRule type="duplicateValues" dxfId="54" priority="75"/>
  </conditionalFormatting>
  <conditionalFormatting sqref="D1023">
    <cfRule type="duplicateValues" dxfId="53" priority="74"/>
  </conditionalFormatting>
  <conditionalFormatting sqref="D1023">
    <cfRule type="duplicateValues" dxfId="52" priority="73"/>
  </conditionalFormatting>
  <conditionalFormatting sqref="D1023">
    <cfRule type="duplicateValues" dxfId="51" priority="72"/>
  </conditionalFormatting>
  <conditionalFormatting sqref="D1032">
    <cfRule type="duplicateValues" dxfId="50" priority="71"/>
  </conditionalFormatting>
  <conditionalFormatting sqref="D1032">
    <cfRule type="duplicateValues" dxfId="49" priority="70"/>
  </conditionalFormatting>
  <conditionalFormatting sqref="D1032">
    <cfRule type="duplicateValues" dxfId="48" priority="69"/>
  </conditionalFormatting>
  <conditionalFormatting sqref="D1032">
    <cfRule type="duplicateValues" dxfId="47" priority="68"/>
  </conditionalFormatting>
  <conditionalFormatting sqref="D1037">
    <cfRule type="duplicateValues" dxfId="46" priority="55"/>
  </conditionalFormatting>
  <conditionalFormatting sqref="D1037">
    <cfRule type="duplicateValues" dxfId="45" priority="54"/>
  </conditionalFormatting>
  <conditionalFormatting sqref="D1037">
    <cfRule type="duplicateValues" dxfId="44" priority="53"/>
  </conditionalFormatting>
  <conditionalFormatting sqref="D1037">
    <cfRule type="duplicateValues" dxfId="43" priority="52"/>
  </conditionalFormatting>
  <conditionalFormatting sqref="D1071">
    <cfRule type="duplicateValues" dxfId="42" priority="47"/>
  </conditionalFormatting>
  <conditionalFormatting sqref="D1071">
    <cfRule type="duplicateValues" dxfId="41" priority="46"/>
  </conditionalFormatting>
  <conditionalFormatting sqref="D1071">
    <cfRule type="duplicateValues" dxfId="40" priority="45"/>
  </conditionalFormatting>
  <conditionalFormatting sqref="D1071">
    <cfRule type="duplicateValues" dxfId="39" priority="44"/>
  </conditionalFormatting>
  <conditionalFormatting sqref="D1077">
    <cfRule type="duplicateValues" dxfId="38" priority="43"/>
  </conditionalFormatting>
  <conditionalFormatting sqref="D1077">
    <cfRule type="duplicateValues" dxfId="37" priority="42"/>
  </conditionalFormatting>
  <conditionalFormatting sqref="D1077">
    <cfRule type="duplicateValues" dxfId="36" priority="41"/>
  </conditionalFormatting>
  <conditionalFormatting sqref="D1077">
    <cfRule type="duplicateValues" dxfId="35" priority="40"/>
  </conditionalFormatting>
  <conditionalFormatting sqref="D1015">
    <cfRule type="duplicateValues" dxfId="34" priority="39"/>
  </conditionalFormatting>
  <conditionalFormatting sqref="D1015">
    <cfRule type="duplicateValues" dxfId="33" priority="38"/>
  </conditionalFormatting>
  <conditionalFormatting sqref="D1015">
    <cfRule type="duplicateValues" dxfId="32" priority="37"/>
  </conditionalFormatting>
  <conditionalFormatting sqref="D1015">
    <cfRule type="duplicateValues" dxfId="31" priority="36"/>
  </conditionalFormatting>
  <conditionalFormatting sqref="D1047">
    <cfRule type="duplicateValues" dxfId="30" priority="35"/>
  </conditionalFormatting>
  <conditionalFormatting sqref="D1047">
    <cfRule type="duplicateValues" dxfId="29" priority="34"/>
  </conditionalFormatting>
  <conditionalFormatting sqref="D1047">
    <cfRule type="duplicateValues" dxfId="28" priority="33"/>
  </conditionalFormatting>
  <conditionalFormatting sqref="D1047">
    <cfRule type="duplicateValues" dxfId="27" priority="32"/>
  </conditionalFormatting>
  <conditionalFormatting sqref="D1051">
    <cfRule type="duplicateValues" dxfId="26" priority="31"/>
  </conditionalFormatting>
  <conditionalFormatting sqref="D1051">
    <cfRule type="duplicateValues" dxfId="25" priority="30"/>
  </conditionalFormatting>
  <conditionalFormatting sqref="D1051">
    <cfRule type="duplicateValues" dxfId="24" priority="29"/>
  </conditionalFormatting>
  <conditionalFormatting sqref="D1051">
    <cfRule type="duplicateValues" dxfId="23" priority="28"/>
  </conditionalFormatting>
  <conditionalFormatting sqref="D11:D14">
    <cfRule type="expression" dxfId="22" priority="11">
      <formula>selection.entireRow</formula>
    </cfRule>
  </conditionalFormatting>
  <conditionalFormatting sqref="D1783">
    <cfRule type="duplicateValues" dxfId="21" priority="10"/>
  </conditionalFormatting>
  <conditionalFormatting sqref="D1783">
    <cfRule type="duplicateValues" dxfId="20" priority="9"/>
  </conditionalFormatting>
  <conditionalFormatting sqref="D1783">
    <cfRule type="duplicateValues" dxfId="19" priority="8"/>
  </conditionalFormatting>
  <conditionalFormatting sqref="D1783">
    <cfRule type="duplicateValues" dxfId="18" priority="7"/>
  </conditionalFormatting>
  <conditionalFormatting sqref="D1944">
    <cfRule type="duplicateValues" dxfId="17" priority="1"/>
  </conditionalFormatting>
  <conditionalFormatting sqref="D1944">
    <cfRule type="duplicateValues" dxfId="16" priority="2"/>
  </conditionalFormatting>
  <conditionalFormatting sqref="D1944">
    <cfRule type="duplicateValues" dxfId="15" priority="3"/>
  </conditionalFormatting>
  <conditionalFormatting sqref="D1944">
    <cfRule type="duplicateValues" dxfId="14" priority="4"/>
  </conditionalFormatting>
  <conditionalFormatting sqref="D1944">
    <cfRule type="duplicateValues" dxfId="13" priority="5"/>
  </conditionalFormatting>
  <conditionalFormatting sqref="D2161:D1048576 D1955:D1957 D1933 D1906:D1907 D1904 D1854 D1730 D1528 D1371 D1349 D1302 D1273:D1275 D1169 D1147 D1115 D1083 D1007 D831 D774 D750 D607 D578 D560 D546:D547 D544 D539:D540 D430 D398 D341 D329 D294 D289 D244 D107 D1:D92 D95:D104 D116:D214 D248 D254 D259:D260 D267 D223 D227:D242 D271 D280 D284 D287 D297 D305 D307:D308 D312 D317 D345 D353 D365 D377 D380 D385 D387:D388 D404:D406 D410 D434 D440:D443 D445:D446 D451 D453 D456 D462 D467 D470 D474 D512 D486 D498 D514 D520 D524 D529 D567:D568 D571 D582 D584 D591 D596:D597 D600 D611 D616 D619 D624 D628 D632 D638:D639 D643 D658 D673 D688 D691 D761:D762 D787 D804 D813 D842 D853 D864 D867 D873 D876 D888 D894 D897 D900:D901 D943:D944 D921:D922 D970 D998 D983 D1010 D1019 D1085:D1086 D1089 D1093:D1094 D1103 D1105:D1106 D1117 D1122 D1127:D1128 D1156 D1187 D1247 D1202 D1217 D1232 D1252 D1257 D1263 D1265 D1267 D1279 D1277 D1285 D1296 D1313 D1315 D1336 D1359 D1327 D1317:D1318 D1323 D1364 D1368 D1373 D1375 D1380 D1382 D1397 D1385 D1403:D1405 D1417:D1418 D1442 D1421 D1431 D1453 D1462 D1474 D1484 D1495 D1508 D1533:D1534 D1539 D1543 D1548 D1557 D1564 D1574 D1578 D1581 D1593 D1600:D1601 D1609 D1619 D1612 D1627 D1634:D1636 D1650 D1643 D1656 D1664:D1667 D1670 D1693 D1681 D1704 D1716 D1742 D1778 D1754 D1765 D1788 D1792 D1799:D1800 D1802 D1812 D1816 D1822 D1826:D1828 D1841 D1860 D1863 D1874 D1898 D1836 D1832 D1926 D1930 D1941:D1942 D1965 D1969 D1981:D1982 D1993 D2004 D2015 D2028 D2040 D2051 D2063 D2072 D2076 D2080 D2085 D2087 D2090 D2097:D2098 D2092:D2095 D2104 D2114 D2124 D2129 D2135 D2146:D2147 D2150 D2155">
    <cfRule type="duplicateValues" dxfId="12" priority="901"/>
  </conditionalFormatting>
  <conditionalFormatting sqref="D2161:D1048576 D1955:D1957 D1933 D1906:D1907 D1904 D1854 D1730 D1528 D1371 D1349 D1302 D1273:D1275 D1169 D1147 D1115 D1083 D1007 D831 D774 D750 D607 D578 D560 D546:D547 D544 D539:D540 D430 D410 D1:D388 D434 D398:D406 D440:D443 D445:D446 D451 D453 D456 D462 D467 D470 D474 D512 D486 D498 D514 D520 D524 D529 D567:D568 D571 D582 D584 D591 D596:D597 D600 D611 D616 D619 D624 D628 D632 D638:D639 D643 D658 D673 D688 D691 D761:D762 D787 D804 D813 D842 D853 D864 D867 D873 D876 D888 D894 D897 D900:D901 D943:D944 D921:D922 D970 D998 D983 D1010 D1019 D1085:D1086 D1089 D1093:D1094 D1103 D1105:D1106 D1117 D1122 D1127:D1128 D1156 D1187 D1247 D1202 D1217 D1232 D1252 D1257 D1263 D1265 D1267 D1279 D1277 D1285 D1296 D1313 D1315 D1336 D1359 D1327 D1317:D1318 D1323 D1364 D1368 D1373 D1375 D1380 D1382 D1397 D1385 D1403:D1405 D1417:D1418 D1442 D1421 D1431 D1453 D1462 D1474 D1484 D1495 D1508 D1533:D1534 D1539 D1543 D1548 D1557 D1564 D1574 D1578 D1581 D1593 D1600:D1601 D1609 D1619 D1612 D1627 D1634:D1636 D1650 D1643 D1656 D1664:D1667 D1670 D1693 D1681 D1704 D1716 D1742 D1778 D1754 D1765 D1788 D1792 D1799:D1800 D1802 D1812 D1816 D1822 D1826:D1828 D1841 D1860 D1863 D1874 D1898 D1836 D1832 D1926 D1930 D1941:D1942 D1965 D1969 D1981:D1982 D1993 D2004 D2015 D2028 D2040 D2051 D2063 D2072 D2076 D2080 D2085 D2087 D2090 D2097:D2098 D2092:D2095 D2104 D2114 D2124 D2129 D2135 D2146:D2147 D2150 D2155">
    <cfRule type="duplicateValues" dxfId="11" priority="1133"/>
  </conditionalFormatting>
  <conditionalFormatting sqref="D2161:D1048576 D1955:D1957 D1933 D1906:D1907 D1904 D1854 D1730 D1528 D1371 D1349 D1302 D1273:D1275 D1169 D1147 D1115 D1083 D1007 D831 D774 D750 D607 D578 D560 D546:D547 D544 D539:D540 D1:D446 D462 D467 D470 D474 D512 D486 D498 D514 D520 D524 D529 D567:D568 D571 D582 D584 D591 D596:D597 D600 D611 D616 D619 D624 D628 D632 D638:D639 D643 D658 D673 D688 D691 D451:D453 D456 D761:D762 D787 D804 D813 D842 D853 D864 D867 D873 D876 D888 D894 D897 D900:D901 D943:D944 D921:D922 D970 D998 D983 D1010 D1019 D1085:D1086 D1089 D1093:D1094 D1103 D1105:D1106 D1117 D1122 D1127:D1128 D1156 D1187 D1247 D1202 D1217 D1232 D1252 D1257 D1263 D1265 D1267 D1279 D1277 D1285 D1296 D1313 D1315 D1336 D1359 D1327 D1317:D1318 D1323 D1364 D1368 D1373 D1375 D1380 D1382 D1397 D1385 D1403:D1405 D1417:D1418 D1442 D1421 D1431 D1453 D1462 D1474 D1484 D1495 D1508 D1533:D1534 D1539 D1543 D1548 D1557 D1564 D1574 D1578 D1581 D1593 D1600:D1601 D1609 D1619 D1612 D1627 D1634:D1636 D1650 D1643 D1656 D1664:D1667 D1670 D1693 D1681 D1704 D1716 D1742 D1778 D1754 D1765 D1788 D1792 D1799:D1800 D1802 D1812 D1816 D1822 D1826:D1828 D1841 D1860 D1863 D1874 D1898 D1836 D1832 D1926 D1930 D1941:D1942 D1965 D1969 D1981:D1982 D1993 D2004 D2015 D2028 D2040 D2051 D2063 D2072 D2076 D2080 D2085 D2087 D2090 D2097:D2098 D2092:D2095 D2104 D2114 D2124 D2129 D2135 D2146:D2147 D2150 D2155">
    <cfRule type="duplicateValues" dxfId="10" priority="1334"/>
  </conditionalFormatting>
  <conditionalFormatting sqref="D2161:D1048576 D1955:D1957 D1933 D1906:D1907 D1904 D1854 D1730 D1528 D1371 D1349 D1302 D1273:D1275 D1169 D1147 D1115 D1083 D1007 D831 D774 D750:D751 D1:D515 D520:D616 D761:D762 D787 D804 D813 D842 D853 D864 D867 D873 D876 D619:D747 D888 D894 D897 D900:D901 D943:D944 D921:D922 D970 D998 D983 D1010 D1019 D1085:D1086 D1089 D1093:D1094 D1103 D1105:D1106 D1117 D1122 D1127:D1128 D1156 D1187 D1247 D1202 D1217 D1232 D1252 D1257 D1263 D1265 D1267 D1279 D1277 D1285 D1296 D1313 D1315 D1336 D1359 D1327 D1317:D1318 D1323 D1364 D1368 D1373 D1375 D1380 D1382 D1397 D1385 D1403:D1405 D1417:D1418 D1442 D1421 D1431 D1453 D1462 D1474 D1484 D1495 D1508 D1533:D1534 D1539 D1543 D1548 D1557 D1564 D1574 D1578 D1581 D1593 D1600:D1601 D1609 D1619 D1612 D1627 D1634:D1636 D1650 D1643 D1656 D1664:D1667 D1670 D1693 D1681 D1704 D1716 D1742 D1778 D1754 D1765 D1788 D1792 D1799:D1800 D1802 D1812 D1816 D1822 D1826:D1828 D1841 D1860 D1863 D1874 D1898 D1836 D1832 D1926 D1930 D1941:D1942 D1965 D1969 D1981:D1982 D1993 D2004 D2015 D2028 D2040 D2051 D2063 D2072 D2076 D2080 D2085 D2087 D2090 D2097:D2098 D2092:D2095 D2104 D2114 D2124 D2129 D2135 D2146:D2147 D2150 D2155">
    <cfRule type="duplicateValues" dxfId="9" priority="1528"/>
  </conditionalFormatting>
  <conditionalFormatting sqref="D2161:D1048576 D1955:D1957 D1933 D1906:D1907 D1904 D1854 D1792 D1:D1788 D1799:D1800 D1802 D1812 D1816 D1822 D1826:D1828 D1841 D1860 D1863 D1874 D1898 D1836 D1832 D1926 D1930 D1941:D1942 D1965 D1969 D1981:D1982 D1993 D2004 D2015 D2028 D2040 D2051 D2063 D2072 D2076 D2080 D2085 D2087 D2090 D2097:D2098 D2092:D2095 D2104 D2114 D2124 D2129 D2135 D2146:D2147 D2150 D2155">
    <cfRule type="duplicateValues" dxfId="8" priority="1686"/>
  </conditionalFormatting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0.39997558519241921"/>
  </sheetPr>
  <dimension ref="A1:S3000"/>
  <sheetViews>
    <sheetView workbookViewId="0">
      <selection activeCell="B5" sqref="B5"/>
    </sheetView>
  </sheetViews>
  <sheetFormatPr defaultRowHeight="14.4" x14ac:dyDescent="0.3"/>
  <cols>
    <col min="1" max="1" width="7.33203125" style="5" customWidth="1"/>
    <col min="2" max="2" width="11.88671875" customWidth="1"/>
    <col min="3" max="3" width="46.5546875" customWidth="1"/>
    <col min="4" max="4" width="9.109375" customWidth="1"/>
    <col min="5" max="5" width="11.44140625" customWidth="1"/>
    <col min="6" max="6" width="15.109375" style="2" customWidth="1"/>
    <col min="7" max="7" width="8.33203125" style="3" customWidth="1"/>
    <col min="8" max="8" width="8.44140625" customWidth="1"/>
    <col min="9" max="9" width="13.6640625" style="4" customWidth="1"/>
    <col min="10" max="10" width="10.109375" customWidth="1"/>
    <col min="11" max="11" width="12.88671875" customWidth="1"/>
    <col min="12" max="12" width="16.6640625" customWidth="1"/>
    <col min="13" max="13" width="17.109375" customWidth="1"/>
    <col min="14" max="14" width="16.5546875" customWidth="1"/>
    <col min="15" max="15" width="15.6640625" customWidth="1"/>
    <col min="16" max="19" width="0" hidden="1" customWidth="1"/>
  </cols>
  <sheetData>
    <row r="1" spans="1:19" ht="39.75" customHeight="1" thickBot="1" x14ac:dyDescent="0.35">
      <c r="A1" s="14"/>
      <c r="B1" s="369" t="s">
        <v>1048</v>
      </c>
      <c r="C1" s="369"/>
      <c r="D1" s="15"/>
      <c r="E1" s="16" t="s">
        <v>998</v>
      </c>
      <c r="F1" s="17" t="str">
        <f>SUM(F2:F1269) &amp; " Unités"</f>
        <v>732 Unités</v>
      </c>
      <c r="G1" s="370" t="s">
        <v>997</v>
      </c>
      <c r="H1" s="370"/>
      <c r="I1" s="367">
        <f>SUM(J3:J3639)</f>
        <v>4698.8809999999994</v>
      </c>
      <c r="J1" s="368"/>
      <c r="K1" s="24" t="s">
        <v>996</v>
      </c>
      <c r="L1" s="277" t="s">
        <v>1702</v>
      </c>
      <c r="M1" s="23"/>
      <c r="N1" s="23"/>
      <c r="O1" s="25"/>
      <c r="P1" s="7" t="str">
        <f>IF(EXACT(L1,LOWER(L1)),UPPER(L1),L1)</f>
        <v>MOUCHOIR</v>
      </c>
      <c r="Q1" s="7" t="str">
        <f t="shared" ref="Q1:S1" si="0">IF(EXACT(M1,LOWER(M1)),UPPER(M1),M1)</f>
        <v/>
      </c>
      <c r="R1" s="7" t="str">
        <f t="shared" si="0"/>
        <v/>
      </c>
      <c r="S1" s="7" t="str">
        <f t="shared" si="0"/>
        <v/>
      </c>
    </row>
    <row r="2" spans="1:19" ht="37.5" customHeight="1" x14ac:dyDescent="0.3">
      <c r="A2" s="14"/>
      <c r="B2" s="14"/>
      <c r="C2" s="14"/>
      <c r="D2" s="14"/>
      <c r="E2" s="14"/>
      <c r="F2" s="14"/>
      <c r="G2" s="14"/>
      <c r="H2" s="14"/>
      <c r="I2" s="14"/>
      <c r="J2" s="14"/>
      <c r="K2" s="278" t="s">
        <v>1396</v>
      </c>
      <c r="L2" s="284"/>
      <c r="M2" s="283" t="s">
        <v>1395</v>
      </c>
      <c r="N2" s="13"/>
      <c r="O2" s="13"/>
    </row>
    <row r="3" spans="1:19" ht="37.5" customHeight="1" x14ac:dyDescent="0.3">
      <c r="A3" s="219"/>
      <c r="B3" s="279" t="s">
        <v>0</v>
      </c>
      <c r="C3" s="280" t="s">
        <v>1</v>
      </c>
      <c r="D3" s="280" t="s">
        <v>2</v>
      </c>
      <c r="E3" s="287" t="s">
        <v>3</v>
      </c>
      <c r="F3" s="286" t="s">
        <v>4</v>
      </c>
      <c r="G3" s="281" t="s">
        <v>1323</v>
      </c>
      <c r="H3" s="282" t="s">
        <v>913</v>
      </c>
      <c r="I3" s="302" t="s">
        <v>915</v>
      </c>
      <c r="J3" s="280" t="s">
        <v>5</v>
      </c>
      <c r="K3" s="278" t="s">
        <v>1397</v>
      </c>
      <c r="L3" s="285"/>
      <c r="M3" s="283" t="s">
        <v>1395</v>
      </c>
      <c r="N3" s="13"/>
      <c r="O3" s="13"/>
    </row>
    <row r="4" spans="1:19" x14ac:dyDescent="0.3">
      <c r="A4" t="s">
        <v>1178</v>
      </c>
      <c r="B4" t="s">
        <v>112</v>
      </c>
      <c r="C4" t="s">
        <v>113</v>
      </c>
      <c r="D4">
        <v>275</v>
      </c>
      <c r="E4">
        <v>275</v>
      </c>
      <c r="F4" s="303">
        <v>0</v>
      </c>
      <c r="G4">
        <v>6.8</v>
      </c>
      <c r="I4" s="304">
        <v>6.8</v>
      </c>
      <c r="J4">
        <v>0</v>
      </c>
    </row>
    <row r="5" spans="1:19" x14ac:dyDescent="0.3">
      <c r="A5"/>
      <c r="B5" t="s">
        <v>1131</v>
      </c>
      <c r="C5" t="s">
        <v>1130</v>
      </c>
      <c r="D5">
        <v>525</v>
      </c>
      <c r="E5">
        <v>132</v>
      </c>
      <c r="F5" s="303">
        <v>393</v>
      </c>
      <c r="G5">
        <v>6.6669999999999998</v>
      </c>
      <c r="I5" s="304">
        <v>6.6669999999999998</v>
      </c>
      <c r="J5">
        <v>2620.1309999999999</v>
      </c>
    </row>
    <row r="6" spans="1:19" x14ac:dyDescent="0.3">
      <c r="A6"/>
      <c r="B6" t="s">
        <v>1133</v>
      </c>
      <c r="C6" t="s">
        <v>1132</v>
      </c>
      <c r="D6">
        <v>270</v>
      </c>
      <c r="E6">
        <v>91</v>
      </c>
      <c r="F6" s="303">
        <v>179</v>
      </c>
      <c r="G6">
        <v>6.25</v>
      </c>
      <c r="I6" s="304">
        <v>6.25</v>
      </c>
      <c r="J6">
        <v>1118.75</v>
      </c>
    </row>
    <row r="7" spans="1:19" x14ac:dyDescent="0.3">
      <c r="A7"/>
      <c r="B7" t="s">
        <v>1376</v>
      </c>
      <c r="C7" t="s">
        <v>1132</v>
      </c>
      <c r="D7">
        <v>360</v>
      </c>
      <c r="E7">
        <v>200</v>
      </c>
      <c r="F7" s="303">
        <v>160</v>
      </c>
      <c r="G7">
        <v>6</v>
      </c>
      <c r="I7" s="304">
        <v>6</v>
      </c>
      <c r="J7">
        <v>960</v>
      </c>
    </row>
    <row r="8" spans="1:19" x14ac:dyDescent="0.3">
      <c r="A8"/>
      <c r="F8" s="303"/>
      <c r="G8"/>
      <c r="I8" s="304"/>
    </row>
    <row r="9" spans="1:19" x14ac:dyDescent="0.3">
      <c r="A9"/>
      <c r="F9" s="303"/>
      <c r="G9"/>
      <c r="I9" s="304"/>
    </row>
    <row r="10" spans="1:19" x14ac:dyDescent="0.3">
      <c r="A10"/>
      <c r="F10" s="303"/>
      <c r="G10"/>
      <c r="I10" s="304"/>
    </row>
    <row r="11" spans="1:19" x14ac:dyDescent="0.3">
      <c r="A11"/>
      <c r="F11" s="303"/>
      <c r="G11"/>
      <c r="I11" s="304"/>
    </row>
    <row r="12" spans="1:19" x14ac:dyDescent="0.3">
      <c r="A12"/>
      <c r="F12" s="303"/>
      <c r="G12"/>
      <c r="I12" s="304"/>
    </row>
    <row r="13" spans="1:19" x14ac:dyDescent="0.3">
      <c r="A13"/>
      <c r="F13" s="303"/>
      <c r="G13"/>
      <c r="I13" s="304"/>
    </row>
    <row r="14" spans="1:19" x14ac:dyDescent="0.3">
      <c r="A14"/>
      <c r="F14" s="303"/>
      <c r="G14"/>
      <c r="I14" s="304"/>
    </row>
    <row r="15" spans="1:19" x14ac:dyDescent="0.3">
      <c r="A15"/>
      <c r="F15" s="303"/>
      <c r="G15"/>
      <c r="I15" s="304"/>
    </row>
    <row r="16" spans="1:19" x14ac:dyDescent="0.3">
      <c r="A16"/>
      <c r="F16" s="303"/>
      <c r="G16"/>
      <c r="I16" s="304"/>
    </row>
    <row r="17" spans="1:9" x14ac:dyDescent="0.3">
      <c r="A17"/>
      <c r="F17" s="303"/>
      <c r="G17"/>
      <c r="I17" s="304"/>
    </row>
    <row r="18" spans="1:9" x14ac:dyDescent="0.3">
      <c r="A18"/>
      <c r="F18" s="303"/>
      <c r="G18"/>
      <c r="I18" s="304"/>
    </row>
    <row r="19" spans="1:9" x14ac:dyDescent="0.3">
      <c r="A19"/>
      <c r="F19" s="303"/>
      <c r="G19"/>
      <c r="I19" s="304"/>
    </row>
    <row r="20" spans="1:9" x14ac:dyDescent="0.3">
      <c r="A20"/>
      <c r="F20" s="303"/>
      <c r="G20"/>
      <c r="I20" s="304"/>
    </row>
    <row r="21" spans="1:9" x14ac:dyDescent="0.3">
      <c r="A21"/>
      <c r="F21" s="303"/>
      <c r="G21"/>
      <c r="I21" s="304"/>
    </row>
    <row r="22" spans="1:9" x14ac:dyDescent="0.3">
      <c r="A22"/>
      <c r="F22" s="303"/>
      <c r="G22"/>
      <c r="I22" s="304"/>
    </row>
    <row r="23" spans="1:9" x14ac:dyDescent="0.3">
      <c r="A23"/>
      <c r="F23" s="303"/>
      <c r="G23"/>
      <c r="I23" s="304"/>
    </row>
    <row r="24" spans="1:9" x14ac:dyDescent="0.3">
      <c r="A24"/>
      <c r="F24" s="303"/>
      <c r="G24"/>
      <c r="I24" s="304"/>
    </row>
    <row r="25" spans="1:9" x14ac:dyDescent="0.3">
      <c r="A25"/>
      <c r="F25" s="303"/>
      <c r="G25"/>
      <c r="I25" s="304"/>
    </row>
    <row r="26" spans="1:9" x14ac:dyDescent="0.3">
      <c r="A26"/>
      <c r="F26" s="303"/>
      <c r="G26"/>
      <c r="I26" s="304"/>
    </row>
    <row r="27" spans="1:9" x14ac:dyDescent="0.3">
      <c r="A27"/>
      <c r="F27" s="303"/>
      <c r="G27"/>
      <c r="I27" s="304"/>
    </row>
    <row r="28" spans="1:9" x14ac:dyDescent="0.3">
      <c r="A28"/>
      <c r="F28" s="303"/>
      <c r="G28"/>
      <c r="I28" s="304"/>
    </row>
    <row r="29" spans="1:9" x14ac:dyDescent="0.3">
      <c r="A29"/>
      <c r="F29" s="303"/>
      <c r="G29"/>
      <c r="I29" s="304"/>
    </row>
    <row r="30" spans="1:9" x14ac:dyDescent="0.3">
      <c r="A30"/>
      <c r="F30" s="303"/>
      <c r="G30"/>
      <c r="I30" s="304"/>
    </row>
    <row r="31" spans="1:9" x14ac:dyDescent="0.3">
      <c r="A31"/>
      <c r="F31" s="303"/>
      <c r="G31"/>
      <c r="I31" s="304"/>
    </row>
    <row r="32" spans="1:9" x14ac:dyDescent="0.3">
      <c r="A32"/>
      <c r="F32" s="303"/>
      <c r="G32"/>
      <c r="I32" s="304"/>
    </row>
    <row r="33" spans="1:9" x14ac:dyDescent="0.3">
      <c r="A33"/>
      <c r="F33" s="303"/>
      <c r="G33"/>
      <c r="I33" s="304"/>
    </row>
    <row r="34" spans="1:9" x14ac:dyDescent="0.3">
      <c r="A34"/>
      <c r="F34" s="303"/>
      <c r="G34"/>
      <c r="I34" s="304"/>
    </row>
    <row r="35" spans="1:9" x14ac:dyDescent="0.3">
      <c r="A35"/>
      <c r="F35" s="303"/>
      <c r="G35"/>
      <c r="I35" s="304"/>
    </row>
    <row r="36" spans="1:9" x14ac:dyDescent="0.3">
      <c r="A36"/>
      <c r="F36" s="303"/>
      <c r="G36"/>
      <c r="I36" s="304"/>
    </row>
    <row r="37" spans="1:9" x14ac:dyDescent="0.3">
      <c r="A37"/>
      <c r="F37" s="303"/>
      <c r="G37"/>
      <c r="I37" s="304"/>
    </row>
    <row r="38" spans="1:9" x14ac:dyDescent="0.3">
      <c r="A38"/>
      <c r="F38" s="303"/>
      <c r="G38"/>
      <c r="I38" s="304"/>
    </row>
    <row r="39" spans="1:9" x14ac:dyDescent="0.3">
      <c r="A39"/>
      <c r="F39" s="303"/>
      <c r="G39"/>
      <c r="I39" s="304"/>
    </row>
    <row r="40" spans="1:9" x14ac:dyDescent="0.3">
      <c r="A40"/>
      <c r="F40" s="303"/>
      <c r="G40"/>
      <c r="I40" s="304"/>
    </row>
    <row r="41" spans="1:9" x14ac:dyDescent="0.3">
      <c r="A41"/>
      <c r="F41" s="303"/>
      <c r="G41"/>
      <c r="I41" s="304"/>
    </row>
    <row r="42" spans="1:9" x14ac:dyDescent="0.3">
      <c r="A42"/>
      <c r="F42" s="303"/>
      <c r="G42"/>
      <c r="I42" s="304"/>
    </row>
    <row r="43" spans="1:9" x14ac:dyDescent="0.3">
      <c r="A43"/>
      <c r="F43" s="303"/>
      <c r="G43"/>
      <c r="I43" s="304"/>
    </row>
    <row r="44" spans="1:9" x14ac:dyDescent="0.3">
      <c r="A44"/>
      <c r="F44" s="303"/>
      <c r="G44"/>
      <c r="I44" s="304"/>
    </row>
    <row r="45" spans="1:9" x14ac:dyDescent="0.3">
      <c r="A45"/>
      <c r="F45" s="303"/>
      <c r="G45"/>
      <c r="I45" s="304"/>
    </row>
    <row r="46" spans="1:9" x14ac:dyDescent="0.3">
      <c r="A46"/>
      <c r="F46" s="303"/>
      <c r="G46"/>
      <c r="I46" s="304"/>
    </row>
    <row r="47" spans="1:9" x14ac:dyDescent="0.3">
      <c r="A47"/>
      <c r="F47" s="303"/>
      <c r="G47"/>
      <c r="I47" s="304"/>
    </row>
    <row r="48" spans="1:9" x14ac:dyDescent="0.3">
      <c r="A48"/>
      <c r="F48" s="303"/>
      <c r="G48"/>
      <c r="I48" s="304"/>
    </row>
    <row r="49" spans="1:9" x14ac:dyDescent="0.3">
      <c r="A49"/>
      <c r="F49" s="303"/>
      <c r="G49"/>
      <c r="I49" s="304"/>
    </row>
    <row r="50" spans="1:9" x14ac:dyDescent="0.3">
      <c r="A50"/>
      <c r="F50" s="303"/>
      <c r="G50"/>
      <c r="I50" s="304"/>
    </row>
    <row r="51" spans="1:9" x14ac:dyDescent="0.3">
      <c r="A51"/>
      <c r="F51" s="303"/>
      <c r="G51"/>
      <c r="I51" s="304"/>
    </row>
    <row r="52" spans="1:9" x14ac:dyDescent="0.3">
      <c r="A52"/>
      <c r="F52" s="303"/>
      <c r="G52"/>
      <c r="I52" s="304"/>
    </row>
    <row r="53" spans="1:9" x14ac:dyDescent="0.3">
      <c r="A53"/>
      <c r="F53" s="303"/>
      <c r="G53"/>
      <c r="I53" s="304"/>
    </row>
    <row r="54" spans="1:9" x14ac:dyDescent="0.3">
      <c r="A54"/>
      <c r="F54" s="303"/>
      <c r="G54"/>
      <c r="I54" s="304"/>
    </row>
    <row r="55" spans="1:9" x14ac:dyDescent="0.3">
      <c r="A55"/>
      <c r="F55" s="303"/>
      <c r="G55"/>
      <c r="I55" s="304"/>
    </row>
    <row r="56" spans="1:9" x14ac:dyDescent="0.3">
      <c r="A56"/>
      <c r="F56" s="303"/>
      <c r="G56"/>
      <c r="I56" s="304"/>
    </row>
    <row r="57" spans="1:9" x14ac:dyDescent="0.3">
      <c r="A57"/>
      <c r="F57" s="303"/>
      <c r="G57"/>
      <c r="I57" s="304"/>
    </row>
    <row r="58" spans="1:9" x14ac:dyDescent="0.3">
      <c r="A58"/>
      <c r="F58" s="303"/>
      <c r="G58"/>
      <c r="I58" s="304"/>
    </row>
    <row r="59" spans="1:9" x14ac:dyDescent="0.3">
      <c r="A59"/>
      <c r="F59" s="303"/>
      <c r="G59"/>
      <c r="I59" s="304"/>
    </row>
    <row r="60" spans="1:9" x14ac:dyDescent="0.3">
      <c r="A60"/>
      <c r="F60" s="303"/>
      <c r="G60"/>
      <c r="I60" s="304"/>
    </row>
    <row r="61" spans="1:9" x14ac:dyDescent="0.3">
      <c r="A61"/>
      <c r="F61" s="303"/>
      <c r="G61"/>
      <c r="I61" s="304"/>
    </row>
    <row r="62" spans="1:9" x14ac:dyDescent="0.3">
      <c r="A62"/>
      <c r="F62" s="303"/>
      <c r="G62"/>
      <c r="I62" s="304"/>
    </row>
    <row r="63" spans="1:9" x14ac:dyDescent="0.3">
      <c r="A63"/>
      <c r="F63" s="303"/>
      <c r="G63"/>
      <c r="I63" s="304"/>
    </row>
    <row r="64" spans="1:9" x14ac:dyDescent="0.3">
      <c r="A64"/>
      <c r="F64" s="303"/>
      <c r="G64"/>
      <c r="I64" s="304"/>
    </row>
    <row r="65" spans="1:9" x14ac:dyDescent="0.3">
      <c r="A65"/>
      <c r="F65" s="303"/>
      <c r="G65"/>
      <c r="I65" s="304"/>
    </row>
    <row r="66" spans="1:9" x14ac:dyDescent="0.3">
      <c r="A66"/>
      <c r="F66" s="303"/>
      <c r="G66"/>
      <c r="I66" s="304"/>
    </row>
    <row r="67" spans="1:9" x14ac:dyDescent="0.3">
      <c r="A67"/>
      <c r="F67" s="303"/>
      <c r="G67"/>
      <c r="I67" s="304"/>
    </row>
    <row r="68" spans="1:9" x14ac:dyDescent="0.3">
      <c r="A68"/>
      <c r="F68" s="303"/>
      <c r="G68"/>
      <c r="I68" s="304"/>
    </row>
    <row r="69" spans="1:9" x14ac:dyDescent="0.3">
      <c r="A69"/>
      <c r="F69" s="303"/>
      <c r="G69"/>
      <c r="I69" s="304"/>
    </row>
    <row r="70" spans="1:9" x14ac:dyDescent="0.3">
      <c r="A70"/>
      <c r="F70" s="303"/>
      <c r="G70"/>
      <c r="I70" s="304"/>
    </row>
    <row r="71" spans="1:9" x14ac:dyDescent="0.3">
      <c r="A71"/>
      <c r="F71" s="303"/>
      <c r="G71"/>
      <c r="I71" s="304"/>
    </row>
    <row r="72" spans="1:9" x14ac:dyDescent="0.3">
      <c r="A72"/>
      <c r="F72" s="303"/>
      <c r="G72"/>
      <c r="I72" s="304"/>
    </row>
    <row r="73" spans="1:9" x14ac:dyDescent="0.3">
      <c r="A73"/>
      <c r="F73" s="303"/>
      <c r="G73"/>
      <c r="I73" s="304"/>
    </row>
    <row r="74" spans="1:9" x14ac:dyDescent="0.3">
      <c r="A74"/>
      <c r="F74" s="303"/>
      <c r="G74"/>
      <c r="I74" s="304"/>
    </row>
    <row r="75" spans="1:9" x14ac:dyDescent="0.3">
      <c r="A75"/>
      <c r="F75" s="303"/>
      <c r="G75"/>
      <c r="I75" s="304"/>
    </row>
    <row r="76" spans="1:9" x14ac:dyDescent="0.3">
      <c r="A76"/>
      <c r="F76" s="303"/>
      <c r="G76"/>
      <c r="I76" s="304"/>
    </row>
    <row r="77" spans="1:9" x14ac:dyDescent="0.3">
      <c r="A77"/>
      <c r="F77" s="303"/>
      <c r="G77"/>
      <c r="I77" s="304"/>
    </row>
    <row r="78" spans="1:9" x14ac:dyDescent="0.3">
      <c r="A78"/>
      <c r="F78" s="303"/>
      <c r="G78"/>
      <c r="I78" s="304"/>
    </row>
    <row r="79" spans="1:9" x14ac:dyDescent="0.3">
      <c r="A79"/>
      <c r="F79" s="303"/>
      <c r="G79"/>
      <c r="I79" s="304"/>
    </row>
    <row r="80" spans="1:9" x14ac:dyDescent="0.3">
      <c r="A80"/>
      <c r="F80" s="303"/>
      <c r="G80"/>
      <c r="I80" s="304"/>
    </row>
    <row r="81" spans="1:9" x14ac:dyDescent="0.3">
      <c r="A81"/>
      <c r="F81" s="303"/>
      <c r="G81"/>
      <c r="I81" s="304"/>
    </row>
    <row r="82" spans="1:9" x14ac:dyDescent="0.3">
      <c r="A82"/>
      <c r="F82" s="303"/>
      <c r="G82"/>
      <c r="I82" s="304"/>
    </row>
    <row r="83" spans="1:9" x14ac:dyDescent="0.3">
      <c r="A83"/>
      <c r="F83" s="303"/>
      <c r="G83"/>
      <c r="I83" s="304"/>
    </row>
    <row r="84" spans="1:9" x14ac:dyDescent="0.3">
      <c r="A84"/>
      <c r="F84" s="303"/>
      <c r="G84"/>
      <c r="I84" s="304"/>
    </row>
    <row r="85" spans="1:9" x14ac:dyDescent="0.3">
      <c r="A85"/>
      <c r="F85" s="303"/>
      <c r="G85"/>
      <c r="I85" s="304"/>
    </row>
    <row r="86" spans="1:9" x14ac:dyDescent="0.3">
      <c r="A86"/>
      <c r="F86" s="303"/>
      <c r="G86"/>
      <c r="I86" s="304"/>
    </row>
    <row r="87" spans="1:9" x14ac:dyDescent="0.3">
      <c r="A87"/>
      <c r="F87" s="303"/>
      <c r="G87"/>
      <c r="I87" s="304"/>
    </row>
    <row r="88" spans="1:9" x14ac:dyDescent="0.3">
      <c r="A88"/>
      <c r="F88" s="303"/>
      <c r="G88"/>
      <c r="I88" s="304"/>
    </row>
    <row r="89" spans="1:9" x14ac:dyDescent="0.3">
      <c r="A89"/>
      <c r="F89" s="303"/>
      <c r="G89"/>
      <c r="I89" s="304"/>
    </row>
    <row r="90" spans="1:9" x14ac:dyDescent="0.3">
      <c r="A90"/>
      <c r="F90" s="303"/>
      <c r="G90"/>
      <c r="I90" s="304"/>
    </row>
    <row r="91" spans="1:9" x14ac:dyDescent="0.3">
      <c r="A91"/>
      <c r="F91" s="303"/>
      <c r="G91"/>
      <c r="I91" s="304"/>
    </row>
    <row r="92" spans="1:9" x14ac:dyDescent="0.3">
      <c r="A92"/>
      <c r="F92" s="303"/>
      <c r="G92"/>
      <c r="I92" s="304"/>
    </row>
    <row r="93" spans="1:9" x14ac:dyDescent="0.3">
      <c r="A93"/>
      <c r="F93" s="303"/>
      <c r="G93"/>
      <c r="I93" s="304"/>
    </row>
    <row r="94" spans="1:9" x14ac:dyDescent="0.3">
      <c r="A94"/>
      <c r="F94" s="303"/>
      <c r="G94"/>
      <c r="I94" s="304"/>
    </row>
    <row r="95" spans="1:9" x14ac:dyDescent="0.3">
      <c r="A95"/>
      <c r="F95" s="303"/>
      <c r="G95"/>
      <c r="I95" s="304"/>
    </row>
    <row r="96" spans="1:9" x14ac:dyDescent="0.3">
      <c r="A96"/>
      <c r="F96" s="303"/>
      <c r="G96"/>
      <c r="I96" s="304"/>
    </row>
    <row r="97" spans="1:9" x14ac:dyDescent="0.3">
      <c r="A97"/>
      <c r="F97" s="303"/>
      <c r="G97"/>
      <c r="I97" s="304"/>
    </row>
    <row r="98" spans="1:9" x14ac:dyDescent="0.3">
      <c r="A98"/>
      <c r="F98" s="303"/>
      <c r="G98"/>
      <c r="I98" s="304"/>
    </row>
    <row r="99" spans="1:9" x14ac:dyDescent="0.3">
      <c r="A99"/>
      <c r="F99" s="303"/>
      <c r="G99"/>
      <c r="I99" s="304"/>
    </row>
    <row r="100" spans="1:9" x14ac:dyDescent="0.3">
      <c r="A100"/>
      <c r="F100" s="303"/>
      <c r="G100"/>
      <c r="I100" s="304"/>
    </row>
    <row r="101" spans="1:9" x14ac:dyDescent="0.3">
      <c r="A101"/>
      <c r="F101" s="303"/>
      <c r="G101"/>
      <c r="I101" s="304"/>
    </row>
    <row r="102" spans="1:9" x14ac:dyDescent="0.3">
      <c r="A102"/>
      <c r="F102" s="303"/>
      <c r="G102"/>
      <c r="I102" s="304"/>
    </row>
    <row r="103" spans="1:9" x14ac:dyDescent="0.3">
      <c r="A103"/>
      <c r="F103" s="303"/>
      <c r="G103"/>
      <c r="I103" s="304"/>
    </row>
    <row r="104" spans="1:9" x14ac:dyDescent="0.3">
      <c r="A104"/>
      <c r="F104" s="303"/>
      <c r="G104"/>
      <c r="I104" s="304"/>
    </row>
    <row r="105" spans="1:9" x14ac:dyDescent="0.3">
      <c r="A105"/>
      <c r="F105" s="303"/>
      <c r="G105"/>
      <c r="I105" s="304"/>
    </row>
    <row r="106" spans="1:9" x14ac:dyDescent="0.3">
      <c r="A106"/>
      <c r="F106" s="303"/>
      <c r="G106"/>
      <c r="I106" s="304"/>
    </row>
    <row r="107" spans="1:9" x14ac:dyDescent="0.3">
      <c r="A107"/>
      <c r="F107" s="303"/>
      <c r="G107"/>
      <c r="I107" s="304"/>
    </row>
    <row r="108" spans="1:9" x14ac:dyDescent="0.3">
      <c r="A108"/>
      <c r="F108" s="303"/>
      <c r="G108"/>
      <c r="I108" s="304"/>
    </row>
    <row r="109" spans="1:9" x14ac:dyDescent="0.3">
      <c r="A109"/>
      <c r="F109" s="303"/>
      <c r="G109"/>
      <c r="I109" s="304"/>
    </row>
    <row r="110" spans="1:9" x14ac:dyDescent="0.3">
      <c r="A110"/>
      <c r="F110" s="303"/>
      <c r="G110"/>
      <c r="I110" s="304"/>
    </row>
    <row r="111" spans="1:9" x14ac:dyDescent="0.3">
      <c r="A111"/>
      <c r="F111" s="303"/>
      <c r="G111"/>
      <c r="I111" s="304"/>
    </row>
    <row r="112" spans="1:9" x14ac:dyDescent="0.3">
      <c r="A112"/>
      <c r="F112" s="303"/>
      <c r="G112"/>
      <c r="I112" s="304"/>
    </row>
    <row r="113" spans="1:9" x14ac:dyDescent="0.3">
      <c r="A113"/>
      <c r="F113" s="303"/>
      <c r="G113"/>
      <c r="I113" s="304"/>
    </row>
    <row r="114" spans="1:9" x14ac:dyDescent="0.3">
      <c r="A114"/>
      <c r="F114" s="303"/>
      <c r="G114"/>
      <c r="I114" s="304"/>
    </row>
    <row r="115" spans="1:9" x14ac:dyDescent="0.3">
      <c r="A115"/>
      <c r="F115" s="303"/>
      <c r="G115"/>
      <c r="I115" s="304"/>
    </row>
    <row r="116" spans="1:9" x14ac:dyDescent="0.3">
      <c r="A116"/>
      <c r="F116" s="303"/>
      <c r="G116"/>
      <c r="I116" s="304"/>
    </row>
    <row r="117" spans="1:9" x14ac:dyDescent="0.3">
      <c r="A117"/>
      <c r="F117" s="303"/>
      <c r="G117"/>
      <c r="I117" s="304"/>
    </row>
    <row r="118" spans="1:9" x14ac:dyDescent="0.3">
      <c r="A118"/>
      <c r="F118" s="303"/>
      <c r="G118"/>
      <c r="I118" s="304"/>
    </row>
    <row r="119" spans="1:9" x14ac:dyDescent="0.3">
      <c r="A119"/>
      <c r="F119" s="303"/>
      <c r="G119"/>
      <c r="I119" s="304"/>
    </row>
    <row r="120" spans="1:9" x14ac:dyDescent="0.3">
      <c r="A120"/>
      <c r="F120" s="303"/>
      <c r="G120"/>
      <c r="I120" s="304"/>
    </row>
    <row r="121" spans="1:9" x14ac:dyDescent="0.3">
      <c r="A121"/>
      <c r="F121" s="303"/>
      <c r="G121"/>
      <c r="I121" s="304"/>
    </row>
    <row r="122" spans="1:9" x14ac:dyDescent="0.3">
      <c r="A122"/>
      <c r="F122" s="303"/>
      <c r="G122"/>
      <c r="I122" s="304"/>
    </row>
    <row r="123" spans="1:9" x14ac:dyDescent="0.3">
      <c r="A123"/>
      <c r="F123" s="303"/>
      <c r="G123"/>
      <c r="I123" s="304"/>
    </row>
    <row r="124" spans="1:9" x14ac:dyDescent="0.3">
      <c r="A124"/>
      <c r="F124" s="303"/>
      <c r="G124"/>
      <c r="I124" s="304"/>
    </row>
    <row r="125" spans="1:9" x14ac:dyDescent="0.3">
      <c r="A125"/>
      <c r="F125" s="303"/>
      <c r="G125"/>
      <c r="I125" s="304"/>
    </row>
    <row r="126" spans="1:9" x14ac:dyDescent="0.3">
      <c r="A126"/>
      <c r="F126" s="303"/>
      <c r="G126"/>
      <c r="I126" s="304"/>
    </row>
    <row r="127" spans="1:9" x14ac:dyDescent="0.3">
      <c r="A127"/>
      <c r="F127" s="303"/>
      <c r="G127"/>
      <c r="I127" s="304"/>
    </row>
    <row r="128" spans="1:9" x14ac:dyDescent="0.3">
      <c r="A128"/>
      <c r="F128" s="303"/>
      <c r="G128"/>
      <c r="I128" s="304"/>
    </row>
    <row r="129" spans="1:9" x14ac:dyDescent="0.3">
      <c r="A129"/>
      <c r="F129" s="303"/>
      <c r="G129"/>
      <c r="I129" s="304"/>
    </row>
    <row r="130" spans="1:9" x14ac:dyDescent="0.3">
      <c r="A130"/>
      <c r="F130" s="303"/>
      <c r="G130"/>
      <c r="I130" s="304"/>
    </row>
    <row r="131" spans="1:9" x14ac:dyDescent="0.3">
      <c r="A131"/>
      <c r="F131" s="303"/>
      <c r="G131"/>
      <c r="I131" s="304"/>
    </row>
    <row r="132" spans="1:9" x14ac:dyDescent="0.3">
      <c r="A132"/>
      <c r="F132" s="303"/>
      <c r="G132"/>
      <c r="I132" s="304"/>
    </row>
    <row r="133" spans="1:9" x14ac:dyDescent="0.3">
      <c r="A133"/>
      <c r="F133" s="303"/>
      <c r="G133"/>
      <c r="I133" s="304"/>
    </row>
    <row r="134" spans="1:9" x14ac:dyDescent="0.3">
      <c r="A134"/>
      <c r="F134" s="303"/>
      <c r="G134"/>
      <c r="I134" s="304"/>
    </row>
    <row r="135" spans="1:9" x14ac:dyDescent="0.3">
      <c r="A135"/>
      <c r="F135" s="303"/>
      <c r="G135"/>
      <c r="I135" s="304"/>
    </row>
    <row r="136" spans="1:9" x14ac:dyDescent="0.3">
      <c r="A136"/>
      <c r="F136" s="303"/>
      <c r="G136"/>
      <c r="I136" s="304"/>
    </row>
    <row r="137" spans="1:9" x14ac:dyDescent="0.3">
      <c r="A137"/>
      <c r="F137" s="303"/>
      <c r="G137"/>
      <c r="I137" s="304"/>
    </row>
    <row r="138" spans="1:9" x14ac:dyDescent="0.3">
      <c r="A138"/>
      <c r="F138" s="303"/>
      <c r="G138"/>
      <c r="I138" s="304"/>
    </row>
    <row r="139" spans="1:9" x14ac:dyDescent="0.3">
      <c r="A139"/>
      <c r="F139" s="303"/>
      <c r="G139"/>
      <c r="I139" s="304"/>
    </row>
    <row r="140" spans="1:9" x14ac:dyDescent="0.3">
      <c r="A140"/>
      <c r="F140" s="303"/>
      <c r="G140"/>
      <c r="I140" s="304"/>
    </row>
    <row r="141" spans="1:9" x14ac:dyDescent="0.3">
      <c r="A141"/>
      <c r="F141" s="303"/>
      <c r="G141"/>
      <c r="I141" s="304"/>
    </row>
    <row r="142" spans="1:9" x14ac:dyDescent="0.3">
      <c r="A142"/>
      <c r="F142" s="303"/>
      <c r="G142"/>
      <c r="I142" s="304"/>
    </row>
    <row r="143" spans="1:9" x14ac:dyDescent="0.3">
      <c r="A143"/>
      <c r="F143" s="303"/>
      <c r="G143"/>
      <c r="I143" s="304"/>
    </row>
    <row r="144" spans="1:9" x14ac:dyDescent="0.3">
      <c r="A144"/>
      <c r="F144" s="303"/>
      <c r="G144"/>
      <c r="I144" s="304"/>
    </row>
    <row r="145" spans="1:9" x14ac:dyDescent="0.3">
      <c r="A145"/>
      <c r="F145" s="303"/>
      <c r="G145"/>
      <c r="I145" s="304"/>
    </row>
    <row r="146" spans="1:9" x14ac:dyDescent="0.3">
      <c r="A146"/>
      <c r="F146" s="303"/>
      <c r="G146"/>
      <c r="I146" s="304"/>
    </row>
    <row r="147" spans="1:9" x14ac:dyDescent="0.3">
      <c r="A147"/>
      <c r="F147" s="303"/>
      <c r="G147"/>
      <c r="I147" s="304"/>
    </row>
    <row r="148" spans="1:9" x14ac:dyDescent="0.3">
      <c r="A148"/>
      <c r="F148" s="303"/>
      <c r="G148"/>
      <c r="I148" s="304"/>
    </row>
    <row r="149" spans="1:9" x14ac:dyDescent="0.3">
      <c r="A149"/>
      <c r="F149" s="303"/>
      <c r="G149"/>
      <c r="I149" s="304"/>
    </row>
    <row r="150" spans="1:9" x14ac:dyDescent="0.3">
      <c r="A150"/>
      <c r="F150" s="303"/>
      <c r="G150"/>
      <c r="I150" s="304"/>
    </row>
    <row r="151" spans="1:9" x14ac:dyDescent="0.3">
      <c r="A151"/>
      <c r="F151" s="303"/>
      <c r="G151"/>
      <c r="I151" s="304"/>
    </row>
    <row r="152" spans="1:9" x14ac:dyDescent="0.3">
      <c r="A152"/>
      <c r="F152" s="303"/>
      <c r="G152"/>
      <c r="I152" s="304"/>
    </row>
    <row r="153" spans="1:9" x14ac:dyDescent="0.3">
      <c r="A153"/>
      <c r="F153" s="303"/>
      <c r="G153"/>
      <c r="I153" s="304"/>
    </row>
    <row r="154" spans="1:9" x14ac:dyDescent="0.3">
      <c r="A154"/>
      <c r="F154" s="303"/>
      <c r="G154"/>
      <c r="I154" s="304"/>
    </row>
    <row r="155" spans="1:9" x14ac:dyDescent="0.3">
      <c r="A155"/>
      <c r="F155" s="303"/>
      <c r="G155"/>
      <c r="I155" s="304"/>
    </row>
    <row r="156" spans="1:9" x14ac:dyDescent="0.3">
      <c r="A156"/>
      <c r="F156" s="303"/>
      <c r="G156"/>
      <c r="I156" s="304"/>
    </row>
    <row r="157" spans="1:9" x14ac:dyDescent="0.3">
      <c r="A157"/>
      <c r="F157" s="303"/>
      <c r="G157"/>
      <c r="I157" s="304"/>
    </row>
    <row r="158" spans="1:9" x14ac:dyDescent="0.3">
      <c r="A158"/>
      <c r="F158" s="303"/>
      <c r="G158"/>
      <c r="I158" s="304"/>
    </row>
    <row r="159" spans="1:9" x14ac:dyDescent="0.3">
      <c r="A159"/>
      <c r="F159" s="303"/>
      <c r="G159"/>
      <c r="I159" s="304"/>
    </row>
    <row r="160" spans="1:9" x14ac:dyDescent="0.3">
      <c r="A160"/>
      <c r="F160" s="303"/>
      <c r="G160"/>
      <c r="I160" s="304"/>
    </row>
    <row r="161" spans="1:9" x14ac:dyDescent="0.3">
      <c r="A161"/>
      <c r="F161" s="303"/>
      <c r="G161"/>
      <c r="I161" s="304"/>
    </row>
    <row r="162" spans="1:9" x14ac:dyDescent="0.3">
      <c r="A162"/>
      <c r="F162" s="303"/>
      <c r="G162"/>
      <c r="I162" s="304"/>
    </row>
    <row r="163" spans="1:9" x14ac:dyDescent="0.3">
      <c r="A163"/>
      <c r="F163" s="303"/>
      <c r="G163"/>
      <c r="I163" s="304"/>
    </row>
    <row r="164" spans="1:9" x14ac:dyDescent="0.3">
      <c r="A164"/>
      <c r="F164" s="303"/>
      <c r="G164"/>
      <c r="I164" s="304"/>
    </row>
    <row r="165" spans="1:9" x14ac:dyDescent="0.3">
      <c r="A165"/>
      <c r="F165" s="303"/>
      <c r="G165"/>
      <c r="I165" s="304"/>
    </row>
    <row r="166" spans="1:9" x14ac:dyDescent="0.3">
      <c r="A166"/>
      <c r="F166" s="303"/>
      <c r="G166"/>
      <c r="I166" s="304"/>
    </row>
    <row r="167" spans="1:9" x14ac:dyDescent="0.3">
      <c r="A167"/>
      <c r="F167" s="303"/>
      <c r="G167"/>
      <c r="I167" s="304"/>
    </row>
    <row r="168" spans="1:9" x14ac:dyDescent="0.3">
      <c r="A168"/>
      <c r="F168" s="303"/>
      <c r="G168"/>
      <c r="I168" s="304"/>
    </row>
    <row r="169" spans="1:9" x14ac:dyDescent="0.3">
      <c r="A169"/>
      <c r="F169" s="303"/>
      <c r="G169"/>
      <c r="I169" s="304"/>
    </row>
    <row r="170" spans="1:9" x14ac:dyDescent="0.3">
      <c r="A170"/>
      <c r="F170" s="303"/>
      <c r="G170"/>
      <c r="I170" s="304"/>
    </row>
    <row r="171" spans="1:9" x14ac:dyDescent="0.3">
      <c r="A171"/>
      <c r="F171" s="303"/>
      <c r="G171"/>
      <c r="I171" s="304"/>
    </row>
    <row r="172" spans="1:9" x14ac:dyDescent="0.3">
      <c r="A172"/>
      <c r="F172" s="303"/>
      <c r="G172"/>
      <c r="I172" s="304"/>
    </row>
    <row r="173" spans="1:9" x14ac:dyDescent="0.3">
      <c r="A173"/>
      <c r="F173" s="303"/>
      <c r="G173"/>
      <c r="I173" s="304"/>
    </row>
    <row r="174" spans="1:9" x14ac:dyDescent="0.3">
      <c r="A174"/>
      <c r="F174" s="303"/>
      <c r="G174"/>
      <c r="I174" s="304"/>
    </row>
    <row r="175" spans="1:9" x14ac:dyDescent="0.3">
      <c r="A175"/>
      <c r="F175" s="303"/>
      <c r="G175"/>
      <c r="I175" s="304"/>
    </row>
    <row r="176" spans="1:9" x14ac:dyDescent="0.3">
      <c r="A176"/>
      <c r="F176" s="303"/>
      <c r="G176"/>
      <c r="I176" s="304"/>
    </row>
    <row r="177" spans="1:9" x14ac:dyDescent="0.3">
      <c r="A177"/>
      <c r="F177" s="303"/>
      <c r="G177"/>
      <c r="I177" s="304"/>
    </row>
    <row r="178" spans="1:9" x14ac:dyDescent="0.3">
      <c r="A178"/>
      <c r="F178" s="303"/>
      <c r="G178"/>
      <c r="I178" s="304"/>
    </row>
    <row r="179" spans="1:9" x14ac:dyDescent="0.3">
      <c r="A179"/>
      <c r="F179" s="303"/>
      <c r="G179"/>
      <c r="I179" s="304"/>
    </row>
    <row r="180" spans="1:9" x14ac:dyDescent="0.3">
      <c r="A180"/>
      <c r="F180" s="303"/>
      <c r="G180"/>
      <c r="I180" s="304"/>
    </row>
    <row r="181" spans="1:9" x14ac:dyDescent="0.3">
      <c r="A181"/>
      <c r="F181" s="303"/>
      <c r="G181"/>
      <c r="I181" s="304"/>
    </row>
    <row r="182" spans="1:9" x14ac:dyDescent="0.3">
      <c r="A182"/>
      <c r="F182" s="303"/>
      <c r="G182"/>
      <c r="I182" s="304"/>
    </row>
    <row r="183" spans="1:9" x14ac:dyDescent="0.3">
      <c r="A183"/>
      <c r="F183" s="303"/>
      <c r="G183"/>
      <c r="I183" s="304"/>
    </row>
    <row r="184" spans="1:9" x14ac:dyDescent="0.3">
      <c r="A184"/>
      <c r="F184" s="303"/>
      <c r="G184"/>
      <c r="I184" s="304"/>
    </row>
    <row r="185" spans="1:9" x14ac:dyDescent="0.3">
      <c r="A185"/>
      <c r="F185" s="303"/>
      <c r="G185"/>
      <c r="I185" s="304"/>
    </row>
    <row r="186" spans="1:9" x14ac:dyDescent="0.3">
      <c r="A186"/>
      <c r="F186" s="303"/>
      <c r="G186"/>
      <c r="I186" s="304"/>
    </row>
    <row r="187" spans="1:9" x14ac:dyDescent="0.3">
      <c r="A187"/>
      <c r="F187" s="303"/>
      <c r="G187"/>
      <c r="I187" s="304"/>
    </row>
    <row r="188" spans="1:9" x14ac:dyDescent="0.3">
      <c r="A188"/>
      <c r="F188" s="303"/>
      <c r="G188"/>
      <c r="I188" s="304"/>
    </row>
    <row r="189" spans="1:9" x14ac:dyDescent="0.3">
      <c r="A189"/>
      <c r="F189" s="303"/>
      <c r="G189"/>
      <c r="I189" s="304"/>
    </row>
    <row r="190" spans="1:9" x14ac:dyDescent="0.3">
      <c r="A190"/>
      <c r="F190" s="303"/>
      <c r="G190"/>
      <c r="I190" s="304"/>
    </row>
    <row r="191" spans="1:9" x14ac:dyDescent="0.3">
      <c r="A191"/>
      <c r="F191" s="303"/>
      <c r="G191"/>
      <c r="I191" s="304"/>
    </row>
    <row r="192" spans="1:9" x14ac:dyDescent="0.3">
      <c r="A192"/>
      <c r="F192" s="303"/>
      <c r="G192"/>
      <c r="I192" s="304"/>
    </row>
    <row r="193" spans="1:9" x14ac:dyDescent="0.3">
      <c r="A193"/>
      <c r="F193" s="303"/>
      <c r="G193"/>
      <c r="I193" s="304"/>
    </row>
    <row r="194" spans="1:9" x14ac:dyDescent="0.3">
      <c r="A194"/>
      <c r="F194" s="303"/>
      <c r="G194"/>
      <c r="I194" s="304"/>
    </row>
    <row r="195" spans="1:9" x14ac:dyDescent="0.3">
      <c r="A195"/>
      <c r="F195" s="303"/>
      <c r="G195"/>
      <c r="I195" s="304"/>
    </row>
    <row r="196" spans="1:9" x14ac:dyDescent="0.3">
      <c r="A196"/>
      <c r="F196" s="303"/>
      <c r="G196"/>
      <c r="I196" s="304"/>
    </row>
    <row r="197" spans="1:9" x14ac:dyDescent="0.3">
      <c r="A197"/>
      <c r="F197" s="303"/>
      <c r="G197"/>
      <c r="I197" s="304"/>
    </row>
    <row r="198" spans="1:9" x14ac:dyDescent="0.3">
      <c r="A198"/>
      <c r="F198" s="303"/>
      <c r="G198"/>
      <c r="I198" s="304"/>
    </row>
    <row r="199" spans="1:9" x14ac:dyDescent="0.3">
      <c r="A199"/>
      <c r="F199" s="303"/>
      <c r="G199"/>
      <c r="I199" s="304"/>
    </row>
    <row r="200" spans="1:9" x14ac:dyDescent="0.3">
      <c r="A200"/>
      <c r="F200" s="303"/>
      <c r="G200"/>
      <c r="I200" s="304"/>
    </row>
    <row r="201" spans="1:9" x14ac:dyDescent="0.3">
      <c r="A201"/>
      <c r="F201" s="303"/>
      <c r="G201"/>
      <c r="I201" s="304"/>
    </row>
    <row r="202" spans="1:9" x14ac:dyDescent="0.3">
      <c r="A202"/>
      <c r="F202" s="303"/>
      <c r="G202"/>
      <c r="I202" s="304"/>
    </row>
    <row r="203" spans="1:9" x14ac:dyDescent="0.3">
      <c r="A203"/>
      <c r="F203" s="303"/>
      <c r="G203"/>
      <c r="I203" s="304"/>
    </row>
    <row r="204" spans="1:9" x14ac:dyDescent="0.3">
      <c r="A204"/>
      <c r="F204" s="303"/>
      <c r="G204"/>
      <c r="I204" s="304"/>
    </row>
    <row r="205" spans="1:9" x14ac:dyDescent="0.3">
      <c r="A205"/>
      <c r="F205" s="303"/>
      <c r="G205"/>
      <c r="I205" s="304"/>
    </row>
    <row r="206" spans="1:9" x14ac:dyDescent="0.3">
      <c r="A206"/>
      <c r="F206" s="303"/>
      <c r="G206"/>
      <c r="I206" s="304"/>
    </row>
    <row r="207" spans="1:9" x14ac:dyDescent="0.3">
      <c r="A207"/>
      <c r="F207" s="303"/>
      <c r="G207"/>
      <c r="I207" s="304"/>
    </row>
    <row r="208" spans="1:9" x14ac:dyDescent="0.3">
      <c r="A208"/>
      <c r="F208" s="303"/>
      <c r="G208"/>
      <c r="I208" s="304"/>
    </row>
    <row r="209" spans="1:9" x14ac:dyDescent="0.3">
      <c r="A209"/>
      <c r="F209" s="303"/>
      <c r="G209"/>
      <c r="I209" s="304"/>
    </row>
    <row r="210" spans="1:9" x14ac:dyDescent="0.3">
      <c r="A210"/>
      <c r="F210" s="303"/>
      <c r="G210"/>
      <c r="I210" s="304"/>
    </row>
    <row r="211" spans="1:9" x14ac:dyDescent="0.3">
      <c r="A211"/>
      <c r="F211" s="303"/>
      <c r="G211"/>
      <c r="I211" s="304"/>
    </row>
    <row r="212" spans="1:9" x14ac:dyDescent="0.3">
      <c r="A212"/>
      <c r="F212" s="303"/>
      <c r="G212"/>
      <c r="I212" s="304"/>
    </row>
    <row r="213" spans="1:9" x14ac:dyDescent="0.3">
      <c r="A213"/>
      <c r="F213" s="303"/>
      <c r="G213"/>
      <c r="I213" s="304"/>
    </row>
    <row r="214" spans="1:9" x14ac:dyDescent="0.3">
      <c r="A214"/>
      <c r="F214" s="303"/>
      <c r="G214"/>
      <c r="I214" s="304"/>
    </row>
    <row r="215" spans="1:9" x14ac:dyDescent="0.3">
      <c r="A215"/>
      <c r="F215" s="303"/>
      <c r="G215"/>
      <c r="I215" s="304"/>
    </row>
    <row r="216" spans="1:9" x14ac:dyDescent="0.3">
      <c r="A216"/>
      <c r="F216" s="303"/>
      <c r="G216"/>
      <c r="I216" s="304"/>
    </row>
    <row r="217" spans="1:9" x14ac:dyDescent="0.3">
      <c r="A217"/>
      <c r="F217" s="303"/>
      <c r="G217"/>
      <c r="I217" s="304"/>
    </row>
    <row r="218" spans="1:9" x14ac:dyDescent="0.3">
      <c r="A218"/>
      <c r="F218" s="303"/>
      <c r="G218"/>
      <c r="I218" s="304"/>
    </row>
    <row r="219" spans="1:9" x14ac:dyDescent="0.3">
      <c r="A219"/>
      <c r="F219" s="303"/>
      <c r="G219"/>
      <c r="I219" s="304"/>
    </row>
    <row r="220" spans="1:9" x14ac:dyDescent="0.3">
      <c r="A220"/>
      <c r="F220" s="303"/>
      <c r="G220"/>
      <c r="I220" s="304"/>
    </row>
    <row r="221" spans="1:9" x14ac:dyDescent="0.3">
      <c r="A221"/>
      <c r="F221" s="303"/>
      <c r="G221"/>
      <c r="I221" s="304"/>
    </row>
    <row r="222" spans="1:9" x14ac:dyDescent="0.3">
      <c r="A222"/>
      <c r="F222" s="303"/>
      <c r="G222"/>
      <c r="I222" s="304"/>
    </row>
    <row r="223" spans="1:9" x14ac:dyDescent="0.3">
      <c r="A223"/>
      <c r="F223" s="303"/>
      <c r="G223"/>
      <c r="I223" s="304"/>
    </row>
    <row r="224" spans="1:9" x14ac:dyDescent="0.3">
      <c r="A224"/>
      <c r="F224" s="303"/>
      <c r="G224"/>
      <c r="I224" s="304"/>
    </row>
    <row r="225" spans="1:9" x14ac:dyDescent="0.3">
      <c r="A225"/>
      <c r="F225" s="303"/>
      <c r="G225"/>
      <c r="I225" s="304"/>
    </row>
    <row r="226" spans="1:9" x14ac:dyDescent="0.3">
      <c r="A226"/>
      <c r="F226" s="303"/>
      <c r="G226"/>
      <c r="I226" s="304"/>
    </row>
    <row r="227" spans="1:9" x14ac:dyDescent="0.3">
      <c r="A227"/>
      <c r="F227" s="303"/>
      <c r="G227"/>
      <c r="I227" s="304"/>
    </row>
    <row r="228" spans="1:9" x14ac:dyDescent="0.3">
      <c r="A228"/>
      <c r="F228" s="303"/>
      <c r="G228"/>
      <c r="I228" s="304"/>
    </row>
    <row r="229" spans="1:9" x14ac:dyDescent="0.3">
      <c r="A229"/>
      <c r="F229" s="303"/>
      <c r="G229"/>
      <c r="I229" s="304"/>
    </row>
    <row r="230" spans="1:9" x14ac:dyDescent="0.3">
      <c r="A230"/>
      <c r="F230" s="303"/>
      <c r="G230"/>
      <c r="I230" s="304"/>
    </row>
    <row r="231" spans="1:9" x14ac:dyDescent="0.3">
      <c r="A231"/>
      <c r="F231" s="303"/>
      <c r="G231"/>
      <c r="I231" s="304"/>
    </row>
    <row r="232" spans="1:9" x14ac:dyDescent="0.3">
      <c r="A232"/>
      <c r="F232" s="303"/>
      <c r="G232"/>
      <c r="I232" s="304"/>
    </row>
    <row r="233" spans="1:9" x14ac:dyDescent="0.3">
      <c r="A233"/>
      <c r="F233" s="303"/>
      <c r="G233"/>
      <c r="I233" s="304"/>
    </row>
    <row r="234" spans="1:9" x14ac:dyDescent="0.3">
      <c r="A234"/>
      <c r="F234" s="303"/>
      <c r="G234"/>
      <c r="I234" s="304"/>
    </row>
    <row r="235" spans="1:9" x14ac:dyDescent="0.3">
      <c r="A235"/>
      <c r="F235" s="303"/>
      <c r="G235"/>
      <c r="I235" s="304"/>
    </row>
    <row r="236" spans="1:9" x14ac:dyDescent="0.3">
      <c r="A236"/>
      <c r="F236" s="303"/>
      <c r="G236"/>
      <c r="I236" s="304"/>
    </row>
    <row r="237" spans="1:9" x14ac:dyDescent="0.3">
      <c r="A237"/>
      <c r="F237" s="303"/>
      <c r="G237"/>
      <c r="I237" s="304"/>
    </row>
    <row r="238" spans="1:9" x14ac:dyDescent="0.3">
      <c r="A238"/>
      <c r="F238" s="303"/>
      <c r="G238"/>
      <c r="I238" s="304"/>
    </row>
    <row r="239" spans="1:9" x14ac:dyDescent="0.3">
      <c r="A239"/>
      <c r="F239" s="303"/>
      <c r="G239"/>
      <c r="I239" s="304"/>
    </row>
    <row r="240" spans="1:9" x14ac:dyDescent="0.3">
      <c r="A240"/>
      <c r="F240" s="303"/>
      <c r="G240"/>
      <c r="I240" s="304"/>
    </row>
    <row r="241" spans="1:9" x14ac:dyDescent="0.3">
      <c r="A241"/>
      <c r="F241" s="303"/>
      <c r="G241"/>
      <c r="I241" s="304"/>
    </row>
    <row r="242" spans="1:9" x14ac:dyDescent="0.3">
      <c r="A242"/>
      <c r="F242" s="303"/>
      <c r="G242"/>
      <c r="I242" s="304"/>
    </row>
    <row r="243" spans="1:9" x14ac:dyDescent="0.3">
      <c r="A243"/>
      <c r="F243" s="303"/>
      <c r="G243"/>
      <c r="I243" s="304"/>
    </row>
    <row r="244" spans="1:9" x14ac:dyDescent="0.3">
      <c r="A244"/>
      <c r="F244" s="303"/>
      <c r="G244"/>
      <c r="I244" s="304"/>
    </row>
    <row r="245" spans="1:9" x14ac:dyDescent="0.3">
      <c r="A245"/>
      <c r="F245" s="303"/>
      <c r="G245"/>
      <c r="I245" s="304"/>
    </row>
    <row r="246" spans="1:9" x14ac:dyDescent="0.3">
      <c r="A246"/>
      <c r="F246" s="303"/>
      <c r="G246"/>
      <c r="I246" s="304"/>
    </row>
    <row r="247" spans="1:9" x14ac:dyDescent="0.3">
      <c r="A247"/>
      <c r="F247" s="303"/>
      <c r="G247"/>
      <c r="I247" s="304"/>
    </row>
    <row r="248" spans="1:9" x14ac:dyDescent="0.3">
      <c r="A248"/>
      <c r="F248" s="303"/>
      <c r="G248"/>
      <c r="I248" s="304"/>
    </row>
    <row r="249" spans="1:9" x14ac:dyDescent="0.3">
      <c r="A249"/>
      <c r="F249" s="303"/>
      <c r="G249"/>
      <c r="I249" s="304"/>
    </row>
    <row r="250" spans="1:9" x14ac:dyDescent="0.3">
      <c r="A250"/>
      <c r="F250" s="303"/>
      <c r="G250"/>
      <c r="I250" s="304"/>
    </row>
    <row r="251" spans="1:9" x14ac:dyDescent="0.3">
      <c r="A251"/>
      <c r="F251" s="303"/>
      <c r="G251"/>
      <c r="I251" s="304"/>
    </row>
    <row r="252" spans="1:9" x14ac:dyDescent="0.3">
      <c r="A252"/>
      <c r="F252" s="303"/>
      <c r="G252"/>
      <c r="I252" s="304"/>
    </row>
    <row r="253" spans="1:9" x14ac:dyDescent="0.3">
      <c r="A253"/>
      <c r="F253" s="303"/>
      <c r="G253"/>
      <c r="I253" s="304"/>
    </row>
    <row r="254" spans="1:9" x14ac:dyDescent="0.3">
      <c r="A254"/>
      <c r="F254" s="303"/>
      <c r="G254"/>
      <c r="I254" s="304"/>
    </row>
    <row r="255" spans="1:9" x14ac:dyDescent="0.3">
      <c r="A255"/>
      <c r="F255" s="303"/>
      <c r="G255"/>
      <c r="I255" s="304"/>
    </row>
    <row r="256" spans="1:9" x14ac:dyDescent="0.3">
      <c r="A256"/>
      <c r="F256" s="303"/>
      <c r="G256"/>
      <c r="I256" s="304"/>
    </row>
    <row r="257" spans="1:9" x14ac:dyDescent="0.3">
      <c r="A257"/>
      <c r="F257" s="303"/>
      <c r="G257"/>
      <c r="I257" s="304"/>
    </row>
    <row r="258" spans="1:9" x14ac:dyDescent="0.3">
      <c r="A258"/>
      <c r="F258" s="303"/>
      <c r="G258"/>
      <c r="I258" s="304"/>
    </row>
    <row r="259" spans="1:9" x14ac:dyDescent="0.3">
      <c r="A259"/>
      <c r="F259" s="303"/>
      <c r="G259"/>
      <c r="I259" s="304"/>
    </row>
    <row r="260" spans="1:9" x14ac:dyDescent="0.3">
      <c r="A260"/>
      <c r="F260" s="303"/>
      <c r="G260"/>
      <c r="I260" s="304"/>
    </row>
    <row r="261" spans="1:9" x14ac:dyDescent="0.3">
      <c r="A261"/>
      <c r="F261" s="303"/>
      <c r="G261"/>
      <c r="I261" s="304"/>
    </row>
    <row r="262" spans="1:9" x14ac:dyDescent="0.3">
      <c r="A262"/>
      <c r="F262" s="303"/>
      <c r="G262"/>
      <c r="I262" s="304"/>
    </row>
    <row r="263" spans="1:9" x14ac:dyDescent="0.3">
      <c r="A263"/>
      <c r="F263" s="303"/>
      <c r="G263"/>
      <c r="I263" s="304"/>
    </row>
    <row r="264" spans="1:9" x14ac:dyDescent="0.3">
      <c r="A264"/>
      <c r="F264" s="303"/>
      <c r="G264"/>
      <c r="I264" s="304"/>
    </row>
    <row r="265" spans="1:9" x14ac:dyDescent="0.3">
      <c r="A265"/>
      <c r="F265" s="303"/>
      <c r="G265"/>
      <c r="I265" s="304"/>
    </row>
    <row r="266" spans="1:9" x14ac:dyDescent="0.3">
      <c r="A266"/>
      <c r="F266" s="303"/>
      <c r="G266"/>
      <c r="I266" s="304"/>
    </row>
    <row r="267" spans="1:9" x14ac:dyDescent="0.3">
      <c r="A267"/>
      <c r="F267" s="303"/>
      <c r="G267"/>
      <c r="I267" s="304"/>
    </row>
    <row r="268" spans="1:9" x14ac:dyDescent="0.3">
      <c r="A268"/>
      <c r="F268" s="303"/>
      <c r="G268"/>
      <c r="I268" s="304"/>
    </row>
    <row r="269" spans="1:9" x14ac:dyDescent="0.3">
      <c r="A269"/>
      <c r="F269" s="303"/>
      <c r="G269"/>
      <c r="I269" s="304"/>
    </row>
    <row r="270" spans="1:9" x14ac:dyDescent="0.3">
      <c r="A270"/>
      <c r="F270" s="303"/>
      <c r="G270"/>
      <c r="I270" s="304"/>
    </row>
    <row r="271" spans="1:9" x14ac:dyDescent="0.3">
      <c r="A271"/>
      <c r="F271" s="303"/>
      <c r="G271"/>
      <c r="I271" s="304"/>
    </row>
    <row r="272" spans="1:9" x14ac:dyDescent="0.3">
      <c r="A272"/>
      <c r="F272" s="303"/>
      <c r="G272"/>
      <c r="I272" s="304"/>
    </row>
    <row r="273" spans="1:9" x14ac:dyDescent="0.3">
      <c r="A273"/>
      <c r="F273" s="303"/>
      <c r="G273"/>
      <c r="I273" s="304"/>
    </row>
    <row r="274" spans="1:9" x14ac:dyDescent="0.3">
      <c r="A274"/>
      <c r="F274" s="303"/>
      <c r="G274"/>
      <c r="I274" s="304"/>
    </row>
    <row r="275" spans="1:9" x14ac:dyDescent="0.3">
      <c r="A275"/>
      <c r="F275" s="303"/>
      <c r="G275"/>
      <c r="I275" s="304"/>
    </row>
    <row r="276" spans="1:9" x14ac:dyDescent="0.3">
      <c r="A276"/>
      <c r="F276" s="303"/>
      <c r="G276"/>
      <c r="I276" s="304"/>
    </row>
    <row r="277" spans="1:9" x14ac:dyDescent="0.3">
      <c r="A277"/>
      <c r="F277" s="303"/>
      <c r="G277"/>
      <c r="I277" s="304"/>
    </row>
    <row r="278" spans="1:9" x14ac:dyDescent="0.3">
      <c r="A278"/>
      <c r="F278" s="303"/>
      <c r="G278"/>
      <c r="I278" s="304"/>
    </row>
    <row r="279" spans="1:9" x14ac:dyDescent="0.3">
      <c r="A279"/>
      <c r="F279" s="303"/>
      <c r="G279"/>
      <c r="I279" s="304"/>
    </row>
    <row r="280" spans="1:9" x14ac:dyDescent="0.3">
      <c r="A280"/>
      <c r="F280" s="303"/>
      <c r="G280"/>
      <c r="I280" s="304"/>
    </row>
    <row r="281" spans="1:9" x14ac:dyDescent="0.3">
      <c r="A281"/>
      <c r="F281" s="303"/>
      <c r="G281"/>
      <c r="I281" s="304"/>
    </row>
    <row r="282" spans="1:9" x14ac:dyDescent="0.3">
      <c r="A282"/>
      <c r="F282" s="303"/>
      <c r="G282"/>
      <c r="I282" s="304"/>
    </row>
    <row r="283" spans="1:9" x14ac:dyDescent="0.3">
      <c r="A283"/>
      <c r="F283" s="303"/>
      <c r="G283"/>
      <c r="I283" s="304"/>
    </row>
    <row r="284" spans="1:9" x14ac:dyDescent="0.3">
      <c r="A284"/>
      <c r="F284" s="303"/>
      <c r="G284"/>
      <c r="I284" s="304"/>
    </row>
    <row r="285" spans="1:9" x14ac:dyDescent="0.3">
      <c r="A285"/>
      <c r="F285" s="303"/>
      <c r="G285"/>
      <c r="I285" s="304"/>
    </row>
    <row r="286" spans="1:9" x14ac:dyDescent="0.3">
      <c r="A286"/>
      <c r="F286" s="303"/>
      <c r="G286"/>
      <c r="I286" s="304"/>
    </row>
    <row r="287" spans="1:9" x14ac:dyDescent="0.3">
      <c r="A287"/>
      <c r="F287" s="303"/>
      <c r="G287"/>
      <c r="I287" s="304"/>
    </row>
    <row r="288" spans="1:9" x14ac:dyDescent="0.3">
      <c r="A288"/>
      <c r="F288" s="303"/>
      <c r="G288"/>
      <c r="I288" s="304"/>
    </row>
    <row r="289" spans="1:9" x14ac:dyDescent="0.3">
      <c r="A289"/>
      <c r="F289" s="303"/>
      <c r="G289"/>
      <c r="I289" s="304"/>
    </row>
    <row r="290" spans="1:9" x14ac:dyDescent="0.3">
      <c r="A290"/>
      <c r="F290" s="303"/>
      <c r="G290"/>
      <c r="I290" s="304"/>
    </row>
    <row r="291" spans="1:9" x14ac:dyDescent="0.3">
      <c r="A291"/>
      <c r="F291" s="303"/>
      <c r="G291"/>
      <c r="I291" s="304"/>
    </row>
    <row r="292" spans="1:9" x14ac:dyDescent="0.3">
      <c r="A292"/>
      <c r="F292" s="303"/>
      <c r="G292"/>
      <c r="I292" s="304"/>
    </row>
    <row r="293" spans="1:9" x14ac:dyDescent="0.3">
      <c r="A293"/>
      <c r="F293" s="303"/>
      <c r="G293"/>
      <c r="I293" s="304"/>
    </row>
    <row r="294" spans="1:9" x14ac:dyDescent="0.3">
      <c r="A294"/>
      <c r="F294" s="303"/>
      <c r="G294"/>
      <c r="I294" s="304"/>
    </row>
    <row r="295" spans="1:9" x14ac:dyDescent="0.3">
      <c r="A295"/>
      <c r="F295" s="303"/>
      <c r="G295"/>
      <c r="I295" s="304"/>
    </row>
    <row r="296" spans="1:9" x14ac:dyDescent="0.3">
      <c r="A296"/>
      <c r="F296" s="303"/>
      <c r="G296"/>
      <c r="I296" s="304"/>
    </row>
    <row r="297" spans="1:9" x14ac:dyDescent="0.3">
      <c r="A297"/>
      <c r="F297" s="303"/>
      <c r="G297"/>
      <c r="I297" s="304"/>
    </row>
    <row r="298" spans="1:9" x14ac:dyDescent="0.3">
      <c r="A298"/>
      <c r="F298" s="303"/>
      <c r="G298"/>
      <c r="I298" s="304"/>
    </row>
    <row r="299" spans="1:9" x14ac:dyDescent="0.3">
      <c r="A299"/>
      <c r="F299" s="303"/>
      <c r="G299"/>
      <c r="I299" s="304"/>
    </row>
    <row r="300" spans="1:9" x14ac:dyDescent="0.3">
      <c r="A300"/>
      <c r="F300" s="303"/>
      <c r="G300"/>
      <c r="I300" s="304"/>
    </row>
    <row r="301" spans="1:9" x14ac:dyDescent="0.3">
      <c r="A301"/>
      <c r="F301" s="303"/>
      <c r="G301"/>
      <c r="I301" s="304"/>
    </row>
    <row r="302" spans="1:9" x14ac:dyDescent="0.3">
      <c r="A302"/>
      <c r="F302" s="303"/>
      <c r="G302"/>
      <c r="I302" s="304"/>
    </row>
    <row r="303" spans="1:9" x14ac:dyDescent="0.3">
      <c r="A303"/>
      <c r="F303" s="303"/>
      <c r="G303"/>
      <c r="I303" s="304"/>
    </row>
    <row r="304" spans="1:9" x14ac:dyDescent="0.3">
      <c r="A304"/>
      <c r="F304" s="303"/>
      <c r="G304"/>
      <c r="I304" s="304"/>
    </row>
    <row r="305" spans="1:9" x14ac:dyDescent="0.3">
      <c r="A305"/>
      <c r="F305" s="303"/>
      <c r="G305"/>
      <c r="I305" s="304"/>
    </row>
    <row r="306" spans="1:9" x14ac:dyDescent="0.3">
      <c r="A306"/>
      <c r="F306" s="303"/>
      <c r="G306"/>
      <c r="I306" s="304"/>
    </row>
    <row r="307" spans="1:9" x14ac:dyDescent="0.3">
      <c r="A307"/>
      <c r="F307" s="303"/>
      <c r="G307"/>
      <c r="I307" s="304"/>
    </row>
    <row r="308" spans="1:9" x14ac:dyDescent="0.3">
      <c r="A308"/>
      <c r="F308" s="303"/>
      <c r="G308"/>
      <c r="I308" s="304"/>
    </row>
    <row r="309" spans="1:9" x14ac:dyDescent="0.3">
      <c r="A309"/>
      <c r="F309" s="303"/>
      <c r="G309"/>
      <c r="I309" s="304"/>
    </row>
    <row r="310" spans="1:9" x14ac:dyDescent="0.3">
      <c r="A310"/>
      <c r="F310" s="303"/>
      <c r="G310"/>
      <c r="I310" s="304"/>
    </row>
    <row r="311" spans="1:9" x14ac:dyDescent="0.3">
      <c r="A311"/>
      <c r="F311" s="303"/>
      <c r="G311"/>
      <c r="I311" s="304"/>
    </row>
    <row r="312" spans="1:9" x14ac:dyDescent="0.3">
      <c r="A312"/>
      <c r="F312" s="303"/>
      <c r="G312"/>
      <c r="I312" s="304"/>
    </row>
    <row r="313" spans="1:9" x14ac:dyDescent="0.3">
      <c r="A313"/>
      <c r="F313" s="303"/>
      <c r="G313"/>
      <c r="I313" s="304"/>
    </row>
    <row r="314" spans="1:9" x14ac:dyDescent="0.3">
      <c r="A314"/>
      <c r="F314" s="303"/>
      <c r="G314"/>
      <c r="I314" s="304"/>
    </row>
    <row r="315" spans="1:9" x14ac:dyDescent="0.3">
      <c r="A315"/>
      <c r="F315" s="303"/>
      <c r="G315"/>
      <c r="I315" s="304"/>
    </row>
    <row r="316" spans="1:9" x14ac:dyDescent="0.3">
      <c r="A316"/>
      <c r="F316" s="303"/>
      <c r="G316"/>
      <c r="I316" s="304"/>
    </row>
    <row r="317" spans="1:9" x14ac:dyDescent="0.3">
      <c r="A317"/>
      <c r="F317" s="303"/>
      <c r="G317"/>
      <c r="I317" s="304"/>
    </row>
    <row r="318" spans="1:9" x14ac:dyDescent="0.3">
      <c r="A318"/>
      <c r="F318" s="303"/>
      <c r="G318"/>
      <c r="I318" s="304"/>
    </row>
    <row r="319" spans="1:9" x14ac:dyDescent="0.3">
      <c r="A319"/>
      <c r="F319" s="303"/>
      <c r="G319"/>
      <c r="I319" s="304"/>
    </row>
    <row r="320" spans="1:9" x14ac:dyDescent="0.3">
      <c r="A320"/>
      <c r="F320" s="303"/>
      <c r="G320"/>
      <c r="I320" s="304"/>
    </row>
    <row r="321" spans="1:9" x14ac:dyDescent="0.3">
      <c r="A321"/>
      <c r="F321" s="303"/>
      <c r="G321"/>
      <c r="I321" s="304"/>
    </row>
    <row r="322" spans="1:9" x14ac:dyDescent="0.3">
      <c r="A322"/>
      <c r="F322" s="303"/>
      <c r="G322"/>
      <c r="I322" s="304"/>
    </row>
    <row r="323" spans="1:9" x14ac:dyDescent="0.3">
      <c r="A323"/>
      <c r="F323" s="303"/>
      <c r="G323"/>
      <c r="I323" s="304"/>
    </row>
    <row r="324" spans="1:9" x14ac:dyDescent="0.3">
      <c r="A324"/>
      <c r="F324" s="303"/>
      <c r="G324"/>
      <c r="I324" s="304"/>
    </row>
    <row r="325" spans="1:9" x14ac:dyDescent="0.3">
      <c r="A325"/>
      <c r="F325" s="303"/>
      <c r="G325"/>
      <c r="I325" s="304"/>
    </row>
    <row r="326" spans="1:9" x14ac:dyDescent="0.3">
      <c r="A326"/>
      <c r="F326" s="303"/>
      <c r="G326"/>
      <c r="I326" s="304"/>
    </row>
    <row r="327" spans="1:9" x14ac:dyDescent="0.3">
      <c r="A327"/>
      <c r="F327" s="303"/>
      <c r="G327"/>
      <c r="I327" s="304"/>
    </row>
    <row r="328" spans="1:9" x14ac:dyDescent="0.3">
      <c r="A328"/>
      <c r="F328" s="303"/>
      <c r="G328"/>
      <c r="I328" s="304"/>
    </row>
    <row r="329" spans="1:9" x14ac:dyDescent="0.3">
      <c r="A329"/>
      <c r="F329" s="303"/>
      <c r="G329"/>
      <c r="I329" s="304"/>
    </row>
    <row r="330" spans="1:9" x14ac:dyDescent="0.3">
      <c r="A330"/>
      <c r="F330" s="303"/>
      <c r="G330"/>
      <c r="I330" s="304"/>
    </row>
    <row r="331" spans="1:9" x14ac:dyDescent="0.3">
      <c r="A331"/>
      <c r="F331" s="303"/>
      <c r="G331"/>
      <c r="I331" s="304"/>
    </row>
    <row r="332" spans="1:9" x14ac:dyDescent="0.3">
      <c r="A332"/>
      <c r="F332" s="303"/>
      <c r="G332"/>
      <c r="I332" s="304"/>
    </row>
    <row r="333" spans="1:9" x14ac:dyDescent="0.3">
      <c r="A333"/>
      <c r="F333" s="303"/>
      <c r="G333"/>
      <c r="I333" s="304"/>
    </row>
    <row r="334" spans="1:9" x14ac:dyDescent="0.3">
      <c r="A334"/>
      <c r="F334" s="303"/>
      <c r="G334"/>
      <c r="I334" s="304"/>
    </row>
    <row r="335" spans="1:9" x14ac:dyDescent="0.3">
      <c r="A335"/>
      <c r="F335" s="303"/>
      <c r="G335"/>
      <c r="I335" s="304"/>
    </row>
    <row r="336" spans="1:9" x14ac:dyDescent="0.3">
      <c r="A336"/>
      <c r="F336" s="303"/>
      <c r="G336"/>
      <c r="I336" s="304"/>
    </row>
    <row r="337" spans="1:9" x14ac:dyDescent="0.3">
      <c r="A337"/>
      <c r="F337" s="303"/>
      <c r="G337"/>
      <c r="I337" s="304"/>
    </row>
    <row r="338" spans="1:9" x14ac:dyDescent="0.3">
      <c r="A338"/>
      <c r="F338" s="303"/>
      <c r="G338"/>
      <c r="I338" s="304"/>
    </row>
    <row r="339" spans="1:9" x14ac:dyDescent="0.3">
      <c r="A339"/>
      <c r="F339" s="303"/>
      <c r="G339"/>
      <c r="I339" s="304"/>
    </row>
    <row r="340" spans="1:9" x14ac:dyDescent="0.3">
      <c r="A340"/>
      <c r="F340" s="303"/>
      <c r="G340"/>
      <c r="I340" s="304"/>
    </row>
    <row r="341" spans="1:9" x14ac:dyDescent="0.3">
      <c r="A341"/>
      <c r="F341" s="303"/>
      <c r="G341"/>
      <c r="I341" s="304"/>
    </row>
    <row r="342" spans="1:9" x14ac:dyDescent="0.3">
      <c r="A342"/>
      <c r="F342" s="303"/>
      <c r="G342"/>
      <c r="I342" s="304"/>
    </row>
    <row r="343" spans="1:9" x14ac:dyDescent="0.3">
      <c r="A343"/>
      <c r="F343" s="303"/>
      <c r="G343"/>
      <c r="I343" s="304"/>
    </row>
    <row r="344" spans="1:9" x14ac:dyDescent="0.3">
      <c r="A344"/>
      <c r="F344" s="303"/>
      <c r="G344"/>
      <c r="I344" s="304"/>
    </row>
    <row r="345" spans="1:9" x14ac:dyDescent="0.3">
      <c r="A345"/>
      <c r="F345" s="303"/>
      <c r="G345"/>
      <c r="I345" s="304"/>
    </row>
    <row r="346" spans="1:9" x14ac:dyDescent="0.3">
      <c r="A346"/>
      <c r="F346" s="303"/>
      <c r="G346"/>
      <c r="I346" s="304"/>
    </row>
    <row r="347" spans="1:9" x14ac:dyDescent="0.3">
      <c r="A347"/>
      <c r="F347" s="303"/>
      <c r="G347"/>
      <c r="I347" s="304"/>
    </row>
    <row r="348" spans="1:9" x14ac:dyDescent="0.3">
      <c r="A348"/>
      <c r="F348" s="303"/>
      <c r="G348"/>
      <c r="I348" s="304"/>
    </row>
    <row r="349" spans="1:9" x14ac:dyDescent="0.3">
      <c r="A349"/>
      <c r="F349" s="303"/>
      <c r="G349"/>
      <c r="I349" s="304"/>
    </row>
    <row r="350" spans="1:9" x14ac:dyDescent="0.3">
      <c r="A350"/>
      <c r="F350" s="303"/>
      <c r="G350"/>
      <c r="I350" s="304"/>
    </row>
    <row r="351" spans="1:9" x14ac:dyDescent="0.3">
      <c r="A351"/>
      <c r="F351" s="303"/>
      <c r="G351"/>
      <c r="I351" s="304"/>
    </row>
    <row r="352" spans="1:9" x14ac:dyDescent="0.3">
      <c r="A352"/>
      <c r="F352" s="303"/>
      <c r="G352"/>
      <c r="I352" s="304"/>
    </row>
    <row r="353" spans="1:9" x14ac:dyDescent="0.3">
      <c r="A353"/>
      <c r="F353" s="303"/>
      <c r="G353"/>
      <c r="I353" s="304"/>
    </row>
    <row r="354" spans="1:9" x14ac:dyDescent="0.3">
      <c r="A354"/>
      <c r="F354" s="303"/>
      <c r="G354"/>
      <c r="I354" s="304"/>
    </row>
    <row r="355" spans="1:9" x14ac:dyDescent="0.3">
      <c r="A355"/>
      <c r="F355" s="303"/>
      <c r="G355"/>
      <c r="I355" s="304"/>
    </row>
    <row r="356" spans="1:9" x14ac:dyDescent="0.3">
      <c r="A356"/>
      <c r="F356" s="303"/>
      <c r="G356"/>
      <c r="I356" s="304"/>
    </row>
    <row r="357" spans="1:9" x14ac:dyDescent="0.3">
      <c r="A357"/>
      <c r="F357" s="303"/>
      <c r="G357"/>
      <c r="I357" s="304"/>
    </row>
    <row r="358" spans="1:9" x14ac:dyDescent="0.3">
      <c r="A358"/>
      <c r="F358" s="303"/>
      <c r="G358"/>
      <c r="I358" s="304"/>
    </row>
    <row r="359" spans="1:9" x14ac:dyDescent="0.3">
      <c r="A359"/>
      <c r="F359" s="303"/>
      <c r="G359"/>
      <c r="I359" s="304"/>
    </row>
    <row r="360" spans="1:9" x14ac:dyDescent="0.3">
      <c r="A360"/>
      <c r="F360" s="303"/>
      <c r="G360"/>
      <c r="I360" s="304"/>
    </row>
    <row r="361" spans="1:9" x14ac:dyDescent="0.3">
      <c r="A361"/>
      <c r="F361" s="303"/>
      <c r="G361"/>
      <c r="I361" s="304"/>
    </row>
    <row r="362" spans="1:9" x14ac:dyDescent="0.3">
      <c r="A362"/>
      <c r="F362" s="303"/>
      <c r="G362"/>
      <c r="I362" s="304"/>
    </row>
    <row r="363" spans="1:9" x14ac:dyDescent="0.3">
      <c r="A363"/>
      <c r="F363" s="303"/>
      <c r="G363"/>
      <c r="I363" s="304"/>
    </row>
    <row r="364" spans="1:9" x14ac:dyDescent="0.3">
      <c r="A364"/>
      <c r="F364" s="303"/>
      <c r="G364"/>
      <c r="I364" s="304"/>
    </row>
    <row r="365" spans="1:9" x14ac:dyDescent="0.3">
      <c r="A365"/>
      <c r="F365" s="303"/>
      <c r="G365"/>
      <c r="I365" s="304"/>
    </row>
    <row r="366" spans="1:9" x14ac:dyDescent="0.3">
      <c r="A366"/>
      <c r="F366" s="303"/>
      <c r="G366"/>
      <c r="I366" s="304"/>
    </row>
    <row r="367" spans="1:9" x14ac:dyDescent="0.3">
      <c r="A367"/>
      <c r="F367" s="303"/>
      <c r="G367"/>
      <c r="I367" s="304"/>
    </row>
    <row r="368" spans="1:9" x14ac:dyDescent="0.3">
      <c r="A368"/>
      <c r="F368" s="303"/>
      <c r="G368"/>
      <c r="I368" s="304"/>
    </row>
    <row r="369" spans="1:9" x14ac:dyDescent="0.3">
      <c r="A369"/>
      <c r="F369" s="303"/>
      <c r="G369"/>
      <c r="I369" s="304"/>
    </row>
    <row r="370" spans="1:9" x14ac:dyDescent="0.3">
      <c r="A370"/>
      <c r="F370" s="303"/>
      <c r="G370"/>
      <c r="I370" s="304"/>
    </row>
    <row r="371" spans="1:9" x14ac:dyDescent="0.3">
      <c r="A371"/>
      <c r="F371" s="303"/>
      <c r="G371"/>
      <c r="I371" s="304"/>
    </row>
    <row r="372" spans="1:9" x14ac:dyDescent="0.3">
      <c r="A372"/>
      <c r="F372" s="303"/>
      <c r="G372"/>
      <c r="I372" s="304"/>
    </row>
    <row r="373" spans="1:9" x14ac:dyDescent="0.3">
      <c r="A373"/>
      <c r="F373" s="303"/>
      <c r="G373"/>
      <c r="I373" s="304"/>
    </row>
    <row r="374" spans="1:9" x14ac:dyDescent="0.3">
      <c r="A374"/>
      <c r="F374" s="303"/>
      <c r="G374"/>
      <c r="I374" s="304"/>
    </row>
    <row r="375" spans="1:9" x14ac:dyDescent="0.3">
      <c r="A375"/>
      <c r="F375" s="303"/>
      <c r="G375"/>
      <c r="I375" s="304"/>
    </row>
    <row r="376" spans="1:9" x14ac:dyDescent="0.3">
      <c r="A376"/>
      <c r="F376" s="303"/>
      <c r="G376"/>
      <c r="I376" s="304"/>
    </row>
    <row r="377" spans="1:9" x14ac:dyDescent="0.3">
      <c r="A377"/>
      <c r="F377" s="303"/>
      <c r="G377"/>
      <c r="I377" s="304"/>
    </row>
    <row r="378" spans="1:9" x14ac:dyDescent="0.3">
      <c r="A378"/>
      <c r="F378" s="303"/>
      <c r="G378"/>
      <c r="I378" s="304"/>
    </row>
    <row r="379" spans="1:9" x14ac:dyDescent="0.3">
      <c r="A379"/>
      <c r="F379" s="303"/>
      <c r="G379"/>
      <c r="I379" s="304"/>
    </row>
    <row r="380" spans="1:9" x14ac:dyDescent="0.3">
      <c r="A380"/>
      <c r="F380" s="303"/>
      <c r="G380"/>
      <c r="I380" s="304"/>
    </row>
    <row r="381" spans="1:9" x14ac:dyDescent="0.3">
      <c r="A381"/>
      <c r="F381" s="303"/>
      <c r="G381"/>
      <c r="I381" s="304"/>
    </row>
    <row r="382" spans="1:9" x14ac:dyDescent="0.3">
      <c r="A382"/>
      <c r="F382" s="303"/>
      <c r="G382"/>
      <c r="I382" s="304"/>
    </row>
    <row r="383" spans="1:9" x14ac:dyDescent="0.3">
      <c r="A383"/>
      <c r="F383" s="303"/>
      <c r="G383"/>
      <c r="I383" s="304"/>
    </row>
    <row r="384" spans="1:9" x14ac:dyDescent="0.3">
      <c r="A384"/>
      <c r="F384" s="303"/>
      <c r="G384"/>
      <c r="I384" s="304"/>
    </row>
    <row r="385" spans="1:9" x14ac:dyDescent="0.3">
      <c r="A385"/>
      <c r="F385" s="303"/>
      <c r="G385"/>
      <c r="I385" s="304"/>
    </row>
    <row r="386" spans="1:9" x14ac:dyDescent="0.3">
      <c r="A386"/>
      <c r="F386" s="303"/>
      <c r="G386"/>
      <c r="I386" s="304"/>
    </row>
    <row r="387" spans="1:9" x14ac:dyDescent="0.3">
      <c r="A387"/>
      <c r="F387" s="303"/>
      <c r="G387"/>
      <c r="I387" s="304"/>
    </row>
    <row r="388" spans="1:9" x14ac:dyDescent="0.3">
      <c r="A388"/>
      <c r="F388" s="303"/>
      <c r="G388"/>
      <c r="I388" s="304"/>
    </row>
    <row r="389" spans="1:9" x14ac:dyDescent="0.3">
      <c r="A389"/>
      <c r="F389" s="303"/>
      <c r="G389"/>
      <c r="I389" s="304"/>
    </row>
    <row r="390" spans="1:9" x14ac:dyDescent="0.3">
      <c r="A390"/>
      <c r="F390" s="303"/>
      <c r="G390"/>
      <c r="I390" s="304"/>
    </row>
    <row r="391" spans="1:9" x14ac:dyDescent="0.3">
      <c r="A391"/>
      <c r="F391" s="303"/>
      <c r="G391"/>
      <c r="I391" s="304"/>
    </row>
    <row r="392" spans="1:9" x14ac:dyDescent="0.3">
      <c r="A392"/>
      <c r="F392" s="303"/>
      <c r="G392"/>
      <c r="I392" s="304"/>
    </row>
    <row r="393" spans="1:9" x14ac:dyDescent="0.3">
      <c r="A393"/>
      <c r="F393" s="303"/>
      <c r="G393"/>
      <c r="I393" s="304"/>
    </row>
    <row r="394" spans="1:9" x14ac:dyDescent="0.3">
      <c r="A394"/>
      <c r="F394" s="303"/>
      <c r="G394"/>
      <c r="I394" s="304"/>
    </row>
    <row r="395" spans="1:9" x14ac:dyDescent="0.3">
      <c r="A395"/>
      <c r="F395" s="303"/>
      <c r="G395"/>
      <c r="I395" s="304"/>
    </row>
    <row r="396" spans="1:9" x14ac:dyDescent="0.3">
      <c r="A396"/>
      <c r="F396" s="303"/>
      <c r="G396"/>
      <c r="I396" s="304"/>
    </row>
    <row r="397" spans="1:9" x14ac:dyDescent="0.3">
      <c r="A397"/>
      <c r="F397" s="303"/>
      <c r="G397"/>
      <c r="I397" s="304"/>
    </row>
    <row r="398" spans="1:9" x14ac:dyDescent="0.3">
      <c r="A398"/>
      <c r="F398" s="303"/>
      <c r="G398"/>
      <c r="I398" s="304"/>
    </row>
    <row r="399" spans="1:9" x14ac:dyDescent="0.3">
      <c r="A399"/>
      <c r="F399" s="303"/>
      <c r="G399"/>
      <c r="I399" s="304"/>
    </row>
    <row r="400" spans="1:9" x14ac:dyDescent="0.3">
      <c r="A400"/>
      <c r="F400" s="303"/>
      <c r="G400"/>
      <c r="I400" s="304"/>
    </row>
    <row r="401" spans="1:9" x14ac:dyDescent="0.3">
      <c r="A401"/>
      <c r="F401" s="303"/>
      <c r="G401"/>
      <c r="I401" s="304"/>
    </row>
    <row r="402" spans="1:9" x14ac:dyDescent="0.3">
      <c r="A402"/>
      <c r="F402" s="303"/>
      <c r="G402"/>
      <c r="I402" s="304"/>
    </row>
    <row r="403" spans="1:9" x14ac:dyDescent="0.3">
      <c r="A403"/>
      <c r="F403" s="303"/>
      <c r="G403"/>
      <c r="I403" s="304"/>
    </row>
    <row r="404" spans="1:9" x14ac:dyDescent="0.3">
      <c r="A404"/>
      <c r="F404" s="303"/>
      <c r="G404"/>
      <c r="I404" s="304"/>
    </row>
    <row r="405" spans="1:9" x14ac:dyDescent="0.3">
      <c r="A405"/>
      <c r="F405" s="303"/>
      <c r="G405"/>
      <c r="I405" s="304"/>
    </row>
    <row r="406" spans="1:9" x14ac:dyDescent="0.3">
      <c r="A406"/>
      <c r="F406" s="303"/>
      <c r="G406"/>
      <c r="I406" s="304"/>
    </row>
    <row r="407" spans="1:9" x14ac:dyDescent="0.3">
      <c r="A407"/>
      <c r="F407" s="303"/>
      <c r="G407"/>
      <c r="I407" s="304"/>
    </row>
    <row r="408" spans="1:9" x14ac:dyDescent="0.3">
      <c r="A408"/>
      <c r="F408" s="303"/>
      <c r="G408"/>
      <c r="I408" s="304"/>
    </row>
    <row r="409" spans="1:9" x14ac:dyDescent="0.3">
      <c r="A409"/>
      <c r="F409" s="303"/>
      <c r="G409"/>
      <c r="I409" s="304"/>
    </row>
    <row r="410" spans="1:9" x14ac:dyDescent="0.3">
      <c r="A410"/>
      <c r="F410" s="303"/>
      <c r="G410"/>
      <c r="I410" s="304"/>
    </row>
    <row r="411" spans="1:9" x14ac:dyDescent="0.3">
      <c r="A411"/>
      <c r="F411" s="303"/>
      <c r="G411"/>
      <c r="I411" s="304"/>
    </row>
    <row r="412" spans="1:9" x14ac:dyDescent="0.3">
      <c r="A412"/>
      <c r="F412" s="303"/>
      <c r="G412"/>
      <c r="I412" s="304"/>
    </row>
    <row r="413" spans="1:9" x14ac:dyDescent="0.3">
      <c r="A413"/>
      <c r="F413" s="303"/>
      <c r="G413"/>
      <c r="I413" s="304"/>
    </row>
    <row r="414" spans="1:9" x14ac:dyDescent="0.3">
      <c r="A414"/>
      <c r="F414" s="303"/>
      <c r="G414"/>
      <c r="I414" s="304"/>
    </row>
    <row r="415" spans="1:9" x14ac:dyDescent="0.3">
      <c r="A415"/>
      <c r="F415" s="303"/>
      <c r="G415"/>
      <c r="I415" s="304"/>
    </row>
    <row r="416" spans="1:9" x14ac:dyDescent="0.3">
      <c r="A416"/>
      <c r="F416" s="303"/>
      <c r="G416"/>
      <c r="I416" s="304"/>
    </row>
    <row r="417" spans="1:9" x14ac:dyDescent="0.3">
      <c r="A417"/>
      <c r="F417" s="303"/>
      <c r="G417"/>
      <c r="I417" s="304"/>
    </row>
    <row r="418" spans="1:9" x14ac:dyDescent="0.3">
      <c r="A418"/>
      <c r="F418" s="303"/>
      <c r="G418"/>
      <c r="I418" s="304"/>
    </row>
    <row r="419" spans="1:9" x14ac:dyDescent="0.3">
      <c r="A419"/>
      <c r="F419" s="303"/>
      <c r="G419"/>
      <c r="I419" s="304"/>
    </row>
    <row r="420" spans="1:9" x14ac:dyDescent="0.3">
      <c r="A420"/>
      <c r="F420" s="303"/>
      <c r="G420"/>
      <c r="I420" s="304"/>
    </row>
    <row r="421" spans="1:9" x14ac:dyDescent="0.3">
      <c r="A421"/>
      <c r="F421" s="303"/>
      <c r="G421"/>
      <c r="I421" s="304"/>
    </row>
    <row r="422" spans="1:9" x14ac:dyDescent="0.3">
      <c r="A422"/>
      <c r="F422" s="303"/>
      <c r="G422"/>
      <c r="I422" s="304"/>
    </row>
    <row r="423" spans="1:9" x14ac:dyDescent="0.3">
      <c r="A423"/>
      <c r="F423" s="303"/>
      <c r="G423"/>
      <c r="I423" s="304"/>
    </row>
    <row r="424" spans="1:9" x14ac:dyDescent="0.3">
      <c r="A424"/>
      <c r="F424" s="303"/>
      <c r="G424"/>
      <c r="I424" s="304"/>
    </row>
    <row r="425" spans="1:9" x14ac:dyDescent="0.3">
      <c r="A425"/>
      <c r="F425" s="303"/>
      <c r="G425"/>
      <c r="I425" s="304"/>
    </row>
    <row r="426" spans="1:9" x14ac:dyDescent="0.3">
      <c r="A426"/>
      <c r="F426" s="303"/>
      <c r="G426"/>
      <c r="I426" s="304"/>
    </row>
    <row r="427" spans="1:9" x14ac:dyDescent="0.3">
      <c r="A427"/>
      <c r="F427" s="303"/>
      <c r="G427"/>
      <c r="I427" s="304"/>
    </row>
    <row r="428" spans="1:9" x14ac:dyDescent="0.3">
      <c r="A428"/>
      <c r="F428" s="303"/>
      <c r="G428"/>
      <c r="I428" s="304"/>
    </row>
    <row r="429" spans="1:9" x14ac:dyDescent="0.3">
      <c r="A429"/>
      <c r="F429" s="303"/>
      <c r="G429"/>
      <c r="I429" s="304"/>
    </row>
    <row r="430" spans="1:9" x14ac:dyDescent="0.3">
      <c r="A430"/>
      <c r="F430" s="303"/>
      <c r="G430"/>
      <c r="I430" s="304"/>
    </row>
    <row r="431" spans="1:9" x14ac:dyDescent="0.3">
      <c r="A431"/>
      <c r="F431" s="303"/>
      <c r="G431"/>
      <c r="I431" s="304"/>
    </row>
    <row r="432" spans="1:9" x14ac:dyDescent="0.3">
      <c r="A432"/>
      <c r="F432" s="303"/>
      <c r="G432"/>
      <c r="I432" s="304"/>
    </row>
    <row r="433" spans="1:9" x14ac:dyDescent="0.3">
      <c r="A433"/>
      <c r="F433" s="303"/>
      <c r="G433"/>
      <c r="I433" s="304"/>
    </row>
    <row r="434" spans="1:9" x14ac:dyDescent="0.3">
      <c r="A434"/>
      <c r="F434" s="303"/>
      <c r="G434"/>
      <c r="I434" s="304"/>
    </row>
    <row r="435" spans="1:9" x14ac:dyDescent="0.3">
      <c r="A435"/>
      <c r="F435" s="303"/>
      <c r="G435"/>
      <c r="I435" s="304"/>
    </row>
    <row r="436" spans="1:9" x14ac:dyDescent="0.3">
      <c r="A436"/>
      <c r="F436" s="303"/>
      <c r="G436"/>
      <c r="I436" s="304"/>
    </row>
    <row r="437" spans="1:9" x14ac:dyDescent="0.3">
      <c r="A437"/>
      <c r="F437" s="303"/>
      <c r="G437"/>
      <c r="I437" s="304"/>
    </row>
    <row r="438" spans="1:9" x14ac:dyDescent="0.3">
      <c r="A438"/>
      <c r="F438" s="303"/>
      <c r="G438"/>
      <c r="I438" s="304"/>
    </row>
    <row r="439" spans="1:9" x14ac:dyDescent="0.3">
      <c r="A439"/>
      <c r="F439" s="303"/>
      <c r="G439"/>
      <c r="I439" s="304"/>
    </row>
    <row r="440" spans="1:9" x14ac:dyDescent="0.3">
      <c r="A440"/>
      <c r="F440" s="303"/>
      <c r="G440"/>
      <c r="I440" s="304"/>
    </row>
    <row r="441" spans="1:9" x14ac:dyDescent="0.3">
      <c r="A441"/>
      <c r="F441" s="303"/>
      <c r="G441"/>
      <c r="I441" s="304"/>
    </row>
    <row r="442" spans="1:9" x14ac:dyDescent="0.3">
      <c r="A442"/>
      <c r="F442" s="303"/>
      <c r="G442"/>
      <c r="I442" s="304"/>
    </row>
    <row r="443" spans="1:9" x14ac:dyDescent="0.3">
      <c r="A443"/>
      <c r="F443" s="303"/>
      <c r="G443"/>
      <c r="I443" s="304"/>
    </row>
    <row r="444" spans="1:9" x14ac:dyDescent="0.3">
      <c r="A444"/>
      <c r="F444" s="303"/>
      <c r="G444"/>
      <c r="I444" s="304"/>
    </row>
    <row r="445" spans="1:9" x14ac:dyDescent="0.3">
      <c r="A445"/>
      <c r="F445" s="303"/>
      <c r="G445"/>
      <c r="I445" s="304"/>
    </row>
    <row r="446" spans="1:9" x14ac:dyDescent="0.3">
      <c r="A446"/>
      <c r="F446" s="303"/>
      <c r="G446"/>
      <c r="I446" s="304"/>
    </row>
    <row r="447" spans="1:9" x14ac:dyDescent="0.3">
      <c r="A447"/>
      <c r="F447" s="303"/>
      <c r="G447"/>
      <c r="I447" s="304"/>
    </row>
    <row r="448" spans="1:9" x14ac:dyDescent="0.3">
      <c r="A448"/>
      <c r="F448" s="303"/>
      <c r="G448"/>
      <c r="I448" s="304"/>
    </row>
    <row r="449" spans="1:9" x14ac:dyDescent="0.3">
      <c r="A449"/>
      <c r="F449" s="303"/>
      <c r="G449"/>
      <c r="I449" s="304"/>
    </row>
    <row r="450" spans="1:9" x14ac:dyDescent="0.3">
      <c r="A450"/>
      <c r="F450" s="303"/>
      <c r="G450"/>
      <c r="I450" s="304"/>
    </row>
    <row r="451" spans="1:9" x14ac:dyDescent="0.3">
      <c r="A451"/>
      <c r="F451" s="303"/>
      <c r="G451"/>
      <c r="I451" s="304"/>
    </row>
    <row r="452" spans="1:9" x14ac:dyDescent="0.3">
      <c r="A452"/>
      <c r="F452" s="303"/>
      <c r="G452"/>
      <c r="I452" s="304"/>
    </row>
    <row r="453" spans="1:9" x14ac:dyDescent="0.3">
      <c r="A453"/>
      <c r="F453" s="303"/>
      <c r="G453"/>
      <c r="I453" s="304"/>
    </row>
    <row r="454" spans="1:9" x14ac:dyDescent="0.3">
      <c r="A454"/>
      <c r="F454" s="303"/>
      <c r="G454"/>
      <c r="I454" s="304"/>
    </row>
    <row r="455" spans="1:9" x14ac:dyDescent="0.3">
      <c r="A455"/>
      <c r="F455" s="303"/>
      <c r="G455"/>
      <c r="I455" s="304"/>
    </row>
    <row r="456" spans="1:9" x14ac:dyDescent="0.3">
      <c r="A456"/>
      <c r="F456" s="303"/>
      <c r="G456"/>
      <c r="I456" s="304"/>
    </row>
    <row r="457" spans="1:9" x14ac:dyDescent="0.3">
      <c r="A457"/>
      <c r="F457" s="303"/>
      <c r="G457"/>
      <c r="I457" s="304"/>
    </row>
    <row r="458" spans="1:9" x14ac:dyDescent="0.3">
      <c r="A458"/>
      <c r="F458" s="303"/>
      <c r="G458"/>
      <c r="I458" s="304"/>
    </row>
    <row r="459" spans="1:9" x14ac:dyDescent="0.3">
      <c r="A459"/>
      <c r="F459" s="303"/>
      <c r="G459"/>
      <c r="I459" s="304"/>
    </row>
    <row r="460" spans="1:9" x14ac:dyDescent="0.3">
      <c r="A460"/>
      <c r="F460" s="303"/>
      <c r="G460"/>
      <c r="I460" s="304"/>
    </row>
    <row r="461" spans="1:9" x14ac:dyDescent="0.3">
      <c r="A461"/>
      <c r="F461" s="303"/>
      <c r="G461"/>
      <c r="I461" s="304"/>
    </row>
    <row r="462" spans="1:9" x14ac:dyDescent="0.3">
      <c r="A462"/>
      <c r="F462" s="303"/>
      <c r="G462"/>
      <c r="I462" s="304"/>
    </row>
    <row r="463" spans="1:9" x14ac:dyDescent="0.3">
      <c r="A463"/>
      <c r="F463" s="303"/>
      <c r="G463"/>
      <c r="I463" s="304"/>
    </row>
    <row r="464" spans="1:9" x14ac:dyDescent="0.3">
      <c r="A464"/>
      <c r="F464" s="303"/>
      <c r="G464"/>
      <c r="I464" s="304"/>
    </row>
    <row r="465" spans="1:9" x14ac:dyDescent="0.3">
      <c r="A465"/>
      <c r="F465" s="303"/>
      <c r="G465"/>
      <c r="I465" s="304"/>
    </row>
    <row r="466" spans="1:9" x14ac:dyDescent="0.3">
      <c r="A466"/>
      <c r="F466" s="303"/>
      <c r="G466"/>
      <c r="I466" s="304"/>
    </row>
    <row r="467" spans="1:9" x14ac:dyDescent="0.3">
      <c r="A467"/>
      <c r="F467" s="303"/>
      <c r="G467"/>
      <c r="I467" s="304"/>
    </row>
    <row r="468" spans="1:9" x14ac:dyDescent="0.3">
      <c r="A468"/>
      <c r="F468" s="303"/>
      <c r="G468"/>
      <c r="I468" s="304"/>
    </row>
    <row r="469" spans="1:9" x14ac:dyDescent="0.3">
      <c r="A469"/>
      <c r="F469" s="303"/>
      <c r="G469"/>
      <c r="I469" s="304"/>
    </row>
    <row r="470" spans="1:9" x14ac:dyDescent="0.3">
      <c r="A470"/>
      <c r="F470" s="303"/>
      <c r="G470"/>
      <c r="I470" s="304"/>
    </row>
    <row r="471" spans="1:9" x14ac:dyDescent="0.3">
      <c r="A471"/>
      <c r="F471" s="303"/>
      <c r="G471"/>
      <c r="I471" s="304"/>
    </row>
    <row r="472" spans="1:9" x14ac:dyDescent="0.3">
      <c r="A472"/>
      <c r="F472" s="303"/>
      <c r="G472"/>
      <c r="I472" s="304"/>
    </row>
    <row r="473" spans="1:9" x14ac:dyDescent="0.3">
      <c r="A473"/>
      <c r="F473" s="303"/>
      <c r="G473"/>
      <c r="I473" s="304"/>
    </row>
    <row r="474" spans="1:9" x14ac:dyDescent="0.3">
      <c r="A474"/>
      <c r="F474" s="303"/>
      <c r="G474"/>
      <c r="I474" s="304"/>
    </row>
    <row r="475" spans="1:9" x14ac:dyDescent="0.3">
      <c r="A475"/>
      <c r="F475" s="303"/>
      <c r="G475"/>
      <c r="I475" s="304"/>
    </row>
    <row r="476" spans="1:9" x14ac:dyDescent="0.3">
      <c r="A476"/>
      <c r="F476" s="303"/>
      <c r="G476"/>
      <c r="I476" s="304"/>
    </row>
    <row r="477" spans="1:9" x14ac:dyDescent="0.3">
      <c r="A477"/>
      <c r="F477" s="303"/>
      <c r="G477"/>
      <c r="I477" s="304"/>
    </row>
    <row r="478" spans="1:9" x14ac:dyDescent="0.3">
      <c r="A478"/>
      <c r="F478" s="303"/>
      <c r="G478"/>
      <c r="I478" s="304"/>
    </row>
    <row r="479" spans="1:9" x14ac:dyDescent="0.3">
      <c r="A479"/>
      <c r="F479" s="303"/>
      <c r="G479"/>
      <c r="I479" s="304"/>
    </row>
    <row r="480" spans="1:9" x14ac:dyDescent="0.3">
      <c r="A480"/>
      <c r="F480" s="303"/>
      <c r="G480"/>
      <c r="I480" s="304"/>
    </row>
    <row r="481" spans="1:9" x14ac:dyDescent="0.3">
      <c r="A481"/>
      <c r="F481" s="303"/>
      <c r="G481"/>
      <c r="I481" s="304"/>
    </row>
    <row r="482" spans="1:9" x14ac:dyDescent="0.3">
      <c r="A482"/>
      <c r="F482" s="303"/>
      <c r="G482"/>
      <c r="I482" s="304"/>
    </row>
    <row r="483" spans="1:9" x14ac:dyDescent="0.3">
      <c r="A483"/>
      <c r="F483" s="303"/>
      <c r="G483"/>
      <c r="I483" s="304"/>
    </row>
    <row r="484" spans="1:9" x14ac:dyDescent="0.3">
      <c r="A484"/>
      <c r="F484" s="303"/>
      <c r="G484"/>
      <c r="I484" s="304"/>
    </row>
    <row r="485" spans="1:9" x14ac:dyDescent="0.3">
      <c r="A485"/>
      <c r="F485" s="303"/>
      <c r="G485"/>
      <c r="I485" s="304"/>
    </row>
    <row r="486" spans="1:9" x14ac:dyDescent="0.3">
      <c r="A486"/>
      <c r="F486" s="303"/>
      <c r="G486"/>
      <c r="I486" s="304"/>
    </row>
    <row r="487" spans="1:9" x14ac:dyDescent="0.3">
      <c r="A487"/>
      <c r="F487" s="303"/>
      <c r="G487"/>
      <c r="I487" s="304"/>
    </row>
    <row r="488" spans="1:9" x14ac:dyDescent="0.3">
      <c r="A488"/>
      <c r="F488" s="303"/>
      <c r="G488"/>
      <c r="I488" s="304"/>
    </row>
    <row r="489" spans="1:9" x14ac:dyDescent="0.3">
      <c r="A489"/>
      <c r="F489" s="303"/>
      <c r="G489"/>
      <c r="I489" s="304"/>
    </row>
    <row r="490" spans="1:9" x14ac:dyDescent="0.3">
      <c r="A490"/>
      <c r="F490" s="303"/>
      <c r="G490"/>
      <c r="I490" s="304"/>
    </row>
    <row r="491" spans="1:9" x14ac:dyDescent="0.3">
      <c r="A491"/>
      <c r="F491" s="303"/>
      <c r="G491"/>
      <c r="I491" s="304"/>
    </row>
    <row r="492" spans="1:9" x14ac:dyDescent="0.3">
      <c r="A492"/>
      <c r="F492" s="303"/>
      <c r="G492"/>
      <c r="I492" s="304"/>
    </row>
    <row r="493" spans="1:9" x14ac:dyDescent="0.3">
      <c r="A493"/>
      <c r="F493" s="303"/>
      <c r="G493"/>
      <c r="I493" s="304"/>
    </row>
    <row r="494" spans="1:9" x14ac:dyDescent="0.3">
      <c r="A494"/>
      <c r="F494" s="303"/>
      <c r="G494"/>
      <c r="I494" s="304"/>
    </row>
    <row r="495" spans="1:9" x14ac:dyDescent="0.3">
      <c r="A495"/>
      <c r="F495" s="303"/>
      <c r="G495"/>
      <c r="I495" s="304"/>
    </row>
    <row r="496" spans="1:9" x14ac:dyDescent="0.3">
      <c r="A496"/>
      <c r="F496" s="303"/>
      <c r="G496"/>
      <c r="I496" s="304"/>
    </row>
    <row r="497" spans="1:9" x14ac:dyDescent="0.3">
      <c r="A497"/>
      <c r="F497" s="303"/>
      <c r="G497"/>
      <c r="I497" s="304"/>
    </row>
    <row r="498" spans="1:9" x14ac:dyDescent="0.3">
      <c r="A498"/>
      <c r="F498" s="303"/>
      <c r="G498"/>
      <c r="I498" s="304"/>
    </row>
    <row r="499" spans="1:9" x14ac:dyDescent="0.3">
      <c r="A499"/>
      <c r="F499" s="303"/>
      <c r="G499"/>
      <c r="I499" s="304"/>
    </row>
    <row r="500" spans="1:9" x14ac:dyDescent="0.3">
      <c r="A500"/>
      <c r="F500" s="303"/>
      <c r="G500"/>
      <c r="I500" s="304"/>
    </row>
    <row r="501" spans="1:9" x14ac:dyDescent="0.3">
      <c r="A501"/>
      <c r="F501"/>
      <c r="G501"/>
      <c r="I501"/>
    </row>
    <row r="502" spans="1:9" x14ac:dyDescent="0.3">
      <c r="A502"/>
      <c r="F502"/>
      <c r="G502"/>
      <c r="I502"/>
    </row>
    <row r="503" spans="1:9" x14ac:dyDescent="0.3">
      <c r="A503"/>
      <c r="F503"/>
      <c r="G503"/>
      <c r="I503"/>
    </row>
    <row r="504" spans="1:9" x14ac:dyDescent="0.3">
      <c r="A504"/>
      <c r="F504"/>
      <c r="G504"/>
      <c r="I504"/>
    </row>
    <row r="505" spans="1:9" x14ac:dyDescent="0.3">
      <c r="A505"/>
      <c r="F505"/>
      <c r="G505"/>
      <c r="I505"/>
    </row>
    <row r="506" spans="1:9" x14ac:dyDescent="0.3">
      <c r="A506"/>
      <c r="F506"/>
      <c r="G506"/>
      <c r="I506"/>
    </row>
    <row r="507" spans="1:9" x14ac:dyDescent="0.3">
      <c r="A507"/>
      <c r="F507"/>
      <c r="G507"/>
      <c r="I507"/>
    </row>
    <row r="508" spans="1:9" x14ac:dyDescent="0.3">
      <c r="A508"/>
      <c r="F508"/>
      <c r="G508"/>
      <c r="I508"/>
    </row>
    <row r="509" spans="1:9" x14ac:dyDescent="0.3">
      <c r="A509"/>
      <c r="F509"/>
      <c r="G509"/>
      <c r="I509"/>
    </row>
    <row r="510" spans="1:9" x14ac:dyDescent="0.3">
      <c r="A510"/>
      <c r="F510"/>
      <c r="G510"/>
      <c r="I510"/>
    </row>
    <row r="511" spans="1:9" x14ac:dyDescent="0.3">
      <c r="A511"/>
      <c r="F511"/>
      <c r="G511"/>
      <c r="I511"/>
    </row>
    <row r="512" spans="1:9" x14ac:dyDescent="0.3">
      <c r="A512"/>
      <c r="F512"/>
      <c r="G512"/>
      <c r="I512"/>
    </row>
    <row r="513" spans="1:9" x14ac:dyDescent="0.3">
      <c r="A513"/>
      <c r="F513"/>
      <c r="G513"/>
      <c r="I513"/>
    </row>
    <row r="514" spans="1:9" x14ac:dyDescent="0.3">
      <c r="A514"/>
      <c r="F514"/>
      <c r="G514"/>
      <c r="I514"/>
    </row>
    <row r="515" spans="1:9" x14ac:dyDescent="0.3">
      <c r="A515"/>
      <c r="F515"/>
      <c r="G515"/>
      <c r="I515"/>
    </row>
    <row r="516" spans="1:9" x14ac:dyDescent="0.3">
      <c r="A516"/>
      <c r="F516"/>
      <c r="G516"/>
      <c r="I516"/>
    </row>
    <row r="517" spans="1:9" x14ac:dyDescent="0.3">
      <c r="A517"/>
      <c r="F517"/>
      <c r="G517"/>
      <c r="I517"/>
    </row>
    <row r="518" spans="1:9" x14ac:dyDescent="0.3">
      <c r="A518"/>
      <c r="F518"/>
      <c r="G518"/>
      <c r="I518"/>
    </row>
    <row r="519" spans="1:9" x14ac:dyDescent="0.3">
      <c r="A519"/>
      <c r="F519"/>
      <c r="G519"/>
      <c r="I519"/>
    </row>
    <row r="520" spans="1:9" x14ac:dyDescent="0.3">
      <c r="A520"/>
      <c r="F520"/>
      <c r="G520"/>
      <c r="I520"/>
    </row>
    <row r="521" spans="1:9" x14ac:dyDescent="0.3">
      <c r="A521"/>
      <c r="F521"/>
      <c r="G521"/>
      <c r="I521"/>
    </row>
    <row r="522" spans="1:9" x14ac:dyDescent="0.3">
      <c r="A522"/>
      <c r="F522"/>
      <c r="G522"/>
      <c r="I522"/>
    </row>
    <row r="523" spans="1:9" x14ac:dyDescent="0.3">
      <c r="A523"/>
      <c r="F523"/>
      <c r="G523"/>
      <c r="I523"/>
    </row>
    <row r="524" spans="1:9" x14ac:dyDescent="0.3">
      <c r="A524"/>
      <c r="F524"/>
      <c r="G524"/>
      <c r="I524"/>
    </row>
    <row r="525" spans="1:9" x14ac:dyDescent="0.3">
      <c r="A525"/>
      <c r="F525"/>
      <c r="G525"/>
      <c r="I525"/>
    </row>
    <row r="526" spans="1:9" x14ac:dyDescent="0.3">
      <c r="A526"/>
      <c r="F526"/>
      <c r="G526"/>
      <c r="I526"/>
    </row>
    <row r="527" spans="1:9" x14ac:dyDescent="0.3">
      <c r="A527"/>
      <c r="F527"/>
      <c r="G527"/>
      <c r="I527"/>
    </row>
    <row r="528" spans="1:9" x14ac:dyDescent="0.3">
      <c r="A528"/>
      <c r="F528"/>
      <c r="G528"/>
      <c r="I528"/>
    </row>
    <row r="529" spans="1:9" x14ac:dyDescent="0.3">
      <c r="A529"/>
      <c r="F529"/>
      <c r="G529"/>
      <c r="I529"/>
    </row>
    <row r="530" spans="1:9" x14ac:dyDescent="0.3">
      <c r="A530"/>
      <c r="F530"/>
      <c r="G530"/>
      <c r="I530"/>
    </row>
    <row r="531" spans="1:9" x14ac:dyDescent="0.3">
      <c r="A531"/>
      <c r="F531"/>
      <c r="G531"/>
      <c r="I531"/>
    </row>
    <row r="532" spans="1:9" x14ac:dyDescent="0.3">
      <c r="A532"/>
      <c r="F532"/>
      <c r="G532"/>
      <c r="I532"/>
    </row>
    <row r="533" spans="1:9" x14ac:dyDescent="0.3">
      <c r="A533"/>
      <c r="F533"/>
      <c r="G533"/>
      <c r="I533"/>
    </row>
    <row r="534" spans="1:9" x14ac:dyDescent="0.3">
      <c r="A534"/>
      <c r="F534"/>
      <c r="G534"/>
      <c r="I534"/>
    </row>
    <row r="535" spans="1:9" x14ac:dyDescent="0.3">
      <c r="A535"/>
      <c r="F535"/>
      <c r="G535"/>
      <c r="I535"/>
    </row>
    <row r="536" spans="1:9" x14ac:dyDescent="0.3">
      <c r="A536"/>
      <c r="F536"/>
      <c r="G536"/>
      <c r="I536"/>
    </row>
    <row r="537" spans="1:9" x14ac:dyDescent="0.3">
      <c r="A537"/>
      <c r="F537"/>
      <c r="G537"/>
      <c r="I537"/>
    </row>
    <row r="538" spans="1:9" x14ac:dyDescent="0.3">
      <c r="A538"/>
      <c r="F538"/>
      <c r="G538"/>
      <c r="I538"/>
    </row>
    <row r="539" spans="1:9" x14ac:dyDescent="0.3">
      <c r="A539"/>
      <c r="F539"/>
      <c r="G539"/>
      <c r="I539"/>
    </row>
    <row r="540" spans="1:9" x14ac:dyDescent="0.3">
      <c r="A540"/>
      <c r="F540"/>
      <c r="G540"/>
      <c r="I540"/>
    </row>
    <row r="541" spans="1:9" x14ac:dyDescent="0.3">
      <c r="A541"/>
      <c r="F541"/>
      <c r="G541"/>
      <c r="I541"/>
    </row>
    <row r="542" spans="1:9" x14ac:dyDescent="0.3">
      <c r="A542"/>
      <c r="F542"/>
      <c r="G542"/>
      <c r="I542"/>
    </row>
    <row r="543" spans="1:9" x14ac:dyDescent="0.3">
      <c r="A543"/>
      <c r="F543"/>
      <c r="G543"/>
      <c r="I543"/>
    </row>
    <row r="544" spans="1:9" x14ac:dyDescent="0.3">
      <c r="A544"/>
      <c r="F544"/>
      <c r="G544"/>
      <c r="I544"/>
    </row>
    <row r="545" spans="1:9" x14ac:dyDescent="0.3">
      <c r="A545"/>
      <c r="F545"/>
      <c r="G545"/>
      <c r="I545"/>
    </row>
    <row r="546" spans="1:9" x14ac:dyDescent="0.3">
      <c r="A546"/>
      <c r="F546"/>
      <c r="G546"/>
      <c r="I546"/>
    </row>
    <row r="547" spans="1:9" x14ac:dyDescent="0.3">
      <c r="A547"/>
      <c r="F547"/>
      <c r="G547"/>
      <c r="I547"/>
    </row>
    <row r="548" spans="1:9" x14ac:dyDescent="0.3">
      <c r="A548"/>
      <c r="F548"/>
      <c r="G548"/>
      <c r="I548"/>
    </row>
    <row r="549" spans="1:9" x14ac:dyDescent="0.3">
      <c r="A549"/>
      <c r="F549"/>
      <c r="G549"/>
      <c r="I549"/>
    </row>
    <row r="550" spans="1:9" x14ac:dyDescent="0.3">
      <c r="A550"/>
      <c r="F550"/>
      <c r="G550"/>
      <c r="I550"/>
    </row>
    <row r="551" spans="1:9" x14ac:dyDescent="0.3">
      <c r="A551"/>
      <c r="F551"/>
      <c r="G551"/>
      <c r="I551"/>
    </row>
    <row r="552" spans="1:9" x14ac:dyDescent="0.3">
      <c r="A552"/>
      <c r="F552"/>
      <c r="G552"/>
      <c r="I552"/>
    </row>
    <row r="553" spans="1:9" x14ac:dyDescent="0.3">
      <c r="A553"/>
      <c r="F553"/>
      <c r="G553"/>
      <c r="I553"/>
    </row>
    <row r="554" spans="1:9" x14ac:dyDescent="0.3">
      <c r="A554"/>
      <c r="F554"/>
      <c r="G554"/>
      <c r="I554"/>
    </row>
    <row r="555" spans="1:9" x14ac:dyDescent="0.3">
      <c r="A555"/>
      <c r="F555"/>
      <c r="G555"/>
      <c r="I555"/>
    </row>
    <row r="556" spans="1:9" x14ac:dyDescent="0.3">
      <c r="A556"/>
      <c r="F556"/>
      <c r="G556"/>
      <c r="I556"/>
    </row>
    <row r="557" spans="1:9" x14ac:dyDescent="0.3">
      <c r="A557"/>
      <c r="F557"/>
      <c r="G557"/>
      <c r="I557"/>
    </row>
    <row r="558" spans="1:9" x14ac:dyDescent="0.3">
      <c r="A558"/>
      <c r="F558"/>
      <c r="G558"/>
      <c r="I558"/>
    </row>
    <row r="559" spans="1:9" x14ac:dyDescent="0.3">
      <c r="A559"/>
      <c r="F559"/>
      <c r="G559"/>
      <c r="I559"/>
    </row>
    <row r="560" spans="1:9" x14ac:dyDescent="0.3">
      <c r="A560"/>
      <c r="F560"/>
      <c r="G560"/>
      <c r="I560"/>
    </row>
    <row r="561" spans="1:9" x14ac:dyDescent="0.3">
      <c r="A561"/>
      <c r="F561"/>
      <c r="G561"/>
      <c r="I561"/>
    </row>
    <row r="562" spans="1:9" x14ac:dyDescent="0.3">
      <c r="A562"/>
      <c r="F562"/>
      <c r="G562"/>
      <c r="I562"/>
    </row>
    <row r="563" spans="1:9" x14ac:dyDescent="0.3">
      <c r="A563"/>
      <c r="F563"/>
      <c r="G563"/>
      <c r="I563"/>
    </row>
    <row r="564" spans="1:9" x14ac:dyDescent="0.3">
      <c r="A564"/>
      <c r="F564"/>
      <c r="G564"/>
      <c r="I564"/>
    </row>
    <row r="565" spans="1:9" x14ac:dyDescent="0.3">
      <c r="A565"/>
      <c r="F565"/>
      <c r="G565"/>
      <c r="I565"/>
    </row>
    <row r="566" spans="1:9" x14ac:dyDescent="0.3">
      <c r="A566"/>
      <c r="F566"/>
      <c r="G566"/>
      <c r="I566"/>
    </row>
    <row r="567" spans="1:9" x14ac:dyDescent="0.3">
      <c r="A567"/>
      <c r="F567"/>
      <c r="G567"/>
      <c r="I567"/>
    </row>
    <row r="568" spans="1:9" x14ac:dyDescent="0.3">
      <c r="A568"/>
      <c r="F568"/>
      <c r="G568"/>
      <c r="I568"/>
    </row>
    <row r="569" spans="1:9" x14ac:dyDescent="0.3">
      <c r="A569"/>
      <c r="F569"/>
      <c r="G569"/>
      <c r="I569"/>
    </row>
    <row r="570" spans="1:9" x14ac:dyDescent="0.3">
      <c r="A570"/>
      <c r="F570"/>
      <c r="G570"/>
      <c r="I570"/>
    </row>
    <row r="571" spans="1:9" x14ac:dyDescent="0.3">
      <c r="A571"/>
      <c r="F571"/>
      <c r="G571"/>
      <c r="I571"/>
    </row>
    <row r="572" spans="1:9" x14ac:dyDescent="0.3">
      <c r="A572"/>
      <c r="F572"/>
      <c r="G572"/>
      <c r="I572"/>
    </row>
    <row r="573" spans="1:9" x14ac:dyDescent="0.3">
      <c r="A573"/>
      <c r="F573"/>
      <c r="G573"/>
      <c r="I573"/>
    </row>
    <row r="574" spans="1:9" x14ac:dyDescent="0.3">
      <c r="A574"/>
      <c r="F574"/>
      <c r="G574"/>
      <c r="I574"/>
    </row>
    <row r="575" spans="1:9" x14ac:dyDescent="0.3">
      <c r="A575"/>
      <c r="F575"/>
      <c r="G575"/>
      <c r="I575"/>
    </row>
    <row r="576" spans="1:9" x14ac:dyDescent="0.3">
      <c r="A576"/>
      <c r="F576"/>
      <c r="G576"/>
      <c r="I576"/>
    </row>
    <row r="577" spans="1:9" x14ac:dyDescent="0.3">
      <c r="A577"/>
      <c r="F577"/>
      <c r="G577"/>
      <c r="I577"/>
    </row>
    <row r="578" spans="1:9" x14ac:dyDescent="0.3">
      <c r="A578"/>
      <c r="F578"/>
      <c r="G578"/>
      <c r="I578"/>
    </row>
    <row r="579" spans="1:9" x14ac:dyDescent="0.3">
      <c r="A579"/>
      <c r="F579"/>
      <c r="G579"/>
      <c r="I579"/>
    </row>
    <row r="580" spans="1:9" x14ac:dyDescent="0.3">
      <c r="A580"/>
      <c r="F580"/>
      <c r="G580"/>
      <c r="I580"/>
    </row>
    <row r="581" spans="1:9" x14ac:dyDescent="0.3">
      <c r="A581"/>
      <c r="F581"/>
      <c r="G581"/>
      <c r="I581"/>
    </row>
    <row r="582" spans="1:9" x14ac:dyDescent="0.3">
      <c r="A582"/>
      <c r="F582"/>
      <c r="G582"/>
      <c r="I582"/>
    </row>
    <row r="583" spans="1:9" x14ac:dyDescent="0.3">
      <c r="A583"/>
      <c r="F583"/>
      <c r="G583"/>
      <c r="I583"/>
    </row>
    <row r="584" spans="1:9" x14ac:dyDescent="0.3">
      <c r="A584"/>
      <c r="F584"/>
      <c r="G584"/>
      <c r="I584"/>
    </row>
    <row r="585" spans="1:9" x14ac:dyDescent="0.3">
      <c r="A585"/>
      <c r="F585"/>
      <c r="G585"/>
      <c r="I585"/>
    </row>
    <row r="586" spans="1:9" x14ac:dyDescent="0.3">
      <c r="A586"/>
      <c r="F586"/>
      <c r="G586"/>
      <c r="I586"/>
    </row>
    <row r="587" spans="1:9" x14ac:dyDescent="0.3">
      <c r="A587"/>
      <c r="F587"/>
      <c r="G587"/>
      <c r="I587"/>
    </row>
    <row r="588" spans="1:9" x14ac:dyDescent="0.3">
      <c r="A588"/>
      <c r="F588"/>
      <c r="G588"/>
      <c r="I588"/>
    </row>
    <row r="589" spans="1:9" x14ac:dyDescent="0.3">
      <c r="A589"/>
      <c r="F589"/>
      <c r="G589"/>
      <c r="I589"/>
    </row>
    <row r="590" spans="1:9" x14ac:dyDescent="0.3">
      <c r="A590"/>
      <c r="F590"/>
      <c r="G590"/>
      <c r="I590"/>
    </row>
    <row r="591" spans="1:9" x14ac:dyDescent="0.3">
      <c r="A591"/>
      <c r="F591"/>
      <c r="G591"/>
      <c r="I591"/>
    </row>
    <row r="592" spans="1:9" x14ac:dyDescent="0.3">
      <c r="A592"/>
      <c r="F592"/>
      <c r="G592"/>
      <c r="I592"/>
    </row>
    <row r="593" spans="1:9" x14ac:dyDescent="0.3">
      <c r="A593"/>
      <c r="F593"/>
      <c r="G593"/>
      <c r="I593"/>
    </row>
    <row r="594" spans="1:9" x14ac:dyDescent="0.3">
      <c r="A594"/>
      <c r="F594"/>
      <c r="G594"/>
      <c r="I594"/>
    </row>
    <row r="595" spans="1:9" x14ac:dyDescent="0.3">
      <c r="A595"/>
      <c r="F595"/>
      <c r="G595"/>
      <c r="I595"/>
    </row>
    <row r="596" spans="1:9" x14ac:dyDescent="0.3">
      <c r="A596"/>
      <c r="F596"/>
      <c r="G596"/>
      <c r="I596"/>
    </row>
    <row r="597" spans="1:9" x14ac:dyDescent="0.3">
      <c r="A597"/>
      <c r="F597"/>
      <c r="G597"/>
      <c r="I597"/>
    </row>
    <row r="598" spans="1:9" x14ac:dyDescent="0.3">
      <c r="A598"/>
      <c r="F598"/>
      <c r="G598"/>
      <c r="I598"/>
    </row>
    <row r="599" spans="1:9" x14ac:dyDescent="0.3">
      <c r="A599"/>
      <c r="F599"/>
      <c r="G599"/>
      <c r="I599"/>
    </row>
    <row r="600" spans="1:9" x14ac:dyDescent="0.3">
      <c r="A600"/>
      <c r="F600"/>
      <c r="G600"/>
      <c r="I600"/>
    </row>
    <row r="601" spans="1:9" x14ac:dyDescent="0.3">
      <c r="A601"/>
      <c r="F601"/>
      <c r="G601"/>
      <c r="I601"/>
    </row>
    <row r="602" spans="1:9" x14ac:dyDescent="0.3">
      <c r="A602"/>
      <c r="F602"/>
      <c r="G602"/>
      <c r="I602"/>
    </row>
    <row r="603" spans="1:9" x14ac:dyDescent="0.3">
      <c r="A603"/>
      <c r="F603"/>
      <c r="G603"/>
      <c r="I603"/>
    </row>
    <row r="604" spans="1:9" x14ac:dyDescent="0.3">
      <c r="A604"/>
      <c r="F604"/>
      <c r="G604"/>
      <c r="I604"/>
    </row>
    <row r="605" spans="1:9" x14ac:dyDescent="0.3">
      <c r="A605"/>
      <c r="F605"/>
      <c r="G605"/>
      <c r="I605"/>
    </row>
    <row r="606" spans="1:9" x14ac:dyDescent="0.3">
      <c r="A606"/>
      <c r="F606"/>
      <c r="G606"/>
      <c r="I606"/>
    </row>
    <row r="607" spans="1:9" x14ac:dyDescent="0.3">
      <c r="A607"/>
      <c r="F607"/>
      <c r="G607"/>
      <c r="I607"/>
    </row>
    <row r="608" spans="1:9" x14ac:dyDescent="0.3">
      <c r="A608"/>
      <c r="F608"/>
      <c r="G608"/>
      <c r="I608"/>
    </row>
    <row r="609" spans="1:9" x14ac:dyDescent="0.3">
      <c r="A609"/>
      <c r="F609"/>
      <c r="G609"/>
      <c r="I609"/>
    </row>
    <row r="610" spans="1:9" x14ac:dyDescent="0.3">
      <c r="A610"/>
      <c r="F610"/>
      <c r="G610"/>
      <c r="I610"/>
    </row>
    <row r="611" spans="1:9" x14ac:dyDescent="0.3">
      <c r="A611"/>
      <c r="F611"/>
      <c r="G611"/>
      <c r="I611"/>
    </row>
    <row r="612" spans="1:9" x14ac:dyDescent="0.3">
      <c r="A612"/>
      <c r="F612"/>
      <c r="G612"/>
      <c r="I612"/>
    </row>
    <row r="613" spans="1:9" x14ac:dyDescent="0.3">
      <c r="A613"/>
      <c r="F613"/>
      <c r="G613"/>
      <c r="I613"/>
    </row>
    <row r="614" spans="1:9" x14ac:dyDescent="0.3">
      <c r="A614"/>
      <c r="F614"/>
      <c r="G614"/>
      <c r="I614"/>
    </row>
    <row r="615" spans="1:9" x14ac:dyDescent="0.3">
      <c r="A615"/>
      <c r="F615"/>
      <c r="G615"/>
      <c r="I615"/>
    </row>
    <row r="616" spans="1:9" x14ac:dyDescent="0.3">
      <c r="A616"/>
      <c r="F616"/>
      <c r="G616"/>
      <c r="I616"/>
    </row>
    <row r="617" spans="1:9" x14ac:dyDescent="0.3">
      <c r="A617"/>
      <c r="F617"/>
      <c r="G617"/>
      <c r="I617"/>
    </row>
    <row r="618" spans="1:9" x14ac:dyDescent="0.3">
      <c r="A618"/>
      <c r="F618"/>
      <c r="G618"/>
      <c r="I618"/>
    </row>
    <row r="619" spans="1:9" x14ac:dyDescent="0.3">
      <c r="A619"/>
      <c r="F619"/>
      <c r="G619"/>
      <c r="I619"/>
    </row>
    <row r="620" spans="1:9" x14ac:dyDescent="0.3">
      <c r="A620"/>
      <c r="F620"/>
      <c r="G620"/>
      <c r="I620"/>
    </row>
    <row r="621" spans="1:9" x14ac:dyDescent="0.3">
      <c r="A621"/>
      <c r="F621"/>
      <c r="G621"/>
      <c r="I621"/>
    </row>
    <row r="622" spans="1:9" x14ac:dyDescent="0.3">
      <c r="A622"/>
      <c r="F622"/>
      <c r="G622"/>
      <c r="I622"/>
    </row>
    <row r="623" spans="1:9" x14ac:dyDescent="0.3">
      <c r="A623"/>
      <c r="F623"/>
      <c r="G623"/>
      <c r="I623"/>
    </row>
    <row r="624" spans="1:9" x14ac:dyDescent="0.3">
      <c r="A624"/>
      <c r="F624"/>
      <c r="G624"/>
      <c r="I624"/>
    </row>
    <row r="625" spans="1:9" x14ac:dyDescent="0.3">
      <c r="A625"/>
      <c r="F625"/>
      <c r="G625"/>
      <c r="I625"/>
    </row>
    <row r="626" spans="1:9" x14ac:dyDescent="0.3">
      <c r="A626"/>
      <c r="F626"/>
      <c r="G626"/>
      <c r="I626"/>
    </row>
    <row r="627" spans="1:9" x14ac:dyDescent="0.3">
      <c r="A627"/>
      <c r="F627"/>
      <c r="G627"/>
      <c r="I627"/>
    </row>
    <row r="628" spans="1:9" x14ac:dyDescent="0.3">
      <c r="A628"/>
      <c r="F628"/>
      <c r="G628"/>
      <c r="I628"/>
    </row>
    <row r="629" spans="1:9" x14ac:dyDescent="0.3">
      <c r="A629"/>
      <c r="F629"/>
      <c r="G629"/>
      <c r="I629"/>
    </row>
    <row r="630" spans="1:9" x14ac:dyDescent="0.3">
      <c r="A630"/>
      <c r="F630"/>
      <c r="G630"/>
      <c r="I630"/>
    </row>
    <row r="631" spans="1:9" x14ac:dyDescent="0.3">
      <c r="A631"/>
      <c r="F631"/>
      <c r="G631"/>
      <c r="I631"/>
    </row>
    <row r="632" spans="1:9" x14ac:dyDescent="0.3">
      <c r="A632"/>
      <c r="F632"/>
      <c r="G632"/>
      <c r="I632"/>
    </row>
    <row r="633" spans="1:9" x14ac:dyDescent="0.3">
      <c r="A633"/>
      <c r="F633"/>
      <c r="G633"/>
      <c r="I633"/>
    </row>
    <row r="634" spans="1:9" x14ac:dyDescent="0.3">
      <c r="A634"/>
      <c r="F634"/>
      <c r="G634"/>
      <c r="I634"/>
    </row>
    <row r="635" spans="1:9" x14ac:dyDescent="0.3">
      <c r="A635"/>
      <c r="F635"/>
      <c r="G635"/>
      <c r="I635"/>
    </row>
    <row r="636" spans="1:9" x14ac:dyDescent="0.3">
      <c r="A636"/>
      <c r="F636"/>
      <c r="G636"/>
      <c r="I636"/>
    </row>
    <row r="637" spans="1:9" x14ac:dyDescent="0.3">
      <c r="A637"/>
      <c r="F637"/>
      <c r="G637"/>
      <c r="I637"/>
    </row>
    <row r="638" spans="1:9" x14ac:dyDescent="0.3">
      <c r="A638"/>
      <c r="F638"/>
      <c r="G638"/>
      <c r="I638"/>
    </row>
    <row r="639" spans="1:9" x14ac:dyDescent="0.3">
      <c r="A639"/>
      <c r="F639"/>
      <c r="G639"/>
      <c r="I639"/>
    </row>
    <row r="640" spans="1:9" x14ac:dyDescent="0.3">
      <c r="A640"/>
      <c r="F640"/>
      <c r="G640"/>
      <c r="I640"/>
    </row>
    <row r="641" spans="1:9" x14ac:dyDescent="0.3">
      <c r="A641"/>
      <c r="F641"/>
      <c r="G641"/>
      <c r="I641"/>
    </row>
    <row r="642" spans="1:9" x14ac:dyDescent="0.3">
      <c r="A642"/>
      <c r="F642"/>
      <c r="G642"/>
      <c r="I642"/>
    </row>
    <row r="643" spans="1:9" x14ac:dyDescent="0.3">
      <c r="A643"/>
      <c r="F643"/>
      <c r="G643"/>
      <c r="I643"/>
    </row>
    <row r="644" spans="1:9" x14ac:dyDescent="0.3">
      <c r="A644"/>
      <c r="F644"/>
      <c r="G644"/>
      <c r="I644"/>
    </row>
    <row r="645" spans="1:9" x14ac:dyDescent="0.3">
      <c r="A645"/>
      <c r="F645"/>
      <c r="G645"/>
      <c r="I645"/>
    </row>
    <row r="646" spans="1:9" x14ac:dyDescent="0.3">
      <c r="A646"/>
      <c r="F646"/>
      <c r="G646"/>
      <c r="I646"/>
    </row>
    <row r="647" spans="1:9" x14ac:dyDescent="0.3">
      <c r="A647"/>
      <c r="F647"/>
      <c r="G647"/>
      <c r="I647"/>
    </row>
    <row r="648" spans="1:9" x14ac:dyDescent="0.3">
      <c r="A648"/>
      <c r="F648"/>
      <c r="G648"/>
      <c r="I648"/>
    </row>
    <row r="649" spans="1:9" x14ac:dyDescent="0.3">
      <c r="A649"/>
      <c r="F649"/>
      <c r="G649"/>
      <c r="I649"/>
    </row>
    <row r="650" spans="1:9" x14ac:dyDescent="0.3">
      <c r="A650"/>
      <c r="F650"/>
      <c r="G650"/>
      <c r="I650"/>
    </row>
    <row r="651" spans="1:9" x14ac:dyDescent="0.3">
      <c r="A651"/>
      <c r="F651"/>
      <c r="G651"/>
      <c r="I651"/>
    </row>
    <row r="652" spans="1:9" x14ac:dyDescent="0.3">
      <c r="A652"/>
      <c r="F652"/>
      <c r="G652"/>
      <c r="I652"/>
    </row>
    <row r="653" spans="1:9" x14ac:dyDescent="0.3">
      <c r="A653"/>
      <c r="F653"/>
      <c r="G653"/>
      <c r="I653"/>
    </row>
    <row r="654" spans="1:9" x14ac:dyDescent="0.3">
      <c r="A654"/>
      <c r="F654"/>
      <c r="G654"/>
      <c r="I654"/>
    </row>
    <row r="655" spans="1:9" x14ac:dyDescent="0.3">
      <c r="A655"/>
      <c r="F655"/>
      <c r="G655"/>
      <c r="I655"/>
    </row>
    <row r="656" spans="1:9" x14ac:dyDescent="0.3">
      <c r="A656"/>
      <c r="F656"/>
      <c r="G656"/>
      <c r="I656"/>
    </row>
    <row r="657" spans="1:9" x14ac:dyDescent="0.3">
      <c r="A657"/>
      <c r="F657"/>
      <c r="G657"/>
      <c r="I657"/>
    </row>
    <row r="658" spans="1:9" x14ac:dyDescent="0.3">
      <c r="A658"/>
      <c r="F658"/>
      <c r="G658"/>
      <c r="I658"/>
    </row>
    <row r="659" spans="1:9" x14ac:dyDescent="0.3">
      <c r="A659"/>
      <c r="F659"/>
      <c r="G659"/>
      <c r="I659"/>
    </row>
    <row r="660" spans="1:9" x14ac:dyDescent="0.3">
      <c r="A660"/>
      <c r="F660"/>
      <c r="G660"/>
      <c r="I660"/>
    </row>
    <row r="661" spans="1:9" x14ac:dyDescent="0.3">
      <c r="A661"/>
      <c r="F661"/>
      <c r="G661"/>
      <c r="I661"/>
    </row>
    <row r="662" spans="1:9" x14ac:dyDescent="0.3">
      <c r="A662"/>
      <c r="F662"/>
      <c r="G662"/>
      <c r="I662"/>
    </row>
    <row r="663" spans="1:9" x14ac:dyDescent="0.3">
      <c r="A663"/>
      <c r="F663"/>
      <c r="G663"/>
      <c r="I663"/>
    </row>
    <row r="664" spans="1:9" x14ac:dyDescent="0.3">
      <c r="A664"/>
      <c r="F664"/>
      <c r="G664"/>
      <c r="I664"/>
    </row>
    <row r="665" spans="1:9" x14ac:dyDescent="0.3">
      <c r="A665"/>
      <c r="F665"/>
      <c r="G665"/>
      <c r="I665"/>
    </row>
    <row r="666" spans="1:9" x14ac:dyDescent="0.3">
      <c r="A666"/>
      <c r="F666"/>
      <c r="G666"/>
      <c r="I666"/>
    </row>
    <row r="667" spans="1:9" x14ac:dyDescent="0.3">
      <c r="A667"/>
      <c r="F667"/>
      <c r="G667"/>
      <c r="I667"/>
    </row>
    <row r="668" spans="1:9" x14ac:dyDescent="0.3">
      <c r="A668"/>
      <c r="F668"/>
      <c r="G668"/>
      <c r="I668"/>
    </row>
    <row r="669" spans="1:9" x14ac:dyDescent="0.3">
      <c r="A669"/>
      <c r="F669"/>
      <c r="G669"/>
      <c r="I669"/>
    </row>
    <row r="670" spans="1:9" x14ac:dyDescent="0.3">
      <c r="A670"/>
      <c r="F670"/>
      <c r="G670"/>
      <c r="I670"/>
    </row>
    <row r="671" spans="1:9" x14ac:dyDescent="0.3">
      <c r="A671"/>
      <c r="F671"/>
      <c r="G671"/>
      <c r="I671"/>
    </row>
    <row r="672" spans="1:9" x14ac:dyDescent="0.3">
      <c r="A672"/>
      <c r="F672"/>
      <c r="G672"/>
      <c r="I672"/>
    </row>
    <row r="673" spans="1:9" x14ac:dyDescent="0.3">
      <c r="A673"/>
      <c r="F673"/>
      <c r="G673"/>
      <c r="I673"/>
    </row>
    <row r="674" spans="1:9" x14ac:dyDescent="0.3">
      <c r="A674"/>
      <c r="F674"/>
      <c r="G674"/>
      <c r="I674"/>
    </row>
    <row r="675" spans="1:9" x14ac:dyDescent="0.3">
      <c r="A675"/>
      <c r="F675"/>
      <c r="G675"/>
      <c r="I675"/>
    </row>
    <row r="676" spans="1:9" x14ac:dyDescent="0.3">
      <c r="A676"/>
      <c r="F676"/>
      <c r="G676"/>
      <c r="I676"/>
    </row>
    <row r="677" spans="1:9" x14ac:dyDescent="0.3">
      <c r="A677"/>
      <c r="F677"/>
      <c r="G677"/>
      <c r="I677"/>
    </row>
    <row r="678" spans="1:9" x14ac:dyDescent="0.3">
      <c r="A678"/>
      <c r="F678"/>
      <c r="G678"/>
      <c r="I678"/>
    </row>
    <row r="679" spans="1:9" x14ac:dyDescent="0.3">
      <c r="A679"/>
      <c r="F679"/>
      <c r="G679"/>
      <c r="I679"/>
    </row>
    <row r="680" spans="1:9" x14ac:dyDescent="0.3">
      <c r="A680"/>
      <c r="F680"/>
      <c r="G680"/>
      <c r="I680"/>
    </row>
    <row r="681" spans="1:9" x14ac:dyDescent="0.3">
      <c r="A681"/>
      <c r="F681"/>
      <c r="G681"/>
      <c r="I681"/>
    </row>
    <row r="682" spans="1:9" x14ac:dyDescent="0.3">
      <c r="A682"/>
      <c r="F682"/>
      <c r="G682"/>
      <c r="I682"/>
    </row>
    <row r="683" spans="1:9" x14ac:dyDescent="0.3">
      <c r="A683"/>
      <c r="F683"/>
      <c r="G683"/>
      <c r="I683"/>
    </row>
    <row r="684" spans="1:9" x14ac:dyDescent="0.3">
      <c r="A684"/>
      <c r="F684"/>
      <c r="G684"/>
      <c r="I684"/>
    </row>
    <row r="685" spans="1:9" x14ac:dyDescent="0.3">
      <c r="A685"/>
      <c r="F685"/>
      <c r="G685"/>
      <c r="I685"/>
    </row>
    <row r="686" spans="1:9" x14ac:dyDescent="0.3">
      <c r="A686"/>
      <c r="F686"/>
      <c r="G686"/>
      <c r="I686"/>
    </row>
    <row r="687" spans="1:9" x14ac:dyDescent="0.3">
      <c r="A687"/>
      <c r="F687"/>
      <c r="G687"/>
      <c r="I687"/>
    </row>
    <row r="688" spans="1:9" x14ac:dyDescent="0.3">
      <c r="A688"/>
      <c r="F688"/>
      <c r="G688"/>
      <c r="I688"/>
    </row>
    <row r="689" spans="1:9" x14ac:dyDescent="0.3">
      <c r="A689"/>
      <c r="F689"/>
      <c r="G689"/>
      <c r="I689"/>
    </row>
    <row r="690" spans="1:9" x14ac:dyDescent="0.3">
      <c r="A690"/>
      <c r="F690"/>
      <c r="G690"/>
      <c r="I690"/>
    </row>
    <row r="691" spans="1:9" x14ac:dyDescent="0.3">
      <c r="A691"/>
      <c r="F691"/>
      <c r="G691"/>
      <c r="I691"/>
    </row>
    <row r="692" spans="1:9" x14ac:dyDescent="0.3">
      <c r="A692"/>
      <c r="F692"/>
      <c r="G692"/>
      <c r="I692"/>
    </row>
    <row r="693" spans="1:9" x14ac:dyDescent="0.3">
      <c r="A693"/>
      <c r="F693"/>
      <c r="G693"/>
      <c r="I693"/>
    </row>
    <row r="694" spans="1:9" x14ac:dyDescent="0.3">
      <c r="A694"/>
      <c r="F694"/>
      <c r="G694"/>
      <c r="I694"/>
    </row>
    <row r="695" spans="1:9" x14ac:dyDescent="0.3">
      <c r="A695"/>
      <c r="F695"/>
      <c r="G695"/>
      <c r="I695"/>
    </row>
    <row r="696" spans="1:9" x14ac:dyDescent="0.3">
      <c r="A696"/>
      <c r="F696"/>
      <c r="G696"/>
      <c r="I696"/>
    </row>
    <row r="697" spans="1:9" x14ac:dyDescent="0.3">
      <c r="A697"/>
      <c r="F697"/>
      <c r="G697"/>
      <c r="I697"/>
    </row>
    <row r="698" spans="1:9" x14ac:dyDescent="0.3">
      <c r="A698"/>
      <c r="F698"/>
      <c r="G698"/>
      <c r="I698"/>
    </row>
    <row r="699" spans="1:9" x14ac:dyDescent="0.3">
      <c r="A699"/>
      <c r="F699"/>
      <c r="G699"/>
      <c r="I699"/>
    </row>
    <row r="700" spans="1:9" x14ac:dyDescent="0.3">
      <c r="A700"/>
      <c r="F700"/>
      <c r="G700"/>
      <c r="I700"/>
    </row>
    <row r="701" spans="1:9" x14ac:dyDescent="0.3">
      <c r="A701"/>
      <c r="F701"/>
      <c r="G701"/>
      <c r="I701"/>
    </row>
    <row r="702" spans="1:9" x14ac:dyDescent="0.3">
      <c r="A702"/>
      <c r="F702"/>
      <c r="G702"/>
      <c r="I702"/>
    </row>
    <row r="703" spans="1:9" x14ac:dyDescent="0.3">
      <c r="A703"/>
      <c r="F703"/>
      <c r="G703"/>
      <c r="I703"/>
    </row>
    <row r="704" spans="1:9" x14ac:dyDescent="0.3">
      <c r="A704"/>
      <c r="F704"/>
      <c r="G704"/>
      <c r="I704"/>
    </row>
    <row r="705" spans="1:9" x14ac:dyDescent="0.3">
      <c r="A705"/>
      <c r="F705"/>
      <c r="G705"/>
      <c r="I705"/>
    </row>
    <row r="706" spans="1:9" x14ac:dyDescent="0.3">
      <c r="A706"/>
      <c r="F706"/>
      <c r="G706"/>
      <c r="I706"/>
    </row>
    <row r="707" spans="1:9" x14ac:dyDescent="0.3">
      <c r="A707"/>
      <c r="F707"/>
      <c r="G707"/>
      <c r="I707"/>
    </row>
    <row r="708" spans="1:9" x14ac:dyDescent="0.3">
      <c r="A708"/>
      <c r="F708"/>
      <c r="G708"/>
      <c r="I708"/>
    </row>
    <row r="709" spans="1:9" x14ac:dyDescent="0.3">
      <c r="A709"/>
      <c r="F709"/>
      <c r="G709"/>
      <c r="I709"/>
    </row>
    <row r="710" spans="1:9" x14ac:dyDescent="0.3">
      <c r="A710"/>
      <c r="F710"/>
      <c r="G710"/>
      <c r="I710"/>
    </row>
    <row r="711" spans="1:9" x14ac:dyDescent="0.3">
      <c r="A711"/>
      <c r="F711"/>
      <c r="G711"/>
      <c r="I711"/>
    </row>
    <row r="712" spans="1:9" x14ac:dyDescent="0.3">
      <c r="A712"/>
      <c r="F712"/>
      <c r="G712"/>
      <c r="I712"/>
    </row>
    <row r="713" spans="1:9" x14ac:dyDescent="0.3">
      <c r="A713"/>
      <c r="F713"/>
      <c r="G713"/>
      <c r="I713"/>
    </row>
    <row r="714" spans="1:9" x14ac:dyDescent="0.3">
      <c r="A714"/>
      <c r="F714"/>
      <c r="G714"/>
      <c r="I714"/>
    </row>
    <row r="715" spans="1:9" x14ac:dyDescent="0.3">
      <c r="A715"/>
      <c r="F715"/>
      <c r="G715"/>
      <c r="I715"/>
    </row>
    <row r="716" spans="1:9" x14ac:dyDescent="0.3">
      <c r="A716"/>
      <c r="F716"/>
      <c r="G716"/>
      <c r="I716"/>
    </row>
    <row r="717" spans="1:9" x14ac:dyDescent="0.3">
      <c r="A717"/>
      <c r="F717"/>
      <c r="G717"/>
      <c r="I717"/>
    </row>
    <row r="718" spans="1:9" x14ac:dyDescent="0.3">
      <c r="A718"/>
      <c r="F718"/>
      <c r="G718"/>
      <c r="I718"/>
    </row>
    <row r="719" spans="1:9" x14ac:dyDescent="0.3">
      <c r="A719"/>
      <c r="F719"/>
      <c r="G719"/>
      <c r="I719"/>
    </row>
    <row r="720" spans="1:9" x14ac:dyDescent="0.3">
      <c r="A720"/>
      <c r="F720"/>
      <c r="G720"/>
      <c r="I720"/>
    </row>
    <row r="721" spans="1:9" x14ac:dyDescent="0.3">
      <c r="A721"/>
      <c r="F721"/>
      <c r="G721"/>
      <c r="I721"/>
    </row>
    <row r="722" spans="1:9" x14ac:dyDescent="0.3">
      <c r="A722"/>
      <c r="F722"/>
      <c r="G722"/>
      <c r="I722"/>
    </row>
    <row r="723" spans="1:9" x14ac:dyDescent="0.3">
      <c r="A723"/>
      <c r="F723"/>
      <c r="G723"/>
      <c r="I723"/>
    </row>
    <row r="724" spans="1:9" x14ac:dyDescent="0.3">
      <c r="A724"/>
      <c r="F724"/>
      <c r="G724"/>
      <c r="I724"/>
    </row>
    <row r="725" spans="1:9" x14ac:dyDescent="0.3">
      <c r="A725"/>
      <c r="F725"/>
      <c r="G725"/>
      <c r="I725"/>
    </row>
    <row r="726" spans="1:9" x14ac:dyDescent="0.3">
      <c r="A726"/>
      <c r="F726"/>
      <c r="G726"/>
      <c r="I726"/>
    </row>
    <row r="727" spans="1:9" x14ac:dyDescent="0.3">
      <c r="A727"/>
      <c r="F727"/>
      <c r="G727"/>
      <c r="I727"/>
    </row>
    <row r="728" spans="1:9" x14ac:dyDescent="0.3">
      <c r="A728"/>
      <c r="F728"/>
      <c r="G728"/>
      <c r="I728"/>
    </row>
    <row r="729" spans="1:9" x14ac:dyDescent="0.3">
      <c r="A729"/>
      <c r="F729"/>
      <c r="G729"/>
      <c r="I729"/>
    </row>
    <row r="730" spans="1:9" x14ac:dyDescent="0.3">
      <c r="A730"/>
      <c r="F730"/>
      <c r="G730"/>
      <c r="I730"/>
    </row>
    <row r="731" spans="1:9" x14ac:dyDescent="0.3">
      <c r="A731"/>
      <c r="F731"/>
      <c r="G731"/>
      <c r="I731"/>
    </row>
    <row r="732" spans="1:9" x14ac:dyDescent="0.3">
      <c r="A732"/>
      <c r="F732"/>
      <c r="G732"/>
      <c r="I732"/>
    </row>
    <row r="733" spans="1:9" x14ac:dyDescent="0.3">
      <c r="A733"/>
      <c r="F733"/>
      <c r="G733"/>
      <c r="I733"/>
    </row>
    <row r="734" spans="1:9" x14ac:dyDescent="0.3">
      <c r="A734"/>
      <c r="F734"/>
      <c r="G734"/>
      <c r="I734"/>
    </row>
    <row r="735" spans="1:9" x14ac:dyDescent="0.3">
      <c r="A735"/>
      <c r="F735"/>
      <c r="G735"/>
      <c r="I735"/>
    </row>
    <row r="736" spans="1:9" x14ac:dyDescent="0.3">
      <c r="A736"/>
      <c r="F736"/>
      <c r="G736"/>
      <c r="I736"/>
    </row>
    <row r="737" spans="1:9" x14ac:dyDescent="0.3">
      <c r="A737"/>
      <c r="F737"/>
      <c r="G737"/>
      <c r="I737"/>
    </row>
    <row r="738" spans="1:9" x14ac:dyDescent="0.3">
      <c r="A738"/>
      <c r="F738"/>
      <c r="G738"/>
      <c r="I738"/>
    </row>
    <row r="739" spans="1:9" x14ac:dyDescent="0.3">
      <c r="A739"/>
      <c r="F739"/>
      <c r="G739"/>
      <c r="I739"/>
    </row>
    <row r="740" spans="1:9" x14ac:dyDescent="0.3">
      <c r="A740"/>
      <c r="F740"/>
      <c r="G740"/>
      <c r="I740"/>
    </row>
    <row r="741" spans="1:9" x14ac:dyDescent="0.3">
      <c r="A741"/>
      <c r="F741"/>
      <c r="G741"/>
      <c r="I741"/>
    </row>
    <row r="742" spans="1:9" x14ac:dyDescent="0.3">
      <c r="A742"/>
      <c r="F742"/>
      <c r="G742"/>
      <c r="I742"/>
    </row>
    <row r="743" spans="1:9" x14ac:dyDescent="0.3">
      <c r="A743"/>
      <c r="F743"/>
      <c r="G743"/>
      <c r="I743"/>
    </row>
    <row r="744" spans="1:9" x14ac:dyDescent="0.3">
      <c r="A744"/>
      <c r="F744"/>
      <c r="G744"/>
      <c r="I744"/>
    </row>
    <row r="745" spans="1:9" x14ac:dyDescent="0.3">
      <c r="A745"/>
      <c r="F745"/>
      <c r="G745"/>
      <c r="I745"/>
    </row>
    <row r="746" spans="1:9" x14ac:dyDescent="0.3">
      <c r="A746"/>
      <c r="F746"/>
      <c r="G746"/>
      <c r="I746"/>
    </row>
    <row r="747" spans="1:9" x14ac:dyDescent="0.3">
      <c r="A747"/>
      <c r="F747"/>
      <c r="G747"/>
      <c r="I747"/>
    </row>
    <row r="748" spans="1:9" x14ac:dyDescent="0.3">
      <c r="A748"/>
      <c r="F748"/>
      <c r="G748"/>
      <c r="I748"/>
    </row>
    <row r="749" spans="1:9" x14ac:dyDescent="0.3">
      <c r="A749"/>
      <c r="F749"/>
      <c r="G749"/>
      <c r="I749"/>
    </row>
    <row r="750" spans="1:9" x14ac:dyDescent="0.3">
      <c r="A750"/>
      <c r="F750"/>
      <c r="G750"/>
      <c r="I750"/>
    </row>
    <row r="751" spans="1:9" x14ac:dyDescent="0.3">
      <c r="A751"/>
      <c r="F751"/>
      <c r="G751"/>
      <c r="I751"/>
    </row>
    <row r="752" spans="1:9" x14ac:dyDescent="0.3">
      <c r="A752"/>
      <c r="F752"/>
      <c r="G752"/>
      <c r="I752"/>
    </row>
    <row r="753" spans="1:9" x14ac:dyDescent="0.3">
      <c r="A753"/>
      <c r="F753"/>
      <c r="G753"/>
      <c r="I753"/>
    </row>
    <row r="754" spans="1:9" x14ac:dyDescent="0.3">
      <c r="A754"/>
      <c r="F754"/>
      <c r="G754"/>
      <c r="I754"/>
    </row>
    <row r="755" spans="1:9" x14ac:dyDescent="0.3">
      <c r="A755"/>
      <c r="F755"/>
      <c r="G755"/>
      <c r="I755"/>
    </row>
    <row r="756" spans="1:9" x14ac:dyDescent="0.3">
      <c r="A756"/>
      <c r="F756"/>
      <c r="G756"/>
      <c r="I756"/>
    </row>
    <row r="757" spans="1:9" x14ac:dyDescent="0.3">
      <c r="A757"/>
      <c r="F757"/>
      <c r="G757"/>
      <c r="I757"/>
    </row>
    <row r="758" spans="1:9" x14ac:dyDescent="0.3">
      <c r="A758"/>
      <c r="F758"/>
      <c r="G758"/>
      <c r="I758"/>
    </row>
    <row r="759" spans="1:9" x14ac:dyDescent="0.3">
      <c r="A759"/>
      <c r="F759"/>
      <c r="G759"/>
      <c r="I759"/>
    </row>
    <row r="760" spans="1:9" x14ac:dyDescent="0.3">
      <c r="A760"/>
      <c r="F760"/>
      <c r="G760"/>
      <c r="I760"/>
    </row>
    <row r="761" spans="1:9" x14ac:dyDescent="0.3">
      <c r="A761"/>
      <c r="F761"/>
      <c r="G761"/>
      <c r="I761"/>
    </row>
    <row r="762" spans="1:9" x14ac:dyDescent="0.3">
      <c r="A762"/>
      <c r="F762"/>
      <c r="G762"/>
      <c r="I762"/>
    </row>
    <row r="763" spans="1:9" x14ac:dyDescent="0.3">
      <c r="A763"/>
      <c r="F763"/>
      <c r="G763"/>
      <c r="I763"/>
    </row>
    <row r="764" spans="1:9" x14ac:dyDescent="0.3">
      <c r="A764"/>
      <c r="F764"/>
      <c r="G764"/>
      <c r="I764"/>
    </row>
    <row r="765" spans="1:9" x14ac:dyDescent="0.3">
      <c r="A765"/>
      <c r="F765"/>
      <c r="G765"/>
      <c r="I765"/>
    </row>
    <row r="766" spans="1:9" x14ac:dyDescent="0.3">
      <c r="A766"/>
      <c r="F766"/>
      <c r="G766"/>
      <c r="I766"/>
    </row>
    <row r="767" spans="1:9" x14ac:dyDescent="0.3">
      <c r="A767"/>
      <c r="F767"/>
      <c r="G767"/>
      <c r="I767"/>
    </row>
    <row r="768" spans="1:9" x14ac:dyDescent="0.3">
      <c r="A768"/>
      <c r="F768"/>
      <c r="G768"/>
      <c r="I768"/>
    </row>
    <row r="769" spans="1:9" x14ac:dyDescent="0.3">
      <c r="A769"/>
      <c r="F769"/>
      <c r="G769"/>
      <c r="I769"/>
    </row>
    <row r="770" spans="1:9" x14ac:dyDescent="0.3">
      <c r="A770"/>
      <c r="F770"/>
      <c r="G770"/>
      <c r="I770"/>
    </row>
    <row r="771" spans="1:9" x14ac:dyDescent="0.3">
      <c r="A771"/>
      <c r="F771"/>
      <c r="G771"/>
      <c r="I771"/>
    </row>
    <row r="772" spans="1:9" x14ac:dyDescent="0.3">
      <c r="A772"/>
      <c r="F772"/>
      <c r="G772"/>
      <c r="I772"/>
    </row>
    <row r="773" spans="1:9" x14ac:dyDescent="0.3">
      <c r="A773"/>
      <c r="F773"/>
      <c r="G773"/>
      <c r="I773"/>
    </row>
    <row r="774" spans="1:9" x14ac:dyDescent="0.3">
      <c r="A774"/>
      <c r="F774"/>
      <c r="G774"/>
      <c r="I774"/>
    </row>
    <row r="775" spans="1:9" x14ac:dyDescent="0.3">
      <c r="A775"/>
      <c r="F775"/>
      <c r="G775"/>
      <c r="I775"/>
    </row>
    <row r="776" spans="1:9" x14ac:dyDescent="0.3">
      <c r="A776"/>
      <c r="F776"/>
      <c r="G776"/>
      <c r="I776"/>
    </row>
    <row r="777" spans="1:9" x14ac:dyDescent="0.3">
      <c r="A777"/>
      <c r="F777"/>
      <c r="G777"/>
      <c r="I777"/>
    </row>
    <row r="778" spans="1:9" x14ac:dyDescent="0.3">
      <c r="A778"/>
      <c r="F778"/>
      <c r="G778"/>
      <c r="I778"/>
    </row>
    <row r="779" spans="1:9" x14ac:dyDescent="0.3">
      <c r="A779"/>
      <c r="F779"/>
      <c r="G779"/>
      <c r="I779"/>
    </row>
    <row r="780" spans="1:9" x14ac:dyDescent="0.3">
      <c r="A780"/>
      <c r="F780"/>
      <c r="G780"/>
      <c r="I780"/>
    </row>
    <row r="781" spans="1:9" x14ac:dyDescent="0.3">
      <c r="A781"/>
      <c r="F781"/>
      <c r="G781"/>
      <c r="I781"/>
    </row>
    <row r="782" spans="1:9" x14ac:dyDescent="0.3">
      <c r="A782"/>
      <c r="F782"/>
      <c r="G782"/>
      <c r="I782"/>
    </row>
    <row r="783" spans="1:9" x14ac:dyDescent="0.3">
      <c r="A783"/>
      <c r="F783"/>
      <c r="G783"/>
      <c r="I783"/>
    </row>
    <row r="784" spans="1:9" x14ac:dyDescent="0.3">
      <c r="A784"/>
      <c r="F784"/>
      <c r="G784"/>
      <c r="I784"/>
    </row>
    <row r="785" spans="1:9" x14ac:dyDescent="0.3">
      <c r="A785"/>
      <c r="F785"/>
      <c r="G785"/>
      <c r="I785"/>
    </row>
    <row r="786" spans="1:9" x14ac:dyDescent="0.3">
      <c r="A786"/>
      <c r="F786"/>
      <c r="G786"/>
      <c r="I786"/>
    </row>
    <row r="787" spans="1:9" x14ac:dyDescent="0.3">
      <c r="A787"/>
      <c r="F787"/>
      <c r="G787"/>
      <c r="I787"/>
    </row>
    <row r="788" spans="1:9" x14ac:dyDescent="0.3">
      <c r="A788"/>
      <c r="F788"/>
      <c r="G788"/>
      <c r="I788"/>
    </row>
    <row r="789" spans="1:9" x14ac:dyDescent="0.3">
      <c r="A789"/>
      <c r="F789"/>
      <c r="G789"/>
      <c r="I789"/>
    </row>
    <row r="790" spans="1:9" x14ac:dyDescent="0.3">
      <c r="A790"/>
      <c r="F790"/>
      <c r="G790"/>
      <c r="I790"/>
    </row>
    <row r="791" spans="1:9" x14ac:dyDescent="0.3">
      <c r="A791"/>
      <c r="F791"/>
      <c r="G791"/>
      <c r="I791"/>
    </row>
    <row r="792" spans="1:9" x14ac:dyDescent="0.3">
      <c r="A792"/>
      <c r="F792"/>
      <c r="G792"/>
      <c r="I792"/>
    </row>
    <row r="793" spans="1:9" x14ac:dyDescent="0.3">
      <c r="A793"/>
      <c r="F793"/>
      <c r="G793"/>
      <c r="I793"/>
    </row>
    <row r="794" spans="1:9" x14ac:dyDescent="0.3">
      <c r="A794"/>
      <c r="F794"/>
      <c r="G794"/>
      <c r="I794"/>
    </row>
    <row r="795" spans="1:9" x14ac:dyDescent="0.3">
      <c r="A795"/>
      <c r="F795"/>
      <c r="G795"/>
      <c r="I795"/>
    </row>
    <row r="796" spans="1:9" x14ac:dyDescent="0.3">
      <c r="A796"/>
      <c r="F796"/>
      <c r="G796"/>
      <c r="I796"/>
    </row>
    <row r="797" spans="1:9" x14ac:dyDescent="0.3">
      <c r="A797"/>
      <c r="F797"/>
      <c r="G797"/>
      <c r="I797"/>
    </row>
    <row r="798" spans="1:9" x14ac:dyDescent="0.3">
      <c r="A798"/>
      <c r="F798"/>
      <c r="G798"/>
      <c r="I798"/>
    </row>
    <row r="799" spans="1:9" x14ac:dyDescent="0.3">
      <c r="A799"/>
      <c r="F799"/>
      <c r="G799"/>
      <c r="I799"/>
    </row>
    <row r="800" spans="1:9" x14ac:dyDescent="0.3">
      <c r="A800"/>
      <c r="F800"/>
      <c r="G800"/>
      <c r="I800"/>
    </row>
    <row r="801" spans="1:9" x14ac:dyDescent="0.3">
      <c r="A801"/>
      <c r="F801"/>
      <c r="G801"/>
      <c r="I801"/>
    </row>
    <row r="802" spans="1:9" x14ac:dyDescent="0.3">
      <c r="A802"/>
      <c r="F802"/>
      <c r="G802"/>
      <c r="I802"/>
    </row>
    <row r="803" spans="1:9" x14ac:dyDescent="0.3">
      <c r="A803"/>
      <c r="F803"/>
      <c r="G803"/>
      <c r="I803"/>
    </row>
    <row r="804" spans="1:9" x14ac:dyDescent="0.3">
      <c r="A804"/>
      <c r="F804"/>
      <c r="G804"/>
      <c r="I804"/>
    </row>
    <row r="805" spans="1:9" x14ac:dyDescent="0.3">
      <c r="A805"/>
      <c r="F805"/>
      <c r="G805"/>
      <c r="I805"/>
    </row>
    <row r="806" spans="1:9" x14ac:dyDescent="0.3">
      <c r="A806"/>
      <c r="F806"/>
      <c r="G806"/>
      <c r="I806"/>
    </row>
    <row r="807" spans="1:9" x14ac:dyDescent="0.3">
      <c r="A807"/>
      <c r="F807"/>
      <c r="G807"/>
      <c r="I807"/>
    </row>
    <row r="808" spans="1:9" x14ac:dyDescent="0.3">
      <c r="A808"/>
      <c r="F808"/>
      <c r="G808"/>
      <c r="I808"/>
    </row>
    <row r="809" spans="1:9" x14ac:dyDescent="0.3">
      <c r="A809"/>
      <c r="F809"/>
      <c r="G809"/>
      <c r="I809"/>
    </row>
    <row r="810" spans="1:9" x14ac:dyDescent="0.3">
      <c r="A810"/>
      <c r="F810"/>
      <c r="G810"/>
      <c r="I810"/>
    </row>
    <row r="811" spans="1:9" x14ac:dyDescent="0.3">
      <c r="A811"/>
      <c r="F811"/>
      <c r="G811"/>
      <c r="I811"/>
    </row>
    <row r="812" spans="1:9" x14ac:dyDescent="0.3">
      <c r="A812"/>
      <c r="F812"/>
      <c r="G812"/>
      <c r="I812"/>
    </row>
    <row r="813" spans="1:9" x14ac:dyDescent="0.3">
      <c r="A813"/>
      <c r="F813"/>
      <c r="G813"/>
      <c r="I813"/>
    </row>
    <row r="814" spans="1:9" x14ac:dyDescent="0.3">
      <c r="A814"/>
      <c r="F814"/>
      <c r="G814"/>
      <c r="I814"/>
    </row>
    <row r="815" spans="1:9" x14ac:dyDescent="0.3">
      <c r="A815"/>
      <c r="F815"/>
      <c r="G815"/>
      <c r="I815"/>
    </row>
    <row r="816" spans="1:9" x14ac:dyDescent="0.3">
      <c r="A816"/>
      <c r="F816"/>
      <c r="G816"/>
      <c r="I816"/>
    </row>
    <row r="817" spans="1:9" x14ac:dyDescent="0.3">
      <c r="A817"/>
      <c r="F817"/>
      <c r="G817"/>
      <c r="I817"/>
    </row>
    <row r="818" spans="1:9" x14ac:dyDescent="0.3">
      <c r="A818"/>
      <c r="F818"/>
      <c r="G818"/>
      <c r="I818"/>
    </row>
    <row r="819" spans="1:9" x14ac:dyDescent="0.3">
      <c r="A819"/>
      <c r="F819"/>
      <c r="G819"/>
      <c r="I819"/>
    </row>
    <row r="820" spans="1:9" x14ac:dyDescent="0.3">
      <c r="A820"/>
      <c r="F820"/>
      <c r="G820"/>
      <c r="I820"/>
    </row>
    <row r="821" spans="1:9" x14ac:dyDescent="0.3">
      <c r="A821"/>
      <c r="F821"/>
      <c r="G821"/>
      <c r="I821"/>
    </row>
    <row r="822" spans="1:9" x14ac:dyDescent="0.3">
      <c r="A822"/>
      <c r="F822"/>
      <c r="G822"/>
      <c r="I822"/>
    </row>
    <row r="823" spans="1:9" x14ac:dyDescent="0.3">
      <c r="A823"/>
      <c r="F823"/>
      <c r="G823"/>
      <c r="I823"/>
    </row>
    <row r="824" spans="1:9" x14ac:dyDescent="0.3">
      <c r="A824"/>
      <c r="F824"/>
      <c r="G824"/>
      <c r="I824"/>
    </row>
    <row r="825" spans="1:9" x14ac:dyDescent="0.3">
      <c r="A825"/>
      <c r="F825"/>
      <c r="G825"/>
      <c r="I825"/>
    </row>
    <row r="826" spans="1:9" x14ac:dyDescent="0.3">
      <c r="A826"/>
      <c r="F826"/>
      <c r="G826"/>
      <c r="I826"/>
    </row>
    <row r="827" spans="1:9" x14ac:dyDescent="0.3">
      <c r="A827"/>
      <c r="F827"/>
      <c r="G827"/>
      <c r="I827"/>
    </row>
    <row r="828" spans="1:9" x14ac:dyDescent="0.3">
      <c r="A828"/>
      <c r="F828"/>
      <c r="G828"/>
      <c r="I828"/>
    </row>
    <row r="829" spans="1:9" x14ac:dyDescent="0.3">
      <c r="A829"/>
      <c r="F829"/>
      <c r="G829"/>
      <c r="I829"/>
    </row>
    <row r="830" spans="1:9" x14ac:dyDescent="0.3">
      <c r="A830"/>
      <c r="F830"/>
      <c r="G830"/>
      <c r="I830"/>
    </row>
    <row r="831" spans="1:9" x14ac:dyDescent="0.3">
      <c r="A831"/>
      <c r="F831"/>
      <c r="G831"/>
      <c r="I831"/>
    </row>
    <row r="832" spans="1:9" x14ac:dyDescent="0.3">
      <c r="A832"/>
      <c r="F832"/>
      <c r="G832"/>
      <c r="I832"/>
    </row>
    <row r="833" spans="1:9" x14ac:dyDescent="0.3">
      <c r="A833"/>
      <c r="F833"/>
      <c r="G833"/>
      <c r="I833"/>
    </row>
    <row r="834" spans="1:9" x14ac:dyDescent="0.3">
      <c r="A834"/>
      <c r="F834"/>
      <c r="G834"/>
      <c r="I834"/>
    </row>
    <row r="835" spans="1:9" x14ac:dyDescent="0.3">
      <c r="A835"/>
      <c r="F835"/>
      <c r="G835"/>
      <c r="I835"/>
    </row>
    <row r="836" spans="1:9" x14ac:dyDescent="0.3">
      <c r="A836"/>
      <c r="F836"/>
      <c r="G836"/>
      <c r="I836"/>
    </row>
    <row r="837" spans="1:9" x14ac:dyDescent="0.3">
      <c r="A837"/>
      <c r="F837"/>
      <c r="G837"/>
      <c r="I837"/>
    </row>
    <row r="838" spans="1:9" x14ac:dyDescent="0.3">
      <c r="A838"/>
      <c r="F838"/>
      <c r="G838"/>
      <c r="I838"/>
    </row>
    <row r="839" spans="1:9" x14ac:dyDescent="0.3">
      <c r="A839"/>
      <c r="F839"/>
      <c r="G839"/>
      <c r="I839"/>
    </row>
    <row r="840" spans="1:9" x14ac:dyDescent="0.3">
      <c r="A840"/>
      <c r="F840"/>
      <c r="G840"/>
      <c r="I840"/>
    </row>
    <row r="841" spans="1:9" x14ac:dyDescent="0.3">
      <c r="A841"/>
      <c r="F841"/>
      <c r="G841"/>
      <c r="I841"/>
    </row>
    <row r="842" spans="1:9" x14ac:dyDescent="0.3">
      <c r="A842"/>
      <c r="F842"/>
      <c r="G842"/>
      <c r="I842"/>
    </row>
    <row r="843" spans="1:9" x14ac:dyDescent="0.3">
      <c r="A843"/>
      <c r="F843"/>
      <c r="G843"/>
      <c r="I843"/>
    </row>
    <row r="844" spans="1:9" x14ac:dyDescent="0.3">
      <c r="A844"/>
      <c r="F844"/>
      <c r="G844"/>
      <c r="I844"/>
    </row>
    <row r="845" spans="1:9" x14ac:dyDescent="0.3">
      <c r="A845"/>
      <c r="F845"/>
      <c r="G845"/>
      <c r="I845"/>
    </row>
    <row r="846" spans="1:9" x14ac:dyDescent="0.3">
      <c r="A846"/>
      <c r="F846"/>
      <c r="G846"/>
      <c r="I846"/>
    </row>
    <row r="847" spans="1:9" x14ac:dyDescent="0.3">
      <c r="A847"/>
      <c r="F847"/>
      <c r="G847"/>
      <c r="I847"/>
    </row>
    <row r="848" spans="1:9" x14ac:dyDescent="0.3">
      <c r="A848"/>
      <c r="F848"/>
      <c r="G848"/>
      <c r="I848"/>
    </row>
    <row r="849" spans="1:9" x14ac:dyDescent="0.3">
      <c r="A849"/>
      <c r="F849"/>
      <c r="G849"/>
      <c r="I849"/>
    </row>
    <row r="850" spans="1:9" x14ac:dyDescent="0.3">
      <c r="A850"/>
      <c r="F850"/>
      <c r="G850"/>
      <c r="I850"/>
    </row>
    <row r="851" spans="1:9" x14ac:dyDescent="0.3">
      <c r="A851"/>
      <c r="F851"/>
      <c r="G851"/>
      <c r="I851"/>
    </row>
    <row r="852" spans="1:9" x14ac:dyDescent="0.3">
      <c r="A852"/>
      <c r="F852"/>
      <c r="G852"/>
      <c r="I852"/>
    </row>
    <row r="853" spans="1:9" x14ac:dyDescent="0.3">
      <c r="A853"/>
      <c r="F853"/>
      <c r="G853"/>
      <c r="I853"/>
    </row>
    <row r="854" spans="1:9" x14ac:dyDescent="0.3">
      <c r="A854"/>
      <c r="F854"/>
      <c r="G854"/>
      <c r="I854"/>
    </row>
    <row r="855" spans="1:9" x14ac:dyDescent="0.3">
      <c r="A855"/>
      <c r="F855"/>
      <c r="G855"/>
      <c r="I855"/>
    </row>
    <row r="856" spans="1:9" x14ac:dyDescent="0.3">
      <c r="A856"/>
      <c r="F856"/>
      <c r="G856"/>
      <c r="I856"/>
    </row>
    <row r="857" spans="1:9" x14ac:dyDescent="0.3">
      <c r="A857"/>
      <c r="F857"/>
      <c r="G857"/>
      <c r="I857"/>
    </row>
    <row r="858" spans="1:9" x14ac:dyDescent="0.3">
      <c r="A858"/>
      <c r="F858"/>
      <c r="G858"/>
      <c r="I858"/>
    </row>
    <row r="859" spans="1:9" x14ac:dyDescent="0.3">
      <c r="A859"/>
      <c r="F859"/>
      <c r="G859"/>
      <c r="I859"/>
    </row>
    <row r="860" spans="1:9" x14ac:dyDescent="0.3">
      <c r="A860"/>
      <c r="F860"/>
      <c r="G860"/>
      <c r="I860"/>
    </row>
    <row r="861" spans="1:9" x14ac:dyDescent="0.3">
      <c r="A861"/>
      <c r="F861"/>
      <c r="G861"/>
      <c r="I861"/>
    </row>
    <row r="862" spans="1:9" x14ac:dyDescent="0.3">
      <c r="A862"/>
      <c r="F862"/>
      <c r="G862"/>
      <c r="I862"/>
    </row>
    <row r="863" spans="1:9" x14ac:dyDescent="0.3">
      <c r="A863"/>
      <c r="F863"/>
      <c r="G863"/>
      <c r="I863"/>
    </row>
    <row r="864" spans="1:9" x14ac:dyDescent="0.3">
      <c r="A864"/>
      <c r="F864"/>
      <c r="G864"/>
      <c r="I864"/>
    </row>
    <row r="865" spans="1:9" x14ac:dyDescent="0.3">
      <c r="A865"/>
      <c r="F865"/>
      <c r="G865"/>
      <c r="I865"/>
    </row>
    <row r="866" spans="1:9" x14ac:dyDescent="0.3">
      <c r="A866"/>
      <c r="F866"/>
      <c r="G866"/>
      <c r="I866"/>
    </row>
    <row r="867" spans="1:9" x14ac:dyDescent="0.3">
      <c r="A867"/>
      <c r="F867"/>
      <c r="G867"/>
      <c r="I867"/>
    </row>
    <row r="868" spans="1:9" x14ac:dyDescent="0.3">
      <c r="A868"/>
      <c r="F868"/>
      <c r="G868"/>
      <c r="I868"/>
    </row>
    <row r="869" spans="1:9" x14ac:dyDescent="0.3">
      <c r="A869"/>
      <c r="F869"/>
      <c r="G869"/>
      <c r="I869"/>
    </row>
    <row r="870" spans="1:9" x14ac:dyDescent="0.3">
      <c r="A870"/>
      <c r="F870"/>
      <c r="G870"/>
      <c r="I870"/>
    </row>
    <row r="871" spans="1:9" x14ac:dyDescent="0.3">
      <c r="A871"/>
      <c r="F871"/>
      <c r="G871"/>
      <c r="I871"/>
    </row>
    <row r="872" spans="1:9" x14ac:dyDescent="0.3">
      <c r="A872"/>
      <c r="F872"/>
      <c r="G872"/>
      <c r="I872"/>
    </row>
    <row r="873" spans="1:9" x14ac:dyDescent="0.3">
      <c r="A873"/>
      <c r="F873"/>
      <c r="G873"/>
      <c r="I873"/>
    </row>
    <row r="874" spans="1:9" x14ac:dyDescent="0.3">
      <c r="A874"/>
      <c r="F874"/>
      <c r="G874"/>
      <c r="I874"/>
    </row>
    <row r="875" spans="1:9" x14ac:dyDescent="0.3">
      <c r="A875"/>
      <c r="F875"/>
      <c r="G875"/>
      <c r="I875"/>
    </row>
    <row r="876" spans="1:9" x14ac:dyDescent="0.3">
      <c r="A876"/>
      <c r="F876"/>
      <c r="G876"/>
      <c r="I876"/>
    </row>
    <row r="877" spans="1:9" x14ac:dyDescent="0.3">
      <c r="A877"/>
      <c r="F877"/>
      <c r="G877"/>
      <c r="I877"/>
    </row>
    <row r="878" spans="1:9" x14ac:dyDescent="0.3">
      <c r="A878"/>
      <c r="F878"/>
      <c r="G878"/>
      <c r="I878"/>
    </row>
    <row r="879" spans="1:9" x14ac:dyDescent="0.3">
      <c r="A879"/>
      <c r="F879"/>
      <c r="G879"/>
      <c r="I879"/>
    </row>
    <row r="880" spans="1:9" x14ac:dyDescent="0.3">
      <c r="A880"/>
      <c r="F880"/>
      <c r="G880"/>
      <c r="I880"/>
    </row>
    <row r="881" spans="1:9" x14ac:dyDescent="0.3">
      <c r="A881"/>
      <c r="F881"/>
      <c r="G881"/>
      <c r="I881"/>
    </row>
    <row r="882" spans="1:9" x14ac:dyDescent="0.3">
      <c r="A882"/>
      <c r="F882"/>
      <c r="G882"/>
      <c r="I882"/>
    </row>
    <row r="883" spans="1:9" x14ac:dyDescent="0.3">
      <c r="A883"/>
      <c r="F883"/>
      <c r="G883"/>
      <c r="I883"/>
    </row>
    <row r="884" spans="1:9" x14ac:dyDescent="0.3">
      <c r="A884"/>
      <c r="F884"/>
      <c r="G884"/>
      <c r="I884"/>
    </row>
    <row r="885" spans="1:9" x14ac:dyDescent="0.3">
      <c r="A885"/>
      <c r="F885"/>
      <c r="G885"/>
      <c r="I885"/>
    </row>
    <row r="886" spans="1:9" x14ac:dyDescent="0.3">
      <c r="A886"/>
      <c r="F886"/>
      <c r="G886"/>
      <c r="I886"/>
    </row>
    <row r="887" spans="1:9" x14ac:dyDescent="0.3">
      <c r="A887"/>
      <c r="F887"/>
      <c r="G887"/>
      <c r="I887"/>
    </row>
    <row r="888" spans="1:9" x14ac:dyDescent="0.3">
      <c r="A888"/>
      <c r="F888"/>
      <c r="G888"/>
      <c r="I888"/>
    </row>
    <row r="889" spans="1:9" x14ac:dyDescent="0.3">
      <c r="A889"/>
      <c r="F889"/>
      <c r="G889"/>
      <c r="I889"/>
    </row>
    <row r="890" spans="1:9" x14ac:dyDescent="0.3">
      <c r="A890"/>
      <c r="F890"/>
      <c r="G890"/>
      <c r="I890"/>
    </row>
    <row r="891" spans="1:9" x14ac:dyDescent="0.3">
      <c r="A891"/>
      <c r="F891"/>
      <c r="G891"/>
      <c r="I891"/>
    </row>
    <row r="892" spans="1:9" x14ac:dyDescent="0.3">
      <c r="A892"/>
      <c r="F892"/>
      <c r="G892"/>
      <c r="I892"/>
    </row>
    <row r="893" spans="1:9" x14ac:dyDescent="0.3">
      <c r="A893"/>
      <c r="F893"/>
      <c r="G893"/>
      <c r="I893"/>
    </row>
    <row r="894" spans="1:9" x14ac:dyDescent="0.3">
      <c r="A894"/>
      <c r="F894"/>
      <c r="G894"/>
      <c r="I894"/>
    </row>
    <row r="895" spans="1:9" x14ac:dyDescent="0.3">
      <c r="A895"/>
      <c r="F895"/>
      <c r="G895"/>
      <c r="I895"/>
    </row>
    <row r="896" spans="1:9" x14ac:dyDescent="0.3">
      <c r="A896"/>
      <c r="F896"/>
      <c r="G896"/>
      <c r="I896"/>
    </row>
    <row r="897" spans="1:9" x14ac:dyDescent="0.3">
      <c r="A897"/>
      <c r="F897"/>
      <c r="G897"/>
      <c r="I897"/>
    </row>
    <row r="898" spans="1:9" x14ac:dyDescent="0.3">
      <c r="A898"/>
      <c r="F898"/>
      <c r="G898"/>
      <c r="I898"/>
    </row>
    <row r="899" spans="1:9" x14ac:dyDescent="0.3">
      <c r="A899"/>
      <c r="F899"/>
      <c r="G899"/>
      <c r="I899"/>
    </row>
    <row r="900" spans="1:9" x14ac:dyDescent="0.3">
      <c r="A900"/>
      <c r="F900"/>
      <c r="G900"/>
      <c r="I900"/>
    </row>
    <row r="901" spans="1:9" x14ac:dyDescent="0.3">
      <c r="A901"/>
      <c r="F901"/>
      <c r="G901"/>
      <c r="I901"/>
    </row>
    <row r="902" spans="1:9" x14ac:dyDescent="0.3">
      <c r="A902"/>
      <c r="F902"/>
      <c r="G902"/>
      <c r="I902"/>
    </row>
    <row r="903" spans="1:9" x14ac:dyDescent="0.3">
      <c r="A903"/>
      <c r="F903"/>
      <c r="G903"/>
      <c r="I903"/>
    </row>
    <row r="904" spans="1:9" x14ac:dyDescent="0.3">
      <c r="A904"/>
      <c r="F904"/>
      <c r="G904"/>
      <c r="I904"/>
    </row>
    <row r="905" spans="1:9" x14ac:dyDescent="0.3">
      <c r="A905"/>
      <c r="F905"/>
      <c r="G905"/>
      <c r="I905"/>
    </row>
    <row r="906" spans="1:9" x14ac:dyDescent="0.3">
      <c r="A906"/>
      <c r="F906"/>
      <c r="G906"/>
      <c r="I906"/>
    </row>
    <row r="907" spans="1:9" x14ac:dyDescent="0.3">
      <c r="A907"/>
      <c r="F907"/>
      <c r="G907"/>
      <c r="I907"/>
    </row>
    <row r="908" spans="1:9" x14ac:dyDescent="0.3">
      <c r="A908"/>
      <c r="F908"/>
      <c r="G908"/>
      <c r="I908"/>
    </row>
    <row r="909" spans="1:9" x14ac:dyDescent="0.3">
      <c r="A909"/>
      <c r="F909"/>
      <c r="G909"/>
      <c r="I909"/>
    </row>
    <row r="910" spans="1:9" x14ac:dyDescent="0.3">
      <c r="A910"/>
      <c r="F910"/>
      <c r="G910"/>
      <c r="I910"/>
    </row>
    <row r="911" spans="1:9" x14ac:dyDescent="0.3">
      <c r="A911"/>
      <c r="F911"/>
      <c r="G911"/>
      <c r="I911"/>
    </row>
    <row r="912" spans="1:9" x14ac:dyDescent="0.3">
      <c r="A912"/>
      <c r="F912"/>
      <c r="G912"/>
      <c r="I912"/>
    </row>
    <row r="913" spans="1:9" x14ac:dyDescent="0.3">
      <c r="A913"/>
      <c r="F913"/>
      <c r="G913"/>
      <c r="I913"/>
    </row>
    <row r="914" spans="1:9" x14ac:dyDescent="0.3">
      <c r="A914"/>
      <c r="F914"/>
      <c r="G914"/>
      <c r="I914"/>
    </row>
    <row r="915" spans="1:9" x14ac:dyDescent="0.3">
      <c r="A915"/>
      <c r="F915"/>
      <c r="G915"/>
      <c r="I915"/>
    </row>
    <row r="916" spans="1:9" x14ac:dyDescent="0.3">
      <c r="A916"/>
      <c r="F916"/>
      <c r="G916"/>
      <c r="I916"/>
    </row>
    <row r="917" spans="1:9" x14ac:dyDescent="0.3">
      <c r="A917"/>
      <c r="F917"/>
      <c r="G917"/>
      <c r="I917"/>
    </row>
    <row r="918" spans="1:9" x14ac:dyDescent="0.3">
      <c r="A918"/>
      <c r="F918"/>
      <c r="G918"/>
      <c r="I918"/>
    </row>
    <row r="919" spans="1:9" x14ac:dyDescent="0.3">
      <c r="A919"/>
      <c r="F919"/>
      <c r="G919"/>
      <c r="I919"/>
    </row>
    <row r="920" spans="1:9" x14ac:dyDescent="0.3">
      <c r="A920"/>
      <c r="F920"/>
      <c r="G920"/>
      <c r="I920"/>
    </row>
    <row r="921" spans="1:9" x14ac:dyDescent="0.3">
      <c r="A921"/>
      <c r="F921"/>
      <c r="G921"/>
      <c r="I921"/>
    </row>
    <row r="922" spans="1:9" x14ac:dyDescent="0.3">
      <c r="A922"/>
      <c r="F922"/>
      <c r="G922"/>
      <c r="I922"/>
    </row>
    <row r="923" spans="1:9" x14ac:dyDescent="0.3">
      <c r="A923"/>
      <c r="F923"/>
      <c r="G923"/>
      <c r="I923"/>
    </row>
    <row r="924" spans="1:9" x14ac:dyDescent="0.3">
      <c r="A924"/>
      <c r="F924"/>
      <c r="G924"/>
      <c r="I924"/>
    </row>
    <row r="925" spans="1:9" x14ac:dyDescent="0.3">
      <c r="A925"/>
      <c r="F925"/>
      <c r="G925"/>
      <c r="I925"/>
    </row>
    <row r="926" spans="1:9" x14ac:dyDescent="0.3">
      <c r="A926"/>
      <c r="F926"/>
      <c r="G926"/>
      <c r="I926"/>
    </row>
    <row r="927" spans="1:9" x14ac:dyDescent="0.3">
      <c r="A927"/>
      <c r="F927"/>
      <c r="G927"/>
      <c r="I927"/>
    </row>
    <row r="928" spans="1:9" x14ac:dyDescent="0.3">
      <c r="A928"/>
      <c r="F928"/>
      <c r="G928"/>
      <c r="I928"/>
    </row>
    <row r="929" spans="1:9" x14ac:dyDescent="0.3">
      <c r="A929"/>
      <c r="F929"/>
      <c r="G929"/>
      <c r="I929"/>
    </row>
    <row r="930" spans="1:9" x14ac:dyDescent="0.3">
      <c r="A930"/>
      <c r="F930"/>
      <c r="G930"/>
      <c r="I930"/>
    </row>
    <row r="931" spans="1:9" x14ac:dyDescent="0.3">
      <c r="A931"/>
      <c r="F931"/>
      <c r="G931"/>
      <c r="I931"/>
    </row>
    <row r="932" spans="1:9" x14ac:dyDescent="0.3">
      <c r="A932"/>
      <c r="F932"/>
      <c r="G932"/>
      <c r="I932"/>
    </row>
    <row r="933" spans="1:9" x14ac:dyDescent="0.3">
      <c r="A933"/>
      <c r="F933"/>
      <c r="G933"/>
      <c r="I933"/>
    </row>
    <row r="934" spans="1:9" x14ac:dyDescent="0.3">
      <c r="A934"/>
      <c r="F934"/>
      <c r="G934"/>
      <c r="I934"/>
    </row>
    <row r="935" spans="1:9" x14ac:dyDescent="0.3">
      <c r="A935"/>
      <c r="F935"/>
      <c r="G935"/>
      <c r="I935"/>
    </row>
    <row r="936" spans="1:9" x14ac:dyDescent="0.3">
      <c r="A936"/>
      <c r="F936"/>
      <c r="G936"/>
      <c r="I936"/>
    </row>
    <row r="937" spans="1:9" x14ac:dyDescent="0.3">
      <c r="A937"/>
      <c r="F937"/>
      <c r="G937"/>
      <c r="I937"/>
    </row>
    <row r="938" spans="1:9" x14ac:dyDescent="0.3">
      <c r="A938"/>
      <c r="F938"/>
      <c r="G938"/>
      <c r="I938"/>
    </row>
    <row r="939" spans="1:9" x14ac:dyDescent="0.3">
      <c r="A939"/>
      <c r="F939"/>
      <c r="G939"/>
      <c r="I939"/>
    </row>
    <row r="940" spans="1:9" x14ac:dyDescent="0.3">
      <c r="A940"/>
      <c r="F940"/>
      <c r="G940"/>
      <c r="I940"/>
    </row>
    <row r="941" spans="1:9" x14ac:dyDescent="0.3">
      <c r="A941"/>
      <c r="F941"/>
      <c r="G941"/>
      <c r="I941"/>
    </row>
    <row r="942" spans="1:9" x14ac:dyDescent="0.3">
      <c r="A942"/>
      <c r="F942"/>
      <c r="G942"/>
      <c r="I942"/>
    </row>
    <row r="943" spans="1:9" x14ac:dyDescent="0.3">
      <c r="A943"/>
      <c r="F943"/>
      <c r="G943"/>
      <c r="I943"/>
    </row>
    <row r="944" spans="1:9" x14ac:dyDescent="0.3">
      <c r="A944"/>
      <c r="F944"/>
      <c r="G944"/>
      <c r="I944"/>
    </row>
    <row r="945" spans="1:9" x14ac:dyDescent="0.3">
      <c r="A945"/>
      <c r="F945"/>
      <c r="G945"/>
      <c r="I945"/>
    </row>
    <row r="946" spans="1:9" x14ac:dyDescent="0.3">
      <c r="A946"/>
      <c r="F946"/>
      <c r="G946"/>
      <c r="I946"/>
    </row>
    <row r="947" spans="1:9" x14ac:dyDescent="0.3">
      <c r="A947"/>
      <c r="F947"/>
      <c r="G947"/>
      <c r="I947"/>
    </row>
    <row r="948" spans="1:9" x14ac:dyDescent="0.3">
      <c r="A948"/>
      <c r="F948"/>
      <c r="G948"/>
      <c r="I948"/>
    </row>
    <row r="949" spans="1:9" x14ac:dyDescent="0.3">
      <c r="A949"/>
      <c r="F949"/>
      <c r="G949"/>
      <c r="I949"/>
    </row>
    <row r="950" spans="1:9" x14ac:dyDescent="0.3">
      <c r="A950"/>
      <c r="F950"/>
      <c r="G950"/>
      <c r="I950"/>
    </row>
    <row r="951" spans="1:9" x14ac:dyDescent="0.3">
      <c r="A951"/>
      <c r="F951"/>
      <c r="G951"/>
      <c r="I951"/>
    </row>
    <row r="952" spans="1:9" x14ac:dyDescent="0.3">
      <c r="A952"/>
      <c r="F952"/>
      <c r="G952"/>
      <c r="I952"/>
    </row>
    <row r="953" spans="1:9" x14ac:dyDescent="0.3">
      <c r="A953"/>
      <c r="F953"/>
      <c r="G953"/>
      <c r="I953"/>
    </row>
    <row r="954" spans="1:9" x14ac:dyDescent="0.3">
      <c r="A954"/>
      <c r="F954"/>
      <c r="G954"/>
      <c r="I954"/>
    </row>
    <row r="955" spans="1:9" x14ac:dyDescent="0.3">
      <c r="A955"/>
      <c r="F955"/>
      <c r="G955"/>
      <c r="I955"/>
    </row>
    <row r="956" spans="1:9" x14ac:dyDescent="0.3">
      <c r="A956"/>
      <c r="F956"/>
      <c r="G956"/>
      <c r="I956"/>
    </row>
    <row r="957" spans="1:9" x14ac:dyDescent="0.3">
      <c r="A957"/>
      <c r="F957"/>
      <c r="G957"/>
      <c r="I957"/>
    </row>
    <row r="958" spans="1:9" x14ac:dyDescent="0.3">
      <c r="A958"/>
      <c r="F958"/>
      <c r="G958"/>
      <c r="I958"/>
    </row>
    <row r="959" spans="1:9" x14ac:dyDescent="0.3">
      <c r="A959"/>
      <c r="F959"/>
      <c r="G959"/>
      <c r="I959"/>
    </row>
    <row r="960" spans="1:9" x14ac:dyDescent="0.3">
      <c r="A960"/>
      <c r="F960"/>
      <c r="G960"/>
      <c r="I960"/>
    </row>
    <row r="961" spans="1:9" x14ac:dyDescent="0.3">
      <c r="A961"/>
      <c r="F961"/>
      <c r="G961"/>
      <c r="I961"/>
    </row>
    <row r="962" spans="1:9" x14ac:dyDescent="0.3">
      <c r="A962"/>
      <c r="F962"/>
      <c r="G962"/>
      <c r="I962"/>
    </row>
    <row r="963" spans="1:9" x14ac:dyDescent="0.3">
      <c r="A963"/>
      <c r="F963"/>
      <c r="G963"/>
      <c r="I963"/>
    </row>
    <row r="964" spans="1:9" x14ac:dyDescent="0.3">
      <c r="A964"/>
      <c r="F964"/>
      <c r="G964"/>
      <c r="I964"/>
    </row>
    <row r="965" spans="1:9" x14ac:dyDescent="0.3">
      <c r="A965"/>
      <c r="F965"/>
      <c r="G965"/>
      <c r="I965"/>
    </row>
    <row r="966" spans="1:9" x14ac:dyDescent="0.3">
      <c r="A966"/>
      <c r="F966"/>
      <c r="G966"/>
      <c r="I966"/>
    </row>
    <row r="967" spans="1:9" x14ac:dyDescent="0.3">
      <c r="A967"/>
      <c r="F967"/>
      <c r="G967"/>
      <c r="I967"/>
    </row>
    <row r="968" spans="1:9" x14ac:dyDescent="0.3">
      <c r="A968"/>
      <c r="F968"/>
      <c r="G968"/>
      <c r="I968"/>
    </row>
    <row r="969" spans="1:9" x14ac:dyDescent="0.3">
      <c r="A969"/>
      <c r="F969"/>
      <c r="G969"/>
      <c r="I969"/>
    </row>
    <row r="970" spans="1:9" x14ac:dyDescent="0.3">
      <c r="A970"/>
      <c r="F970"/>
      <c r="G970"/>
      <c r="I970"/>
    </row>
    <row r="971" spans="1:9" x14ac:dyDescent="0.3">
      <c r="A971"/>
      <c r="F971"/>
      <c r="G971"/>
      <c r="I971"/>
    </row>
    <row r="972" spans="1:9" x14ac:dyDescent="0.3">
      <c r="A972"/>
      <c r="F972"/>
      <c r="G972"/>
      <c r="I972"/>
    </row>
    <row r="973" spans="1:9" x14ac:dyDescent="0.3">
      <c r="A973"/>
      <c r="F973"/>
      <c r="G973"/>
      <c r="I973"/>
    </row>
    <row r="974" spans="1:9" x14ac:dyDescent="0.3">
      <c r="A974"/>
      <c r="F974"/>
      <c r="G974"/>
      <c r="I974"/>
    </row>
    <row r="975" spans="1:9" x14ac:dyDescent="0.3">
      <c r="A975"/>
      <c r="F975"/>
      <c r="G975"/>
      <c r="I975"/>
    </row>
    <row r="976" spans="1:9" x14ac:dyDescent="0.3">
      <c r="A976"/>
      <c r="F976"/>
      <c r="G976"/>
      <c r="I976"/>
    </row>
    <row r="977" spans="1:9" x14ac:dyDescent="0.3">
      <c r="A977"/>
      <c r="F977"/>
      <c r="G977"/>
      <c r="I977"/>
    </row>
    <row r="978" spans="1:9" x14ac:dyDescent="0.3">
      <c r="A978"/>
      <c r="F978"/>
      <c r="G978"/>
      <c r="I978"/>
    </row>
    <row r="979" spans="1:9" x14ac:dyDescent="0.3">
      <c r="A979"/>
      <c r="F979"/>
      <c r="G979"/>
      <c r="I979"/>
    </row>
    <row r="980" spans="1:9" x14ac:dyDescent="0.3">
      <c r="A980"/>
      <c r="F980"/>
      <c r="G980"/>
      <c r="I980"/>
    </row>
    <row r="981" spans="1:9" x14ac:dyDescent="0.3">
      <c r="A981"/>
      <c r="F981"/>
      <c r="G981"/>
      <c r="I981"/>
    </row>
    <row r="982" spans="1:9" x14ac:dyDescent="0.3">
      <c r="A982"/>
      <c r="F982"/>
      <c r="G982"/>
      <c r="I982"/>
    </row>
    <row r="983" spans="1:9" x14ac:dyDescent="0.3">
      <c r="A983"/>
      <c r="F983"/>
      <c r="G983"/>
      <c r="I983"/>
    </row>
    <row r="984" spans="1:9" x14ac:dyDescent="0.3">
      <c r="A984"/>
      <c r="F984"/>
      <c r="G984"/>
      <c r="I984"/>
    </row>
    <row r="985" spans="1:9" x14ac:dyDescent="0.3">
      <c r="A985"/>
      <c r="F985"/>
      <c r="G985"/>
      <c r="I985"/>
    </row>
    <row r="986" spans="1:9" x14ac:dyDescent="0.3">
      <c r="A986"/>
      <c r="F986"/>
      <c r="G986"/>
      <c r="I986"/>
    </row>
    <row r="987" spans="1:9" x14ac:dyDescent="0.3">
      <c r="A987"/>
      <c r="F987"/>
      <c r="G987"/>
      <c r="I987"/>
    </row>
    <row r="988" spans="1:9" x14ac:dyDescent="0.3">
      <c r="A988"/>
      <c r="F988"/>
      <c r="G988"/>
      <c r="I988"/>
    </row>
    <row r="989" spans="1:9" x14ac:dyDescent="0.3">
      <c r="A989"/>
      <c r="F989"/>
      <c r="G989"/>
      <c r="I989"/>
    </row>
    <row r="990" spans="1:9" x14ac:dyDescent="0.3">
      <c r="A990"/>
      <c r="F990"/>
      <c r="G990"/>
      <c r="I990"/>
    </row>
    <row r="991" spans="1:9" x14ac:dyDescent="0.3">
      <c r="A991"/>
      <c r="F991"/>
      <c r="G991"/>
      <c r="I991"/>
    </row>
    <row r="992" spans="1:9" x14ac:dyDescent="0.3">
      <c r="A992"/>
      <c r="F992"/>
      <c r="G992"/>
      <c r="I992"/>
    </row>
    <row r="993" spans="1:9" x14ac:dyDescent="0.3">
      <c r="A993"/>
      <c r="F993"/>
      <c r="G993"/>
      <c r="I993"/>
    </row>
    <row r="994" spans="1:9" x14ac:dyDescent="0.3">
      <c r="A994"/>
      <c r="F994"/>
      <c r="G994"/>
      <c r="I994"/>
    </row>
    <row r="995" spans="1:9" x14ac:dyDescent="0.3">
      <c r="A995"/>
      <c r="F995"/>
      <c r="G995"/>
      <c r="I995"/>
    </row>
    <row r="996" spans="1:9" x14ac:dyDescent="0.3">
      <c r="A996"/>
      <c r="F996"/>
      <c r="G996"/>
      <c r="I996"/>
    </row>
    <row r="997" spans="1:9" x14ac:dyDescent="0.3">
      <c r="A997"/>
      <c r="F997"/>
      <c r="G997"/>
      <c r="I997"/>
    </row>
    <row r="998" spans="1:9" x14ac:dyDescent="0.3">
      <c r="A998"/>
      <c r="F998"/>
      <c r="G998"/>
      <c r="I998"/>
    </row>
    <row r="999" spans="1:9" x14ac:dyDescent="0.3">
      <c r="A999"/>
      <c r="F999"/>
      <c r="G999"/>
      <c r="I999"/>
    </row>
    <row r="1000" spans="1:9" x14ac:dyDescent="0.3">
      <c r="A1000"/>
      <c r="F1000"/>
      <c r="G1000"/>
      <c r="I1000"/>
    </row>
    <row r="1001" spans="1:9" x14ac:dyDescent="0.3">
      <c r="A1001"/>
      <c r="F1001"/>
      <c r="G1001"/>
      <c r="I1001"/>
    </row>
    <row r="1002" spans="1:9" x14ac:dyDescent="0.3">
      <c r="A1002"/>
      <c r="F1002"/>
      <c r="G1002"/>
      <c r="I1002"/>
    </row>
    <row r="1003" spans="1:9" x14ac:dyDescent="0.3">
      <c r="A1003"/>
      <c r="F1003"/>
      <c r="G1003"/>
      <c r="I1003"/>
    </row>
    <row r="1004" spans="1:9" x14ac:dyDescent="0.3">
      <c r="A1004"/>
      <c r="F1004"/>
      <c r="G1004"/>
      <c r="I1004"/>
    </row>
    <row r="1005" spans="1:9" x14ac:dyDescent="0.3">
      <c r="A1005"/>
      <c r="F1005"/>
      <c r="G1005"/>
      <c r="I1005"/>
    </row>
    <row r="1006" spans="1:9" x14ac:dyDescent="0.3">
      <c r="A1006"/>
      <c r="F1006"/>
      <c r="G1006"/>
      <c r="I1006"/>
    </row>
    <row r="1007" spans="1:9" x14ac:dyDescent="0.3">
      <c r="A1007"/>
      <c r="F1007"/>
      <c r="G1007"/>
      <c r="I1007"/>
    </row>
    <row r="1008" spans="1:9" x14ac:dyDescent="0.3">
      <c r="A1008"/>
      <c r="F1008"/>
      <c r="G1008"/>
      <c r="I1008"/>
    </row>
    <row r="1009" spans="1:9" x14ac:dyDescent="0.3">
      <c r="A1009"/>
      <c r="F1009"/>
      <c r="G1009"/>
      <c r="I1009"/>
    </row>
    <row r="1010" spans="1:9" x14ac:dyDescent="0.3">
      <c r="A1010"/>
      <c r="F1010"/>
      <c r="G1010"/>
      <c r="I1010"/>
    </row>
    <row r="1011" spans="1:9" x14ac:dyDescent="0.3">
      <c r="A1011"/>
      <c r="F1011"/>
      <c r="G1011"/>
      <c r="I1011"/>
    </row>
    <row r="1012" spans="1:9" x14ac:dyDescent="0.3">
      <c r="A1012"/>
      <c r="F1012"/>
      <c r="G1012"/>
      <c r="I1012"/>
    </row>
    <row r="1013" spans="1:9" x14ac:dyDescent="0.3">
      <c r="A1013"/>
      <c r="F1013"/>
      <c r="G1013"/>
      <c r="I1013"/>
    </row>
    <row r="1014" spans="1:9" x14ac:dyDescent="0.3">
      <c r="A1014"/>
      <c r="F1014"/>
      <c r="G1014"/>
      <c r="I1014"/>
    </row>
    <row r="1015" spans="1:9" x14ac:dyDescent="0.3">
      <c r="A1015"/>
      <c r="F1015"/>
      <c r="G1015"/>
      <c r="I1015"/>
    </row>
    <row r="1016" spans="1:9" x14ac:dyDescent="0.3">
      <c r="A1016"/>
      <c r="F1016"/>
      <c r="G1016"/>
      <c r="I1016"/>
    </row>
    <row r="1017" spans="1:9" x14ac:dyDescent="0.3">
      <c r="A1017"/>
      <c r="F1017"/>
      <c r="G1017"/>
      <c r="I1017"/>
    </row>
    <row r="1018" spans="1:9" x14ac:dyDescent="0.3">
      <c r="A1018"/>
      <c r="F1018"/>
      <c r="G1018"/>
      <c r="I1018"/>
    </row>
    <row r="1019" spans="1:9" x14ac:dyDescent="0.3">
      <c r="A1019"/>
      <c r="F1019"/>
      <c r="G1019"/>
      <c r="I1019"/>
    </row>
    <row r="1020" spans="1:9" x14ac:dyDescent="0.3">
      <c r="A1020"/>
      <c r="F1020"/>
      <c r="G1020"/>
      <c r="I1020"/>
    </row>
    <row r="1021" spans="1:9" x14ac:dyDescent="0.3">
      <c r="A1021"/>
      <c r="F1021"/>
      <c r="G1021"/>
      <c r="I1021"/>
    </row>
    <row r="1022" spans="1:9" x14ac:dyDescent="0.3">
      <c r="A1022"/>
      <c r="F1022"/>
      <c r="G1022"/>
      <c r="I1022"/>
    </row>
    <row r="1023" spans="1:9" x14ac:dyDescent="0.3">
      <c r="A1023"/>
      <c r="F1023"/>
      <c r="G1023"/>
      <c r="I1023"/>
    </row>
    <row r="1024" spans="1:9" x14ac:dyDescent="0.3">
      <c r="A1024"/>
      <c r="F1024"/>
      <c r="G1024"/>
      <c r="I1024"/>
    </row>
    <row r="1025" spans="1:9" x14ac:dyDescent="0.3">
      <c r="A1025"/>
      <c r="F1025"/>
      <c r="G1025"/>
      <c r="I1025"/>
    </row>
    <row r="1026" spans="1:9" x14ac:dyDescent="0.3">
      <c r="A1026"/>
      <c r="F1026"/>
      <c r="G1026"/>
      <c r="I1026"/>
    </row>
    <row r="1027" spans="1:9" x14ac:dyDescent="0.3">
      <c r="A1027"/>
      <c r="F1027"/>
      <c r="G1027"/>
      <c r="I1027"/>
    </row>
    <row r="1028" spans="1:9" x14ac:dyDescent="0.3">
      <c r="A1028"/>
      <c r="F1028"/>
      <c r="G1028"/>
      <c r="I1028"/>
    </row>
    <row r="1029" spans="1:9" x14ac:dyDescent="0.3">
      <c r="A1029"/>
      <c r="F1029"/>
      <c r="G1029"/>
      <c r="I1029"/>
    </row>
    <row r="1030" spans="1:9" x14ac:dyDescent="0.3">
      <c r="A1030"/>
      <c r="F1030"/>
      <c r="G1030"/>
      <c r="I1030"/>
    </row>
    <row r="1031" spans="1:9" x14ac:dyDescent="0.3">
      <c r="A1031"/>
      <c r="F1031"/>
      <c r="G1031"/>
      <c r="I1031"/>
    </row>
    <row r="1032" spans="1:9" x14ac:dyDescent="0.3">
      <c r="A1032"/>
      <c r="F1032"/>
      <c r="G1032"/>
      <c r="I1032"/>
    </row>
    <row r="1033" spans="1:9" x14ac:dyDescent="0.3">
      <c r="A1033"/>
      <c r="F1033"/>
      <c r="G1033"/>
      <c r="I1033"/>
    </row>
    <row r="1034" spans="1:9" x14ac:dyDescent="0.3">
      <c r="A1034"/>
      <c r="F1034"/>
      <c r="G1034"/>
      <c r="I1034"/>
    </row>
    <row r="1035" spans="1:9" x14ac:dyDescent="0.3">
      <c r="A1035"/>
      <c r="F1035"/>
      <c r="G1035"/>
      <c r="I1035"/>
    </row>
    <row r="1036" spans="1:9" x14ac:dyDescent="0.3">
      <c r="A1036"/>
      <c r="F1036"/>
      <c r="G1036"/>
      <c r="I1036"/>
    </row>
    <row r="1037" spans="1:9" x14ac:dyDescent="0.3">
      <c r="A1037"/>
      <c r="F1037"/>
      <c r="G1037"/>
      <c r="I1037"/>
    </row>
    <row r="1038" spans="1:9" x14ac:dyDescent="0.3">
      <c r="A1038"/>
      <c r="F1038"/>
      <c r="G1038"/>
      <c r="I1038"/>
    </row>
    <row r="1039" spans="1:9" x14ac:dyDescent="0.3">
      <c r="A1039"/>
      <c r="F1039"/>
      <c r="G1039"/>
      <c r="I1039"/>
    </row>
    <row r="1040" spans="1:9" x14ac:dyDescent="0.3">
      <c r="A1040"/>
      <c r="F1040"/>
      <c r="G1040"/>
      <c r="I1040"/>
    </row>
    <row r="1041" spans="1:9" x14ac:dyDescent="0.3">
      <c r="A1041"/>
      <c r="F1041"/>
      <c r="G1041"/>
      <c r="I1041"/>
    </row>
    <row r="1042" spans="1:9" x14ac:dyDescent="0.3">
      <c r="A1042"/>
      <c r="F1042"/>
      <c r="G1042"/>
      <c r="I1042"/>
    </row>
    <row r="1043" spans="1:9" x14ac:dyDescent="0.3">
      <c r="A1043"/>
      <c r="F1043"/>
      <c r="G1043"/>
      <c r="I1043"/>
    </row>
    <row r="1044" spans="1:9" x14ac:dyDescent="0.3">
      <c r="A1044"/>
      <c r="F1044"/>
      <c r="G1044"/>
      <c r="I1044"/>
    </row>
    <row r="1045" spans="1:9" x14ac:dyDescent="0.3">
      <c r="A1045"/>
      <c r="F1045"/>
      <c r="G1045"/>
      <c r="I1045"/>
    </row>
    <row r="1046" spans="1:9" x14ac:dyDescent="0.3">
      <c r="A1046"/>
      <c r="F1046"/>
      <c r="G1046"/>
      <c r="I1046"/>
    </row>
    <row r="1047" spans="1:9" x14ac:dyDescent="0.3">
      <c r="A1047"/>
      <c r="F1047"/>
      <c r="G1047"/>
      <c r="I1047"/>
    </row>
    <row r="1048" spans="1:9" x14ac:dyDescent="0.3">
      <c r="A1048"/>
      <c r="F1048"/>
      <c r="G1048"/>
      <c r="I1048"/>
    </row>
    <row r="1049" spans="1:9" x14ac:dyDescent="0.3">
      <c r="A1049"/>
      <c r="F1049"/>
      <c r="G1049"/>
      <c r="I1049"/>
    </row>
    <row r="1050" spans="1:9" x14ac:dyDescent="0.3">
      <c r="A1050"/>
      <c r="F1050"/>
      <c r="G1050"/>
      <c r="I1050"/>
    </row>
    <row r="1051" spans="1:9" x14ac:dyDescent="0.3">
      <c r="A1051"/>
      <c r="F1051"/>
      <c r="G1051"/>
      <c r="I1051"/>
    </row>
    <row r="1052" spans="1:9" x14ac:dyDescent="0.3">
      <c r="A1052"/>
      <c r="F1052"/>
      <c r="G1052"/>
      <c r="I1052"/>
    </row>
    <row r="1053" spans="1:9" x14ac:dyDescent="0.3">
      <c r="A1053"/>
      <c r="F1053"/>
      <c r="G1053"/>
      <c r="I1053"/>
    </row>
    <row r="1054" spans="1:9" x14ac:dyDescent="0.3">
      <c r="A1054"/>
      <c r="F1054"/>
      <c r="G1054"/>
      <c r="I1054"/>
    </row>
    <row r="1055" spans="1:9" x14ac:dyDescent="0.3">
      <c r="A1055"/>
      <c r="F1055"/>
      <c r="G1055"/>
      <c r="I1055"/>
    </row>
    <row r="1056" spans="1:9" x14ac:dyDescent="0.3">
      <c r="A1056"/>
      <c r="F1056"/>
      <c r="G1056"/>
      <c r="I1056"/>
    </row>
    <row r="1057" spans="1:9" x14ac:dyDescent="0.3">
      <c r="A1057"/>
      <c r="F1057"/>
      <c r="G1057"/>
      <c r="I1057"/>
    </row>
    <row r="1058" spans="1:9" x14ac:dyDescent="0.3">
      <c r="A1058"/>
      <c r="F1058"/>
      <c r="G1058"/>
      <c r="I1058"/>
    </row>
    <row r="1059" spans="1:9" x14ac:dyDescent="0.3">
      <c r="A1059"/>
      <c r="F1059"/>
      <c r="G1059"/>
      <c r="I1059"/>
    </row>
    <row r="1060" spans="1:9" x14ac:dyDescent="0.3">
      <c r="A1060"/>
      <c r="F1060"/>
      <c r="G1060"/>
      <c r="I1060"/>
    </row>
    <row r="1061" spans="1:9" x14ac:dyDescent="0.3">
      <c r="A1061"/>
      <c r="F1061"/>
      <c r="G1061"/>
      <c r="I1061"/>
    </row>
    <row r="1062" spans="1:9" x14ac:dyDescent="0.3">
      <c r="A1062"/>
      <c r="F1062"/>
      <c r="G1062"/>
      <c r="I1062"/>
    </row>
    <row r="1063" spans="1:9" x14ac:dyDescent="0.3">
      <c r="A1063"/>
      <c r="F1063"/>
      <c r="G1063"/>
      <c r="I1063"/>
    </row>
    <row r="1064" spans="1:9" x14ac:dyDescent="0.3">
      <c r="A1064"/>
      <c r="F1064"/>
      <c r="G1064"/>
      <c r="I1064"/>
    </row>
    <row r="1065" spans="1:9" x14ac:dyDescent="0.3">
      <c r="A1065"/>
      <c r="F1065"/>
      <c r="G1065"/>
      <c r="I1065"/>
    </row>
    <row r="1066" spans="1:9" x14ac:dyDescent="0.3">
      <c r="A1066"/>
      <c r="F1066"/>
      <c r="G1066"/>
      <c r="I1066"/>
    </row>
    <row r="1067" spans="1:9" x14ac:dyDescent="0.3">
      <c r="A1067"/>
      <c r="F1067"/>
      <c r="G1067"/>
      <c r="I1067"/>
    </row>
    <row r="1068" spans="1:9" x14ac:dyDescent="0.3">
      <c r="A1068"/>
      <c r="F1068"/>
      <c r="G1068"/>
      <c r="I1068"/>
    </row>
    <row r="1069" spans="1:9" x14ac:dyDescent="0.3">
      <c r="A1069"/>
      <c r="F1069"/>
      <c r="G1069"/>
      <c r="I1069"/>
    </row>
    <row r="1070" spans="1:9" x14ac:dyDescent="0.3">
      <c r="A1070"/>
      <c r="F1070"/>
      <c r="G1070"/>
      <c r="I1070"/>
    </row>
    <row r="1071" spans="1:9" x14ac:dyDescent="0.3">
      <c r="A1071"/>
      <c r="F1071"/>
      <c r="G1071"/>
      <c r="I1071"/>
    </row>
    <row r="1072" spans="1:9" x14ac:dyDescent="0.3">
      <c r="A1072"/>
      <c r="F1072"/>
      <c r="G1072"/>
      <c r="I1072"/>
    </row>
    <row r="1073" spans="1:9" x14ac:dyDescent="0.3">
      <c r="A1073"/>
      <c r="F1073"/>
      <c r="G1073"/>
      <c r="I1073"/>
    </row>
    <row r="1074" spans="1:9" x14ac:dyDescent="0.3">
      <c r="A1074"/>
      <c r="F1074"/>
      <c r="G1074"/>
      <c r="I1074"/>
    </row>
    <row r="1075" spans="1:9" x14ac:dyDescent="0.3">
      <c r="A1075"/>
      <c r="F1075"/>
      <c r="G1075"/>
      <c r="I1075"/>
    </row>
    <row r="1076" spans="1:9" x14ac:dyDescent="0.3">
      <c r="A1076"/>
      <c r="F1076"/>
      <c r="G1076"/>
      <c r="I1076"/>
    </row>
    <row r="1077" spans="1:9" x14ac:dyDescent="0.3">
      <c r="A1077"/>
      <c r="F1077"/>
      <c r="G1077"/>
      <c r="I1077"/>
    </row>
    <row r="1078" spans="1:9" x14ac:dyDescent="0.3">
      <c r="A1078"/>
      <c r="F1078"/>
      <c r="G1078"/>
      <c r="I1078"/>
    </row>
    <row r="1079" spans="1:9" x14ac:dyDescent="0.3">
      <c r="A1079"/>
      <c r="F1079"/>
      <c r="G1079"/>
      <c r="I1079"/>
    </row>
    <row r="1080" spans="1:9" x14ac:dyDescent="0.3">
      <c r="A1080"/>
      <c r="F1080"/>
      <c r="G1080"/>
      <c r="I1080"/>
    </row>
    <row r="1081" spans="1:9" x14ac:dyDescent="0.3">
      <c r="A1081"/>
      <c r="F1081"/>
      <c r="G1081"/>
      <c r="I1081"/>
    </row>
    <row r="1082" spans="1:9" x14ac:dyDescent="0.3">
      <c r="A1082"/>
      <c r="F1082"/>
      <c r="G1082"/>
      <c r="I1082"/>
    </row>
    <row r="1083" spans="1:9" x14ac:dyDescent="0.3">
      <c r="A1083"/>
      <c r="F1083"/>
      <c r="G1083"/>
      <c r="I1083"/>
    </row>
    <row r="1084" spans="1:9" x14ac:dyDescent="0.3">
      <c r="A1084"/>
      <c r="F1084"/>
      <c r="G1084"/>
      <c r="I1084"/>
    </row>
    <row r="1085" spans="1:9" x14ac:dyDescent="0.3">
      <c r="A1085"/>
      <c r="F1085"/>
      <c r="G1085"/>
      <c r="I1085"/>
    </row>
    <row r="1086" spans="1:9" x14ac:dyDescent="0.3">
      <c r="A1086"/>
      <c r="F1086"/>
      <c r="G1086"/>
      <c r="I1086"/>
    </row>
    <row r="1087" spans="1:9" x14ac:dyDescent="0.3">
      <c r="A1087"/>
      <c r="F1087"/>
      <c r="G1087"/>
      <c r="I1087"/>
    </row>
    <row r="1088" spans="1:9" x14ac:dyDescent="0.3">
      <c r="A1088"/>
      <c r="F1088"/>
      <c r="G1088"/>
      <c r="I1088"/>
    </row>
    <row r="1089" spans="1:9" x14ac:dyDescent="0.3">
      <c r="A1089"/>
      <c r="F1089"/>
      <c r="G1089"/>
      <c r="I1089"/>
    </row>
    <row r="1090" spans="1:9" x14ac:dyDescent="0.3">
      <c r="A1090"/>
      <c r="F1090"/>
      <c r="G1090"/>
      <c r="I1090"/>
    </row>
    <row r="1091" spans="1:9" x14ac:dyDescent="0.3">
      <c r="A1091"/>
      <c r="F1091"/>
      <c r="G1091"/>
      <c r="I1091"/>
    </row>
    <row r="1092" spans="1:9" x14ac:dyDescent="0.3">
      <c r="A1092"/>
      <c r="F1092"/>
      <c r="G1092"/>
      <c r="I1092"/>
    </row>
    <row r="1093" spans="1:9" x14ac:dyDescent="0.3">
      <c r="A1093"/>
      <c r="F1093"/>
      <c r="G1093"/>
      <c r="I1093"/>
    </row>
    <row r="1094" spans="1:9" x14ac:dyDescent="0.3">
      <c r="A1094"/>
      <c r="F1094"/>
      <c r="G1094"/>
      <c r="I1094"/>
    </row>
    <row r="1095" spans="1:9" x14ac:dyDescent="0.3">
      <c r="A1095"/>
      <c r="F1095"/>
      <c r="G1095"/>
      <c r="I1095"/>
    </row>
    <row r="1096" spans="1:9" x14ac:dyDescent="0.3">
      <c r="A1096"/>
      <c r="F1096"/>
      <c r="G1096"/>
      <c r="I1096"/>
    </row>
    <row r="1097" spans="1:9" x14ac:dyDescent="0.3">
      <c r="A1097"/>
      <c r="F1097"/>
      <c r="G1097"/>
      <c r="I1097"/>
    </row>
    <row r="1098" spans="1:9" x14ac:dyDescent="0.3">
      <c r="A1098"/>
      <c r="F1098"/>
      <c r="G1098"/>
      <c r="I1098"/>
    </row>
    <row r="1099" spans="1:9" x14ac:dyDescent="0.3">
      <c r="A1099"/>
      <c r="F1099"/>
      <c r="G1099"/>
      <c r="I1099"/>
    </row>
    <row r="1100" spans="1:9" x14ac:dyDescent="0.3">
      <c r="A1100"/>
      <c r="F1100"/>
      <c r="G1100"/>
      <c r="I1100"/>
    </row>
    <row r="1101" spans="1:9" x14ac:dyDescent="0.3">
      <c r="A1101"/>
      <c r="F1101"/>
      <c r="G1101"/>
      <c r="I1101"/>
    </row>
    <row r="1102" spans="1:9" x14ac:dyDescent="0.3">
      <c r="A1102"/>
      <c r="F1102"/>
      <c r="G1102"/>
      <c r="I1102"/>
    </row>
    <row r="1103" spans="1:9" x14ac:dyDescent="0.3">
      <c r="A1103"/>
      <c r="F1103"/>
      <c r="G1103"/>
      <c r="I1103"/>
    </row>
    <row r="1104" spans="1:9" x14ac:dyDescent="0.3">
      <c r="A1104"/>
      <c r="F1104"/>
      <c r="G1104"/>
      <c r="I1104"/>
    </row>
    <row r="1105" spans="1:9" x14ac:dyDescent="0.3">
      <c r="A1105"/>
      <c r="F1105"/>
      <c r="G1105"/>
      <c r="I1105"/>
    </row>
    <row r="1106" spans="1:9" x14ac:dyDescent="0.3">
      <c r="A1106"/>
      <c r="F1106"/>
      <c r="G1106"/>
      <c r="I1106"/>
    </row>
    <row r="1107" spans="1:9" x14ac:dyDescent="0.3">
      <c r="A1107"/>
      <c r="F1107"/>
      <c r="G1107"/>
      <c r="I1107"/>
    </row>
    <row r="1108" spans="1:9" x14ac:dyDescent="0.3">
      <c r="A1108"/>
      <c r="F1108"/>
      <c r="G1108"/>
      <c r="I1108"/>
    </row>
    <row r="1109" spans="1:9" x14ac:dyDescent="0.3">
      <c r="A1109"/>
      <c r="F1109"/>
      <c r="G1109"/>
      <c r="I1109"/>
    </row>
    <row r="1110" spans="1:9" x14ac:dyDescent="0.3">
      <c r="A1110"/>
      <c r="F1110"/>
      <c r="G1110"/>
      <c r="I1110"/>
    </row>
    <row r="1111" spans="1:9" x14ac:dyDescent="0.3">
      <c r="A1111"/>
      <c r="F1111"/>
      <c r="G1111"/>
      <c r="I1111"/>
    </row>
    <row r="1112" spans="1:9" x14ac:dyDescent="0.3">
      <c r="A1112"/>
      <c r="F1112"/>
      <c r="G1112"/>
      <c r="I1112"/>
    </row>
    <row r="1113" spans="1:9" x14ac:dyDescent="0.3">
      <c r="A1113"/>
      <c r="F1113"/>
      <c r="G1113"/>
      <c r="I1113"/>
    </row>
    <row r="1114" spans="1:9" x14ac:dyDescent="0.3">
      <c r="A1114"/>
      <c r="F1114"/>
      <c r="G1114"/>
      <c r="I1114"/>
    </row>
    <row r="1115" spans="1:9" x14ac:dyDescent="0.3">
      <c r="A1115"/>
      <c r="F1115"/>
      <c r="G1115"/>
      <c r="I1115"/>
    </row>
    <row r="1116" spans="1:9" x14ac:dyDescent="0.3">
      <c r="A1116"/>
      <c r="F1116"/>
      <c r="G1116"/>
      <c r="I1116"/>
    </row>
    <row r="1117" spans="1:9" x14ac:dyDescent="0.3">
      <c r="A1117"/>
      <c r="F1117"/>
      <c r="G1117"/>
      <c r="I1117"/>
    </row>
    <row r="1118" spans="1:9" x14ac:dyDescent="0.3">
      <c r="A1118"/>
      <c r="F1118"/>
      <c r="G1118"/>
      <c r="I1118"/>
    </row>
    <row r="1119" spans="1:9" x14ac:dyDescent="0.3">
      <c r="A1119"/>
      <c r="F1119"/>
      <c r="G1119"/>
      <c r="I1119"/>
    </row>
    <row r="1120" spans="1:9" x14ac:dyDescent="0.3">
      <c r="A1120"/>
      <c r="F1120"/>
      <c r="G1120"/>
      <c r="I1120"/>
    </row>
    <row r="1121" spans="1:9" x14ac:dyDescent="0.3">
      <c r="A1121"/>
      <c r="F1121"/>
      <c r="G1121"/>
      <c r="I1121"/>
    </row>
    <row r="1122" spans="1:9" x14ac:dyDescent="0.3">
      <c r="A1122"/>
      <c r="F1122"/>
      <c r="G1122"/>
      <c r="I1122"/>
    </row>
    <row r="1123" spans="1:9" x14ac:dyDescent="0.3">
      <c r="A1123"/>
      <c r="F1123"/>
      <c r="G1123"/>
      <c r="I1123"/>
    </row>
    <row r="1124" spans="1:9" x14ac:dyDescent="0.3">
      <c r="A1124"/>
      <c r="F1124"/>
      <c r="G1124"/>
      <c r="I1124"/>
    </row>
    <row r="1125" spans="1:9" x14ac:dyDescent="0.3">
      <c r="A1125"/>
      <c r="F1125"/>
      <c r="G1125"/>
      <c r="I1125"/>
    </row>
    <row r="1126" spans="1:9" x14ac:dyDescent="0.3">
      <c r="A1126"/>
      <c r="F1126"/>
      <c r="G1126"/>
      <c r="I1126"/>
    </row>
    <row r="1127" spans="1:9" x14ac:dyDescent="0.3">
      <c r="A1127"/>
      <c r="F1127"/>
      <c r="G1127"/>
      <c r="I1127"/>
    </row>
    <row r="1128" spans="1:9" x14ac:dyDescent="0.3">
      <c r="A1128"/>
      <c r="F1128"/>
      <c r="G1128"/>
      <c r="I1128"/>
    </row>
    <row r="1129" spans="1:9" x14ac:dyDescent="0.3">
      <c r="A1129"/>
      <c r="F1129"/>
      <c r="G1129"/>
      <c r="I1129"/>
    </row>
    <row r="1130" spans="1:9" x14ac:dyDescent="0.3">
      <c r="A1130"/>
      <c r="F1130"/>
      <c r="G1130"/>
      <c r="I1130"/>
    </row>
    <row r="1131" spans="1:9" x14ac:dyDescent="0.3">
      <c r="A1131"/>
      <c r="F1131"/>
      <c r="G1131"/>
      <c r="I1131"/>
    </row>
    <row r="1132" spans="1:9" x14ac:dyDescent="0.3">
      <c r="A1132"/>
      <c r="F1132"/>
      <c r="G1132"/>
      <c r="I1132"/>
    </row>
    <row r="1133" spans="1:9" x14ac:dyDescent="0.3">
      <c r="A1133"/>
      <c r="F1133"/>
      <c r="G1133"/>
      <c r="I1133"/>
    </row>
    <row r="1134" spans="1:9" x14ac:dyDescent="0.3">
      <c r="A1134"/>
      <c r="F1134"/>
      <c r="G1134"/>
      <c r="I1134"/>
    </row>
    <row r="1135" spans="1:9" x14ac:dyDescent="0.3">
      <c r="A1135"/>
      <c r="F1135"/>
      <c r="G1135"/>
      <c r="I1135"/>
    </row>
    <row r="1136" spans="1:9" x14ac:dyDescent="0.3">
      <c r="A1136"/>
      <c r="F1136"/>
      <c r="G1136"/>
      <c r="I1136"/>
    </row>
    <row r="1137" spans="1:9" x14ac:dyDescent="0.3">
      <c r="A1137"/>
      <c r="F1137"/>
      <c r="G1137"/>
      <c r="I1137"/>
    </row>
    <row r="1138" spans="1:9" x14ac:dyDescent="0.3">
      <c r="A1138"/>
      <c r="F1138"/>
      <c r="G1138"/>
      <c r="I1138"/>
    </row>
    <row r="1139" spans="1:9" x14ac:dyDescent="0.3">
      <c r="A1139"/>
      <c r="F1139"/>
      <c r="G1139"/>
      <c r="I1139"/>
    </row>
    <row r="1140" spans="1:9" x14ac:dyDescent="0.3">
      <c r="A1140"/>
      <c r="F1140"/>
      <c r="G1140"/>
      <c r="I1140"/>
    </row>
    <row r="1141" spans="1:9" x14ac:dyDescent="0.3">
      <c r="A1141"/>
      <c r="F1141"/>
      <c r="G1141"/>
      <c r="I1141"/>
    </row>
    <row r="1142" spans="1:9" x14ac:dyDescent="0.3">
      <c r="A1142"/>
      <c r="F1142"/>
      <c r="G1142"/>
      <c r="I1142"/>
    </row>
    <row r="1143" spans="1:9" x14ac:dyDescent="0.3">
      <c r="A1143"/>
      <c r="F1143"/>
      <c r="G1143"/>
      <c r="I1143"/>
    </row>
    <row r="1144" spans="1:9" x14ac:dyDescent="0.3">
      <c r="A1144"/>
      <c r="F1144"/>
      <c r="G1144"/>
      <c r="I1144"/>
    </row>
    <row r="1145" spans="1:9" x14ac:dyDescent="0.3">
      <c r="A1145"/>
      <c r="F1145"/>
      <c r="G1145"/>
      <c r="I1145"/>
    </row>
    <row r="1146" spans="1:9" x14ac:dyDescent="0.3">
      <c r="A1146"/>
      <c r="F1146"/>
      <c r="G1146"/>
      <c r="I1146"/>
    </row>
    <row r="1147" spans="1:9" x14ac:dyDescent="0.3">
      <c r="A1147"/>
      <c r="F1147"/>
      <c r="G1147"/>
      <c r="I1147"/>
    </row>
    <row r="1148" spans="1:9" x14ac:dyDescent="0.3">
      <c r="A1148"/>
      <c r="F1148"/>
      <c r="G1148"/>
      <c r="I1148"/>
    </row>
    <row r="1149" spans="1:9" x14ac:dyDescent="0.3">
      <c r="A1149"/>
      <c r="F1149"/>
      <c r="G1149"/>
      <c r="I1149"/>
    </row>
    <row r="1150" spans="1:9" x14ac:dyDescent="0.3">
      <c r="A1150"/>
      <c r="F1150"/>
      <c r="G1150"/>
      <c r="I1150"/>
    </row>
    <row r="1151" spans="1:9" x14ac:dyDescent="0.3">
      <c r="A1151"/>
      <c r="F1151"/>
      <c r="G1151"/>
      <c r="I1151"/>
    </row>
    <row r="1152" spans="1:9" x14ac:dyDescent="0.3">
      <c r="A1152"/>
      <c r="F1152"/>
      <c r="G1152"/>
      <c r="I1152"/>
    </row>
    <row r="1153" spans="1:9" x14ac:dyDescent="0.3">
      <c r="A1153"/>
      <c r="F1153"/>
      <c r="G1153"/>
      <c r="I1153"/>
    </row>
    <row r="1154" spans="1:9" x14ac:dyDescent="0.3">
      <c r="A1154"/>
      <c r="F1154"/>
      <c r="G1154"/>
      <c r="I1154"/>
    </row>
    <row r="1155" spans="1:9" x14ac:dyDescent="0.3">
      <c r="A1155"/>
      <c r="F1155"/>
      <c r="G1155"/>
      <c r="I1155"/>
    </row>
    <row r="1156" spans="1:9" x14ac:dyDescent="0.3">
      <c r="A1156"/>
      <c r="F1156"/>
      <c r="G1156"/>
      <c r="I1156"/>
    </row>
    <row r="1157" spans="1:9" x14ac:dyDescent="0.3">
      <c r="A1157"/>
      <c r="F1157"/>
      <c r="G1157"/>
      <c r="I1157"/>
    </row>
    <row r="1158" spans="1:9" x14ac:dyDescent="0.3">
      <c r="A1158"/>
      <c r="F1158"/>
      <c r="G1158"/>
      <c r="I1158"/>
    </row>
    <row r="1159" spans="1:9" x14ac:dyDescent="0.3">
      <c r="A1159"/>
      <c r="F1159"/>
      <c r="G1159"/>
      <c r="I1159"/>
    </row>
    <row r="1160" spans="1:9" x14ac:dyDescent="0.3">
      <c r="A1160"/>
      <c r="F1160"/>
      <c r="G1160"/>
      <c r="I1160"/>
    </row>
    <row r="1161" spans="1:9" x14ac:dyDescent="0.3">
      <c r="A1161"/>
      <c r="F1161"/>
      <c r="G1161"/>
      <c r="I1161"/>
    </row>
    <row r="1162" spans="1:9" x14ac:dyDescent="0.3">
      <c r="A1162"/>
      <c r="F1162"/>
      <c r="G1162"/>
      <c r="I1162"/>
    </row>
    <row r="1163" spans="1:9" x14ac:dyDescent="0.3">
      <c r="A1163"/>
      <c r="F1163"/>
      <c r="G1163"/>
      <c r="I1163"/>
    </row>
    <row r="1164" spans="1:9" x14ac:dyDescent="0.3">
      <c r="A1164"/>
      <c r="F1164"/>
      <c r="G1164"/>
      <c r="I1164"/>
    </row>
    <row r="1165" spans="1:9" x14ac:dyDescent="0.3">
      <c r="A1165"/>
      <c r="F1165"/>
      <c r="G1165"/>
      <c r="I1165"/>
    </row>
    <row r="1166" spans="1:9" x14ac:dyDescent="0.3">
      <c r="A1166"/>
      <c r="F1166"/>
      <c r="G1166"/>
      <c r="I1166"/>
    </row>
    <row r="1167" spans="1:9" x14ac:dyDescent="0.3">
      <c r="A1167"/>
      <c r="F1167"/>
      <c r="G1167"/>
      <c r="I1167"/>
    </row>
    <row r="1168" spans="1:9" x14ac:dyDescent="0.3">
      <c r="A1168"/>
      <c r="F1168"/>
      <c r="G1168"/>
      <c r="I1168"/>
    </row>
    <row r="1169" spans="1:9" x14ac:dyDescent="0.3">
      <c r="A1169"/>
      <c r="F1169"/>
      <c r="G1169"/>
      <c r="I1169"/>
    </row>
    <row r="1170" spans="1:9" x14ac:dyDescent="0.3">
      <c r="A1170"/>
      <c r="F1170"/>
      <c r="G1170"/>
      <c r="I1170"/>
    </row>
    <row r="1171" spans="1:9" x14ac:dyDescent="0.3">
      <c r="A1171"/>
      <c r="F1171"/>
      <c r="G1171"/>
      <c r="I1171"/>
    </row>
    <row r="1172" spans="1:9" x14ac:dyDescent="0.3">
      <c r="A1172"/>
      <c r="F1172"/>
      <c r="G1172"/>
      <c r="I1172"/>
    </row>
    <row r="1173" spans="1:9" x14ac:dyDescent="0.3">
      <c r="A1173"/>
      <c r="F1173"/>
      <c r="G1173"/>
      <c r="I1173"/>
    </row>
    <row r="1174" spans="1:9" x14ac:dyDescent="0.3">
      <c r="A1174"/>
      <c r="F1174"/>
      <c r="G1174"/>
      <c r="I1174"/>
    </row>
    <row r="1175" spans="1:9" x14ac:dyDescent="0.3">
      <c r="A1175"/>
      <c r="F1175"/>
      <c r="G1175"/>
      <c r="I1175"/>
    </row>
    <row r="1176" spans="1:9" x14ac:dyDescent="0.3">
      <c r="A1176"/>
      <c r="F1176"/>
      <c r="G1176"/>
      <c r="I1176"/>
    </row>
    <row r="1177" spans="1:9" x14ac:dyDescent="0.3">
      <c r="A1177"/>
      <c r="F1177"/>
      <c r="G1177"/>
      <c r="I1177"/>
    </row>
    <row r="1178" spans="1:9" x14ac:dyDescent="0.3">
      <c r="A1178"/>
      <c r="F1178"/>
      <c r="G1178"/>
      <c r="I1178"/>
    </row>
    <row r="1179" spans="1:9" x14ac:dyDescent="0.3">
      <c r="A1179"/>
      <c r="F1179"/>
      <c r="G1179"/>
      <c r="I1179"/>
    </row>
    <row r="1180" spans="1:9" x14ac:dyDescent="0.3">
      <c r="A1180"/>
      <c r="F1180"/>
      <c r="G1180"/>
      <c r="I1180"/>
    </row>
    <row r="1181" spans="1:9" x14ac:dyDescent="0.3">
      <c r="A1181"/>
      <c r="F1181"/>
      <c r="G1181"/>
      <c r="I1181"/>
    </row>
    <row r="1182" spans="1:9" x14ac:dyDescent="0.3">
      <c r="A1182"/>
      <c r="F1182"/>
      <c r="G1182"/>
      <c r="I1182"/>
    </row>
    <row r="1183" spans="1:9" x14ac:dyDescent="0.3">
      <c r="A1183"/>
      <c r="F1183"/>
      <c r="G1183"/>
      <c r="I1183"/>
    </row>
    <row r="1184" spans="1:9" x14ac:dyDescent="0.3">
      <c r="A1184"/>
      <c r="F1184"/>
      <c r="G1184"/>
      <c r="I1184"/>
    </row>
    <row r="1185" spans="1:9" x14ac:dyDescent="0.3">
      <c r="A1185"/>
      <c r="F1185"/>
      <c r="G1185"/>
      <c r="I1185"/>
    </row>
    <row r="1186" spans="1:9" x14ac:dyDescent="0.3">
      <c r="A1186"/>
      <c r="F1186"/>
      <c r="G1186"/>
      <c r="I1186"/>
    </row>
    <row r="1187" spans="1:9" x14ac:dyDescent="0.3">
      <c r="A1187"/>
      <c r="F1187"/>
      <c r="G1187"/>
      <c r="I1187"/>
    </row>
    <row r="1188" spans="1:9" x14ac:dyDescent="0.3">
      <c r="A1188"/>
      <c r="F1188"/>
      <c r="G1188"/>
      <c r="I1188"/>
    </row>
    <row r="1189" spans="1:9" x14ac:dyDescent="0.3">
      <c r="A1189"/>
      <c r="F1189"/>
      <c r="G1189"/>
      <c r="I1189"/>
    </row>
    <row r="1190" spans="1:9" x14ac:dyDescent="0.3">
      <c r="A1190"/>
      <c r="F1190"/>
      <c r="G1190"/>
      <c r="I1190"/>
    </row>
    <row r="1191" spans="1:9" x14ac:dyDescent="0.3">
      <c r="A1191"/>
      <c r="F1191"/>
      <c r="G1191"/>
      <c r="I1191"/>
    </row>
    <row r="1192" spans="1:9" x14ac:dyDescent="0.3">
      <c r="A1192"/>
      <c r="F1192"/>
      <c r="G1192"/>
      <c r="I1192"/>
    </row>
    <row r="1193" spans="1:9" x14ac:dyDescent="0.3">
      <c r="A1193"/>
      <c r="F1193"/>
      <c r="G1193"/>
      <c r="I1193"/>
    </row>
    <row r="1194" spans="1:9" x14ac:dyDescent="0.3">
      <c r="A1194"/>
      <c r="F1194"/>
      <c r="G1194"/>
      <c r="I1194"/>
    </row>
    <row r="1195" spans="1:9" x14ac:dyDescent="0.3">
      <c r="A1195"/>
      <c r="F1195"/>
      <c r="G1195"/>
      <c r="I1195"/>
    </row>
    <row r="1196" spans="1:9" x14ac:dyDescent="0.3">
      <c r="A1196"/>
      <c r="F1196"/>
      <c r="G1196"/>
      <c r="I1196"/>
    </row>
    <row r="1197" spans="1:9" x14ac:dyDescent="0.3">
      <c r="A1197"/>
      <c r="F1197"/>
      <c r="G1197"/>
      <c r="I1197"/>
    </row>
    <row r="1198" spans="1:9" x14ac:dyDescent="0.3">
      <c r="A1198"/>
      <c r="F1198"/>
      <c r="G1198"/>
      <c r="I1198"/>
    </row>
    <row r="1199" spans="1:9" x14ac:dyDescent="0.3">
      <c r="A1199"/>
      <c r="F1199"/>
      <c r="G1199"/>
      <c r="I1199"/>
    </row>
    <row r="1200" spans="1:9" x14ac:dyDescent="0.3">
      <c r="A1200"/>
      <c r="F1200"/>
      <c r="G1200"/>
      <c r="I1200"/>
    </row>
    <row r="1201" spans="1:9" x14ac:dyDescent="0.3">
      <c r="A1201"/>
      <c r="F1201"/>
      <c r="G1201"/>
      <c r="I1201"/>
    </row>
    <row r="1202" spans="1:9" x14ac:dyDescent="0.3">
      <c r="A1202"/>
      <c r="F1202"/>
      <c r="G1202"/>
      <c r="I1202"/>
    </row>
    <row r="1203" spans="1:9" x14ac:dyDescent="0.3">
      <c r="A1203"/>
      <c r="F1203"/>
      <c r="G1203"/>
      <c r="I1203"/>
    </row>
    <row r="1204" spans="1:9" x14ac:dyDescent="0.3">
      <c r="A1204"/>
      <c r="F1204"/>
      <c r="G1204"/>
      <c r="I1204"/>
    </row>
    <row r="1205" spans="1:9" x14ac:dyDescent="0.3">
      <c r="A1205"/>
      <c r="F1205"/>
      <c r="G1205"/>
      <c r="I1205"/>
    </row>
    <row r="1206" spans="1:9" x14ac:dyDescent="0.3">
      <c r="A1206"/>
      <c r="F1206"/>
      <c r="G1206"/>
      <c r="I1206"/>
    </row>
    <row r="1207" spans="1:9" x14ac:dyDescent="0.3">
      <c r="A1207"/>
      <c r="F1207"/>
      <c r="G1207"/>
      <c r="I1207"/>
    </row>
    <row r="1208" spans="1:9" x14ac:dyDescent="0.3">
      <c r="A1208"/>
      <c r="F1208"/>
      <c r="G1208"/>
      <c r="I1208"/>
    </row>
    <row r="1209" spans="1:9" x14ac:dyDescent="0.3">
      <c r="A1209"/>
      <c r="F1209"/>
      <c r="G1209"/>
      <c r="I1209"/>
    </row>
    <row r="1210" spans="1:9" x14ac:dyDescent="0.3">
      <c r="A1210"/>
      <c r="F1210"/>
      <c r="G1210"/>
      <c r="I1210"/>
    </row>
    <row r="1211" spans="1:9" x14ac:dyDescent="0.3">
      <c r="A1211"/>
      <c r="F1211"/>
      <c r="G1211"/>
      <c r="I1211"/>
    </row>
    <row r="1212" spans="1:9" x14ac:dyDescent="0.3">
      <c r="A1212"/>
      <c r="F1212"/>
      <c r="G1212"/>
      <c r="I1212"/>
    </row>
    <row r="1213" spans="1:9" x14ac:dyDescent="0.3">
      <c r="A1213"/>
      <c r="F1213"/>
      <c r="G1213"/>
      <c r="I1213"/>
    </row>
    <row r="1214" spans="1:9" x14ac:dyDescent="0.3">
      <c r="A1214"/>
      <c r="F1214"/>
      <c r="G1214"/>
      <c r="I1214"/>
    </row>
    <row r="1215" spans="1:9" x14ac:dyDescent="0.3">
      <c r="A1215"/>
      <c r="F1215"/>
      <c r="G1215"/>
      <c r="I1215"/>
    </row>
    <row r="1216" spans="1:9" x14ac:dyDescent="0.3">
      <c r="A1216"/>
      <c r="F1216"/>
      <c r="G1216"/>
      <c r="I1216"/>
    </row>
    <row r="1217" spans="1:9" x14ac:dyDescent="0.3">
      <c r="A1217"/>
      <c r="F1217"/>
      <c r="G1217"/>
      <c r="I1217"/>
    </row>
    <row r="1218" spans="1:9" x14ac:dyDescent="0.3">
      <c r="A1218"/>
      <c r="F1218"/>
      <c r="G1218"/>
      <c r="I1218"/>
    </row>
    <row r="1219" spans="1:9" x14ac:dyDescent="0.3">
      <c r="A1219"/>
      <c r="F1219"/>
      <c r="G1219"/>
      <c r="I1219"/>
    </row>
    <row r="1220" spans="1:9" x14ac:dyDescent="0.3">
      <c r="A1220"/>
      <c r="F1220"/>
      <c r="G1220"/>
      <c r="I1220"/>
    </row>
    <row r="1221" spans="1:9" x14ac:dyDescent="0.3">
      <c r="A1221"/>
      <c r="F1221"/>
      <c r="G1221"/>
      <c r="I1221"/>
    </row>
    <row r="1222" spans="1:9" x14ac:dyDescent="0.3">
      <c r="A1222"/>
      <c r="F1222"/>
      <c r="G1222"/>
      <c r="I1222"/>
    </row>
    <row r="1223" spans="1:9" x14ac:dyDescent="0.3">
      <c r="A1223"/>
      <c r="F1223"/>
      <c r="G1223"/>
      <c r="I1223"/>
    </row>
    <row r="1224" spans="1:9" x14ac:dyDescent="0.3">
      <c r="A1224"/>
      <c r="F1224"/>
      <c r="G1224"/>
      <c r="I1224"/>
    </row>
    <row r="1225" spans="1:9" x14ac:dyDescent="0.3">
      <c r="A1225"/>
      <c r="F1225"/>
      <c r="G1225"/>
      <c r="I1225"/>
    </row>
    <row r="1226" spans="1:9" x14ac:dyDescent="0.3">
      <c r="A1226"/>
      <c r="F1226"/>
      <c r="G1226"/>
      <c r="I1226"/>
    </row>
    <row r="1227" spans="1:9" x14ac:dyDescent="0.3">
      <c r="A1227"/>
      <c r="F1227"/>
      <c r="G1227"/>
      <c r="I1227"/>
    </row>
    <row r="1228" spans="1:9" x14ac:dyDescent="0.3">
      <c r="A1228"/>
      <c r="F1228"/>
      <c r="G1228"/>
      <c r="I1228"/>
    </row>
    <row r="1229" spans="1:9" x14ac:dyDescent="0.3">
      <c r="A1229"/>
      <c r="F1229"/>
      <c r="G1229"/>
      <c r="I1229"/>
    </row>
    <row r="1230" spans="1:9" x14ac:dyDescent="0.3">
      <c r="A1230"/>
      <c r="F1230"/>
      <c r="G1230"/>
      <c r="I1230"/>
    </row>
    <row r="1231" spans="1:9" x14ac:dyDescent="0.3">
      <c r="A1231"/>
      <c r="F1231"/>
      <c r="G1231"/>
      <c r="I1231"/>
    </row>
    <row r="1232" spans="1:9" x14ac:dyDescent="0.3">
      <c r="A1232"/>
      <c r="F1232"/>
      <c r="G1232"/>
      <c r="I1232"/>
    </row>
    <row r="1233" spans="1:9" x14ac:dyDescent="0.3">
      <c r="A1233"/>
      <c r="F1233"/>
      <c r="G1233"/>
      <c r="I1233"/>
    </row>
    <row r="1234" spans="1:9" x14ac:dyDescent="0.3">
      <c r="A1234"/>
      <c r="F1234"/>
      <c r="G1234"/>
      <c r="I1234"/>
    </row>
    <row r="1235" spans="1:9" x14ac:dyDescent="0.3">
      <c r="A1235"/>
      <c r="F1235"/>
      <c r="G1235"/>
      <c r="I1235"/>
    </row>
    <row r="1236" spans="1:9" x14ac:dyDescent="0.3">
      <c r="A1236"/>
      <c r="F1236"/>
      <c r="G1236"/>
      <c r="I1236"/>
    </row>
    <row r="1237" spans="1:9" x14ac:dyDescent="0.3">
      <c r="A1237"/>
      <c r="F1237"/>
      <c r="G1237"/>
      <c r="I1237"/>
    </row>
    <row r="1238" spans="1:9" x14ac:dyDescent="0.3">
      <c r="A1238"/>
      <c r="F1238"/>
      <c r="G1238"/>
      <c r="I1238"/>
    </row>
    <row r="1239" spans="1:9" x14ac:dyDescent="0.3">
      <c r="A1239"/>
      <c r="F1239"/>
      <c r="G1239"/>
      <c r="I1239"/>
    </row>
    <row r="1240" spans="1:9" x14ac:dyDescent="0.3">
      <c r="A1240"/>
      <c r="F1240"/>
      <c r="G1240"/>
      <c r="I1240"/>
    </row>
    <row r="1241" spans="1:9" x14ac:dyDescent="0.3">
      <c r="A1241"/>
      <c r="F1241"/>
      <c r="G1241"/>
      <c r="I1241"/>
    </row>
    <row r="1242" spans="1:9" x14ac:dyDescent="0.3">
      <c r="A1242"/>
      <c r="F1242"/>
      <c r="G1242"/>
      <c r="I1242"/>
    </row>
    <row r="1243" spans="1:9" x14ac:dyDescent="0.3">
      <c r="A1243"/>
      <c r="F1243"/>
      <c r="G1243"/>
      <c r="I1243"/>
    </row>
    <row r="1244" spans="1:9" x14ac:dyDescent="0.3">
      <c r="A1244"/>
      <c r="F1244"/>
      <c r="G1244"/>
      <c r="I1244"/>
    </row>
    <row r="1245" spans="1:9" x14ac:dyDescent="0.3">
      <c r="A1245"/>
      <c r="F1245"/>
      <c r="G1245"/>
      <c r="I1245"/>
    </row>
    <row r="1246" spans="1:9" x14ac:dyDescent="0.3">
      <c r="A1246"/>
      <c r="F1246"/>
      <c r="G1246"/>
      <c r="I1246"/>
    </row>
    <row r="1247" spans="1:9" x14ac:dyDescent="0.3">
      <c r="A1247"/>
      <c r="F1247"/>
      <c r="G1247"/>
      <c r="I1247"/>
    </row>
    <row r="1248" spans="1:9" x14ac:dyDescent="0.3">
      <c r="A1248"/>
      <c r="F1248"/>
      <c r="G1248"/>
      <c r="I1248"/>
    </row>
    <row r="1249" spans="1:9" x14ac:dyDescent="0.3">
      <c r="A1249"/>
      <c r="F1249"/>
      <c r="G1249"/>
      <c r="I1249"/>
    </row>
    <row r="1250" spans="1:9" x14ac:dyDescent="0.3">
      <c r="A1250"/>
      <c r="F1250"/>
      <c r="G1250"/>
      <c r="I1250"/>
    </row>
    <row r="1251" spans="1:9" x14ac:dyDescent="0.3">
      <c r="A1251"/>
      <c r="F1251"/>
      <c r="G1251"/>
      <c r="I1251"/>
    </row>
    <row r="1252" spans="1:9" x14ac:dyDescent="0.3">
      <c r="A1252"/>
      <c r="F1252"/>
      <c r="G1252"/>
      <c r="I1252"/>
    </row>
    <row r="1253" spans="1:9" x14ac:dyDescent="0.3">
      <c r="A1253"/>
      <c r="F1253"/>
      <c r="G1253"/>
      <c r="I1253"/>
    </row>
    <row r="1254" spans="1:9" x14ac:dyDescent="0.3">
      <c r="A1254"/>
      <c r="F1254"/>
      <c r="G1254"/>
      <c r="I1254"/>
    </row>
    <row r="1255" spans="1:9" x14ac:dyDescent="0.3">
      <c r="A1255"/>
      <c r="F1255"/>
      <c r="G1255"/>
      <c r="I1255"/>
    </row>
    <row r="1256" spans="1:9" x14ac:dyDescent="0.3">
      <c r="A1256"/>
      <c r="F1256"/>
      <c r="G1256"/>
      <c r="I1256"/>
    </row>
    <row r="1257" spans="1:9" x14ac:dyDescent="0.3">
      <c r="A1257"/>
      <c r="F1257"/>
      <c r="G1257"/>
      <c r="I1257"/>
    </row>
    <row r="1258" spans="1:9" x14ac:dyDescent="0.3">
      <c r="A1258"/>
      <c r="F1258"/>
      <c r="G1258"/>
      <c r="I1258"/>
    </row>
    <row r="1259" spans="1:9" x14ac:dyDescent="0.3">
      <c r="A1259"/>
      <c r="F1259"/>
      <c r="G1259"/>
      <c r="I1259"/>
    </row>
    <row r="1260" spans="1:9" x14ac:dyDescent="0.3">
      <c r="A1260"/>
      <c r="F1260"/>
      <c r="G1260"/>
      <c r="I1260"/>
    </row>
    <row r="1261" spans="1:9" x14ac:dyDescent="0.3">
      <c r="A1261"/>
      <c r="F1261"/>
      <c r="G1261"/>
      <c r="I1261"/>
    </row>
    <row r="1262" spans="1:9" x14ac:dyDescent="0.3">
      <c r="A1262"/>
      <c r="F1262"/>
      <c r="G1262"/>
      <c r="I1262"/>
    </row>
    <row r="1263" spans="1:9" x14ac:dyDescent="0.3">
      <c r="A1263"/>
      <c r="F1263"/>
      <c r="G1263"/>
      <c r="I1263"/>
    </row>
    <row r="1264" spans="1:9" x14ac:dyDescent="0.3">
      <c r="A1264"/>
      <c r="F1264"/>
      <c r="G1264"/>
      <c r="I1264"/>
    </row>
    <row r="1265" spans="1:9" x14ac:dyDescent="0.3">
      <c r="A1265"/>
      <c r="F1265"/>
      <c r="G1265"/>
      <c r="I1265"/>
    </row>
    <row r="1266" spans="1:9" x14ac:dyDescent="0.3">
      <c r="A1266"/>
      <c r="F1266"/>
      <c r="G1266"/>
      <c r="I1266"/>
    </row>
    <row r="1267" spans="1:9" x14ac:dyDescent="0.3">
      <c r="A1267"/>
      <c r="F1267"/>
      <c r="G1267"/>
      <c r="I1267"/>
    </row>
    <row r="1268" spans="1:9" x14ac:dyDescent="0.3">
      <c r="A1268"/>
      <c r="F1268"/>
      <c r="G1268"/>
      <c r="I1268"/>
    </row>
    <row r="1269" spans="1:9" x14ac:dyDescent="0.3">
      <c r="A1269"/>
      <c r="F1269"/>
      <c r="G1269"/>
      <c r="I1269"/>
    </row>
    <row r="1270" spans="1:9" x14ac:dyDescent="0.3">
      <c r="A1270"/>
      <c r="F1270"/>
      <c r="G1270"/>
      <c r="I1270"/>
    </row>
    <row r="1271" spans="1:9" x14ac:dyDescent="0.3">
      <c r="A1271"/>
      <c r="F1271"/>
      <c r="G1271"/>
      <c r="I1271"/>
    </row>
    <row r="1272" spans="1:9" x14ac:dyDescent="0.3">
      <c r="A1272"/>
      <c r="F1272"/>
      <c r="G1272"/>
      <c r="I1272"/>
    </row>
    <row r="1273" spans="1:9" x14ac:dyDescent="0.3">
      <c r="A1273"/>
      <c r="F1273"/>
      <c r="G1273"/>
      <c r="I1273"/>
    </row>
    <row r="1274" spans="1:9" x14ac:dyDescent="0.3">
      <c r="A1274"/>
      <c r="F1274"/>
      <c r="G1274"/>
      <c r="I1274"/>
    </row>
    <row r="1275" spans="1:9" x14ac:dyDescent="0.3">
      <c r="A1275"/>
      <c r="F1275"/>
      <c r="G1275"/>
      <c r="I1275"/>
    </row>
    <row r="1276" spans="1:9" x14ac:dyDescent="0.3">
      <c r="A1276"/>
      <c r="F1276"/>
      <c r="G1276"/>
      <c r="I1276"/>
    </row>
    <row r="1277" spans="1:9" x14ac:dyDescent="0.3">
      <c r="A1277"/>
      <c r="F1277"/>
      <c r="G1277"/>
      <c r="I1277"/>
    </row>
    <row r="1278" spans="1:9" x14ac:dyDescent="0.3">
      <c r="A1278"/>
      <c r="F1278"/>
      <c r="G1278"/>
      <c r="I1278"/>
    </row>
    <row r="1279" spans="1:9" x14ac:dyDescent="0.3">
      <c r="A1279"/>
      <c r="F1279"/>
      <c r="G1279"/>
      <c r="I1279"/>
    </row>
    <row r="1280" spans="1:9" x14ac:dyDescent="0.3">
      <c r="A1280"/>
      <c r="F1280"/>
      <c r="G1280"/>
      <c r="I1280"/>
    </row>
    <row r="1281" spans="1:9" x14ac:dyDescent="0.3">
      <c r="A1281"/>
      <c r="F1281"/>
      <c r="G1281"/>
      <c r="I1281"/>
    </row>
    <row r="1282" spans="1:9" x14ac:dyDescent="0.3">
      <c r="A1282"/>
      <c r="F1282"/>
      <c r="G1282"/>
      <c r="I1282"/>
    </row>
    <row r="1283" spans="1:9" x14ac:dyDescent="0.3">
      <c r="A1283"/>
      <c r="F1283"/>
      <c r="G1283"/>
      <c r="I1283"/>
    </row>
    <row r="1284" spans="1:9" x14ac:dyDescent="0.3">
      <c r="A1284"/>
      <c r="F1284"/>
      <c r="G1284"/>
      <c r="I1284"/>
    </row>
    <row r="1285" spans="1:9" x14ac:dyDescent="0.3">
      <c r="A1285"/>
      <c r="F1285"/>
      <c r="G1285"/>
      <c r="I1285"/>
    </row>
    <row r="1286" spans="1:9" x14ac:dyDescent="0.3">
      <c r="A1286"/>
      <c r="F1286"/>
      <c r="G1286"/>
      <c r="I1286"/>
    </row>
    <row r="1287" spans="1:9" x14ac:dyDescent="0.3">
      <c r="A1287"/>
      <c r="F1287"/>
      <c r="G1287"/>
      <c r="I1287"/>
    </row>
    <row r="1288" spans="1:9" x14ac:dyDescent="0.3">
      <c r="A1288"/>
      <c r="F1288"/>
      <c r="G1288"/>
      <c r="I1288"/>
    </row>
    <row r="1289" spans="1:9" x14ac:dyDescent="0.3">
      <c r="A1289"/>
      <c r="F1289"/>
      <c r="G1289"/>
      <c r="I1289"/>
    </row>
    <row r="1290" spans="1:9" x14ac:dyDescent="0.3">
      <c r="A1290"/>
      <c r="F1290"/>
      <c r="G1290"/>
      <c r="I1290"/>
    </row>
    <row r="1291" spans="1:9" x14ac:dyDescent="0.3">
      <c r="A1291"/>
      <c r="F1291"/>
      <c r="G1291"/>
      <c r="I1291"/>
    </row>
    <row r="1292" spans="1:9" x14ac:dyDescent="0.3">
      <c r="A1292"/>
      <c r="F1292"/>
      <c r="G1292"/>
      <c r="I1292"/>
    </row>
    <row r="1293" spans="1:9" x14ac:dyDescent="0.3">
      <c r="A1293"/>
      <c r="F1293"/>
      <c r="G1293"/>
      <c r="I1293"/>
    </row>
    <row r="1294" spans="1:9" x14ac:dyDescent="0.3">
      <c r="A1294"/>
      <c r="F1294"/>
      <c r="G1294"/>
      <c r="I1294"/>
    </row>
    <row r="1295" spans="1:9" x14ac:dyDescent="0.3">
      <c r="A1295"/>
      <c r="F1295"/>
      <c r="G1295"/>
      <c r="I1295"/>
    </row>
    <row r="1296" spans="1:9" x14ac:dyDescent="0.3">
      <c r="A1296"/>
      <c r="F1296"/>
      <c r="G1296"/>
      <c r="I1296"/>
    </row>
    <row r="1297" spans="1:9" x14ac:dyDescent="0.3">
      <c r="A1297"/>
      <c r="F1297"/>
      <c r="G1297"/>
      <c r="I1297"/>
    </row>
    <row r="1298" spans="1:9" x14ac:dyDescent="0.3">
      <c r="A1298"/>
      <c r="F1298"/>
      <c r="G1298"/>
      <c r="I1298"/>
    </row>
    <row r="1299" spans="1:9" x14ac:dyDescent="0.3">
      <c r="A1299"/>
      <c r="F1299"/>
      <c r="G1299"/>
      <c r="I1299"/>
    </row>
    <row r="1300" spans="1:9" x14ac:dyDescent="0.3">
      <c r="A1300"/>
      <c r="F1300"/>
      <c r="G1300"/>
      <c r="I1300"/>
    </row>
    <row r="1301" spans="1:9" x14ac:dyDescent="0.3">
      <c r="A1301"/>
      <c r="F1301"/>
      <c r="G1301"/>
      <c r="I1301"/>
    </row>
    <row r="1302" spans="1:9" x14ac:dyDescent="0.3">
      <c r="A1302"/>
      <c r="F1302"/>
      <c r="G1302"/>
      <c r="I1302"/>
    </row>
    <row r="1303" spans="1:9" x14ac:dyDescent="0.3">
      <c r="A1303"/>
      <c r="F1303"/>
      <c r="G1303"/>
      <c r="I1303"/>
    </row>
    <row r="1304" spans="1:9" x14ac:dyDescent="0.3">
      <c r="A1304"/>
      <c r="F1304"/>
      <c r="G1304"/>
      <c r="I1304"/>
    </row>
    <row r="1305" spans="1:9" x14ac:dyDescent="0.3">
      <c r="A1305"/>
      <c r="F1305"/>
      <c r="G1305"/>
      <c r="I1305"/>
    </row>
    <row r="1306" spans="1:9" x14ac:dyDescent="0.3">
      <c r="A1306"/>
      <c r="F1306"/>
      <c r="G1306"/>
      <c r="I1306"/>
    </row>
    <row r="1307" spans="1:9" x14ac:dyDescent="0.3">
      <c r="A1307"/>
      <c r="F1307"/>
      <c r="G1307"/>
      <c r="I1307"/>
    </row>
    <row r="1308" spans="1:9" x14ac:dyDescent="0.3">
      <c r="A1308"/>
      <c r="F1308"/>
      <c r="G1308"/>
      <c r="I1308"/>
    </row>
    <row r="1309" spans="1:9" x14ac:dyDescent="0.3">
      <c r="A1309"/>
      <c r="F1309"/>
      <c r="G1309"/>
      <c r="I1309"/>
    </row>
    <row r="1310" spans="1:9" x14ac:dyDescent="0.3">
      <c r="A1310"/>
      <c r="F1310"/>
      <c r="G1310"/>
      <c r="I1310"/>
    </row>
    <row r="1311" spans="1:9" x14ac:dyDescent="0.3">
      <c r="A1311"/>
      <c r="F1311"/>
      <c r="G1311"/>
      <c r="I1311"/>
    </row>
    <row r="1312" spans="1:9" x14ac:dyDescent="0.3">
      <c r="A1312"/>
      <c r="F1312"/>
      <c r="G1312"/>
      <c r="I1312"/>
    </row>
    <row r="1313" spans="1:9" x14ac:dyDescent="0.3">
      <c r="A1313"/>
      <c r="F1313"/>
      <c r="G1313"/>
      <c r="I1313"/>
    </row>
    <row r="1314" spans="1:9" x14ac:dyDescent="0.3">
      <c r="A1314"/>
      <c r="F1314"/>
      <c r="G1314"/>
      <c r="I1314"/>
    </row>
    <row r="1315" spans="1:9" x14ac:dyDescent="0.3">
      <c r="A1315"/>
      <c r="F1315"/>
      <c r="G1315"/>
      <c r="I1315"/>
    </row>
    <row r="1316" spans="1:9" x14ac:dyDescent="0.3">
      <c r="A1316"/>
      <c r="F1316"/>
      <c r="G1316"/>
      <c r="I1316"/>
    </row>
    <row r="1317" spans="1:9" x14ac:dyDescent="0.3">
      <c r="A1317"/>
      <c r="F1317"/>
      <c r="G1317"/>
      <c r="I1317"/>
    </row>
    <row r="1318" spans="1:9" x14ac:dyDescent="0.3">
      <c r="A1318"/>
      <c r="F1318"/>
      <c r="G1318"/>
      <c r="I1318"/>
    </row>
    <row r="1319" spans="1:9" x14ac:dyDescent="0.3">
      <c r="A1319"/>
      <c r="F1319"/>
      <c r="G1319"/>
      <c r="I1319"/>
    </row>
    <row r="1320" spans="1:9" x14ac:dyDescent="0.3">
      <c r="A1320"/>
      <c r="F1320"/>
      <c r="G1320"/>
      <c r="I1320"/>
    </row>
    <row r="1321" spans="1:9" x14ac:dyDescent="0.3">
      <c r="A1321"/>
      <c r="F1321"/>
      <c r="G1321"/>
      <c r="I1321"/>
    </row>
    <row r="1322" spans="1:9" x14ac:dyDescent="0.3">
      <c r="A1322"/>
      <c r="F1322"/>
      <c r="G1322"/>
      <c r="I1322"/>
    </row>
    <row r="1323" spans="1:9" x14ac:dyDescent="0.3">
      <c r="A1323"/>
      <c r="F1323"/>
      <c r="G1323"/>
      <c r="I1323"/>
    </row>
    <row r="1324" spans="1:9" x14ac:dyDescent="0.3">
      <c r="A1324"/>
      <c r="F1324"/>
      <c r="G1324"/>
      <c r="I1324"/>
    </row>
    <row r="1325" spans="1:9" x14ac:dyDescent="0.3">
      <c r="A1325"/>
      <c r="F1325"/>
      <c r="G1325"/>
      <c r="I1325"/>
    </row>
    <row r="1326" spans="1:9" x14ac:dyDescent="0.3">
      <c r="A1326"/>
      <c r="F1326"/>
      <c r="G1326"/>
      <c r="I1326"/>
    </row>
    <row r="1327" spans="1:9" x14ac:dyDescent="0.3">
      <c r="A1327"/>
      <c r="F1327"/>
      <c r="G1327"/>
      <c r="I1327"/>
    </row>
    <row r="1328" spans="1:9" x14ac:dyDescent="0.3">
      <c r="A1328"/>
      <c r="F1328"/>
      <c r="G1328"/>
      <c r="I1328"/>
    </row>
    <row r="1329" spans="1:9" x14ac:dyDescent="0.3">
      <c r="A1329"/>
      <c r="F1329"/>
      <c r="G1329"/>
      <c r="I1329"/>
    </row>
    <row r="1330" spans="1:9" x14ac:dyDescent="0.3">
      <c r="A1330"/>
      <c r="F1330"/>
      <c r="G1330"/>
      <c r="I1330"/>
    </row>
    <row r="1331" spans="1:9" x14ac:dyDescent="0.3">
      <c r="A1331"/>
      <c r="F1331"/>
      <c r="G1331"/>
      <c r="I1331"/>
    </row>
    <row r="1332" spans="1:9" x14ac:dyDescent="0.3">
      <c r="A1332"/>
      <c r="F1332"/>
      <c r="G1332"/>
      <c r="I1332"/>
    </row>
    <row r="1333" spans="1:9" x14ac:dyDescent="0.3">
      <c r="A1333"/>
      <c r="F1333"/>
      <c r="G1333"/>
      <c r="I1333"/>
    </row>
    <row r="1334" spans="1:9" x14ac:dyDescent="0.3">
      <c r="A1334"/>
      <c r="F1334"/>
      <c r="G1334"/>
      <c r="I1334"/>
    </row>
    <row r="1335" spans="1:9" x14ac:dyDescent="0.3">
      <c r="A1335"/>
      <c r="F1335"/>
      <c r="G1335"/>
      <c r="I1335"/>
    </row>
    <row r="1336" spans="1:9" x14ac:dyDescent="0.3">
      <c r="A1336"/>
      <c r="F1336"/>
      <c r="G1336"/>
      <c r="I1336"/>
    </row>
    <row r="1337" spans="1:9" x14ac:dyDescent="0.3">
      <c r="A1337"/>
      <c r="F1337"/>
      <c r="G1337"/>
      <c r="I1337"/>
    </row>
    <row r="1338" spans="1:9" x14ac:dyDescent="0.3">
      <c r="A1338"/>
      <c r="F1338"/>
      <c r="G1338"/>
      <c r="I1338"/>
    </row>
    <row r="1339" spans="1:9" x14ac:dyDescent="0.3">
      <c r="A1339"/>
      <c r="F1339"/>
      <c r="G1339"/>
      <c r="I1339"/>
    </row>
    <row r="1340" spans="1:9" x14ac:dyDescent="0.3">
      <c r="A1340"/>
      <c r="F1340"/>
      <c r="G1340"/>
      <c r="I1340"/>
    </row>
    <row r="1341" spans="1:9" x14ac:dyDescent="0.3">
      <c r="A1341"/>
      <c r="F1341"/>
      <c r="G1341"/>
      <c r="I1341"/>
    </row>
    <row r="1342" spans="1:9" x14ac:dyDescent="0.3">
      <c r="A1342"/>
      <c r="F1342"/>
      <c r="G1342"/>
      <c r="I1342"/>
    </row>
    <row r="1343" spans="1:9" x14ac:dyDescent="0.3">
      <c r="A1343"/>
      <c r="F1343"/>
      <c r="G1343"/>
      <c r="I1343"/>
    </row>
    <row r="1344" spans="1:9" x14ac:dyDescent="0.3">
      <c r="A1344"/>
      <c r="F1344"/>
      <c r="G1344"/>
      <c r="I1344"/>
    </row>
    <row r="1345" spans="1:9" x14ac:dyDescent="0.3">
      <c r="A1345"/>
      <c r="F1345"/>
      <c r="G1345"/>
      <c r="I1345"/>
    </row>
    <row r="1346" spans="1:9" x14ac:dyDescent="0.3">
      <c r="A1346"/>
      <c r="F1346"/>
      <c r="G1346"/>
      <c r="I1346"/>
    </row>
    <row r="1347" spans="1:9" x14ac:dyDescent="0.3">
      <c r="A1347"/>
      <c r="F1347"/>
      <c r="G1347"/>
      <c r="I1347"/>
    </row>
    <row r="1348" spans="1:9" x14ac:dyDescent="0.3">
      <c r="A1348"/>
      <c r="F1348"/>
      <c r="G1348"/>
      <c r="I1348"/>
    </row>
    <row r="1349" spans="1:9" x14ac:dyDescent="0.3">
      <c r="A1349"/>
      <c r="F1349"/>
      <c r="G1349"/>
      <c r="I1349"/>
    </row>
    <row r="1350" spans="1:9" x14ac:dyDescent="0.3">
      <c r="A1350"/>
      <c r="F1350"/>
      <c r="G1350"/>
      <c r="I1350"/>
    </row>
    <row r="1351" spans="1:9" x14ac:dyDescent="0.3">
      <c r="A1351"/>
      <c r="F1351"/>
      <c r="G1351"/>
      <c r="I1351"/>
    </row>
    <row r="1352" spans="1:9" x14ac:dyDescent="0.3">
      <c r="A1352"/>
      <c r="F1352"/>
      <c r="G1352"/>
      <c r="I1352"/>
    </row>
    <row r="1353" spans="1:9" x14ac:dyDescent="0.3">
      <c r="A1353"/>
      <c r="F1353"/>
      <c r="G1353"/>
      <c r="I1353"/>
    </row>
    <row r="1354" spans="1:9" x14ac:dyDescent="0.3">
      <c r="A1354"/>
      <c r="F1354"/>
      <c r="G1354"/>
      <c r="I1354"/>
    </row>
    <row r="1355" spans="1:9" x14ac:dyDescent="0.3">
      <c r="A1355"/>
      <c r="F1355"/>
      <c r="G1355"/>
      <c r="I1355"/>
    </row>
    <row r="1356" spans="1:9" x14ac:dyDescent="0.3">
      <c r="A1356"/>
      <c r="F1356"/>
      <c r="G1356"/>
      <c r="I1356"/>
    </row>
    <row r="1357" spans="1:9" x14ac:dyDescent="0.3">
      <c r="A1357"/>
      <c r="F1357"/>
      <c r="G1357"/>
      <c r="I1357"/>
    </row>
    <row r="1358" spans="1:9" x14ac:dyDescent="0.3">
      <c r="A1358"/>
      <c r="F1358"/>
      <c r="G1358"/>
      <c r="I1358"/>
    </row>
    <row r="1359" spans="1:9" x14ac:dyDescent="0.3">
      <c r="A1359"/>
      <c r="F1359"/>
      <c r="G1359"/>
      <c r="I1359"/>
    </row>
    <row r="1360" spans="1:9" x14ac:dyDescent="0.3">
      <c r="A1360"/>
      <c r="F1360"/>
      <c r="G1360"/>
      <c r="I1360"/>
    </row>
    <row r="1361" spans="1:9" x14ac:dyDescent="0.3">
      <c r="A1361"/>
      <c r="F1361"/>
      <c r="G1361"/>
      <c r="I1361"/>
    </row>
    <row r="1362" spans="1:9" x14ac:dyDescent="0.3">
      <c r="A1362"/>
      <c r="F1362"/>
      <c r="G1362"/>
      <c r="I1362"/>
    </row>
    <row r="1363" spans="1:9" x14ac:dyDescent="0.3">
      <c r="A1363"/>
      <c r="F1363"/>
      <c r="G1363"/>
      <c r="I1363"/>
    </row>
    <row r="1364" spans="1:9" x14ac:dyDescent="0.3">
      <c r="A1364"/>
      <c r="F1364"/>
      <c r="G1364"/>
      <c r="I1364"/>
    </row>
    <row r="1365" spans="1:9" x14ac:dyDescent="0.3">
      <c r="A1365"/>
      <c r="F1365"/>
      <c r="G1365"/>
      <c r="I1365"/>
    </row>
    <row r="1366" spans="1:9" x14ac:dyDescent="0.3">
      <c r="A1366"/>
      <c r="F1366"/>
      <c r="G1366"/>
      <c r="I1366"/>
    </row>
    <row r="1367" spans="1:9" x14ac:dyDescent="0.3">
      <c r="A1367"/>
      <c r="F1367"/>
      <c r="G1367"/>
      <c r="I1367"/>
    </row>
    <row r="1368" spans="1:9" x14ac:dyDescent="0.3">
      <c r="A1368"/>
      <c r="F1368"/>
      <c r="G1368"/>
      <c r="I1368"/>
    </row>
    <row r="1369" spans="1:9" x14ac:dyDescent="0.3">
      <c r="A1369"/>
      <c r="F1369"/>
      <c r="G1369"/>
      <c r="I1369"/>
    </row>
    <row r="1370" spans="1:9" x14ac:dyDescent="0.3">
      <c r="A1370"/>
      <c r="F1370"/>
      <c r="G1370"/>
      <c r="I1370"/>
    </row>
    <row r="1371" spans="1:9" x14ac:dyDescent="0.3">
      <c r="A1371"/>
      <c r="F1371"/>
      <c r="G1371"/>
      <c r="I1371"/>
    </row>
    <row r="1372" spans="1:9" x14ac:dyDescent="0.3">
      <c r="A1372"/>
      <c r="F1372"/>
      <c r="G1372"/>
      <c r="I1372"/>
    </row>
    <row r="1373" spans="1:9" x14ac:dyDescent="0.3">
      <c r="A1373"/>
      <c r="F1373"/>
      <c r="G1373"/>
      <c r="I1373"/>
    </row>
    <row r="1374" spans="1:9" x14ac:dyDescent="0.3">
      <c r="A1374"/>
      <c r="F1374"/>
      <c r="G1374"/>
      <c r="I1374"/>
    </row>
    <row r="1375" spans="1:9" x14ac:dyDescent="0.3">
      <c r="A1375"/>
      <c r="F1375"/>
      <c r="G1375"/>
      <c r="I1375"/>
    </row>
    <row r="1376" spans="1:9" x14ac:dyDescent="0.3">
      <c r="A1376"/>
      <c r="F1376"/>
      <c r="G1376"/>
      <c r="I1376"/>
    </row>
    <row r="1377" spans="1:9" x14ac:dyDescent="0.3">
      <c r="A1377"/>
      <c r="F1377"/>
      <c r="G1377"/>
      <c r="I1377"/>
    </row>
    <row r="1378" spans="1:9" x14ac:dyDescent="0.3">
      <c r="A1378"/>
      <c r="F1378"/>
      <c r="G1378"/>
      <c r="I1378"/>
    </row>
    <row r="1379" spans="1:9" x14ac:dyDescent="0.3">
      <c r="A1379"/>
      <c r="F1379"/>
      <c r="G1379"/>
      <c r="I1379"/>
    </row>
    <row r="1380" spans="1:9" x14ac:dyDescent="0.3">
      <c r="A1380"/>
      <c r="F1380"/>
      <c r="G1380"/>
      <c r="I1380"/>
    </row>
    <row r="1381" spans="1:9" x14ac:dyDescent="0.3">
      <c r="A1381"/>
      <c r="F1381"/>
      <c r="G1381"/>
      <c r="I1381"/>
    </row>
    <row r="1382" spans="1:9" x14ac:dyDescent="0.3">
      <c r="A1382"/>
      <c r="F1382"/>
      <c r="G1382"/>
      <c r="I1382"/>
    </row>
    <row r="1383" spans="1:9" x14ac:dyDescent="0.3">
      <c r="A1383"/>
      <c r="F1383"/>
      <c r="G1383"/>
      <c r="I1383"/>
    </row>
    <row r="1384" spans="1:9" x14ac:dyDescent="0.3">
      <c r="A1384"/>
      <c r="F1384"/>
      <c r="G1384"/>
      <c r="I1384"/>
    </row>
    <row r="1385" spans="1:9" x14ac:dyDescent="0.3">
      <c r="A1385"/>
      <c r="F1385"/>
      <c r="G1385"/>
      <c r="I1385"/>
    </row>
    <row r="1386" spans="1:9" x14ac:dyDescent="0.3">
      <c r="A1386"/>
      <c r="F1386"/>
      <c r="G1386"/>
      <c r="I1386"/>
    </row>
    <row r="1387" spans="1:9" x14ac:dyDescent="0.3">
      <c r="A1387"/>
      <c r="F1387"/>
      <c r="G1387"/>
      <c r="I1387"/>
    </row>
    <row r="1388" spans="1:9" x14ac:dyDescent="0.3">
      <c r="A1388"/>
      <c r="F1388"/>
      <c r="G1388"/>
      <c r="I1388"/>
    </row>
    <row r="1389" spans="1:9" x14ac:dyDescent="0.3">
      <c r="A1389"/>
      <c r="F1389"/>
      <c r="G1389"/>
      <c r="I1389"/>
    </row>
    <row r="1390" spans="1:9" x14ac:dyDescent="0.3">
      <c r="A1390"/>
      <c r="F1390"/>
      <c r="G1390"/>
      <c r="I1390"/>
    </row>
    <row r="1391" spans="1:9" x14ac:dyDescent="0.3">
      <c r="A1391"/>
      <c r="F1391"/>
      <c r="G1391"/>
      <c r="I1391"/>
    </row>
    <row r="1392" spans="1:9" x14ac:dyDescent="0.3">
      <c r="A1392"/>
      <c r="F1392"/>
      <c r="G1392"/>
      <c r="I1392"/>
    </row>
    <row r="1393" spans="1:9" x14ac:dyDescent="0.3">
      <c r="A1393"/>
      <c r="F1393"/>
      <c r="G1393"/>
      <c r="I1393"/>
    </row>
    <row r="1394" spans="1:9" x14ac:dyDescent="0.3">
      <c r="A1394"/>
      <c r="F1394"/>
      <c r="G1394"/>
      <c r="I1394"/>
    </row>
    <row r="1395" spans="1:9" x14ac:dyDescent="0.3">
      <c r="A1395"/>
      <c r="F1395"/>
      <c r="G1395"/>
      <c r="I1395"/>
    </row>
    <row r="1396" spans="1:9" x14ac:dyDescent="0.3">
      <c r="A1396"/>
      <c r="F1396"/>
      <c r="G1396"/>
      <c r="I1396"/>
    </row>
    <row r="1397" spans="1:9" x14ac:dyDescent="0.3">
      <c r="A1397"/>
      <c r="F1397"/>
      <c r="G1397"/>
      <c r="I1397"/>
    </row>
    <row r="1398" spans="1:9" x14ac:dyDescent="0.3">
      <c r="A1398"/>
      <c r="F1398"/>
      <c r="G1398"/>
      <c r="I1398"/>
    </row>
    <row r="1399" spans="1:9" x14ac:dyDescent="0.3">
      <c r="A1399"/>
      <c r="F1399"/>
      <c r="G1399"/>
      <c r="I1399"/>
    </row>
    <row r="1400" spans="1:9" x14ac:dyDescent="0.3">
      <c r="A1400"/>
      <c r="F1400"/>
      <c r="G1400"/>
      <c r="I1400"/>
    </row>
    <row r="1401" spans="1:9" x14ac:dyDescent="0.3">
      <c r="A1401"/>
      <c r="F1401"/>
      <c r="G1401"/>
      <c r="I1401"/>
    </row>
    <row r="1402" spans="1:9" x14ac:dyDescent="0.3">
      <c r="A1402"/>
      <c r="F1402"/>
      <c r="G1402"/>
      <c r="I1402"/>
    </row>
    <row r="1403" spans="1:9" x14ac:dyDescent="0.3">
      <c r="A1403"/>
      <c r="F1403"/>
      <c r="G1403"/>
      <c r="I1403"/>
    </row>
    <row r="1404" spans="1:9" x14ac:dyDescent="0.3">
      <c r="A1404"/>
      <c r="F1404"/>
      <c r="G1404"/>
      <c r="I1404"/>
    </row>
    <row r="1405" spans="1:9" x14ac:dyDescent="0.3">
      <c r="A1405"/>
      <c r="F1405"/>
      <c r="G1405"/>
      <c r="I1405"/>
    </row>
    <row r="1406" spans="1:9" x14ac:dyDescent="0.3">
      <c r="A1406"/>
      <c r="F1406"/>
      <c r="G1406"/>
      <c r="I1406"/>
    </row>
    <row r="1407" spans="1:9" x14ac:dyDescent="0.3">
      <c r="A1407"/>
      <c r="F1407"/>
      <c r="G1407"/>
      <c r="I1407"/>
    </row>
    <row r="1408" spans="1:9" x14ac:dyDescent="0.3">
      <c r="A1408"/>
      <c r="F1408"/>
      <c r="G1408"/>
      <c r="I1408"/>
    </row>
    <row r="1409" spans="1:9" x14ac:dyDescent="0.3">
      <c r="A1409"/>
      <c r="F1409"/>
      <c r="G1409"/>
      <c r="I1409"/>
    </row>
    <row r="1410" spans="1:9" x14ac:dyDescent="0.3">
      <c r="A1410"/>
      <c r="F1410"/>
      <c r="G1410"/>
      <c r="I1410"/>
    </row>
    <row r="1411" spans="1:9" x14ac:dyDescent="0.3">
      <c r="A1411"/>
      <c r="F1411"/>
      <c r="G1411"/>
      <c r="I1411"/>
    </row>
    <row r="1412" spans="1:9" x14ac:dyDescent="0.3">
      <c r="A1412"/>
      <c r="F1412"/>
      <c r="G1412"/>
      <c r="I1412"/>
    </row>
    <row r="1413" spans="1:9" x14ac:dyDescent="0.3">
      <c r="A1413"/>
      <c r="F1413"/>
      <c r="G1413"/>
      <c r="I1413"/>
    </row>
    <row r="1414" spans="1:9" x14ac:dyDescent="0.3">
      <c r="A1414"/>
      <c r="F1414"/>
      <c r="G1414"/>
      <c r="I1414"/>
    </row>
    <row r="1415" spans="1:9" x14ac:dyDescent="0.3">
      <c r="A1415"/>
      <c r="F1415"/>
      <c r="G1415"/>
      <c r="I1415"/>
    </row>
    <row r="1416" spans="1:9" x14ac:dyDescent="0.3">
      <c r="A1416"/>
      <c r="F1416"/>
      <c r="G1416"/>
      <c r="I1416"/>
    </row>
    <row r="1417" spans="1:9" x14ac:dyDescent="0.3">
      <c r="A1417"/>
      <c r="F1417"/>
      <c r="G1417"/>
      <c r="I1417"/>
    </row>
    <row r="1418" spans="1:9" x14ac:dyDescent="0.3">
      <c r="A1418"/>
      <c r="F1418"/>
      <c r="G1418"/>
      <c r="I1418"/>
    </row>
    <row r="1419" spans="1:9" x14ac:dyDescent="0.3">
      <c r="A1419"/>
      <c r="F1419"/>
      <c r="G1419"/>
      <c r="I1419"/>
    </row>
    <row r="1420" spans="1:9" x14ac:dyDescent="0.3">
      <c r="A1420"/>
      <c r="F1420"/>
      <c r="G1420"/>
      <c r="I1420"/>
    </row>
    <row r="1421" spans="1:9" x14ac:dyDescent="0.3">
      <c r="A1421"/>
      <c r="F1421"/>
      <c r="G1421"/>
      <c r="I1421"/>
    </row>
    <row r="1422" spans="1:9" x14ac:dyDescent="0.3">
      <c r="A1422"/>
      <c r="F1422"/>
      <c r="G1422"/>
      <c r="I1422"/>
    </row>
    <row r="1423" spans="1:9" x14ac:dyDescent="0.3">
      <c r="A1423"/>
      <c r="F1423"/>
      <c r="G1423"/>
      <c r="I1423"/>
    </row>
    <row r="1424" spans="1:9" x14ac:dyDescent="0.3">
      <c r="A1424"/>
      <c r="F1424"/>
      <c r="G1424"/>
      <c r="I1424"/>
    </row>
    <row r="1425" spans="1:9" x14ac:dyDescent="0.3">
      <c r="A1425"/>
      <c r="F1425"/>
      <c r="G1425"/>
      <c r="I1425"/>
    </row>
    <row r="1426" spans="1:9" x14ac:dyDescent="0.3">
      <c r="A1426"/>
      <c r="F1426"/>
      <c r="G1426"/>
      <c r="I1426"/>
    </row>
    <row r="1427" spans="1:9" x14ac:dyDescent="0.3">
      <c r="A1427"/>
      <c r="F1427"/>
      <c r="G1427"/>
      <c r="I1427"/>
    </row>
    <row r="1428" spans="1:9" x14ac:dyDescent="0.3">
      <c r="A1428"/>
      <c r="F1428"/>
      <c r="G1428"/>
      <c r="I1428"/>
    </row>
    <row r="1429" spans="1:9" x14ac:dyDescent="0.3">
      <c r="A1429"/>
      <c r="F1429"/>
      <c r="G1429"/>
      <c r="I1429"/>
    </row>
    <row r="1430" spans="1:9" x14ac:dyDescent="0.3">
      <c r="A1430"/>
      <c r="F1430"/>
      <c r="G1430"/>
      <c r="I1430"/>
    </row>
    <row r="1431" spans="1:9" x14ac:dyDescent="0.3">
      <c r="A1431"/>
      <c r="F1431"/>
      <c r="G1431"/>
      <c r="I1431"/>
    </row>
    <row r="1432" spans="1:9" x14ac:dyDescent="0.3">
      <c r="A1432"/>
      <c r="F1432"/>
      <c r="G1432"/>
      <c r="I1432"/>
    </row>
    <row r="1433" spans="1:9" x14ac:dyDescent="0.3">
      <c r="A1433"/>
      <c r="F1433"/>
      <c r="G1433"/>
      <c r="I1433"/>
    </row>
    <row r="1434" spans="1:9" x14ac:dyDescent="0.3">
      <c r="A1434"/>
      <c r="F1434"/>
      <c r="G1434"/>
      <c r="I1434"/>
    </row>
    <row r="1435" spans="1:9" x14ac:dyDescent="0.3">
      <c r="A1435"/>
      <c r="F1435"/>
      <c r="G1435"/>
      <c r="I1435"/>
    </row>
    <row r="1436" spans="1:9" x14ac:dyDescent="0.3">
      <c r="A1436"/>
      <c r="F1436"/>
      <c r="G1436"/>
      <c r="I1436"/>
    </row>
    <row r="1437" spans="1:9" x14ac:dyDescent="0.3">
      <c r="A1437"/>
      <c r="F1437"/>
      <c r="G1437"/>
      <c r="I1437"/>
    </row>
    <row r="1438" spans="1:9" x14ac:dyDescent="0.3">
      <c r="A1438"/>
      <c r="F1438"/>
      <c r="G1438"/>
      <c r="I1438"/>
    </row>
    <row r="1439" spans="1:9" x14ac:dyDescent="0.3">
      <c r="A1439"/>
      <c r="F1439"/>
      <c r="G1439"/>
      <c r="I1439"/>
    </row>
    <row r="1440" spans="1:9" x14ac:dyDescent="0.3">
      <c r="A1440"/>
      <c r="F1440"/>
      <c r="G1440"/>
      <c r="I1440"/>
    </row>
    <row r="1441" spans="1:9" x14ac:dyDescent="0.3">
      <c r="A1441"/>
      <c r="F1441"/>
      <c r="G1441"/>
      <c r="I1441"/>
    </row>
    <row r="1442" spans="1:9" x14ac:dyDescent="0.3">
      <c r="A1442"/>
      <c r="F1442"/>
      <c r="G1442"/>
      <c r="I1442"/>
    </row>
    <row r="1443" spans="1:9" x14ac:dyDescent="0.3">
      <c r="A1443"/>
      <c r="F1443"/>
      <c r="G1443"/>
      <c r="I1443"/>
    </row>
    <row r="1444" spans="1:9" x14ac:dyDescent="0.3">
      <c r="A1444"/>
      <c r="F1444"/>
      <c r="G1444"/>
      <c r="I1444"/>
    </row>
    <row r="1445" spans="1:9" x14ac:dyDescent="0.3">
      <c r="A1445"/>
      <c r="F1445"/>
      <c r="G1445"/>
      <c r="I1445"/>
    </row>
    <row r="1446" spans="1:9" x14ac:dyDescent="0.3">
      <c r="A1446"/>
      <c r="F1446"/>
      <c r="G1446"/>
      <c r="I1446"/>
    </row>
    <row r="1447" spans="1:9" x14ac:dyDescent="0.3">
      <c r="A1447"/>
      <c r="F1447"/>
      <c r="G1447"/>
      <c r="I1447"/>
    </row>
    <row r="1448" spans="1:9" x14ac:dyDescent="0.3">
      <c r="A1448"/>
      <c r="F1448"/>
      <c r="G1448"/>
      <c r="I1448"/>
    </row>
    <row r="1449" spans="1:9" x14ac:dyDescent="0.3">
      <c r="A1449"/>
      <c r="F1449"/>
      <c r="G1449"/>
      <c r="I1449"/>
    </row>
    <row r="1450" spans="1:9" x14ac:dyDescent="0.3">
      <c r="A1450"/>
      <c r="F1450"/>
      <c r="G1450"/>
      <c r="I1450"/>
    </row>
    <row r="1451" spans="1:9" x14ac:dyDescent="0.3">
      <c r="A1451"/>
      <c r="F1451"/>
      <c r="G1451"/>
      <c r="I1451"/>
    </row>
    <row r="1452" spans="1:9" x14ac:dyDescent="0.3">
      <c r="A1452"/>
      <c r="F1452"/>
      <c r="G1452"/>
      <c r="I1452"/>
    </row>
    <row r="1453" spans="1:9" x14ac:dyDescent="0.3">
      <c r="A1453"/>
      <c r="F1453"/>
      <c r="G1453"/>
      <c r="I1453"/>
    </row>
    <row r="1454" spans="1:9" x14ac:dyDescent="0.3">
      <c r="A1454"/>
      <c r="F1454"/>
      <c r="G1454"/>
      <c r="I1454"/>
    </row>
    <row r="1455" spans="1:9" x14ac:dyDescent="0.3">
      <c r="A1455"/>
      <c r="F1455"/>
      <c r="G1455"/>
      <c r="I1455"/>
    </row>
    <row r="1456" spans="1:9" x14ac:dyDescent="0.3">
      <c r="A1456"/>
      <c r="F1456"/>
      <c r="G1456"/>
      <c r="I1456"/>
    </row>
    <row r="1457" spans="1:9" x14ac:dyDescent="0.3">
      <c r="A1457"/>
      <c r="F1457"/>
      <c r="G1457"/>
      <c r="I1457"/>
    </row>
    <row r="1458" spans="1:9" x14ac:dyDescent="0.3">
      <c r="A1458"/>
      <c r="F1458"/>
      <c r="G1458"/>
      <c r="I1458"/>
    </row>
    <row r="1459" spans="1:9" x14ac:dyDescent="0.3">
      <c r="A1459"/>
      <c r="F1459"/>
      <c r="G1459"/>
      <c r="I1459"/>
    </row>
    <row r="1460" spans="1:9" x14ac:dyDescent="0.3">
      <c r="A1460"/>
      <c r="F1460"/>
      <c r="G1460"/>
      <c r="I1460"/>
    </row>
    <row r="1461" spans="1:9" x14ac:dyDescent="0.3">
      <c r="A1461"/>
      <c r="F1461"/>
      <c r="G1461"/>
      <c r="I1461"/>
    </row>
    <row r="1462" spans="1:9" x14ac:dyDescent="0.3">
      <c r="A1462"/>
      <c r="F1462"/>
      <c r="G1462"/>
      <c r="I1462"/>
    </row>
    <row r="1463" spans="1:9" x14ac:dyDescent="0.3">
      <c r="A1463"/>
      <c r="F1463"/>
      <c r="G1463"/>
      <c r="I1463"/>
    </row>
    <row r="1464" spans="1:9" x14ac:dyDescent="0.3">
      <c r="A1464"/>
      <c r="F1464"/>
      <c r="G1464"/>
      <c r="I1464"/>
    </row>
    <row r="1465" spans="1:9" x14ac:dyDescent="0.3">
      <c r="A1465"/>
      <c r="F1465"/>
      <c r="G1465"/>
      <c r="I1465"/>
    </row>
    <row r="1466" spans="1:9" x14ac:dyDescent="0.3">
      <c r="A1466"/>
      <c r="F1466"/>
      <c r="G1466"/>
      <c r="I1466"/>
    </row>
    <row r="1467" spans="1:9" x14ac:dyDescent="0.3">
      <c r="A1467"/>
      <c r="F1467"/>
      <c r="G1467"/>
      <c r="I1467"/>
    </row>
    <row r="1468" spans="1:9" x14ac:dyDescent="0.3">
      <c r="A1468"/>
      <c r="F1468"/>
      <c r="G1468"/>
      <c r="I1468"/>
    </row>
    <row r="1469" spans="1:9" x14ac:dyDescent="0.3">
      <c r="A1469"/>
      <c r="F1469"/>
      <c r="G1469"/>
      <c r="I1469"/>
    </row>
    <row r="1470" spans="1:9" x14ac:dyDescent="0.3">
      <c r="A1470"/>
      <c r="F1470"/>
      <c r="G1470"/>
      <c r="I1470"/>
    </row>
    <row r="1471" spans="1:9" x14ac:dyDescent="0.3">
      <c r="A1471"/>
      <c r="F1471"/>
      <c r="G1471"/>
      <c r="I1471"/>
    </row>
    <row r="1472" spans="1:9" x14ac:dyDescent="0.3">
      <c r="A1472"/>
      <c r="F1472"/>
      <c r="G1472"/>
      <c r="I1472"/>
    </row>
    <row r="1473" spans="1:9" x14ac:dyDescent="0.3">
      <c r="A1473"/>
      <c r="F1473"/>
      <c r="G1473"/>
      <c r="I1473"/>
    </row>
    <row r="1474" spans="1:9" x14ac:dyDescent="0.3">
      <c r="A1474"/>
      <c r="F1474"/>
      <c r="G1474"/>
      <c r="I1474"/>
    </row>
    <row r="1475" spans="1:9" x14ac:dyDescent="0.3">
      <c r="A1475"/>
      <c r="F1475"/>
      <c r="G1475"/>
      <c r="I1475"/>
    </row>
    <row r="1476" spans="1:9" x14ac:dyDescent="0.3">
      <c r="A1476"/>
      <c r="F1476"/>
      <c r="G1476"/>
      <c r="I1476"/>
    </row>
    <row r="1477" spans="1:9" x14ac:dyDescent="0.3">
      <c r="A1477"/>
      <c r="F1477"/>
      <c r="G1477"/>
      <c r="I1477"/>
    </row>
    <row r="1478" spans="1:9" x14ac:dyDescent="0.3">
      <c r="A1478"/>
      <c r="F1478"/>
      <c r="G1478"/>
      <c r="I1478"/>
    </row>
    <row r="1479" spans="1:9" x14ac:dyDescent="0.3">
      <c r="A1479"/>
      <c r="F1479"/>
      <c r="G1479"/>
      <c r="I1479"/>
    </row>
    <row r="1480" spans="1:9" x14ac:dyDescent="0.3">
      <c r="A1480"/>
      <c r="F1480"/>
      <c r="G1480"/>
      <c r="I1480"/>
    </row>
    <row r="1481" spans="1:9" x14ac:dyDescent="0.3">
      <c r="A1481"/>
      <c r="F1481"/>
      <c r="G1481"/>
      <c r="I1481"/>
    </row>
    <row r="1482" spans="1:9" x14ac:dyDescent="0.3">
      <c r="A1482"/>
      <c r="F1482"/>
      <c r="G1482"/>
      <c r="I1482"/>
    </row>
    <row r="1483" spans="1:9" x14ac:dyDescent="0.3">
      <c r="A1483"/>
      <c r="F1483"/>
      <c r="G1483"/>
      <c r="I1483"/>
    </row>
    <row r="1484" spans="1:9" x14ac:dyDescent="0.3">
      <c r="A1484"/>
      <c r="F1484"/>
      <c r="G1484"/>
      <c r="I1484"/>
    </row>
    <row r="1485" spans="1:9" x14ac:dyDescent="0.3">
      <c r="A1485"/>
      <c r="F1485"/>
      <c r="G1485"/>
      <c r="I1485"/>
    </row>
    <row r="1486" spans="1:9" x14ac:dyDescent="0.3">
      <c r="A1486"/>
      <c r="F1486"/>
      <c r="G1486"/>
      <c r="I1486"/>
    </row>
    <row r="1487" spans="1:9" x14ac:dyDescent="0.3">
      <c r="A1487"/>
      <c r="F1487"/>
      <c r="G1487"/>
      <c r="I1487"/>
    </row>
    <row r="1488" spans="1:9" x14ac:dyDescent="0.3">
      <c r="A1488"/>
      <c r="F1488"/>
      <c r="G1488"/>
      <c r="I1488"/>
    </row>
    <row r="1489" spans="1:9" x14ac:dyDescent="0.3">
      <c r="A1489"/>
      <c r="F1489"/>
      <c r="G1489"/>
      <c r="I1489"/>
    </row>
    <row r="1490" spans="1:9" x14ac:dyDescent="0.3">
      <c r="A1490"/>
      <c r="F1490"/>
      <c r="G1490"/>
      <c r="I1490"/>
    </row>
    <row r="1491" spans="1:9" x14ac:dyDescent="0.3">
      <c r="A1491"/>
      <c r="F1491"/>
      <c r="G1491"/>
      <c r="I1491"/>
    </row>
    <row r="1492" spans="1:9" x14ac:dyDescent="0.3">
      <c r="A1492"/>
      <c r="F1492"/>
      <c r="G1492"/>
      <c r="I1492"/>
    </row>
    <row r="1493" spans="1:9" x14ac:dyDescent="0.3">
      <c r="A1493"/>
      <c r="F1493"/>
      <c r="G1493"/>
      <c r="I1493"/>
    </row>
    <row r="1494" spans="1:9" x14ac:dyDescent="0.3">
      <c r="A1494"/>
      <c r="F1494"/>
      <c r="G1494"/>
      <c r="I1494"/>
    </row>
    <row r="1495" spans="1:9" x14ac:dyDescent="0.3">
      <c r="A1495"/>
      <c r="F1495"/>
      <c r="G1495"/>
      <c r="I1495"/>
    </row>
    <row r="1496" spans="1:9" x14ac:dyDescent="0.3">
      <c r="A1496"/>
      <c r="F1496"/>
      <c r="G1496"/>
      <c r="I1496"/>
    </row>
    <row r="1497" spans="1:9" x14ac:dyDescent="0.3">
      <c r="A1497"/>
      <c r="F1497"/>
      <c r="G1497"/>
      <c r="I1497"/>
    </row>
    <row r="1498" spans="1:9" x14ac:dyDescent="0.3">
      <c r="A1498"/>
      <c r="F1498"/>
      <c r="G1498"/>
      <c r="I1498"/>
    </row>
    <row r="1499" spans="1:9" x14ac:dyDescent="0.3">
      <c r="A1499"/>
      <c r="F1499"/>
      <c r="G1499"/>
      <c r="I1499"/>
    </row>
    <row r="1500" spans="1:9" x14ac:dyDescent="0.3">
      <c r="A1500"/>
      <c r="F1500"/>
      <c r="G1500"/>
      <c r="I1500"/>
    </row>
    <row r="1501" spans="1:9" x14ac:dyDescent="0.3">
      <c r="A1501"/>
      <c r="F1501"/>
      <c r="G1501"/>
      <c r="I1501"/>
    </row>
    <row r="1502" spans="1:9" x14ac:dyDescent="0.3">
      <c r="A1502"/>
      <c r="F1502"/>
      <c r="G1502"/>
      <c r="I1502"/>
    </row>
    <row r="1503" spans="1:9" x14ac:dyDescent="0.3">
      <c r="A1503"/>
      <c r="F1503"/>
      <c r="G1503"/>
      <c r="I1503"/>
    </row>
    <row r="1504" spans="1:9" x14ac:dyDescent="0.3">
      <c r="A1504"/>
      <c r="F1504"/>
      <c r="G1504"/>
      <c r="I1504"/>
    </row>
    <row r="1505" spans="1:9" x14ac:dyDescent="0.3">
      <c r="A1505"/>
      <c r="F1505"/>
      <c r="G1505"/>
      <c r="I1505"/>
    </row>
    <row r="1506" spans="1:9" x14ac:dyDescent="0.3">
      <c r="A1506"/>
      <c r="F1506"/>
      <c r="G1506"/>
      <c r="I1506"/>
    </row>
    <row r="1507" spans="1:9" x14ac:dyDescent="0.3">
      <c r="A1507"/>
      <c r="F1507"/>
      <c r="G1507"/>
      <c r="I1507"/>
    </row>
    <row r="1508" spans="1:9" x14ac:dyDescent="0.3">
      <c r="A1508"/>
      <c r="F1508"/>
      <c r="G1508"/>
      <c r="I1508"/>
    </row>
    <row r="1509" spans="1:9" x14ac:dyDescent="0.3">
      <c r="A1509"/>
      <c r="F1509"/>
      <c r="G1509"/>
      <c r="I1509"/>
    </row>
    <row r="1510" spans="1:9" x14ac:dyDescent="0.3">
      <c r="A1510"/>
      <c r="F1510"/>
      <c r="G1510"/>
      <c r="I1510"/>
    </row>
    <row r="1511" spans="1:9" x14ac:dyDescent="0.3">
      <c r="A1511"/>
      <c r="F1511"/>
      <c r="G1511"/>
      <c r="I1511"/>
    </row>
    <row r="1512" spans="1:9" x14ac:dyDescent="0.3">
      <c r="A1512"/>
      <c r="F1512"/>
      <c r="G1512"/>
      <c r="I1512"/>
    </row>
    <row r="1513" spans="1:9" x14ac:dyDescent="0.3">
      <c r="A1513"/>
      <c r="F1513"/>
      <c r="G1513"/>
      <c r="I1513"/>
    </row>
    <row r="1514" spans="1:9" x14ac:dyDescent="0.3">
      <c r="A1514"/>
      <c r="F1514"/>
      <c r="G1514"/>
      <c r="I1514"/>
    </row>
    <row r="1515" spans="1:9" x14ac:dyDescent="0.3">
      <c r="A1515"/>
      <c r="F1515"/>
      <c r="G1515"/>
      <c r="I1515"/>
    </row>
    <row r="1516" spans="1:9" x14ac:dyDescent="0.3">
      <c r="A1516"/>
      <c r="F1516"/>
      <c r="G1516"/>
      <c r="I1516"/>
    </row>
    <row r="1517" spans="1:9" x14ac:dyDescent="0.3">
      <c r="A1517"/>
      <c r="F1517"/>
      <c r="G1517"/>
      <c r="I1517"/>
    </row>
    <row r="1518" spans="1:9" x14ac:dyDescent="0.3">
      <c r="A1518"/>
      <c r="F1518"/>
      <c r="G1518"/>
      <c r="I1518"/>
    </row>
    <row r="1519" spans="1:9" x14ac:dyDescent="0.3">
      <c r="A1519"/>
      <c r="F1519"/>
      <c r="G1519"/>
      <c r="I1519"/>
    </row>
    <row r="1520" spans="1:9" x14ac:dyDescent="0.3">
      <c r="A1520"/>
      <c r="F1520"/>
      <c r="G1520"/>
      <c r="I1520"/>
    </row>
    <row r="1521" spans="1:9" x14ac:dyDescent="0.3">
      <c r="A1521"/>
      <c r="F1521"/>
      <c r="G1521"/>
      <c r="I1521"/>
    </row>
    <row r="1522" spans="1:9" x14ac:dyDescent="0.3">
      <c r="A1522"/>
      <c r="F1522"/>
      <c r="G1522"/>
      <c r="I1522"/>
    </row>
    <row r="1523" spans="1:9" x14ac:dyDescent="0.3">
      <c r="A1523"/>
      <c r="F1523"/>
      <c r="G1523"/>
      <c r="I1523"/>
    </row>
    <row r="1524" spans="1:9" x14ac:dyDescent="0.3">
      <c r="A1524"/>
      <c r="F1524"/>
      <c r="G1524"/>
      <c r="I1524"/>
    </row>
    <row r="1525" spans="1:9" x14ac:dyDescent="0.3">
      <c r="A1525"/>
      <c r="F1525"/>
      <c r="G1525"/>
      <c r="I1525"/>
    </row>
    <row r="1526" spans="1:9" x14ac:dyDescent="0.3">
      <c r="A1526"/>
      <c r="F1526"/>
      <c r="G1526"/>
      <c r="I1526"/>
    </row>
    <row r="1527" spans="1:9" x14ac:dyDescent="0.3">
      <c r="A1527"/>
      <c r="F1527"/>
      <c r="G1527"/>
      <c r="I1527"/>
    </row>
    <row r="1528" spans="1:9" x14ac:dyDescent="0.3">
      <c r="A1528"/>
      <c r="F1528"/>
      <c r="G1528"/>
      <c r="I1528"/>
    </row>
    <row r="1529" spans="1:9" x14ac:dyDescent="0.3">
      <c r="A1529"/>
      <c r="F1529"/>
      <c r="G1529"/>
      <c r="I1529"/>
    </row>
    <row r="1530" spans="1:9" x14ac:dyDescent="0.3">
      <c r="A1530"/>
      <c r="F1530"/>
      <c r="G1530"/>
      <c r="I1530"/>
    </row>
    <row r="1531" spans="1:9" x14ac:dyDescent="0.3">
      <c r="A1531"/>
      <c r="F1531"/>
      <c r="G1531"/>
      <c r="I1531"/>
    </row>
    <row r="1532" spans="1:9" x14ac:dyDescent="0.3">
      <c r="A1532"/>
      <c r="F1532"/>
      <c r="G1532"/>
      <c r="I1532"/>
    </row>
    <row r="1533" spans="1:9" x14ac:dyDescent="0.3">
      <c r="A1533"/>
      <c r="F1533"/>
      <c r="G1533"/>
      <c r="I1533"/>
    </row>
    <row r="1534" spans="1:9" x14ac:dyDescent="0.3">
      <c r="A1534"/>
      <c r="F1534"/>
      <c r="G1534"/>
      <c r="I1534"/>
    </row>
    <row r="1535" spans="1:9" x14ac:dyDescent="0.3">
      <c r="A1535"/>
      <c r="F1535"/>
      <c r="G1535"/>
      <c r="I1535"/>
    </row>
    <row r="1536" spans="1:9" x14ac:dyDescent="0.3">
      <c r="A1536"/>
      <c r="F1536"/>
      <c r="G1536"/>
      <c r="I1536"/>
    </row>
    <row r="1537" spans="1:9" x14ac:dyDescent="0.3">
      <c r="A1537"/>
      <c r="F1537"/>
      <c r="G1537"/>
      <c r="I1537"/>
    </row>
    <row r="1538" spans="1:9" x14ac:dyDescent="0.3">
      <c r="A1538"/>
      <c r="F1538"/>
      <c r="G1538"/>
      <c r="I1538"/>
    </row>
    <row r="1539" spans="1:9" x14ac:dyDescent="0.3">
      <c r="A1539"/>
      <c r="F1539"/>
      <c r="G1539"/>
      <c r="I1539"/>
    </row>
    <row r="1540" spans="1:9" x14ac:dyDescent="0.3">
      <c r="A1540"/>
      <c r="F1540"/>
      <c r="G1540"/>
      <c r="I1540"/>
    </row>
    <row r="1541" spans="1:9" x14ac:dyDescent="0.3">
      <c r="A1541"/>
      <c r="F1541"/>
      <c r="G1541"/>
      <c r="I1541"/>
    </row>
    <row r="1542" spans="1:9" x14ac:dyDescent="0.3">
      <c r="A1542"/>
      <c r="F1542"/>
      <c r="G1542"/>
      <c r="I1542"/>
    </row>
    <row r="1543" spans="1:9" x14ac:dyDescent="0.3">
      <c r="A1543"/>
      <c r="F1543"/>
      <c r="G1543"/>
      <c r="I1543"/>
    </row>
    <row r="1544" spans="1:9" x14ac:dyDescent="0.3">
      <c r="A1544"/>
      <c r="F1544"/>
      <c r="G1544"/>
      <c r="I1544"/>
    </row>
    <row r="1545" spans="1:9" x14ac:dyDescent="0.3">
      <c r="A1545"/>
      <c r="F1545"/>
      <c r="G1545"/>
      <c r="I1545"/>
    </row>
    <row r="1546" spans="1:9" x14ac:dyDescent="0.3">
      <c r="A1546"/>
      <c r="F1546"/>
      <c r="G1546"/>
      <c r="I1546"/>
    </row>
    <row r="1547" spans="1:9" x14ac:dyDescent="0.3">
      <c r="A1547"/>
      <c r="F1547"/>
      <c r="G1547"/>
      <c r="I1547"/>
    </row>
    <row r="1548" spans="1:9" x14ac:dyDescent="0.3">
      <c r="A1548"/>
      <c r="F1548"/>
      <c r="G1548"/>
      <c r="I1548"/>
    </row>
    <row r="1549" spans="1:9" x14ac:dyDescent="0.3">
      <c r="A1549"/>
      <c r="F1549"/>
      <c r="G1549"/>
      <c r="I1549"/>
    </row>
    <row r="1550" spans="1:9" x14ac:dyDescent="0.3">
      <c r="A1550"/>
      <c r="F1550"/>
      <c r="G1550"/>
      <c r="I1550"/>
    </row>
    <row r="1551" spans="1:9" x14ac:dyDescent="0.3">
      <c r="A1551"/>
      <c r="F1551"/>
      <c r="G1551"/>
      <c r="I1551"/>
    </row>
    <row r="1552" spans="1:9" x14ac:dyDescent="0.3">
      <c r="A1552"/>
      <c r="F1552"/>
      <c r="G1552"/>
      <c r="I1552"/>
    </row>
    <row r="1553" spans="1:9" x14ac:dyDescent="0.3">
      <c r="A1553"/>
      <c r="F1553"/>
      <c r="G1553"/>
      <c r="I1553"/>
    </row>
    <row r="1554" spans="1:9" x14ac:dyDescent="0.3">
      <c r="A1554"/>
      <c r="F1554"/>
      <c r="G1554"/>
      <c r="I1554"/>
    </row>
    <row r="1555" spans="1:9" x14ac:dyDescent="0.3">
      <c r="A1555"/>
      <c r="F1555"/>
      <c r="G1555"/>
      <c r="I1555"/>
    </row>
    <row r="1556" spans="1:9" x14ac:dyDescent="0.3">
      <c r="A1556"/>
      <c r="F1556"/>
      <c r="G1556"/>
      <c r="I1556"/>
    </row>
    <row r="1557" spans="1:9" x14ac:dyDescent="0.3">
      <c r="A1557"/>
      <c r="F1557"/>
      <c r="G1557"/>
      <c r="I1557"/>
    </row>
    <row r="1558" spans="1:9" x14ac:dyDescent="0.3">
      <c r="A1558"/>
      <c r="F1558"/>
      <c r="G1558"/>
      <c r="I1558"/>
    </row>
    <row r="1559" spans="1:9" x14ac:dyDescent="0.3">
      <c r="A1559"/>
      <c r="F1559"/>
      <c r="G1559"/>
      <c r="I1559"/>
    </row>
    <row r="1560" spans="1:9" x14ac:dyDescent="0.3">
      <c r="A1560"/>
      <c r="F1560"/>
      <c r="G1560"/>
      <c r="I1560"/>
    </row>
    <row r="1561" spans="1:9" x14ac:dyDescent="0.3">
      <c r="A1561"/>
      <c r="F1561"/>
      <c r="G1561"/>
      <c r="I1561"/>
    </row>
    <row r="1562" spans="1:9" x14ac:dyDescent="0.3">
      <c r="A1562"/>
      <c r="F1562"/>
      <c r="G1562"/>
      <c r="I1562"/>
    </row>
    <row r="1563" spans="1:9" x14ac:dyDescent="0.3">
      <c r="A1563"/>
      <c r="F1563"/>
      <c r="G1563"/>
      <c r="I1563"/>
    </row>
    <row r="1564" spans="1:9" x14ac:dyDescent="0.3">
      <c r="A1564"/>
      <c r="F1564"/>
      <c r="G1564"/>
      <c r="I1564"/>
    </row>
    <row r="1565" spans="1:9" x14ac:dyDescent="0.3">
      <c r="A1565"/>
      <c r="F1565"/>
      <c r="G1565"/>
      <c r="I1565"/>
    </row>
    <row r="1566" spans="1:9" x14ac:dyDescent="0.3">
      <c r="A1566"/>
      <c r="F1566"/>
      <c r="G1566"/>
      <c r="I1566"/>
    </row>
    <row r="1567" spans="1:9" x14ac:dyDescent="0.3">
      <c r="A1567"/>
      <c r="F1567"/>
      <c r="G1567"/>
      <c r="I1567"/>
    </row>
    <row r="1568" spans="1:9" x14ac:dyDescent="0.3">
      <c r="A1568"/>
      <c r="F1568"/>
      <c r="G1568"/>
      <c r="I1568"/>
    </row>
    <row r="1569" spans="1:9" x14ac:dyDescent="0.3">
      <c r="A1569"/>
      <c r="F1569"/>
      <c r="G1569"/>
      <c r="I1569"/>
    </row>
    <row r="1570" spans="1:9" x14ac:dyDescent="0.3">
      <c r="A1570"/>
      <c r="F1570"/>
      <c r="G1570"/>
      <c r="I1570"/>
    </row>
    <row r="1571" spans="1:9" x14ac:dyDescent="0.3">
      <c r="A1571"/>
      <c r="F1571"/>
      <c r="G1571"/>
      <c r="I1571"/>
    </row>
    <row r="1572" spans="1:9" x14ac:dyDescent="0.3">
      <c r="A1572"/>
      <c r="F1572"/>
      <c r="G1572"/>
      <c r="I1572"/>
    </row>
    <row r="1573" spans="1:9" x14ac:dyDescent="0.3">
      <c r="A1573"/>
      <c r="F1573"/>
      <c r="G1573"/>
      <c r="I1573"/>
    </row>
    <row r="1574" spans="1:9" x14ac:dyDescent="0.3">
      <c r="A1574"/>
      <c r="F1574"/>
      <c r="G1574"/>
      <c r="I1574"/>
    </row>
    <row r="1575" spans="1:9" x14ac:dyDescent="0.3">
      <c r="A1575"/>
      <c r="F1575"/>
      <c r="G1575"/>
      <c r="I1575"/>
    </row>
    <row r="1576" spans="1:9" x14ac:dyDescent="0.3">
      <c r="A1576"/>
      <c r="F1576"/>
      <c r="G1576"/>
      <c r="I1576"/>
    </row>
    <row r="1577" spans="1:9" x14ac:dyDescent="0.3">
      <c r="A1577"/>
      <c r="F1577"/>
      <c r="G1577"/>
      <c r="I1577"/>
    </row>
    <row r="1578" spans="1:9" x14ac:dyDescent="0.3">
      <c r="A1578"/>
      <c r="F1578"/>
      <c r="G1578"/>
      <c r="I1578"/>
    </row>
    <row r="1579" spans="1:9" x14ac:dyDescent="0.3">
      <c r="A1579"/>
      <c r="F1579"/>
      <c r="G1579"/>
      <c r="I1579"/>
    </row>
    <row r="1580" spans="1:9" x14ac:dyDescent="0.3">
      <c r="A1580"/>
      <c r="F1580"/>
      <c r="G1580"/>
      <c r="I1580"/>
    </row>
    <row r="1581" spans="1:9" x14ac:dyDescent="0.3">
      <c r="A1581"/>
      <c r="F1581"/>
      <c r="G1581"/>
      <c r="I1581"/>
    </row>
    <row r="1582" spans="1:9" x14ac:dyDescent="0.3">
      <c r="A1582"/>
      <c r="F1582"/>
      <c r="G1582"/>
      <c r="I1582"/>
    </row>
    <row r="1583" spans="1:9" x14ac:dyDescent="0.3">
      <c r="A1583"/>
      <c r="F1583"/>
      <c r="G1583"/>
      <c r="I1583"/>
    </row>
    <row r="1584" spans="1:9" x14ac:dyDescent="0.3">
      <c r="A1584"/>
      <c r="F1584"/>
      <c r="G1584"/>
      <c r="I1584"/>
    </row>
    <row r="1585" spans="1:9" x14ac:dyDescent="0.3">
      <c r="A1585"/>
      <c r="F1585"/>
      <c r="G1585"/>
      <c r="I1585"/>
    </row>
    <row r="1586" spans="1:9" x14ac:dyDescent="0.3">
      <c r="A1586"/>
      <c r="F1586"/>
      <c r="G1586"/>
      <c r="I1586"/>
    </row>
    <row r="1587" spans="1:9" x14ac:dyDescent="0.3">
      <c r="A1587"/>
      <c r="F1587"/>
      <c r="G1587"/>
      <c r="I1587"/>
    </row>
    <row r="1588" spans="1:9" x14ac:dyDescent="0.3">
      <c r="A1588"/>
      <c r="F1588"/>
      <c r="G1588"/>
      <c r="I1588"/>
    </row>
    <row r="1589" spans="1:9" x14ac:dyDescent="0.3">
      <c r="A1589"/>
      <c r="F1589"/>
      <c r="G1589"/>
      <c r="I1589"/>
    </row>
    <row r="1590" spans="1:9" x14ac:dyDescent="0.3">
      <c r="A1590"/>
      <c r="F1590"/>
      <c r="G1590"/>
      <c r="I1590"/>
    </row>
    <row r="1591" spans="1:9" x14ac:dyDescent="0.3">
      <c r="A1591"/>
      <c r="F1591"/>
      <c r="G1591"/>
      <c r="I1591"/>
    </row>
    <row r="1592" spans="1:9" x14ac:dyDescent="0.3">
      <c r="A1592"/>
      <c r="F1592"/>
      <c r="G1592"/>
      <c r="I1592"/>
    </row>
    <row r="1593" spans="1:9" x14ac:dyDescent="0.3">
      <c r="A1593"/>
      <c r="F1593"/>
      <c r="G1593"/>
      <c r="I1593"/>
    </row>
    <row r="1594" spans="1:9" x14ac:dyDescent="0.3">
      <c r="A1594"/>
      <c r="F1594"/>
      <c r="G1594"/>
      <c r="I1594"/>
    </row>
    <row r="1595" spans="1:9" x14ac:dyDescent="0.3">
      <c r="A1595"/>
      <c r="F1595"/>
      <c r="G1595"/>
      <c r="I1595"/>
    </row>
    <row r="1596" spans="1:9" x14ac:dyDescent="0.3">
      <c r="A1596"/>
      <c r="F1596"/>
      <c r="G1596"/>
      <c r="I1596"/>
    </row>
    <row r="1597" spans="1:9" x14ac:dyDescent="0.3">
      <c r="A1597"/>
      <c r="F1597"/>
      <c r="G1597"/>
      <c r="I1597"/>
    </row>
    <row r="1598" spans="1:9" x14ac:dyDescent="0.3">
      <c r="A1598"/>
      <c r="F1598"/>
      <c r="G1598"/>
      <c r="I1598"/>
    </row>
    <row r="1599" spans="1:9" x14ac:dyDescent="0.3">
      <c r="A1599"/>
      <c r="F1599"/>
      <c r="G1599"/>
      <c r="I1599"/>
    </row>
    <row r="1600" spans="1:9" x14ac:dyDescent="0.3">
      <c r="A1600"/>
      <c r="F1600"/>
      <c r="G1600"/>
      <c r="I1600"/>
    </row>
    <row r="1601" spans="1:9" x14ac:dyDescent="0.3">
      <c r="A1601"/>
      <c r="F1601"/>
      <c r="G1601"/>
      <c r="I1601"/>
    </row>
    <row r="1602" spans="1:9" x14ac:dyDescent="0.3">
      <c r="A1602"/>
      <c r="F1602"/>
      <c r="G1602"/>
      <c r="I1602"/>
    </row>
    <row r="1603" spans="1:9" x14ac:dyDescent="0.3">
      <c r="A1603"/>
      <c r="F1603"/>
      <c r="G1603"/>
      <c r="I1603"/>
    </row>
    <row r="1604" spans="1:9" x14ac:dyDescent="0.3">
      <c r="A1604"/>
      <c r="F1604"/>
      <c r="G1604"/>
      <c r="I1604"/>
    </row>
    <row r="1605" spans="1:9" x14ac:dyDescent="0.3">
      <c r="A1605"/>
      <c r="F1605"/>
      <c r="G1605"/>
      <c r="I1605"/>
    </row>
    <row r="1606" spans="1:9" x14ac:dyDescent="0.3">
      <c r="A1606"/>
      <c r="F1606"/>
      <c r="G1606"/>
      <c r="I1606"/>
    </row>
    <row r="1607" spans="1:9" x14ac:dyDescent="0.3">
      <c r="A1607"/>
      <c r="F1607"/>
      <c r="G1607"/>
      <c r="I1607"/>
    </row>
    <row r="1608" spans="1:9" x14ac:dyDescent="0.3">
      <c r="A1608"/>
      <c r="F1608"/>
      <c r="G1608"/>
      <c r="I1608"/>
    </row>
    <row r="1609" spans="1:9" x14ac:dyDescent="0.3">
      <c r="A1609"/>
      <c r="F1609"/>
      <c r="G1609"/>
      <c r="I1609"/>
    </row>
    <row r="1610" spans="1:9" x14ac:dyDescent="0.3">
      <c r="A1610"/>
      <c r="F1610"/>
      <c r="G1610"/>
      <c r="I1610"/>
    </row>
    <row r="1611" spans="1:9" x14ac:dyDescent="0.3">
      <c r="A1611"/>
      <c r="F1611"/>
      <c r="G1611"/>
      <c r="I1611"/>
    </row>
    <row r="1612" spans="1:9" x14ac:dyDescent="0.3">
      <c r="A1612"/>
      <c r="F1612"/>
      <c r="G1612"/>
      <c r="I1612"/>
    </row>
    <row r="1613" spans="1:9" x14ac:dyDescent="0.3">
      <c r="A1613"/>
      <c r="F1613"/>
      <c r="G1613"/>
      <c r="I1613"/>
    </row>
    <row r="1614" spans="1:9" x14ac:dyDescent="0.3">
      <c r="A1614"/>
      <c r="F1614"/>
      <c r="G1614"/>
      <c r="I1614"/>
    </row>
    <row r="1615" spans="1:9" x14ac:dyDescent="0.3">
      <c r="A1615"/>
      <c r="F1615"/>
      <c r="G1615"/>
      <c r="I1615"/>
    </row>
    <row r="1616" spans="1:9" x14ac:dyDescent="0.3">
      <c r="A1616"/>
      <c r="F1616"/>
      <c r="G1616"/>
      <c r="I1616"/>
    </row>
    <row r="1617" spans="1:9" x14ac:dyDescent="0.3">
      <c r="A1617"/>
      <c r="F1617"/>
      <c r="G1617"/>
      <c r="I1617"/>
    </row>
    <row r="1618" spans="1:9" x14ac:dyDescent="0.3">
      <c r="A1618"/>
      <c r="F1618"/>
      <c r="G1618"/>
      <c r="I1618"/>
    </row>
    <row r="1619" spans="1:9" x14ac:dyDescent="0.3">
      <c r="A1619"/>
      <c r="F1619"/>
      <c r="G1619"/>
      <c r="I1619"/>
    </row>
    <row r="1620" spans="1:9" x14ac:dyDescent="0.3">
      <c r="A1620"/>
      <c r="F1620"/>
      <c r="G1620"/>
      <c r="I1620"/>
    </row>
    <row r="1621" spans="1:9" x14ac:dyDescent="0.3">
      <c r="A1621"/>
      <c r="F1621"/>
      <c r="G1621"/>
      <c r="I1621"/>
    </row>
    <row r="1622" spans="1:9" x14ac:dyDescent="0.3">
      <c r="A1622"/>
      <c r="F1622"/>
      <c r="G1622"/>
      <c r="I1622"/>
    </row>
    <row r="1623" spans="1:9" x14ac:dyDescent="0.3">
      <c r="A1623"/>
      <c r="F1623"/>
      <c r="G1623"/>
      <c r="I1623"/>
    </row>
    <row r="1624" spans="1:9" x14ac:dyDescent="0.3">
      <c r="A1624"/>
      <c r="F1624"/>
      <c r="G1624"/>
      <c r="I1624"/>
    </row>
    <row r="1625" spans="1:9" x14ac:dyDescent="0.3">
      <c r="A1625"/>
      <c r="F1625"/>
      <c r="G1625"/>
      <c r="I1625"/>
    </row>
    <row r="1626" spans="1:9" x14ac:dyDescent="0.3">
      <c r="A1626"/>
      <c r="F1626"/>
      <c r="G1626"/>
      <c r="I1626"/>
    </row>
    <row r="1627" spans="1:9" x14ac:dyDescent="0.3">
      <c r="A1627"/>
      <c r="F1627"/>
      <c r="G1627"/>
      <c r="I1627"/>
    </row>
    <row r="1628" spans="1:9" x14ac:dyDescent="0.3">
      <c r="A1628"/>
      <c r="F1628"/>
      <c r="G1628"/>
      <c r="I1628"/>
    </row>
    <row r="1629" spans="1:9" x14ac:dyDescent="0.3">
      <c r="A1629"/>
      <c r="F1629"/>
      <c r="G1629"/>
      <c r="I1629"/>
    </row>
    <row r="1630" spans="1:9" x14ac:dyDescent="0.3">
      <c r="A1630"/>
      <c r="F1630"/>
      <c r="G1630"/>
      <c r="I1630"/>
    </row>
    <row r="1631" spans="1:9" x14ac:dyDescent="0.3">
      <c r="A1631"/>
      <c r="F1631"/>
      <c r="G1631"/>
      <c r="I1631"/>
    </row>
    <row r="1632" spans="1:9" x14ac:dyDescent="0.3">
      <c r="A1632"/>
      <c r="F1632"/>
      <c r="G1632"/>
      <c r="I1632"/>
    </row>
    <row r="1633" spans="1:9" x14ac:dyDescent="0.3">
      <c r="A1633"/>
      <c r="F1633"/>
      <c r="G1633"/>
      <c r="I1633"/>
    </row>
    <row r="1634" spans="1:9" x14ac:dyDescent="0.3">
      <c r="A1634"/>
      <c r="F1634"/>
      <c r="G1634"/>
      <c r="I1634"/>
    </row>
    <row r="1635" spans="1:9" x14ac:dyDescent="0.3">
      <c r="A1635"/>
      <c r="F1635"/>
      <c r="G1635"/>
      <c r="I1635"/>
    </row>
    <row r="1636" spans="1:9" x14ac:dyDescent="0.3">
      <c r="A1636"/>
      <c r="F1636"/>
      <c r="G1636"/>
      <c r="I1636"/>
    </row>
    <row r="1637" spans="1:9" x14ac:dyDescent="0.3">
      <c r="A1637"/>
      <c r="F1637"/>
      <c r="G1637"/>
      <c r="I1637"/>
    </row>
    <row r="1638" spans="1:9" x14ac:dyDescent="0.3">
      <c r="A1638"/>
      <c r="F1638"/>
      <c r="G1638"/>
      <c r="I1638"/>
    </row>
    <row r="1639" spans="1:9" x14ac:dyDescent="0.3">
      <c r="A1639"/>
      <c r="F1639"/>
      <c r="G1639"/>
      <c r="I1639"/>
    </row>
    <row r="1640" spans="1:9" x14ac:dyDescent="0.3">
      <c r="A1640"/>
      <c r="F1640"/>
      <c r="G1640"/>
      <c r="I1640"/>
    </row>
    <row r="1641" spans="1:9" x14ac:dyDescent="0.3">
      <c r="A1641"/>
      <c r="F1641"/>
      <c r="G1641"/>
      <c r="I1641"/>
    </row>
    <row r="1642" spans="1:9" x14ac:dyDescent="0.3">
      <c r="A1642"/>
      <c r="F1642"/>
      <c r="G1642"/>
      <c r="I1642"/>
    </row>
    <row r="1643" spans="1:9" x14ac:dyDescent="0.3">
      <c r="A1643"/>
      <c r="F1643"/>
      <c r="G1643"/>
      <c r="I1643"/>
    </row>
    <row r="1644" spans="1:9" x14ac:dyDescent="0.3">
      <c r="A1644"/>
      <c r="F1644"/>
      <c r="G1644"/>
      <c r="I1644"/>
    </row>
    <row r="1645" spans="1:9" x14ac:dyDescent="0.3">
      <c r="A1645"/>
      <c r="F1645"/>
      <c r="G1645"/>
      <c r="I1645"/>
    </row>
    <row r="1646" spans="1:9" x14ac:dyDescent="0.3">
      <c r="A1646"/>
      <c r="F1646"/>
      <c r="G1646"/>
      <c r="I1646"/>
    </row>
    <row r="1647" spans="1:9" x14ac:dyDescent="0.3">
      <c r="A1647"/>
      <c r="F1647"/>
      <c r="G1647"/>
      <c r="I1647"/>
    </row>
    <row r="1648" spans="1:9" x14ac:dyDescent="0.3">
      <c r="A1648"/>
      <c r="F1648"/>
      <c r="G1648"/>
      <c r="I1648"/>
    </row>
    <row r="1649" spans="1:9" x14ac:dyDescent="0.3">
      <c r="A1649"/>
      <c r="F1649"/>
      <c r="G1649"/>
      <c r="I1649"/>
    </row>
    <row r="1650" spans="1:9" x14ac:dyDescent="0.3">
      <c r="A1650"/>
      <c r="F1650"/>
      <c r="G1650"/>
      <c r="I1650"/>
    </row>
    <row r="1651" spans="1:9" x14ac:dyDescent="0.3">
      <c r="A1651"/>
      <c r="F1651"/>
      <c r="G1651"/>
      <c r="I1651"/>
    </row>
    <row r="1652" spans="1:9" x14ac:dyDescent="0.3">
      <c r="A1652"/>
      <c r="F1652"/>
      <c r="G1652"/>
      <c r="I1652"/>
    </row>
    <row r="1653" spans="1:9" x14ac:dyDescent="0.3">
      <c r="A1653"/>
      <c r="F1653"/>
      <c r="G1653"/>
      <c r="I1653"/>
    </row>
    <row r="1654" spans="1:9" x14ac:dyDescent="0.3">
      <c r="A1654"/>
      <c r="F1654"/>
      <c r="G1654"/>
      <c r="I1654"/>
    </row>
    <row r="1655" spans="1:9" x14ac:dyDescent="0.3">
      <c r="A1655"/>
      <c r="F1655"/>
      <c r="G1655"/>
      <c r="I1655"/>
    </row>
    <row r="1656" spans="1:9" x14ac:dyDescent="0.3">
      <c r="A1656"/>
      <c r="F1656"/>
      <c r="G1656"/>
      <c r="I1656"/>
    </row>
    <row r="1657" spans="1:9" x14ac:dyDescent="0.3">
      <c r="A1657"/>
      <c r="F1657"/>
      <c r="G1657"/>
      <c r="I1657"/>
    </row>
    <row r="1658" spans="1:9" x14ac:dyDescent="0.3">
      <c r="A1658"/>
      <c r="F1658"/>
      <c r="G1658"/>
      <c r="I1658"/>
    </row>
    <row r="1659" spans="1:9" x14ac:dyDescent="0.3">
      <c r="A1659"/>
      <c r="F1659"/>
      <c r="G1659"/>
      <c r="I1659"/>
    </row>
    <row r="1660" spans="1:9" x14ac:dyDescent="0.3">
      <c r="A1660"/>
      <c r="F1660"/>
      <c r="G1660"/>
      <c r="I1660"/>
    </row>
    <row r="1661" spans="1:9" x14ac:dyDescent="0.3">
      <c r="A1661"/>
      <c r="F1661"/>
      <c r="G1661"/>
      <c r="I1661"/>
    </row>
    <row r="1662" spans="1:9" x14ac:dyDescent="0.3">
      <c r="A1662"/>
      <c r="F1662"/>
      <c r="G1662"/>
      <c r="I1662"/>
    </row>
    <row r="1663" spans="1:9" x14ac:dyDescent="0.3">
      <c r="A1663"/>
      <c r="F1663"/>
      <c r="G1663"/>
      <c r="I1663"/>
    </row>
    <row r="1664" spans="1:9" x14ac:dyDescent="0.3">
      <c r="A1664"/>
      <c r="F1664"/>
      <c r="G1664"/>
      <c r="I1664"/>
    </row>
    <row r="1665" spans="1:9" x14ac:dyDescent="0.3">
      <c r="A1665"/>
      <c r="F1665"/>
      <c r="G1665"/>
      <c r="I1665"/>
    </row>
    <row r="1666" spans="1:9" x14ac:dyDescent="0.3">
      <c r="A1666"/>
      <c r="F1666"/>
      <c r="G1666"/>
      <c r="I1666"/>
    </row>
    <row r="1667" spans="1:9" x14ac:dyDescent="0.3">
      <c r="A1667"/>
      <c r="F1667"/>
      <c r="G1667"/>
      <c r="I1667"/>
    </row>
    <row r="1668" spans="1:9" x14ac:dyDescent="0.3">
      <c r="A1668"/>
      <c r="F1668"/>
      <c r="G1668"/>
      <c r="I1668"/>
    </row>
    <row r="1669" spans="1:9" x14ac:dyDescent="0.3">
      <c r="A1669"/>
      <c r="F1669"/>
      <c r="G1669"/>
      <c r="I1669"/>
    </row>
    <row r="1670" spans="1:9" x14ac:dyDescent="0.3">
      <c r="A1670"/>
      <c r="F1670"/>
      <c r="G1670"/>
      <c r="I1670"/>
    </row>
    <row r="1671" spans="1:9" x14ac:dyDescent="0.3">
      <c r="A1671"/>
      <c r="F1671"/>
      <c r="G1671"/>
      <c r="I1671"/>
    </row>
    <row r="1672" spans="1:9" x14ac:dyDescent="0.3">
      <c r="A1672"/>
      <c r="F1672"/>
      <c r="G1672"/>
      <c r="I1672"/>
    </row>
    <row r="1673" spans="1:9" x14ac:dyDescent="0.3">
      <c r="A1673"/>
      <c r="F1673"/>
      <c r="G1673"/>
      <c r="I1673"/>
    </row>
    <row r="1674" spans="1:9" x14ac:dyDescent="0.3">
      <c r="A1674"/>
      <c r="F1674"/>
      <c r="G1674"/>
      <c r="I1674"/>
    </row>
    <row r="1675" spans="1:9" x14ac:dyDescent="0.3">
      <c r="A1675"/>
      <c r="F1675"/>
      <c r="G1675"/>
      <c r="I1675"/>
    </row>
    <row r="1676" spans="1:9" x14ac:dyDescent="0.3">
      <c r="A1676"/>
      <c r="F1676"/>
      <c r="G1676"/>
      <c r="I1676"/>
    </row>
    <row r="1677" spans="1:9" x14ac:dyDescent="0.3">
      <c r="A1677"/>
      <c r="F1677"/>
      <c r="G1677"/>
      <c r="I1677"/>
    </row>
    <row r="1678" spans="1:9" x14ac:dyDescent="0.3">
      <c r="A1678"/>
      <c r="F1678"/>
      <c r="G1678"/>
      <c r="I1678"/>
    </row>
    <row r="1679" spans="1:9" x14ac:dyDescent="0.3">
      <c r="A1679"/>
      <c r="F1679"/>
      <c r="G1679"/>
      <c r="I1679"/>
    </row>
    <row r="1680" spans="1:9" x14ac:dyDescent="0.3">
      <c r="A1680"/>
      <c r="F1680"/>
      <c r="G1680"/>
      <c r="I1680"/>
    </row>
    <row r="1681" spans="1:9" x14ac:dyDescent="0.3">
      <c r="A1681"/>
      <c r="F1681"/>
      <c r="G1681"/>
      <c r="I1681"/>
    </row>
    <row r="1682" spans="1:9" x14ac:dyDescent="0.3">
      <c r="A1682"/>
      <c r="F1682"/>
      <c r="G1682"/>
      <c r="I1682"/>
    </row>
    <row r="1683" spans="1:9" x14ac:dyDescent="0.3">
      <c r="A1683"/>
      <c r="F1683"/>
      <c r="G1683"/>
      <c r="I1683"/>
    </row>
    <row r="1684" spans="1:9" x14ac:dyDescent="0.3">
      <c r="A1684"/>
      <c r="F1684"/>
      <c r="G1684"/>
      <c r="I1684"/>
    </row>
    <row r="1685" spans="1:9" x14ac:dyDescent="0.3">
      <c r="A1685"/>
      <c r="F1685"/>
      <c r="G1685"/>
      <c r="I1685"/>
    </row>
    <row r="1686" spans="1:9" x14ac:dyDescent="0.3">
      <c r="A1686"/>
      <c r="F1686"/>
      <c r="G1686"/>
      <c r="I1686"/>
    </row>
    <row r="1687" spans="1:9" x14ac:dyDescent="0.3">
      <c r="A1687"/>
      <c r="F1687"/>
      <c r="G1687"/>
      <c r="I1687"/>
    </row>
    <row r="1688" spans="1:9" x14ac:dyDescent="0.3">
      <c r="A1688"/>
      <c r="F1688"/>
      <c r="G1688"/>
      <c r="I1688"/>
    </row>
    <row r="1689" spans="1:9" x14ac:dyDescent="0.3">
      <c r="A1689"/>
      <c r="F1689"/>
      <c r="G1689"/>
      <c r="I1689"/>
    </row>
    <row r="1690" spans="1:9" x14ac:dyDescent="0.3">
      <c r="A1690"/>
      <c r="F1690"/>
      <c r="G1690"/>
      <c r="I1690"/>
    </row>
    <row r="1691" spans="1:9" x14ac:dyDescent="0.3">
      <c r="A1691"/>
      <c r="F1691"/>
      <c r="G1691"/>
      <c r="I1691"/>
    </row>
    <row r="1692" spans="1:9" x14ac:dyDescent="0.3">
      <c r="A1692"/>
      <c r="F1692"/>
      <c r="G1692"/>
      <c r="I1692"/>
    </row>
    <row r="1693" spans="1:9" x14ac:dyDescent="0.3">
      <c r="A1693"/>
      <c r="F1693"/>
      <c r="G1693"/>
      <c r="I1693"/>
    </row>
    <row r="1694" spans="1:9" x14ac:dyDescent="0.3">
      <c r="A1694"/>
      <c r="F1694"/>
      <c r="G1694"/>
      <c r="I1694"/>
    </row>
    <row r="1695" spans="1:9" x14ac:dyDescent="0.3">
      <c r="A1695"/>
      <c r="F1695"/>
      <c r="G1695"/>
      <c r="I1695"/>
    </row>
    <row r="1696" spans="1:9" x14ac:dyDescent="0.3">
      <c r="A1696"/>
      <c r="F1696"/>
      <c r="G1696"/>
      <c r="I1696"/>
    </row>
    <row r="1697" spans="1:9" x14ac:dyDescent="0.3">
      <c r="A1697"/>
      <c r="F1697"/>
      <c r="G1697"/>
      <c r="I1697"/>
    </row>
    <row r="1698" spans="1:9" x14ac:dyDescent="0.3">
      <c r="A1698"/>
      <c r="F1698"/>
      <c r="G1698"/>
      <c r="I1698"/>
    </row>
    <row r="1699" spans="1:9" x14ac:dyDescent="0.3">
      <c r="A1699"/>
      <c r="F1699"/>
      <c r="G1699"/>
      <c r="I1699"/>
    </row>
    <row r="1700" spans="1:9" x14ac:dyDescent="0.3">
      <c r="A1700"/>
      <c r="F1700"/>
      <c r="G1700"/>
      <c r="I1700"/>
    </row>
    <row r="1701" spans="1:9" x14ac:dyDescent="0.3">
      <c r="A1701"/>
      <c r="F1701"/>
      <c r="G1701"/>
      <c r="I1701"/>
    </row>
    <row r="1702" spans="1:9" x14ac:dyDescent="0.3">
      <c r="A1702"/>
      <c r="F1702"/>
      <c r="G1702"/>
      <c r="I1702"/>
    </row>
    <row r="1703" spans="1:9" x14ac:dyDescent="0.3">
      <c r="A1703"/>
      <c r="F1703"/>
      <c r="G1703"/>
      <c r="I1703"/>
    </row>
    <row r="1704" spans="1:9" x14ac:dyDescent="0.3">
      <c r="A1704"/>
      <c r="F1704"/>
      <c r="G1704"/>
      <c r="I1704"/>
    </row>
    <row r="1705" spans="1:9" x14ac:dyDescent="0.3">
      <c r="A1705"/>
      <c r="F1705"/>
      <c r="G1705"/>
      <c r="I1705"/>
    </row>
    <row r="1706" spans="1:9" x14ac:dyDescent="0.3">
      <c r="A1706"/>
      <c r="F1706"/>
      <c r="G1706"/>
      <c r="I1706"/>
    </row>
    <row r="1707" spans="1:9" x14ac:dyDescent="0.3">
      <c r="A1707"/>
      <c r="F1707"/>
      <c r="G1707"/>
      <c r="I1707"/>
    </row>
    <row r="1708" spans="1:9" x14ac:dyDescent="0.3">
      <c r="A1708"/>
      <c r="F1708"/>
      <c r="G1708"/>
      <c r="I1708"/>
    </row>
    <row r="1709" spans="1:9" x14ac:dyDescent="0.3">
      <c r="A1709"/>
      <c r="F1709"/>
      <c r="G1709"/>
      <c r="I1709"/>
    </row>
    <row r="1710" spans="1:9" x14ac:dyDescent="0.3">
      <c r="A1710"/>
      <c r="F1710"/>
      <c r="G1710"/>
      <c r="I1710"/>
    </row>
    <row r="1711" spans="1:9" x14ac:dyDescent="0.3">
      <c r="A1711"/>
      <c r="F1711"/>
      <c r="G1711"/>
      <c r="I1711"/>
    </row>
    <row r="1712" spans="1:9" x14ac:dyDescent="0.3">
      <c r="A1712"/>
      <c r="F1712"/>
      <c r="G1712"/>
      <c r="I1712"/>
    </row>
    <row r="1713" spans="1:9" x14ac:dyDescent="0.3">
      <c r="A1713"/>
      <c r="F1713"/>
      <c r="G1713"/>
      <c r="I1713"/>
    </row>
    <row r="1714" spans="1:9" x14ac:dyDescent="0.3">
      <c r="A1714"/>
      <c r="F1714"/>
      <c r="G1714"/>
      <c r="I1714"/>
    </row>
    <row r="1715" spans="1:9" x14ac:dyDescent="0.3">
      <c r="A1715"/>
      <c r="F1715"/>
      <c r="G1715"/>
      <c r="I1715"/>
    </row>
    <row r="1716" spans="1:9" x14ac:dyDescent="0.3">
      <c r="A1716"/>
      <c r="F1716"/>
      <c r="G1716"/>
      <c r="I1716"/>
    </row>
    <row r="1717" spans="1:9" x14ac:dyDescent="0.3">
      <c r="A1717"/>
      <c r="F1717"/>
      <c r="G1717"/>
      <c r="I1717"/>
    </row>
    <row r="1718" spans="1:9" x14ac:dyDescent="0.3">
      <c r="A1718"/>
      <c r="F1718"/>
      <c r="G1718"/>
      <c r="I1718"/>
    </row>
    <row r="1719" spans="1:9" x14ac:dyDescent="0.3">
      <c r="A1719"/>
      <c r="F1719"/>
      <c r="G1719"/>
      <c r="I1719"/>
    </row>
    <row r="1720" spans="1:9" x14ac:dyDescent="0.3">
      <c r="A1720"/>
      <c r="F1720"/>
      <c r="G1720"/>
      <c r="I1720"/>
    </row>
    <row r="1721" spans="1:9" x14ac:dyDescent="0.3">
      <c r="A1721"/>
      <c r="F1721"/>
      <c r="G1721"/>
      <c r="I1721"/>
    </row>
    <row r="1722" spans="1:9" x14ac:dyDescent="0.3">
      <c r="A1722"/>
      <c r="F1722"/>
      <c r="G1722"/>
      <c r="I1722"/>
    </row>
    <row r="1723" spans="1:9" x14ac:dyDescent="0.3">
      <c r="A1723"/>
      <c r="F1723"/>
      <c r="G1723"/>
      <c r="I1723"/>
    </row>
    <row r="1724" spans="1:9" x14ac:dyDescent="0.3">
      <c r="A1724"/>
      <c r="F1724"/>
      <c r="G1724"/>
      <c r="I1724"/>
    </row>
    <row r="1725" spans="1:9" x14ac:dyDescent="0.3">
      <c r="A1725"/>
      <c r="F1725"/>
      <c r="G1725"/>
      <c r="I1725"/>
    </row>
    <row r="1726" spans="1:9" x14ac:dyDescent="0.3">
      <c r="A1726"/>
      <c r="F1726"/>
      <c r="G1726"/>
      <c r="I1726"/>
    </row>
    <row r="1727" spans="1:9" x14ac:dyDescent="0.3">
      <c r="A1727"/>
      <c r="F1727"/>
      <c r="G1727"/>
      <c r="I1727"/>
    </row>
    <row r="1728" spans="1:9" x14ac:dyDescent="0.3">
      <c r="A1728"/>
      <c r="F1728"/>
      <c r="G1728"/>
      <c r="I1728"/>
    </row>
    <row r="1729" spans="1:9" x14ac:dyDescent="0.3">
      <c r="A1729"/>
      <c r="F1729"/>
      <c r="G1729"/>
      <c r="I1729"/>
    </row>
    <row r="1730" spans="1:9" x14ac:dyDescent="0.3">
      <c r="A1730"/>
      <c r="F1730"/>
      <c r="G1730"/>
      <c r="I1730"/>
    </row>
    <row r="1731" spans="1:9" x14ac:dyDescent="0.3">
      <c r="A1731"/>
      <c r="F1731"/>
      <c r="G1731"/>
      <c r="I1731"/>
    </row>
    <row r="1732" spans="1:9" x14ac:dyDescent="0.3">
      <c r="A1732"/>
      <c r="F1732"/>
      <c r="G1732"/>
      <c r="I1732"/>
    </row>
    <row r="1733" spans="1:9" x14ac:dyDescent="0.3">
      <c r="A1733"/>
      <c r="F1733"/>
      <c r="G1733"/>
      <c r="I1733"/>
    </row>
    <row r="1734" spans="1:9" x14ac:dyDescent="0.3">
      <c r="A1734"/>
      <c r="F1734"/>
      <c r="G1734"/>
      <c r="I1734"/>
    </row>
    <row r="1735" spans="1:9" x14ac:dyDescent="0.3">
      <c r="A1735"/>
      <c r="F1735"/>
      <c r="G1735"/>
      <c r="I1735"/>
    </row>
    <row r="1736" spans="1:9" x14ac:dyDescent="0.3">
      <c r="A1736"/>
      <c r="F1736"/>
      <c r="G1736"/>
      <c r="I1736"/>
    </row>
    <row r="1737" spans="1:9" x14ac:dyDescent="0.3">
      <c r="A1737"/>
      <c r="F1737"/>
      <c r="G1737"/>
      <c r="I1737"/>
    </row>
    <row r="1738" spans="1:9" x14ac:dyDescent="0.3">
      <c r="A1738"/>
      <c r="F1738"/>
      <c r="G1738"/>
      <c r="I1738"/>
    </row>
    <row r="1739" spans="1:9" x14ac:dyDescent="0.3">
      <c r="A1739"/>
      <c r="F1739"/>
      <c r="G1739"/>
      <c r="I1739"/>
    </row>
    <row r="1740" spans="1:9" x14ac:dyDescent="0.3">
      <c r="A1740"/>
      <c r="F1740"/>
      <c r="G1740"/>
      <c r="I1740"/>
    </row>
    <row r="1741" spans="1:9" x14ac:dyDescent="0.3">
      <c r="A1741"/>
      <c r="F1741"/>
      <c r="G1741"/>
      <c r="I1741"/>
    </row>
    <row r="1742" spans="1:9" x14ac:dyDescent="0.3">
      <c r="A1742"/>
      <c r="F1742"/>
      <c r="G1742"/>
      <c r="I1742"/>
    </row>
    <row r="1743" spans="1:9" x14ac:dyDescent="0.3">
      <c r="A1743"/>
      <c r="F1743"/>
      <c r="G1743"/>
      <c r="I1743"/>
    </row>
    <row r="1744" spans="1:9" x14ac:dyDescent="0.3">
      <c r="A1744"/>
      <c r="F1744"/>
      <c r="G1744"/>
      <c r="I1744"/>
    </row>
    <row r="1745" spans="1:9" x14ac:dyDescent="0.3">
      <c r="A1745"/>
      <c r="F1745"/>
      <c r="G1745"/>
      <c r="I1745"/>
    </row>
    <row r="1746" spans="1:9" x14ac:dyDescent="0.3">
      <c r="A1746"/>
      <c r="F1746"/>
      <c r="G1746"/>
      <c r="I1746"/>
    </row>
    <row r="1747" spans="1:9" x14ac:dyDescent="0.3">
      <c r="A1747"/>
      <c r="F1747"/>
      <c r="G1747"/>
      <c r="I1747"/>
    </row>
    <row r="1748" spans="1:9" x14ac:dyDescent="0.3">
      <c r="A1748"/>
      <c r="F1748"/>
      <c r="G1748"/>
      <c r="I1748"/>
    </row>
    <row r="1749" spans="1:9" x14ac:dyDescent="0.3">
      <c r="A1749"/>
      <c r="F1749"/>
      <c r="G1749"/>
      <c r="I1749"/>
    </row>
    <row r="1750" spans="1:9" x14ac:dyDescent="0.3">
      <c r="A1750"/>
      <c r="F1750"/>
      <c r="G1750"/>
      <c r="I1750"/>
    </row>
    <row r="1751" spans="1:9" x14ac:dyDescent="0.3">
      <c r="A1751"/>
      <c r="F1751"/>
      <c r="G1751"/>
      <c r="I1751"/>
    </row>
    <row r="1752" spans="1:9" x14ac:dyDescent="0.3">
      <c r="A1752"/>
      <c r="F1752"/>
      <c r="G1752"/>
      <c r="I1752"/>
    </row>
    <row r="1753" spans="1:9" x14ac:dyDescent="0.3">
      <c r="A1753"/>
      <c r="F1753"/>
      <c r="G1753"/>
      <c r="I1753"/>
    </row>
    <row r="1754" spans="1:9" x14ac:dyDescent="0.3">
      <c r="A1754"/>
      <c r="F1754"/>
      <c r="G1754"/>
      <c r="I1754"/>
    </row>
    <row r="1755" spans="1:9" x14ac:dyDescent="0.3">
      <c r="A1755"/>
      <c r="F1755"/>
      <c r="G1755"/>
      <c r="I1755"/>
    </row>
    <row r="1756" spans="1:9" x14ac:dyDescent="0.3">
      <c r="A1756"/>
      <c r="F1756"/>
      <c r="G1756"/>
      <c r="I1756"/>
    </row>
    <row r="1757" spans="1:9" x14ac:dyDescent="0.3">
      <c r="A1757"/>
      <c r="F1757"/>
      <c r="G1757"/>
      <c r="I1757"/>
    </row>
    <row r="1758" spans="1:9" x14ac:dyDescent="0.3">
      <c r="A1758"/>
      <c r="F1758"/>
      <c r="G1758"/>
      <c r="I1758"/>
    </row>
    <row r="1759" spans="1:9" x14ac:dyDescent="0.3">
      <c r="A1759"/>
      <c r="F1759"/>
      <c r="G1759"/>
      <c r="I1759"/>
    </row>
    <row r="1760" spans="1:9" x14ac:dyDescent="0.3">
      <c r="A1760"/>
      <c r="F1760"/>
      <c r="G1760"/>
      <c r="I1760"/>
    </row>
    <row r="1761" spans="1:9" x14ac:dyDescent="0.3">
      <c r="A1761"/>
      <c r="F1761"/>
      <c r="G1761"/>
      <c r="I1761"/>
    </row>
    <row r="1762" spans="1:9" x14ac:dyDescent="0.3">
      <c r="A1762"/>
      <c r="F1762"/>
      <c r="G1762"/>
      <c r="I1762"/>
    </row>
    <row r="1763" spans="1:9" x14ac:dyDescent="0.3">
      <c r="A1763"/>
      <c r="F1763"/>
      <c r="G1763"/>
      <c r="I1763"/>
    </row>
    <row r="1764" spans="1:9" x14ac:dyDescent="0.3">
      <c r="A1764"/>
      <c r="F1764"/>
      <c r="G1764"/>
      <c r="I1764"/>
    </row>
    <row r="1765" spans="1:9" x14ac:dyDescent="0.3">
      <c r="A1765"/>
      <c r="F1765"/>
      <c r="G1765"/>
      <c r="I1765"/>
    </row>
    <row r="1766" spans="1:9" x14ac:dyDescent="0.3">
      <c r="A1766"/>
      <c r="F1766"/>
      <c r="G1766"/>
      <c r="I1766"/>
    </row>
    <row r="1767" spans="1:9" x14ac:dyDescent="0.3">
      <c r="A1767"/>
      <c r="F1767"/>
      <c r="G1767"/>
      <c r="I1767"/>
    </row>
    <row r="1768" spans="1:9" x14ac:dyDescent="0.3">
      <c r="A1768"/>
      <c r="F1768"/>
      <c r="G1768"/>
      <c r="I1768"/>
    </row>
    <row r="1769" spans="1:9" x14ac:dyDescent="0.3">
      <c r="A1769"/>
      <c r="F1769"/>
      <c r="G1769"/>
      <c r="I1769"/>
    </row>
    <row r="1770" spans="1:9" x14ac:dyDescent="0.3">
      <c r="A1770"/>
      <c r="F1770"/>
      <c r="G1770"/>
      <c r="I1770"/>
    </row>
    <row r="1771" spans="1:9" x14ac:dyDescent="0.3">
      <c r="A1771"/>
      <c r="F1771"/>
      <c r="G1771"/>
      <c r="I1771"/>
    </row>
    <row r="1772" spans="1:9" x14ac:dyDescent="0.3">
      <c r="A1772"/>
      <c r="F1772"/>
      <c r="G1772"/>
      <c r="I1772"/>
    </row>
    <row r="1773" spans="1:9" x14ac:dyDescent="0.3">
      <c r="A1773"/>
      <c r="F1773"/>
      <c r="G1773"/>
      <c r="I1773"/>
    </row>
    <row r="1774" spans="1:9" x14ac:dyDescent="0.3">
      <c r="A1774"/>
      <c r="F1774"/>
      <c r="G1774"/>
      <c r="I1774"/>
    </row>
    <row r="1775" spans="1:9" x14ac:dyDescent="0.3">
      <c r="A1775"/>
      <c r="F1775"/>
      <c r="G1775"/>
      <c r="I1775"/>
    </row>
    <row r="1776" spans="1:9" x14ac:dyDescent="0.3">
      <c r="A1776"/>
      <c r="F1776"/>
      <c r="G1776"/>
      <c r="I1776"/>
    </row>
    <row r="1777" spans="1:9" x14ac:dyDescent="0.3">
      <c r="A1777"/>
      <c r="F1777"/>
      <c r="G1777"/>
      <c r="I1777"/>
    </row>
    <row r="1778" spans="1:9" x14ac:dyDescent="0.3">
      <c r="A1778"/>
      <c r="F1778"/>
      <c r="G1778"/>
      <c r="I1778"/>
    </row>
    <row r="1779" spans="1:9" x14ac:dyDescent="0.3">
      <c r="A1779"/>
      <c r="F1779"/>
      <c r="G1779"/>
      <c r="I1779"/>
    </row>
    <row r="1780" spans="1:9" x14ac:dyDescent="0.3">
      <c r="A1780"/>
      <c r="F1780"/>
      <c r="G1780"/>
      <c r="I1780"/>
    </row>
    <row r="1781" spans="1:9" x14ac:dyDescent="0.3">
      <c r="A1781"/>
      <c r="F1781"/>
      <c r="G1781"/>
      <c r="I1781"/>
    </row>
    <row r="1782" spans="1:9" x14ac:dyDescent="0.3">
      <c r="A1782"/>
      <c r="F1782"/>
      <c r="G1782"/>
      <c r="I1782"/>
    </row>
    <row r="1783" spans="1:9" x14ac:dyDescent="0.3">
      <c r="A1783"/>
      <c r="F1783"/>
      <c r="G1783"/>
      <c r="I1783"/>
    </row>
    <row r="1784" spans="1:9" x14ac:dyDescent="0.3">
      <c r="A1784"/>
      <c r="F1784"/>
      <c r="G1784"/>
      <c r="I1784"/>
    </row>
    <row r="1785" spans="1:9" x14ac:dyDescent="0.3">
      <c r="A1785"/>
      <c r="F1785"/>
      <c r="G1785"/>
      <c r="I1785"/>
    </row>
    <row r="1786" spans="1:9" x14ac:dyDescent="0.3">
      <c r="A1786"/>
      <c r="F1786"/>
      <c r="G1786"/>
      <c r="I1786"/>
    </row>
    <row r="1787" spans="1:9" x14ac:dyDescent="0.3">
      <c r="A1787"/>
      <c r="F1787"/>
      <c r="G1787"/>
      <c r="I1787"/>
    </row>
    <row r="1788" spans="1:9" x14ac:dyDescent="0.3">
      <c r="A1788"/>
      <c r="F1788"/>
      <c r="G1788"/>
      <c r="I1788"/>
    </row>
    <row r="1789" spans="1:9" x14ac:dyDescent="0.3">
      <c r="A1789"/>
      <c r="F1789"/>
      <c r="G1789"/>
      <c r="I1789"/>
    </row>
    <row r="1790" spans="1:9" x14ac:dyDescent="0.3">
      <c r="A1790"/>
      <c r="F1790"/>
      <c r="G1790"/>
      <c r="I1790"/>
    </row>
    <row r="1791" spans="1:9" x14ac:dyDescent="0.3">
      <c r="A1791"/>
      <c r="F1791"/>
      <c r="G1791"/>
      <c r="I1791"/>
    </row>
    <row r="1792" spans="1:9" x14ac:dyDescent="0.3">
      <c r="A1792"/>
      <c r="F1792"/>
      <c r="G1792"/>
      <c r="I1792"/>
    </row>
    <row r="1793" spans="1:9" x14ac:dyDescent="0.3">
      <c r="A1793"/>
      <c r="F1793"/>
      <c r="G1793"/>
      <c r="I1793"/>
    </row>
    <row r="1794" spans="1:9" x14ac:dyDescent="0.3">
      <c r="A1794"/>
      <c r="F1794"/>
      <c r="G1794"/>
      <c r="I1794"/>
    </row>
    <row r="1795" spans="1:9" x14ac:dyDescent="0.3">
      <c r="A1795"/>
      <c r="F1795"/>
      <c r="G1795"/>
      <c r="I1795"/>
    </row>
    <row r="1796" spans="1:9" x14ac:dyDescent="0.3">
      <c r="A1796"/>
      <c r="F1796"/>
      <c r="G1796"/>
      <c r="I1796"/>
    </row>
    <row r="1797" spans="1:9" x14ac:dyDescent="0.3">
      <c r="A1797"/>
      <c r="F1797"/>
      <c r="G1797"/>
      <c r="I1797"/>
    </row>
    <row r="1798" spans="1:9" x14ac:dyDescent="0.3">
      <c r="A1798"/>
      <c r="F1798"/>
      <c r="G1798"/>
      <c r="I1798"/>
    </row>
    <row r="1799" spans="1:9" x14ac:dyDescent="0.3">
      <c r="A1799"/>
      <c r="F1799"/>
      <c r="G1799"/>
      <c r="I1799"/>
    </row>
    <row r="1800" spans="1:9" x14ac:dyDescent="0.3">
      <c r="A1800"/>
      <c r="F1800"/>
      <c r="G1800"/>
      <c r="I1800"/>
    </row>
    <row r="1801" spans="1:9" x14ac:dyDescent="0.3">
      <c r="A1801"/>
      <c r="F1801"/>
      <c r="G1801"/>
      <c r="I1801"/>
    </row>
    <row r="1802" spans="1:9" x14ac:dyDescent="0.3">
      <c r="A1802"/>
      <c r="F1802"/>
      <c r="G1802"/>
      <c r="I1802"/>
    </row>
    <row r="1803" spans="1:9" x14ac:dyDescent="0.3">
      <c r="A1803"/>
      <c r="F1803"/>
      <c r="G1803"/>
      <c r="I1803"/>
    </row>
    <row r="1804" spans="1:9" x14ac:dyDescent="0.3">
      <c r="A1804"/>
      <c r="F1804"/>
      <c r="G1804"/>
      <c r="I1804"/>
    </row>
    <row r="1805" spans="1:9" x14ac:dyDescent="0.3">
      <c r="A1805"/>
      <c r="F1805"/>
      <c r="G1805"/>
      <c r="I1805"/>
    </row>
    <row r="1806" spans="1:9" x14ac:dyDescent="0.3">
      <c r="A1806"/>
      <c r="F1806"/>
      <c r="G1806"/>
      <c r="I1806"/>
    </row>
    <row r="1807" spans="1:9" x14ac:dyDescent="0.3">
      <c r="A1807"/>
      <c r="F1807"/>
      <c r="G1807"/>
      <c r="I1807"/>
    </row>
    <row r="1808" spans="1:9" x14ac:dyDescent="0.3">
      <c r="A1808"/>
      <c r="F1808"/>
      <c r="G1808"/>
      <c r="I1808"/>
    </row>
    <row r="1809" spans="1:9" x14ac:dyDescent="0.3">
      <c r="A1809"/>
      <c r="F1809"/>
      <c r="G1809"/>
      <c r="I1809"/>
    </row>
    <row r="1810" spans="1:9" x14ac:dyDescent="0.3">
      <c r="A1810"/>
      <c r="F1810"/>
      <c r="G1810"/>
      <c r="I1810"/>
    </row>
    <row r="1811" spans="1:9" x14ac:dyDescent="0.3">
      <c r="A1811"/>
      <c r="F1811"/>
      <c r="G1811"/>
      <c r="I1811"/>
    </row>
    <row r="1812" spans="1:9" x14ac:dyDescent="0.3">
      <c r="A1812"/>
      <c r="F1812"/>
      <c r="G1812"/>
      <c r="I1812"/>
    </row>
    <row r="1813" spans="1:9" x14ac:dyDescent="0.3">
      <c r="A1813"/>
      <c r="F1813"/>
      <c r="G1813"/>
      <c r="I1813"/>
    </row>
    <row r="1814" spans="1:9" x14ac:dyDescent="0.3">
      <c r="A1814"/>
      <c r="F1814"/>
      <c r="G1814"/>
      <c r="I1814"/>
    </row>
    <row r="1815" spans="1:9" x14ac:dyDescent="0.3">
      <c r="A1815"/>
      <c r="F1815"/>
      <c r="G1815"/>
      <c r="I1815"/>
    </row>
    <row r="1816" spans="1:9" x14ac:dyDescent="0.3">
      <c r="A1816"/>
      <c r="F1816"/>
      <c r="G1816"/>
      <c r="I1816"/>
    </row>
    <row r="1817" spans="1:9" x14ac:dyDescent="0.3">
      <c r="A1817"/>
      <c r="F1817"/>
      <c r="G1817"/>
      <c r="I1817"/>
    </row>
    <row r="1818" spans="1:9" x14ac:dyDescent="0.3">
      <c r="A1818"/>
      <c r="F1818"/>
      <c r="G1818"/>
      <c r="I1818"/>
    </row>
    <row r="1819" spans="1:9" x14ac:dyDescent="0.3">
      <c r="A1819"/>
      <c r="F1819"/>
      <c r="G1819"/>
      <c r="I1819"/>
    </row>
    <row r="1820" spans="1:9" x14ac:dyDescent="0.3">
      <c r="A1820"/>
      <c r="F1820"/>
      <c r="G1820"/>
      <c r="I1820"/>
    </row>
    <row r="1821" spans="1:9" x14ac:dyDescent="0.3">
      <c r="A1821"/>
      <c r="F1821"/>
      <c r="G1821"/>
      <c r="I1821"/>
    </row>
    <row r="1822" spans="1:9" x14ac:dyDescent="0.3">
      <c r="A1822"/>
      <c r="F1822"/>
      <c r="G1822"/>
      <c r="I1822"/>
    </row>
    <row r="1823" spans="1:9" x14ac:dyDescent="0.3">
      <c r="A1823"/>
      <c r="F1823"/>
      <c r="G1823"/>
      <c r="I1823"/>
    </row>
    <row r="1824" spans="1:9" x14ac:dyDescent="0.3">
      <c r="A1824"/>
      <c r="F1824"/>
      <c r="G1824"/>
      <c r="I1824"/>
    </row>
    <row r="1825" spans="1:9" x14ac:dyDescent="0.3">
      <c r="A1825"/>
      <c r="F1825"/>
      <c r="G1825"/>
      <c r="I1825"/>
    </row>
    <row r="1826" spans="1:9" x14ac:dyDescent="0.3">
      <c r="A1826"/>
      <c r="F1826"/>
      <c r="G1826"/>
      <c r="I1826"/>
    </row>
    <row r="1827" spans="1:9" x14ac:dyDescent="0.3">
      <c r="A1827"/>
      <c r="F1827"/>
      <c r="G1827"/>
      <c r="I1827"/>
    </row>
    <row r="1828" spans="1:9" x14ac:dyDescent="0.3">
      <c r="A1828"/>
      <c r="F1828"/>
      <c r="G1828"/>
      <c r="I1828"/>
    </row>
    <row r="1829" spans="1:9" x14ac:dyDescent="0.3">
      <c r="A1829"/>
      <c r="F1829"/>
      <c r="G1829"/>
      <c r="I1829"/>
    </row>
    <row r="1830" spans="1:9" x14ac:dyDescent="0.3">
      <c r="A1830"/>
      <c r="F1830"/>
      <c r="G1830"/>
      <c r="I1830"/>
    </row>
    <row r="1831" spans="1:9" x14ac:dyDescent="0.3">
      <c r="A1831"/>
      <c r="F1831"/>
      <c r="G1831"/>
      <c r="I1831"/>
    </row>
    <row r="1832" spans="1:9" x14ac:dyDescent="0.3">
      <c r="A1832"/>
      <c r="F1832"/>
      <c r="G1832"/>
      <c r="I1832"/>
    </row>
    <row r="1833" spans="1:9" x14ac:dyDescent="0.3">
      <c r="A1833"/>
      <c r="F1833"/>
      <c r="G1833"/>
      <c r="I1833"/>
    </row>
    <row r="1834" spans="1:9" x14ac:dyDescent="0.3">
      <c r="A1834"/>
      <c r="F1834"/>
      <c r="G1834"/>
      <c r="I1834"/>
    </row>
    <row r="1835" spans="1:9" x14ac:dyDescent="0.3">
      <c r="A1835"/>
      <c r="F1835"/>
      <c r="G1835"/>
      <c r="I1835"/>
    </row>
    <row r="1836" spans="1:9" x14ac:dyDescent="0.3">
      <c r="A1836"/>
      <c r="F1836"/>
      <c r="G1836"/>
      <c r="I1836"/>
    </row>
    <row r="1837" spans="1:9" x14ac:dyDescent="0.3">
      <c r="A1837"/>
      <c r="F1837"/>
      <c r="G1837"/>
      <c r="I1837"/>
    </row>
    <row r="1838" spans="1:9" x14ac:dyDescent="0.3">
      <c r="A1838"/>
      <c r="F1838"/>
      <c r="G1838"/>
      <c r="I1838"/>
    </row>
    <row r="1839" spans="1:9" x14ac:dyDescent="0.3">
      <c r="A1839"/>
      <c r="F1839"/>
      <c r="G1839"/>
      <c r="I1839"/>
    </row>
    <row r="1840" spans="1:9" x14ac:dyDescent="0.3">
      <c r="A1840"/>
      <c r="F1840"/>
      <c r="G1840"/>
      <c r="I1840"/>
    </row>
    <row r="1841" spans="1:9" x14ac:dyDescent="0.3">
      <c r="A1841"/>
      <c r="F1841"/>
      <c r="G1841"/>
      <c r="I1841"/>
    </row>
    <row r="1842" spans="1:9" x14ac:dyDescent="0.3">
      <c r="A1842"/>
      <c r="F1842"/>
      <c r="G1842"/>
      <c r="I1842"/>
    </row>
    <row r="1843" spans="1:9" x14ac:dyDescent="0.3">
      <c r="A1843"/>
      <c r="F1843"/>
      <c r="G1843"/>
      <c r="I1843"/>
    </row>
    <row r="1844" spans="1:9" x14ac:dyDescent="0.3">
      <c r="A1844"/>
      <c r="F1844"/>
      <c r="G1844"/>
      <c r="I1844"/>
    </row>
    <row r="1845" spans="1:9" x14ac:dyDescent="0.3">
      <c r="A1845"/>
      <c r="F1845"/>
      <c r="G1845"/>
      <c r="I1845"/>
    </row>
    <row r="1846" spans="1:9" x14ac:dyDescent="0.3">
      <c r="A1846"/>
      <c r="F1846"/>
      <c r="G1846"/>
      <c r="I1846"/>
    </row>
    <row r="1847" spans="1:9" x14ac:dyDescent="0.3">
      <c r="A1847"/>
      <c r="F1847"/>
      <c r="G1847"/>
      <c r="I1847"/>
    </row>
    <row r="1848" spans="1:9" x14ac:dyDescent="0.3">
      <c r="A1848"/>
      <c r="F1848"/>
      <c r="G1848"/>
      <c r="I1848"/>
    </row>
    <row r="1849" spans="1:9" x14ac:dyDescent="0.3">
      <c r="A1849"/>
      <c r="F1849"/>
      <c r="G1849"/>
      <c r="I1849"/>
    </row>
    <row r="1850" spans="1:9" x14ac:dyDescent="0.3">
      <c r="A1850"/>
      <c r="F1850"/>
      <c r="G1850"/>
      <c r="I1850"/>
    </row>
    <row r="1851" spans="1:9" x14ac:dyDescent="0.3">
      <c r="A1851"/>
      <c r="F1851"/>
      <c r="G1851"/>
      <c r="I1851"/>
    </row>
    <row r="1852" spans="1:9" x14ac:dyDescent="0.3">
      <c r="A1852"/>
      <c r="F1852"/>
      <c r="G1852"/>
      <c r="I1852"/>
    </row>
    <row r="1853" spans="1:9" x14ac:dyDescent="0.3">
      <c r="A1853"/>
      <c r="F1853"/>
      <c r="G1853"/>
      <c r="I1853"/>
    </row>
    <row r="1854" spans="1:9" x14ac:dyDescent="0.3">
      <c r="A1854"/>
      <c r="F1854"/>
      <c r="G1854"/>
      <c r="I1854"/>
    </row>
    <row r="1855" spans="1:9" x14ac:dyDescent="0.3">
      <c r="A1855"/>
      <c r="F1855"/>
      <c r="G1855"/>
      <c r="I1855"/>
    </row>
    <row r="1856" spans="1:9" x14ac:dyDescent="0.3">
      <c r="A1856"/>
      <c r="F1856"/>
      <c r="G1856"/>
      <c r="I1856"/>
    </row>
    <row r="1857" spans="1:9" x14ac:dyDescent="0.3">
      <c r="A1857"/>
      <c r="F1857"/>
      <c r="G1857"/>
      <c r="I1857"/>
    </row>
    <row r="1858" spans="1:9" x14ac:dyDescent="0.3">
      <c r="A1858"/>
      <c r="F1858"/>
      <c r="G1858"/>
      <c r="I1858"/>
    </row>
    <row r="1859" spans="1:9" x14ac:dyDescent="0.3">
      <c r="A1859"/>
      <c r="F1859"/>
      <c r="G1859"/>
      <c r="I1859"/>
    </row>
    <row r="1860" spans="1:9" x14ac:dyDescent="0.3">
      <c r="A1860"/>
      <c r="F1860"/>
      <c r="G1860"/>
      <c r="I1860"/>
    </row>
    <row r="1861" spans="1:9" x14ac:dyDescent="0.3">
      <c r="A1861"/>
      <c r="F1861"/>
      <c r="G1861"/>
      <c r="I1861"/>
    </row>
    <row r="1862" spans="1:9" x14ac:dyDescent="0.3">
      <c r="A1862"/>
      <c r="F1862"/>
      <c r="G1862"/>
      <c r="I1862"/>
    </row>
    <row r="1863" spans="1:9" x14ac:dyDescent="0.3">
      <c r="A1863"/>
      <c r="F1863"/>
      <c r="G1863"/>
      <c r="I1863"/>
    </row>
    <row r="1864" spans="1:9" x14ac:dyDescent="0.3">
      <c r="A1864"/>
      <c r="F1864"/>
      <c r="G1864"/>
      <c r="I1864"/>
    </row>
    <row r="1865" spans="1:9" x14ac:dyDescent="0.3">
      <c r="A1865"/>
      <c r="F1865"/>
      <c r="G1865"/>
      <c r="I1865"/>
    </row>
    <row r="1866" spans="1:9" x14ac:dyDescent="0.3">
      <c r="A1866"/>
      <c r="F1866"/>
      <c r="G1866"/>
      <c r="I1866"/>
    </row>
    <row r="1867" spans="1:9" x14ac:dyDescent="0.3">
      <c r="A1867"/>
      <c r="F1867"/>
      <c r="G1867"/>
      <c r="I1867"/>
    </row>
    <row r="1868" spans="1:9" x14ac:dyDescent="0.3">
      <c r="A1868"/>
      <c r="F1868"/>
      <c r="G1868"/>
      <c r="I1868"/>
    </row>
    <row r="1869" spans="1:9" x14ac:dyDescent="0.3">
      <c r="A1869"/>
      <c r="F1869"/>
      <c r="G1869"/>
      <c r="I1869"/>
    </row>
    <row r="1870" spans="1:9" x14ac:dyDescent="0.3">
      <c r="A1870"/>
      <c r="F1870"/>
      <c r="G1870"/>
      <c r="I1870"/>
    </row>
    <row r="1871" spans="1:9" x14ac:dyDescent="0.3">
      <c r="A1871"/>
      <c r="F1871"/>
      <c r="G1871"/>
      <c r="I1871"/>
    </row>
    <row r="1872" spans="1:9" x14ac:dyDescent="0.3">
      <c r="A1872"/>
      <c r="F1872"/>
      <c r="G1872"/>
      <c r="I1872"/>
    </row>
    <row r="1873" spans="1:9" x14ac:dyDescent="0.3">
      <c r="A1873"/>
      <c r="F1873"/>
      <c r="G1873"/>
      <c r="I1873"/>
    </row>
    <row r="1874" spans="1:9" x14ac:dyDescent="0.3">
      <c r="A1874"/>
      <c r="F1874"/>
      <c r="G1874"/>
      <c r="I1874"/>
    </row>
    <row r="1875" spans="1:9" x14ac:dyDescent="0.3">
      <c r="A1875"/>
      <c r="F1875"/>
      <c r="G1875"/>
      <c r="I1875"/>
    </row>
    <row r="1876" spans="1:9" x14ac:dyDescent="0.3">
      <c r="A1876"/>
      <c r="F1876"/>
      <c r="G1876"/>
      <c r="I1876"/>
    </row>
    <row r="1877" spans="1:9" x14ac:dyDescent="0.3">
      <c r="A1877"/>
      <c r="F1877"/>
      <c r="G1877"/>
      <c r="I1877"/>
    </row>
    <row r="1878" spans="1:9" x14ac:dyDescent="0.3">
      <c r="A1878"/>
      <c r="F1878"/>
      <c r="G1878"/>
      <c r="I1878"/>
    </row>
    <row r="1879" spans="1:9" x14ac:dyDescent="0.3">
      <c r="A1879"/>
      <c r="F1879"/>
      <c r="G1879"/>
      <c r="I1879"/>
    </row>
    <row r="1880" spans="1:9" x14ac:dyDescent="0.3">
      <c r="A1880"/>
      <c r="F1880"/>
      <c r="G1880"/>
      <c r="I1880"/>
    </row>
    <row r="1881" spans="1:9" x14ac:dyDescent="0.3">
      <c r="A1881"/>
      <c r="F1881"/>
      <c r="G1881"/>
      <c r="I1881"/>
    </row>
    <row r="1882" spans="1:9" x14ac:dyDescent="0.3">
      <c r="A1882"/>
      <c r="F1882"/>
      <c r="G1882"/>
      <c r="I1882"/>
    </row>
    <row r="1883" spans="1:9" x14ac:dyDescent="0.3">
      <c r="A1883"/>
      <c r="F1883"/>
      <c r="G1883"/>
      <c r="I1883"/>
    </row>
    <row r="1884" spans="1:9" x14ac:dyDescent="0.3">
      <c r="A1884"/>
      <c r="F1884"/>
      <c r="G1884"/>
      <c r="I1884"/>
    </row>
    <row r="1885" spans="1:9" x14ac:dyDescent="0.3">
      <c r="A1885"/>
      <c r="F1885"/>
      <c r="G1885"/>
      <c r="I1885"/>
    </row>
    <row r="1886" spans="1:9" x14ac:dyDescent="0.3">
      <c r="A1886"/>
      <c r="F1886"/>
      <c r="G1886"/>
      <c r="I1886"/>
    </row>
    <row r="1887" spans="1:9" x14ac:dyDescent="0.3">
      <c r="A1887"/>
      <c r="F1887"/>
      <c r="G1887"/>
      <c r="I1887"/>
    </row>
    <row r="1888" spans="1:9" x14ac:dyDescent="0.3">
      <c r="A1888"/>
      <c r="F1888"/>
      <c r="G1888"/>
      <c r="I1888"/>
    </row>
    <row r="1889" spans="1:9" x14ac:dyDescent="0.3">
      <c r="A1889"/>
      <c r="F1889"/>
      <c r="G1889"/>
      <c r="I1889"/>
    </row>
    <row r="1890" spans="1:9" x14ac:dyDescent="0.3">
      <c r="A1890"/>
      <c r="F1890"/>
      <c r="G1890"/>
      <c r="I1890"/>
    </row>
    <row r="1891" spans="1:9" x14ac:dyDescent="0.3">
      <c r="A1891"/>
      <c r="F1891"/>
      <c r="G1891"/>
      <c r="I1891"/>
    </row>
    <row r="1892" spans="1:9" x14ac:dyDescent="0.3">
      <c r="A1892"/>
      <c r="F1892"/>
      <c r="G1892"/>
      <c r="I1892"/>
    </row>
    <row r="1893" spans="1:9" x14ac:dyDescent="0.3">
      <c r="A1893"/>
      <c r="F1893"/>
      <c r="G1893"/>
      <c r="I1893"/>
    </row>
    <row r="1894" spans="1:9" x14ac:dyDescent="0.3">
      <c r="A1894"/>
      <c r="F1894"/>
      <c r="G1894"/>
      <c r="I1894"/>
    </row>
    <row r="1895" spans="1:9" x14ac:dyDescent="0.3">
      <c r="A1895"/>
      <c r="F1895"/>
      <c r="G1895"/>
      <c r="I1895"/>
    </row>
    <row r="1896" spans="1:9" x14ac:dyDescent="0.3">
      <c r="A1896"/>
      <c r="F1896"/>
      <c r="G1896"/>
      <c r="I1896"/>
    </row>
    <row r="1897" spans="1:9" x14ac:dyDescent="0.3">
      <c r="A1897"/>
      <c r="F1897"/>
      <c r="G1897"/>
      <c r="I1897"/>
    </row>
    <row r="1898" spans="1:9" x14ac:dyDescent="0.3">
      <c r="A1898"/>
      <c r="F1898"/>
      <c r="G1898"/>
      <c r="I1898"/>
    </row>
    <row r="1899" spans="1:9" x14ac:dyDescent="0.3">
      <c r="A1899"/>
      <c r="F1899"/>
      <c r="G1899"/>
      <c r="I1899"/>
    </row>
    <row r="1900" spans="1:9" x14ac:dyDescent="0.3">
      <c r="A1900"/>
      <c r="F1900"/>
      <c r="G1900"/>
      <c r="I1900"/>
    </row>
    <row r="1901" spans="1:9" x14ac:dyDescent="0.3">
      <c r="A1901"/>
      <c r="F1901"/>
      <c r="G1901"/>
      <c r="I1901"/>
    </row>
    <row r="1902" spans="1:9" x14ac:dyDescent="0.3">
      <c r="A1902"/>
      <c r="F1902"/>
      <c r="G1902"/>
      <c r="I1902"/>
    </row>
    <row r="1903" spans="1:9" x14ac:dyDescent="0.3">
      <c r="A1903"/>
      <c r="F1903"/>
      <c r="G1903"/>
      <c r="I1903"/>
    </row>
    <row r="1904" spans="1:9" x14ac:dyDescent="0.3">
      <c r="A1904"/>
      <c r="F1904"/>
      <c r="G1904"/>
      <c r="I1904"/>
    </row>
    <row r="1905" spans="1:9" x14ac:dyDescent="0.3">
      <c r="A1905"/>
      <c r="F1905"/>
      <c r="G1905"/>
      <c r="I1905"/>
    </row>
    <row r="1906" spans="1:9" x14ac:dyDescent="0.3">
      <c r="A1906"/>
      <c r="F1906"/>
      <c r="G1906"/>
      <c r="I1906"/>
    </row>
    <row r="1907" spans="1:9" x14ac:dyDescent="0.3">
      <c r="A1907"/>
      <c r="F1907"/>
      <c r="G1907"/>
      <c r="I1907"/>
    </row>
    <row r="1908" spans="1:9" x14ac:dyDescent="0.3">
      <c r="A1908"/>
      <c r="F1908"/>
      <c r="G1908"/>
      <c r="I1908"/>
    </row>
    <row r="1909" spans="1:9" x14ac:dyDescent="0.3">
      <c r="A1909"/>
      <c r="F1909"/>
      <c r="G1909"/>
      <c r="I1909"/>
    </row>
    <row r="1910" spans="1:9" x14ac:dyDescent="0.3">
      <c r="A1910"/>
      <c r="F1910"/>
      <c r="G1910"/>
      <c r="I1910"/>
    </row>
    <row r="1911" spans="1:9" x14ac:dyDescent="0.3">
      <c r="A1911"/>
      <c r="F1911"/>
      <c r="G1911"/>
      <c r="I1911"/>
    </row>
    <row r="1912" spans="1:9" x14ac:dyDescent="0.3">
      <c r="A1912"/>
      <c r="F1912"/>
      <c r="G1912"/>
      <c r="I1912"/>
    </row>
    <row r="1913" spans="1:9" x14ac:dyDescent="0.3">
      <c r="A1913"/>
      <c r="F1913"/>
      <c r="G1913"/>
      <c r="I1913"/>
    </row>
    <row r="1914" spans="1:9" x14ac:dyDescent="0.3">
      <c r="A1914"/>
      <c r="F1914"/>
      <c r="G1914"/>
      <c r="I1914"/>
    </row>
    <row r="1915" spans="1:9" x14ac:dyDescent="0.3">
      <c r="A1915"/>
      <c r="F1915"/>
      <c r="G1915"/>
      <c r="I1915"/>
    </row>
    <row r="1916" spans="1:9" x14ac:dyDescent="0.3">
      <c r="A1916"/>
      <c r="F1916"/>
      <c r="G1916"/>
      <c r="I1916"/>
    </row>
    <row r="1917" spans="1:9" x14ac:dyDescent="0.3">
      <c r="A1917"/>
      <c r="F1917"/>
      <c r="G1917"/>
      <c r="I1917"/>
    </row>
    <row r="1918" spans="1:9" x14ac:dyDescent="0.3">
      <c r="A1918"/>
      <c r="F1918"/>
      <c r="G1918"/>
      <c r="I1918"/>
    </row>
    <row r="1919" spans="1:9" x14ac:dyDescent="0.3">
      <c r="A1919"/>
      <c r="F1919"/>
      <c r="G1919"/>
      <c r="I1919"/>
    </row>
    <row r="1920" spans="1:9" x14ac:dyDescent="0.3">
      <c r="A1920"/>
      <c r="F1920"/>
      <c r="G1920"/>
      <c r="I1920"/>
    </row>
    <row r="1921" spans="1:9" x14ac:dyDescent="0.3">
      <c r="A1921"/>
      <c r="F1921"/>
      <c r="G1921"/>
      <c r="I1921"/>
    </row>
    <row r="1922" spans="1:9" x14ac:dyDescent="0.3">
      <c r="A1922"/>
      <c r="F1922"/>
      <c r="G1922"/>
      <c r="I1922"/>
    </row>
    <row r="1923" spans="1:9" x14ac:dyDescent="0.3">
      <c r="A1923"/>
      <c r="F1923"/>
      <c r="G1923"/>
      <c r="I1923"/>
    </row>
    <row r="1924" spans="1:9" x14ac:dyDescent="0.3">
      <c r="A1924"/>
      <c r="F1924"/>
      <c r="G1924"/>
      <c r="I1924"/>
    </row>
    <row r="1925" spans="1:9" x14ac:dyDescent="0.3">
      <c r="A1925"/>
      <c r="F1925"/>
      <c r="G1925"/>
      <c r="I1925"/>
    </row>
    <row r="1926" spans="1:9" x14ac:dyDescent="0.3">
      <c r="A1926"/>
      <c r="F1926"/>
      <c r="G1926"/>
      <c r="I1926"/>
    </row>
    <row r="1927" spans="1:9" x14ac:dyDescent="0.3">
      <c r="A1927"/>
      <c r="F1927"/>
      <c r="G1927"/>
      <c r="I1927"/>
    </row>
    <row r="1928" spans="1:9" x14ac:dyDescent="0.3">
      <c r="A1928"/>
      <c r="F1928"/>
      <c r="G1928"/>
      <c r="I1928"/>
    </row>
    <row r="1929" spans="1:9" x14ac:dyDescent="0.3">
      <c r="A1929"/>
      <c r="F1929"/>
      <c r="G1929"/>
      <c r="I1929"/>
    </row>
    <row r="1930" spans="1:9" x14ac:dyDescent="0.3">
      <c r="A1930"/>
      <c r="F1930"/>
      <c r="G1930"/>
      <c r="I1930"/>
    </row>
    <row r="1931" spans="1:9" x14ac:dyDescent="0.3">
      <c r="A1931"/>
      <c r="F1931"/>
      <c r="G1931"/>
      <c r="I1931"/>
    </row>
    <row r="1932" spans="1:9" x14ac:dyDescent="0.3">
      <c r="A1932"/>
      <c r="F1932"/>
      <c r="G1932"/>
      <c r="I1932"/>
    </row>
    <row r="1933" spans="1:9" x14ac:dyDescent="0.3">
      <c r="A1933"/>
      <c r="F1933"/>
      <c r="G1933"/>
      <c r="I1933"/>
    </row>
    <row r="1934" spans="1:9" x14ac:dyDescent="0.3">
      <c r="A1934"/>
      <c r="F1934"/>
      <c r="G1934"/>
      <c r="I1934"/>
    </row>
    <row r="1935" spans="1:9" x14ac:dyDescent="0.3">
      <c r="A1935"/>
      <c r="F1935"/>
      <c r="G1935"/>
      <c r="I1935"/>
    </row>
    <row r="1936" spans="1:9" x14ac:dyDescent="0.3">
      <c r="A1936"/>
      <c r="F1936"/>
      <c r="G1936"/>
      <c r="I1936"/>
    </row>
    <row r="1937" spans="1:9" x14ac:dyDescent="0.3">
      <c r="A1937"/>
      <c r="F1937"/>
      <c r="G1937"/>
      <c r="I1937"/>
    </row>
    <row r="1938" spans="1:9" x14ac:dyDescent="0.3">
      <c r="A1938"/>
      <c r="F1938"/>
      <c r="G1938"/>
      <c r="I1938"/>
    </row>
    <row r="1939" spans="1:9" x14ac:dyDescent="0.3">
      <c r="A1939"/>
      <c r="F1939"/>
      <c r="G1939"/>
      <c r="I1939"/>
    </row>
    <row r="1940" spans="1:9" x14ac:dyDescent="0.3">
      <c r="A1940"/>
      <c r="F1940"/>
      <c r="G1940"/>
      <c r="I1940"/>
    </row>
    <row r="1941" spans="1:9" x14ac:dyDescent="0.3">
      <c r="A1941"/>
      <c r="F1941"/>
      <c r="G1941"/>
      <c r="I1941"/>
    </row>
    <row r="1942" spans="1:9" x14ac:dyDescent="0.3">
      <c r="A1942"/>
      <c r="F1942"/>
      <c r="G1942"/>
      <c r="I1942"/>
    </row>
    <row r="1943" spans="1:9" x14ac:dyDescent="0.3">
      <c r="A1943"/>
      <c r="F1943"/>
      <c r="G1943"/>
      <c r="I1943"/>
    </row>
    <row r="1944" spans="1:9" x14ac:dyDescent="0.3">
      <c r="A1944"/>
      <c r="F1944"/>
      <c r="G1944"/>
      <c r="I1944"/>
    </row>
    <row r="1945" spans="1:9" x14ac:dyDescent="0.3">
      <c r="A1945"/>
      <c r="F1945"/>
      <c r="G1945"/>
      <c r="I1945"/>
    </row>
    <row r="1946" spans="1:9" x14ac:dyDescent="0.3">
      <c r="A1946"/>
      <c r="F1946"/>
      <c r="G1946"/>
      <c r="I1946"/>
    </row>
    <row r="1947" spans="1:9" x14ac:dyDescent="0.3">
      <c r="A1947"/>
      <c r="F1947"/>
      <c r="G1947"/>
      <c r="I1947"/>
    </row>
    <row r="1948" spans="1:9" x14ac:dyDescent="0.3">
      <c r="A1948"/>
      <c r="F1948"/>
      <c r="G1948"/>
      <c r="I1948"/>
    </row>
    <row r="1949" spans="1:9" x14ac:dyDescent="0.3">
      <c r="A1949"/>
      <c r="F1949"/>
      <c r="G1949"/>
      <c r="I1949"/>
    </row>
    <row r="1950" spans="1:9" x14ac:dyDescent="0.3">
      <c r="A1950"/>
      <c r="F1950"/>
      <c r="G1950"/>
      <c r="I1950"/>
    </row>
    <row r="1951" spans="1:9" x14ac:dyDescent="0.3">
      <c r="A1951"/>
      <c r="F1951"/>
      <c r="G1951"/>
      <c r="I1951"/>
    </row>
    <row r="1952" spans="1:9" x14ac:dyDescent="0.3">
      <c r="A1952"/>
      <c r="F1952"/>
      <c r="G1952"/>
      <c r="I1952"/>
    </row>
    <row r="1953" spans="1:9" x14ac:dyDescent="0.3">
      <c r="A1953"/>
      <c r="F1953"/>
      <c r="G1953"/>
      <c r="I1953"/>
    </row>
    <row r="1954" spans="1:9" x14ac:dyDescent="0.3">
      <c r="A1954"/>
      <c r="F1954"/>
      <c r="G1954"/>
      <c r="I1954"/>
    </row>
    <row r="1955" spans="1:9" x14ac:dyDescent="0.3">
      <c r="A1955"/>
      <c r="F1955"/>
      <c r="G1955"/>
      <c r="I1955"/>
    </row>
    <row r="1956" spans="1:9" x14ac:dyDescent="0.3">
      <c r="A1956"/>
      <c r="F1956"/>
      <c r="G1956"/>
      <c r="I1956"/>
    </row>
    <row r="1957" spans="1:9" x14ac:dyDescent="0.3">
      <c r="A1957"/>
      <c r="F1957"/>
      <c r="G1957"/>
      <c r="I1957"/>
    </row>
    <row r="1958" spans="1:9" x14ac:dyDescent="0.3">
      <c r="A1958"/>
      <c r="F1958"/>
      <c r="G1958"/>
      <c r="I1958"/>
    </row>
    <row r="1959" spans="1:9" x14ac:dyDescent="0.3">
      <c r="A1959"/>
      <c r="F1959"/>
      <c r="G1959"/>
      <c r="I1959"/>
    </row>
    <row r="1960" spans="1:9" x14ac:dyDescent="0.3">
      <c r="A1960"/>
      <c r="F1960"/>
      <c r="G1960"/>
      <c r="I1960"/>
    </row>
    <row r="1961" spans="1:9" x14ac:dyDescent="0.3">
      <c r="A1961"/>
      <c r="F1961"/>
      <c r="G1961"/>
      <c r="I1961"/>
    </row>
    <row r="1962" spans="1:9" x14ac:dyDescent="0.3">
      <c r="A1962"/>
      <c r="F1962"/>
      <c r="G1962"/>
      <c r="I1962"/>
    </row>
    <row r="1963" spans="1:9" x14ac:dyDescent="0.3">
      <c r="A1963"/>
      <c r="F1963"/>
      <c r="G1963"/>
      <c r="I1963"/>
    </row>
    <row r="1964" spans="1:9" x14ac:dyDescent="0.3">
      <c r="A1964"/>
      <c r="F1964"/>
      <c r="G1964"/>
      <c r="I1964"/>
    </row>
    <row r="1965" spans="1:9" x14ac:dyDescent="0.3">
      <c r="A1965"/>
      <c r="F1965"/>
      <c r="G1965"/>
      <c r="I1965"/>
    </row>
    <row r="1966" spans="1:9" x14ac:dyDescent="0.3">
      <c r="A1966"/>
      <c r="F1966"/>
      <c r="G1966"/>
      <c r="I1966"/>
    </row>
    <row r="1967" spans="1:9" x14ac:dyDescent="0.3">
      <c r="A1967"/>
      <c r="F1967"/>
      <c r="G1967"/>
      <c r="I1967"/>
    </row>
    <row r="1968" spans="1:9" x14ac:dyDescent="0.3">
      <c r="A1968"/>
      <c r="F1968"/>
      <c r="G1968"/>
      <c r="I1968"/>
    </row>
    <row r="1969" spans="1:9" x14ac:dyDescent="0.3">
      <c r="A1969"/>
      <c r="F1969"/>
      <c r="G1969"/>
      <c r="I1969"/>
    </row>
    <row r="1970" spans="1:9" x14ac:dyDescent="0.3">
      <c r="A1970"/>
      <c r="F1970"/>
      <c r="G1970"/>
      <c r="I1970"/>
    </row>
    <row r="1971" spans="1:9" x14ac:dyDescent="0.3">
      <c r="A1971"/>
      <c r="F1971"/>
      <c r="G1971"/>
      <c r="I1971"/>
    </row>
    <row r="1972" spans="1:9" x14ac:dyDescent="0.3">
      <c r="A1972"/>
      <c r="F1972"/>
      <c r="G1972"/>
      <c r="I1972"/>
    </row>
    <row r="1973" spans="1:9" x14ac:dyDescent="0.3">
      <c r="A1973"/>
      <c r="F1973"/>
      <c r="G1973"/>
      <c r="I1973"/>
    </row>
    <row r="1974" spans="1:9" x14ac:dyDescent="0.3">
      <c r="A1974"/>
      <c r="F1974"/>
      <c r="G1974"/>
      <c r="I1974"/>
    </row>
    <row r="1975" spans="1:9" x14ac:dyDescent="0.3">
      <c r="A1975"/>
      <c r="F1975"/>
      <c r="G1975"/>
      <c r="I1975"/>
    </row>
    <row r="1976" spans="1:9" x14ac:dyDescent="0.3">
      <c r="A1976"/>
      <c r="F1976"/>
      <c r="G1976"/>
      <c r="I1976"/>
    </row>
    <row r="1977" spans="1:9" x14ac:dyDescent="0.3">
      <c r="A1977"/>
      <c r="F1977"/>
      <c r="G1977"/>
      <c r="I1977"/>
    </row>
    <row r="1978" spans="1:9" x14ac:dyDescent="0.3">
      <c r="A1978"/>
      <c r="F1978"/>
      <c r="G1978"/>
      <c r="I1978"/>
    </row>
    <row r="1979" spans="1:9" x14ac:dyDescent="0.3">
      <c r="A1979"/>
      <c r="F1979"/>
      <c r="G1979"/>
      <c r="I1979"/>
    </row>
    <row r="1980" spans="1:9" x14ac:dyDescent="0.3">
      <c r="A1980"/>
      <c r="F1980"/>
      <c r="G1980"/>
      <c r="I1980"/>
    </row>
    <row r="1981" spans="1:9" x14ac:dyDescent="0.3">
      <c r="A1981"/>
      <c r="F1981"/>
      <c r="G1981"/>
      <c r="I1981"/>
    </row>
    <row r="1982" spans="1:9" x14ac:dyDescent="0.3">
      <c r="A1982"/>
      <c r="F1982"/>
      <c r="G1982"/>
      <c r="I1982"/>
    </row>
    <row r="1983" spans="1:9" x14ac:dyDescent="0.3">
      <c r="A1983"/>
      <c r="F1983"/>
      <c r="G1983"/>
      <c r="I1983"/>
    </row>
    <row r="1984" spans="1:9" x14ac:dyDescent="0.3">
      <c r="A1984"/>
      <c r="F1984"/>
      <c r="G1984"/>
      <c r="I1984"/>
    </row>
    <row r="1985" spans="1:9" x14ac:dyDescent="0.3">
      <c r="A1985"/>
      <c r="F1985"/>
      <c r="G1985"/>
      <c r="I1985"/>
    </row>
    <row r="1986" spans="1:9" x14ac:dyDescent="0.3">
      <c r="A1986"/>
      <c r="F1986"/>
      <c r="G1986"/>
      <c r="I1986"/>
    </row>
    <row r="1987" spans="1:9" x14ac:dyDescent="0.3">
      <c r="A1987"/>
      <c r="F1987"/>
      <c r="G1987"/>
      <c r="I1987"/>
    </row>
    <row r="1988" spans="1:9" x14ac:dyDescent="0.3">
      <c r="A1988"/>
      <c r="F1988"/>
      <c r="G1988"/>
      <c r="I1988"/>
    </row>
    <row r="1989" spans="1:9" x14ac:dyDescent="0.3">
      <c r="A1989"/>
      <c r="F1989"/>
      <c r="G1989"/>
      <c r="I1989"/>
    </row>
    <row r="1990" spans="1:9" x14ac:dyDescent="0.3">
      <c r="A1990"/>
      <c r="F1990"/>
      <c r="G1990"/>
      <c r="I1990"/>
    </row>
    <row r="1991" spans="1:9" x14ac:dyDescent="0.3">
      <c r="A1991"/>
      <c r="F1991"/>
      <c r="G1991"/>
      <c r="I1991"/>
    </row>
    <row r="1992" spans="1:9" x14ac:dyDescent="0.3">
      <c r="A1992"/>
      <c r="F1992"/>
      <c r="G1992"/>
      <c r="I1992"/>
    </row>
    <row r="1993" spans="1:9" x14ac:dyDescent="0.3">
      <c r="A1993"/>
      <c r="F1993"/>
      <c r="G1993"/>
      <c r="I1993"/>
    </row>
    <row r="1994" spans="1:9" x14ac:dyDescent="0.3">
      <c r="A1994"/>
      <c r="F1994"/>
      <c r="G1994"/>
      <c r="I1994"/>
    </row>
    <row r="1995" spans="1:9" x14ac:dyDescent="0.3">
      <c r="A1995"/>
      <c r="F1995"/>
      <c r="G1995"/>
      <c r="I1995"/>
    </row>
    <row r="1996" spans="1:9" x14ac:dyDescent="0.3">
      <c r="A1996"/>
      <c r="F1996"/>
      <c r="G1996"/>
      <c r="I1996"/>
    </row>
    <row r="1997" spans="1:9" x14ac:dyDescent="0.3">
      <c r="A1997"/>
      <c r="F1997"/>
      <c r="G1997"/>
      <c r="I1997"/>
    </row>
    <row r="1998" spans="1:9" x14ac:dyDescent="0.3">
      <c r="A1998"/>
      <c r="F1998"/>
      <c r="G1998"/>
      <c r="I1998"/>
    </row>
    <row r="1999" spans="1:9" x14ac:dyDescent="0.3">
      <c r="A1999"/>
      <c r="F1999"/>
      <c r="G1999"/>
      <c r="I1999"/>
    </row>
    <row r="2000" spans="1:9" x14ac:dyDescent="0.3">
      <c r="A2000"/>
      <c r="F2000"/>
      <c r="G2000"/>
      <c r="I2000"/>
    </row>
    <row r="2001" spans="1:9" x14ac:dyDescent="0.3">
      <c r="A2001"/>
      <c r="F2001"/>
      <c r="G2001"/>
      <c r="I2001"/>
    </row>
    <row r="2002" spans="1:9" x14ac:dyDescent="0.3">
      <c r="A2002"/>
      <c r="F2002"/>
      <c r="G2002"/>
      <c r="I2002"/>
    </row>
    <row r="2003" spans="1:9" x14ac:dyDescent="0.3">
      <c r="A2003"/>
      <c r="F2003"/>
      <c r="G2003"/>
      <c r="I2003"/>
    </row>
    <row r="2004" spans="1:9" x14ac:dyDescent="0.3">
      <c r="A2004"/>
      <c r="F2004"/>
      <c r="G2004"/>
      <c r="I2004"/>
    </row>
    <row r="2005" spans="1:9" x14ac:dyDescent="0.3">
      <c r="A2005"/>
      <c r="F2005"/>
      <c r="G2005"/>
      <c r="I2005"/>
    </row>
    <row r="2006" spans="1:9" x14ac:dyDescent="0.3">
      <c r="A2006"/>
      <c r="F2006"/>
      <c r="G2006"/>
      <c r="I2006"/>
    </row>
    <row r="2007" spans="1:9" x14ac:dyDescent="0.3">
      <c r="A2007"/>
      <c r="F2007"/>
      <c r="G2007"/>
      <c r="I2007"/>
    </row>
    <row r="2008" spans="1:9" x14ac:dyDescent="0.3">
      <c r="A2008"/>
      <c r="F2008"/>
      <c r="G2008"/>
      <c r="I2008"/>
    </row>
    <row r="2009" spans="1:9" x14ac:dyDescent="0.3">
      <c r="A2009"/>
      <c r="F2009"/>
      <c r="G2009"/>
      <c r="I2009"/>
    </row>
    <row r="2010" spans="1:9" x14ac:dyDescent="0.3">
      <c r="A2010"/>
      <c r="F2010"/>
      <c r="G2010"/>
      <c r="I2010"/>
    </row>
    <row r="2011" spans="1:9" x14ac:dyDescent="0.3">
      <c r="A2011"/>
      <c r="F2011"/>
      <c r="G2011"/>
      <c r="I2011"/>
    </row>
    <row r="2012" spans="1:9" x14ac:dyDescent="0.3">
      <c r="A2012"/>
      <c r="F2012"/>
      <c r="G2012"/>
      <c r="I2012"/>
    </row>
    <row r="2013" spans="1:9" x14ac:dyDescent="0.3">
      <c r="A2013"/>
      <c r="F2013"/>
      <c r="G2013"/>
      <c r="I2013"/>
    </row>
    <row r="2014" spans="1:9" x14ac:dyDescent="0.3">
      <c r="A2014"/>
      <c r="F2014"/>
      <c r="G2014"/>
      <c r="I2014"/>
    </row>
    <row r="2015" spans="1:9" x14ac:dyDescent="0.3">
      <c r="A2015"/>
      <c r="F2015"/>
      <c r="G2015"/>
      <c r="I2015"/>
    </row>
    <row r="2016" spans="1:9" x14ac:dyDescent="0.3">
      <c r="A2016"/>
      <c r="F2016"/>
      <c r="G2016"/>
      <c r="I2016"/>
    </row>
    <row r="2017" spans="1:9" x14ac:dyDescent="0.3">
      <c r="A2017"/>
      <c r="F2017"/>
      <c r="G2017"/>
      <c r="I2017"/>
    </row>
    <row r="2018" spans="1:9" x14ac:dyDescent="0.3">
      <c r="A2018"/>
      <c r="F2018"/>
      <c r="G2018"/>
      <c r="I2018"/>
    </row>
    <row r="2019" spans="1:9" x14ac:dyDescent="0.3">
      <c r="A2019"/>
      <c r="F2019"/>
      <c r="G2019"/>
      <c r="I2019"/>
    </row>
    <row r="2020" spans="1:9" x14ac:dyDescent="0.3">
      <c r="A2020"/>
      <c r="F2020"/>
      <c r="G2020"/>
      <c r="I2020"/>
    </row>
    <row r="2021" spans="1:9" x14ac:dyDescent="0.3">
      <c r="A2021"/>
      <c r="F2021"/>
      <c r="G2021"/>
      <c r="I2021"/>
    </row>
    <row r="2022" spans="1:9" x14ac:dyDescent="0.3">
      <c r="A2022"/>
      <c r="F2022"/>
      <c r="G2022"/>
      <c r="I2022"/>
    </row>
    <row r="2023" spans="1:9" x14ac:dyDescent="0.3">
      <c r="A2023"/>
      <c r="F2023"/>
      <c r="G2023"/>
      <c r="I2023"/>
    </row>
    <row r="2024" spans="1:9" x14ac:dyDescent="0.3">
      <c r="A2024"/>
      <c r="F2024"/>
      <c r="G2024"/>
      <c r="I2024"/>
    </row>
    <row r="2025" spans="1:9" x14ac:dyDescent="0.3">
      <c r="A2025"/>
      <c r="F2025"/>
      <c r="G2025"/>
      <c r="I2025"/>
    </row>
    <row r="2026" spans="1:9" x14ac:dyDescent="0.3">
      <c r="A2026"/>
      <c r="F2026"/>
      <c r="G2026"/>
      <c r="I2026"/>
    </row>
    <row r="2027" spans="1:9" x14ac:dyDescent="0.3">
      <c r="A2027"/>
      <c r="F2027"/>
      <c r="G2027"/>
      <c r="I2027"/>
    </row>
    <row r="2028" spans="1:9" x14ac:dyDescent="0.3">
      <c r="A2028"/>
      <c r="F2028"/>
      <c r="G2028"/>
      <c r="I2028"/>
    </row>
    <row r="2029" spans="1:9" x14ac:dyDescent="0.3">
      <c r="A2029"/>
      <c r="F2029"/>
      <c r="G2029"/>
      <c r="I2029"/>
    </row>
    <row r="2030" spans="1:9" x14ac:dyDescent="0.3">
      <c r="A2030"/>
      <c r="F2030"/>
      <c r="G2030"/>
      <c r="I2030"/>
    </row>
    <row r="2031" spans="1:9" x14ac:dyDescent="0.3">
      <c r="A2031"/>
      <c r="F2031"/>
      <c r="G2031"/>
      <c r="I2031"/>
    </row>
    <row r="2032" spans="1:9" x14ac:dyDescent="0.3">
      <c r="A2032"/>
      <c r="F2032"/>
      <c r="G2032"/>
      <c r="I2032"/>
    </row>
    <row r="2033" spans="1:9" x14ac:dyDescent="0.3">
      <c r="A2033"/>
      <c r="F2033"/>
      <c r="G2033"/>
      <c r="I2033"/>
    </row>
    <row r="2034" spans="1:9" x14ac:dyDescent="0.3">
      <c r="A2034"/>
      <c r="F2034"/>
      <c r="G2034"/>
      <c r="I2034"/>
    </row>
    <row r="2035" spans="1:9" x14ac:dyDescent="0.3">
      <c r="A2035"/>
      <c r="F2035"/>
      <c r="G2035"/>
      <c r="I2035"/>
    </row>
    <row r="2036" spans="1:9" x14ac:dyDescent="0.3">
      <c r="A2036"/>
      <c r="F2036"/>
      <c r="G2036"/>
      <c r="I2036"/>
    </row>
    <row r="2037" spans="1:9" x14ac:dyDescent="0.3">
      <c r="A2037"/>
      <c r="F2037"/>
      <c r="G2037"/>
      <c r="I2037"/>
    </row>
    <row r="2038" spans="1:9" x14ac:dyDescent="0.3">
      <c r="A2038"/>
      <c r="F2038"/>
      <c r="G2038"/>
      <c r="I2038"/>
    </row>
    <row r="2039" spans="1:9" x14ac:dyDescent="0.3">
      <c r="A2039"/>
      <c r="F2039"/>
      <c r="G2039"/>
      <c r="I2039"/>
    </row>
    <row r="2040" spans="1:9" x14ac:dyDescent="0.3">
      <c r="A2040"/>
      <c r="F2040"/>
      <c r="G2040"/>
      <c r="I2040"/>
    </row>
    <row r="2041" spans="1:9" x14ac:dyDescent="0.3">
      <c r="A2041"/>
      <c r="F2041"/>
      <c r="G2041"/>
      <c r="I2041"/>
    </row>
    <row r="2042" spans="1:9" x14ac:dyDescent="0.3">
      <c r="A2042"/>
      <c r="F2042"/>
      <c r="G2042"/>
      <c r="I2042"/>
    </row>
    <row r="2043" spans="1:9" x14ac:dyDescent="0.3">
      <c r="A2043"/>
      <c r="F2043"/>
      <c r="G2043"/>
      <c r="I2043"/>
    </row>
    <row r="2044" spans="1:9" x14ac:dyDescent="0.3">
      <c r="A2044"/>
      <c r="F2044"/>
      <c r="G2044"/>
      <c r="I2044"/>
    </row>
    <row r="2045" spans="1:9" x14ac:dyDescent="0.3">
      <c r="A2045"/>
      <c r="F2045"/>
      <c r="G2045"/>
      <c r="I2045"/>
    </row>
    <row r="2046" spans="1:9" x14ac:dyDescent="0.3">
      <c r="A2046"/>
      <c r="F2046"/>
      <c r="G2046"/>
      <c r="I2046"/>
    </row>
    <row r="2047" spans="1:9" x14ac:dyDescent="0.3">
      <c r="A2047"/>
      <c r="F2047"/>
      <c r="G2047"/>
      <c r="I2047"/>
    </row>
    <row r="2048" spans="1:9" x14ac:dyDescent="0.3">
      <c r="A2048"/>
      <c r="F2048"/>
      <c r="G2048"/>
      <c r="I2048"/>
    </row>
    <row r="2049" spans="1:9" x14ac:dyDescent="0.3">
      <c r="A2049"/>
      <c r="F2049"/>
      <c r="G2049"/>
      <c r="I2049"/>
    </row>
    <row r="2050" spans="1:9" x14ac:dyDescent="0.3">
      <c r="A2050"/>
      <c r="F2050"/>
      <c r="G2050"/>
      <c r="I2050"/>
    </row>
    <row r="2051" spans="1:9" x14ac:dyDescent="0.3">
      <c r="A2051"/>
      <c r="F2051"/>
      <c r="G2051"/>
      <c r="I2051"/>
    </row>
    <row r="2052" spans="1:9" x14ac:dyDescent="0.3">
      <c r="A2052"/>
      <c r="F2052"/>
      <c r="G2052"/>
      <c r="I2052"/>
    </row>
    <row r="2053" spans="1:9" x14ac:dyDescent="0.3">
      <c r="A2053"/>
      <c r="F2053"/>
      <c r="G2053"/>
      <c r="I2053"/>
    </row>
    <row r="2054" spans="1:9" x14ac:dyDescent="0.3">
      <c r="A2054"/>
      <c r="F2054"/>
      <c r="G2054"/>
      <c r="I2054"/>
    </row>
    <row r="2055" spans="1:9" x14ac:dyDescent="0.3">
      <c r="A2055"/>
      <c r="F2055"/>
      <c r="G2055"/>
      <c r="I2055"/>
    </row>
    <row r="2056" spans="1:9" x14ac:dyDescent="0.3">
      <c r="A2056"/>
      <c r="F2056"/>
      <c r="G2056"/>
      <c r="I2056"/>
    </row>
    <row r="2057" spans="1:9" x14ac:dyDescent="0.3">
      <c r="A2057"/>
      <c r="F2057"/>
      <c r="G2057"/>
      <c r="I2057"/>
    </row>
    <row r="2058" spans="1:9" x14ac:dyDescent="0.3">
      <c r="A2058"/>
      <c r="F2058"/>
      <c r="G2058"/>
      <c r="I2058"/>
    </row>
    <row r="2059" spans="1:9" x14ac:dyDescent="0.3">
      <c r="A2059"/>
      <c r="F2059"/>
      <c r="G2059"/>
      <c r="I2059"/>
    </row>
    <row r="2060" spans="1:9" x14ac:dyDescent="0.3">
      <c r="A2060"/>
      <c r="F2060"/>
      <c r="G2060"/>
      <c r="I2060"/>
    </row>
    <row r="2061" spans="1:9" x14ac:dyDescent="0.3">
      <c r="A2061"/>
      <c r="F2061"/>
      <c r="G2061"/>
      <c r="I2061"/>
    </row>
    <row r="2062" spans="1:9" x14ac:dyDescent="0.3">
      <c r="A2062"/>
      <c r="F2062"/>
      <c r="G2062"/>
      <c r="I2062"/>
    </row>
    <row r="2063" spans="1:9" x14ac:dyDescent="0.3">
      <c r="A2063"/>
      <c r="F2063"/>
      <c r="G2063"/>
      <c r="I2063"/>
    </row>
    <row r="2064" spans="1:9" x14ac:dyDescent="0.3">
      <c r="A2064"/>
      <c r="F2064"/>
      <c r="G2064"/>
      <c r="I2064"/>
    </row>
    <row r="2065" spans="1:9" x14ac:dyDescent="0.3">
      <c r="A2065"/>
      <c r="F2065"/>
      <c r="G2065"/>
      <c r="I2065"/>
    </row>
    <row r="2066" spans="1:9" x14ac:dyDescent="0.3">
      <c r="A2066"/>
      <c r="F2066"/>
      <c r="G2066"/>
      <c r="I2066"/>
    </row>
    <row r="2067" spans="1:9" x14ac:dyDescent="0.3">
      <c r="A2067"/>
      <c r="F2067"/>
      <c r="G2067"/>
      <c r="I2067"/>
    </row>
    <row r="2068" spans="1:9" x14ac:dyDescent="0.3">
      <c r="A2068"/>
      <c r="F2068"/>
      <c r="G2068"/>
      <c r="I2068"/>
    </row>
    <row r="2069" spans="1:9" x14ac:dyDescent="0.3">
      <c r="A2069"/>
      <c r="F2069"/>
      <c r="G2069"/>
      <c r="I2069"/>
    </row>
    <row r="2070" spans="1:9" x14ac:dyDescent="0.3">
      <c r="A2070"/>
      <c r="F2070"/>
      <c r="G2070"/>
      <c r="I2070"/>
    </row>
    <row r="2071" spans="1:9" x14ac:dyDescent="0.3">
      <c r="A2071"/>
      <c r="F2071"/>
      <c r="G2071"/>
      <c r="I2071"/>
    </row>
    <row r="2072" spans="1:9" x14ac:dyDescent="0.3">
      <c r="A2072"/>
      <c r="F2072"/>
      <c r="G2072"/>
      <c r="I2072"/>
    </row>
    <row r="2073" spans="1:9" x14ac:dyDescent="0.3">
      <c r="A2073"/>
      <c r="F2073"/>
      <c r="G2073"/>
      <c r="I2073"/>
    </row>
    <row r="2074" spans="1:9" x14ac:dyDescent="0.3">
      <c r="A2074"/>
      <c r="F2074"/>
      <c r="G2074"/>
      <c r="I2074"/>
    </row>
    <row r="2075" spans="1:9" x14ac:dyDescent="0.3">
      <c r="A2075"/>
      <c r="F2075"/>
      <c r="G2075"/>
      <c r="I2075"/>
    </row>
    <row r="2076" spans="1:9" x14ac:dyDescent="0.3">
      <c r="A2076"/>
      <c r="F2076"/>
      <c r="G2076"/>
      <c r="I2076"/>
    </row>
    <row r="2077" spans="1:9" x14ac:dyDescent="0.3">
      <c r="A2077"/>
      <c r="F2077"/>
      <c r="G2077"/>
      <c r="I2077"/>
    </row>
    <row r="2078" spans="1:9" x14ac:dyDescent="0.3">
      <c r="A2078"/>
      <c r="F2078"/>
      <c r="G2078"/>
      <c r="I2078"/>
    </row>
    <row r="2079" spans="1:9" x14ac:dyDescent="0.3">
      <c r="A2079"/>
      <c r="F2079"/>
      <c r="G2079"/>
      <c r="I2079"/>
    </row>
    <row r="2080" spans="1:9" x14ac:dyDescent="0.3">
      <c r="A2080"/>
      <c r="F2080"/>
      <c r="G2080"/>
      <c r="I2080"/>
    </row>
    <row r="2081" spans="1:9" x14ac:dyDescent="0.3">
      <c r="A2081"/>
      <c r="F2081"/>
      <c r="G2081"/>
      <c r="I2081"/>
    </row>
    <row r="2082" spans="1:9" x14ac:dyDescent="0.3">
      <c r="A2082"/>
      <c r="F2082"/>
      <c r="G2082"/>
      <c r="I2082"/>
    </row>
    <row r="2083" spans="1:9" x14ac:dyDescent="0.3">
      <c r="A2083"/>
      <c r="F2083"/>
      <c r="G2083"/>
      <c r="I2083"/>
    </row>
    <row r="2084" spans="1:9" x14ac:dyDescent="0.3">
      <c r="A2084"/>
      <c r="F2084"/>
      <c r="G2084"/>
      <c r="I2084"/>
    </row>
    <row r="2085" spans="1:9" x14ac:dyDescent="0.3">
      <c r="A2085"/>
      <c r="F2085"/>
      <c r="G2085"/>
      <c r="I2085"/>
    </row>
    <row r="2086" spans="1:9" x14ac:dyDescent="0.3">
      <c r="A2086"/>
      <c r="F2086"/>
      <c r="G2086"/>
      <c r="I2086"/>
    </row>
    <row r="2087" spans="1:9" x14ac:dyDescent="0.3">
      <c r="A2087"/>
      <c r="F2087"/>
      <c r="G2087"/>
      <c r="I2087"/>
    </row>
    <row r="2088" spans="1:9" x14ac:dyDescent="0.3">
      <c r="A2088"/>
      <c r="F2088"/>
      <c r="G2088"/>
      <c r="I2088"/>
    </row>
    <row r="2089" spans="1:9" x14ac:dyDescent="0.3">
      <c r="A2089"/>
      <c r="F2089"/>
      <c r="G2089"/>
      <c r="I2089"/>
    </row>
    <row r="2090" spans="1:9" x14ac:dyDescent="0.3">
      <c r="A2090"/>
      <c r="F2090"/>
      <c r="G2090"/>
      <c r="I2090"/>
    </row>
    <row r="2091" spans="1:9" x14ac:dyDescent="0.3">
      <c r="A2091"/>
      <c r="F2091"/>
      <c r="G2091"/>
      <c r="I2091"/>
    </row>
    <row r="2092" spans="1:9" x14ac:dyDescent="0.3">
      <c r="A2092"/>
      <c r="F2092"/>
      <c r="G2092"/>
      <c r="I2092"/>
    </row>
    <row r="2093" spans="1:9" x14ac:dyDescent="0.3">
      <c r="A2093"/>
      <c r="F2093"/>
      <c r="G2093"/>
      <c r="I2093"/>
    </row>
    <row r="2094" spans="1:9" x14ac:dyDescent="0.3">
      <c r="A2094"/>
      <c r="F2094"/>
      <c r="G2094"/>
      <c r="I2094"/>
    </row>
    <row r="2095" spans="1:9" x14ac:dyDescent="0.3">
      <c r="A2095"/>
      <c r="F2095"/>
      <c r="G2095"/>
      <c r="I2095"/>
    </row>
    <row r="2096" spans="1:9" x14ac:dyDescent="0.3">
      <c r="A2096"/>
      <c r="F2096"/>
      <c r="G2096"/>
      <c r="I2096"/>
    </row>
    <row r="2097" spans="1:9" x14ac:dyDescent="0.3">
      <c r="A2097"/>
      <c r="F2097"/>
      <c r="G2097"/>
      <c r="I2097"/>
    </row>
    <row r="2098" spans="1:9" x14ac:dyDescent="0.3">
      <c r="A2098"/>
      <c r="F2098"/>
      <c r="G2098"/>
      <c r="I2098"/>
    </row>
    <row r="2099" spans="1:9" x14ac:dyDescent="0.3">
      <c r="A2099"/>
      <c r="F2099"/>
      <c r="G2099"/>
      <c r="I2099"/>
    </row>
    <row r="2100" spans="1:9" x14ac:dyDescent="0.3">
      <c r="A2100"/>
      <c r="F2100"/>
      <c r="G2100"/>
      <c r="I2100"/>
    </row>
    <row r="2101" spans="1:9" x14ac:dyDescent="0.3">
      <c r="A2101"/>
      <c r="F2101"/>
      <c r="G2101"/>
      <c r="I2101"/>
    </row>
    <row r="2102" spans="1:9" x14ac:dyDescent="0.3">
      <c r="A2102"/>
      <c r="F2102"/>
      <c r="G2102"/>
      <c r="I2102"/>
    </row>
    <row r="2103" spans="1:9" x14ac:dyDescent="0.3">
      <c r="A2103"/>
      <c r="F2103"/>
      <c r="G2103"/>
      <c r="I2103"/>
    </row>
    <row r="2104" spans="1:9" x14ac:dyDescent="0.3">
      <c r="A2104"/>
      <c r="F2104"/>
      <c r="G2104"/>
      <c r="I2104"/>
    </row>
    <row r="2105" spans="1:9" x14ac:dyDescent="0.3">
      <c r="A2105"/>
      <c r="F2105"/>
      <c r="G2105"/>
      <c r="I2105"/>
    </row>
    <row r="2106" spans="1:9" x14ac:dyDescent="0.3">
      <c r="A2106"/>
      <c r="F2106"/>
      <c r="G2106"/>
      <c r="I2106"/>
    </row>
    <row r="2107" spans="1:9" x14ac:dyDescent="0.3">
      <c r="A2107"/>
      <c r="F2107"/>
      <c r="G2107"/>
      <c r="I2107"/>
    </row>
    <row r="2108" spans="1:9" x14ac:dyDescent="0.3">
      <c r="A2108"/>
      <c r="F2108"/>
      <c r="G2108"/>
      <c r="I2108"/>
    </row>
    <row r="2109" spans="1:9" x14ac:dyDescent="0.3">
      <c r="A2109"/>
      <c r="F2109"/>
      <c r="G2109"/>
      <c r="I2109"/>
    </row>
    <row r="2110" spans="1:9" x14ac:dyDescent="0.3">
      <c r="A2110"/>
      <c r="F2110"/>
      <c r="G2110"/>
      <c r="I2110"/>
    </row>
    <row r="2111" spans="1:9" x14ac:dyDescent="0.3">
      <c r="A2111"/>
      <c r="F2111"/>
      <c r="G2111"/>
      <c r="I2111"/>
    </row>
    <row r="2112" spans="1:9" x14ac:dyDescent="0.3">
      <c r="A2112"/>
      <c r="F2112"/>
      <c r="G2112"/>
      <c r="I2112"/>
    </row>
    <row r="2113" spans="1:9" x14ac:dyDescent="0.3">
      <c r="A2113"/>
      <c r="F2113"/>
      <c r="G2113"/>
      <c r="I2113"/>
    </row>
    <row r="2114" spans="1:9" x14ac:dyDescent="0.3">
      <c r="A2114"/>
      <c r="F2114"/>
      <c r="G2114"/>
      <c r="I2114"/>
    </row>
    <row r="2115" spans="1:9" x14ac:dyDescent="0.3">
      <c r="A2115"/>
      <c r="F2115"/>
      <c r="G2115"/>
      <c r="I2115"/>
    </row>
    <row r="2116" spans="1:9" x14ac:dyDescent="0.3">
      <c r="A2116"/>
      <c r="F2116"/>
      <c r="G2116"/>
      <c r="I2116"/>
    </row>
    <row r="2117" spans="1:9" x14ac:dyDescent="0.3">
      <c r="A2117"/>
      <c r="F2117"/>
      <c r="G2117"/>
      <c r="I2117"/>
    </row>
    <row r="2118" spans="1:9" x14ac:dyDescent="0.3">
      <c r="A2118"/>
      <c r="F2118"/>
      <c r="G2118"/>
      <c r="I2118"/>
    </row>
    <row r="2119" spans="1:9" x14ac:dyDescent="0.3">
      <c r="A2119"/>
      <c r="F2119"/>
      <c r="G2119"/>
      <c r="I2119"/>
    </row>
    <row r="2120" spans="1:9" x14ac:dyDescent="0.3">
      <c r="A2120"/>
      <c r="F2120"/>
      <c r="G2120"/>
      <c r="I2120"/>
    </row>
    <row r="2121" spans="1:9" x14ac:dyDescent="0.3">
      <c r="A2121"/>
      <c r="F2121"/>
      <c r="G2121"/>
      <c r="I2121"/>
    </row>
    <row r="2122" spans="1:9" x14ac:dyDescent="0.3">
      <c r="A2122"/>
      <c r="F2122"/>
      <c r="G2122"/>
      <c r="I2122"/>
    </row>
    <row r="2123" spans="1:9" x14ac:dyDescent="0.3">
      <c r="A2123"/>
      <c r="F2123"/>
      <c r="G2123"/>
      <c r="I2123"/>
    </row>
    <row r="2124" spans="1:9" x14ac:dyDescent="0.3">
      <c r="A2124"/>
      <c r="F2124"/>
      <c r="G2124"/>
      <c r="I2124"/>
    </row>
    <row r="2125" spans="1:9" x14ac:dyDescent="0.3">
      <c r="A2125"/>
      <c r="F2125"/>
      <c r="G2125"/>
      <c r="I2125"/>
    </row>
    <row r="2126" spans="1:9" x14ac:dyDescent="0.3">
      <c r="A2126"/>
      <c r="F2126"/>
      <c r="G2126"/>
      <c r="I2126"/>
    </row>
    <row r="2127" spans="1:9" x14ac:dyDescent="0.3">
      <c r="A2127"/>
      <c r="F2127"/>
      <c r="G2127"/>
      <c r="I2127"/>
    </row>
    <row r="2128" spans="1:9" x14ac:dyDescent="0.3">
      <c r="A2128"/>
      <c r="F2128"/>
      <c r="G2128"/>
      <c r="I2128"/>
    </row>
    <row r="2129" spans="1:9" x14ac:dyDescent="0.3">
      <c r="A2129"/>
      <c r="F2129"/>
      <c r="G2129"/>
      <c r="I2129"/>
    </row>
    <row r="2130" spans="1:9" x14ac:dyDescent="0.3">
      <c r="A2130"/>
      <c r="F2130"/>
      <c r="G2130"/>
      <c r="I2130"/>
    </row>
    <row r="2131" spans="1:9" x14ac:dyDescent="0.3">
      <c r="A2131"/>
      <c r="F2131"/>
      <c r="G2131"/>
      <c r="I2131"/>
    </row>
    <row r="2132" spans="1:9" x14ac:dyDescent="0.3">
      <c r="A2132"/>
      <c r="F2132"/>
      <c r="G2132"/>
      <c r="I2132"/>
    </row>
    <row r="2133" spans="1:9" x14ac:dyDescent="0.3">
      <c r="A2133"/>
      <c r="F2133"/>
      <c r="G2133"/>
      <c r="I2133"/>
    </row>
    <row r="2134" spans="1:9" x14ac:dyDescent="0.3">
      <c r="A2134"/>
      <c r="F2134"/>
      <c r="G2134"/>
      <c r="I2134"/>
    </row>
    <row r="2135" spans="1:9" x14ac:dyDescent="0.3">
      <c r="A2135"/>
      <c r="F2135"/>
      <c r="G2135"/>
      <c r="I2135"/>
    </row>
    <row r="2136" spans="1:9" x14ac:dyDescent="0.3">
      <c r="A2136"/>
      <c r="F2136"/>
      <c r="G2136"/>
      <c r="I2136"/>
    </row>
    <row r="2137" spans="1:9" x14ac:dyDescent="0.3">
      <c r="A2137"/>
      <c r="F2137"/>
      <c r="G2137"/>
      <c r="I2137"/>
    </row>
    <row r="2138" spans="1:9" x14ac:dyDescent="0.3">
      <c r="A2138"/>
      <c r="F2138"/>
      <c r="G2138"/>
      <c r="I2138"/>
    </row>
    <row r="2139" spans="1:9" x14ac:dyDescent="0.3">
      <c r="A2139"/>
      <c r="F2139"/>
      <c r="G2139"/>
      <c r="I2139"/>
    </row>
    <row r="2140" spans="1:9" x14ac:dyDescent="0.3">
      <c r="A2140"/>
      <c r="F2140"/>
      <c r="G2140"/>
      <c r="I2140"/>
    </row>
    <row r="2141" spans="1:9" x14ac:dyDescent="0.3">
      <c r="A2141"/>
      <c r="F2141"/>
      <c r="G2141"/>
      <c r="I2141"/>
    </row>
    <row r="2142" spans="1:9" x14ac:dyDescent="0.3">
      <c r="A2142"/>
      <c r="F2142"/>
      <c r="G2142"/>
      <c r="I2142"/>
    </row>
    <row r="2143" spans="1:9" x14ac:dyDescent="0.3">
      <c r="A2143"/>
      <c r="F2143"/>
      <c r="G2143"/>
      <c r="I2143"/>
    </row>
    <row r="2144" spans="1:9" x14ac:dyDescent="0.3">
      <c r="A2144"/>
      <c r="F2144"/>
      <c r="G2144"/>
      <c r="I2144"/>
    </row>
    <row r="2145" spans="1:9" x14ac:dyDescent="0.3">
      <c r="A2145"/>
      <c r="F2145"/>
      <c r="G2145"/>
      <c r="I2145"/>
    </row>
    <row r="2146" spans="1:9" x14ac:dyDescent="0.3">
      <c r="A2146"/>
      <c r="F2146"/>
      <c r="G2146"/>
      <c r="I2146"/>
    </row>
    <row r="2147" spans="1:9" x14ac:dyDescent="0.3">
      <c r="A2147"/>
      <c r="F2147"/>
      <c r="G2147"/>
      <c r="I2147"/>
    </row>
    <row r="2148" spans="1:9" x14ac:dyDescent="0.3">
      <c r="A2148"/>
      <c r="F2148"/>
      <c r="G2148"/>
      <c r="I2148"/>
    </row>
    <row r="2149" spans="1:9" x14ac:dyDescent="0.3">
      <c r="A2149"/>
      <c r="F2149"/>
      <c r="G2149"/>
      <c r="I2149"/>
    </row>
    <row r="2150" spans="1:9" x14ac:dyDescent="0.3">
      <c r="A2150"/>
      <c r="F2150"/>
      <c r="G2150"/>
      <c r="I2150"/>
    </row>
    <row r="2151" spans="1:9" x14ac:dyDescent="0.3">
      <c r="A2151"/>
      <c r="F2151"/>
      <c r="G2151"/>
      <c r="I2151"/>
    </row>
    <row r="2152" spans="1:9" x14ac:dyDescent="0.3">
      <c r="A2152"/>
      <c r="F2152"/>
      <c r="G2152"/>
      <c r="I2152"/>
    </row>
    <row r="2153" spans="1:9" x14ac:dyDescent="0.3">
      <c r="A2153"/>
      <c r="F2153"/>
      <c r="G2153"/>
      <c r="I2153"/>
    </row>
    <row r="2154" spans="1:9" x14ac:dyDescent="0.3">
      <c r="A2154"/>
      <c r="F2154"/>
      <c r="G2154"/>
      <c r="I2154"/>
    </row>
    <row r="2155" spans="1:9" x14ac:dyDescent="0.3">
      <c r="A2155"/>
      <c r="F2155"/>
      <c r="G2155"/>
      <c r="I2155"/>
    </row>
    <row r="2156" spans="1:9" x14ac:dyDescent="0.3">
      <c r="A2156"/>
      <c r="F2156"/>
      <c r="G2156"/>
      <c r="I2156"/>
    </row>
    <row r="2157" spans="1:9" x14ac:dyDescent="0.3">
      <c r="A2157"/>
      <c r="F2157"/>
      <c r="G2157"/>
      <c r="I2157"/>
    </row>
    <row r="2158" spans="1:9" x14ac:dyDescent="0.3">
      <c r="A2158"/>
      <c r="F2158"/>
      <c r="G2158"/>
      <c r="I2158"/>
    </row>
    <row r="2159" spans="1:9" x14ac:dyDescent="0.3">
      <c r="A2159"/>
      <c r="F2159"/>
      <c r="G2159"/>
      <c r="I2159"/>
    </row>
    <row r="2160" spans="1:9" x14ac:dyDescent="0.3">
      <c r="A2160"/>
      <c r="F2160"/>
      <c r="G2160"/>
      <c r="I2160"/>
    </row>
    <row r="2161" spans="1:9" x14ac:dyDescent="0.3">
      <c r="A2161"/>
      <c r="F2161"/>
      <c r="G2161"/>
      <c r="I2161"/>
    </row>
    <row r="2162" spans="1:9" x14ac:dyDescent="0.3">
      <c r="A2162"/>
      <c r="F2162"/>
      <c r="G2162"/>
      <c r="I2162"/>
    </row>
    <row r="2163" spans="1:9" x14ac:dyDescent="0.3">
      <c r="A2163"/>
      <c r="F2163"/>
      <c r="G2163"/>
      <c r="I2163"/>
    </row>
    <row r="2164" spans="1:9" x14ac:dyDescent="0.3">
      <c r="A2164"/>
      <c r="F2164"/>
      <c r="G2164"/>
      <c r="I2164"/>
    </row>
    <row r="2165" spans="1:9" x14ac:dyDescent="0.3">
      <c r="A2165"/>
      <c r="F2165"/>
      <c r="G2165"/>
      <c r="I2165"/>
    </row>
    <row r="2166" spans="1:9" x14ac:dyDescent="0.3">
      <c r="A2166"/>
      <c r="F2166"/>
      <c r="G2166"/>
      <c r="I2166"/>
    </row>
    <row r="2167" spans="1:9" x14ac:dyDescent="0.3">
      <c r="A2167"/>
      <c r="F2167"/>
      <c r="G2167"/>
      <c r="I2167"/>
    </row>
    <row r="2168" spans="1:9" x14ac:dyDescent="0.3">
      <c r="A2168"/>
      <c r="F2168"/>
      <c r="G2168"/>
      <c r="I2168"/>
    </row>
    <row r="2169" spans="1:9" x14ac:dyDescent="0.3">
      <c r="A2169"/>
      <c r="F2169"/>
      <c r="G2169"/>
      <c r="I2169"/>
    </row>
    <row r="2170" spans="1:9" x14ac:dyDescent="0.3">
      <c r="A2170"/>
      <c r="F2170"/>
      <c r="G2170"/>
      <c r="I2170"/>
    </row>
    <row r="2171" spans="1:9" x14ac:dyDescent="0.3">
      <c r="A2171"/>
      <c r="F2171"/>
      <c r="G2171"/>
      <c r="I2171"/>
    </row>
    <row r="2172" spans="1:9" x14ac:dyDescent="0.3">
      <c r="A2172"/>
      <c r="F2172"/>
      <c r="G2172"/>
      <c r="I2172"/>
    </row>
    <row r="2173" spans="1:9" x14ac:dyDescent="0.3">
      <c r="A2173"/>
      <c r="F2173"/>
      <c r="G2173"/>
      <c r="I2173"/>
    </row>
    <row r="2174" spans="1:9" x14ac:dyDescent="0.3">
      <c r="A2174"/>
      <c r="F2174"/>
      <c r="G2174"/>
      <c r="I2174"/>
    </row>
    <row r="2175" spans="1:9" x14ac:dyDescent="0.3">
      <c r="A2175"/>
      <c r="F2175"/>
      <c r="G2175"/>
      <c r="I2175"/>
    </row>
    <row r="2176" spans="1:9" x14ac:dyDescent="0.3">
      <c r="A2176"/>
      <c r="F2176"/>
      <c r="G2176"/>
      <c r="I2176"/>
    </row>
    <row r="2177" spans="1:9" x14ac:dyDescent="0.3">
      <c r="A2177"/>
      <c r="F2177"/>
      <c r="G2177"/>
      <c r="I2177"/>
    </row>
    <row r="2178" spans="1:9" x14ac:dyDescent="0.3">
      <c r="A2178"/>
      <c r="F2178"/>
      <c r="G2178"/>
      <c r="I2178"/>
    </row>
    <row r="2179" spans="1:9" x14ac:dyDescent="0.3">
      <c r="A2179"/>
      <c r="F2179"/>
      <c r="G2179"/>
      <c r="I2179"/>
    </row>
    <row r="2180" spans="1:9" x14ac:dyDescent="0.3">
      <c r="A2180"/>
      <c r="F2180"/>
      <c r="G2180"/>
      <c r="I2180"/>
    </row>
    <row r="2181" spans="1:9" x14ac:dyDescent="0.3">
      <c r="A2181"/>
      <c r="F2181"/>
      <c r="G2181"/>
      <c r="I2181"/>
    </row>
    <row r="2182" spans="1:9" x14ac:dyDescent="0.3">
      <c r="A2182"/>
      <c r="F2182"/>
      <c r="G2182"/>
      <c r="I2182"/>
    </row>
    <row r="2183" spans="1:9" x14ac:dyDescent="0.3">
      <c r="A2183"/>
      <c r="F2183"/>
      <c r="G2183"/>
      <c r="I2183"/>
    </row>
    <row r="2184" spans="1:9" x14ac:dyDescent="0.3">
      <c r="A2184"/>
      <c r="F2184"/>
      <c r="G2184"/>
      <c r="I2184"/>
    </row>
    <row r="2185" spans="1:9" x14ac:dyDescent="0.3">
      <c r="A2185"/>
      <c r="F2185"/>
      <c r="G2185"/>
      <c r="I2185"/>
    </row>
    <row r="2186" spans="1:9" x14ac:dyDescent="0.3">
      <c r="A2186"/>
      <c r="F2186"/>
      <c r="G2186"/>
      <c r="I2186"/>
    </row>
    <row r="2187" spans="1:9" x14ac:dyDescent="0.3">
      <c r="A2187"/>
      <c r="F2187"/>
      <c r="G2187"/>
      <c r="I2187"/>
    </row>
    <row r="2188" spans="1:9" x14ac:dyDescent="0.3">
      <c r="A2188"/>
      <c r="F2188"/>
      <c r="G2188"/>
      <c r="I2188"/>
    </row>
    <row r="2189" spans="1:9" x14ac:dyDescent="0.3">
      <c r="A2189"/>
      <c r="F2189"/>
      <c r="G2189"/>
      <c r="I2189"/>
    </row>
    <row r="2190" spans="1:9" x14ac:dyDescent="0.3">
      <c r="A2190"/>
      <c r="F2190"/>
      <c r="G2190"/>
      <c r="I2190"/>
    </row>
    <row r="2191" spans="1:9" x14ac:dyDescent="0.3">
      <c r="A2191"/>
      <c r="F2191"/>
      <c r="G2191"/>
      <c r="I2191"/>
    </row>
    <row r="2192" spans="1:9" x14ac:dyDescent="0.3">
      <c r="A2192"/>
      <c r="F2192"/>
      <c r="G2192"/>
      <c r="I2192"/>
    </row>
    <row r="2193" spans="1:9" x14ac:dyDescent="0.3">
      <c r="A2193"/>
      <c r="F2193"/>
      <c r="G2193"/>
      <c r="I2193"/>
    </row>
    <row r="2194" spans="1:9" x14ac:dyDescent="0.3">
      <c r="A2194"/>
      <c r="F2194"/>
      <c r="G2194"/>
      <c r="I2194"/>
    </row>
    <row r="2195" spans="1:9" x14ac:dyDescent="0.3">
      <c r="A2195"/>
      <c r="F2195"/>
      <c r="G2195"/>
      <c r="I2195"/>
    </row>
    <row r="2196" spans="1:9" x14ac:dyDescent="0.3">
      <c r="A2196"/>
      <c r="F2196"/>
      <c r="G2196"/>
      <c r="I2196"/>
    </row>
    <row r="2197" spans="1:9" x14ac:dyDescent="0.3">
      <c r="A2197"/>
      <c r="F2197"/>
      <c r="G2197"/>
      <c r="I2197"/>
    </row>
    <row r="2198" spans="1:9" x14ac:dyDescent="0.3">
      <c r="A2198"/>
      <c r="F2198"/>
      <c r="G2198"/>
      <c r="I2198"/>
    </row>
    <row r="2199" spans="1:9" x14ac:dyDescent="0.3">
      <c r="A2199"/>
      <c r="F2199"/>
      <c r="G2199"/>
      <c r="I2199"/>
    </row>
    <row r="2200" spans="1:9" x14ac:dyDescent="0.3">
      <c r="A2200"/>
      <c r="F2200"/>
      <c r="G2200"/>
      <c r="I2200"/>
    </row>
    <row r="2201" spans="1:9" x14ac:dyDescent="0.3">
      <c r="A2201"/>
      <c r="F2201"/>
      <c r="G2201"/>
      <c r="I2201"/>
    </row>
    <row r="2202" spans="1:9" x14ac:dyDescent="0.3">
      <c r="A2202"/>
      <c r="F2202"/>
      <c r="G2202"/>
      <c r="I2202"/>
    </row>
    <row r="2203" spans="1:9" x14ac:dyDescent="0.3">
      <c r="A2203"/>
      <c r="F2203"/>
      <c r="G2203"/>
      <c r="I2203"/>
    </row>
    <row r="2204" spans="1:9" x14ac:dyDescent="0.3">
      <c r="A2204"/>
      <c r="F2204"/>
      <c r="G2204"/>
      <c r="I2204"/>
    </row>
    <row r="2205" spans="1:9" x14ac:dyDescent="0.3">
      <c r="A2205"/>
      <c r="F2205"/>
      <c r="G2205"/>
      <c r="I2205"/>
    </row>
    <row r="2206" spans="1:9" x14ac:dyDescent="0.3">
      <c r="A2206"/>
      <c r="F2206"/>
      <c r="G2206"/>
      <c r="I2206"/>
    </row>
    <row r="2207" spans="1:9" x14ac:dyDescent="0.3">
      <c r="A2207"/>
      <c r="F2207"/>
      <c r="G2207"/>
      <c r="I2207"/>
    </row>
    <row r="2208" spans="1:9" x14ac:dyDescent="0.3">
      <c r="A2208"/>
      <c r="F2208"/>
      <c r="G2208"/>
      <c r="I2208"/>
    </row>
    <row r="2209" spans="1:9" x14ac:dyDescent="0.3">
      <c r="A2209"/>
      <c r="F2209"/>
      <c r="G2209"/>
      <c r="I2209"/>
    </row>
    <row r="2210" spans="1:9" x14ac:dyDescent="0.3">
      <c r="A2210"/>
      <c r="F2210"/>
      <c r="G2210"/>
      <c r="I2210"/>
    </row>
    <row r="2211" spans="1:9" x14ac:dyDescent="0.3">
      <c r="A2211"/>
      <c r="F2211"/>
      <c r="G2211"/>
      <c r="I2211"/>
    </row>
    <row r="2212" spans="1:9" x14ac:dyDescent="0.3">
      <c r="A2212"/>
      <c r="F2212"/>
      <c r="G2212"/>
      <c r="I2212"/>
    </row>
    <row r="2213" spans="1:9" x14ac:dyDescent="0.3">
      <c r="A2213"/>
      <c r="F2213"/>
      <c r="G2213"/>
      <c r="I2213"/>
    </row>
    <row r="2214" spans="1:9" x14ac:dyDescent="0.3">
      <c r="A2214"/>
      <c r="F2214"/>
      <c r="G2214"/>
      <c r="I2214"/>
    </row>
    <row r="2215" spans="1:9" x14ac:dyDescent="0.3">
      <c r="A2215"/>
      <c r="F2215"/>
      <c r="G2215"/>
      <c r="I2215"/>
    </row>
    <row r="2216" spans="1:9" x14ac:dyDescent="0.3">
      <c r="A2216"/>
      <c r="F2216"/>
      <c r="G2216"/>
      <c r="I2216"/>
    </row>
    <row r="2217" spans="1:9" x14ac:dyDescent="0.3">
      <c r="A2217"/>
      <c r="F2217"/>
      <c r="G2217"/>
      <c r="I2217"/>
    </row>
    <row r="2218" spans="1:9" x14ac:dyDescent="0.3">
      <c r="A2218"/>
      <c r="F2218"/>
      <c r="G2218"/>
      <c r="I2218"/>
    </row>
    <row r="2219" spans="1:9" x14ac:dyDescent="0.3">
      <c r="A2219"/>
      <c r="F2219"/>
      <c r="G2219"/>
      <c r="I2219"/>
    </row>
    <row r="2220" spans="1:9" x14ac:dyDescent="0.3">
      <c r="A2220"/>
      <c r="F2220"/>
      <c r="G2220"/>
      <c r="I2220"/>
    </row>
    <row r="2221" spans="1:9" x14ac:dyDescent="0.3">
      <c r="A2221"/>
      <c r="F2221"/>
      <c r="G2221"/>
      <c r="I2221"/>
    </row>
    <row r="2222" spans="1:9" x14ac:dyDescent="0.3">
      <c r="A2222"/>
      <c r="F2222"/>
      <c r="G2222"/>
      <c r="I2222"/>
    </row>
    <row r="2223" spans="1:9" x14ac:dyDescent="0.3">
      <c r="A2223"/>
      <c r="F2223"/>
      <c r="G2223"/>
      <c r="I2223"/>
    </row>
    <row r="2224" spans="1:9" x14ac:dyDescent="0.3">
      <c r="A2224"/>
      <c r="F2224"/>
      <c r="G2224"/>
      <c r="I2224"/>
    </row>
    <row r="2225" spans="1:9" x14ac:dyDescent="0.3">
      <c r="A2225"/>
      <c r="F2225"/>
      <c r="G2225"/>
      <c r="I2225"/>
    </row>
    <row r="2226" spans="1:9" x14ac:dyDescent="0.3">
      <c r="A2226"/>
      <c r="F2226"/>
      <c r="G2226"/>
      <c r="I2226"/>
    </row>
    <row r="2227" spans="1:9" x14ac:dyDescent="0.3">
      <c r="A2227"/>
      <c r="F2227"/>
      <c r="G2227"/>
      <c r="I2227"/>
    </row>
    <row r="2228" spans="1:9" x14ac:dyDescent="0.3">
      <c r="A2228"/>
      <c r="F2228"/>
      <c r="G2228"/>
      <c r="I2228"/>
    </row>
    <row r="2229" spans="1:9" x14ac:dyDescent="0.3">
      <c r="A2229"/>
      <c r="F2229"/>
      <c r="G2229"/>
      <c r="I2229"/>
    </row>
    <row r="2230" spans="1:9" x14ac:dyDescent="0.3">
      <c r="A2230"/>
      <c r="F2230"/>
      <c r="G2230"/>
      <c r="I2230"/>
    </row>
    <row r="2231" spans="1:9" x14ac:dyDescent="0.3">
      <c r="A2231"/>
      <c r="F2231"/>
      <c r="G2231"/>
      <c r="I2231"/>
    </row>
    <row r="2232" spans="1:9" x14ac:dyDescent="0.3">
      <c r="A2232"/>
      <c r="F2232"/>
      <c r="G2232"/>
      <c r="I2232"/>
    </row>
    <row r="2233" spans="1:9" x14ac:dyDescent="0.3">
      <c r="A2233"/>
      <c r="F2233"/>
      <c r="G2233"/>
      <c r="I2233"/>
    </row>
    <row r="2234" spans="1:9" x14ac:dyDescent="0.3">
      <c r="A2234"/>
      <c r="F2234"/>
      <c r="G2234"/>
      <c r="I2234"/>
    </row>
    <row r="2235" spans="1:9" x14ac:dyDescent="0.3">
      <c r="A2235"/>
      <c r="F2235"/>
      <c r="G2235"/>
      <c r="I2235"/>
    </row>
    <row r="2236" spans="1:9" x14ac:dyDescent="0.3">
      <c r="A2236"/>
      <c r="F2236"/>
      <c r="G2236"/>
      <c r="I2236"/>
    </row>
    <row r="2237" spans="1:9" x14ac:dyDescent="0.3">
      <c r="A2237"/>
      <c r="F2237"/>
      <c r="G2237"/>
      <c r="I2237"/>
    </row>
    <row r="2238" spans="1:9" x14ac:dyDescent="0.3">
      <c r="A2238"/>
      <c r="F2238"/>
      <c r="G2238"/>
      <c r="I2238"/>
    </row>
    <row r="2239" spans="1:9" x14ac:dyDescent="0.3">
      <c r="A2239"/>
      <c r="F2239"/>
      <c r="G2239"/>
      <c r="I2239"/>
    </row>
    <row r="2240" spans="1:9" x14ac:dyDescent="0.3">
      <c r="A2240"/>
      <c r="F2240"/>
      <c r="G2240"/>
      <c r="I2240"/>
    </row>
    <row r="2241" spans="1:9" x14ac:dyDescent="0.3">
      <c r="A2241"/>
      <c r="F2241"/>
      <c r="G2241"/>
      <c r="I2241"/>
    </row>
    <row r="2242" spans="1:9" x14ac:dyDescent="0.3">
      <c r="A2242"/>
      <c r="F2242"/>
      <c r="G2242"/>
      <c r="I2242"/>
    </row>
    <row r="2243" spans="1:9" x14ac:dyDescent="0.3">
      <c r="A2243"/>
      <c r="F2243"/>
      <c r="G2243"/>
      <c r="I2243"/>
    </row>
    <row r="2244" spans="1:9" x14ac:dyDescent="0.3">
      <c r="A2244"/>
      <c r="F2244"/>
      <c r="G2244"/>
      <c r="I2244"/>
    </row>
    <row r="2245" spans="1:9" x14ac:dyDescent="0.3">
      <c r="A2245"/>
      <c r="F2245"/>
      <c r="G2245"/>
      <c r="I2245"/>
    </row>
    <row r="2246" spans="1:9" x14ac:dyDescent="0.3">
      <c r="A2246"/>
      <c r="F2246"/>
      <c r="G2246"/>
      <c r="I2246"/>
    </row>
    <row r="2247" spans="1:9" x14ac:dyDescent="0.3">
      <c r="A2247"/>
      <c r="F2247"/>
      <c r="G2247"/>
      <c r="I2247"/>
    </row>
    <row r="2248" spans="1:9" x14ac:dyDescent="0.3">
      <c r="A2248"/>
      <c r="F2248"/>
      <c r="G2248"/>
      <c r="I2248"/>
    </row>
    <row r="2249" spans="1:9" x14ac:dyDescent="0.3">
      <c r="A2249"/>
      <c r="F2249"/>
      <c r="G2249"/>
      <c r="I2249"/>
    </row>
    <row r="2250" spans="1:9" x14ac:dyDescent="0.3">
      <c r="A2250"/>
      <c r="F2250"/>
      <c r="G2250"/>
      <c r="I2250"/>
    </row>
    <row r="2251" spans="1:9" x14ac:dyDescent="0.3">
      <c r="A2251"/>
      <c r="F2251"/>
      <c r="G2251"/>
      <c r="I2251"/>
    </row>
    <row r="2252" spans="1:9" x14ac:dyDescent="0.3">
      <c r="A2252"/>
      <c r="F2252"/>
      <c r="G2252"/>
      <c r="I2252"/>
    </row>
    <row r="2253" spans="1:9" x14ac:dyDescent="0.3">
      <c r="A2253"/>
      <c r="F2253"/>
      <c r="G2253"/>
      <c r="I2253"/>
    </row>
    <row r="2254" spans="1:9" x14ac:dyDescent="0.3">
      <c r="A2254"/>
      <c r="F2254"/>
      <c r="G2254"/>
      <c r="I2254"/>
    </row>
    <row r="2255" spans="1:9" x14ac:dyDescent="0.3">
      <c r="A2255"/>
      <c r="F2255"/>
      <c r="G2255"/>
      <c r="I2255"/>
    </row>
    <row r="2256" spans="1:9" x14ac:dyDescent="0.3">
      <c r="A2256"/>
      <c r="F2256"/>
      <c r="G2256"/>
      <c r="I2256"/>
    </row>
    <row r="2257" spans="1:9" x14ac:dyDescent="0.3">
      <c r="A2257"/>
      <c r="F2257"/>
      <c r="G2257"/>
      <c r="I2257"/>
    </row>
    <row r="2258" spans="1:9" x14ac:dyDescent="0.3">
      <c r="A2258"/>
      <c r="F2258"/>
      <c r="G2258"/>
      <c r="I2258"/>
    </row>
    <row r="2259" spans="1:9" x14ac:dyDescent="0.3">
      <c r="A2259"/>
      <c r="F2259"/>
      <c r="G2259"/>
      <c r="I2259"/>
    </row>
    <row r="2260" spans="1:9" x14ac:dyDescent="0.3">
      <c r="A2260"/>
      <c r="F2260"/>
      <c r="G2260"/>
      <c r="I2260"/>
    </row>
    <row r="2261" spans="1:9" x14ac:dyDescent="0.3">
      <c r="A2261"/>
      <c r="F2261"/>
      <c r="G2261"/>
      <c r="I2261"/>
    </row>
    <row r="2262" spans="1:9" x14ac:dyDescent="0.3">
      <c r="A2262"/>
      <c r="F2262"/>
      <c r="G2262"/>
      <c r="I2262"/>
    </row>
    <row r="2263" spans="1:9" x14ac:dyDescent="0.3">
      <c r="A2263"/>
      <c r="F2263"/>
      <c r="G2263"/>
      <c r="I2263"/>
    </row>
    <row r="2264" spans="1:9" x14ac:dyDescent="0.3">
      <c r="A2264"/>
      <c r="F2264"/>
      <c r="G2264"/>
      <c r="I2264"/>
    </row>
    <row r="2265" spans="1:9" x14ac:dyDescent="0.3">
      <c r="A2265"/>
      <c r="F2265"/>
      <c r="G2265"/>
      <c r="I2265"/>
    </row>
    <row r="2266" spans="1:9" x14ac:dyDescent="0.3">
      <c r="A2266"/>
      <c r="F2266"/>
      <c r="G2266"/>
      <c r="I2266"/>
    </row>
    <row r="2267" spans="1:9" x14ac:dyDescent="0.3">
      <c r="A2267"/>
      <c r="F2267"/>
      <c r="G2267"/>
      <c r="I2267"/>
    </row>
    <row r="2268" spans="1:9" x14ac:dyDescent="0.3">
      <c r="A2268"/>
      <c r="F2268"/>
      <c r="G2268"/>
      <c r="I2268"/>
    </row>
    <row r="2269" spans="1:9" x14ac:dyDescent="0.3">
      <c r="A2269"/>
      <c r="F2269"/>
      <c r="G2269"/>
      <c r="I2269"/>
    </row>
    <row r="2270" spans="1:9" x14ac:dyDescent="0.3">
      <c r="A2270"/>
      <c r="F2270"/>
      <c r="G2270"/>
      <c r="I2270"/>
    </row>
    <row r="2271" spans="1:9" x14ac:dyDescent="0.3">
      <c r="A2271"/>
      <c r="F2271"/>
      <c r="G2271"/>
      <c r="I2271"/>
    </row>
    <row r="2272" spans="1:9" x14ac:dyDescent="0.3">
      <c r="A2272"/>
      <c r="F2272"/>
      <c r="G2272"/>
      <c r="I2272"/>
    </row>
    <row r="2273" spans="1:9" x14ac:dyDescent="0.3">
      <c r="A2273"/>
      <c r="F2273"/>
      <c r="G2273"/>
      <c r="I2273"/>
    </row>
    <row r="2274" spans="1:9" x14ac:dyDescent="0.3">
      <c r="A2274"/>
      <c r="F2274"/>
      <c r="G2274"/>
      <c r="I2274"/>
    </row>
    <row r="2275" spans="1:9" x14ac:dyDescent="0.3">
      <c r="A2275"/>
      <c r="F2275"/>
      <c r="G2275"/>
      <c r="I2275"/>
    </row>
    <row r="2276" spans="1:9" x14ac:dyDescent="0.3">
      <c r="A2276"/>
      <c r="F2276"/>
      <c r="G2276"/>
      <c r="I2276"/>
    </row>
    <row r="2277" spans="1:9" x14ac:dyDescent="0.3">
      <c r="A2277"/>
      <c r="F2277"/>
      <c r="G2277"/>
      <c r="I2277"/>
    </row>
    <row r="2278" spans="1:9" x14ac:dyDescent="0.3">
      <c r="A2278"/>
      <c r="F2278"/>
      <c r="G2278"/>
      <c r="I2278"/>
    </row>
    <row r="2279" spans="1:9" x14ac:dyDescent="0.3">
      <c r="A2279"/>
      <c r="F2279"/>
      <c r="G2279"/>
      <c r="I2279"/>
    </row>
    <row r="2280" spans="1:9" x14ac:dyDescent="0.3">
      <c r="A2280"/>
      <c r="F2280"/>
      <c r="G2280"/>
      <c r="I2280"/>
    </row>
    <row r="2281" spans="1:9" x14ac:dyDescent="0.3">
      <c r="A2281"/>
      <c r="F2281"/>
      <c r="G2281"/>
      <c r="I2281"/>
    </row>
    <row r="2282" spans="1:9" x14ac:dyDescent="0.3">
      <c r="A2282"/>
      <c r="F2282"/>
      <c r="G2282"/>
      <c r="I2282"/>
    </row>
    <row r="2283" spans="1:9" x14ac:dyDescent="0.3">
      <c r="A2283"/>
      <c r="F2283"/>
      <c r="G2283"/>
      <c r="I2283"/>
    </row>
    <row r="2284" spans="1:9" x14ac:dyDescent="0.3">
      <c r="A2284"/>
      <c r="F2284"/>
      <c r="G2284"/>
      <c r="I2284"/>
    </row>
    <row r="2285" spans="1:9" x14ac:dyDescent="0.3">
      <c r="A2285"/>
      <c r="F2285"/>
      <c r="G2285"/>
      <c r="I2285"/>
    </row>
    <row r="2286" spans="1:9" x14ac:dyDescent="0.3">
      <c r="A2286"/>
      <c r="F2286"/>
      <c r="G2286"/>
      <c r="I2286"/>
    </row>
    <row r="2287" spans="1:9" x14ac:dyDescent="0.3">
      <c r="A2287"/>
      <c r="F2287"/>
      <c r="G2287"/>
      <c r="I2287"/>
    </row>
    <row r="2288" spans="1:9" x14ac:dyDescent="0.3">
      <c r="A2288"/>
      <c r="F2288"/>
      <c r="G2288"/>
      <c r="I2288"/>
    </row>
    <row r="2289" spans="1:9" x14ac:dyDescent="0.3">
      <c r="A2289"/>
      <c r="F2289"/>
      <c r="G2289"/>
      <c r="I2289"/>
    </row>
    <row r="2290" spans="1:9" x14ac:dyDescent="0.3">
      <c r="A2290"/>
      <c r="F2290"/>
      <c r="G2290"/>
      <c r="I2290"/>
    </row>
    <row r="2291" spans="1:9" x14ac:dyDescent="0.3">
      <c r="A2291"/>
      <c r="F2291"/>
      <c r="G2291"/>
      <c r="I2291"/>
    </row>
    <row r="2292" spans="1:9" x14ac:dyDescent="0.3">
      <c r="A2292"/>
      <c r="F2292"/>
      <c r="G2292"/>
      <c r="I2292"/>
    </row>
    <row r="2293" spans="1:9" x14ac:dyDescent="0.3">
      <c r="A2293"/>
      <c r="F2293"/>
      <c r="G2293"/>
      <c r="I2293"/>
    </row>
    <row r="2294" spans="1:9" x14ac:dyDescent="0.3">
      <c r="A2294"/>
      <c r="F2294"/>
      <c r="G2294"/>
      <c r="I2294"/>
    </row>
    <row r="2295" spans="1:9" x14ac:dyDescent="0.3">
      <c r="A2295"/>
      <c r="F2295"/>
      <c r="G2295"/>
      <c r="I2295"/>
    </row>
    <row r="2296" spans="1:9" x14ac:dyDescent="0.3">
      <c r="A2296"/>
      <c r="F2296"/>
      <c r="G2296"/>
      <c r="I2296"/>
    </row>
    <row r="2297" spans="1:9" x14ac:dyDescent="0.3">
      <c r="A2297"/>
      <c r="F2297"/>
      <c r="G2297"/>
      <c r="I2297"/>
    </row>
    <row r="2298" spans="1:9" x14ac:dyDescent="0.3">
      <c r="A2298"/>
      <c r="F2298"/>
      <c r="G2298"/>
      <c r="I2298"/>
    </row>
    <row r="2299" spans="1:9" x14ac:dyDescent="0.3">
      <c r="A2299"/>
      <c r="F2299"/>
      <c r="G2299"/>
      <c r="I2299"/>
    </row>
    <row r="2300" spans="1:9" x14ac:dyDescent="0.3">
      <c r="A2300"/>
      <c r="F2300"/>
      <c r="G2300"/>
      <c r="I2300"/>
    </row>
    <row r="2301" spans="1:9" x14ac:dyDescent="0.3">
      <c r="A2301"/>
      <c r="F2301"/>
      <c r="G2301"/>
      <c r="I2301"/>
    </row>
    <row r="2302" spans="1:9" x14ac:dyDescent="0.3">
      <c r="A2302"/>
      <c r="F2302"/>
      <c r="G2302"/>
      <c r="I2302"/>
    </row>
    <row r="2303" spans="1:9" x14ac:dyDescent="0.3">
      <c r="A2303"/>
      <c r="F2303"/>
      <c r="G2303"/>
      <c r="I2303"/>
    </row>
    <row r="2304" spans="1:9" x14ac:dyDescent="0.3">
      <c r="A2304"/>
      <c r="F2304"/>
      <c r="G2304"/>
      <c r="I2304"/>
    </row>
    <row r="2305" spans="1:9" x14ac:dyDescent="0.3">
      <c r="A2305"/>
      <c r="F2305"/>
      <c r="G2305"/>
      <c r="I2305"/>
    </row>
    <row r="2306" spans="1:9" x14ac:dyDescent="0.3">
      <c r="A2306"/>
      <c r="F2306"/>
      <c r="G2306"/>
      <c r="I2306"/>
    </row>
    <row r="2307" spans="1:9" x14ac:dyDescent="0.3">
      <c r="A2307"/>
      <c r="F2307"/>
      <c r="G2307"/>
      <c r="I2307"/>
    </row>
    <row r="2308" spans="1:9" x14ac:dyDescent="0.3">
      <c r="A2308"/>
      <c r="F2308"/>
      <c r="G2308"/>
      <c r="I2308"/>
    </row>
    <row r="2309" spans="1:9" x14ac:dyDescent="0.3">
      <c r="A2309"/>
      <c r="F2309"/>
      <c r="G2309"/>
      <c r="I2309"/>
    </row>
    <row r="2310" spans="1:9" x14ac:dyDescent="0.3">
      <c r="A2310"/>
      <c r="F2310"/>
      <c r="G2310"/>
      <c r="I2310"/>
    </row>
    <row r="2311" spans="1:9" x14ac:dyDescent="0.3">
      <c r="A2311"/>
      <c r="F2311"/>
      <c r="G2311"/>
      <c r="I2311"/>
    </row>
    <row r="2312" spans="1:9" x14ac:dyDescent="0.3">
      <c r="A2312"/>
      <c r="F2312"/>
      <c r="G2312"/>
      <c r="I2312"/>
    </row>
    <row r="2313" spans="1:9" x14ac:dyDescent="0.3">
      <c r="A2313"/>
      <c r="F2313"/>
      <c r="G2313"/>
      <c r="I2313"/>
    </row>
    <row r="2314" spans="1:9" x14ac:dyDescent="0.3">
      <c r="A2314"/>
      <c r="F2314"/>
      <c r="G2314"/>
      <c r="I2314"/>
    </row>
    <row r="2315" spans="1:9" x14ac:dyDescent="0.3">
      <c r="A2315"/>
      <c r="F2315"/>
      <c r="G2315"/>
      <c r="I2315"/>
    </row>
    <row r="2316" spans="1:9" x14ac:dyDescent="0.3">
      <c r="A2316"/>
      <c r="F2316"/>
      <c r="G2316"/>
      <c r="I2316"/>
    </row>
    <row r="2317" spans="1:9" x14ac:dyDescent="0.3">
      <c r="A2317"/>
      <c r="F2317"/>
      <c r="G2317"/>
      <c r="I2317"/>
    </row>
    <row r="2318" spans="1:9" x14ac:dyDescent="0.3">
      <c r="A2318"/>
      <c r="F2318"/>
      <c r="G2318"/>
      <c r="I2318"/>
    </row>
    <row r="2319" spans="1:9" x14ac:dyDescent="0.3">
      <c r="A2319"/>
      <c r="F2319"/>
      <c r="G2319"/>
      <c r="I2319"/>
    </row>
    <row r="2320" spans="1:9" x14ac:dyDescent="0.3">
      <c r="A2320"/>
      <c r="F2320"/>
      <c r="G2320"/>
      <c r="I2320"/>
    </row>
    <row r="2321" spans="1:9" x14ac:dyDescent="0.3">
      <c r="A2321"/>
      <c r="F2321"/>
      <c r="G2321"/>
      <c r="I2321"/>
    </row>
    <row r="2322" spans="1:9" x14ac:dyDescent="0.3">
      <c r="A2322"/>
      <c r="F2322"/>
      <c r="G2322"/>
      <c r="I2322"/>
    </row>
    <row r="2323" spans="1:9" x14ac:dyDescent="0.3">
      <c r="A2323"/>
      <c r="F2323"/>
      <c r="G2323"/>
      <c r="I2323"/>
    </row>
    <row r="2324" spans="1:9" x14ac:dyDescent="0.3">
      <c r="A2324"/>
      <c r="F2324"/>
      <c r="G2324"/>
      <c r="I2324"/>
    </row>
    <row r="2325" spans="1:9" x14ac:dyDescent="0.3">
      <c r="A2325"/>
      <c r="F2325"/>
      <c r="G2325"/>
      <c r="I2325"/>
    </row>
    <row r="2326" spans="1:9" x14ac:dyDescent="0.3">
      <c r="A2326"/>
      <c r="F2326"/>
      <c r="G2326"/>
      <c r="I2326"/>
    </row>
    <row r="2327" spans="1:9" x14ac:dyDescent="0.3">
      <c r="A2327"/>
      <c r="F2327"/>
      <c r="G2327"/>
      <c r="I2327"/>
    </row>
    <row r="2328" spans="1:9" x14ac:dyDescent="0.3">
      <c r="A2328"/>
      <c r="F2328"/>
      <c r="G2328"/>
      <c r="I2328"/>
    </row>
    <row r="2329" spans="1:9" x14ac:dyDescent="0.3">
      <c r="A2329"/>
      <c r="F2329"/>
      <c r="G2329"/>
      <c r="I2329"/>
    </row>
    <row r="2330" spans="1:9" x14ac:dyDescent="0.3">
      <c r="A2330"/>
      <c r="F2330"/>
      <c r="G2330"/>
      <c r="I2330"/>
    </row>
    <row r="2331" spans="1:9" x14ac:dyDescent="0.3">
      <c r="A2331"/>
      <c r="F2331"/>
      <c r="G2331"/>
      <c r="I2331"/>
    </row>
    <row r="2332" spans="1:9" x14ac:dyDescent="0.3">
      <c r="A2332"/>
      <c r="F2332"/>
      <c r="G2332"/>
      <c r="I2332"/>
    </row>
    <row r="2333" spans="1:9" x14ac:dyDescent="0.3">
      <c r="A2333"/>
      <c r="F2333"/>
      <c r="G2333"/>
      <c r="I2333"/>
    </row>
    <row r="2334" spans="1:9" x14ac:dyDescent="0.3">
      <c r="A2334"/>
      <c r="F2334"/>
      <c r="G2334"/>
      <c r="I2334"/>
    </row>
    <row r="2335" spans="1:9" x14ac:dyDescent="0.3">
      <c r="A2335"/>
      <c r="F2335"/>
      <c r="G2335"/>
      <c r="I2335"/>
    </row>
    <row r="2336" spans="1:9" x14ac:dyDescent="0.3">
      <c r="A2336"/>
      <c r="F2336"/>
      <c r="G2336"/>
      <c r="I2336"/>
    </row>
    <row r="2337" spans="1:9" x14ac:dyDescent="0.3">
      <c r="A2337"/>
      <c r="F2337"/>
      <c r="G2337"/>
      <c r="I2337"/>
    </row>
    <row r="2338" spans="1:9" x14ac:dyDescent="0.3">
      <c r="A2338"/>
      <c r="F2338"/>
      <c r="G2338"/>
      <c r="I2338"/>
    </row>
    <row r="2339" spans="1:9" x14ac:dyDescent="0.3">
      <c r="A2339"/>
      <c r="F2339"/>
      <c r="G2339"/>
      <c r="I2339"/>
    </row>
    <row r="2340" spans="1:9" x14ac:dyDescent="0.3">
      <c r="A2340"/>
      <c r="F2340"/>
      <c r="G2340"/>
      <c r="I2340"/>
    </row>
    <row r="2341" spans="1:9" x14ac:dyDescent="0.3">
      <c r="A2341"/>
      <c r="F2341"/>
      <c r="G2341"/>
      <c r="I2341"/>
    </row>
    <row r="2342" spans="1:9" x14ac:dyDescent="0.3">
      <c r="A2342"/>
      <c r="F2342"/>
      <c r="G2342"/>
      <c r="I2342"/>
    </row>
    <row r="2343" spans="1:9" x14ac:dyDescent="0.3">
      <c r="A2343"/>
      <c r="F2343"/>
      <c r="G2343"/>
      <c r="I2343"/>
    </row>
    <row r="2344" spans="1:9" x14ac:dyDescent="0.3">
      <c r="A2344"/>
      <c r="F2344"/>
      <c r="G2344"/>
      <c r="I2344"/>
    </row>
    <row r="2345" spans="1:9" x14ac:dyDescent="0.3">
      <c r="A2345"/>
      <c r="F2345"/>
      <c r="G2345"/>
      <c r="I2345"/>
    </row>
    <row r="2346" spans="1:9" x14ac:dyDescent="0.3">
      <c r="A2346"/>
      <c r="F2346"/>
      <c r="G2346"/>
      <c r="I2346"/>
    </row>
    <row r="2347" spans="1:9" x14ac:dyDescent="0.3">
      <c r="A2347"/>
      <c r="F2347"/>
      <c r="G2347"/>
      <c r="I2347"/>
    </row>
    <row r="2348" spans="1:9" x14ac:dyDescent="0.3">
      <c r="A2348"/>
      <c r="F2348"/>
      <c r="G2348"/>
      <c r="I2348"/>
    </row>
    <row r="2349" spans="1:9" x14ac:dyDescent="0.3">
      <c r="A2349"/>
      <c r="F2349"/>
      <c r="G2349"/>
      <c r="I2349"/>
    </row>
    <row r="2350" spans="1:9" x14ac:dyDescent="0.3">
      <c r="A2350"/>
      <c r="F2350"/>
      <c r="G2350"/>
      <c r="I2350"/>
    </row>
    <row r="2351" spans="1:9" x14ac:dyDescent="0.3">
      <c r="A2351"/>
      <c r="F2351"/>
      <c r="G2351"/>
      <c r="I2351"/>
    </row>
    <row r="2352" spans="1:9" x14ac:dyDescent="0.3">
      <c r="A2352"/>
      <c r="F2352"/>
      <c r="G2352"/>
      <c r="I2352"/>
    </row>
    <row r="2353" spans="1:9" x14ac:dyDescent="0.3">
      <c r="A2353"/>
      <c r="F2353"/>
      <c r="G2353"/>
      <c r="I2353"/>
    </row>
    <row r="2354" spans="1:9" x14ac:dyDescent="0.3">
      <c r="A2354"/>
      <c r="F2354"/>
      <c r="G2354"/>
      <c r="I2354"/>
    </row>
    <row r="2355" spans="1:9" x14ac:dyDescent="0.3">
      <c r="A2355"/>
      <c r="F2355"/>
      <c r="G2355"/>
      <c r="I2355"/>
    </row>
    <row r="2356" spans="1:9" x14ac:dyDescent="0.3">
      <c r="A2356"/>
      <c r="F2356"/>
      <c r="G2356"/>
      <c r="I2356"/>
    </row>
    <row r="2357" spans="1:9" x14ac:dyDescent="0.3">
      <c r="A2357"/>
      <c r="F2357"/>
      <c r="G2357"/>
      <c r="I2357"/>
    </row>
    <row r="2358" spans="1:9" x14ac:dyDescent="0.3">
      <c r="A2358"/>
      <c r="F2358"/>
      <c r="G2358"/>
      <c r="I2358"/>
    </row>
    <row r="2359" spans="1:9" x14ac:dyDescent="0.3">
      <c r="A2359"/>
      <c r="F2359"/>
      <c r="G2359"/>
      <c r="I2359"/>
    </row>
    <row r="2360" spans="1:9" x14ac:dyDescent="0.3">
      <c r="A2360"/>
      <c r="F2360"/>
      <c r="G2360"/>
      <c r="I2360"/>
    </row>
    <row r="2361" spans="1:9" x14ac:dyDescent="0.3">
      <c r="A2361"/>
      <c r="F2361"/>
      <c r="G2361"/>
      <c r="I2361"/>
    </row>
    <row r="2362" spans="1:9" x14ac:dyDescent="0.3">
      <c r="A2362"/>
      <c r="F2362"/>
      <c r="G2362"/>
      <c r="I2362"/>
    </row>
    <row r="2363" spans="1:9" x14ac:dyDescent="0.3">
      <c r="A2363"/>
      <c r="F2363"/>
      <c r="G2363"/>
      <c r="I2363"/>
    </row>
    <row r="2364" spans="1:9" x14ac:dyDescent="0.3">
      <c r="A2364"/>
      <c r="F2364"/>
      <c r="G2364"/>
      <c r="I2364"/>
    </row>
    <row r="2365" spans="1:9" x14ac:dyDescent="0.3">
      <c r="A2365"/>
      <c r="F2365"/>
      <c r="G2365"/>
      <c r="I2365"/>
    </row>
    <row r="2366" spans="1:9" x14ac:dyDescent="0.3">
      <c r="A2366"/>
      <c r="F2366"/>
      <c r="G2366"/>
      <c r="I2366"/>
    </row>
    <row r="2367" spans="1:9" x14ac:dyDescent="0.3">
      <c r="A2367"/>
      <c r="F2367"/>
      <c r="G2367"/>
      <c r="I2367"/>
    </row>
    <row r="2368" spans="1:9" x14ac:dyDescent="0.3">
      <c r="A2368"/>
      <c r="F2368"/>
      <c r="G2368"/>
      <c r="I2368"/>
    </row>
    <row r="2369" spans="1:9" x14ac:dyDescent="0.3">
      <c r="A2369"/>
      <c r="F2369"/>
      <c r="G2369"/>
      <c r="I2369"/>
    </row>
    <row r="2370" spans="1:9" x14ac:dyDescent="0.3">
      <c r="A2370"/>
      <c r="F2370"/>
      <c r="G2370"/>
      <c r="I2370"/>
    </row>
    <row r="2371" spans="1:9" x14ac:dyDescent="0.3">
      <c r="A2371"/>
      <c r="F2371"/>
      <c r="G2371"/>
      <c r="I2371"/>
    </row>
    <row r="2372" spans="1:9" x14ac:dyDescent="0.3">
      <c r="A2372"/>
      <c r="F2372"/>
      <c r="G2372"/>
      <c r="I2372"/>
    </row>
    <row r="2373" spans="1:9" x14ac:dyDescent="0.3">
      <c r="A2373"/>
      <c r="F2373"/>
      <c r="G2373"/>
      <c r="I2373"/>
    </row>
    <row r="2374" spans="1:9" x14ac:dyDescent="0.3">
      <c r="A2374"/>
      <c r="F2374"/>
      <c r="G2374"/>
      <c r="I2374"/>
    </row>
    <row r="2375" spans="1:9" x14ac:dyDescent="0.3">
      <c r="A2375"/>
      <c r="F2375"/>
      <c r="G2375"/>
      <c r="I2375"/>
    </row>
    <row r="2376" spans="1:9" x14ac:dyDescent="0.3">
      <c r="A2376"/>
      <c r="F2376"/>
      <c r="G2376"/>
      <c r="I2376"/>
    </row>
    <row r="2377" spans="1:9" x14ac:dyDescent="0.3">
      <c r="A2377"/>
      <c r="F2377"/>
      <c r="G2377"/>
      <c r="I2377"/>
    </row>
    <row r="2378" spans="1:9" x14ac:dyDescent="0.3">
      <c r="A2378"/>
      <c r="F2378"/>
      <c r="G2378"/>
      <c r="I2378"/>
    </row>
    <row r="2379" spans="1:9" x14ac:dyDescent="0.3">
      <c r="A2379"/>
      <c r="F2379"/>
      <c r="G2379"/>
      <c r="I2379"/>
    </row>
    <row r="2380" spans="1:9" x14ac:dyDescent="0.3">
      <c r="A2380"/>
      <c r="F2380"/>
      <c r="G2380"/>
      <c r="I2380"/>
    </row>
    <row r="2381" spans="1:9" x14ac:dyDescent="0.3">
      <c r="A2381"/>
      <c r="F2381"/>
      <c r="G2381"/>
      <c r="I2381"/>
    </row>
    <row r="2382" spans="1:9" x14ac:dyDescent="0.3">
      <c r="A2382"/>
      <c r="F2382"/>
      <c r="G2382"/>
      <c r="I2382"/>
    </row>
    <row r="2383" spans="1:9" x14ac:dyDescent="0.3">
      <c r="A2383"/>
      <c r="F2383"/>
      <c r="G2383"/>
      <c r="I2383"/>
    </row>
    <row r="2384" spans="1:9" x14ac:dyDescent="0.3">
      <c r="A2384"/>
      <c r="F2384"/>
      <c r="G2384"/>
      <c r="I2384"/>
    </row>
    <row r="2385" spans="1:9" x14ac:dyDescent="0.3">
      <c r="A2385"/>
      <c r="F2385"/>
      <c r="G2385"/>
      <c r="I2385"/>
    </row>
    <row r="2386" spans="1:9" x14ac:dyDescent="0.3">
      <c r="A2386"/>
      <c r="F2386"/>
      <c r="G2386"/>
      <c r="I2386"/>
    </row>
    <row r="2387" spans="1:9" x14ac:dyDescent="0.3">
      <c r="A2387"/>
      <c r="F2387"/>
      <c r="G2387"/>
      <c r="I2387"/>
    </row>
    <row r="2388" spans="1:9" x14ac:dyDescent="0.3">
      <c r="A2388"/>
      <c r="F2388"/>
      <c r="G2388"/>
      <c r="I2388"/>
    </row>
    <row r="2389" spans="1:9" x14ac:dyDescent="0.3">
      <c r="A2389"/>
      <c r="F2389"/>
      <c r="G2389"/>
      <c r="I2389"/>
    </row>
    <row r="2390" spans="1:9" x14ac:dyDescent="0.3">
      <c r="A2390"/>
      <c r="F2390"/>
      <c r="G2390"/>
      <c r="I2390"/>
    </row>
    <row r="2391" spans="1:9" x14ac:dyDescent="0.3">
      <c r="A2391"/>
      <c r="F2391"/>
      <c r="G2391"/>
      <c r="I2391"/>
    </row>
    <row r="2392" spans="1:9" x14ac:dyDescent="0.3">
      <c r="A2392"/>
      <c r="F2392"/>
      <c r="G2392"/>
      <c r="I2392"/>
    </row>
    <row r="2393" spans="1:9" x14ac:dyDescent="0.3">
      <c r="A2393"/>
      <c r="F2393"/>
      <c r="G2393"/>
      <c r="I2393"/>
    </row>
    <row r="2394" spans="1:9" x14ac:dyDescent="0.3">
      <c r="A2394"/>
      <c r="F2394"/>
      <c r="G2394"/>
      <c r="I2394"/>
    </row>
    <row r="2395" spans="1:9" x14ac:dyDescent="0.3">
      <c r="A2395"/>
      <c r="F2395"/>
      <c r="G2395"/>
      <c r="I2395"/>
    </row>
    <row r="2396" spans="1:9" x14ac:dyDescent="0.3">
      <c r="A2396"/>
      <c r="F2396"/>
      <c r="G2396"/>
      <c r="I2396"/>
    </row>
    <row r="2397" spans="1:9" x14ac:dyDescent="0.3">
      <c r="A2397"/>
      <c r="F2397"/>
      <c r="G2397"/>
      <c r="I2397"/>
    </row>
    <row r="2398" spans="1:9" x14ac:dyDescent="0.3">
      <c r="A2398"/>
      <c r="F2398"/>
      <c r="G2398"/>
      <c r="I2398"/>
    </row>
    <row r="2399" spans="1:9" x14ac:dyDescent="0.3">
      <c r="A2399"/>
      <c r="F2399"/>
      <c r="G2399"/>
      <c r="I2399"/>
    </row>
    <row r="2400" spans="1:9" x14ac:dyDescent="0.3">
      <c r="A2400"/>
      <c r="F2400"/>
      <c r="G2400"/>
      <c r="I2400"/>
    </row>
    <row r="2401" spans="1:9" x14ac:dyDescent="0.3">
      <c r="A2401"/>
      <c r="F2401"/>
      <c r="G2401"/>
      <c r="I2401"/>
    </row>
    <row r="2402" spans="1:9" x14ac:dyDescent="0.3">
      <c r="A2402"/>
      <c r="F2402"/>
      <c r="G2402"/>
      <c r="I2402"/>
    </row>
    <row r="2403" spans="1:9" x14ac:dyDescent="0.3">
      <c r="A2403"/>
      <c r="F2403"/>
      <c r="G2403"/>
      <c r="I2403"/>
    </row>
    <row r="2404" spans="1:9" x14ac:dyDescent="0.3">
      <c r="A2404"/>
      <c r="F2404"/>
      <c r="G2404"/>
      <c r="I2404"/>
    </row>
    <row r="2405" spans="1:9" x14ac:dyDescent="0.3">
      <c r="A2405"/>
      <c r="F2405"/>
      <c r="G2405"/>
      <c r="I2405"/>
    </row>
    <row r="2406" spans="1:9" x14ac:dyDescent="0.3">
      <c r="A2406"/>
      <c r="F2406"/>
      <c r="G2406"/>
      <c r="I2406"/>
    </row>
    <row r="2407" spans="1:9" x14ac:dyDescent="0.3">
      <c r="A2407"/>
      <c r="F2407"/>
      <c r="G2407"/>
      <c r="I2407"/>
    </row>
    <row r="2408" spans="1:9" x14ac:dyDescent="0.3">
      <c r="A2408"/>
      <c r="F2408"/>
      <c r="G2408"/>
      <c r="I2408"/>
    </row>
    <row r="2409" spans="1:9" x14ac:dyDescent="0.3">
      <c r="A2409"/>
      <c r="F2409"/>
      <c r="G2409"/>
      <c r="I2409"/>
    </row>
    <row r="2410" spans="1:9" x14ac:dyDescent="0.3">
      <c r="A2410"/>
      <c r="F2410"/>
      <c r="G2410"/>
      <c r="I2410"/>
    </row>
    <row r="2411" spans="1:9" x14ac:dyDescent="0.3">
      <c r="A2411"/>
      <c r="F2411"/>
      <c r="G2411"/>
      <c r="I2411"/>
    </row>
    <row r="2412" spans="1:9" x14ac:dyDescent="0.3">
      <c r="A2412"/>
      <c r="F2412"/>
      <c r="G2412"/>
      <c r="I2412"/>
    </row>
    <row r="2413" spans="1:9" x14ac:dyDescent="0.3">
      <c r="A2413"/>
      <c r="F2413"/>
      <c r="G2413"/>
      <c r="I2413"/>
    </row>
    <row r="2414" spans="1:9" x14ac:dyDescent="0.3">
      <c r="A2414"/>
      <c r="F2414"/>
      <c r="G2414"/>
      <c r="I2414"/>
    </row>
    <row r="2415" spans="1:9" x14ac:dyDescent="0.3">
      <c r="A2415"/>
      <c r="F2415"/>
      <c r="G2415"/>
      <c r="I2415"/>
    </row>
    <row r="2416" spans="1:9" x14ac:dyDescent="0.3">
      <c r="A2416"/>
      <c r="F2416"/>
      <c r="G2416"/>
      <c r="I2416"/>
    </row>
    <row r="2417" spans="1:9" x14ac:dyDescent="0.3">
      <c r="A2417"/>
      <c r="F2417"/>
      <c r="G2417"/>
      <c r="I2417"/>
    </row>
    <row r="2418" spans="1:9" x14ac:dyDescent="0.3">
      <c r="A2418"/>
      <c r="F2418"/>
      <c r="G2418"/>
      <c r="I2418"/>
    </row>
    <row r="2419" spans="1:9" x14ac:dyDescent="0.3">
      <c r="A2419"/>
      <c r="F2419"/>
      <c r="G2419"/>
      <c r="I2419"/>
    </row>
    <row r="2420" spans="1:9" x14ac:dyDescent="0.3">
      <c r="A2420"/>
      <c r="F2420"/>
      <c r="G2420"/>
      <c r="I2420"/>
    </row>
    <row r="2421" spans="1:9" x14ac:dyDescent="0.3">
      <c r="A2421"/>
      <c r="F2421"/>
      <c r="G2421"/>
      <c r="I2421"/>
    </row>
    <row r="2422" spans="1:9" x14ac:dyDescent="0.3">
      <c r="A2422"/>
      <c r="F2422"/>
      <c r="G2422"/>
      <c r="I2422"/>
    </row>
    <row r="2423" spans="1:9" x14ac:dyDescent="0.3">
      <c r="A2423"/>
      <c r="F2423"/>
      <c r="G2423"/>
      <c r="I2423"/>
    </row>
    <row r="2424" spans="1:9" x14ac:dyDescent="0.3">
      <c r="A2424"/>
      <c r="F2424"/>
      <c r="G2424"/>
      <c r="I2424"/>
    </row>
    <row r="2425" spans="1:9" x14ac:dyDescent="0.3">
      <c r="A2425"/>
      <c r="F2425"/>
      <c r="G2425"/>
      <c r="I2425"/>
    </row>
    <row r="2426" spans="1:9" x14ac:dyDescent="0.3">
      <c r="A2426"/>
      <c r="F2426"/>
      <c r="G2426"/>
      <c r="I2426"/>
    </row>
    <row r="2427" spans="1:9" x14ac:dyDescent="0.3">
      <c r="A2427"/>
      <c r="F2427"/>
      <c r="G2427"/>
      <c r="I2427"/>
    </row>
    <row r="2428" spans="1:9" x14ac:dyDescent="0.3">
      <c r="A2428"/>
      <c r="F2428"/>
      <c r="G2428"/>
      <c r="I2428"/>
    </row>
    <row r="2429" spans="1:9" x14ac:dyDescent="0.3">
      <c r="A2429"/>
      <c r="F2429"/>
      <c r="G2429"/>
      <c r="I2429"/>
    </row>
    <row r="2430" spans="1:9" x14ac:dyDescent="0.3">
      <c r="A2430"/>
      <c r="F2430"/>
      <c r="G2430"/>
      <c r="I2430"/>
    </row>
    <row r="2431" spans="1:9" x14ac:dyDescent="0.3">
      <c r="A2431"/>
      <c r="F2431"/>
      <c r="G2431"/>
      <c r="I2431"/>
    </row>
    <row r="2432" spans="1:9" x14ac:dyDescent="0.3">
      <c r="A2432"/>
      <c r="F2432"/>
      <c r="G2432"/>
      <c r="I2432"/>
    </row>
    <row r="2433" spans="1:9" x14ac:dyDescent="0.3">
      <c r="A2433"/>
      <c r="F2433"/>
      <c r="G2433"/>
      <c r="I2433"/>
    </row>
    <row r="2434" spans="1:9" x14ac:dyDescent="0.3">
      <c r="A2434"/>
      <c r="F2434"/>
      <c r="G2434"/>
      <c r="I2434"/>
    </row>
    <row r="2435" spans="1:9" x14ac:dyDescent="0.3">
      <c r="A2435"/>
      <c r="F2435"/>
      <c r="G2435"/>
      <c r="I2435"/>
    </row>
    <row r="2436" spans="1:9" x14ac:dyDescent="0.3">
      <c r="A2436"/>
      <c r="F2436"/>
      <c r="G2436"/>
      <c r="I2436"/>
    </row>
    <row r="2437" spans="1:9" x14ac:dyDescent="0.3">
      <c r="A2437"/>
      <c r="F2437"/>
      <c r="G2437"/>
      <c r="I2437"/>
    </row>
    <row r="2438" spans="1:9" x14ac:dyDescent="0.3">
      <c r="A2438"/>
      <c r="F2438"/>
      <c r="G2438"/>
      <c r="I2438"/>
    </row>
    <row r="2439" spans="1:9" x14ac:dyDescent="0.3">
      <c r="A2439"/>
      <c r="F2439"/>
      <c r="G2439"/>
      <c r="I2439"/>
    </row>
    <row r="2440" spans="1:9" x14ac:dyDescent="0.3">
      <c r="A2440"/>
      <c r="F2440"/>
      <c r="G2440"/>
      <c r="I2440"/>
    </row>
    <row r="2441" spans="1:9" x14ac:dyDescent="0.3">
      <c r="A2441"/>
      <c r="F2441"/>
      <c r="G2441"/>
      <c r="I2441"/>
    </row>
    <row r="2442" spans="1:9" x14ac:dyDescent="0.3">
      <c r="A2442"/>
      <c r="F2442"/>
      <c r="G2442"/>
      <c r="I2442"/>
    </row>
    <row r="2443" spans="1:9" x14ac:dyDescent="0.3">
      <c r="A2443"/>
      <c r="F2443"/>
      <c r="G2443"/>
      <c r="I2443"/>
    </row>
    <row r="2444" spans="1:9" x14ac:dyDescent="0.3">
      <c r="A2444"/>
      <c r="F2444"/>
      <c r="G2444"/>
      <c r="I2444"/>
    </row>
    <row r="2445" spans="1:9" x14ac:dyDescent="0.3">
      <c r="A2445"/>
      <c r="F2445"/>
      <c r="G2445"/>
      <c r="I2445"/>
    </row>
    <row r="2446" spans="1:9" x14ac:dyDescent="0.3">
      <c r="A2446"/>
      <c r="F2446"/>
      <c r="G2446"/>
      <c r="I2446"/>
    </row>
    <row r="2447" spans="1:9" x14ac:dyDescent="0.3">
      <c r="A2447"/>
      <c r="F2447"/>
      <c r="G2447"/>
      <c r="I2447"/>
    </row>
    <row r="2448" spans="1:9" x14ac:dyDescent="0.3">
      <c r="A2448"/>
      <c r="F2448"/>
      <c r="G2448"/>
      <c r="I2448"/>
    </row>
    <row r="2449" spans="1:9" x14ac:dyDescent="0.3">
      <c r="A2449"/>
      <c r="F2449"/>
      <c r="G2449"/>
      <c r="I2449"/>
    </row>
    <row r="2450" spans="1:9" x14ac:dyDescent="0.3">
      <c r="A2450"/>
      <c r="F2450"/>
      <c r="G2450"/>
      <c r="I2450"/>
    </row>
    <row r="2451" spans="1:9" x14ac:dyDescent="0.3">
      <c r="A2451"/>
      <c r="F2451"/>
      <c r="G2451"/>
      <c r="I2451"/>
    </row>
    <row r="2452" spans="1:9" x14ac:dyDescent="0.3">
      <c r="A2452"/>
      <c r="F2452"/>
      <c r="G2452"/>
      <c r="I2452"/>
    </row>
    <row r="2453" spans="1:9" x14ac:dyDescent="0.3">
      <c r="A2453"/>
      <c r="F2453"/>
      <c r="G2453"/>
      <c r="I2453"/>
    </row>
    <row r="2454" spans="1:9" x14ac:dyDescent="0.3">
      <c r="A2454"/>
      <c r="F2454"/>
      <c r="G2454"/>
      <c r="I2454"/>
    </row>
    <row r="2455" spans="1:9" x14ac:dyDescent="0.3">
      <c r="A2455"/>
      <c r="F2455"/>
      <c r="G2455"/>
      <c r="I2455"/>
    </row>
    <row r="2456" spans="1:9" x14ac:dyDescent="0.3">
      <c r="A2456"/>
      <c r="F2456"/>
      <c r="G2456"/>
      <c r="I2456"/>
    </row>
    <row r="2457" spans="1:9" x14ac:dyDescent="0.3">
      <c r="A2457"/>
      <c r="F2457"/>
      <c r="G2457"/>
      <c r="I2457"/>
    </row>
    <row r="2458" spans="1:9" x14ac:dyDescent="0.3">
      <c r="A2458"/>
      <c r="F2458"/>
      <c r="G2458"/>
      <c r="I2458"/>
    </row>
    <row r="2459" spans="1:9" x14ac:dyDescent="0.3">
      <c r="A2459"/>
      <c r="F2459"/>
      <c r="G2459"/>
      <c r="I2459"/>
    </row>
    <row r="2460" spans="1:9" x14ac:dyDescent="0.3">
      <c r="A2460"/>
      <c r="F2460"/>
      <c r="G2460"/>
      <c r="I2460"/>
    </row>
    <row r="2461" spans="1:9" x14ac:dyDescent="0.3">
      <c r="A2461"/>
      <c r="F2461"/>
      <c r="G2461"/>
      <c r="I2461"/>
    </row>
    <row r="2462" spans="1:9" x14ac:dyDescent="0.3">
      <c r="A2462"/>
      <c r="F2462"/>
      <c r="G2462"/>
      <c r="I2462"/>
    </row>
    <row r="2463" spans="1:9" x14ac:dyDescent="0.3">
      <c r="A2463"/>
      <c r="F2463"/>
      <c r="G2463"/>
      <c r="I2463"/>
    </row>
    <row r="2464" spans="1:9" x14ac:dyDescent="0.3">
      <c r="A2464"/>
      <c r="F2464"/>
      <c r="G2464"/>
      <c r="I2464"/>
    </row>
    <row r="2465" spans="1:9" x14ac:dyDescent="0.3">
      <c r="A2465"/>
      <c r="F2465"/>
      <c r="G2465"/>
      <c r="I2465"/>
    </row>
    <row r="2466" spans="1:9" x14ac:dyDescent="0.3">
      <c r="A2466"/>
      <c r="F2466"/>
      <c r="G2466"/>
      <c r="I2466"/>
    </row>
    <row r="2467" spans="1:9" x14ac:dyDescent="0.3">
      <c r="A2467"/>
      <c r="F2467"/>
      <c r="G2467"/>
      <c r="I2467"/>
    </row>
    <row r="2468" spans="1:9" x14ac:dyDescent="0.3">
      <c r="A2468"/>
      <c r="F2468"/>
      <c r="G2468"/>
      <c r="I2468"/>
    </row>
    <row r="2469" spans="1:9" x14ac:dyDescent="0.3">
      <c r="A2469"/>
      <c r="F2469"/>
      <c r="G2469"/>
      <c r="I2469"/>
    </row>
    <row r="2470" spans="1:9" x14ac:dyDescent="0.3">
      <c r="A2470"/>
      <c r="F2470"/>
      <c r="G2470"/>
      <c r="I2470"/>
    </row>
    <row r="2471" spans="1:9" x14ac:dyDescent="0.3">
      <c r="A2471"/>
      <c r="F2471"/>
      <c r="G2471"/>
      <c r="I2471"/>
    </row>
    <row r="2472" spans="1:9" x14ac:dyDescent="0.3">
      <c r="A2472"/>
      <c r="F2472"/>
      <c r="G2472"/>
      <c r="I2472"/>
    </row>
    <row r="2473" spans="1:9" x14ac:dyDescent="0.3">
      <c r="A2473"/>
      <c r="F2473"/>
      <c r="G2473"/>
      <c r="I2473"/>
    </row>
    <row r="2474" spans="1:9" x14ac:dyDescent="0.3">
      <c r="A2474"/>
      <c r="F2474"/>
      <c r="G2474"/>
      <c r="I2474"/>
    </row>
    <row r="2475" spans="1:9" x14ac:dyDescent="0.3">
      <c r="A2475"/>
      <c r="F2475"/>
      <c r="G2475"/>
      <c r="I2475"/>
    </row>
    <row r="2476" spans="1:9" x14ac:dyDescent="0.3">
      <c r="A2476"/>
      <c r="F2476"/>
      <c r="G2476"/>
      <c r="I2476"/>
    </row>
    <row r="2477" spans="1:9" x14ac:dyDescent="0.3">
      <c r="A2477"/>
      <c r="F2477"/>
      <c r="G2477"/>
      <c r="I2477"/>
    </row>
    <row r="2478" spans="1:9" x14ac:dyDescent="0.3">
      <c r="A2478"/>
      <c r="F2478"/>
      <c r="G2478"/>
      <c r="I2478"/>
    </row>
    <row r="2479" spans="1:9" x14ac:dyDescent="0.3">
      <c r="A2479"/>
      <c r="F2479"/>
      <c r="G2479"/>
      <c r="I2479"/>
    </row>
    <row r="2480" spans="1:9" x14ac:dyDescent="0.3">
      <c r="A2480"/>
      <c r="F2480"/>
      <c r="G2480"/>
      <c r="I2480"/>
    </row>
    <row r="2481" spans="1:9" x14ac:dyDescent="0.3">
      <c r="A2481"/>
      <c r="F2481"/>
      <c r="G2481"/>
      <c r="I2481"/>
    </row>
    <row r="2482" spans="1:9" x14ac:dyDescent="0.3">
      <c r="A2482"/>
      <c r="F2482"/>
      <c r="G2482"/>
      <c r="I2482"/>
    </row>
    <row r="2483" spans="1:9" x14ac:dyDescent="0.3">
      <c r="A2483"/>
      <c r="F2483"/>
      <c r="G2483"/>
      <c r="I2483"/>
    </row>
    <row r="2484" spans="1:9" x14ac:dyDescent="0.3">
      <c r="A2484"/>
      <c r="F2484"/>
      <c r="G2484"/>
      <c r="I2484"/>
    </row>
    <row r="2485" spans="1:9" x14ac:dyDescent="0.3">
      <c r="A2485"/>
      <c r="F2485"/>
      <c r="G2485"/>
      <c r="I2485"/>
    </row>
    <row r="2486" spans="1:9" x14ac:dyDescent="0.3">
      <c r="A2486"/>
      <c r="F2486"/>
      <c r="G2486"/>
      <c r="I2486"/>
    </row>
    <row r="2487" spans="1:9" x14ac:dyDescent="0.3">
      <c r="A2487"/>
      <c r="F2487"/>
      <c r="G2487"/>
      <c r="I2487"/>
    </row>
    <row r="2488" spans="1:9" x14ac:dyDescent="0.3">
      <c r="A2488"/>
      <c r="F2488"/>
      <c r="G2488"/>
      <c r="I2488"/>
    </row>
    <row r="2489" spans="1:9" x14ac:dyDescent="0.3">
      <c r="A2489"/>
      <c r="F2489"/>
      <c r="G2489"/>
      <c r="I2489"/>
    </row>
    <row r="2490" spans="1:9" x14ac:dyDescent="0.3">
      <c r="A2490"/>
      <c r="F2490"/>
      <c r="G2490"/>
      <c r="I2490"/>
    </row>
    <row r="2491" spans="1:9" x14ac:dyDescent="0.3">
      <c r="A2491"/>
      <c r="F2491"/>
      <c r="G2491"/>
      <c r="I2491"/>
    </row>
    <row r="2492" spans="1:9" x14ac:dyDescent="0.3">
      <c r="A2492"/>
      <c r="F2492"/>
      <c r="G2492"/>
      <c r="I2492"/>
    </row>
    <row r="2493" spans="1:9" x14ac:dyDescent="0.3">
      <c r="A2493"/>
      <c r="F2493"/>
      <c r="G2493"/>
      <c r="I2493"/>
    </row>
    <row r="2494" spans="1:9" x14ac:dyDescent="0.3">
      <c r="A2494"/>
      <c r="F2494"/>
      <c r="G2494"/>
      <c r="I2494"/>
    </row>
    <row r="2495" spans="1:9" x14ac:dyDescent="0.3">
      <c r="A2495"/>
      <c r="F2495"/>
      <c r="G2495"/>
      <c r="I2495"/>
    </row>
    <row r="2496" spans="1:9" x14ac:dyDescent="0.3">
      <c r="A2496"/>
      <c r="F2496"/>
      <c r="G2496"/>
      <c r="I2496"/>
    </row>
    <row r="2497" spans="1:9" x14ac:dyDescent="0.3">
      <c r="A2497"/>
      <c r="F2497"/>
      <c r="G2497"/>
      <c r="I2497"/>
    </row>
    <row r="2498" spans="1:9" x14ac:dyDescent="0.3">
      <c r="A2498"/>
      <c r="F2498"/>
      <c r="G2498"/>
      <c r="I2498"/>
    </row>
    <row r="2499" spans="1:9" x14ac:dyDescent="0.3">
      <c r="A2499"/>
      <c r="F2499"/>
      <c r="G2499"/>
      <c r="I2499"/>
    </row>
    <row r="2500" spans="1:9" x14ac:dyDescent="0.3">
      <c r="A2500"/>
      <c r="F2500"/>
      <c r="G2500"/>
      <c r="I2500"/>
    </row>
    <row r="2501" spans="1:9" x14ac:dyDescent="0.3">
      <c r="A2501"/>
      <c r="F2501"/>
      <c r="G2501"/>
      <c r="I2501"/>
    </row>
    <row r="2502" spans="1:9" x14ac:dyDescent="0.3">
      <c r="A2502"/>
      <c r="F2502"/>
      <c r="G2502"/>
      <c r="I2502"/>
    </row>
    <row r="2503" spans="1:9" x14ac:dyDescent="0.3">
      <c r="A2503"/>
      <c r="F2503"/>
      <c r="G2503"/>
      <c r="I2503"/>
    </row>
    <row r="2504" spans="1:9" x14ac:dyDescent="0.3">
      <c r="A2504"/>
      <c r="F2504"/>
      <c r="G2504"/>
      <c r="I2504"/>
    </row>
    <row r="2505" spans="1:9" x14ac:dyDescent="0.3">
      <c r="A2505"/>
      <c r="F2505"/>
      <c r="G2505"/>
      <c r="I2505"/>
    </row>
    <row r="2506" spans="1:9" x14ac:dyDescent="0.3">
      <c r="A2506"/>
      <c r="F2506"/>
      <c r="G2506"/>
      <c r="I2506"/>
    </row>
    <row r="2507" spans="1:9" x14ac:dyDescent="0.3">
      <c r="A2507"/>
      <c r="F2507"/>
      <c r="G2507"/>
      <c r="I2507"/>
    </row>
    <row r="2508" spans="1:9" x14ac:dyDescent="0.3">
      <c r="A2508"/>
      <c r="F2508"/>
      <c r="G2508"/>
      <c r="I2508"/>
    </row>
    <row r="2509" spans="1:9" x14ac:dyDescent="0.3">
      <c r="A2509"/>
      <c r="F2509"/>
      <c r="G2509"/>
      <c r="I2509"/>
    </row>
    <row r="2510" spans="1:9" x14ac:dyDescent="0.3">
      <c r="A2510"/>
      <c r="F2510"/>
      <c r="G2510"/>
      <c r="I2510"/>
    </row>
    <row r="2511" spans="1:9" x14ac:dyDescent="0.3">
      <c r="A2511"/>
      <c r="F2511"/>
      <c r="G2511"/>
      <c r="I2511"/>
    </row>
    <row r="2512" spans="1:9" x14ac:dyDescent="0.3">
      <c r="A2512"/>
      <c r="F2512"/>
      <c r="G2512"/>
      <c r="I2512"/>
    </row>
    <row r="2513" spans="1:9" x14ac:dyDescent="0.3">
      <c r="A2513"/>
      <c r="F2513"/>
      <c r="G2513"/>
      <c r="I2513"/>
    </row>
    <row r="2514" spans="1:9" x14ac:dyDescent="0.3">
      <c r="A2514"/>
      <c r="F2514"/>
      <c r="G2514"/>
      <c r="I2514"/>
    </row>
    <row r="2515" spans="1:9" x14ac:dyDescent="0.3">
      <c r="A2515"/>
      <c r="F2515"/>
      <c r="G2515"/>
      <c r="I2515"/>
    </row>
    <row r="2516" spans="1:9" x14ac:dyDescent="0.3">
      <c r="A2516"/>
      <c r="F2516"/>
      <c r="G2516"/>
      <c r="I2516"/>
    </row>
    <row r="2517" spans="1:9" x14ac:dyDescent="0.3">
      <c r="A2517"/>
      <c r="F2517"/>
      <c r="G2517"/>
      <c r="I2517"/>
    </row>
    <row r="2518" spans="1:9" x14ac:dyDescent="0.3">
      <c r="A2518"/>
      <c r="F2518"/>
      <c r="G2518"/>
      <c r="I2518"/>
    </row>
    <row r="2519" spans="1:9" x14ac:dyDescent="0.3">
      <c r="A2519"/>
      <c r="F2519"/>
      <c r="G2519"/>
      <c r="I2519"/>
    </row>
    <row r="2520" spans="1:9" x14ac:dyDescent="0.3">
      <c r="A2520"/>
      <c r="F2520"/>
      <c r="G2520"/>
      <c r="I2520"/>
    </row>
    <row r="2521" spans="1:9" x14ac:dyDescent="0.3">
      <c r="A2521"/>
      <c r="F2521"/>
      <c r="G2521"/>
      <c r="I2521"/>
    </row>
    <row r="2522" spans="1:9" x14ac:dyDescent="0.3">
      <c r="A2522"/>
      <c r="F2522"/>
      <c r="G2522"/>
      <c r="I2522"/>
    </row>
    <row r="2523" spans="1:9" x14ac:dyDescent="0.3">
      <c r="A2523"/>
      <c r="F2523"/>
      <c r="G2523"/>
      <c r="I2523"/>
    </row>
    <row r="2524" spans="1:9" x14ac:dyDescent="0.3">
      <c r="A2524"/>
      <c r="F2524"/>
      <c r="G2524"/>
      <c r="I2524"/>
    </row>
    <row r="2525" spans="1:9" x14ac:dyDescent="0.3">
      <c r="A2525"/>
      <c r="F2525"/>
      <c r="G2525"/>
      <c r="I2525"/>
    </row>
    <row r="2526" spans="1:9" x14ac:dyDescent="0.3">
      <c r="A2526"/>
      <c r="F2526"/>
      <c r="G2526"/>
      <c r="I2526"/>
    </row>
    <row r="2527" spans="1:9" x14ac:dyDescent="0.3">
      <c r="A2527"/>
      <c r="F2527"/>
      <c r="G2527"/>
      <c r="I2527"/>
    </row>
    <row r="2528" spans="1:9" x14ac:dyDescent="0.3">
      <c r="A2528"/>
      <c r="F2528"/>
      <c r="G2528"/>
      <c r="I2528"/>
    </row>
    <row r="2529" spans="1:9" x14ac:dyDescent="0.3">
      <c r="A2529"/>
      <c r="F2529"/>
      <c r="G2529"/>
      <c r="I2529"/>
    </row>
    <row r="2530" spans="1:9" x14ac:dyDescent="0.3">
      <c r="A2530"/>
      <c r="F2530"/>
      <c r="G2530"/>
      <c r="I2530"/>
    </row>
    <row r="2531" spans="1:9" x14ac:dyDescent="0.3">
      <c r="A2531"/>
      <c r="F2531"/>
      <c r="G2531"/>
      <c r="I2531"/>
    </row>
    <row r="2532" spans="1:9" x14ac:dyDescent="0.3">
      <c r="A2532"/>
      <c r="F2532"/>
      <c r="G2532"/>
      <c r="I2532"/>
    </row>
    <row r="2533" spans="1:9" x14ac:dyDescent="0.3">
      <c r="A2533"/>
      <c r="F2533"/>
      <c r="G2533"/>
      <c r="I2533"/>
    </row>
    <row r="2534" spans="1:9" x14ac:dyDescent="0.3">
      <c r="A2534"/>
      <c r="F2534"/>
      <c r="G2534"/>
      <c r="I2534"/>
    </row>
    <row r="2535" spans="1:9" x14ac:dyDescent="0.3">
      <c r="A2535"/>
      <c r="F2535"/>
      <c r="G2535"/>
      <c r="I2535"/>
    </row>
    <row r="2536" spans="1:9" x14ac:dyDescent="0.3">
      <c r="A2536"/>
      <c r="F2536"/>
      <c r="G2536"/>
      <c r="I2536"/>
    </row>
    <row r="2537" spans="1:9" x14ac:dyDescent="0.3">
      <c r="A2537"/>
      <c r="F2537"/>
      <c r="G2537"/>
      <c r="I2537"/>
    </row>
    <row r="2538" spans="1:9" x14ac:dyDescent="0.3">
      <c r="A2538"/>
      <c r="F2538"/>
      <c r="G2538"/>
      <c r="I2538"/>
    </row>
    <row r="2539" spans="1:9" x14ac:dyDescent="0.3">
      <c r="A2539"/>
      <c r="F2539"/>
      <c r="G2539"/>
      <c r="I2539"/>
    </row>
    <row r="2540" spans="1:9" x14ac:dyDescent="0.3">
      <c r="A2540"/>
      <c r="F2540"/>
      <c r="G2540"/>
      <c r="I2540"/>
    </row>
    <row r="2541" spans="1:9" x14ac:dyDescent="0.3">
      <c r="A2541"/>
      <c r="F2541"/>
      <c r="G2541"/>
      <c r="I2541"/>
    </row>
    <row r="2542" spans="1:9" x14ac:dyDescent="0.3">
      <c r="A2542"/>
      <c r="F2542"/>
      <c r="G2542"/>
      <c r="I2542"/>
    </row>
    <row r="2543" spans="1:9" x14ac:dyDescent="0.3">
      <c r="A2543"/>
      <c r="F2543"/>
      <c r="G2543"/>
      <c r="I2543"/>
    </row>
    <row r="2544" spans="1:9" x14ac:dyDescent="0.3">
      <c r="A2544"/>
      <c r="F2544"/>
      <c r="G2544"/>
      <c r="I2544"/>
    </row>
    <row r="2545" spans="1:9" x14ac:dyDescent="0.3">
      <c r="A2545"/>
      <c r="F2545"/>
      <c r="G2545"/>
      <c r="I2545"/>
    </row>
    <row r="2546" spans="1:9" x14ac:dyDescent="0.3">
      <c r="A2546"/>
      <c r="F2546"/>
      <c r="G2546"/>
      <c r="I2546"/>
    </row>
    <row r="2547" spans="1:9" x14ac:dyDescent="0.3">
      <c r="A2547"/>
      <c r="F2547"/>
      <c r="G2547"/>
      <c r="I2547"/>
    </row>
    <row r="2548" spans="1:9" x14ac:dyDescent="0.3">
      <c r="A2548"/>
      <c r="F2548"/>
      <c r="G2548"/>
      <c r="I2548"/>
    </row>
    <row r="2549" spans="1:9" x14ac:dyDescent="0.3">
      <c r="A2549"/>
      <c r="F2549"/>
      <c r="G2549"/>
      <c r="I2549"/>
    </row>
    <row r="2550" spans="1:9" x14ac:dyDescent="0.3">
      <c r="A2550"/>
      <c r="F2550"/>
      <c r="G2550"/>
      <c r="I2550"/>
    </row>
    <row r="2551" spans="1:9" x14ac:dyDescent="0.3">
      <c r="A2551"/>
      <c r="F2551"/>
      <c r="G2551"/>
      <c r="I2551"/>
    </row>
    <row r="2552" spans="1:9" x14ac:dyDescent="0.3">
      <c r="A2552"/>
      <c r="F2552"/>
      <c r="G2552"/>
      <c r="I2552"/>
    </row>
    <row r="2553" spans="1:9" x14ac:dyDescent="0.3">
      <c r="A2553"/>
      <c r="F2553"/>
      <c r="G2553"/>
      <c r="I2553"/>
    </row>
    <row r="2554" spans="1:9" x14ac:dyDescent="0.3">
      <c r="A2554"/>
      <c r="F2554"/>
      <c r="G2554"/>
      <c r="I2554"/>
    </row>
    <row r="2555" spans="1:9" x14ac:dyDescent="0.3">
      <c r="A2555"/>
      <c r="F2555"/>
      <c r="G2555"/>
      <c r="I2555"/>
    </row>
    <row r="2556" spans="1:9" x14ac:dyDescent="0.3">
      <c r="A2556"/>
      <c r="F2556"/>
      <c r="G2556"/>
      <c r="I2556"/>
    </row>
    <row r="2557" spans="1:9" x14ac:dyDescent="0.3">
      <c r="A2557"/>
      <c r="F2557"/>
      <c r="G2557"/>
      <c r="I2557"/>
    </row>
    <row r="2558" spans="1:9" x14ac:dyDescent="0.3">
      <c r="A2558"/>
      <c r="F2558"/>
      <c r="G2558"/>
      <c r="I2558"/>
    </row>
    <row r="2559" spans="1:9" x14ac:dyDescent="0.3">
      <c r="A2559"/>
      <c r="F2559"/>
      <c r="G2559"/>
      <c r="I2559"/>
    </row>
    <row r="2560" spans="1:9" x14ac:dyDescent="0.3">
      <c r="A2560"/>
      <c r="F2560"/>
      <c r="G2560"/>
      <c r="I2560"/>
    </row>
    <row r="2561" spans="1:9" x14ac:dyDescent="0.3">
      <c r="A2561"/>
      <c r="F2561"/>
      <c r="G2561"/>
      <c r="I2561"/>
    </row>
    <row r="2562" spans="1:9" x14ac:dyDescent="0.3">
      <c r="A2562"/>
      <c r="F2562"/>
      <c r="G2562"/>
      <c r="I2562"/>
    </row>
    <row r="2563" spans="1:9" x14ac:dyDescent="0.3">
      <c r="A2563"/>
      <c r="F2563"/>
      <c r="G2563"/>
      <c r="I2563"/>
    </row>
    <row r="2564" spans="1:9" x14ac:dyDescent="0.3">
      <c r="A2564"/>
      <c r="F2564"/>
      <c r="G2564"/>
      <c r="I2564"/>
    </row>
    <row r="2565" spans="1:9" x14ac:dyDescent="0.3">
      <c r="A2565"/>
      <c r="F2565"/>
      <c r="G2565"/>
      <c r="I2565"/>
    </row>
    <row r="2566" spans="1:9" x14ac:dyDescent="0.3">
      <c r="A2566"/>
      <c r="F2566"/>
      <c r="G2566"/>
      <c r="I2566"/>
    </row>
    <row r="2567" spans="1:9" x14ac:dyDescent="0.3">
      <c r="A2567"/>
      <c r="F2567"/>
      <c r="G2567"/>
      <c r="I2567"/>
    </row>
    <row r="2568" spans="1:9" x14ac:dyDescent="0.3">
      <c r="A2568"/>
      <c r="F2568"/>
      <c r="G2568"/>
      <c r="I2568"/>
    </row>
    <row r="2569" spans="1:9" x14ac:dyDescent="0.3">
      <c r="A2569"/>
      <c r="F2569"/>
      <c r="G2569"/>
      <c r="I2569"/>
    </row>
    <row r="2570" spans="1:9" x14ac:dyDescent="0.3">
      <c r="A2570"/>
      <c r="F2570"/>
      <c r="G2570"/>
      <c r="I2570"/>
    </row>
    <row r="2571" spans="1:9" x14ac:dyDescent="0.3">
      <c r="A2571"/>
      <c r="F2571"/>
      <c r="G2571"/>
      <c r="I2571"/>
    </row>
    <row r="2572" spans="1:9" x14ac:dyDescent="0.3">
      <c r="A2572"/>
      <c r="F2572"/>
      <c r="G2572"/>
      <c r="I2572"/>
    </row>
    <row r="2573" spans="1:9" x14ac:dyDescent="0.3">
      <c r="A2573"/>
      <c r="F2573"/>
      <c r="G2573"/>
      <c r="I2573"/>
    </row>
    <row r="2574" spans="1:9" x14ac:dyDescent="0.3">
      <c r="A2574"/>
      <c r="F2574"/>
      <c r="G2574"/>
      <c r="I2574"/>
    </row>
    <row r="2575" spans="1:9" x14ac:dyDescent="0.3">
      <c r="A2575"/>
      <c r="F2575"/>
      <c r="G2575"/>
      <c r="I2575"/>
    </row>
    <row r="2576" spans="1:9" x14ac:dyDescent="0.3">
      <c r="A2576"/>
      <c r="F2576"/>
      <c r="G2576"/>
      <c r="I2576"/>
    </row>
    <row r="2577" spans="1:9" x14ac:dyDescent="0.3">
      <c r="A2577"/>
      <c r="F2577"/>
      <c r="G2577"/>
      <c r="I2577"/>
    </row>
    <row r="2578" spans="1:9" x14ac:dyDescent="0.3">
      <c r="A2578"/>
      <c r="F2578"/>
      <c r="G2578"/>
      <c r="I2578"/>
    </row>
    <row r="2579" spans="1:9" x14ac:dyDescent="0.3">
      <c r="A2579"/>
      <c r="F2579"/>
      <c r="G2579"/>
      <c r="I2579"/>
    </row>
    <row r="2580" spans="1:9" x14ac:dyDescent="0.3">
      <c r="A2580"/>
      <c r="F2580"/>
      <c r="G2580"/>
      <c r="I2580"/>
    </row>
    <row r="2581" spans="1:9" x14ac:dyDescent="0.3">
      <c r="A2581"/>
      <c r="F2581"/>
      <c r="G2581"/>
      <c r="I2581"/>
    </row>
    <row r="2582" spans="1:9" x14ac:dyDescent="0.3">
      <c r="A2582"/>
      <c r="F2582"/>
      <c r="G2582"/>
      <c r="I2582"/>
    </row>
    <row r="2583" spans="1:9" x14ac:dyDescent="0.3">
      <c r="A2583"/>
      <c r="F2583"/>
      <c r="G2583"/>
      <c r="I2583"/>
    </row>
    <row r="2584" spans="1:9" x14ac:dyDescent="0.3">
      <c r="A2584"/>
      <c r="F2584"/>
      <c r="G2584"/>
      <c r="I2584"/>
    </row>
    <row r="2585" spans="1:9" x14ac:dyDescent="0.3">
      <c r="A2585"/>
      <c r="F2585"/>
      <c r="G2585"/>
      <c r="I2585"/>
    </row>
    <row r="2586" spans="1:9" x14ac:dyDescent="0.3">
      <c r="A2586"/>
      <c r="F2586"/>
      <c r="G2586"/>
      <c r="I2586"/>
    </row>
    <row r="2587" spans="1:9" x14ac:dyDescent="0.3">
      <c r="A2587"/>
      <c r="F2587"/>
      <c r="G2587"/>
      <c r="I2587"/>
    </row>
    <row r="2588" spans="1:9" x14ac:dyDescent="0.3">
      <c r="A2588"/>
      <c r="F2588"/>
      <c r="G2588"/>
      <c r="I2588"/>
    </row>
    <row r="2589" spans="1:9" x14ac:dyDescent="0.3">
      <c r="A2589"/>
      <c r="F2589"/>
      <c r="G2589"/>
      <c r="I2589"/>
    </row>
    <row r="2590" spans="1:9" x14ac:dyDescent="0.3">
      <c r="A2590"/>
      <c r="F2590"/>
      <c r="G2590"/>
      <c r="I2590"/>
    </row>
    <row r="2591" spans="1:9" x14ac:dyDescent="0.3">
      <c r="A2591"/>
      <c r="F2591"/>
      <c r="G2591"/>
      <c r="I2591"/>
    </row>
    <row r="2592" spans="1:9" x14ac:dyDescent="0.3">
      <c r="A2592"/>
      <c r="F2592"/>
      <c r="G2592"/>
      <c r="I2592"/>
    </row>
    <row r="2593" spans="1:9" x14ac:dyDescent="0.3">
      <c r="A2593"/>
      <c r="F2593"/>
      <c r="G2593"/>
      <c r="I2593"/>
    </row>
    <row r="2594" spans="1:9" x14ac:dyDescent="0.3">
      <c r="A2594"/>
      <c r="F2594"/>
      <c r="G2594"/>
      <c r="I2594"/>
    </row>
    <row r="2595" spans="1:9" x14ac:dyDescent="0.3">
      <c r="A2595"/>
      <c r="F2595"/>
      <c r="G2595"/>
      <c r="I2595"/>
    </row>
    <row r="2596" spans="1:9" x14ac:dyDescent="0.3">
      <c r="A2596"/>
      <c r="F2596"/>
      <c r="G2596"/>
      <c r="I2596"/>
    </row>
    <row r="2597" spans="1:9" x14ac:dyDescent="0.3">
      <c r="A2597"/>
      <c r="F2597"/>
      <c r="G2597"/>
      <c r="I2597"/>
    </row>
    <row r="2598" spans="1:9" x14ac:dyDescent="0.3">
      <c r="A2598"/>
      <c r="F2598"/>
      <c r="G2598"/>
      <c r="I2598"/>
    </row>
    <row r="2599" spans="1:9" x14ac:dyDescent="0.3">
      <c r="A2599"/>
      <c r="F2599"/>
      <c r="G2599"/>
      <c r="I2599"/>
    </row>
    <row r="2600" spans="1:9" x14ac:dyDescent="0.3">
      <c r="A2600"/>
      <c r="F2600"/>
      <c r="G2600"/>
      <c r="I2600"/>
    </row>
    <row r="2601" spans="1:9" x14ac:dyDescent="0.3">
      <c r="A2601"/>
      <c r="F2601"/>
      <c r="G2601"/>
      <c r="I2601"/>
    </row>
    <row r="2602" spans="1:9" x14ac:dyDescent="0.3">
      <c r="A2602"/>
      <c r="F2602"/>
      <c r="G2602"/>
      <c r="I2602"/>
    </row>
    <row r="2603" spans="1:9" x14ac:dyDescent="0.3">
      <c r="A2603"/>
      <c r="F2603"/>
      <c r="G2603"/>
      <c r="I2603"/>
    </row>
    <row r="2604" spans="1:9" x14ac:dyDescent="0.3">
      <c r="A2604"/>
      <c r="F2604"/>
      <c r="G2604"/>
      <c r="I2604"/>
    </row>
    <row r="2605" spans="1:9" x14ac:dyDescent="0.3">
      <c r="A2605"/>
      <c r="F2605"/>
      <c r="G2605"/>
      <c r="I2605"/>
    </row>
    <row r="2606" spans="1:9" x14ac:dyDescent="0.3">
      <c r="A2606"/>
      <c r="F2606"/>
      <c r="G2606"/>
      <c r="I2606"/>
    </row>
    <row r="2607" spans="1:9" x14ac:dyDescent="0.3">
      <c r="A2607"/>
      <c r="F2607"/>
      <c r="G2607"/>
      <c r="I2607"/>
    </row>
    <row r="2608" spans="1:9" x14ac:dyDescent="0.3">
      <c r="A2608"/>
      <c r="F2608"/>
      <c r="G2608"/>
      <c r="I2608"/>
    </row>
    <row r="2609" spans="1:9" x14ac:dyDescent="0.3">
      <c r="A2609"/>
      <c r="F2609"/>
      <c r="G2609"/>
      <c r="I2609"/>
    </row>
    <row r="2610" spans="1:9" x14ac:dyDescent="0.3">
      <c r="A2610"/>
      <c r="F2610"/>
      <c r="G2610"/>
      <c r="I2610"/>
    </row>
    <row r="2611" spans="1:9" x14ac:dyDescent="0.3">
      <c r="A2611"/>
      <c r="F2611"/>
      <c r="G2611"/>
      <c r="I2611"/>
    </row>
    <row r="2612" spans="1:9" x14ac:dyDescent="0.3">
      <c r="A2612"/>
      <c r="F2612"/>
      <c r="G2612"/>
      <c r="I2612"/>
    </row>
    <row r="2613" spans="1:9" x14ac:dyDescent="0.3">
      <c r="A2613"/>
      <c r="F2613"/>
      <c r="G2613"/>
      <c r="I2613"/>
    </row>
    <row r="2614" spans="1:9" x14ac:dyDescent="0.3">
      <c r="A2614"/>
      <c r="F2614"/>
      <c r="G2614"/>
      <c r="I2614"/>
    </row>
    <row r="2615" spans="1:9" x14ac:dyDescent="0.3">
      <c r="A2615"/>
      <c r="F2615"/>
      <c r="G2615"/>
      <c r="I2615"/>
    </row>
    <row r="2616" spans="1:9" x14ac:dyDescent="0.3">
      <c r="A2616"/>
      <c r="F2616"/>
      <c r="G2616"/>
      <c r="I2616"/>
    </row>
    <row r="2617" spans="1:9" x14ac:dyDescent="0.3">
      <c r="A2617"/>
      <c r="F2617"/>
      <c r="G2617"/>
      <c r="I2617"/>
    </row>
    <row r="2618" spans="1:9" x14ac:dyDescent="0.3">
      <c r="A2618"/>
      <c r="F2618"/>
      <c r="G2618"/>
      <c r="I2618"/>
    </row>
    <row r="2619" spans="1:9" x14ac:dyDescent="0.3">
      <c r="A2619"/>
      <c r="F2619"/>
      <c r="G2619"/>
      <c r="I2619"/>
    </row>
    <row r="2620" spans="1:9" x14ac:dyDescent="0.3">
      <c r="A2620"/>
      <c r="F2620"/>
      <c r="G2620"/>
      <c r="I2620"/>
    </row>
    <row r="2621" spans="1:9" x14ac:dyDescent="0.3">
      <c r="A2621"/>
      <c r="F2621"/>
      <c r="G2621"/>
      <c r="I2621"/>
    </row>
    <row r="2622" spans="1:9" x14ac:dyDescent="0.3">
      <c r="A2622"/>
      <c r="F2622"/>
      <c r="G2622"/>
      <c r="I2622"/>
    </row>
    <row r="2623" spans="1:9" x14ac:dyDescent="0.3">
      <c r="A2623"/>
      <c r="F2623"/>
      <c r="G2623"/>
      <c r="I2623"/>
    </row>
    <row r="2624" spans="1:9" x14ac:dyDescent="0.3">
      <c r="A2624"/>
      <c r="F2624"/>
      <c r="G2624"/>
      <c r="I2624"/>
    </row>
    <row r="2625" spans="1:9" x14ac:dyDescent="0.3">
      <c r="A2625"/>
      <c r="F2625"/>
      <c r="G2625"/>
      <c r="I2625"/>
    </row>
    <row r="2626" spans="1:9" x14ac:dyDescent="0.3">
      <c r="A2626"/>
      <c r="F2626"/>
      <c r="G2626"/>
      <c r="I2626"/>
    </row>
    <row r="2627" spans="1:9" x14ac:dyDescent="0.3">
      <c r="A2627"/>
      <c r="F2627"/>
      <c r="G2627"/>
      <c r="I2627"/>
    </row>
    <row r="2628" spans="1:9" x14ac:dyDescent="0.3">
      <c r="A2628"/>
      <c r="F2628"/>
      <c r="G2628"/>
      <c r="I2628"/>
    </row>
    <row r="2629" spans="1:9" x14ac:dyDescent="0.3">
      <c r="A2629"/>
      <c r="F2629"/>
      <c r="G2629"/>
      <c r="I2629"/>
    </row>
    <row r="2630" spans="1:9" x14ac:dyDescent="0.3">
      <c r="A2630"/>
      <c r="F2630"/>
      <c r="G2630"/>
      <c r="I2630"/>
    </row>
    <row r="2631" spans="1:9" x14ac:dyDescent="0.3">
      <c r="A2631"/>
      <c r="F2631"/>
      <c r="G2631"/>
      <c r="I2631"/>
    </row>
    <row r="2632" spans="1:9" x14ac:dyDescent="0.3">
      <c r="A2632"/>
      <c r="F2632"/>
      <c r="G2632"/>
      <c r="I2632"/>
    </row>
    <row r="2633" spans="1:9" x14ac:dyDescent="0.3">
      <c r="A2633"/>
      <c r="F2633"/>
      <c r="G2633"/>
      <c r="I2633"/>
    </row>
    <row r="2634" spans="1:9" x14ac:dyDescent="0.3">
      <c r="A2634"/>
      <c r="F2634"/>
      <c r="G2634"/>
      <c r="I2634"/>
    </row>
    <row r="2635" spans="1:9" x14ac:dyDescent="0.3">
      <c r="A2635"/>
      <c r="F2635"/>
      <c r="G2635"/>
      <c r="I2635"/>
    </row>
    <row r="2636" spans="1:9" x14ac:dyDescent="0.3">
      <c r="A2636"/>
      <c r="F2636"/>
      <c r="G2636"/>
      <c r="I2636"/>
    </row>
    <row r="2637" spans="1:9" x14ac:dyDescent="0.3">
      <c r="A2637"/>
      <c r="F2637"/>
      <c r="G2637"/>
      <c r="I2637"/>
    </row>
    <row r="2638" spans="1:9" x14ac:dyDescent="0.3">
      <c r="A2638"/>
      <c r="F2638"/>
      <c r="G2638"/>
      <c r="I2638"/>
    </row>
    <row r="2639" spans="1:9" x14ac:dyDescent="0.3">
      <c r="A2639"/>
      <c r="F2639"/>
      <c r="G2639"/>
      <c r="I2639"/>
    </row>
    <row r="2640" spans="1:9" x14ac:dyDescent="0.3">
      <c r="A2640"/>
      <c r="F2640"/>
      <c r="G2640"/>
      <c r="I2640"/>
    </row>
    <row r="2641" spans="1:9" x14ac:dyDescent="0.3">
      <c r="A2641"/>
      <c r="F2641"/>
      <c r="G2641"/>
      <c r="I2641"/>
    </row>
    <row r="2642" spans="1:9" x14ac:dyDescent="0.3">
      <c r="A2642"/>
      <c r="F2642"/>
      <c r="G2642"/>
      <c r="I2642"/>
    </row>
    <row r="2643" spans="1:9" x14ac:dyDescent="0.3">
      <c r="A2643"/>
      <c r="F2643"/>
      <c r="G2643"/>
      <c r="I2643"/>
    </row>
    <row r="2644" spans="1:9" x14ac:dyDescent="0.3">
      <c r="A2644"/>
      <c r="F2644"/>
      <c r="G2644"/>
      <c r="I2644"/>
    </row>
    <row r="2645" spans="1:9" x14ac:dyDescent="0.3">
      <c r="A2645"/>
      <c r="F2645"/>
      <c r="G2645"/>
      <c r="I2645"/>
    </row>
    <row r="2646" spans="1:9" x14ac:dyDescent="0.3">
      <c r="A2646"/>
      <c r="F2646"/>
      <c r="G2646"/>
      <c r="I2646"/>
    </row>
    <row r="2647" spans="1:9" x14ac:dyDescent="0.3">
      <c r="A2647"/>
      <c r="F2647"/>
      <c r="G2647"/>
      <c r="I2647"/>
    </row>
    <row r="2648" spans="1:9" x14ac:dyDescent="0.3">
      <c r="A2648"/>
      <c r="F2648"/>
      <c r="G2648"/>
      <c r="I2648"/>
    </row>
    <row r="2649" spans="1:9" x14ac:dyDescent="0.3">
      <c r="A2649"/>
      <c r="F2649"/>
      <c r="G2649"/>
      <c r="I2649"/>
    </row>
    <row r="2650" spans="1:9" x14ac:dyDescent="0.3">
      <c r="A2650"/>
      <c r="F2650"/>
      <c r="G2650"/>
      <c r="I2650"/>
    </row>
    <row r="2651" spans="1:9" x14ac:dyDescent="0.3">
      <c r="A2651"/>
      <c r="F2651"/>
      <c r="G2651"/>
      <c r="I2651"/>
    </row>
    <row r="2652" spans="1:9" x14ac:dyDescent="0.3">
      <c r="A2652"/>
      <c r="F2652"/>
      <c r="G2652"/>
      <c r="I2652"/>
    </row>
    <row r="2653" spans="1:9" x14ac:dyDescent="0.3">
      <c r="A2653"/>
      <c r="F2653"/>
      <c r="G2653"/>
      <c r="I2653"/>
    </row>
    <row r="2654" spans="1:9" x14ac:dyDescent="0.3">
      <c r="A2654"/>
      <c r="F2654"/>
      <c r="G2654"/>
      <c r="I2654"/>
    </row>
    <row r="2655" spans="1:9" x14ac:dyDescent="0.3">
      <c r="A2655"/>
      <c r="F2655"/>
      <c r="G2655"/>
      <c r="I2655"/>
    </row>
    <row r="2656" spans="1:9" x14ac:dyDescent="0.3">
      <c r="A2656"/>
      <c r="F2656"/>
      <c r="G2656"/>
      <c r="I2656"/>
    </row>
    <row r="2657" spans="1:9" x14ac:dyDescent="0.3">
      <c r="A2657"/>
      <c r="F2657"/>
      <c r="G2657"/>
      <c r="I2657"/>
    </row>
    <row r="2658" spans="1:9" x14ac:dyDescent="0.3">
      <c r="A2658"/>
      <c r="F2658"/>
      <c r="G2658"/>
      <c r="I2658"/>
    </row>
    <row r="2659" spans="1:9" x14ac:dyDescent="0.3">
      <c r="A2659"/>
      <c r="F2659"/>
      <c r="G2659"/>
      <c r="I2659"/>
    </row>
    <row r="2660" spans="1:9" x14ac:dyDescent="0.3">
      <c r="A2660"/>
      <c r="F2660"/>
      <c r="G2660"/>
      <c r="I2660"/>
    </row>
    <row r="2661" spans="1:9" x14ac:dyDescent="0.3">
      <c r="A2661"/>
      <c r="F2661"/>
      <c r="G2661"/>
      <c r="I2661"/>
    </row>
    <row r="2662" spans="1:9" x14ac:dyDescent="0.3">
      <c r="A2662"/>
      <c r="F2662"/>
      <c r="G2662"/>
      <c r="I2662"/>
    </row>
    <row r="2663" spans="1:9" x14ac:dyDescent="0.3">
      <c r="A2663"/>
      <c r="F2663"/>
      <c r="G2663"/>
      <c r="I2663"/>
    </row>
    <row r="2664" spans="1:9" x14ac:dyDescent="0.3">
      <c r="A2664"/>
      <c r="F2664"/>
      <c r="G2664"/>
      <c r="I2664"/>
    </row>
    <row r="2665" spans="1:9" x14ac:dyDescent="0.3">
      <c r="A2665"/>
      <c r="F2665"/>
      <c r="G2665"/>
      <c r="I2665"/>
    </row>
    <row r="2666" spans="1:9" x14ac:dyDescent="0.3">
      <c r="A2666"/>
      <c r="F2666"/>
      <c r="G2666"/>
      <c r="I2666"/>
    </row>
    <row r="2667" spans="1:9" x14ac:dyDescent="0.3">
      <c r="A2667"/>
      <c r="F2667"/>
      <c r="G2667"/>
      <c r="I2667"/>
    </row>
    <row r="2668" spans="1:9" x14ac:dyDescent="0.3">
      <c r="A2668"/>
      <c r="F2668"/>
      <c r="G2668"/>
      <c r="I2668"/>
    </row>
    <row r="2669" spans="1:9" x14ac:dyDescent="0.3">
      <c r="A2669"/>
      <c r="F2669"/>
      <c r="G2669"/>
      <c r="I2669"/>
    </row>
    <row r="2670" spans="1:9" x14ac:dyDescent="0.3">
      <c r="A2670"/>
      <c r="F2670"/>
      <c r="G2670"/>
      <c r="I2670"/>
    </row>
    <row r="2671" spans="1:9" x14ac:dyDescent="0.3">
      <c r="A2671"/>
      <c r="F2671"/>
      <c r="G2671"/>
      <c r="I2671"/>
    </row>
    <row r="2672" spans="1:9" x14ac:dyDescent="0.3">
      <c r="A2672"/>
      <c r="F2672"/>
      <c r="G2672"/>
      <c r="I2672"/>
    </row>
    <row r="2673" spans="1:9" x14ac:dyDescent="0.3">
      <c r="A2673"/>
      <c r="F2673"/>
      <c r="G2673"/>
      <c r="I2673"/>
    </row>
    <row r="2674" spans="1:9" x14ac:dyDescent="0.3">
      <c r="A2674"/>
      <c r="F2674"/>
      <c r="G2674"/>
      <c r="I2674"/>
    </row>
    <row r="2675" spans="1:9" x14ac:dyDescent="0.3">
      <c r="A2675"/>
      <c r="F2675"/>
      <c r="G2675"/>
      <c r="I2675"/>
    </row>
    <row r="2676" spans="1:9" x14ac:dyDescent="0.3">
      <c r="A2676"/>
      <c r="F2676"/>
      <c r="G2676"/>
      <c r="I2676"/>
    </row>
    <row r="2677" spans="1:9" x14ac:dyDescent="0.3">
      <c r="A2677"/>
      <c r="F2677"/>
      <c r="G2677"/>
      <c r="I2677"/>
    </row>
    <row r="2678" spans="1:9" x14ac:dyDescent="0.3">
      <c r="A2678"/>
      <c r="F2678"/>
      <c r="G2678"/>
      <c r="I2678"/>
    </row>
    <row r="2679" spans="1:9" x14ac:dyDescent="0.3">
      <c r="A2679"/>
      <c r="F2679"/>
      <c r="G2679"/>
      <c r="I2679"/>
    </row>
    <row r="2680" spans="1:9" x14ac:dyDescent="0.3">
      <c r="A2680"/>
      <c r="F2680"/>
      <c r="G2680"/>
      <c r="I2680"/>
    </row>
    <row r="2681" spans="1:9" x14ac:dyDescent="0.3">
      <c r="A2681"/>
      <c r="F2681"/>
      <c r="G2681"/>
      <c r="I2681"/>
    </row>
    <row r="2682" spans="1:9" x14ac:dyDescent="0.3">
      <c r="A2682"/>
      <c r="F2682"/>
      <c r="G2682"/>
      <c r="I2682"/>
    </row>
    <row r="2683" spans="1:9" x14ac:dyDescent="0.3">
      <c r="A2683"/>
      <c r="F2683"/>
      <c r="G2683"/>
      <c r="I2683"/>
    </row>
    <row r="2684" spans="1:9" x14ac:dyDescent="0.3">
      <c r="A2684"/>
      <c r="F2684"/>
      <c r="G2684"/>
      <c r="I2684"/>
    </row>
    <row r="2685" spans="1:9" x14ac:dyDescent="0.3">
      <c r="A2685"/>
      <c r="F2685"/>
      <c r="G2685"/>
      <c r="I2685"/>
    </row>
    <row r="2686" spans="1:9" x14ac:dyDescent="0.3">
      <c r="A2686"/>
      <c r="F2686"/>
      <c r="G2686"/>
      <c r="I2686"/>
    </row>
    <row r="2687" spans="1:9" x14ac:dyDescent="0.3">
      <c r="A2687"/>
      <c r="F2687"/>
      <c r="G2687"/>
      <c r="I2687"/>
    </row>
    <row r="2688" spans="1:9" x14ac:dyDescent="0.3">
      <c r="A2688"/>
      <c r="F2688"/>
      <c r="G2688"/>
      <c r="I2688"/>
    </row>
    <row r="2689" spans="1:9" x14ac:dyDescent="0.3">
      <c r="A2689"/>
      <c r="F2689"/>
      <c r="G2689"/>
      <c r="I2689"/>
    </row>
    <row r="2690" spans="1:9" x14ac:dyDescent="0.3">
      <c r="A2690"/>
      <c r="F2690"/>
      <c r="G2690"/>
      <c r="I2690"/>
    </row>
    <row r="2691" spans="1:9" x14ac:dyDescent="0.3">
      <c r="A2691"/>
      <c r="F2691"/>
      <c r="G2691"/>
      <c r="I2691"/>
    </row>
    <row r="2692" spans="1:9" x14ac:dyDescent="0.3">
      <c r="A2692"/>
      <c r="F2692"/>
      <c r="G2692"/>
      <c r="I2692"/>
    </row>
    <row r="2693" spans="1:9" x14ac:dyDescent="0.3">
      <c r="A2693"/>
      <c r="F2693"/>
      <c r="G2693"/>
      <c r="I2693"/>
    </row>
    <row r="2694" spans="1:9" x14ac:dyDescent="0.3">
      <c r="A2694"/>
      <c r="F2694"/>
      <c r="G2694"/>
      <c r="I2694"/>
    </row>
    <row r="2695" spans="1:9" x14ac:dyDescent="0.3">
      <c r="A2695"/>
      <c r="F2695"/>
      <c r="G2695"/>
      <c r="I2695"/>
    </row>
    <row r="2696" spans="1:9" x14ac:dyDescent="0.3">
      <c r="A2696"/>
      <c r="F2696"/>
      <c r="G2696"/>
      <c r="I2696"/>
    </row>
    <row r="2697" spans="1:9" x14ac:dyDescent="0.3">
      <c r="A2697"/>
      <c r="F2697"/>
      <c r="G2697"/>
      <c r="I2697"/>
    </row>
    <row r="2698" spans="1:9" x14ac:dyDescent="0.3">
      <c r="A2698"/>
      <c r="F2698"/>
      <c r="G2698"/>
      <c r="I2698"/>
    </row>
    <row r="2699" spans="1:9" x14ac:dyDescent="0.3">
      <c r="A2699"/>
      <c r="F2699"/>
      <c r="G2699"/>
      <c r="I2699"/>
    </row>
    <row r="2700" spans="1:9" x14ac:dyDescent="0.3">
      <c r="A2700"/>
      <c r="F2700"/>
      <c r="G2700"/>
      <c r="I2700"/>
    </row>
    <row r="2701" spans="1:9" x14ac:dyDescent="0.3">
      <c r="A2701"/>
      <c r="F2701"/>
      <c r="G2701"/>
      <c r="I2701"/>
    </row>
    <row r="2702" spans="1:9" x14ac:dyDescent="0.3">
      <c r="A2702"/>
      <c r="F2702"/>
      <c r="G2702"/>
      <c r="I2702"/>
    </row>
    <row r="2703" spans="1:9" x14ac:dyDescent="0.3">
      <c r="A2703"/>
      <c r="F2703"/>
      <c r="G2703"/>
      <c r="I2703"/>
    </row>
    <row r="2704" spans="1:9" x14ac:dyDescent="0.3">
      <c r="A2704"/>
      <c r="F2704"/>
      <c r="G2704"/>
      <c r="I2704"/>
    </row>
    <row r="2705" spans="1:9" x14ac:dyDescent="0.3">
      <c r="A2705"/>
      <c r="F2705"/>
      <c r="G2705"/>
      <c r="I2705"/>
    </row>
    <row r="2706" spans="1:9" x14ac:dyDescent="0.3">
      <c r="A2706"/>
      <c r="F2706"/>
      <c r="G2706"/>
      <c r="I2706"/>
    </row>
    <row r="2707" spans="1:9" x14ac:dyDescent="0.3">
      <c r="A2707"/>
      <c r="F2707"/>
      <c r="G2707"/>
      <c r="I2707"/>
    </row>
    <row r="2708" spans="1:9" x14ac:dyDescent="0.3">
      <c r="A2708"/>
      <c r="F2708"/>
      <c r="G2708"/>
      <c r="I2708"/>
    </row>
    <row r="2709" spans="1:9" x14ac:dyDescent="0.3">
      <c r="A2709"/>
      <c r="F2709"/>
      <c r="G2709"/>
      <c r="I2709"/>
    </row>
    <row r="2710" spans="1:9" x14ac:dyDescent="0.3">
      <c r="A2710"/>
      <c r="F2710"/>
      <c r="G2710"/>
      <c r="I2710"/>
    </row>
    <row r="2711" spans="1:9" x14ac:dyDescent="0.3">
      <c r="A2711"/>
      <c r="F2711"/>
      <c r="G2711"/>
      <c r="I2711"/>
    </row>
    <row r="2712" spans="1:9" x14ac:dyDescent="0.3">
      <c r="A2712"/>
      <c r="F2712"/>
      <c r="G2712"/>
      <c r="I2712"/>
    </row>
    <row r="2713" spans="1:9" x14ac:dyDescent="0.3">
      <c r="A2713"/>
      <c r="F2713"/>
      <c r="G2713"/>
      <c r="I2713"/>
    </row>
    <row r="2714" spans="1:9" x14ac:dyDescent="0.3">
      <c r="A2714"/>
      <c r="F2714"/>
      <c r="G2714"/>
      <c r="I2714"/>
    </row>
    <row r="2715" spans="1:9" x14ac:dyDescent="0.3">
      <c r="A2715"/>
      <c r="F2715"/>
      <c r="G2715"/>
      <c r="I2715"/>
    </row>
    <row r="2716" spans="1:9" x14ac:dyDescent="0.3">
      <c r="A2716"/>
      <c r="F2716"/>
      <c r="G2716"/>
      <c r="I2716"/>
    </row>
    <row r="2717" spans="1:9" x14ac:dyDescent="0.3">
      <c r="A2717"/>
      <c r="F2717"/>
      <c r="G2717"/>
      <c r="I2717"/>
    </row>
    <row r="2718" spans="1:9" x14ac:dyDescent="0.3">
      <c r="A2718"/>
      <c r="F2718"/>
      <c r="G2718"/>
      <c r="I2718"/>
    </row>
    <row r="2719" spans="1:9" x14ac:dyDescent="0.3">
      <c r="A2719"/>
      <c r="F2719"/>
      <c r="G2719"/>
      <c r="I2719"/>
    </row>
    <row r="2720" spans="1:9" x14ac:dyDescent="0.3">
      <c r="A2720"/>
      <c r="F2720"/>
      <c r="G2720"/>
      <c r="I2720"/>
    </row>
    <row r="2721" spans="1:9" x14ac:dyDescent="0.3">
      <c r="A2721"/>
      <c r="F2721"/>
      <c r="G2721"/>
      <c r="I2721"/>
    </row>
    <row r="2722" spans="1:9" x14ac:dyDescent="0.3">
      <c r="A2722"/>
      <c r="F2722"/>
      <c r="G2722"/>
      <c r="I2722"/>
    </row>
    <row r="2723" spans="1:9" x14ac:dyDescent="0.3">
      <c r="A2723"/>
      <c r="F2723"/>
      <c r="G2723"/>
      <c r="I2723"/>
    </row>
    <row r="2724" spans="1:9" x14ac:dyDescent="0.3">
      <c r="A2724"/>
      <c r="F2724"/>
      <c r="G2724"/>
      <c r="I2724"/>
    </row>
    <row r="2725" spans="1:9" x14ac:dyDescent="0.3">
      <c r="A2725"/>
      <c r="F2725"/>
      <c r="G2725"/>
      <c r="I2725"/>
    </row>
    <row r="2726" spans="1:9" x14ac:dyDescent="0.3">
      <c r="A2726"/>
      <c r="F2726"/>
      <c r="G2726"/>
      <c r="I2726"/>
    </row>
    <row r="2727" spans="1:9" x14ac:dyDescent="0.3">
      <c r="A2727"/>
      <c r="F2727"/>
      <c r="G2727"/>
      <c r="I2727"/>
    </row>
    <row r="2728" spans="1:9" x14ac:dyDescent="0.3">
      <c r="A2728"/>
      <c r="F2728"/>
      <c r="G2728"/>
      <c r="I2728"/>
    </row>
    <row r="2729" spans="1:9" x14ac:dyDescent="0.3">
      <c r="A2729"/>
      <c r="F2729"/>
      <c r="G2729"/>
      <c r="I2729"/>
    </row>
    <row r="2730" spans="1:9" x14ac:dyDescent="0.3">
      <c r="A2730"/>
      <c r="F2730"/>
      <c r="G2730"/>
      <c r="I2730"/>
    </row>
    <row r="2731" spans="1:9" x14ac:dyDescent="0.3">
      <c r="A2731"/>
      <c r="F2731"/>
      <c r="G2731"/>
      <c r="I2731"/>
    </row>
    <row r="2732" spans="1:9" x14ac:dyDescent="0.3">
      <c r="A2732"/>
      <c r="F2732"/>
      <c r="G2732"/>
      <c r="I2732"/>
    </row>
    <row r="2733" spans="1:9" x14ac:dyDescent="0.3">
      <c r="A2733"/>
      <c r="F2733"/>
      <c r="G2733"/>
      <c r="I2733"/>
    </row>
    <row r="2734" spans="1:9" x14ac:dyDescent="0.3">
      <c r="A2734"/>
      <c r="F2734"/>
      <c r="G2734"/>
      <c r="I2734"/>
    </row>
    <row r="2735" spans="1:9" x14ac:dyDescent="0.3">
      <c r="A2735"/>
      <c r="F2735"/>
      <c r="G2735"/>
      <c r="I2735"/>
    </row>
    <row r="2736" spans="1:9" x14ac:dyDescent="0.3">
      <c r="A2736"/>
      <c r="F2736"/>
      <c r="G2736"/>
      <c r="I2736"/>
    </row>
    <row r="2737" spans="1:9" x14ac:dyDescent="0.3">
      <c r="A2737"/>
      <c r="F2737"/>
      <c r="G2737"/>
      <c r="I2737"/>
    </row>
    <row r="2738" spans="1:9" x14ac:dyDescent="0.3">
      <c r="A2738"/>
      <c r="F2738"/>
      <c r="G2738"/>
      <c r="I2738"/>
    </row>
    <row r="2739" spans="1:9" x14ac:dyDescent="0.3">
      <c r="A2739"/>
      <c r="F2739"/>
      <c r="G2739"/>
      <c r="I2739"/>
    </row>
    <row r="2740" spans="1:9" x14ac:dyDescent="0.3">
      <c r="A2740"/>
      <c r="F2740"/>
      <c r="G2740"/>
      <c r="I2740"/>
    </row>
    <row r="2741" spans="1:9" x14ac:dyDescent="0.3">
      <c r="A2741"/>
      <c r="F2741"/>
      <c r="G2741"/>
      <c r="I2741"/>
    </row>
    <row r="2742" spans="1:9" x14ac:dyDescent="0.3">
      <c r="A2742"/>
      <c r="F2742"/>
      <c r="G2742"/>
      <c r="I2742"/>
    </row>
    <row r="2743" spans="1:9" x14ac:dyDescent="0.3">
      <c r="A2743"/>
      <c r="F2743"/>
      <c r="G2743"/>
      <c r="I2743"/>
    </row>
    <row r="2744" spans="1:9" x14ac:dyDescent="0.3">
      <c r="A2744"/>
      <c r="F2744"/>
      <c r="G2744"/>
      <c r="I2744"/>
    </row>
    <row r="2745" spans="1:9" x14ac:dyDescent="0.3">
      <c r="A2745"/>
      <c r="F2745"/>
      <c r="G2745"/>
      <c r="I2745"/>
    </row>
    <row r="2746" spans="1:9" x14ac:dyDescent="0.3">
      <c r="A2746"/>
      <c r="F2746"/>
      <c r="G2746"/>
      <c r="I2746"/>
    </row>
    <row r="2747" spans="1:9" x14ac:dyDescent="0.3">
      <c r="A2747"/>
      <c r="F2747"/>
      <c r="G2747"/>
      <c r="I2747"/>
    </row>
    <row r="2748" spans="1:9" x14ac:dyDescent="0.3">
      <c r="A2748"/>
      <c r="F2748"/>
      <c r="G2748"/>
      <c r="I2748"/>
    </row>
    <row r="2749" spans="1:9" x14ac:dyDescent="0.3">
      <c r="A2749"/>
      <c r="F2749"/>
      <c r="G2749"/>
      <c r="I2749"/>
    </row>
    <row r="2750" spans="1:9" x14ac:dyDescent="0.3">
      <c r="A2750"/>
      <c r="F2750"/>
      <c r="G2750"/>
      <c r="I2750"/>
    </row>
    <row r="2751" spans="1:9" x14ac:dyDescent="0.3">
      <c r="A2751"/>
      <c r="F2751"/>
      <c r="G2751"/>
      <c r="I2751"/>
    </row>
    <row r="2752" spans="1:9" x14ac:dyDescent="0.3">
      <c r="A2752"/>
      <c r="F2752"/>
      <c r="G2752"/>
      <c r="I2752"/>
    </row>
    <row r="2753" spans="1:9" x14ac:dyDescent="0.3">
      <c r="A2753"/>
      <c r="F2753"/>
      <c r="G2753"/>
      <c r="I2753"/>
    </row>
    <row r="2754" spans="1:9" x14ac:dyDescent="0.3">
      <c r="A2754"/>
      <c r="F2754"/>
      <c r="G2754"/>
      <c r="I2754"/>
    </row>
    <row r="2755" spans="1:9" x14ac:dyDescent="0.3">
      <c r="A2755"/>
      <c r="F2755"/>
      <c r="G2755"/>
      <c r="I2755"/>
    </row>
    <row r="2756" spans="1:9" x14ac:dyDescent="0.3">
      <c r="A2756"/>
      <c r="F2756"/>
      <c r="G2756"/>
      <c r="I2756"/>
    </row>
    <row r="2757" spans="1:9" x14ac:dyDescent="0.3">
      <c r="A2757"/>
      <c r="F2757"/>
      <c r="G2757"/>
      <c r="I2757"/>
    </row>
    <row r="2758" spans="1:9" x14ac:dyDescent="0.3">
      <c r="A2758"/>
      <c r="F2758"/>
      <c r="G2758"/>
      <c r="I2758"/>
    </row>
    <row r="2759" spans="1:9" x14ac:dyDescent="0.3">
      <c r="A2759"/>
      <c r="F2759"/>
      <c r="G2759"/>
      <c r="I2759"/>
    </row>
    <row r="2760" spans="1:9" x14ac:dyDescent="0.3">
      <c r="A2760"/>
      <c r="F2760"/>
      <c r="G2760"/>
      <c r="I2760"/>
    </row>
    <row r="2761" spans="1:9" x14ac:dyDescent="0.3">
      <c r="A2761"/>
      <c r="F2761"/>
      <c r="G2761"/>
      <c r="I2761"/>
    </row>
    <row r="2762" spans="1:9" x14ac:dyDescent="0.3">
      <c r="A2762"/>
      <c r="F2762"/>
      <c r="G2762"/>
      <c r="I2762"/>
    </row>
    <row r="2763" spans="1:9" x14ac:dyDescent="0.3">
      <c r="A2763"/>
      <c r="F2763"/>
      <c r="G2763"/>
      <c r="I2763"/>
    </row>
    <row r="2764" spans="1:9" x14ac:dyDescent="0.3">
      <c r="A2764"/>
      <c r="F2764"/>
      <c r="G2764"/>
      <c r="I2764"/>
    </row>
    <row r="2765" spans="1:9" x14ac:dyDescent="0.3">
      <c r="A2765"/>
      <c r="F2765"/>
      <c r="G2765"/>
      <c r="I2765"/>
    </row>
    <row r="2766" spans="1:9" x14ac:dyDescent="0.3">
      <c r="A2766"/>
      <c r="F2766"/>
      <c r="G2766"/>
      <c r="I2766"/>
    </row>
    <row r="2767" spans="1:9" x14ac:dyDescent="0.3">
      <c r="A2767"/>
      <c r="F2767"/>
      <c r="G2767"/>
      <c r="I2767"/>
    </row>
    <row r="2768" spans="1:9" x14ac:dyDescent="0.3">
      <c r="A2768"/>
      <c r="F2768"/>
      <c r="G2768"/>
      <c r="I2768"/>
    </row>
    <row r="2769" spans="1:9" x14ac:dyDescent="0.3">
      <c r="A2769"/>
      <c r="F2769"/>
      <c r="G2769"/>
      <c r="I2769"/>
    </row>
    <row r="2770" spans="1:9" x14ac:dyDescent="0.3">
      <c r="A2770"/>
      <c r="F2770"/>
      <c r="G2770"/>
      <c r="I2770"/>
    </row>
    <row r="2771" spans="1:9" x14ac:dyDescent="0.3">
      <c r="A2771"/>
      <c r="F2771"/>
      <c r="G2771"/>
      <c r="I2771"/>
    </row>
    <row r="2772" spans="1:9" x14ac:dyDescent="0.3">
      <c r="A2772"/>
      <c r="F2772"/>
      <c r="G2772"/>
      <c r="I2772"/>
    </row>
    <row r="2773" spans="1:9" x14ac:dyDescent="0.3">
      <c r="A2773"/>
      <c r="F2773"/>
      <c r="G2773"/>
      <c r="I2773"/>
    </row>
    <row r="2774" spans="1:9" x14ac:dyDescent="0.3">
      <c r="A2774"/>
      <c r="F2774"/>
      <c r="G2774"/>
      <c r="I2774"/>
    </row>
    <row r="2775" spans="1:9" x14ac:dyDescent="0.3">
      <c r="A2775"/>
      <c r="F2775"/>
      <c r="G2775"/>
      <c r="I2775"/>
    </row>
    <row r="2776" spans="1:9" x14ac:dyDescent="0.3">
      <c r="A2776"/>
      <c r="F2776"/>
      <c r="G2776"/>
      <c r="I2776"/>
    </row>
    <row r="2777" spans="1:9" x14ac:dyDescent="0.3">
      <c r="A2777"/>
      <c r="F2777"/>
      <c r="G2777"/>
      <c r="I2777"/>
    </row>
    <row r="2778" spans="1:9" x14ac:dyDescent="0.3">
      <c r="A2778"/>
      <c r="F2778"/>
      <c r="G2778"/>
      <c r="I2778"/>
    </row>
    <row r="2779" spans="1:9" x14ac:dyDescent="0.3">
      <c r="A2779"/>
      <c r="F2779"/>
      <c r="G2779"/>
      <c r="I2779"/>
    </row>
    <row r="2780" spans="1:9" x14ac:dyDescent="0.3">
      <c r="A2780"/>
      <c r="F2780"/>
      <c r="G2780"/>
      <c r="I2780"/>
    </row>
    <row r="2781" spans="1:9" x14ac:dyDescent="0.3">
      <c r="A2781"/>
      <c r="F2781"/>
      <c r="G2781"/>
      <c r="I2781"/>
    </row>
    <row r="2782" spans="1:9" x14ac:dyDescent="0.3">
      <c r="A2782"/>
      <c r="F2782"/>
      <c r="G2782"/>
      <c r="I2782"/>
    </row>
    <row r="2783" spans="1:9" x14ac:dyDescent="0.3">
      <c r="A2783"/>
      <c r="F2783"/>
      <c r="G2783"/>
      <c r="I2783"/>
    </row>
    <row r="2784" spans="1:9" x14ac:dyDescent="0.3">
      <c r="A2784"/>
      <c r="F2784"/>
      <c r="G2784"/>
      <c r="I2784"/>
    </row>
    <row r="2785" spans="1:9" x14ac:dyDescent="0.3">
      <c r="A2785"/>
      <c r="F2785"/>
      <c r="G2785"/>
      <c r="I2785"/>
    </row>
    <row r="2786" spans="1:9" x14ac:dyDescent="0.3">
      <c r="A2786"/>
      <c r="F2786"/>
      <c r="G2786"/>
      <c r="I2786"/>
    </row>
    <row r="2787" spans="1:9" x14ac:dyDescent="0.3">
      <c r="A2787"/>
      <c r="F2787"/>
      <c r="G2787"/>
      <c r="I2787"/>
    </row>
    <row r="2788" spans="1:9" x14ac:dyDescent="0.3">
      <c r="A2788"/>
      <c r="F2788"/>
      <c r="G2788"/>
      <c r="I2788"/>
    </row>
    <row r="2789" spans="1:9" x14ac:dyDescent="0.3">
      <c r="A2789"/>
      <c r="F2789"/>
      <c r="G2789"/>
      <c r="I2789"/>
    </row>
    <row r="2790" spans="1:9" x14ac:dyDescent="0.3">
      <c r="A2790"/>
      <c r="F2790"/>
      <c r="G2790"/>
      <c r="I2790"/>
    </row>
    <row r="2791" spans="1:9" x14ac:dyDescent="0.3">
      <c r="A2791"/>
      <c r="F2791"/>
      <c r="G2791"/>
      <c r="I2791"/>
    </row>
    <row r="2792" spans="1:9" x14ac:dyDescent="0.3">
      <c r="A2792"/>
      <c r="F2792"/>
      <c r="G2792"/>
      <c r="I2792"/>
    </row>
    <row r="2793" spans="1:9" x14ac:dyDescent="0.3">
      <c r="A2793"/>
      <c r="F2793"/>
      <c r="G2793"/>
      <c r="I2793"/>
    </row>
    <row r="2794" spans="1:9" x14ac:dyDescent="0.3">
      <c r="A2794"/>
      <c r="F2794"/>
      <c r="G2794"/>
      <c r="I2794"/>
    </row>
    <row r="2795" spans="1:9" x14ac:dyDescent="0.3">
      <c r="A2795"/>
      <c r="F2795"/>
      <c r="G2795"/>
      <c r="I2795"/>
    </row>
    <row r="2796" spans="1:9" x14ac:dyDescent="0.3">
      <c r="A2796"/>
      <c r="F2796"/>
      <c r="G2796"/>
      <c r="I2796"/>
    </row>
    <row r="2797" spans="1:9" x14ac:dyDescent="0.3">
      <c r="A2797"/>
      <c r="F2797"/>
      <c r="G2797"/>
      <c r="I2797"/>
    </row>
    <row r="2798" spans="1:9" x14ac:dyDescent="0.3">
      <c r="A2798"/>
      <c r="F2798"/>
      <c r="G2798"/>
      <c r="I2798"/>
    </row>
    <row r="2799" spans="1:9" x14ac:dyDescent="0.3">
      <c r="A2799"/>
      <c r="F2799"/>
      <c r="G2799"/>
      <c r="I2799"/>
    </row>
    <row r="2800" spans="1:9" x14ac:dyDescent="0.3">
      <c r="A2800"/>
      <c r="F2800"/>
      <c r="G2800"/>
      <c r="I2800"/>
    </row>
    <row r="2801" spans="1:9" x14ac:dyDescent="0.3">
      <c r="A2801"/>
      <c r="F2801"/>
      <c r="G2801"/>
      <c r="I2801"/>
    </row>
    <row r="2802" spans="1:9" x14ac:dyDescent="0.3">
      <c r="A2802"/>
      <c r="F2802"/>
      <c r="G2802"/>
      <c r="I2802"/>
    </row>
    <row r="2803" spans="1:9" x14ac:dyDescent="0.3">
      <c r="A2803"/>
      <c r="F2803"/>
      <c r="G2803"/>
      <c r="I2803"/>
    </row>
    <row r="2804" spans="1:9" x14ac:dyDescent="0.3">
      <c r="A2804"/>
      <c r="F2804"/>
      <c r="G2804"/>
      <c r="I2804"/>
    </row>
    <row r="2805" spans="1:9" x14ac:dyDescent="0.3">
      <c r="A2805"/>
      <c r="F2805"/>
      <c r="G2805"/>
      <c r="I2805"/>
    </row>
    <row r="2806" spans="1:9" x14ac:dyDescent="0.3">
      <c r="A2806"/>
      <c r="F2806"/>
      <c r="G2806"/>
      <c r="I2806"/>
    </row>
    <row r="2807" spans="1:9" x14ac:dyDescent="0.3">
      <c r="A2807"/>
      <c r="F2807"/>
      <c r="G2807"/>
      <c r="I2807"/>
    </row>
    <row r="2808" spans="1:9" x14ac:dyDescent="0.3">
      <c r="A2808"/>
      <c r="F2808"/>
      <c r="G2808"/>
      <c r="I2808"/>
    </row>
    <row r="2809" spans="1:9" x14ac:dyDescent="0.3">
      <c r="A2809"/>
      <c r="F2809"/>
      <c r="G2809"/>
      <c r="I2809"/>
    </row>
    <row r="2810" spans="1:9" x14ac:dyDescent="0.3">
      <c r="A2810"/>
      <c r="F2810"/>
      <c r="G2810"/>
      <c r="I2810"/>
    </row>
    <row r="2811" spans="1:9" x14ac:dyDescent="0.3">
      <c r="A2811"/>
      <c r="F2811"/>
      <c r="G2811"/>
      <c r="I2811"/>
    </row>
    <row r="2812" spans="1:9" x14ac:dyDescent="0.3">
      <c r="A2812"/>
      <c r="F2812"/>
      <c r="G2812"/>
      <c r="I2812"/>
    </row>
    <row r="2813" spans="1:9" x14ac:dyDescent="0.3">
      <c r="A2813"/>
      <c r="F2813"/>
      <c r="G2813"/>
      <c r="I2813"/>
    </row>
    <row r="2814" spans="1:9" x14ac:dyDescent="0.3">
      <c r="A2814"/>
      <c r="F2814"/>
      <c r="G2814"/>
      <c r="I2814"/>
    </row>
    <row r="2815" spans="1:9" x14ac:dyDescent="0.3">
      <c r="A2815"/>
      <c r="F2815"/>
      <c r="G2815"/>
      <c r="I2815"/>
    </row>
    <row r="2816" spans="1:9" x14ac:dyDescent="0.3">
      <c r="A2816"/>
      <c r="F2816"/>
      <c r="G2816"/>
      <c r="I2816"/>
    </row>
    <row r="2817" spans="1:9" x14ac:dyDescent="0.3">
      <c r="A2817"/>
      <c r="F2817"/>
      <c r="G2817"/>
      <c r="I2817"/>
    </row>
    <row r="2818" spans="1:9" x14ac:dyDescent="0.3">
      <c r="A2818"/>
      <c r="F2818"/>
      <c r="G2818"/>
      <c r="I2818"/>
    </row>
    <row r="2819" spans="1:9" x14ac:dyDescent="0.3">
      <c r="A2819"/>
      <c r="F2819"/>
      <c r="G2819"/>
      <c r="I2819"/>
    </row>
    <row r="2820" spans="1:9" x14ac:dyDescent="0.3">
      <c r="A2820"/>
      <c r="F2820"/>
      <c r="G2820"/>
      <c r="I2820"/>
    </row>
    <row r="2821" spans="1:9" x14ac:dyDescent="0.3">
      <c r="A2821"/>
      <c r="F2821"/>
      <c r="G2821"/>
      <c r="I2821"/>
    </row>
    <row r="2822" spans="1:9" x14ac:dyDescent="0.3">
      <c r="A2822"/>
      <c r="F2822"/>
      <c r="G2822"/>
      <c r="I2822"/>
    </row>
    <row r="2823" spans="1:9" x14ac:dyDescent="0.3">
      <c r="A2823"/>
      <c r="F2823"/>
      <c r="G2823"/>
      <c r="I2823"/>
    </row>
    <row r="2824" spans="1:9" x14ac:dyDescent="0.3">
      <c r="A2824"/>
      <c r="F2824"/>
      <c r="G2824"/>
      <c r="I2824"/>
    </row>
    <row r="2825" spans="1:9" x14ac:dyDescent="0.3">
      <c r="A2825"/>
      <c r="F2825"/>
      <c r="G2825"/>
      <c r="I2825"/>
    </row>
    <row r="2826" spans="1:9" x14ac:dyDescent="0.3">
      <c r="A2826"/>
      <c r="F2826"/>
      <c r="G2826"/>
      <c r="I2826"/>
    </row>
    <row r="2827" spans="1:9" x14ac:dyDescent="0.3">
      <c r="A2827"/>
      <c r="F2827"/>
      <c r="G2827"/>
      <c r="I2827"/>
    </row>
    <row r="2828" spans="1:9" x14ac:dyDescent="0.3">
      <c r="A2828"/>
      <c r="F2828"/>
      <c r="G2828"/>
      <c r="I2828"/>
    </row>
    <row r="2829" spans="1:9" x14ac:dyDescent="0.3">
      <c r="A2829"/>
      <c r="F2829"/>
      <c r="G2829"/>
      <c r="I2829"/>
    </row>
    <row r="2830" spans="1:9" x14ac:dyDescent="0.3">
      <c r="A2830"/>
      <c r="F2830"/>
      <c r="G2830"/>
      <c r="I2830"/>
    </row>
    <row r="2831" spans="1:9" x14ac:dyDescent="0.3">
      <c r="A2831"/>
      <c r="F2831"/>
      <c r="G2831"/>
      <c r="I2831"/>
    </row>
    <row r="2832" spans="1:9" x14ac:dyDescent="0.3">
      <c r="A2832"/>
      <c r="F2832"/>
      <c r="G2832"/>
      <c r="I2832"/>
    </row>
    <row r="2833" spans="1:9" x14ac:dyDescent="0.3">
      <c r="A2833"/>
      <c r="F2833"/>
      <c r="G2833"/>
      <c r="I2833"/>
    </row>
    <row r="2834" spans="1:9" x14ac:dyDescent="0.3">
      <c r="A2834"/>
      <c r="F2834"/>
      <c r="G2834"/>
      <c r="I2834"/>
    </row>
    <row r="2835" spans="1:9" x14ac:dyDescent="0.3">
      <c r="A2835"/>
      <c r="F2835"/>
      <c r="G2835"/>
      <c r="I2835"/>
    </row>
    <row r="2836" spans="1:9" x14ac:dyDescent="0.3">
      <c r="A2836"/>
      <c r="F2836"/>
      <c r="G2836"/>
      <c r="I2836"/>
    </row>
    <row r="2837" spans="1:9" x14ac:dyDescent="0.3">
      <c r="A2837"/>
      <c r="F2837"/>
      <c r="G2837"/>
      <c r="I2837"/>
    </row>
    <row r="2838" spans="1:9" x14ac:dyDescent="0.3">
      <c r="A2838"/>
      <c r="F2838"/>
      <c r="G2838"/>
      <c r="I2838"/>
    </row>
    <row r="2839" spans="1:9" x14ac:dyDescent="0.3">
      <c r="A2839"/>
      <c r="F2839"/>
      <c r="G2839"/>
      <c r="I2839"/>
    </row>
    <row r="2840" spans="1:9" x14ac:dyDescent="0.3">
      <c r="A2840"/>
      <c r="F2840"/>
      <c r="G2840"/>
      <c r="I2840"/>
    </row>
    <row r="2841" spans="1:9" x14ac:dyDescent="0.3">
      <c r="A2841"/>
      <c r="F2841"/>
      <c r="G2841"/>
      <c r="I2841"/>
    </row>
    <row r="2842" spans="1:9" x14ac:dyDescent="0.3">
      <c r="A2842"/>
      <c r="F2842"/>
      <c r="G2842"/>
      <c r="I2842"/>
    </row>
    <row r="2843" spans="1:9" x14ac:dyDescent="0.3">
      <c r="A2843"/>
      <c r="F2843"/>
      <c r="G2843"/>
      <c r="I2843"/>
    </row>
    <row r="2844" spans="1:9" x14ac:dyDescent="0.3">
      <c r="A2844"/>
      <c r="F2844"/>
      <c r="G2844"/>
      <c r="I2844"/>
    </row>
    <row r="2845" spans="1:9" x14ac:dyDescent="0.3">
      <c r="A2845"/>
      <c r="F2845"/>
      <c r="G2845"/>
      <c r="I2845"/>
    </row>
    <row r="2846" spans="1:9" x14ac:dyDescent="0.3">
      <c r="A2846"/>
      <c r="F2846"/>
      <c r="G2846"/>
      <c r="I2846"/>
    </row>
    <row r="2847" spans="1:9" x14ac:dyDescent="0.3">
      <c r="A2847"/>
      <c r="F2847"/>
      <c r="G2847"/>
      <c r="I2847"/>
    </row>
    <row r="2848" spans="1:9" x14ac:dyDescent="0.3">
      <c r="A2848"/>
      <c r="F2848"/>
      <c r="G2848"/>
      <c r="I2848"/>
    </row>
    <row r="2849" spans="1:9" x14ac:dyDescent="0.3">
      <c r="A2849"/>
      <c r="F2849"/>
      <c r="G2849"/>
      <c r="I2849"/>
    </row>
    <row r="2850" spans="1:9" x14ac:dyDescent="0.3">
      <c r="A2850"/>
      <c r="F2850"/>
      <c r="G2850"/>
      <c r="I2850"/>
    </row>
    <row r="2851" spans="1:9" x14ac:dyDescent="0.3">
      <c r="A2851"/>
      <c r="F2851"/>
      <c r="G2851"/>
      <c r="I2851"/>
    </row>
    <row r="2852" spans="1:9" x14ac:dyDescent="0.3">
      <c r="A2852"/>
      <c r="F2852"/>
      <c r="G2852"/>
      <c r="I2852"/>
    </row>
    <row r="2853" spans="1:9" x14ac:dyDescent="0.3">
      <c r="A2853"/>
      <c r="F2853"/>
      <c r="G2853"/>
      <c r="I2853"/>
    </row>
    <row r="2854" spans="1:9" x14ac:dyDescent="0.3">
      <c r="A2854"/>
      <c r="F2854"/>
      <c r="G2854"/>
      <c r="I2854"/>
    </row>
    <row r="2855" spans="1:9" x14ac:dyDescent="0.3">
      <c r="A2855"/>
      <c r="F2855"/>
      <c r="G2855"/>
      <c r="I2855"/>
    </row>
    <row r="2856" spans="1:9" x14ac:dyDescent="0.3">
      <c r="A2856"/>
      <c r="F2856"/>
      <c r="G2856"/>
      <c r="I2856"/>
    </row>
    <row r="2857" spans="1:9" x14ac:dyDescent="0.3">
      <c r="A2857"/>
      <c r="F2857"/>
      <c r="G2857"/>
      <c r="I2857"/>
    </row>
    <row r="2858" spans="1:9" x14ac:dyDescent="0.3">
      <c r="A2858"/>
      <c r="F2858"/>
      <c r="G2858"/>
      <c r="I2858"/>
    </row>
    <row r="2859" spans="1:9" x14ac:dyDescent="0.3">
      <c r="A2859"/>
      <c r="F2859"/>
      <c r="G2859"/>
      <c r="I2859"/>
    </row>
    <row r="2860" spans="1:9" x14ac:dyDescent="0.3">
      <c r="A2860"/>
      <c r="F2860"/>
      <c r="G2860"/>
      <c r="I2860"/>
    </row>
    <row r="2861" spans="1:9" x14ac:dyDescent="0.3">
      <c r="A2861"/>
      <c r="F2861"/>
      <c r="G2861"/>
      <c r="I2861"/>
    </row>
    <row r="2862" spans="1:9" x14ac:dyDescent="0.3">
      <c r="A2862"/>
      <c r="F2862"/>
      <c r="G2862"/>
      <c r="I2862"/>
    </row>
    <row r="2863" spans="1:9" x14ac:dyDescent="0.3">
      <c r="A2863"/>
      <c r="F2863"/>
      <c r="G2863"/>
      <c r="I2863"/>
    </row>
    <row r="2864" spans="1:9" x14ac:dyDescent="0.3">
      <c r="A2864"/>
      <c r="F2864"/>
      <c r="G2864"/>
      <c r="I2864"/>
    </row>
    <row r="2865" spans="1:9" x14ac:dyDescent="0.3">
      <c r="A2865"/>
      <c r="F2865"/>
      <c r="G2865"/>
      <c r="I2865"/>
    </row>
    <row r="2866" spans="1:9" x14ac:dyDescent="0.3">
      <c r="A2866"/>
      <c r="F2866"/>
      <c r="G2866"/>
      <c r="I2866"/>
    </row>
    <row r="2867" spans="1:9" x14ac:dyDescent="0.3">
      <c r="A2867"/>
      <c r="F2867"/>
      <c r="G2867"/>
      <c r="I2867"/>
    </row>
    <row r="2868" spans="1:9" x14ac:dyDescent="0.3">
      <c r="A2868"/>
      <c r="F2868"/>
      <c r="G2868"/>
      <c r="I2868"/>
    </row>
    <row r="2869" spans="1:9" x14ac:dyDescent="0.3">
      <c r="A2869"/>
      <c r="F2869"/>
      <c r="G2869"/>
      <c r="I2869"/>
    </row>
    <row r="2870" spans="1:9" x14ac:dyDescent="0.3">
      <c r="A2870"/>
      <c r="F2870"/>
      <c r="G2870"/>
      <c r="I2870"/>
    </row>
    <row r="2871" spans="1:9" x14ac:dyDescent="0.3">
      <c r="A2871"/>
      <c r="F2871"/>
      <c r="G2871"/>
      <c r="I2871"/>
    </row>
    <row r="2872" spans="1:9" x14ac:dyDescent="0.3">
      <c r="A2872"/>
      <c r="F2872"/>
      <c r="G2872"/>
      <c r="I2872"/>
    </row>
    <row r="2873" spans="1:9" x14ac:dyDescent="0.3">
      <c r="A2873"/>
      <c r="F2873"/>
      <c r="G2873"/>
      <c r="I2873"/>
    </row>
    <row r="2874" spans="1:9" x14ac:dyDescent="0.3">
      <c r="A2874"/>
      <c r="F2874"/>
      <c r="G2874"/>
      <c r="I2874"/>
    </row>
    <row r="2875" spans="1:9" x14ac:dyDescent="0.3">
      <c r="A2875"/>
      <c r="F2875"/>
      <c r="G2875"/>
      <c r="I2875"/>
    </row>
    <row r="2876" spans="1:9" x14ac:dyDescent="0.3">
      <c r="A2876"/>
      <c r="F2876"/>
      <c r="G2876"/>
      <c r="I2876"/>
    </row>
    <row r="2877" spans="1:9" x14ac:dyDescent="0.3">
      <c r="A2877"/>
      <c r="F2877"/>
      <c r="G2877"/>
      <c r="I2877"/>
    </row>
    <row r="2878" spans="1:9" x14ac:dyDescent="0.3">
      <c r="A2878"/>
      <c r="F2878"/>
      <c r="G2878"/>
      <c r="I2878"/>
    </row>
    <row r="2879" spans="1:9" x14ac:dyDescent="0.3">
      <c r="A2879"/>
      <c r="F2879"/>
      <c r="G2879"/>
      <c r="I2879"/>
    </row>
    <row r="2880" spans="1:9" x14ac:dyDescent="0.3">
      <c r="A2880"/>
      <c r="F2880"/>
      <c r="G2880"/>
      <c r="I2880"/>
    </row>
    <row r="2881" spans="1:9" x14ac:dyDescent="0.3">
      <c r="A2881"/>
      <c r="F2881"/>
      <c r="G2881"/>
      <c r="I2881"/>
    </row>
    <row r="2882" spans="1:9" x14ac:dyDescent="0.3">
      <c r="A2882"/>
      <c r="F2882"/>
      <c r="G2882"/>
      <c r="I2882"/>
    </row>
    <row r="2883" spans="1:9" x14ac:dyDescent="0.3">
      <c r="A2883"/>
      <c r="F2883"/>
      <c r="G2883"/>
      <c r="I2883"/>
    </row>
    <row r="2884" spans="1:9" x14ac:dyDescent="0.3">
      <c r="A2884"/>
      <c r="F2884"/>
      <c r="G2884"/>
      <c r="I2884"/>
    </row>
    <row r="2885" spans="1:9" x14ac:dyDescent="0.3">
      <c r="A2885"/>
      <c r="F2885"/>
      <c r="G2885"/>
      <c r="I2885"/>
    </row>
    <row r="2886" spans="1:9" x14ac:dyDescent="0.3">
      <c r="A2886"/>
      <c r="F2886"/>
      <c r="G2886"/>
      <c r="I2886"/>
    </row>
    <row r="2887" spans="1:9" x14ac:dyDescent="0.3">
      <c r="A2887"/>
      <c r="F2887"/>
      <c r="G2887"/>
      <c r="I2887"/>
    </row>
    <row r="2888" spans="1:9" x14ac:dyDescent="0.3">
      <c r="A2888"/>
      <c r="F2888"/>
      <c r="G2888"/>
      <c r="I2888"/>
    </row>
    <row r="2889" spans="1:9" x14ac:dyDescent="0.3">
      <c r="A2889"/>
      <c r="F2889"/>
      <c r="G2889"/>
      <c r="I2889"/>
    </row>
    <row r="2890" spans="1:9" x14ac:dyDescent="0.3">
      <c r="A2890"/>
      <c r="F2890"/>
      <c r="G2890"/>
      <c r="I2890"/>
    </row>
    <row r="2891" spans="1:9" x14ac:dyDescent="0.3">
      <c r="A2891"/>
      <c r="F2891"/>
      <c r="G2891"/>
      <c r="I2891"/>
    </row>
    <row r="2892" spans="1:9" x14ac:dyDescent="0.3">
      <c r="A2892"/>
      <c r="F2892"/>
      <c r="G2892"/>
      <c r="I2892"/>
    </row>
    <row r="2893" spans="1:9" x14ac:dyDescent="0.3">
      <c r="A2893"/>
      <c r="F2893"/>
      <c r="G2893"/>
      <c r="I2893"/>
    </row>
    <row r="2894" spans="1:9" x14ac:dyDescent="0.3">
      <c r="A2894"/>
      <c r="F2894"/>
      <c r="G2894"/>
      <c r="I2894"/>
    </row>
    <row r="2895" spans="1:9" x14ac:dyDescent="0.3">
      <c r="A2895"/>
      <c r="F2895"/>
      <c r="G2895"/>
      <c r="I2895"/>
    </row>
    <row r="2896" spans="1:9" x14ac:dyDescent="0.3">
      <c r="A2896"/>
      <c r="F2896"/>
      <c r="G2896"/>
      <c r="I2896"/>
    </row>
    <row r="2897" spans="1:9" x14ac:dyDescent="0.3">
      <c r="A2897"/>
      <c r="F2897"/>
      <c r="G2897"/>
      <c r="I2897"/>
    </row>
    <row r="2898" spans="1:9" x14ac:dyDescent="0.3">
      <c r="A2898"/>
      <c r="F2898"/>
      <c r="G2898"/>
      <c r="I2898"/>
    </row>
    <row r="2899" spans="1:9" x14ac:dyDescent="0.3">
      <c r="A2899"/>
      <c r="F2899"/>
      <c r="G2899"/>
      <c r="I2899"/>
    </row>
    <row r="2900" spans="1:9" x14ac:dyDescent="0.3">
      <c r="A2900"/>
      <c r="F2900"/>
      <c r="G2900"/>
      <c r="I2900"/>
    </row>
    <row r="2901" spans="1:9" x14ac:dyDescent="0.3">
      <c r="A2901"/>
      <c r="F2901"/>
      <c r="G2901"/>
      <c r="I2901"/>
    </row>
    <row r="2902" spans="1:9" x14ac:dyDescent="0.3">
      <c r="A2902"/>
      <c r="F2902"/>
      <c r="G2902"/>
      <c r="I2902"/>
    </row>
    <row r="2903" spans="1:9" x14ac:dyDescent="0.3">
      <c r="A2903"/>
      <c r="F2903"/>
      <c r="G2903"/>
      <c r="I2903"/>
    </row>
    <row r="2904" spans="1:9" x14ac:dyDescent="0.3">
      <c r="A2904"/>
      <c r="F2904"/>
      <c r="G2904"/>
      <c r="I2904"/>
    </row>
    <row r="2905" spans="1:9" x14ac:dyDescent="0.3">
      <c r="A2905"/>
      <c r="F2905"/>
      <c r="G2905"/>
      <c r="I2905"/>
    </row>
    <row r="2906" spans="1:9" x14ac:dyDescent="0.3">
      <c r="A2906"/>
      <c r="F2906"/>
      <c r="G2906"/>
      <c r="I2906"/>
    </row>
    <row r="2907" spans="1:9" x14ac:dyDescent="0.3">
      <c r="A2907"/>
      <c r="F2907"/>
      <c r="G2907"/>
      <c r="I2907"/>
    </row>
    <row r="2908" spans="1:9" x14ac:dyDescent="0.3">
      <c r="A2908"/>
      <c r="F2908"/>
      <c r="G2908"/>
      <c r="I2908"/>
    </row>
    <row r="2909" spans="1:9" x14ac:dyDescent="0.3">
      <c r="A2909"/>
      <c r="F2909"/>
      <c r="G2909"/>
      <c r="I2909"/>
    </row>
    <row r="2910" spans="1:9" x14ac:dyDescent="0.3">
      <c r="A2910"/>
      <c r="F2910"/>
      <c r="G2910"/>
      <c r="I2910"/>
    </row>
    <row r="2911" spans="1:9" x14ac:dyDescent="0.3">
      <c r="A2911"/>
      <c r="F2911"/>
      <c r="G2911"/>
      <c r="I2911"/>
    </row>
    <row r="2912" spans="1:9" x14ac:dyDescent="0.3">
      <c r="A2912"/>
      <c r="F2912"/>
      <c r="G2912"/>
      <c r="I2912"/>
    </row>
    <row r="2913" spans="1:9" x14ac:dyDescent="0.3">
      <c r="A2913"/>
      <c r="F2913"/>
      <c r="G2913"/>
      <c r="I2913"/>
    </row>
    <row r="2914" spans="1:9" x14ac:dyDescent="0.3">
      <c r="A2914"/>
      <c r="F2914"/>
      <c r="G2914"/>
      <c r="I2914"/>
    </row>
    <row r="2915" spans="1:9" x14ac:dyDescent="0.3">
      <c r="A2915"/>
      <c r="F2915"/>
      <c r="G2915"/>
      <c r="I2915"/>
    </row>
    <row r="2916" spans="1:9" x14ac:dyDescent="0.3">
      <c r="A2916"/>
      <c r="F2916"/>
      <c r="G2916"/>
      <c r="I2916"/>
    </row>
    <row r="2917" spans="1:9" x14ac:dyDescent="0.3">
      <c r="A2917"/>
      <c r="F2917"/>
      <c r="G2917"/>
      <c r="I2917"/>
    </row>
    <row r="2918" spans="1:9" x14ac:dyDescent="0.3">
      <c r="A2918"/>
      <c r="F2918"/>
      <c r="G2918"/>
      <c r="I2918"/>
    </row>
    <row r="2919" spans="1:9" x14ac:dyDescent="0.3">
      <c r="A2919"/>
      <c r="F2919"/>
      <c r="G2919"/>
      <c r="I2919"/>
    </row>
    <row r="2920" spans="1:9" x14ac:dyDescent="0.3">
      <c r="A2920"/>
      <c r="F2920"/>
      <c r="G2920"/>
      <c r="I2920"/>
    </row>
    <row r="2921" spans="1:9" x14ac:dyDescent="0.3">
      <c r="A2921"/>
      <c r="F2921"/>
      <c r="G2921"/>
      <c r="I2921"/>
    </row>
    <row r="2922" spans="1:9" x14ac:dyDescent="0.3">
      <c r="A2922"/>
      <c r="F2922"/>
      <c r="G2922"/>
      <c r="I2922"/>
    </row>
    <row r="2923" spans="1:9" x14ac:dyDescent="0.3">
      <c r="A2923"/>
      <c r="F2923"/>
      <c r="G2923"/>
      <c r="I2923"/>
    </row>
    <row r="2924" spans="1:9" x14ac:dyDescent="0.3">
      <c r="A2924"/>
      <c r="F2924"/>
      <c r="G2924"/>
      <c r="I2924"/>
    </row>
    <row r="2925" spans="1:9" x14ac:dyDescent="0.3">
      <c r="A2925"/>
      <c r="F2925"/>
      <c r="G2925"/>
      <c r="I2925"/>
    </row>
    <row r="2926" spans="1:9" x14ac:dyDescent="0.3">
      <c r="A2926"/>
      <c r="F2926"/>
      <c r="G2926"/>
      <c r="I2926"/>
    </row>
    <row r="2927" spans="1:9" x14ac:dyDescent="0.3">
      <c r="A2927"/>
      <c r="F2927"/>
      <c r="G2927"/>
      <c r="I2927"/>
    </row>
    <row r="2928" spans="1:9" x14ac:dyDescent="0.3">
      <c r="A2928"/>
      <c r="F2928"/>
      <c r="G2928"/>
      <c r="I2928"/>
    </row>
    <row r="2929" spans="1:9" x14ac:dyDescent="0.3">
      <c r="A2929"/>
      <c r="F2929"/>
      <c r="G2929"/>
      <c r="I2929"/>
    </row>
    <row r="2930" spans="1:9" x14ac:dyDescent="0.3">
      <c r="A2930"/>
      <c r="F2930"/>
      <c r="G2930"/>
      <c r="I2930"/>
    </row>
    <row r="2931" spans="1:9" x14ac:dyDescent="0.3">
      <c r="A2931"/>
      <c r="F2931"/>
      <c r="G2931"/>
      <c r="I2931"/>
    </row>
    <row r="2932" spans="1:9" x14ac:dyDescent="0.3">
      <c r="A2932"/>
      <c r="F2932"/>
      <c r="G2932"/>
      <c r="I2932"/>
    </row>
    <row r="2933" spans="1:9" x14ac:dyDescent="0.3">
      <c r="A2933"/>
      <c r="F2933"/>
      <c r="G2933"/>
      <c r="I2933"/>
    </row>
    <row r="2934" spans="1:9" x14ac:dyDescent="0.3">
      <c r="A2934"/>
      <c r="F2934"/>
      <c r="G2934"/>
      <c r="I2934"/>
    </row>
    <row r="2935" spans="1:9" x14ac:dyDescent="0.3">
      <c r="A2935"/>
      <c r="F2935"/>
      <c r="G2935"/>
      <c r="I2935"/>
    </row>
    <row r="2936" spans="1:9" x14ac:dyDescent="0.3">
      <c r="A2936"/>
      <c r="F2936"/>
      <c r="G2936"/>
      <c r="I2936"/>
    </row>
    <row r="2937" spans="1:9" x14ac:dyDescent="0.3">
      <c r="A2937"/>
      <c r="F2937"/>
      <c r="G2937"/>
      <c r="I2937"/>
    </row>
    <row r="2938" spans="1:9" x14ac:dyDescent="0.3">
      <c r="A2938"/>
      <c r="F2938"/>
      <c r="G2938"/>
      <c r="I2938"/>
    </row>
    <row r="2939" spans="1:9" x14ac:dyDescent="0.3">
      <c r="A2939"/>
      <c r="F2939"/>
      <c r="G2939"/>
      <c r="I2939"/>
    </row>
    <row r="2940" spans="1:9" x14ac:dyDescent="0.3">
      <c r="A2940"/>
      <c r="F2940"/>
      <c r="G2940"/>
      <c r="I2940"/>
    </row>
    <row r="2941" spans="1:9" x14ac:dyDescent="0.3">
      <c r="A2941"/>
      <c r="F2941"/>
      <c r="G2941"/>
      <c r="I2941"/>
    </row>
    <row r="2942" spans="1:9" x14ac:dyDescent="0.3">
      <c r="A2942"/>
      <c r="F2942"/>
      <c r="G2942"/>
      <c r="I2942"/>
    </row>
    <row r="2943" spans="1:9" x14ac:dyDescent="0.3">
      <c r="A2943"/>
      <c r="F2943"/>
      <c r="G2943"/>
      <c r="I2943"/>
    </row>
    <row r="2944" spans="1:9" x14ac:dyDescent="0.3">
      <c r="A2944"/>
      <c r="F2944"/>
      <c r="G2944"/>
      <c r="I2944"/>
    </row>
    <row r="2945" spans="1:9" x14ac:dyDescent="0.3">
      <c r="A2945"/>
      <c r="F2945"/>
      <c r="G2945"/>
      <c r="I2945"/>
    </row>
    <row r="2946" spans="1:9" x14ac:dyDescent="0.3">
      <c r="A2946"/>
      <c r="F2946"/>
      <c r="G2946"/>
      <c r="I2946"/>
    </row>
    <row r="2947" spans="1:9" x14ac:dyDescent="0.3">
      <c r="A2947"/>
      <c r="F2947"/>
      <c r="G2947"/>
      <c r="I2947"/>
    </row>
    <row r="2948" spans="1:9" x14ac:dyDescent="0.3">
      <c r="A2948"/>
      <c r="F2948"/>
      <c r="G2948"/>
      <c r="I2948"/>
    </row>
    <row r="2949" spans="1:9" x14ac:dyDescent="0.3">
      <c r="A2949"/>
      <c r="F2949"/>
      <c r="G2949"/>
      <c r="I2949"/>
    </row>
    <row r="2950" spans="1:9" x14ac:dyDescent="0.3">
      <c r="A2950"/>
      <c r="F2950"/>
      <c r="G2950"/>
      <c r="I2950"/>
    </row>
    <row r="2951" spans="1:9" x14ac:dyDescent="0.3">
      <c r="A2951"/>
      <c r="F2951"/>
      <c r="G2951"/>
      <c r="I2951"/>
    </row>
    <row r="2952" spans="1:9" x14ac:dyDescent="0.3">
      <c r="A2952"/>
      <c r="F2952"/>
      <c r="G2952"/>
      <c r="I2952"/>
    </row>
    <row r="2953" spans="1:9" x14ac:dyDescent="0.3">
      <c r="A2953"/>
      <c r="F2953"/>
      <c r="G2953"/>
      <c r="I2953"/>
    </row>
    <row r="2954" spans="1:9" x14ac:dyDescent="0.3">
      <c r="A2954"/>
      <c r="F2954"/>
      <c r="G2954"/>
      <c r="I2954"/>
    </row>
    <row r="2955" spans="1:9" x14ac:dyDescent="0.3">
      <c r="A2955"/>
      <c r="F2955"/>
      <c r="G2955"/>
      <c r="I2955"/>
    </row>
    <row r="2956" spans="1:9" x14ac:dyDescent="0.3">
      <c r="A2956"/>
      <c r="F2956"/>
      <c r="G2956"/>
      <c r="I2956"/>
    </row>
    <row r="2957" spans="1:9" x14ac:dyDescent="0.3">
      <c r="A2957"/>
      <c r="F2957"/>
      <c r="G2957"/>
      <c r="I2957"/>
    </row>
    <row r="2958" spans="1:9" x14ac:dyDescent="0.3">
      <c r="A2958"/>
      <c r="F2958"/>
      <c r="G2958"/>
      <c r="I2958"/>
    </row>
    <row r="2959" spans="1:9" x14ac:dyDescent="0.3">
      <c r="A2959"/>
      <c r="F2959"/>
      <c r="G2959"/>
      <c r="I2959"/>
    </row>
    <row r="2960" spans="1:9" x14ac:dyDescent="0.3">
      <c r="A2960"/>
      <c r="F2960"/>
      <c r="G2960"/>
      <c r="I2960"/>
    </row>
    <row r="2961" spans="1:9" x14ac:dyDescent="0.3">
      <c r="A2961"/>
      <c r="F2961"/>
      <c r="G2961"/>
      <c r="I2961"/>
    </row>
    <row r="2962" spans="1:9" x14ac:dyDescent="0.3">
      <c r="A2962"/>
      <c r="F2962"/>
      <c r="G2962"/>
      <c r="I2962"/>
    </row>
    <row r="2963" spans="1:9" x14ac:dyDescent="0.3">
      <c r="A2963"/>
      <c r="F2963"/>
      <c r="G2963"/>
      <c r="I2963"/>
    </row>
    <row r="2964" spans="1:9" x14ac:dyDescent="0.3">
      <c r="A2964"/>
      <c r="F2964"/>
      <c r="G2964"/>
      <c r="I2964"/>
    </row>
    <row r="2965" spans="1:9" x14ac:dyDescent="0.3">
      <c r="A2965"/>
      <c r="F2965"/>
      <c r="G2965"/>
      <c r="I2965"/>
    </row>
    <row r="2966" spans="1:9" x14ac:dyDescent="0.3">
      <c r="A2966"/>
      <c r="F2966"/>
      <c r="G2966"/>
      <c r="I2966"/>
    </row>
    <row r="2967" spans="1:9" x14ac:dyDescent="0.3">
      <c r="A2967"/>
      <c r="F2967"/>
      <c r="G2967"/>
      <c r="I2967"/>
    </row>
    <row r="2968" spans="1:9" x14ac:dyDescent="0.3">
      <c r="A2968"/>
      <c r="F2968"/>
      <c r="G2968"/>
      <c r="I2968"/>
    </row>
    <row r="2969" spans="1:9" x14ac:dyDescent="0.3">
      <c r="A2969"/>
      <c r="F2969"/>
      <c r="G2969"/>
      <c r="I2969"/>
    </row>
    <row r="2970" spans="1:9" x14ac:dyDescent="0.3">
      <c r="A2970"/>
      <c r="F2970"/>
      <c r="G2970"/>
      <c r="I2970"/>
    </row>
    <row r="2971" spans="1:9" x14ac:dyDescent="0.3">
      <c r="A2971"/>
      <c r="F2971"/>
      <c r="G2971"/>
      <c r="I2971"/>
    </row>
    <row r="2972" spans="1:9" x14ac:dyDescent="0.3">
      <c r="A2972"/>
      <c r="F2972"/>
      <c r="G2972"/>
      <c r="I2972"/>
    </row>
    <row r="2973" spans="1:9" x14ac:dyDescent="0.3">
      <c r="A2973"/>
      <c r="F2973"/>
      <c r="G2973"/>
      <c r="I2973"/>
    </row>
    <row r="2974" spans="1:9" x14ac:dyDescent="0.3">
      <c r="A2974"/>
      <c r="F2974"/>
      <c r="G2974"/>
      <c r="I2974"/>
    </row>
    <row r="2975" spans="1:9" x14ac:dyDescent="0.3">
      <c r="A2975"/>
      <c r="F2975"/>
      <c r="G2975"/>
      <c r="I2975"/>
    </row>
    <row r="2976" spans="1:9" x14ac:dyDescent="0.3">
      <c r="A2976"/>
      <c r="F2976"/>
      <c r="G2976"/>
      <c r="I2976"/>
    </row>
    <row r="2977" spans="1:9" x14ac:dyDescent="0.3">
      <c r="A2977"/>
      <c r="F2977"/>
      <c r="G2977"/>
      <c r="I2977"/>
    </row>
    <row r="2978" spans="1:9" x14ac:dyDescent="0.3">
      <c r="A2978"/>
      <c r="F2978"/>
      <c r="G2978"/>
      <c r="I2978"/>
    </row>
    <row r="2979" spans="1:9" x14ac:dyDescent="0.3">
      <c r="A2979"/>
      <c r="F2979"/>
      <c r="G2979"/>
      <c r="I2979"/>
    </row>
    <row r="2980" spans="1:9" x14ac:dyDescent="0.3">
      <c r="A2980"/>
      <c r="F2980"/>
      <c r="G2980"/>
      <c r="I2980"/>
    </row>
    <row r="2981" spans="1:9" x14ac:dyDescent="0.3">
      <c r="A2981"/>
      <c r="F2981"/>
      <c r="G2981"/>
      <c r="I2981"/>
    </row>
    <row r="2982" spans="1:9" x14ac:dyDescent="0.3">
      <c r="A2982"/>
      <c r="F2982"/>
      <c r="G2982"/>
      <c r="I2982"/>
    </row>
    <row r="2983" spans="1:9" x14ac:dyDescent="0.3">
      <c r="A2983"/>
      <c r="F2983"/>
      <c r="G2983"/>
      <c r="I2983"/>
    </row>
    <row r="2984" spans="1:9" x14ac:dyDescent="0.3">
      <c r="A2984"/>
      <c r="F2984"/>
      <c r="G2984"/>
      <c r="I2984"/>
    </row>
    <row r="2985" spans="1:9" x14ac:dyDescent="0.3">
      <c r="A2985"/>
      <c r="F2985"/>
      <c r="G2985"/>
      <c r="I2985"/>
    </row>
    <row r="2986" spans="1:9" x14ac:dyDescent="0.3">
      <c r="A2986"/>
      <c r="F2986"/>
      <c r="G2986"/>
      <c r="I2986"/>
    </row>
    <row r="2987" spans="1:9" x14ac:dyDescent="0.3">
      <c r="A2987"/>
      <c r="F2987"/>
      <c r="G2987"/>
      <c r="I2987"/>
    </row>
    <row r="2988" spans="1:9" x14ac:dyDescent="0.3">
      <c r="A2988"/>
      <c r="F2988"/>
      <c r="G2988"/>
      <c r="I2988"/>
    </row>
    <row r="2989" spans="1:9" x14ac:dyDescent="0.3">
      <c r="A2989"/>
      <c r="F2989"/>
      <c r="G2989"/>
      <c r="I2989"/>
    </row>
    <row r="2990" spans="1:9" x14ac:dyDescent="0.3">
      <c r="A2990"/>
      <c r="F2990"/>
      <c r="G2990"/>
      <c r="I2990"/>
    </row>
    <row r="2991" spans="1:9" x14ac:dyDescent="0.3">
      <c r="A2991"/>
      <c r="F2991"/>
      <c r="G2991"/>
      <c r="I2991"/>
    </row>
    <row r="2992" spans="1:9" x14ac:dyDescent="0.3">
      <c r="A2992"/>
      <c r="F2992"/>
      <c r="G2992"/>
      <c r="I2992"/>
    </row>
    <row r="2993" spans="1:9" x14ac:dyDescent="0.3">
      <c r="A2993"/>
      <c r="F2993"/>
      <c r="G2993"/>
      <c r="I2993"/>
    </row>
    <row r="2994" spans="1:9" x14ac:dyDescent="0.3">
      <c r="A2994"/>
      <c r="F2994"/>
      <c r="G2994"/>
      <c r="I2994"/>
    </row>
    <row r="2995" spans="1:9" x14ac:dyDescent="0.3">
      <c r="A2995"/>
      <c r="F2995"/>
      <c r="G2995"/>
      <c r="I2995"/>
    </row>
    <row r="2996" spans="1:9" x14ac:dyDescent="0.3">
      <c r="A2996"/>
      <c r="F2996"/>
      <c r="G2996"/>
      <c r="I2996"/>
    </row>
    <row r="2997" spans="1:9" x14ac:dyDescent="0.3">
      <c r="A2997"/>
      <c r="F2997"/>
      <c r="G2997"/>
      <c r="I2997"/>
    </row>
    <row r="2998" spans="1:9" x14ac:dyDescent="0.3">
      <c r="A2998"/>
      <c r="F2998"/>
      <c r="G2998"/>
      <c r="I2998"/>
    </row>
    <row r="2999" spans="1:9" x14ac:dyDescent="0.3">
      <c r="A2999"/>
      <c r="F2999"/>
      <c r="G2999"/>
      <c r="I2999"/>
    </row>
    <row r="3000" spans="1:9" x14ac:dyDescent="0.3">
      <c r="A3000"/>
      <c r="F3000"/>
      <c r="G3000"/>
      <c r="I3000"/>
    </row>
  </sheetData>
  <mergeCells count="3">
    <mergeCell ref="I1:J1"/>
    <mergeCell ref="B1:C1"/>
    <mergeCell ref="G1:H1"/>
  </mergeCells>
  <conditionalFormatting sqref="B3">
    <cfRule type="duplicateValues" dxfId="7" priority="2"/>
  </conditionalFormatting>
  <conditionalFormatting sqref="D3">
    <cfRule type="cellIs" dxfId="6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EARCH">
                <anchor moveWithCells="1" sizeWithCells="1">
                  <from>
                    <xdr:col>13</xdr:col>
                    <xdr:colOff>365760</xdr:colOff>
                    <xdr:row>1</xdr:row>
                    <xdr:rowOff>60960</xdr:rowOff>
                  </from>
                  <to>
                    <xdr:col>14</xdr:col>
                    <xdr:colOff>1013460</xdr:colOff>
                    <xdr:row>1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CLEAR">
                <anchor moveWithCells="1" sizeWithCells="1">
                  <from>
                    <xdr:col>13</xdr:col>
                    <xdr:colOff>350520</xdr:colOff>
                    <xdr:row>2</xdr:row>
                    <xdr:rowOff>99060</xdr:rowOff>
                  </from>
                  <to>
                    <xdr:col>14</xdr:col>
                    <xdr:colOff>1021080</xdr:colOff>
                    <xdr:row>2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9933"/>
  </sheetPr>
  <dimension ref="A1:AA3116"/>
  <sheetViews>
    <sheetView topLeftCell="A4" workbookViewId="0">
      <selection activeCell="F9" sqref="F9"/>
    </sheetView>
  </sheetViews>
  <sheetFormatPr defaultRowHeight="14.4" x14ac:dyDescent="0.3"/>
  <cols>
    <col min="1" max="1" width="7.33203125" style="5" customWidth="1"/>
    <col min="2" max="2" width="27.44140625" customWidth="1"/>
    <col min="3" max="3" width="18.88671875" customWidth="1"/>
    <col min="4" max="4" width="15.6640625" customWidth="1"/>
    <col min="5" max="5" width="14.88671875" customWidth="1"/>
    <col min="6" max="6" width="41.88671875" style="10" customWidth="1"/>
    <col min="7" max="7" width="15.5546875" style="3" customWidth="1"/>
    <col min="8" max="8" width="11.33203125" customWidth="1"/>
    <col min="9" max="9" width="26.44140625" style="4" customWidth="1"/>
    <col min="10" max="10" width="15.109375" customWidth="1"/>
    <col min="11" max="11" width="14.109375" hidden="1" customWidth="1"/>
    <col min="12" max="12" width="8.33203125" hidden="1" customWidth="1"/>
    <col min="13" max="13" width="17.33203125" hidden="1" customWidth="1"/>
    <col min="14" max="14" width="16.5546875" hidden="1" customWidth="1"/>
    <col min="15" max="15" width="15.6640625" hidden="1" customWidth="1"/>
    <col min="16" max="19" width="9.109375" hidden="1" customWidth="1"/>
    <col min="20" max="24" width="0" hidden="1" customWidth="1"/>
  </cols>
  <sheetData>
    <row r="1" spans="1:27" ht="39.75" customHeight="1" x14ac:dyDescent="0.3">
      <c r="A1" s="185"/>
      <c r="B1" s="186"/>
      <c r="C1" s="186"/>
      <c r="D1" s="187"/>
      <c r="E1" s="193" t="s">
        <v>1011</v>
      </c>
      <c r="F1" s="18" t="s">
        <v>1599</v>
      </c>
      <c r="G1" s="188"/>
      <c r="H1" s="186"/>
      <c r="I1" s="189"/>
      <c r="J1" s="190"/>
      <c r="K1" s="191" t="str">
        <f>IF(LOWER(F1)=F1,UPPER(F1),F1)</f>
        <v>CLEAN</v>
      </c>
      <c r="L1" s="186"/>
      <c r="M1" s="192" t="s">
        <v>1012</v>
      </c>
      <c r="N1" s="192" t="s">
        <v>1013</v>
      </c>
      <c r="O1" s="192" t="s">
        <v>1014</v>
      </c>
      <c r="P1" s="192" t="s">
        <v>1015</v>
      </c>
      <c r="Q1" s="192" t="s">
        <v>1016</v>
      </c>
      <c r="R1" s="192" t="s">
        <v>1017</v>
      </c>
      <c r="S1" s="192" t="s">
        <v>1018</v>
      </c>
      <c r="T1" s="192" t="s">
        <v>1019</v>
      </c>
      <c r="U1" s="192" t="s">
        <v>1020</v>
      </c>
      <c r="V1" s="192" t="s">
        <v>1021</v>
      </c>
      <c r="W1" s="192" t="s">
        <v>1022</v>
      </c>
      <c r="X1" s="192" t="s">
        <v>1023</v>
      </c>
      <c r="Y1" s="186"/>
      <c r="Z1" s="186"/>
      <c r="AA1" s="186"/>
    </row>
    <row r="2" spans="1:27" ht="37.5" customHeight="1" x14ac:dyDescent="0.3">
      <c r="A2" s="372" t="s">
        <v>1047</v>
      </c>
      <c r="B2" s="372"/>
      <c r="C2" s="372"/>
      <c r="D2" s="372"/>
      <c r="E2" s="194" t="s">
        <v>1010</v>
      </c>
      <c r="F2" s="18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</row>
    <row r="3" spans="1:27" ht="25.5" customHeight="1" x14ac:dyDescent="0.3">
      <c r="A3" s="372"/>
      <c r="B3" s="372"/>
      <c r="C3" s="372"/>
      <c r="D3" s="372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  <c r="AA3" s="186"/>
    </row>
    <row r="4" spans="1:27" ht="30.75" customHeight="1" thickBot="1" x14ac:dyDescent="0.35">
      <c r="A4" s="186"/>
      <c r="B4" s="186"/>
      <c r="C4" s="186"/>
      <c r="D4" s="186"/>
      <c r="E4" s="186"/>
      <c r="F4" s="186"/>
      <c r="G4" s="371" t="s">
        <v>1025</v>
      </c>
      <c r="H4" s="371"/>
      <c r="I4" s="158">
        <f>SUM(I6:I2418)</f>
        <v>217525.99199999997</v>
      </c>
      <c r="J4" s="159" t="s">
        <v>1274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186"/>
      <c r="Z4" s="186"/>
      <c r="AA4" s="186"/>
    </row>
    <row r="5" spans="1:27" ht="15.6" x14ac:dyDescent="0.3">
      <c r="A5" s="1"/>
      <c r="B5" s="6" t="s">
        <v>16</v>
      </c>
      <c r="C5" s="8" t="s">
        <v>14</v>
      </c>
      <c r="D5" s="6" t="s">
        <v>17</v>
      </c>
      <c r="E5" s="6" t="s">
        <v>7</v>
      </c>
      <c r="F5" s="6" t="s">
        <v>8</v>
      </c>
      <c r="G5" s="6" t="s">
        <v>9</v>
      </c>
      <c r="H5" s="6" t="s">
        <v>1576</v>
      </c>
      <c r="I5" s="9" t="s">
        <v>5</v>
      </c>
    </row>
    <row r="6" spans="1:27" s="28" customFormat="1" x14ac:dyDescent="0.3">
      <c r="B6" s="28" t="s">
        <v>794</v>
      </c>
      <c r="C6" s="297">
        <v>45457</v>
      </c>
      <c r="D6" s="28" t="s">
        <v>981</v>
      </c>
      <c r="E6" s="28" t="s">
        <v>979</v>
      </c>
      <c r="F6" s="28" t="s">
        <v>285</v>
      </c>
      <c r="G6" s="28">
        <v>273</v>
      </c>
      <c r="H6" s="28">
        <v>48.23</v>
      </c>
      <c r="I6" s="272">
        <v>13166.789999999999</v>
      </c>
      <c r="J6" s="28">
        <v>17541.79</v>
      </c>
      <c r="K6" s="28">
        <v>21050.148000000001</v>
      </c>
    </row>
    <row r="7" spans="1:27" s="28" customFormat="1" x14ac:dyDescent="0.3">
      <c r="E7" s="28" t="s">
        <v>980</v>
      </c>
      <c r="F7" s="28" t="s">
        <v>65</v>
      </c>
      <c r="G7" s="28">
        <v>25000</v>
      </c>
      <c r="H7" s="28">
        <v>0.17499999999999999</v>
      </c>
      <c r="I7" s="272">
        <v>4375</v>
      </c>
    </row>
    <row r="8" spans="1:27" s="28" customFormat="1" x14ac:dyDescent="0.3">
      <c r="A8"/>
      <c r="B8"/>
      <c r="C8"/>
      <c r="D8"/>
      <c r="E8"/>
      <c r="F8"/>
      <c r="G8"/>
      <c r="H8"/>
      <c r="I8" s="272"/>
      <c r="J8"/>
    </row>
    <row r="9" spans="1:27" s="28" customFormat="1" x14ac:dyDescent="0.3">
      <c r="B9" s="28" t="s">
        <v>794</v>
      </c>
      <c r="C9" s="297">
        <v>45419</v>
      </c>
      <c r="D9" s="28" t="s">
        <v>989</v>
      </c>
      <c r="E9" s="28" t="s">
        <v>988</v>
      </c>
      <c r="F9" s="28" t="s">
        <v>987</v>
      </c>
      <c r="G9" s="28">
        <v>90</v>
      </c>
      <c r="H9" s="28">
        <v>88.52</v>
      </c>
      <c r="I9" s="272">
        <v>7966.7999999999993</v>
      </c>
      <c r="J9" s="28">
        <v>7966.7999999999993</v>
      </c>
      <c r="K9" s="28">
        <v>9560.159999999998</v>
      </c>
    </row>
    <row r="10" spans="1:27" s="28" customFormat="1" x14ac:dyDescent="0.3">
      <c r="A10"/>
      <c r="B10"/>
      <c r="C10"/>
      <c r="D10"/>
      <c r="E10"/>
      <c r="F10"/>
      <c r="G10"/>
      <c r="H10"/>
      <c r="I10" s="272"/>
      <c r="J10"/>
    </row>
    <row r="11" spans="1:27" s="28" customFormat="1" x14ac:dyDescent="0.3">
      <c r="B11" s="28" t="s">
        <v>794</v>
      </c>
      <c r="C11" s="297">
        <v>45454</v>
      </c>
      <c r="D11" s="28" t="s">
        <v>993</v>
      </c>
      <c r="E11" s="28" t="s">
        <v>990</v>
      </c>
      <c r="F11" s="28" t="s">
        <v>40</v>
      </c>
      <c r="G11" s="28">
        <v>16000</v>
      </c>
      <c r="H11" s="28">
        <v>0.3</v>
      </c>
      <c r="I11" s="272">
        <v>4800</v>
      </c>
      <c r="J11" s="28">
        <v>12675.63</v>
      </c>
      <c r="K11" s="28">
        <v>15210.755999999998</v>
      </c>
    </row>
    <row r="12" spans="1:27" s="28" customFormat="1" x14ac:dyDescent="0.3">
      <c r="E12" s="28" t="s">
        <v>992</v>
      </c>
      <c r="F12" s="28" t="s">
        <v>991</v>
      </c>
      <c r="G12" s="28">
        <v>162</v>
      </c>
      <c r="H12" s="28">
        <v>48.615000000000002</v>
      </c>
      <c r="I12" s="272">
        <v>7875.63</v>
      </c>
    </row>
    <row r="13" spans="1:27" s="28" customFormat="1" x14ac:dyDescent="0.3">
      <c r="A13"/>
      <c r="B13"/>
      <c r="C13"/>
      <c r="D13"/>
      <c r="E13"/>
      <c r="F13"/>
      <c r="G13"/>
      <c r="H13"/>
      <c r="I13" s="272"/>
      <c r="J13"/>
    </row>
    <row r="14" spans="1:27" s="28" customFormat="1" x14ac:dyDescent="0.3">
      <c r="B14" s="28" t="s">
        <v>794</v>
      </c>
      <c r="C14" s="297">
        <v>45498</v>
      </c>
      <c r="D14" s="28" t="s">
        <v>1116</v>
      </c>
      <c r="E14" s="28" t="s">
        <v>1117</v>
      </c>
      <c r="F14" s="28" t="s">
        <v>65</v>
      </c>
      <c r="G14" s="28">
        <v>33000</v>
      </c>
      <c r="H14" s="28">
        <v>0.16489999999999999</v>
      </c>
      <c r="I14" s="272">
        <v>5441.7</v>
      </c>
      <c r="J14" s="28">
        <v>5441.7</v>
      </c>
      <c r="K14" s="28">
        <v>6530.04</v>
      </c>
    </row>
    <row r="15" spans="1:27" s="28" customFormat="1" x14ac:dyDescent="0.3">
      <c r="A15"/>
      <c r="B15"/>
      <c r="C15"/>
      <c r="D15"/>
      <c r="E15"/>
      <c r="F15"/>
      <c r="G15"/>
      <c r="H15"/>
      <c r="I15" s="272"/>
      <c r="J15"/>
    </row>
    <row r="16" spans="1:27" s="28" customFormat="1" x14ac:dyDescent="0.3">
      <c r="B16" s="28" t="s">
        <v>794</v>
      </c>
      <c r="C16" s="297">
        <v>45505</v>
      </c>
      <c r="D16" s="28" t="s">
        <v>1223</v>
      </c>
      <c r="E16" s="28" t="s">
        <v>1222</v>
      </c>
      <c r="F16" s="28" t="s">
        <v>1221</v>
      </c>
      <c r="G16" s="28">
        <v>1000000</v>
      </c>
      <c r="H16" s="28">
        <v>0.1167</v>
      </c>
      <c r="I16" s="272">
        <v>116700</v>
      </c>
      <c r="J16" s="28">
        <v>116700</v>
      </c>
      <c r="K16" s="28">
        <v>140040</v>
      </c>
    </row>
    <row r="17" spans="1:11" s="28" customFormat="1" x14ac:dyDescent="0.3">
      <c r="A17"/>
      <c r="B17"/>
      <c r="C17"/>
      <c r="D17"/>
      <c r="E17"/>
      <c r="F17"/>
      <c r="G17"/>
      <c r="H17"/>
      <c r="I17" s="272"/>
      <c r="J17"/>
    </row>
    <row r="18" spans="1:11" s="28" customFormat="1" x14ac:dyDescent="0.3">
      <c r="B18" s="28" t="s">
        <v>794</v>
      </c>
      <c r="C18" s="297">
        <v>45523</v>
      </c>
      <c r="D18" s="28" t="s">
        <v>1279</v>
      </c>
      <c r="E18" s="28" t="s">
        <v>1222</v>
      </c>
      <c r="F18" s="28" t="s">
        <v>1221</v>
      </c>
      <c r="G18" s="28">
        <v>200000</v>
      </c>
      <c r="H18" s="28">
        <v>0.1167</v>
      </c>
      <c r="I18" s="272">
        <v>23340</v>
      </c>
      <c r="J18" s="28">
        <v>23866.671999999999</v>
      </c>
      <c r="K18" s="28">
        <v>28640.006399999998</v>
      </c>
    </row>
    <row r="19" spans="1:11" s="28" customFormat="1" x14ac:dyDescent="0.3">
      <c r="E19" s="28" t="s">
        <v>1278</v>
      </c>
      <c r="F19" s="28" t="s">
        <v>1277</v>
      </c>
      <c r="G19" s="28">
        <v>80</v>
      </c>
      <c r="H19" s="28">
        <v>6.5834000000000001</v>
      </c>
      <c r="I19" s="272">
        <v>526.67200000000003</v>
      </c>
    </row>
    <row r="20" spans="1:11" s="28" customFormat="1" x14ac:dyDescent="0.3">
      <c r="A20"/>
      <c r="B20"/>
      <c r="C20"/>
      <c r="D20"/>
      <c r="E20"/>
      <c r="F20"/>
      <c r="G20"/>
      <c r="H20"/>
      <c r="I20" s="272"/>
      <c r="J20"/>
    </row>
    <row r="21" spans="1:11" s="28" customFormat="1" x14ac:dyDescent="0.3">
      <c r="B21" s="28" t="s">
        <v>794</v>
      </c>
      <c r="C21" s="297">
        <v>45524</v>
      </c>
      <c r="D21" s="28" t="s">
        <v>1284</v>
      </c>
      <c r="E21" s="28" t="s">
        <v>1282</v>
      </c>
      <c r="F21" s="28" t="s">
        <v>1280</v>
      </c>
      <c r="G21" s="28">
        <v>500</v>
      </c>
      <c r="H21" s="28">
        <v>20</v>
      </c>
      <c r="I21" s="272">
        <v>10000</v>
      </c>
      <c r="J21" s="28">
        <v>33333.4</v>
      </c>
      <c r="K21" s="28">
        <v>40000.080000000002</v>
      </c>
    </row>
    <row r="22" spans="1:11" s="28" customFormat="1" x14ac:dyDescent="0.3">
      <c r="E22" s="28" t="s">
        <v>1283</v>
      </c>
      <c r="F22" s="28" t="s">
        <v>1281</v>
      </c>
      <c r="G22" s="28">
        <v>1000</v>
      </c>
      <c r="H22" s="28">
        <v>23.333400000000001</v>
      </c>
      <c r="I22" s="272">
        <v>23333.4</v>
      </c>
    </row>
    <row r="23" spans="1:11" s="28" customFormat="1" x14ac:dyDescent="0.3">
      <c r="A23"/>
      <c r="B23"/>
      <c r="C23"/>
      <c r="D23"/>
      <c r="E23"/>
      <c r="F23"/>
      <c r="G23"/>
      <c r="H23"/>
      <c r="I23" s="272"/>
      <c r="J23"/>
    </row>
    <row r="24" spans="1:11" s="28" customFormat="1" x14ac:dyDescent="0.3">
      <c r="A24"/>
      <c r="B24"/>
      <c r="C24"/>
      <c r="D24"/>
      <c r="E24"/>
      <c r="F24"/>
      <c r="G24"/>
      <c r="H24"/>
      <c r="I24" s="272"/>
      <c r="J24"/>
    </row>
    <row r="25" spans="1:11" s="28" customFormat="1" x14ac:dyDescent="0.3">
      <c r="A25"/>
      <c r="B25"/>
      <c r="C25"/>
      <c r="D25"/>
      <c r="E25"/>
      <c r="F25"/>
      <c r="G25"/>
      <c r="H25"/>
      <c r="I25" s="272"/>
      <c r="J25"/>
    </row>
    <row r="26" spans="1:11" s="28" customFormat="1" x14ac:dyDescent="0.3">
      <c r="A26"/>
      <c r="B26"/>
      <c r="C26"/>
      <c r="D26"/>
      <c r="E26"/>
      <c r="F26"/>
      <c r="G26"/>
      <c r="H26"/>
      <c r="I26" s="272"/>
      <c r="J26"/>
      <c r="K26" s="28">
        <v>35181</v>
      </c>
    </row>
    <row r="27" spans="1:11" s="28" customFormat="1" x14ac:dyDescent="0.3">
      <c r="A27"/>
      <c r="B27"/>
      <c r="C27"/>
      <c r="D27"/>
      <c r="E27"/>
      <c r="F27"/>
      <c r="G27"/>
      <c r="H27"/>
      <c r="I27" s="272"/>
      <c r="J27"/>
    </row>
    <row r="28" spans="1:11" s="28" customFormat="1" x14ac:dyDescent="0.3">
      <c r="A28"/>
      <c r="B28"/>
      <c r="C28"/>
      <c r="D28"/>
      <c r="E28"/>
      <c r="F28"/>
      <c r="G28"/>
      <c r="H28"/>
      <c r="I28" s="272"/>
      <c r="J28"/>
    </row>
    <row r="29" spans="1:11" s="28" customFormat="1" x14ac:dyDescent="0.3">
      <c r="A29"/>
      <c r="B29"/>
      <c r="C29"/>
      <c r="D29"/>
      <c r="E29"/>
      <c r="F29"/>
      <c r="G29"/>
      <c r="H29"/>
      <c r="I29" s="272"/>
      <c r="J29"/>
    </row>
    <row r="30" spans="1:11" s="28" customFormat="1" x14ac:dyDescent="0.3">
      <c r="A30"/>
      <c r="B30"/>
      <c r="C30"/>
      <c r="D30"/>
      <c r="E30"/>
      <c r="F30"/>
      <c r="G30"/>
      <c r="H30"/>
      <c r="I30" s="272"/>
      <c r="J30"/>
    </row>
    <row r="31" spans="1:11" s="28" customFormat="1" x14ac:dyDescent="0.3">
      <c r="A31"/>
      <c r="B31"/>
      <c r="C31"/>
      <c r="D31"/>
      <c r="E31"/>
      <c r="F31"/>
      <c r="G31"/>
      <c r="H31"/>
      <c r="I31" s="272"/>
      <c r="J31"/>
    </row>
    <row r="32" spans="1:11" s="28" customFormat="1" x14ac:dyDescent="0.3">
      <c r="A32"/>
      <c r="B32"/>
      <c r="C32"/>
      <c r="D32"/>
      <c r="E32"/>
      <c r="F32"/>
      <c r="G32"/>
      <c r="H32"/>
      <c r="I32" s="272"/>
      <c r="J32"/>
    </row>
    <row r="33" spans="1:11" s="28" customFormat="1" x14ac:dyDescent="0.3">
      <c r="A33"/>
      <c r="B33"/>
      <c r="C33"/>
      <c r="D33"/>
      <c r="E33"/>
      <c r="F33"/>
      <c r="G33"/>
      <c r="H33"/>
      <c r="I33" s="272"/>
      <c r="J33"/>
    </row>
    <row r="34" spans="1:11" s="28" customFormat="1" x14ac:dyDescent="0.3">
      <c r="A34"/>
      <c r="B34"/>
      <c r="C34"/>
      <c r="D34"/>
      <c r="E34"/>
      <c r="F34"/>
      <c r="G34"/>
      <c r="H34"/>
      <c r="I34" s="272"/>
      <c r="J34"/>
    </row>
    <row r="35" spans="1:11" s="28" customFormat="1" x14ac:dyDescent="0.3">
      <c r="A35"/>
      <c r="B35"/>
      <c r="C35"/>
      <c r="D35"/>
      <c r="E35"/>
      <c r="F35"/>
      <c r="G35"/>
      <c r="H35"/>
      <c r="I35" s="272"/>
      <c r="J35"/>
    </row>
    <row r="36" spans="1:11" s="28" customFormat="1" x14ac:dyDescent="0.3">
      <c r="A36"/>
      <c r="B36"/>
      <c r="C36"/>
      <c r="D36"/>
      <c r="E36"/>
      <c r="F36"/>
      <c r="G36"/>
      <c r="H36"/>
      <c r="I36" s="272"/>
      <c r="J36"/>
      <c r="K36" s="28">
        <v>12560.003999999999</v>
      </c>
    </row>
    <row r="37" spans="1:11" s="28" customFormat="1" x14ac:dyDescent="0.3">
      <c r="A37"/>
      <c r="B37"/>
      <c r="C37"/>
      <c r="D37"/>
      <c r="E37"/>
      <c r="F37"/>
      <c r="G37"/>
      <c r="H37"/>
      <c r="I37" s="272"/>
      <c r="J37"/>
    </row>
    <row r="38" spans="1:11" s="28" customFormat="1" x14ac:dyDescent="0.3">
      <c r="A38"/>
      <c r="B38"/>
      <c r="C38"/>
      <c r="D38"/>
      <c r="E38"/>
      <c r="F38"/>
      <c r="G38"/>
      <c r="H38"/>
      <c r="I38" s="272"/>
      <c r="J38"/>
    </row>
    <row r="39" spans="1:11" s="28" customFormat="1" x14ac:dyDescent="0.3">
      <c r="A39"/>
      <c r="B39"/>
      <c r="C39"/>
      <c r="D39"/>
      <c r="E39"/>
      <c r="F39"/>
      <c r="G39"/>
      <c r="H39"/>
      <c r="I39" s="272"/>
      <c r="J39"/>
    </row>
    <row r="40" spans="1:11" s="28" customFormat="1" x14ac:dyDescent="0.3">
      <c r="A40"/>
      <c r="B40"/>
      <c r="C40"/>
      <c r="D40"/>
      <c r="E40"/>
      <c r="F40"/>
      <c r="G40"/>
      <c r="H40"/>
      <c r="I40" s="272"/>
      <c r="J40"/>
      <c r="K40" s="28">
        <v>16970</v>
      </c>
    </row>
    <row r="41" spans="1:11" s="28" customFormat="1" x14ac:dyDescent="0.3">
      <c r="A41"/>
      <c r="B41"/>
      <c r="C41"/>
      <c r="D41"/>
      <c r="E41"/>
      <c r="F41"/>
      <c r="G41"/>
      <c r="H41"/>
      <c r="I41" s="272"/>
      <c r="J41"/>
    </row>
    <row r="42" spans="1:11" s="28" customFormat="1" x14ac:dyDescent="0.3">
      <c r="A42"/>
      <c r="B42"/>
      <c r="C42"/>
      <c r="D42"/>
      <c r="E42"/>
      <c r="F42"/>
      <c r="G42"/>
      <c r="H42"/>
      <c r="I42" s="272"/>
      <c r="J42"/>
    </row>
    <row r="43" spans="1:11" s="28" customFormat="1" x14ac:dyDescent="0.3">
      <c r="A43"/>
      <c r="B43"/>
      <c r="C43"/>
      <c r="D43"/>
      <c r="E43"/>
      <c r="F43"/>
      <c r="G43"/>
      <c r="H43"/>
      <c r="I43" s="272"/>
      <c r="J43"/>
      <c r="K43" s="28">
        <v>1000.3199999999999</v>
      </c>
    </row>
    <row r="44" spans="1:11" s="28" customFormat="1" x14ac:dyDescent="0.3">
      <c r="A44"/>
      <c r="B44"/>
      <c r="C44"/>
      <c r="D44"/>
      <c r="E44"/>
      <c r="F44"/>
      <c r="G44"/>
      <c r="H44"/>
      <c r="I44" s="272"/>
      <c r="J44"/>
      <c r="K44" s="28">
        <v>5000.04</v>
      </c>
    </row>
    <row r="45" spans="1:11" s="28" customFormat="1" x14ac:dyDescent="0.3">
      <c r="A45"/>
      <c r="B45"/>
      <c r="C45"/>
      <c r="D45"/>
      <c r="E45"/>
      <c r="F45"/>
      <c r="G45"/>
      <c r="H45"/>
      <c r="I45" s="272"/>
      <c r="J45"/>
      <c r="K45" s="28">
        <v>1501.2</v>
      </c>
    </row>
    <row r="46" spans="1:11" s="28" customFormat="1" x14ac:dyDescent="0.3">
      <c r="A46"/>
      <c r="B46"/>
      <c r="C46"/>
      <c r="D46"/>
      <c r="E46"/>
      <c r="F46"/>
      <c r="G46"/>
      <c r="H46"/>
      <c r="I46" s="272"/>
      <c r="J46"/>
      <c r="K46" s="28">
        <v>7099.8</v>
      </c>
    </row>
    <row r="47" spans="1:11" s="28" customFormat="1" x14ac:dyDescent="0.3">
      <c r="A47"/>
      <c r="B47"/>
      <c r="C47"/>
      <c r="D47"/>
      <c r="E47"/>
      <c r="F47"/>
      <c r="G47"/>
      <c r="H47"/>
      <c r="I47" s="272"/>
      <c r="J47"/>
    </row>
    <row r="48" spans="1:11" s="28" customFormat="1" x14ac:dyDescent="0.3">
      <c r="A48"/>
      <c r="B48"/>
      <c r="C48"/>
      <c r="D48"/>
      <c r="E48"/>
      <c r="F48"/>
      <c r="G48"/>
      <c r="H48"/>
      <c r="I48" s="272"/>
      <c r="J48"/>
    </row>
    <row r="49" spans="1:11" s="28" customFormat="1" x14ac:dyDescent="0.3">
      <c r="A49"/>
      <c r="B49"/>
      <c r="C49"/>
      <c r="D49"/>
      <c r="E49"/>
      <c r="F49"/>
      <c r="G49"/>
      <c r="H49"/>
      <c r="I49" s="272"/>
      <c r="J49"/>
      <c r="K49" s="28">
        <v>456</v>
      </c>
    </row>
    <row r="50" spans="1:11" s="28" customFormat="1" x14ac:dyDescent="0.3">
      <c r="A50"/>
      <c r="B50"/>
      <c r="C50"/>
      <c r="D50"/>
      <c r="E50"/>
      <c r="F50"/>
      <c r="G50"/>
      <c r="H50"/>
      <c r="I50" s="272"/>
      <c r="J50"/>
    </row>
    <row r="51" spans="1:11" s="28" customFormat="1" x14ac:dyDescent="0.3">
      <c r="A51"/>
      <c r="B51"/>
      <c r="C51"/>
      <c r="D51"/>
      <c r="E51"/>
      <c r="F51"/>
      <c r="G51"/>
      <c r="H51"/>
      <c r="I51" s="272"/>
      <c r="J51"/>
      <c r="K51" s="28">
        <v>840</v>
      </c>
    </row>
    <row r="52" spans="1:11" s="28" customFormat="1" x14ac:dyDescent="0.3">
      <c r="A52"/>
      <c r="B52"/>
      <c r="C52"/>
      <c r="D52"/>
      <c r="E52"/>
      <c r="F52"/>
      <c r="G52"/>
      <c r="H52"/>
      <c r="I52" s="272"/>
      <c r="J52"/>
      <c r="K52" s="28">
        <v>2436</v>
      </c>
    </row>
    <row r="53" spans="1:11" s="28" customFormat="1" x14ac:dyDescent="0.3">
      <c r="A53"/>
      <c r="B53"/>
      <c r="C53"/>
      <c r="D53"/>
      <c r="E53"/>
      <c r="F53"/>
      <c r="G53"/>
      <c r="H53"/>
      <c r="I53" s="272"/>
      <c r="J53"/>
    </row>
    <row r="54" spans="1:11" s="28" customFormat="1" x14ac:dyDescent="0.3">
      <c r="A54"/>
      <c r="B54"/>
      <c r="C54"/>
      <c r="D54"/>
      <c r="E54"/>
      <c r="F54"/>
      <c r="G54"/>
      <c r="H54"/>
      <c r="I54" s="272"/>
      <c r="J54"/>
    </row>
    <row r="55" spans="1:11" s="28" customFormat="1" x14ac:dyDescent="0.3">
      <c r="A55"/>
      <c r="B55"/>
      <c r="C55"/>
      <c r="D55"/>
      <c r="E55"/>
      <c r="F55"/>
      <c r="G55"/>
      <c r="H55"/>
      <c r="I55" s="272"/>
      <c r="J55"/>
      <c r="K55" s="28">
        <v>1500.48</v>
      </c>
    </row>
    <row r="56" spans="1:11" s="28" customFormat="1" x14ac:dyDescent="0.3">
      <c r="A56"/>
      <c r="B56"/>
      <c r="C56"/>
      <c r="D56"/>
      <c r="E56"/>
      <c r="F56"/>
      <c r="G56"/>
      <c r="H56"/>
      <c r="I56" s="272"/>
      <c r="J56"/>
    </row>
    <row r="57" spans="1:11" s="28" customFormat="1" x14ac:dyDescent="0.3">
      <c r="A57"/>
      <c r="B57"/>
      <c r="C57"/>
      <c r="D57"/>
      <c r="E57"/>
      <c r="F57"/>
      <c r="G57"/>
      <c r="H57"/>
      <c r="I57" s="272"/>
      <c r="J57"/>
      <c r="K57" s="28">
        <v>750.24</v>
      </c>
    </row>
    <row r="58" spans="1:11" s="28" customFormat="1" x14ac:dyDescent="0.3">
      <c r="A58"/>
      <c r="B58"/>
      <c r="C58"/>
      <c r="D58"/>
      <c r="E58"/>
      <c r="F58"/>
      <c r="G58"/>
      <c r="H58"/>
      <c r="I58" s="272"/>
      <c r="J58"/>
      <c r="K58" s="28">
        <v>420</v>
      </c>
    </row>
    <row r="59" spans="1:11" s="28" customFormat="1" x14ac:dyDescent="0.3">
      <c r="A59"/>
      <c r="B59"/>
      <c r="C59"/>
      <c r="D59"/>
      <c r="E59"/>
      <c r="F59"/>
      <c r="G59"/>
      <c r="H59"/>
      <c r="I59" s="272"/>
      <c r="J59"/>
    </row>
    <row r="60" spans="1:11" s="28" customFormat="1" x14ac:dyDescent="0.3">
      <c r="A60"/>
      <c r="B60"/>
      <c r="C60"/>
      <c r="D60"/>
      <c r="E60"/>
      <c r="F60"/>
      <c r="G60"/>
      <c r="H60"/>
      <c r="I60" s="272"/>
      <c r="J60"/>
      <c r="K60" s="28">
        <v>1260</v>
      </c>
    </row>
    <row r="61" spans="1:11" s="28" customFormat="1" x14ac:dyDescent="0.3">
      <c r="A61"/>
      <c r="B61"/>
      <c r="C61"/>
      <c r="D61"/>
      <c r="E61"/>
      <c r="F61"/>
      <c r="G61"/>
      <c r="H61"/>
      <c r="I61" s="272"/>
      <c r="J61"/>
    </row>
    <row r="62" spans="1:11" s="28" customFormat="1" x14ac:dyDescent="0.3">
      <c r="A62"/>
      <c r="B62"/>
      <c r="C62"/>
      <c r="D62"/>
      <c r="E62"/>
      <c r="F62"/>
      <c r="G62"/>
      <c r="H62"/>
      <c r="I62" s="272"/>
      <c r="J62"/>
      <c r="K62" s="28">
        <v>540</v>
      </c>
    </row>
    <row r="63" spans="1:11" s="28" customFormat="1" x14ac:dyDescent="0.3">
      <c r="A63"/>
      <c r="B63"/>
      <c r="C63"/>
      <c r="D63"/>
      <c r="E63"/>
      <c r="F63"/>
      <c r="G63"/>
      <c r="H63"/>
      <c r="I63" s="272"/>
      <c r="J63"/>
      <c r="K63" s="28">
        <v>4563.0360000000001</v>
      </c>
    </row>
    <row r="64" spans="1:11" s="28" customFormat="1" x14ac:dyDescent="0.3">
      <c r="A64"/>
      <c r="B64"/>
      <c r="C64"/>
      <c r="D64"/>
      <c r="E64"/>
      <c r="F64"/>
      <c r="G64"/>
      <c r="H64"/>
      <c r="I64" s="272"/>
      <c r="J64"/>
    </row>
    <row r="65" spans="1:11" s="28" customFormat="1" x14ac:dyDescent="0.3">
      <c r="A65"/>
      <c r="B65"/>
      <c r="C65"/>
      <c r="D65"/>
      <c r="E65"/>
      <c r="F65"/>
      <c r="G65"/>
      <c r="H65"/>
      <c r="I65" s="272"/>
      <c r="J65"/>
    </row>
    <row r="66" spans="1:11" s="28" customFormat="1" x14ac:dyDescent="0.3">
      <c r="A66"/>
      <c r="B66"/>
      <c r="C66"/>
      <c r="D66"/>
      <c r="E66"/>
      <c r="F66"/>
      <c r="G66"/>
      <c r="H66"/>
      <c r="I66" s="272"/>
      <c r="J66"/>
    </row>
    <row r="67" spans="1:11" s="28" customFormat="1" x14ac:dyDescent="0.3">
      <c r="A67"/>
      <c r="B67"/>
      <c r="C67"/>
      <c r="D67"/>
      <c r="E67"/>
      <c r="F67"/>
      <c r="G67"/>
      <c r="H67"/>
      <c r="I67" s="272"/>
      <c r="J67"/>
    </row>
    <row r="68" spans="1:11" s="28" customFormat="1" x14ac:dyDescent="0.3">
      <c r="A68"/>
      <c r="B68"/>
      <c r="C68"/>
      <c r="D68"/>
      <c r="E68"/>
      <c r="F68"/>
      <c r="G68"/>
      <c r="H68"/>
      <c r="I68" s="272"/>
      <c r="J68"/>
    </row>
    <row r="69" spans="1:11" s="28" customFormat="1" x14ac:dyDescent="0.3">
      <c r="A69"/>
      <c r="B69"/>
      <c r="C69"/>
      <c r="D69"/>
      <c r="E69"/>
      <c r="F69"/>
      <c r="G69"/>
      <c r="H69"/>
      <c r="I69" s="272"/>
      <c r="J69"/>
      <c r="K69" s="28">
        <v>619.999999968</v>
      </c>
    </row>
    <row r="70" spans="1:11" s="28" customFormat="1" x14ac:dyDescent="0.3">
      <c r="A70"/>
      <c r="B70"/>
      <c r="C70"/>
      <c r="D70"/>
      <c r="E70"/>
      <c r="F70"/>
      <c r="G70"/>
      <c r="H70"/>
      <c r="I70" s="272"/>
      <c r="J70"/>
      <c r="K70" s="28">
        <v>750.12</v>
      </c>
    </row>
    <row r="71" spans="1:11" s="28" customFormat="1" x14ac:dyDescent="0.3">
      <c r="A71"/>
      <c r="B71"/>
      <c r="C71"/>
      <c r="D71"/>
      <c r="E71"/>
      <c r="F71"/>
      <c r="G71"/>
      <c r="H71"/>
      <c r="I71" s="272"/>
      <c r="J71"/>
    </row>
    <row r="72" spans="1:11" s="28" customFormat="1" x14ac:dyDescent="0.3">
      <c r="A72"/>
      <c r="B72"/>
      <c r="C72"/>
      <c r="D72"/>
      <c r="E72"/>
      <c r="F72"/>
      <c r="G72"/>
      <c r="H72"/>
      <c r="I72" s="272"/>
      <c r="J72"/>
    </row>
    <row r="73" spans="1:11" s="28" customFormat="1" x14ac:dyDescent="0.3">
      <c r="A73"/>
      <c r="B73"/>
      <c r="C73"/>
      <c r="D73"/>
      <c r="E73"/>
      <c r="F73"/>
      <c r="G73"/>
      <c r="H73"/>
      <c r="I73" s="272"/>
      <c r="J73"/>
    </row>
    <row r="74" spans="1:11" s="28" customFormat="1" x14ac:dyDescent="0.3">
      <c r="A74"/>
      <c r="B74"/>
      <c r="C74"/>
      <c r="D74"/>
      <c r="E74"/>
      <c r="F74"/>
      <c r="G74"/>
      <c r="H74"/>
      <c r="I74" s="272"/>
      <c r="J74"/>
      <c r="K74" s="28">
        <v>327.37559999999996</v>
      </c>
    </row>
    <row r="75" spans="1:11" s="28" customFormat="1" x14ac:dyDescent="0.3">
      <c r="A75"/>
      <c r="B75"/>
      <c r="C75"/>
      <c r="D75"/>
      <c r="E75"/>
      <c r="F75"/>
      <c r="G75"/>
      <c r="H75"/>
      <c r="I75" s="272"/>
      <c r="J75"/>
      <c r="K75" s="28">
        <v>7599.9995999999992</v>
      </c>
    </row>
    <row r="76" spans="1:11" s="28" customFormat="1" x14ac:dyDescent="0.3">
      <c r="A76"/>
      <c r="B76"/>
      <c r="C76"/>
      <c r="D76"/>
      <c r="E76"/>
      <c r="F76"/>
      <c r="G76"/>
      <c r="H76"/>
      <c r="I76" s="272"/>
      <c r="J76"/>
      <c r="K76" s="28">
        <v>1262.4959999999999</v>
      </c>
    </row>
    <row r="77" spans="1:11" s="28" customFormat="1" x14ac:dyDescent="0.3">
      <c r="A77"/>
      <c r="B77"/>
      <c r="C77"/>
      <c r="D77"/>
      <c r="E77"/>
      <c r="F77"/>
      <c r="G77"/>
      <c r="H77"/>
      <c r="I77" s="272"/>
      <c r="J77"/>
      <c r="K77" s="28">
        <v>2592</v>
      </c>
    </row>
    <row r="78" spans="1:11" x14ac:dyDescent="0.3">
      <c r="A78"/>
      <c r="F78"/>
      <c r="G78"/>
      <c r="I78" s="272"/>
    </row>
    <row r="79" spans="1:11" s="28" customFormat="1" x14ac:dyDescent="0.3">
      <c r="A79"/>
      <c r="B79"/>
      <c r="C79"/>
      <c r="D79"/>
      <c r="E79"/>
      <c r="F79"/>
      <c r="G79"/>
      <c r="H79"/>
      <c r="I79" s="272"/>
      <c r="J79"/>
      <c r="K79" s="28">
        <v>840</v>
      </c>
    </row>
    <row r="80" spans="1:11" s="28" customFormat="1" x14ac:dyDescent="0.3">
      <c r="A80"/>
      <c r="B80"/>
      <c r="C80"/>
      <c r="D80"/>
      <c r="E80"/>
      <c r="F80"/>
      <c r="G80"/>
      <c r="H80"/>
      <c r="I80" s="272"/>
      <c r="J80"/>
    </row>
    <row r="81" spans="1:11" s="28" customFormat="1" x14ac:dyDescent="0.3">
      <c r="A81"/>
      <c r="B81"/>
      <c r="C81"/>
      <c r="D81"/>
      <c r="E81"/>
      <c r="F81"/>
      <c r="G81"/>
      <c r="H81"/>
      <c r="I81" s="272"/>
      <c r="J81"/>
      <c r="K81" s="28">
        <v>337.5</v>
      </c>
    </row>
    <row r="82" spans="1:11" s="28" customFormat="1" x14ac:dyDescent="0.3">
      <c r="A82"/>
      <c r="B82"/>
      <c r="C82"/>
      <c r="D82"/>
      <c r="E82"/>
      <c r="F82"/>
      <c r="G82"/>
      <c r="H82"/>
      <c r="I82" s="272"/>
      <c r="J82"/>
      <c r="K82" s="28">
        <v>3000</v>
      </c>
    </row>
    <row r="83" spans="1:11" s="28" customFormat="1" x14ac:dyDescent="0.3">
      <c r="A83"/>
      <c r="B83"/>
      <c r="C83"/>
      <c r="D83"/>
      <c r="E83"/>
      <c r="F83"/>
      <c r="G83"/>
      <c r="H83"/>
      <c r="I83" s="272"/>
      <c r="J83"/>
      <c r="K83" s="28">
        <v>1081.44</v>
      </c>
    </row>
    <row r="84" spans="1:11" s="28" customFormat="1" x14ac:dyDescent="0.3">
      <c r="A84"/>
      <c r="B84"/>
      <c r="C84"/>
      <c r="D84"/>
      <c r="E84"/>
      <c r="F84"/>
      <c r="G84"/>
      <c r="H84"/>
      <c r="I84" s="272"/>
      <c r="J84"/>
      <c r="K84" s="28">
        <v>2250.636</v>
      </c>
    </row>
    <row r="85" spans="1:11" x14ac:dyDescent="0.3">
      <c r="A85"/>
      <c r="F85"/>
      <c r="G85"/>
      <c r="I85" s="272"/>
    </row>
    <row r="86" spans="1:11" s="28" customFormat="1" x14ac:dyDescent="0.3">
      <c r="A86"/>
      <c r="B86"/>
      <c r="C86"/>
      <c r="D86"/>
      <c r="E86"/>
      <c r="F86"/>
      <c r="G86"/>
      <c r="H86"/>
      <c r="I86" s="272"/>
      <c r="J86"/>
      <c r="K86" s="28">
        <v>2250.636</v>
      </c>
    </row>
    <row r="87" spans="1:11" s="28" customFormat="1" x14ac:dyDescent="0.3">
      <c r="A87"/>
      <c r="B87"/>
      <c r="C87"/>
      <c r="D87"/>
      <c r="E87"/>
      <c r="F87"/>
      <c r="G87"/>
      <c r="H87"/>
      <c r="I87" s="272"/>
      <c r="J87"/>
    </row>
    <row r="88" spans="1:11" s="28" customFormat="1" x14ac:dyDescent="0.3">
      <c r="A88"/>
      <c r="B88"/>
      <c r="C88"/>
      <c r="D88"/>
      <c r="E88"/>
      <c r="F88"/>
      <c r="G88"/>
      <c r="H88"/>
      <c r="I88" s="272"/>
      <c r="J88"/>
      <c r="K88" s="28">
        <v>15303.599999999999</v>
      </c>
    </row>
    <row r="89" spans="1:11" s="28" customFormat="1" x14ac:dyDescent="0.3">
      <c r="A89"/>
      <c r="B89"/>
      <c r="C89"/>
      <c r="D89"/>
      <c r="E89"/>
      <c r="F89"/>
      <c r="G89"/>
      <c r="H89"/>
      <c r="I89" s="272"/>
      <c r="J89"/>
    </row>
    <row r="90" spans="1:11" s="28" customFormat="1" x14ac:dyDescent="0.3">
      <c r="A90"/>
      <c r="B90"/>
      <c r="C90"/>
      <c r="D90"/>
      <c r="E90"/>
      <c r="F90"/>
      <c r="G90"/>
      <c r="H90"/>
      <c r="I90" s="272"/>
      <c r="J90"/>
      <c r="K90" s="28">
        <v>10708.199999879998</v>
      </c>
    </row>
    <row r="91" spans="1:11" s="28" customFormat="1" x14ac:dyDescent="0.3">
      <c r="A91"/>
      <c r="B91"/>
      <c r="C91"/>
      <c r="D91"/>
      <c r="E91"/>
      <c r="F91"/>
      <c r="G91"/>
      <c r="H91"/>
      <c r="I91" s="272"/>
      <c r="J91"/>
    </row>
    <row r="92" spans="1:11" s="28" customFormat="1" x14ac:dyDescent="0.3">
      <c r="A92"/>
      <c r="B92"/>
      <c r="C92"/>
      <c r="D92"/>
      <c r="E92"/>
      <c r="F92"/>
      <c r="G92"/>
      <c r="H92"/>
      <c r="I92" s="272"/>
      <c r="J92"/>
      <c r="K92" s="28">
        <v>7650</v>
      </c>
    </row>
    <row r="93" spans="1:11" s="28" customFormat="1" x14ac:dyDescent="0.3">
      <c r="A93"/>
      <c r="B93"/>
      <c r="C93"/>
      <c r="D93"/>
      <c r="E93"/>
      <c r="F93"/>
      <c r="G93"/>
      <c r="H93"/>
      <c r="I93" s="272"/>
      <c r="J93"/>
      <c r="K93" s="28">
        <v>949.99999999199997</v>
      </c>
    </row>
    <row r="94" spans="1:11" s="28" customFormat="1" x14ac:dyDescent="0.3">
      <c r="A94"/>
      <c r="B94"/>
      <c r="C94"/>
      <c r="D94"/>
      <c r="E94"/>
      <c r="F94"/>
      <c r="G94"/>
      <c r="H94"/>
      <c r="I94" s="272"/>
      <c r="J94"/>
      <c r="K94" s="28">
        <v>18000</v>
      </c>
    </row>
    <row r="95" spans="1:11" s="28" customFormat="1" x14ac:dyDescent="0.3">
      <c r="A95"/>
      <c r="B95"/>
      <c r="C95"/>
      <c r="D95"/>
      <c r="E95"/>
      <c r="F95"/>
      <c r="G95"/>
      <c r="H95"/>
      <c r="I95" s="272"/>
      <c r="J95"/>
      <c r="K95" s="28">
        <v>759.99999960000002</v>
      </c>
    </row>
    <row r="96" spans="1:11" s="28" customFormat="1" x14ac:dyDescent="0.3">
      <c r="A96"/>
      <c r="B96"/>
      <c r="C96"/>
      <c r="D96"/>
      <c r="E96"/>
      <c r="F96"/>
      <c r="G96"/>
      <c r="H96"/>
      <c r="I96" s="272"/>
      <c r="J96"/>
      <c r="K96" s="28">
        <v>4320</v>
      </c>
    </row>
    <row r="97" spans="1:11" s="28" customFormat="1" x14ac:dyDescent="0.3">
      <c r="A97"/>
      <c r="B97"/>
      <c r="C97"/>
      <c r="D97"/>
      <c r="E97"/>
      <c r="F97"/>
      <c r="G97"/>
      <c r="H97"/>
      <c r="I97" s="272"/>
      <c r="J97"/>
    </row>
    <row r="98" spans="1:11" s="28" customFormat="1" x14ac:dyDescent="0.3">
      <c r="A98"/>
      <c r="B98"/>
      <c r="C98"/>
      <c r="D98"/>
      <c r="E98"/>
      <c r="F98"/>
      <c r="G98"/>
      <c r="H98"/>
      <c r="I98" s="272"/>
      <c r="J98"/>
      <c r="K98" s="28">
        <v>5724</v>
      </c>
    </row>
    <row r="99" spans="1:11" s="28" customFormat="1" x14ac:dyDescent="0.3">
      <c r="A99"/>
      <c r="B99"/>
      <c r="C99"/>
      <c r="D99"/>
      <c r="E99"/>
      <c r="F99"/>
      <c r="G99"/>
      <c r="H99"/>
      <c r="I99" s="272"/>
      <c r="J99"/>
      <c r="K99" s="28">
        <v>4563.0360000000001</v>
      </c>
    </row>
    <row r="100" spans="1:11" s="28" customFormat="1" x14ac:dyDescent="0.3">
      <c r="A100"/>
      <c r="B100"/>
      <c r="C100"/>
      <c r="D100"/>
      <c r="E100"/>
      <c r="F100"/>
      <c r="G100"/>
      <c r="H100"/>
      <c r="I100" s="272"/>
      <c r="J100"/>
      <c r="K100" s="28">
        <v>6360</v>
      </c>
    </row>
    <row r="101" spans="1:11" s="28" customFormat="1" x14ac:dyDescent="0.3">
      <c r="A101"/>
      <c r="B101"/>
      <c r="C101"/>
      <c r="D101"/>
      <c r="E101"/>
      <c r="F101"/>
      <c r="G101"/>
      <c r="H101"/>
      <c r="I101" s="272"/>
      <c r="J101"/>
    </row>
    <row r="102" spans="1:11" s="28" customFormat="1" x14ac:dyDescent="0.3">
      <c r="A102"/>
      <c r="B102"/>
      <c r="C102"/>
      <c r="D102"/>
      <c r="E102"/>
      <c r="F102"/>
      <c r="G102"/>
      <c r="H102"/>
      <c r="I102" s="272"/>
      <c r="J102"/>
      <c r="K102" s="28">
        <v>3294</v>
      </c>
    </row>
    <row r="103" spans="1:11" s="28" customFormat="1" x14ac:dyDescent="0.3">
      <c r="A103"/>
      <c r="B103"/>
      <c r="C103"/>
      <c r="D103"/>
      <c r="E103"/>
      <c r="F103"/>
      <c r="G103"/>
      <c r="H103"/>
      <c r="I103" s="272"/>
      <c r="J103"/>
    </row>
    <row r="104" spans="1:11" s="28" customFormat="1" x14ac:dyDescent="0.3">
      <c r="A104"/>
      <c r="B104"/>
      <c r="C104"/>
      <c r="D104"/>
      <c r="E104"/>
      <c r="F104"/>
      <c r="G104"/>
      <c r="H104"/>
      <c r="I104" s="272"/>
      <c r="J104"/>
    </row>
    <row r="105" spans="1:11" s="28" customFormat="1" x14ac:dyDescent="0.3">
      <c r="A105"/>
      <c r="B105"/>
      <c r="C105"/>
      <c r="D105"/>
      <c r="E105"/>
      <c r="F105"/>
      <c r="G105"/>
      <c r="H105"/>
      <c r="I105" s="272"/>
      <c r="J105"/>
    </row>
    <row r="106" spans="1:11" s="28" customFormat="1" x14ac:dyDescent="0.3">
      <c r="A106"/>
      <c r="B106"/>
      <c r="C106"/>
      <c r="D106"/>
      <c r="E106"/>
      <c r="F106"/>
      <c r="G106"/>
      <c r="H106"/>
      <c r="I106" s="272"/>
      <c r="J106"/>
      <c r="K106" s="28">
        <v>750.12</v>
      </c>
    </row>
    <row r="107" spans="1:11" s="28" customFormat="1" x14ac:dyDescent="0.3">
      <c r="A107"/>
      <c r="B107"/>
      <c r="C107"/>
      <c r="D107"/>
      <c r="E107"/>
      <c r="F107"/>
      <c r="G107"/>
      <c r="H107"/>
      <c r="I107" s="272"/>
      <c r="J107"/>
      <c r="K107" s="28">
        <v>7579.2</v>
      </c>
    </row>
    <row r="108" spans="1:11" s="28" customFormat="1" x14ac:dyDescent="0.3">
      <c r="A108"/>
      <c r="B108"/>
      <c r="C108"/>
      <c r="D108"/>
      <c r="E108"/>
      <c r="F108"/>
      <c r="G108"/>
      <c r="H108"/>
      <c r="I108" s="272"/>
      <c r="J108"/>
    </row>
    <row r="109" spans="1:11" s="28" customFormat="1" x14ac:dyDescent="0.3">
      <c r="A109"/>
      <c r="B109"/>
      <c r="C109"/>
      <c r="D109"/>
      <c r="E109"/>
      <c r="F109"/>
      <c r="G109"/>
      <c r="H109"/>
      <c r="I109" s="272"/>
      <c r="J109"/>
    </row>
    <row r="110" spans="1:11" s="28" customFormat="1" x14ac:dyDescent="0.3">
      <c r="A110"/>
      <c r="B110"/>
      <c r="C110"/>
      <c r="D110"/>
      <c r="E110"/>
      <c r="F110"/>
      <c r="G110"/>
      <c r="H110"/>
      <c r="I110" s="272"/>
      <c r="J110"/>
    </row>
    <row r="111" spans="1:11" x14ac:dyDescent="0.3">
      <c r="A111"/>
      <c r="F111"/>
      <c r="G111"/>
      <c r="I111" s="272"/>
      <c r="K111">
        <v>840</v>
      </c>
    </row>
    <row r="112" spans="1:11" s="28" customFormat="1" x14ac:dyDescent="0.3">
      <c r="A112"/>
      <c r="B112"/>
      <c r="C112"/>
      <c r="D112"/>
      <c r="E112"/>
      <c r="F112"/>
      <c r="G112"/>
      <c r="H112"/>
      <c r="I112" s="272"/>
      <c r="J112"/>
      <c r="K112" s="28">
        <v>10716</v>
      </c>
    </row>
    <row r="113" spans="1:11" s="28" customFormat="1" x14ac:dyDescent="0.3">
      <c r="A113"/>
      <c r="B113"/>
      <c r="C113"/>
      <c r="D113"/>
      <c r="E113"/>
      <c r="F113"/>
      <c r="G113"/>
      <c r="H113"/>
      <c r="I113" s="272"/>
      <c r="J113"/>
    </row>
    <row r="114" spans="1:11" s="28" customFormat="1" x14ac:dyDescent="0.3">
      <c r="A114"/>
      <c r="B114"/>
      <c r="C114"/>
      <c r="D114"/>
      <c r="E114"/>
      <c r="F114"/>
      <c r="G114"/>
      <c r="H114"/>
      <c r="I114" s="272"/>
      <c r="J114"/>
    </row>
    <row r="115" spans="1:11" x14ac:dyDescent="0.3">
      <c r="A115"/>
      <c r="F115"/>
      <c r="G115"/>
      <c r="I115" s="272"/>
      <c r="K115">
        <v>6540</v>
      </c>
    </row>
    <row r="116" spans="1:11" s="28" customFormat="1" x14ac:dyDescent="0.3">
      <c r="A116"/>
      <c r="B116"/>
      <c r="C116"/>
      <c r="D116"/>
      <c r="E116"/>
      <c r="F116"/>
      <c r="G116"/>
      <c r="H116"/>
      <c r="I116" s="272"/>
      <c r="J116"/>
      <c r="K116" s="28">
        <v>189.99999996</v>
      </c>
    </row>
    <row r="117" spans="1:11" x14ac:dyDescent="0.3">
      <c r="A117"/>
      <c r="F117"/>
      <c r="G117"/>
      <c r="I117" s="272"/>
      <c r="K117">
        <v>624</v>
      </c>
    </row>
    <row r="118" spans="1:11" s="28" customFormat="1" x14ac:dyDescent="0.3">
      <c r="A118"/>
      <c r="B118"/>
      <c r="C118"/>
      <c r="D118"/>
      <c r="E118"/>
      <c r="F118"/>
      <c r="G118"/>
      <c r="H118"/>
      <c r="I118" s="272"/>
      <c r="J118"/>
      <c r="K118" s="28">
        <v>189.99999996</v>
      </c>
    </row>
    <row r="119" spans="1:11" x14ac:dyDescent="0.3">
      <c r="A119"/>
      <c r="F119"/>
      <c r="G119"/>
      <c r="I119" s="272"/>
      <c r="K119">
        <v>840</v>
      </c>
    </row>
    <row r="120" spans="1:11" s="28" customFormat="1" x14ac:dyDescent="0.3">
      <c r="A120"/>
      <c r="B120"/>
      <c r="C120"/>
      <c r="D120"/>
      <c r="E120"/>
      <c r="F120"/>
      <c r="G120"/>
      <c r="H120"/>
      <c r="I120" s="272"/>
      <c r="J120"/>
      <c r="K120" s="28">
        <v>950.00000003999992</v>
      </c>
    </row>
    <row r="121" spans="1:11" x14ac:dyDescent="0.3">
      <c r="A121"/>
      <c r="F121"/>
      <c r="G121"/>
      <c r="I121" s="272"/>
    </row>
    <row r="122" spans="1:11" s="28" customFormat="1" x14ac:dyDescent="0.3">
      <c r="A122"/>
      <c r="B122"/>
      <c r="C122"/>
      <c r="D122"/>
      <c r="E122"/>
      <c r="F122"/>
      <c r="G122"/>
      <c r="H122"/>
      <c r="I122" s="272"/>
      <c r="J122"/>
      <c r="K122" s="28">
        <v>493.99999999847995</v>
      </c>
    </row>
    <row r="123" spans="1:11" x14ac:dyDescent="0.3">
      <c r="A123"/>
      <c r="F123"/>
      <c r="G123"/>
      <c r="I123" s="272"/>
    </row>
    <row r="124" spans="1:11" s="28" customFormat="1" x14ac:dyDescent="0.3">
      <c r="A124"/>
      <c r="B124"/>
      <c r="C124"/>
      <c r="D124"/>
      <c r="E124"/>
      <c r="F124"/>
      <c r="G124"/>
      <c r="H124"/>
      <c r="I124" s="272"/>
      <c r="J124"/>
      <c r="K124" s="28">
        <v>840</v>
      </c>
    </row>
    <row r="125" spans="1:11" s="28" customFormat="1" x14ac:dyDescent="0.3">
      <c r="A125"/>
      <c r="B125"/>
      <c r="C125"/>
      <c r="D125"/>
      <c r="E125"/>
      <c r="F125"/>
      <c r="G125"/>
      <c r="H125"/>
      <c r="I125" s="272"/>
      <c r="J125"/>
    </row>
    <row r="126" spans="1:11" x14ac:dyDescent="0.3">
      <c r="A126"/>
      <c r="F126"/>
      <c r="G126"/>
      <c r="I126" s="272"/>
    </row>
    <row r="127" spans="1:11" s="28" customFormat="1" x14ac:dyDescent="0.3">
      <c r="A127"/>
      <c r="B127"/>
      <c r="C127"/>
      <c r="D127"/>
      <c r="E127"/>
      <c r="F127"/>
      <c r="G127"/>
      <c r="H127"/>
      <c r="I127" s="272"/>
      <c r="J127"/>
      <c r="K127" s="28">
        <v>189.99999996</v>
      </c>
    </row>
    <row r="128" spans="1:11" x14ac:dyDescent="0.3">
      <c r="A128"/>
      <c r="F128"/>
      <c r="G128"/>
      <c r="I128" s="272"/>
      <c r="K128">
        <v>9920.4240000000009</v>
      </c>
    </row>
    <row r="129" spans="1:11" s="28" customFormat="1" x14ac:dyDescent="0.3">
      <c r="A129"/>
      <c r="B129"/>
      <c r="C129"/>
      <c r="D129"/>
      <c r="E129"/>
      <c r="F129"/>
      <c r="G129"/>
      <c r="H129"/>
      <c r="I129" s="272"/>
      <c r="J129"/>
      <c r="K129" s="28">
        <v>950.00000003999992</v>
      </c>
    </row>
    <row r="130" spans="1:11" x14ac:dyDescent="0.3">
      <c r="A130"/>
      <c r="F130"/>
      <c r="G130"/>
      <c r="I130" s="272"/>
    </row>
    <row r="131" spans="1:11" s="28" customFormat="1" x14ac:dyDescent="0.3">
      <c r="A131"/>
      <c r="B131"/>
      <c r="C131"/>
      <c r="D131"/>
      <c r="E131"/>
      <c r="F131"/>
      <c r="G131"/>
      <c r="H131"/>
      <c r="I131" s="272"/>
      <c r="J131"/>
      <c r="K131" s="28">
        <v>1891.5</v>
      </c>
    </row>
    <row r="132" spans="1:11" x14ac:dyDescent="0.3">
      <c r="A132"/>
      <c r="F132"/>
      <c r="G132"/>
      <c r="I132" s="272"/>
      <c r="K132">
        <v>11298</v>
      </c>
    </row>
    <row r="133" spans="1:11" s="28" customFormat="1" x14ac:dyDescent="0.3">
      <c r="A133"/>
      <c r="B133"/>
      <c r="C133"/>
      <c r="D133"/>
      <c r="E133"/>
      <c r="F133"/>
      <c r="G133"/>
      <c r="H133"/>
      <c r="I133" s="272"/>
      <c r="J133"/>
      <c r="K133" s="28">
        <v>540</v>
      </c>
    </row>
    <row r="134" spans="1:11" x14ac:dyDescent="0.3">
      <c r="A134"/>
      <c r="F134"/>
      <c r="G134"/>
      <c r="I134" s="272"/>
      <c r="K134">
        <v>761.49599999999998</v>
      </c>
    </row>
    <row r="135" spans="1:11" s="28" customFormat="1" x14ac:dyDescent="0.3">
      <c r="A135"/>
      <c r="B135"/>
      <c r="C135"/>
      <c r="D135"/>
      <c r="E135"/>
      <c r="F135"/>
      <c r="G135"/>
      <c r="H135"/>
      <c r="I135" s="272"/>
      <c r="J135"/>
      <c r="K135" s="28">
        <v>540</v>
      </c>
    </row>
    <row r="136" spans="1:11" x14ac:dyDescent="0.3">
      <c r="A136"/>
      <c r="F136"/>
      <c r="G136"/>
      <c r="I136" s="272"/>
    </row>
    <row r="137" spans="1:11" s="28" customFormat="1" x14ac:dyDescent="0.3">
      <c r="A137"/>
      <c r="B137"/>
      <c r="C137"/>
      <c r="D137"/>
      <c r="E137"/>
      <c r="F137"/>
      <c r="G137"/>
      <c r="H137"/>
      <c r="I137" s="272"/>
      <c r="J137"/>
      <c r="K137" s="28">
        <v>3964.9999999999995</v>
      </c>
    </row>
    <row r="138" spans="1:11" x14ac:dyDescent="0.3">
      <c r="A138"/>
      <c r="F138"/>
      <c r="G138"/>
      <c r="I138" s="272"/>
      <c r="K138">
        <v>1869.9999995999999</v>
      </c>
    </row>
    <row r="139" spans="1:11" s="28" customFormat="1" x14ac:dyDescent="0.3">
      <c r="A139"/>
      <c r="B139"/>
      <c r="C139"/>
      <c r="D139"/>
      <c r="E139"/>
      <c r="F139"/>
      <c r="G139"/>
      <c r="H139"/>
      <c r="I139" s="272"/>
      <c r="J139"/>
      <c r="K139" s="28">
        <v>688.75</v>
      </c>
    </row>
    <row r="140" spans="1:11" x14ac:dyDescent="0.3">
      <c r="A140"/>
      <c r="F140"/>
      <c r="G140"/>
      <c r="I140" s="272"/>
      <c r="K140">
        <v>2707.5</v>
      </c>
    </row>
    <row r="141" spans="1:11" s="28" customFormat="1" x14ac:dyDescent="0.3">
      <c r="A141"/>
      <c r="B141"/>
      <c r="C141"/>
      <c r="D141"/>
      <c r="E141"/>
      <c r="F141"/>
      <c r="G141"/>
      <c r="H141"/>
      <c r="I141" s="272"/>
      <c r="J141"/>
      <c r="K141" s="28">
        <v>7566</v>
      </c>
    </row>
    <row r="142" spans="1:11" x14ac:dyDescent="0.3">
      <c r="A142"/>
      <c r="F142"/>
      <c r="G142"/>
      <c r="I142" s="272"/>
      <c r="K142">
        <v>350.00000000099999</v>
      </c>
    </row>
    <row r="143" spans="1:11" x14ac:dyDescent="0.3">
      <c r="A143"/>
      <c r="F143"/>
      <c r="G143"/>
      <c r="I143" s="272"/>
    </row>
    <row r="144" spans="1:11" x14ac:dyDescent="0.3">
      <c r="A144"/>
      <c r="F144"/>
      <c r="G144"/>
      <c r="I144" s="272"/>
      <c r="K144">
        <v>1989.9999959999998</v>
      </c>
    </row>
    <row r="145" spans="1:11" x14ac:dyDescent="0.3">
      <c r="A145"/>
      <c r="F145"/>
      <c r="G145"/>
      <c r="I145" s="272"/>
      <c r="K145">
        <v>585</v>
      </c>
    </row>
    <row r="146" spans="1:11" x14ac:dyDescent="0.3">
      <c r="A146"/>
      <c r="F146"/>
      <c r="G146"/>
      <c r="I146" s="272"/>
      <c r="K146">
        <v>1746</v>
      </c>
    </row>
    <row r="147" spans="1:11" x14ac:dyDescent="0.3">
      <c r="A147"/>
      <c r="F147"/>
      <c r="G147"/>
      <c r="I147" s="272"/>
      <c r="K147">
        <v>1059.9999995999999</v>
      </c>
    </row>
    <row r="148" spans="1:11" x14ac:dyDescent="0.3">
      <c r="A148"/>
      <c r="F148"/>
      <c r="G148"/>
      <c r="I148" s="272"/>
    </row>
    <row r="149" spans="1:11" x14ac:dyDescent="0.3">
      <c r="A149"/>
      <c r="F149"/>
      <c r="G149"/>
      <c r="I149" s="272"/>
      <c r="K149">
        <v>324.99599999999998</v>
      </c>
    </row>
    <row r="150" spans="1:11" x14ac:dyDescent="0.3">
      <c r="A150"/>
      <c r="F150"/>
      <c r="G150"/>
      <c r="I150" s="272"/>
      <c r="K150">
        <v>4320</v>
      </c>
    </row>
    <row r="151" spans="1:11" x14ac:dyDescent="0.3">
      <c r="A151"/>
      <c r="F151"/>
      <c r="G151"/>
      <c r="I151" s="272"/>
      <c r="K151">
        <v>3612</v>
      </c>
    </row>
    <row r="152" spans="1:11" x14ac:dyDescent="0.3">
      <c r="A152"/>
      <c r="F152"/>
      <c r="G152"/>
      <c r="I152" s="272"/>
    </row>
    <row r="153" spans="1:11" x14ac:dyDescent="0.3">
      <c r="A153"/>
      <c r="F153"/>
      <c r="G153"/>
      <c r="I153" s="272"/>
      <c r="K153">
        <v>852</v>
      </c>
    </row>
    <row r="154" spans="1:11" x14ac:dyDescent="0.3">
      <c r="A154"/>
      <c r="F154"/>
      <c r="G154"/>
      <c r="I154" s="272"/>
    </row>
    <row r="155" spans="1:11" x14ac:dyDescent="0.3">
      <c r="A155"/>
      <c r="F155"/>
      <c r="G155"/>
      <c r="I155" s="272"/>
      <c r="K155">
        <v>420</v>
      </c>
    </row>
    <row r="156" spans="1:11" x14ac:dyDescent="0.3">
      <c r="A156"/>
      <c r="F156"/>
      <c r="G156"/>
      <c r="I156" s="272"/>
      <c r="K156">
        <v>31376.171999999999</v>
      </c>
    </row>
    <row r="157" spans="1:11" x14ac:dyDescent="0.3">
      <c r="A157"/>
      <c r="F157"/>
      <c r="G157"/>
      <c r="I157" s="272"/>
    </row>
    <row r="158" spans="1:11" x14ac:dyDescent="0.3">
      <c r="A158"/>
      <c r="F158"/>
      <c r="G158"/>
      <c r="I158" s="272"/>
    </row>
    <row r="159" spans="1:11" x14ac:dyDescent="0.3">
      <c r="A159"/>
      <c r="F159"/>
      <c r="G159"/>
      <c r="I159" s="272"/>
    </row>
    <row r="160" spans="1:11" x14ac:dyDescent="0.3">
      <c r="A160"/>
      <c r="F160"/>
      <c r="G160"/>
      <c r="I160" s="272"/>
    </row>
    <row r="161" spans="1:11" x14ac:dyDescent="0.3">
      <c r="A161"/>
      <c r="F161"/>
      <c r="G161"/>
      <c r="I161" s="272"/>
    </row>
    <row r="162" spans="1:11" x14ac:dyDescent="0.3">
      <c r="A162"/>
      <c r="F162"/>
      <c r="G162"/>
      <c r="I162" s="272"/>
    </row>
    <row r="163" spans="1:11" x14ac:dyDescent="0.3">
      <c r="A163"/>
      <c r="F163"/>
      <c r="G163"/>
      <c r="I163" s="272"/>
    </row>
    <row r="164" spans="1:11" x14ac:dyDescent="0.3">
      <c r="A164"/>
      <c r="F164"/>
      <c r="G164"/>
      <c r="I164" s="272"/>
    </row>
    <row r="165" spans="1:11" x14ac:dyDescent="0.3">
      <c r="A165"/>
      <c r="F165"/>
      <c r="G165"/>
      <c r="I165" s="272"/>
    </row>
    <row r="166" spans="1:11" x14ac:dyDescent="0.3">
      <c r="A166"/>
      <c r="F166"/>
      <c r="G166"/>
      <c r="I166" s="272"/>
      <c r="K166">
        <v>8070</v>
      </c>
    </row>
    <row r="167" spans="1:11" x14ac:dyDescent="0.3">
      <c r="A167"/>
      <c r="F167"/>
      <c r="G167"/>
      <c r="I167" s="272"/>
      <c r="K167">
        <v>1260</v>
      </c>
    </row>
    <row r="168" spans="1:11" x14ac:dyDescent="0.3">
      <c r="A168"/>
      <c r="F168"/>
      <c r="G168"/>
      <c r="I168" s="272"/>
    </row>
    <row r="169" spans="1:11" x14ac:dyDescent="0.3">
      <c r="A169"/>
      <c r="F169"/>
      <c r="G169"/>
      <c r="I169" s="272"/>
      <c r="K169">
        <v>384</v>
      </c>
    </row>
    <row r="170" spans="1:11" x14ac:dyDescent="0.3">
      <c r="A170"/>
      <c r="F170"/>
      <c r="G170"/>
      <c r="I170" s="272"/>
      <c r="K170">
        <v>4563.0360000000001</v>
      </c>
    </row>
    <row r="171" spans="1:11" x14ac:dyDescent="0.3">
      <c r="A171"/>
      <c r="F171"/>
      <c r="G171"/>
      <c r="I171" s="272"/>
    </row>
    <row r="172" spans="1:11" x14ac:dyDescent="0.3">
      <c r="A172"/>
      <c r="F172"/>
      <c r="G172"/>
      <c r="I172" s="272"/>
    </row>
    <row r="173" spans="1:11" x14ac:dyDescent="0.3">
      <c r="A173"/>
      <c r="F173"/>
      <c r="G173"/>
      <c r="I173" s="272"/>
    </row>
    <row r="174" spans="1:11" x14ac:dyDescent="0.3">
      <c r="A174"/>
      <c r="F174"/>
      <c r="G174"/>
      <c r="I174" s="272"/>
    </row>
    <row r="175" spans="1:11" x14ac:dyDescent="0.3">
      <c r="A175"/>
      <c r="F175"/>
      <c r="G175"/>
      <c r="I175" s="272"/>
    </row>
    <row r="176" spans="1:11" x14ac:dyDescent="0.3">
      <c r="A176"/>
      <c r="F176"/>
      <c r="G176"/>
      <c r="I176" s="272"/>
      <c r="K176">
        <v>750.12</v>
      </c>
    </row>
    <row r="177" spans="1:11" x14ac:dyDescent="0.3">
      <c r="A177"/>
      <c r="F177"/>
      <c r="G177"/>
      <c r="I177" s="272"/>
    </row>
    <row r="178" spans="1:11" x14ac:dyDescent="0.3">
      <c r="A178"/>
      <c r="F178"/>
      <c r="G178"/>
      <c r="I178" s="272"/>
    </row>
    <row r="179" spans="1:11" x14ac:dyDescent="0.3">
      <c r="A179"/>
      <c r="F179"/>
      <c r="G179"/>
      <c r="I179" s="272"/>
    </row>
    <row r="180" spans="1:11" x14ac:dyDescent="0.3">
      <c r="A180"/>
      <c r="F180"/>
      <c r="G180"/>
      <c r="I180" s="272"/>
      <c r="K180">
        <v>4800</v>
      </c>
    </row>
    <row r="181" spans="1:11" x14ac:dyDescent="0.3">
      <c r="A181"/>
      <c r="F181"/>
      <c r="G181"/>
      <c r="I181" s="272"/>
      <c r="K181">
        <v>10975.199999999999</v>
      </c>
    </row>
    <row r="182" spans="1:11" x14ac:dyDescent="0.3">
      <c r="A182"/>
      <c r="F182"/>
      <c r="G182"/>
      <c r="I182" s="272"/>
      <c r="K182">
        <v>1627.2</v>
      </c>
    </row>
    <row r="183" spans="1:11" x14ac:dyDescent="0.3">
      <c r="A183"/>
      <c r="F183"/>
      <c r="G183"/>
      <c r="I183" s="272"/>
      <c r="K183">
        <v>249.99959999999999</v>
      </c>
    </row>
    <row r="184" spans="1:11" x14ac:dyDescent="0.3">
      <c r="A184"/>
      <c r="F184"/>
      <c r="G184"/>
      <c r="I184" s="272"/>
      <c r="K184">
        <v>1200</v>
      </c>
    </row>
    <row r="185" spans="1:11" x14ac:dyDescent="0.3">
      <c r="A185"/>
      <c r="F185"/>
      <c r="G185"/>
      <c r="I185" s="272"/>
    </row>
    <row r="186" spans="1:11" x14ac:dyDescent="0.3">
      <c r="A186"/>
      <c r="F186"/>
      <c r="G186"/>
      <c r="I186" s="272"/>
      <c r="K186">
        <v>541.43999999999994</v>
      </c>
    </row>
    <row r="187" spans="1:11" x14ac:dyDescent="0.3">
      <c r="A187"/>
      <c r="F187"/>
      <c r="G187"/>
      <c r="I187" s="272"/>
      <c r="K187">
        <v>887.84039999999993</v>
      </c>
    </row>
    <row r="188" spans="1:11" x14ac:dyDescent="0.3">
      <c r="A188"/>
      <c r="F188"/>
      <c r="G188"/>
      <c r="I188" s="272"/>
    </row>
    <row r="189" spans="1:11" x14ac:dyDescent="0.3">
      <c r="A189"/>
      <c r="F189"/>
      <c r="G189"/>
      <c r="I189" s="272"/>
      <c r="K189">
        <v>541.43999999999994</v>
      </c>
    </row>
    <row r="190" spans="1:11" x14ac:dyDescent="0.3">
      <c r="A190"/>
      <c r="F190"/>
      <c r="G190"/>
      <c r="I190" s="272"/>
      <c r="K190">
        <v>327.37559999999996</v>
      </c>
    </row>
    <row r="191" spans="1:11" x14ac:dyDescent="0.3">
      <c r="A191"/>
      <c r="F191"/>
      <c r="G191"/>
      <c r="I191" s="272"/>
    </row>
    <row r="192" spans="1:11" x14ac:dyDescent="0.3">
      <c r="A192"/>
      <c r="F192"/>
      <c r="G192"/>
      <c r="I192" s="272"/>
    </row>
    <row r="193" spans="1:9" x14ac:dyDescent="0.3">
      <c r="A193"/>
      <c r="F193"/>
      <c r="G193"/>
      <c r="I193" s="272"/>
    </row>
    <row r="194" spans="1:9" x14ac:dyDescent="0.3">
      <c r="A194"/>
      <c r="F194"/>
      <c r="G194"/>
      <c r="I194" s="272"/>
    </row>
    <row r="195" spans="1:9" x14ac:dyDescent="0.3">
      <c r="A195"/>
      <c r="F195"/>
      <c r="G195"/>
      <c r="I195" s="272"/>
    </row>
    <row r="196" spans="1:9" x14ac:dyDescent="0.3">
      <c r="A196"/>
      <c r="F196"/>
      <c r="G196"/>
      <c r="I196" s="272"/>
    </row>
    <row r="197" spans="1:9" x14ac:dyDescent="0.3">
      <c r="A197"/>
      <c r="F197"/>
      <c r="G197"/>
      <c r="I197" s="272"/>
    </row>
    <row r="198" spans="1:9" x14ac:dyDescent="0.3">
      <c r="A198"/>
      <c r="F198"/>
      <c r="G198"/>
      <c r="I198" s="272"/>
    </row>
    <row r="199" spans="1:9" x14ac:dyDescent="0.3">
      <c r="A199"/>
      <c r="F199"/>
      <c r="G199"/>
      <c r="I199" s="272"/>
    </row>
    <row r="200" spans="1:9" x14ac:dyDescent="0.3">
      <c r="A200"/>
      <c r="F200"/>
      <c r="G200"/>
      <c r="I200" s="272"/>
    </row>
    <row r="201" spans="1:9" x14ac:dyDescent="0.3">
      <c r="A201"/>
      <c r="F201"/>
      <c r="G201"/>
      <c r="I201" s="272"/>
    </row>
    <row r="202" spans="1:9" x14ac:dyDescent="0.3">
      <c r="A202"/>
      <c r="F202"/>
      <c r="G202"/>
      <c r="I202" s="272"/>
    </row>
    <row r="203" spans="1:9" x14ac:dyDescent="0.3">
      <c r="A203"/>
      <c r="F203"/>
      <c r="G203"/>
      <c r="I203" s="272"/>
    </row>
    <row r="204" spans="1:9" x14ac:dyDescent="0.3">
      <c r="A204"/>
      <c r="F204"/>
      <c r="G204"/>
      <c r="I204" s="272"/>
    </row>
    <row r="205" spans="1:9" x14ac:dyDescent="0.3">
      <c r="A205"/>
      <c r="F205"/>
      <c r="G205"/>
      <c r="I205" s="272"/>
    </row>
    <row r="206" spans="1:9" x14ac:dyDescent="0.3">
      <c r="A206"/>
      <c r="F206"/>
      <c r="G206"/>
      <c r="I206" s="272"/>
    </row>
    <row r="207" spans="1:9" x14ac:dyDescent="0.3">
      <c r="A207"/>
      <c r="F207"/>
      <c r="G207"/>
      <c r="I207" s="272"/>
    </row>
    <row r="208" spans="1:9" x14ac:dyDescent="0.3">
      <c r="A208"/>
      <c r="F208"/>
      <c r="G208"/>
      <c r="I208" s="272"/>
    </row>
    <row r="209" spans="1:9" x14ac:dyDescent="0.3">
      <c r="A209"/>
      <c r="F209"/>
      <c r="G209"/>
      <c r="I209" s="272"/>
    </row>
    <row r="210" spans="1:9" x14ac:dyDescent="0.3">
      <c r="A210"/>
      <c r="F210"/>
      <c r="G210"/>
      <c r="I210" s="272"/>
    </row>
    <row r="211" spans="1:9" x14ac:dyDescent="0.3">
      <c r="A211"/>
      <c r="F211"/>
      <c r="G211"/>
      <c r="I211" s="272"/>
    </row>
    <row r="212" spans="1:9" x14ac:dyDescent="0.3">
      <c r="A212"/>
      <c r="F212"/>
      <c r="G212"/>
      <c r="I212" s="272"/>
    </row>
    <row r="213" spans="1:9" x14ac:dyDescent="0.3">
      <c r="A213"/>
      <c r="F213"/>
      <c r="G213"/>
      <c r="I213" s="272"/>
    </row>
    <row r="214" spans="1:9" x14ac:dyDescent="0.3">
      <c r="A214"/>
      <c r="F214"/>
      <c r="G214"/>
      <c r="I214" s="272"/>
    </row>
    <row r="215" spans="1:9" x14ac:dyDescent="0.3">
      <c r="A215"/>
      <c r="F215"/>
      <c r="G215"/>
      <c r="I215" s="272"/>
    </row>
    <row r="216" spans="1:9" x14ac:dyDescent="0.3">
      <c r="A216"/>
      <c r="F216"/>
      <c r="G216"/>
      <c r="I216" s="272"/>
    </row>
    <row r="217" spans="1:9" x14ac:dyDescent="0.3">
      <c r="A217"/>
      <c r="F217"/>
      <c r="G217"/>
      <c r="I217" s="272"/>
    </row>
    <row r="218" spans="1:9" x14ac:dyDescent="0.3">
      <c r="A218"/>
      <c r="F218"/>
      <c r="G218"/>
      <c r="I218" s="272"/>
    </row>
    <row r="219" spans="1:9" x14ac:dyDescent="0.3">
      <c r="A219"/>
      <c r="F219"/>
      <c r="G219"/>
      <c r="I219" s="272"/>
    </row>
    <row r="220" spans="1:9" x14ac:dyDescent="0.3">
      <c r="A220"/>
      <c r="F220"/>
      <c r="G220"/>
      <c r="I220" s="272"/>
    </row>
    <row r="221" spans="1:9" x14ac:dyDescent="0.3">
      <c r="A221"/>
      <c r="F221"/>
      <c r="G221"/>
      <c r="I221" s="272"/>
    </row>
    <row r="222" spans="1:9" x14ac:dyDescent="0.3">
      <c r="A222"/>
      <c r="F222"/>
      <c r="G222"/>
      <c r="I222" s="272"/>
    </row>
    <row r="223" spans="1:9" x14ac:dyDescent="0.3">
      <c r="A223"/>
      <c r="F223"/>
      <c r="G223"/>
      <c r="I223" s="272"/>
    </row>
    <row r="224" spans="1:9" x14ac:dyDescent="0.3">
      <c r="A224"/>
      <c r="F224"/>
      <c r="G224"/>
      <c r="I224" s="272"/>
    </row>
    <row r="225" spans="1:9" x14ac:dyDescent="0.3">
      <c r="A225"/>
      <c r="F225"/>
      <c r="G225"/>
      <c r="I225" s="272"/>
    </row>
    <row r="226" spans="1:9" x14ac:dyDescent="0.3">
      <c r="A226"/>
      <c r="F226"/>
      <c r="G226"/>
      <c r="I226" s="272"/>
    </row>
    <row r="227" spans="1:9" x14ac:dyDescent="0.3">
      <c r="A227"/>
      <c r="F227"/>
      <c r="G227"/>
      <c r="I227" s="272"/>
    </row>
    <row r="228" spans="1:9" x14ac:dyDescent="0.3">
      <c r="A228"/>
      <c r="F228"/>
      <c r="G228"/>
      <c r="I228" s="272"/>
    </row>
    <row r="229" spans="1:9" x14ac:dyDescent="0.3">
      <c r="A229"/>
      <c r="F229"/>
      <c r="G229"/>
      <c r="I229" s="272"/>
    </row>
    <row r="230" spans="1:9" x14ac:dyDescent="0.3">
      <c r="A230"/>
      <c r="F230"/>
      <c r="G230"/>
      <c r="I230" s="272"/>
    </row>
    <row r="231" spans="1:9" x14ac:dyDescent="0.3">
      <c r="A231"/>
      <c r="F231"/>
      <c r="G231"/>
      <c r="I231" s="272"/>
    </row>
    <row r="232" spans="1:9" x14ac:dyDescent="0.3">
      <c r="A232"/>
      <c r="F232"/>
      <c r="G232"/>
      <c r="I232" s="272"/>
    </row>
    <row r="233" spans="1:9" x14ac:dyDescent="0.3">
      <c r="A233"/>
      <c r="F233"/>
      <c r="G233"/>
      <c r="I233" s="272"/>
    </row>
    <row r="234" spans="1:9" x14ac:dyDescent="0.3">
      <c r="A234"/>
      <c r="F234"/>
      <c r="G234"/>
      <c r="I234" s="272"/>
    </row>
    <row r="235" spans="1:9" x14ac:dyDescent="0.3">
      <c r="A235"/>
      <c r="F235"/>
      <c r="G235"/>
      <c r="I235" s="272"/>
    </row>
    <row r="236" spans="1:9" x14ac:dyDescent="0.3">
      <c r="A236"/>
      <c r="F236"/>
      <c r="G236"/>
      <c r="I236" s="272"/>
    </row>
    <row r="237" spans="1:9" x14ac:dyDescent="0.3">
      <c r="A237"/>
      <c r="F237"/>
      <c r="G237"/>
      <c r="I237" s="272"/>
    </row>
    <row r="238" spans="1:9" x14ac:dyDescent="0.3">
      <c r="A238"/>
      <c r="F238"/>
      <c r="G238"/>
      <c r="I238" s="272"/>
    </row>
    <row r="239" spans="1:9" x14ac:dyDescent="0.3">
      <c r="A239"/>
      <c r="F239"/>
      <c r="G239"/>
      <c r="I239" s="272"/>
    </row>
    <row r="240" spans="1:9" x14ac:dyDescent="0.3">
      <c r="A240"/>
      <c r="F240"/>
      <c r="G240"/>
      <c r="I240" s="272"/>
    </row>
    <row r="241" spans="1:9" x14ac:dyDescent="0.3">
      <c r="A241"/>
      <c r="F241"/>
      <c r="G241"/>
      <c r="I241" s="272"/>
    </row>
    <row r="242" spans="1:9" x14ac:dyDescent="0.3">
      <c r="A242"/>
      <c r="F242"/>
      <c r="G242"/>
      <c r="I242" s="272"/>
    </row>
    <row r="243" spans="1:9" x14ac:dyDescent="0.3">
      <c r="A243"/>
      <c r="F243"/>
      <c r="G243"/>
      <c r="I243" s="272"/>
    </row>
    <row r="244" spans="1:9" x14ac:dyDescent="0.3">
      <c r="A244"/>
      <c r="F244"/>
      <c r="G244"/>
      <c r="I244" s="272"/>
    </row>
    <row r="245" spans="1:9" x14ac:dyDescent="0.3">
      <c r="A245"/>
      <c r="F245"/>
      <c r="G245"/>
      <c r="I245" s="272"/>
    </row>
    <row r="246" spans="1:9" x14ac:dyDescent="0.3">
      <c r="A246"/>
      <c r="F246"/>
      <c r="G246"/>
      <c r="I246" s="272"/>
    </row>
    <row r="247" spans="1:9" x14ac:dyDescent="0.3">
      <c r="A247"/>
      <c r="F247"/>
      <c r="G247"/>
      <c r="I247" s="272"/>
    </row>
    <row r="248" spans="1:9" x14ac:dyDescent="0.3">
      <c r="A248"/>
      <c r="F248"/>
      <c r="G248"/>
      <c r="I248" s="272"/>
    </row>
    <row r="249" spans="1:9" x14ac:dyDescent="0.3">
      <c r="A249"/>
      <c r="F249"/>
      <c r="G249"/>
      <c r="I249" s="272"/>
    </row>
    <row r="250" spans="1:9" x14ac:dyDescent="0.3">
      <c r="A250"/>
      <c r="F250"/>
      <c r="G250"/>
      <c r="I250" s="272"/>
    </row>
    <row r="251" spans="1:9" x14ac:dyDescent="0.3">
      <c r="A251"/>
      <c r="F251"/>
      <c r="G251"/>
      <c r="I251" s="272"/>
    </row>
    <row r="252" spans="1:9" x14ac:dyDescent="0.3">
      <c r="A252"/>
      <c r="F252"/>
      <c r="G252"/>
      <c r="I252" s="272"/>
    </row>
    <row r="253" spans="1:9" x14ac:dyDescent="0.3">
      <c r="A253"/>
      <c r="F253"/>
      <c r="G253"/>
      <c r="I253" s="272"/>
    </row>
    <row r="254" spans="1:9" x14ac:dyDescent="0.3">
      <c r="A254"/>
      <c r="F254"/>
      <c r="G254"/>
      <c r="I254" s="272"/>
    </row>
    <row r="255" spans="1:9" x14ac:dyDescent="0.3">
      <c r="A255"/>
      <c r="F255"/>
      <c r="G255"/>
      <c r="I255" s="272"/>
    </row>
    <row r="256" spans="1:9" x14ac:dyDescent="0.3">
      <c r="A256"/>
      <c r="F256"/>
      <c r="G256"/>
      <c r="I256" s="272"/>
    </row>
    <row r="257" spans="1:9" x14ac:dyDescent="0.3">
      <c r="A257"/>
      <c r="F257"/>
      <c r="G257"/>
      <c r="I257" s="272"/>
    </row>
    <row r="258" spans="1:9" x14ac:dyDescent="0.3">
      <c r="A258"/>
      <c r="F258"/>
      <c r="G258"/>
      <c r="I258" s="272"/>
    </row>
    <row r="259" spans="1:9" x14ac:dyDescent="0.3">
      <c r="A259"/>
      <c r="F259"/>
      <c r="G259"/>
      <c r="I259" s="272"/>
    </row>
    <row r="260" spans="1:9" x14ac:dyDescent="0.3">
      <c r="A260"/>
      <c r="F260"/>
      <c r="G260"/>
      <c r="I260" s="272"/>
    </row>
    <row r="261" spans="1:9" x14ac:dyDescent="0.3">
      <c r="A261"/>
      <c r="F261"/>
      <c r="G261"/>
      <c r="I261" s="272"/>
    </row>
    <row r="262" spans="1:9" x14ac:dyDescent="0.3">
      <c r="A262"/>
      <c r="F262"/>
      <c r="G262"/>
      <c r="I262" s="272"/>
    </row>
    <row r="263" spans="1:9" x14ac:dyDescent="0.3">
      <c r="A263"/>
      <c r="F263"/>
      <c r="G263"/>
      <c r="I263" s="272"/>
    </row>
    <row r="264" spans="1:9" x14ac:dyDescent="0.3">
      <c r="A264"/>
      <c r="F264"/>
      <c r="G264"/>
      <c r="I264" s="272"/>
    </row>
    <row r="265" spans="1:9" x14ac:dyDescent="0.3">
      <c r="A265"/>
      <c r="F265"/>
      <c r="G265"/>
      <c r="I265" s="272"/>
    </row>
    <row r="266" spans="1:9" x14ac:dyDescent="0.3">
      <c r="A266"/>
      <c r="F266"/>
      <c r="G266"/>
      <c r="I266" s="272"/>
    </row>
    <row r="267" spans="1:9" x14ac:dyDescent="0.3">
      <c r="A267"/>
      <c r="F267"/>
      <c r="G267"/>
      <c r="I267" s="272"/>
    </row>
    <row r="268" spans="1:9" x14ac:dyDescent="0.3">
      <c r="A268"/>
      <c r="F268"/>
      <c r="G268"/>
      <c r="I268" s="272"/>
    </row>
    <row r="269" spans="1:9" x14ac:dyDescent="0.3">
      <c r="A269"/>
      <c r="F269"/>
      <c r="G269"/>
      <c r="I269" s="272"/>
    </row>
    <row r="270" spans="1:9" x14ac:dyDescent="0.3">
      <c r="A270"/>
      <c r="F270"/>
      <c r="G270"/>
      <c r="I270" s="272"/>
    </row>
    <row r="271" spans="1:9" x14ac:dyDescent="0.3">
      <c r="A271"/>
      <c r="F271"/>
      <c r="G271"/>
      <c r="I271" s="272"/>
    </row>
    <row r="272" spans="1:9" x14ac:dyDescent="0.3">
      <c r="A272"/>
      <c r="F272"/>
      <c r="G272"/>
      <c r="I272" s="272"/>
    </row>
    <row r="273" spans="1:9" x14ac:dyDescent="0.3">
      <c r="A273"/>
      <c r="F273"/>
      <c r="G273"/>
      <c r="I273" s="272"/>
    </row>
    <row r="274" spans="1:9" x14ac:dyDescent="0.3">
      <c r="A274"/>
      <c r="F274"/>
      <c r="G274"/>
      <c r="I274" s="272"/>
    </row>
    <row r="275" spans="1:9" x14ac:dyDescent="0.3">
      <c r="A275"/>
      <c r="F275"/>
      <c r="G275"/>
      <c r="I275" s="272"/>
    </row>
    <row r="276" spans="1:9" x14ac:dyDescent="0.3">
      <c r="A276"/>
      <c r="F276"/>
      <c r="G276"/>
      <c r="I276" s="272"/>
    </row>
    <row r="277" spans="1:9" x14ac:dyDescent="0.3">
      <c r="A277"/>
      <c r="F277"/>
      <c r="G277"/>
      <c r="I277" s="272"/>
    </row>
    <row r="278" spans="1:9" x14ac:dyDescent="0.3">
      <c r="A278"/>
      <c r="F278"/>
      <c r="G278"/>
      <c r="I278" s="272"/>
    </row>
    <row r="279" spans="1:9" x14ac:dyDescent="0.3">
      <c r="A279"/>
      <c r="F279"/>
      <c r="G279"/>
      <c r="I279" s="272"/>
    </row>
    <row r="280" spans="1:9" x14ac:dyDescent="0.3">
      <c r="A280"/>
      <c r="F280"/>
      <c r="G280"/>
      <c r="I280" s="272"/>
    </row>
    <row r="281" spans="1:9" x14ac:dyDescent="0.3">
      <c r="A281"/>
      <c r="F281"/>
      <c r="G281"/>
      <c r="I281" s="272"/>
    </row>
    <row r="282" spans="1:9" x14ac:dyDescent="0.3">
      <c r="A282"/>
      <c r="F282"/>
      <c r="G282"/>
      <c r="I282" s="272"/>
    </row>
    <row r="283" spans="1:9" x14ac:dyDescent="0.3">
      <c r="A283"/>
      <c r="F283"/>
      <c r="G283"/>
      <c r="I283" s="272"/>
    </row>
    <row r="284" spans="1:9" x14ac:dyDescent="0.3">
      <c r="A284"/>
      <c r="F284"/>
      <c r="G284"/>
      <c r="I284" s="272"/>
    </row>
    <row r="285" spans="1:9" x14ac:dyDescent="0.3">
      <c r="A285"/>
      <c r="F285"/>
      <c r="G285"/>
      <c r="I285" s="272"/>
    </row>
    <row r="286" spans="1:9" x14ac:dyDescent="0.3">
      <c r="A286"/>
      <c r="F286"/>
      <c r="G286"/>
      <c r="I286" s="272"/>
    </row>
    <row r="287" spans="1:9" x14ac:dyDescent="0.3">
      <c r="A287"/>
      <c r="F287"/>
      <c r="G287"/>
      <c r="I287" s="272"/>
    </row>
    <row r="288" spans="1:9" x14ac:dyDescent="0.3">
      <c r="A288"/>
      <c r="F288"/>
      <c r="G288"/>
      <c r="I288" s="272"/>
    </row>
    <row r="289" spans="1:12" x14ac:dyDescent="0.3">
      <c r="A289"/>
      <c r="F289"/>
      <c r="G289"/>
      <c r="I289" s="272"/>
    </row>
    <row r="290" spans="1:12" x14ac:dyDescent="0.3">
      <c r="A290"/>
      <c r="F290"/>
      <c r="G290"/>
      <c r="I290" s="272"/>
      <c r="L290" t="s">
        <v>472</v>
      </c>
    </row>
    <row r="291" spans="1:12" x14ac:dyDescent="0.3">
      <c r="A291"/>
      <c r="F291"/>
      <c r="G291"/>
      <c r="I291" s="272"/>
    </row>
    <row r="292" spans="1:12" x14ac:dyDescent="0.3">
      <c r="A292"/>
      <c r="F292"/>
      <c r="G292"/>
      <c r="I292" s="272"/>
      <c r="K292">
        <v>3828</v>
      </c>
    </row>
    <row r="293" spans="1:12" x14ac:dyDescent="0.3">
      <c r="A293"/>
      <c r="F293"/>
      <c r="G293"/>
      <c r="I293" s="272"/>
      <c r="K293">
        <v>21999.84</v>
      </c>
    </row>
    <row r="294" spans="1:12" x14ac:dyDescent="0.3">
      <c r="A294"/>
      <c r="F294"/>
      <c r="G294"/>
      <c r="I294" s="272"/>
      <c r="K294">
        <v>16499.879999999997</v>
      </c>
    </row>
    <row r="295" spans="1:12" x14ac:dyDescent="0.3">
      <c r="A295"/>
      <c r="F295"/>
      <c r="G295"/>
      <c r="I295" s="272"/>
      <c r="K295">
        <v>19199.987999999998</v>
      </c>
    </row>
    <row r="296" spans="1:12" x14ac:dyDescent="0.3">
      <c r="A296"/>
      <c r="F296"/>
      <c r="G296"/>
      <c r="I296" s="272"/>
      <c r="K296">
        <v>840</v>
      </c>
    </row>
    <row r="297" spans="1:12" x14ac:dyDescent="0.3">
      <c r="A297"/>
      <c r="F297"/>
      <c r="G297"/>
      <c r="I297" s="272"/>
      <c r="K297">
        <v>5610</v>
      </c>
    </row>
    <row r="298" spans="1:12" x14ac:dyDescent="0.3">
      <c r="A298"/>
      <c r="F298"/>
      <c r="G298"/>
      <c r="I298" s="272"/>
    </row>
    <row r="299" spans="1:12" x14ac:dyDescent="0.3">
      <c r="A299"/>
      <c r="F299"/>
      <c r="G299"/>
      <c r="I299" s="272"/>
    </row>
    <row r="300" spans="1:12" x14ac:dyDescent="0.3">
      <c r="A300"/>
      <c r="F300"/>
      <c r="G300"/>
      <c r="I300" s="272"/>
      <c r="K300">
        <v>6540</v>
      </c>
    </row>
    <row r="301" spans="1:12" x14ac:dyDescent="0.3">
      <c r="A301"/>
      <c r="F301"/>
      <c r="G301"/>
      <c r="I301" s="272"/>
    </row>
    <row r="302" spans="1:12" x14ac:dyDescent="0.3">
      <c r="A302"/>
      <c r="F302"/>
      <c r="G302"/>
      <c r="I302" s="272"/>
      <c r="K302">
        <v>624</v>
      </c>
    </row>
    <row r="303" spans="1:12" x14ac:dyDescent="0.3">
      <c r="A303"/>
      <c r="F303"/>
      <c r="G303"/>
      <c r="I303" s="272"/>
      <c r="K303">
        <v>456</v>
      </c>
    </row>
    <row r="304" spans="1:12" x14ac:dyDescent="0.3">
      <c r="A304"/>
      <c r="F304"/>
      <c r="G304"/>
      <c r="I304" s="272"/>
      <c r="K304">
        <v>840</v>
      </c>
    </row>
    <row r="305" spans="1:11" x14ac:dyDescent="0.3">
      <c r="A305"/>
      <c r="F305"/>
      <c r="G305"/>
      <c r="I305" s="272"/>
      <c r="K305">
        <v>12030</v>
      </c>
    </row>
    <row r="306" spans="1:11" x14ac:dyDescent="0.3">
      <c r="A306"/>
      <c r="F306"/>
      <c r="G306"/>
      <c r="I306" s="272"/>
    </row>
    <row r="307" spans="1:11" x14ac:dyDescent="0.3">
      <c r="A307"/>
      <c r="F307"/>
      <c r="G307"/>
      <c r="I307" s="272"/>
    </row>
    <row r="308" spans="1:11" x14ac:dyDescent="0.3">
      <c r="A308"/>
      <c r="F308"/>
      <c r="G308"/>
      <c r="I308" s="272"/>
    </row>
    <row r="309" spans="1:11" x14ac:dyDescent="0.3">
      <c r="A309"/>
      <c r="F309"/>
      <c r="G309"/>
      <c r="I309" s="272"/>
      <c r="K309">
        <v>10094.4</v>
      </c>
    </row>
    <row r="310" spans="1:11" x14ac:dyDescent="0.3">
      <c r="A310"/>
      <c r="F310"/>
      <c r="G310"/>
      <c r="I310" s="272"/>
      <c r="K310">
        <v>8720.4</v>
      </c>
    </row>
    <row r="311" spans="1:11" x14ac:dyDescent="0.3">
      <c r="A311"/>
      <c r="F311"/>
      <c r="G311"/>
      <c r="I311" s="272"/>
    </row>
    <row r="312" spans="1:11" x14ac:dyDescent="0.3">
      <c r="A312"/>
      <c r="F312"/>
      <c r="G312"/>
      <c r="I312" s="272"/>
    </row>
    <row r="313" spans="1:11" x14ac:dyDescent="0.3">
      <c r="A313"/>
      <c r="F313"/>
      <c r="G313"/>
      <c r="I313" s="272"/>
      <c r="K313">
        <v>9920.4240000000009</v>
      </c>
    </row>
    <row r="314" spans="1:11" x14ac:dyDescent="0.3">
      <c r="A314"/>
      <c r="F314"/>
      <c r="G314"/>
      <c r="I314" s="272"/>
    </row>
    <row r="315" spans="1:11" x14ac:dyDescent="0.3">
      <c r="A315"/>
      <c r="F315"/>
      <c r="G315"/>
      <c r="I315" s="272"/>
    </row>
    <row r="316" spans="1:11" x14ac:dyDescent="0.3">
      <c r="A316"/>
      <c r="F316"/>
      <c r="G316"/>
      <c r="I316" s="272"/>
      <c r="K316">
        <v>662.4</v>
      </c>
    </row>
    <row r="317" spans="1:11" x14ac:dyDescent="0.3">
      <c r="A317"/>
      <c r="F317"/>
      <c r="G317"/>
      <c r="I317" s="272"/>
      <c r="K317">
        <v>11298</v>
      </c>
    </row>
    <row r="318" spans="1:11" x14ac:dyDescent="0.3">
      <c r="A318"/>
      <c r="F318"/>
      <c r="G318"/>
      <c r="I318" s="272"/>
      <c r="K318">
        <v>399.99999999999955</v>
      </c>
    </row>
    <row r="319" spans="1:11" x14ac:dyDescent="0.3">
      <c r="A319"/>
      <c r="F319"/>
      <c r="G319"/>
      <c r="I319" s="272"/>
      <c r="K319">
        <v>761.49599999999998</v>
      </c>
    </row>
    <row r="320" spans="1:11" x14ac:dyDescent="0.3">
      <c r="A320"/>
      <c r="F320"/>
      <c r="G320"/>
      <c r="I320" s="272"/>
    </row>
    <row r="321" spans="1:11" x14ac:dyDescent="0.3">
      <c r="A321"/>
      <c r="F321"/>
      <c r="G321"/>
      <c r="I321" s="272"/>
    </row>
    <row r="322" spans="1:11" x14ac:dyDescent="0.3">
      <c r="A322"/>
      <c r="F322"/>
      <c r="G322"/>
      <c r="I322" s="272"/>
      <c r="K322">
        <v>337.5</v>
      </c>
    </row>
    <row r="323" spans="1:11" x14ac:dyDescent="0.3">
      <c r="A323"/>
      <c r="F323"/>
      <c r="G323"/>
      <c r="I323" s="272"/>
      <c r="K323">
        <v>1869.9999995999999</v>
      </c>
    </row>
    <row r="324" spans="1:11" x14ac:dyDescent="0.3">
      <c r="A324"/>
      <c r="F324"/>
      <c r="G324"/>
      <c r="I324" s="272"/>
    </row>
    <row r="325" spans="1:11" x14ac:dyDescent="0.3">
      <c r="A325"/>
      <c r="F325"/>
      <c r="G325"/>
      <c r="I325" s="272"/>
      <c r="K325">
        <v>2707.5</v>
      </c>
    </row>
    <row r="326" spans="1:11" x14ac:dyDescent="0.3">
      <c r="A326"/>
      <c r="F326"/>
      <c r="G326"/>
      <c r="I326" s="272"/>
    </row>
    <row r="327" spans="1:11" x14ac:dyDescent="0.3">
      <c r="A327"/>
      <c r="F327"/>
      <c r="G327"/>
      <c r="I327" s="272"/>
      <c r="K327">
        <v>350.00000000099999</v>
      </c>
    </row>
    <row r="328" spans="1:11" x14ac:dyDescent="0.3">
      <c r="A328"/>
      <c r="F328"/>
      <c r="G328"/>
      <c r="I328" s="272"/>
    </row>
    <row r="329" spans="1:11" x14ac:dyDescent="0.3">
      <c r="A329"/>
      <c r="F329"/>
      <c r="G329"/>
      <c r="I329" s="272"/>
      <c r="K329">
        <v>1989.9999959999998</v>
      </c>
    </row>
    <row r="330" spans="1:11" x14ac:dyDescent="0.3">
      <c r="A330"/>
      <c r="F330"/>
      <c r="G330"/>
      <c r="I330" s="272"/>
      <c r="K330">
        <v>585</v>
      </c>
    </row>
    <row r="331" spans="1:11" x14ac:dyDescent="0.3">
      <c r="A331"/>
      <c r="F331"/>
      <c r="G331"/>
      <c r="I331" s="272"/>
      <c r="K331">
        <v>1746</v>
      </c>
    </row>
    <row r="332" spans="1:11" x14ac:dyDescent="0.3">
      <c r="A332"/>
      <c r="F332"/>
      <c r="G332"/>
      <c r="I332" s="272"/>
      <c r="K332">
        <v>1059.9999995999999</v>
      </c>
    </row>
    <row r="333" spans="1:11" x14ac:dyDescent="0.3">
      <c r="A333"/>
      <c r="F333"/>
      <c r="G333"/>
      <c r="I333" s="272"/>
    </row>
    <row r="334" spans="1:11" x14ac:dyDescent="0.3">
      <c r="A334"/>
      <c r="F334"/>
      <c r="G334"/>
      <c r="I334" s="272"/>
      <c r="K334">
        <v>324.99599999999998</v>
      </c>
    </row>
    <row r="335" spans="1:11" x14ac:dyDescent="0.3">
      <c r="A335"/>
      <c r="F335"/>
      <c r="G335"/>
      <c r="I335" s="272"/>
      <c r="K335">
        <v>4320</v>
      </c>
    </row>
    <row r="336" spans="1:11" x14ac:dyDescent="0.3">
      <c r="A336"/>
      <c r="F336"/>
      <c r="G336"/>
      <c r="I336" s="272"/>
      <c r="K336">
        <v>3612</v>
      </c>
    </row>
    <row r="337" spans="1:11" x14ac:dyDescent="0.3">
      <c r="A337"/>
      <c r="F337"/>
      <c r="G337"/>
      <c r="I337" s="272"/>
    </row>
    <row r="338" spans="1:11" x14ac:dyDescent="0.3">
      <c r="A338"/>
      <c r="F338"/>
      <c r="G338"/>
      <c r="I338" s="272"/>
      <c r="K338">
        <v>852</v>
      </c>
    </row>
    <row r="339" spans="1:11" x14ac:dyDescent="0.3">
      <c r="A339"/>
      <c r="F339"/>
      <c r="G339"/>
      <c r="I339" s="272"/>
    </row>
    <row r="340" spans="1:11" x14ac:dyDescent="0.3">
      <c r="A340"/>
      <c r="F340"/>
      <c r="G340"/>
      <c r="I340" s="272"/>
      <c r="K340">
        <v>420</v>
      </c>
    </row>
    <row r="341" spans="1:11" x14ac:dyDescent="0.3">
      <c r="A341"/>
      <c r="F341"/>
      <c r="G341"/>
      <c r="I341" s="272"/>
      <c r="K341">
        <v>31376.171999999999</v>
      </c>
    </row>
    <row r="342" spans="1:11" x14ac:dyDescent="0.3">
      <c r="A342"/>
      <c r="F342"/>
      <c r="G342"/>
      <c r="I342" s="272"/>
    </row>
    <row r="343" spans="1:11" x14ac:dyDescent="0.3">
      <c r="A343"/>
      <c r="F343"/>
      <c r="G343"/>
      <c r="I343" s="272"/>
    </row>
    <row r="344" spans="1:11" x14ac:dyDescent="0.3">
      <c r="A344"/>
      <c r="F344"/>
      <c r="G344"/>
      <c r="I344" s="272"/>
    </row>
    <row r="345" spans="1:11" x14ac:dyDescent="0.3">
      <c r="A345"/>
      <c r="F345"/>
      <c r="G345"/>
      <c r="I345" s="272"/>
    </row>
    <row r="346" spans="1:11" x14ac:dyDescent="0.3">
      <c r="A346"/>
      <c r="F346"/>
      <c r="G346"/>
      <c r="I346" s="272"/>
    </row>
    <row r="347" spans="1:11" x14ac:dyDescent="0.3">
      <c r="A347"/>
      <c r="F347"/>
      <c r="G347"/>
      <c r="I347" s="272"/>
    </row>
    <row r="348" spans="1:11" x14ac:dyDescent="0.3">
      <c r="A348"/>
      <c r="F348"/>
      <c r="G348"/>
      <c r="I348" s="272"/>
    </row>
    <row r="349" spans="1:11" x14ac:dyDescent="0.3">
      <c r="A349"/>
      <c r="F349"/>
      <c r="G349"/>
      <c r="I349" s="272"/>
    </row>
    <row r="350" spans="1:11" x14ac:dyDescent="0.3">
      <c r="A350"/>
      <c r="F350"/>
      <c r="G350"/>
      <c r="I350" s="272"/>
    </row>
    <row r="351" spans="1:11" x14ac:dyDescent="0.3">
      <c r="A351"/>
      <c r="F351"/>
      <c r="G351"/>
      <c r="I351" s="272"/>
      <c r="K351">
        <v>8070</v>
      </c>
    </row>
    <row r="352" spans="1:11" x14ac:dyDescent="0.3">
      <c r="A352"/>
      <c r="F352"/>
      <c r="G352"/>
      <c r="I352" s="272"/>
      <c r="K352">
        <v>1260</v>
      </c>
    </row>
    <row r="353" spans="1:11" x14ac:dyDescent="0.3">
      <c r="A353"/>
      <c r="F353"/>
      <c r="G353"/>
      <c r="I353" s="272"/>
    </row>
    <row r="354" spans="1:11" x14ac:dyDescent="0.3">
      <c r="A354"/>
      <c r="F354"/>
      <c r="G354"/>
      <c r="I354" s="272"/>
      <c r="K354">
        <v>384</v>
      </c>
    </row>
    <row r="355" spans="1:11" x14ac:dyDescent="0.3">
      <c r="A355"/>
      <c r="F355"/>
      <c r="G355"/>
      <c r="I355" s="272"/>
      <c r="K355">
        <v>4563.0360000000001</v>
      </c>
    </row>
    <row r="356" spans="1:11" x14ac:dyDescent="0.3">
      <c r="A356"/>
      <c r="F356"/>
      <c r="G356"/>
      <c r="I356" s="272"/>
    </row>
    <row r="357" spans="1:11" x14ac:dyDescent="0.3">
      <c r="A357"/>
      <c r="F357"/>
      <c r="G357"/>
      <c r="I357" s="272"/>
    </row>
    <row r="358" spans="1:11" x14ac:dyDescent="0.3">
      <c r="A358"/>
      <c r="F358"/>
      <c r="G358"/>
      <c r="I358" s="272"/>
    </row>
    <row r="359" spans="1:11" x14ac:dyDescent="0.3">
      <c r="A359"/>
      <c r="F359"/>
      <c r="G359"/>
      <c r="I359" s="272"/>
    </row>
    <row r="360" spans="1:11" x14ac:dyDescent="0.3">
      <c r="A360"/>
      <c r="F360"/>
      <c r="G360"/>
      <c r="I360" s="272"/>
    </row>
    <row r="361" spans="1:11" x14ac:dyDescent="0.3">
      <c r="A361"/>
      <c r="F361"/>
      <c r="G361"/>
      <c r="I361" s="272"/>
      <c r="K361">
        <v>750.12</v>
      </c>
    </row>
    <row r="362" spans="1:11" x14ac:dyDescent="0.3">
      <c r="A362"/>
      <c r="F362"/>
      <c r="G362"/>
      <c r="I362" s="272"/>
    </row>
    <row r="363" spans="1:11" x14ac:dyDescent="0.3">
      <c r="A363"/>
      <c r="F363"/>
      <c r="G363"/>
      <c r="I363" s="272"/>
    </row>
    <row r="364" spans="1:11" x14ac:dyDescent="0.3">
      <c r="A364"/>
      <c r="F364"/>
      <c r="G364"/>
      <c r="I364" s="272"/>
    </row>
    <row r="365" spans="1:11" x14ac:dyDescent="0.3">
      <c r="A365"/>
      <c r="F365"/>
      <c r="G365"/>
      <c r="I365" s="272"/>
      <c r="K365">
        <v>4800</v>
      </c>
    </row>
    <row r="366" spans="1:11" x14ac:dyDescent="0.3">
      <c r="A366"/>
      <c r="F366"/>
      <c r="G366"/>
      <c r="I366" s="272"/>
      <c r="K366">
        <v>10975.199999999999</v>
      </c>
    </row>
    <row r="367" spans="1:11" x14ac:dyDescent="0.3">
      <c r="A367"/>
      <c r="F367"/>
      <c r="G367"/>
      <c r="I367" s="272"/>
      <c r="K367">
        <v>1627.2</v>
      </c>
    </row>
    <row r="368" spans="1:11" x14ac:dyDescent="0.3">
      <c r="A368"/>
      <c r="F368"/>
      <c r="G368"/>
      <c r="I368" s="272"/>
      <c r="K368">
        <v>249.99959999999999</v>
      </c>
    </row>
    <row r="369" spans="1:11" x14ac:dyDescent="0.3">
      <c r="A369"/>
      <c r="F369"/>
      <c r="G369"/>
      <c r="I369" s="272"/>
      <c r="K369">
        <v>1200</v>
      </c>
    </row>
    <row r="370" spans="1:11" x14ac:dyDescent="0.3">
      <c r="A370"/>
      <c r="F370"/>
      <c r="G370"/>
      <c r="I370" s="272"/>
    </row>
    <row r="371" spans="1:11" x14ac:dyDescent="0.3">
      <c r="A371"/>
      <c r="F371"/>
      <c r="G371"/>
      <c r="I371" s="272"/>
      <c r="K371">
        <v>541.43999999999994</v>
      </c>
    </row>
    <row r="372" spans="1:11" x14ac:dyDescent="0.3">
      <c r="A372"/>
      <c r="F372"/>
      <c r="G372"/>
      <c r="I372" s="272"/>
      <c r="K372">
        <v>887.84039999999993</v>
      </c>
    </row>
    <row r="373" spans="1:11" x14ac:dyDescent="0.3">
      <c r="A373"/>
      <c r="F373"/>
      <c r="G373"/>
      <c r="I373" s="272"/>
    </row>
    <row r="374" spans="1:11" x14ac:dyDescent="0.3">
      <c r="A374"/>
      <c r="F374"/>
      <c r="G374"/>
      <c r="I374" s="272"/>
      <c r="K374">
        <v>541.43999999999994</v>
      </c>
    </row>
    <row r="375" spans="1:11" x14ac:dyDescent="0.3">
      <c r="A375"/>
      <c r="F375"/>
      <c r="G375"/>
      <c r="I375" s="272"/>
      <c r="K375">
        <v>327.37559999999996</v>
      </c>
    </row>
    <row r="376" spans="1:11" x14ac:dyDescent="0.3">
      <c r="A376"/>
      <c r="F376"/>
      <c r="G376"/>
      <c r="I376" s="272"/>
      <c r="K376">
        <v>1262.4959999999999</v>
      </c>
    </row>
    <row r="377" spans="1:11" x14ac:dyDescent="0.3">
      <c r="A377"/>
      <c r="F377"/>
      <c r="G377"/>
      <c r="I377" s="272"/>
    </row>
    <row r="378" spans="1:11" x14ac:dyDescent="0.3">
      <c r="A378"/>
      <c r="F378"/>
      <c r="G378"/>
      <c r="I378" s="272"/>
    </row>
    <row r="379" spans="1:11" x14ac:dyDescent="0.3">
      <c r="A379"/>
      <c r="F379"/>
      <c r="G379"/>
      <c r="I379" s="272"/>
    </row>
    <row r="380" spans="1:11" x14ac:dyDescent="0.3">
      <c r="A380"/>
      <c r="F380"/>
      <c r="G380"/>
      <c r="I380" s="272"/>
    </row>
    <row r="381" spans="1:11" x14ac:dyDescent="0.3">
      <c r="A381"/>
      <c r="F381"/>
      <c r="G381"/>
      <c r="I381" s="272"/>
    </row>
    <row r="382" spans="1:11" x14ac:dyDescent="0.3">
      <c r="A382"/>
      <c r="F382"/>
      <c r="G382"/>
      <c r="I382" s="272"/>
    </row>
    <row r="383" spans="1:11" x14ac:dyDescent="0.3">
      <c r="A383"/>
      <c r="F383"/>
      <c r="G383"/>
      <c r="I383" s="272"/>
    </row>
    <row r="384" spans="1:11" x14ac:dyDescent="0.3">
      <c r="A384"/>
      <c r="F384"/>
      <c r="G384"/>
      <c r="I384" s="272"/>
    </row>
    <row r="385" spans="1:9" x14ac:dyDescent="0.3">
      <c r="A385"/>
      <c r="F385"/>
      <c r="G385"/>
      <c r="I385" s="272"/>
    </row>
    <row r="386" spans="1:9" x14ac:dyDescent="0.3">
      <c r="A386"/>
      <c r="F386"/>
      <c r="G386"/>
      <c r="I386" s="272"/>
    </row>
    <row r="387" spans="1:9" x14ac:dyDescent="0.3">
      <c r="A387"/>
      <c r="F387"/>
      <c r="G387"/>
      <c r="I387" s="272"/>
    </row>
    <row r="388" spans="1:9" x14ac:dyDescent="0.3">
      <c r="A388"/>
      <c r="F388"/>
      <c r="G388"/>
      <c r="I388" s="272"/>
    </row>
    <row r="389" spans="1:9" x14ac:dyDescent="0.3">
      <c r="A389"/>
      <c r="F389"/>
      <c r="G389"/>
      <c r="I389" s="272"/>
    </row>
    <row r="390" spans="1:9" x14ac:dyDescent="0.3">
      <c r="A390"/>
      <c r="F390"/>
      <c r="G390"/>
      <c r="I390" s="272"/>
    </row>
    <row r="391" spans="1:9" x14ac:dyDescent="0.3">
      <c r="A391"/>
      <c r="F391"/>
      <c r="G391"/>
      <c r="I391" s="272"/>
    </row>
    <row r="392" spans="1:9" x14ac:dyDescent="0.3">
      <c r="A392"/>
      <c r="F392"/>
      <c r="G392"/>
      <c r="I392" s="272"/>
    </row>
    <row r="393" spans="1:9" x14ac:dyDescent="0.3">
      <c r="A393"/>
      <c r="F393"/>
      <c r="G393"/>
      <c r="I393" s="272"/>
    </row>
    <row r="394" spans="1:9" x14ac:dyDescent="0.3">
      <c r="A394"/>
      <c r="F394"/>
      <c r="G394"/>
      <c r="I394" s="272"/>
    </row>
    <row r="395" spans="1:9" x14ac:dyDescent="0.3">
      <c r="A395"/>
      <c r="F395"/>
      <c r="G395"/>
      <c r="I395" s="272"/>
    </row>
    <row r="396" spans="1:9" x14ac:dyDescent="0.3">
      <c r="A396"/>
      <c r="F396"/>
      <c r="G396"/>
      <c r="I396" s="272"/>
    </row>
    <row r="397" spans="1:9" x14ac:dyDescent="0.3">
      <c r="A397"/>
      <c r="F397"/>
      <c r="G397"/>
      <c r="I397" s="272"/>
    </row>
    <row r="398" spans="1:9" x14ac:dyDescent="0.3">
      <c r="A398"/>
      <c r="F398"/>
      <c r="G398"/>
      <c r="I398" s="272"/>
    </row>
    <row r="399" spans="1:9" x14ac:dyDescent="0.3">
      <c r="A399"/>
      <c r="F399"/>
      <c r="G399"/>
      <c r="I399" s="272"/>
    </row>
    <row r="400" spans="1:9" x14ac:dyDescent="0.3">
      <c r="A400"/>
      <c r="F400"/>
      <c r="G400"/>
      <c r="I400" s="272"/>
    </row>
    <row r="401" spans="1:9" x14ac:dyDescent="0.3">
      <c r="A401"/>
      <c r="F401"/>
      <c r="G401"/>
      <c r="I401" s="272"/>
    </row>
    <row r="402" spans="1:9" x14ac:dyDescent="0.3">
      <c r="A402"/>
      <c r="F402"/>
      <c r="G402"/>
      <c r="I402" s="272"/>
    </row>
    <row r="403" spans="1:9" x14ac:dyDescent="0.3">
      <c r="A403"/>
      <c r="F403"/>
      <c r="G403"/>
      <c r="I403" s="272"/>
    </row>
    <row r="404" spans="1:9" x14ac:dyDescent="0.3">
      <c r="A404"/>
      <c r="F404"/>
      <c r="G404"/>
      <c r="I404" s="272"/>
    </row>
    <row r="405" spans="1:9" x14ac:dyDescent="0.3">
      <c r="A405"/>
      <c r="F405"/>
      <c r="G405"/>
      <c r="I405" s="272"/>
    </row>
    <row r="406" spans="1:9" x14ac:dyDescent="0.3">
      <c r="A406"/>
      <c r="F406"/>
      <c r="G406"/>
      <c r="I406" s="272"/>
    </row>
    <row r="407" spans="1:9" x14ac:dyDescent="0.3">
      <c r="A407"/>
      <c r="F407"/>
      <c r="G407"/>
      <c r="I407" s="272"/>
    </row>
    <row r="408" spans="1:9" x14ac:dyDescent="0.3">
      <c r="A408"/>
      <c r="F408"/>
      <c r="G408"/>
      <c r="I408" s="272"/>
    </row>
    <row r="409" spans="1:9" x14ac:dyDescent="0.3">
      <c r="A409"/>
      <c r="F409"/>
      <c r="G409"/>
      <c r="I409" s="272"/>
    </row>
    <row r="410" spans="1:9" x14ac:dyDescent="0.3">
      <c r="A410"/>
      <c r="F410"/>
      <c r="G410"/>
      <c r="I410" s="272"/>
    </row>
    <row r="411" spans="1:9" x14ac:dyDescent="0.3">
      <c r="A411"/>
      <c r="F411"/>
      <c r="G411"/>
      <c r="I411" s="272"/>
    </row>
    <row r="412" spans="1:9" x14ac:dyDescent="0.3">
      <c r="A412"/>
      <c r="F412"/>
      <c r="G412"/>
      <c r="I412" s="272"/>
    </row>
    <row r="413" spans="1:9" x14ac:dyDescent="0.3">
      <c r="A413"/>
      <c r="F413"/>
      <c r="G413"/>
      <c r="I413" s="272"/>
    </row>
    <row r="414" spans="1:9" x14ac:dyDescent="0.3">
      <c r="A414"/>
      <c r="F414"/>
      <c r="G414"/>
      <c r="I414" s="272"/>
    </row>
    <row r="415" spans="1:9" x14ac:dyDescent="0.3">
      <c r="A415"/>
      <c r="F415"/>
      <c r="G415"/>
      <c r="I415" s="272"/>
    </row>
    <row r="416" spans="1:9" x14ac:dyDescent="0.3">
      <c r="A416"/>
      <c r="F416"/>
      <c r="G416"/>
      <c r="I416" s="272"/>
    </row>
    <row r="417" spans="1:9" x14ac:dyDescent="0.3">
      <c r="A417"/>
      <c r="F417"/>
      <c r="G417"/>
      <c r="I417" s="272"/>
    </row>
    <row r="418" spans="1:9" x14ac:dyDescent="0.3">
      <c r="A418"/>
      <c r="F418"/>
      <c r="G418"/>
      <c r="I418" s="272"/>
    </row>
    <row r="419" spans="1:9" x14ac:dyDescent="0.3">
      <c r="A419"/>
      <c r="F419"/>
      <c r="G419"/>
      <c r="I419" s="272"/>
    </row>
    <row r="420" spans="1:9" x14ac:dyDescent="0.3">
      <c r="A420"/>
      <c r="F420"/>
      <c r="G420"/>
      <c r="I420" s="272"/>
    </row>
    <row r="421" spans="1:9" x14ac:dyDescent="0.3">
      <c r="A421"/>
      <c r="F421"/>
      <c r="G421"/>
      <c r="I421" s="272"/>
    </row>
    <row r="422" spans="1:9" x14ac:dyDescent="0.3">
      <c r="A422"/>
      <c r="F422"/>
      <c r="G422"/>
      <c r="I422" s="272"/>
    </row>
    <row r="423" spans="1:9" x14ac:dyDescent="0.3">
      <c r="A423"/>
      <c r="F423"/>
      <c r="G423"/>
      <c r="I423" s="272"/>
    </row>
    <row r="424" spans="1:9" x14ac:dyDescent="0.3">
      <c r="A424"/>
      <c r="F424"/>
      <c r="G424"/>
      <c r="I424" s="272"/>
    </row>
    <row r="425" spans="1:9" x14ac:dyDescent="0.3">
      <c r="A425"/>
      <c r="F425"/>
      <c r="G425"/>
      <c r="I425" s="272"/>
    </row>
    <row r="426" spans="1:9" x14ac:dyDescent="0.3">
      <c r="A426"/>
      <c r="F426"/>
      <c r="G426"/>
      <c r="I426" s="272"/>
    </row>
    <row r="427" spans="1:9" x14ac:dyDescent="0.3">
      <c r="A427"/>
      <c r="F427"/>
      <c r="G427"/>
      <c r="I427" s="272"/>
    </row>
    <row r="428" spans="1:9" x14ac:dyDescent="0.3">
      <c r="A428"/>
      <c r="F428"/>
      <c r="G428"/>
      <c r="I428" s="272"/>
    </row>
    <row r="429" spans="1:9" x14ac:dyDescent="0.3">
      <c r="A429"/>
      <c r="F429"/>
      <c r="G429"/>
      <c r="I429" s="272"/>
    </row>
    <row r="430" spans="1:9" x14ac:dyDescent="0.3">
      <c r="A430"/>
      <c r="F430"/>
      <c r="G430"/>
      <c r="I430" s="272"/>
    </row>
    <row r="431" spans="1:9" x14ac:dyDescent="0.3">
      <c r="A431"/>
      <c r="F431"/>
      <c r="G431"/>
      <c r="I431" s="272"/>
    </row>
    <row r="432" spans="1:9" x14ac:dyDescent="0.3">
      <c r="A432"/>
      <c r="F432"/>
      <c r="G432"/>
      <c r="I432" s="272"/>
    </row>
    <row r="433" spans="1:9" x14ac:dyDescent="0.3">
      <c r="A433"/>
      <c r="F433"/>
      <c r="G433"/>
      <c r="I433" s="272"/>
    </row>
    <row r="434" spans="1:9" x14ac:dyDescent="0.3">
      <c r="A434"/>
      <c r="F434"/>
      <c r="G434"/>
      <c r="I434" s="272"/>
    </row>
    <row r="435" spans="1:9" x14ac:dyDescent="0.3">
      <c r="A435"/>
      <c r="F435"/>
      <c r="G435"/>
      <c r="I435" s="272"/>
    </row>
    <row r="436" spans="1:9" x14ac:dyDescent="0.3">
      <c r="A436"/>
      <c r="F436"/>
      <c r="G436"/>
      <c r="I436" s="272"/>
    </row>
    <row r="437" spans="1:9" x14ac:dyDescent="0.3">
      <c r="A437"/>
      <c r="F437"/>
      <c r="G437"/>
      <c r="I437" s="272"/>
    </row>
    <row r="438" spans="1:9" x14ac:dyDescent="0.3">
      <c r="A438"/>
      <c r="F438"/>
      <c r="G438"/>
      <c r="I438" s="272"/>
    </row>
    <row r="439" spans="1:9" x14ac:dyDescent="0.3">
      <c r="A439"/>
      <c r="F439"/>
      <c r="G439"/>
      <c r="I439" s="272"/>
    </row>
    <row r="440" spans="1:9" x14ac:dyDescent="0.3">
      <c r="A440"/>
      <c r="F440"/>
      <c r="G440"/>
      <c r="I440" s="272"/>
    </row>
    <row r="441" spans="1:9" x14ac:dyDescent="0.3">
      <c r="A441"/>
      <c r="F441"/>
      <c r="G441"/>
      <c r="I441" s="272"/>
    </row>
    <row r="442" spans="1:9" x14ac:dyDescent="0.3">
      <c r="A442"/>
      <c r="F442"/>
      <c r="G442"/>
      <c r="I442" s="272"/>
    </row>
    <row r="443" spans="1:9" x14ac:dyDescent="0.3">
      <c r="A443"/>
      <c r="F443"/>
      <c r="G443"/>
      <c r="I443" s="272"/>
    </row>
    <row r="444" spans="1:9" x14ac:dyDescent="0.3">
      <c r="A444"/>
      <c r="F444"/>
      <c r="G444"/>
      <c r="I444" s="272"/>
    </row>
    <row r="445" spans="1:9" x14ac:dyDescent="0.3">
      <c r="A445"/>
      <c r="F445"/>
      <c r="G445"/>
      <c r="I445" s="272"/>
    </row>
    <row r="446" spans="1:9" x14ac:dyDescent="0.3">
      <c r="A446"/>
      <c r="F446"/>
      <c r="G446"/>
      <c r="I446" s="272"/>
    </row>
    <row r="447" spans="1:9" x14ac:dyDescent="0.3">
      <c r="A447"/>
      <c r="F447"/>
      <c r="G447"/>
      <c r="I447" s="272"/>
    </row>
    <row r="448" spans="1:9" x14ac:dyDescent="0.3">
      <c r="A448"/>
      <c r="F448"/>
      <c r="G448"/>
      <c r="I448" s="272"/>
    </row>
    <row r="449" spans="1:9" x14ac:dyDescent="0.3">
      <c r="A449"/>
      <c r="F449"/>
      <c r="G449"/>
      <c r="I449" s="272"/>
    </row>
    <row r="450" spans="1:9" x14ac:dyDescent="0.3">
      <c r="A450"/>
      <c r="F450"/>
      <c r="G450"/>
      <c r="I450" s="272"/>
    </row>
    <row r="451" spans="1:9" x14ac:dyDescent="0.3">
      <c r="A451"/>
      <c r="F451"/>
      <c r="G451"/>
      <c r="I451" s="272"/>
    </row>
    <row r="452" spans="1:9" x14ac:dyDescent="0.3">
      <c r="A452"/>
      <c r="F452"/>
      <c r="G452"/>
      <c r="I452" s="272"/>
    </row>
    <row r="453" spans="1:9" x14ac:dyDescent="0.3">
      <c r="A453"/>
      <c r="F453"/>
      <c r="G453"/>
      <c r="I453" s="272"/>
    </row>
    <row r="454" spans="1:9" x14ac:dyDescent="0.3">
      <c r="A454"/>
      <c r="F454"/>
      <c r="G454"/>
      <c r="I454" s="272"/>
    </row>
    <row r="455" spans="1:9" x14ac:dyDescent="0.3">
      <c r="A455"/>
      <c r="F455"/>
      <c r="G455"/>
      <c r="I455" s="272"/>
    </row>
    <row r="456" spans="1:9" x14ac:dyDescent="0.3">
      <c r="A456"/>
      <c r="F456"/>
      <c r="G456"/>
      <c r="I456" s="272"/>
    </row>
    <row r="457" spans="1:9" x14ac:dyDescent="0.3">
      <c r="A457"/>
      <c r="F457"/>
      <c r="G457"/>
      <c r="I457" s="272"/>
    </row>
    <row r="458" spans="1:9" x14ac:dyDescent="0.3">
      <c r="A458"/>
      <c r="F458"/>
      <c r="G458"/>
      <c r="I458" s="272"/>
    </row>
    <row r="459" spans="1:9" x14ac:dyDescent="0.3">
      <c r="A459"/>
      <c r="F459"/>
      <c r="G459"/>
      <c r="I459" s="272"/>
    </row>
    <row r="460" spans="1:9" x14ac:dyDescent="0.3">
      <c r="A460"/>
      <c r="F460"/>
      <c r="G460"/>
      <c r="I460" s="272"/>
    </row>
    <row r="461" spans="1:9" x14ac:dyDescent="0.3">
      <c r="A461"/>
      <c r="F461"/>
      <c r="G461"/>
      <c r="I461" s="272"/>
    </row>
    <row r="462" spans="1:9" x14ac:dyDescent="0.3">
      <c r="A462"/>
      <c r="F462"/>
      <c r="G462"/>
      <c r="I462" s="272"/>
    </row>
    <row r="463" spans="1:9" x14ac:dyDescent="0.3">
      <c r="A463"/>
      <c r="F463"/>
      <c r="G463"/>
      <c r="I463" s="272"/>
    </row>
    <row r="464" spans="1:9" x14ac:dyDescent="0.3">
      <c r="A464"/>
      <c r="F464"/>
      <c r="G464"/>
      <c r="I464" s="272"/>
    </row>
    <row r="465" spans="1:12" x14ac:dyDescent="0.3">
      <c r="A465"/>
      <c r="F465"/>
      <c r="G465"/>
      <c r="I465" s="272"/>
    </row>
    <row r="466" spans="1:12" x14ac:dyDescent="0.3">
      <c r="A466"/>
      <c r="F466"/>
      <c r="G466"/>
      <c r="I466" s="272"/>
    </row>
    <row r="467" spans="1:12" x14ac:dyDescent="0.3">
      <c r="A467"/>
      <c r="F467"/>
      <c r="G467"/>
      <c r="I467" s="272"/>
    </row>
    <row r="468" spans="1:12" x14ac:dyDescent="0.3">
      <c r="A468"/>
      <c r="F468"/>
      <c r="G468"/>
      <c r="I468" s="272"/>
    </row>
    <row r="469" spans="1:12" x14ac:dyDescent="0.3">
      <c r="A469"/>
      <c r="F469"/>
      <c r="G469"/>
      <c r="I469" s="272"/>
    </row>
    <row r="470" spans="1:12" x14ac:dyDescent="0.3">
      <c r="A470"/>
      <c r="F470"/>
      <c r="G470"/>
      <c r="I470" s="272"/>
    </row>
    <row r="471" spans="1:12" x14ac:dyDescent="0.3">
      <c r="A471"/>
      <c r="F471"/>
      <c r="G471"/>
      <c r="I471" s="272"/>
    </row>
    <row r="472" spans="1:12" x14ac:dyDescent="0.3">
      <c r="A472"/>
      <c r="F472"/>
      <c r="G472"/>
      <c r="I472" s="272"/>
    </row>
    <row r="473" spans="1:12" x14ac:dyDescent="0.3">
      <c r="A473"/>
      <c r="F473"/>
      <c r="G473"/>
      <c r="I473" s="272"/>
    </row>
    <row r="474" spans="1:12" x14ac:dyDescent="0.3">
      <c r="A474"/>
      <c r="F474"/>
      <c r="G474"/>
      <c r="I474" s="272"/>
    </row>
    <row r="475" spans="1:12" x14ac:dyDescent="0.3">
      <c r="A475"/>
      <c r="F475"/>
      <c r="G475"/>
      <c r="I475" s="272"/>
      <c r="L475" t="s">
        <v>472</v>
      </c>
    </row>
    <row r="476" spans="1:12" x14ac:dyDescent="0.3">
      <c r="A476"/>
      <c r="F476"/>
      <c r="G476"/>
      <c r="I476" s="272"/>
    </row>
    <row r="477" spans="1:12" x14ac:dyDescent="0.3">
      <c r="A477"/>
      <c r="F477"/>
      <c r="G477"/>
      <c r="I477" s="272"/>
      <c r="K477">
        <v>3828</v>
      </c>
    </row>
    <row r="478" spans="1:12" x14ac:dyDescent="0.3">
      <c r="A478"/>
      <c r="F478"/>
      <c r="G478"/>
      <c r="I478" s="272"/>
      <c r="K478">
        <v>21999.84</v>
      </c>
    </row>
    <row r="479" spans="1:12" x14ac:dyDescent="0.3">
      <c r="A479"/>
      <c r="F479"/>
      <c r="G479"/>
      <c r="I479" s="272"/>
      <c r="K479">
        <v>16499.879999999997</v>
      </c>
    </row>
    <row r="480" spans="1:12" x14ac:dyDescent="0.3">
      <c r="A480"/>
      <c r="F480"/>
      <c r="G480"/>
      <c r="I480" s="272"/>
      <c r="K480">
        <v>19199.987999999998</v>
      </c>
    </row>
    <row r="481" spans="1:11" x14ac:dyDescent="0.3">
      <c r="A481"/>
      <c r="F481"/>
      <c r="G481"/>
      <c r="I481" s="272"/>
      <c r="K481">
        <v>840</v>
      </c>
    </row>
    <row r="482" spans="1:11" x14ac:dyDescent="0.3">
      <c r="A482"/>
      <c r="F482"/>
      <c r="G482"/>
      <c r="I482" s="272"/>
      <c r="K482">
        <v>5610</v>
      </c>
    </row>
    <row r="483" spans="1:11" x14ac:dyDescent="0.3">
      <c r="A483"/>
      <c r="F483"/>
      <c r="G483"/>
      <c r="I483" s="272"/>
    </row>
    <row r="484" spans="1:11" x14ac:dyDescent="0.3">
      <c r="A484"/>
      <c r="F484"/>
      <c r="G484"/>
      <c r="I484" s="272"/>
    </row>
    <row r="485" spans="1:11" x14ac:dyDescent="0.3">
      <c r="A485"/>
      <c r="F485"/>
      <c r="G485"/>
      <c r="I485" s="272"/>
      <c r="K485">
        <v>6540</v>
      </c>
    </row>
    <row r="486" spans="1:11" x14ac:dyDescent="0.3">
      <c r="A486"/>
      <c r="F486"/>
      <c r="G486"/>
      <c r="I486" s="272"/>
    </row>
    <row r="487" spans="1:11" x14ac:dyDescent="0.3">
      <c r="A487"/>
      <c r="F487"/>
      <c r="G487"/>
      <c r="I487" s="272"/>
      <c r="K487">
        <v>624</v>
      </c>
    </row>
    <row r="488" spans="1:11" x14ac:dyDescent="0.3">
      <c r="A488"/>
      <c r="F488"/>
      <c r="G488"/>
      <c r="I488" s="272"/>
      <c r="K488">
        <v>456</v>
      </c>
    </row>
    <row r="489" spans="1:11" x14ac:dyDescent="0.3">
      <c r="A489"/>
      <c r="F489"/>
      <c r="G489"/>
      <c r="I489" s="272"/>
      <c r="K489">
        <v>840</v>
      </c>
    </row>
    <row r="490" spans="1:11" x14ac:dyDescent="0.3">
      <c r="A490"/>
      <c r="F490"/>
      <c r="G490"/>
      <c r="I490" s="272"/>
      <c r="K490">
        <v>12030</v>
      </c>
    </row>
    <row r="491" spans="1:11" x14ac:dyDescent="0.3">
      <c r="A491"/>
      <c r="F491"/>
      <c r="G491"/>
      <c r="I491" s="272"/>
    </row>
    <row r="492" spans="1:11" x14ac:dyDescent="0.3">
      <c r="A492"/>
      <c r="F492"/>
      <c r="G492"/>
      <c r="I492" s="272"/>
    </row>
    <row r="493" spans="1:11" x14ac:dyDescent="0.3">
      <c r="A493"/>
      <c r="F493"/>
      <c r="G493"/>
      <c r="I493" s="272"/>
    </row>
    <row r="494" spans="1:11" x14ac:dyDescent="0.3">
      <c r="A494"/>
      <c r="F494"/>
      <c r="G494"/>
      <c r="I494" s="272"/>
      <c r="K494">
        <v>10094.4</v>
      </c>
    </row>
    <row r="495" spans="1:11" x14ac:dyDescent="0.3">
      <c r="A495"/>
      <c r="F495"/>
      <c r="G495"/>
      <c r="I495" s="272"/>
      <c r="K495">
        <v>8720.4</v>
      </c>
    </row>
    <row r="496" spans="1:11" x14ac:dyDescent="0.3">
      <c r="A496"/>
      <c r="F496"/>
      <c r="G496"/>
      <c r="I496" s="272"/>
    </row>
    <row r="497" spans="1:11" x14ac:dyDescent="0.3">
      <c r="A497"/>
      <c r="F497"/>
      <c r="G497"/>
      <c r="I497" s="272"/>
    </row>
    <row r="498" spans="1:11" x14ac:dyDescent="0.3">
      <c r="A498"/>
      <c r="F498"/>
      <c r="G498"/>
      <c r="I498" s="272"/>
      <c r="K498">
        <v>9920.4240000000009</v>
      </c>
    </row>
    <row r="499" spans="1:11" x14ac:dyDescent="0.3">
      <c r="A499"/>
      <c r="F499"/>
      <c r="G499"/>
      <c r="I499" s="272"/>
    </row>
    <row r="500" spans="1:11" x14ac:dyDescent="0.3">
      <c r="A500"/>
      <c r="F500"/>
      <c r="G500"/>
      <c r="I500" s="272"/>
    </row>
    <row r="501" spans="1:11" x14ac:dyDescent="0.3">
      <c r="A501"/>
      <c r="F501"/>
      <c r="G501"/>
      <c r="I501" s="272"/>
      <c r="K501">
        <v>662.4</v>
      </c>
    </row>
    <row r="502" spans="1:11" x14ac:dyDescent="0.3">
      <c r="A502"/>
      <c r="F502"/>
      <c r="G502"/>
      <c r="I502" s="272"/>
      <c r="K502">
        <v>11298</v>
      </c>
    </row>
    <row r="503" spans="1:11" x14ac:dyDescent="0.3">
      <c r="A503"/>
      <c r="F503"/>
      <c r="G503"/>
      <c r="I503" s="272"/>
      <c r="K503">
        <v>399.99999999999955</v>
      </c>
    </row>
    <row r="504" spans="1:11" x14ac:dyDescent="0.3">
      <c r="A504"/>
      <c r="F504"/>
      <c r="G504"/>
      <c r="I504" s="272"/>
      <c r="K504">
        <v>761.49599999999998</v>
      </c>
    </row>
    <row r="505" spans="1:11" x14ac:dyDescent="0.3">
      <c r="A505"/>
      <c r="F505"/>
      <c r="G505"/>
      <c r="I505" s="272"/>
    </row>
    <row r="506" spans="1:11" x14ac:dyDescent="0.3">
      <c r="A506"/>
      <c r="F506"/>
      <c r="G506"/>
      <c r="I506" s="272"/>
    </row>
    <row r="507" spans="1:11" x14ac:dyDescent="0.3">
      <c r="A507"/>
      <c r="F507"/>
      <c r="G507"/>
      <c r="I507" s="272"/>
      <c r="K507">
        <v>337.5</v>
      </c>
    </row>
    <row r="508" spans="1:11" x14ac:dyDescent="0.3">
      <c r="A508"/>
      <c r="F508"/>
      <c r="G508"/>
      <c r="I508" s="272"/>
      <c r="K508">
        <v>1869.9999995999999</v>
      </c>
    </row>
    <row r="509" spans="1:11" x14ac:dyDescent="0.3">
      <c r="A509"/>
      <c r="F509"/>
      <c r="G509"/>
      <c r="I509" s="272"/>
    </row>
    <row r="510" spans="1:11" x14ac:dyDescent="0.3">
      <c r="A510"/>
      <c r="F510"/>
      <c r="G510"/>
      <c r="I510" s="272"/>
      <c r="K510">
        <v>2707.5</v>
      </c>
    </row>
    <row r="511" spans="1:11" x14ac:dyDescent="0.3">
      <c r="A511"/>
      <c r="F511"/>
      <c r="G511"/>
      <c r="I511" s="272"/>
    </row>
    <row r="512" spans="1:11" x14ac:dyDescent="0.3">
      <c r="A512"/>
      <c r="F512"/>
      <c r="G512"/>
      <c r="I512" s="272"/>
      <c r="K512">
        <v>350.00000000099999</v>
      </c>
    </row>
    <row r="513" spans="1:11" x14ac:dyDescent="0.3">
      <c r="A513"/>
      <c r="F513"/>
      <c r="G513"/>
      <c r="I513" s="272"/>
    </row>
    <row r="514" spans="1:11" x14ac:dyDescent="0.3">
      <c r="A514"/>
      <c r="F514"/>
      <c r="G514"/>
      <c r="I514" s="272"/>
      <c r="K514">
        <v>1989.9999959999998</v>
      </c>
    </row>
    <row r="515" spans="1:11" x14ac:dyDescent="0.3">
      <c r="A515"/>
      <c r="F515"/>
      <c r="G515"/>
      <c r="I515" s="272"/>
      <c r="K515">
        <v>585</v>
      </c>
    </row>
    <row r="516" spans="1:11" x14ac:dyDescent="0.3">
      <c r="A516"/>
      <c r="F516"/>
      <c r="G516"/>
      <c r="I516" s="272"/>
      <c r="K516">
        <v>1746</v>
      </c>
    </row>
    <row r="517" spans="1:11" x14ac:dyDescent="0.3">
      <c r="A517"/>
      <c r="F517"/>
      <c r="G517"/>
      <c r="I517" s="272"/>
      <c r="K517">
        <v>1059.9999995999999</v>
      </c>
    </row>
    <row r="518" spans="1:11" x14ac:dyDescent="0.3">
      <c r="A518"/>
      <c r="F518"/>
      <c r="G518"/>
      <c r="I518" s="272"/>
    </row>
    <row r="519" spans="1:11" x14ac:dyDescent="0.3">
      <c r="A519"/>
      <c r="F519"/>
      <c r="G519"/>
      <c r="I519" s="272"/>
      <c r="K519">
        <v>324.99599999999998</v>
      </c>
    </row>
    <row r="520" spans="1:11" x14ac:dyDescent="0.3">
      <c r="A520"/>
      <c r="F520"/>
      <c r="G520"/>
      <c r="I520" s="272"/>
      <c r="K520">
        <v>4320</v>
      </c>
    </row>
    <row r="521" spans="1:11" x14ac:dyDescent="0.3">
      <c r="A521"/>
      <c r="F521"/>
      <c r="G521"/>
      <c r="I521" s="272"/>
      <c r="K521">
        <v>3612</v>
      </c>
    </row>
    <row r="522" spans="1:11" x14ac:dyDescent="0.3">
      <c r="A522"/>
      <c r="F522"/>
      <c r="G522"/>
      <c r="I522" s="272"/>
    </row>
    <row r="523" spans="1:11" x14ac:dyDescent="0.3">
      <c r="A523"/>
      <c r="F523"/>
      <c r="G523"/>
      <c r="I523" s="272"/>
      <c r="K523">
        <v>852</v>
      </c>
    </row>
    <row r="524" spans="1:11" x14ac:dyDescent="0.3">
      <c r="A524"/>
      <c r="F524"/>
      <c r="G524"/>
      <c r="I524" s="272"/>
    </row>
    <row r="525" spans="1:11" x14ac:dyDescent="0.3">
      <c r="A525"/>
      <c r="F525"/>
      <c r="G525"/>
      <c r="I525" s="272"/>
      <c r="K525">
        <v>420</v>
      </c>
    </row>
    <row r="526" spans="1:11" x14ac:dyDescent="0.3">
      <c r="A526"/>
      <c r="F526"/>
      <c r="G526"/>
      <c r="I526" s="272"/>
      <c r="K526">
        <v>31376.171999999999</v>
      </c>
    </row>
    <row r="527" spans="1:11" x14ac:dyDescent="0.3">
      <c r="A527"/>
      <c r="F527"/>
      <c r="G527"/>
      <c r="I527" s="272"/>
    </row>
    <row r="528" spans="1:11" x14ac:dyDescent="0.3">
      <c r="A528"/>
      <c r="F528"/>
      <c r="G528"/>
      <c r="I528" s="272"/>
    </row>
    <row r="529" spans="1:11" x14ac:dyDescent="0.3">
      <c r="A529"/>
      <c r="F529"/>
      <c r="G529"/>
      <c r="I529" s="272"/>
    </row>
    <row r="530" spans="1:11" x14ac:dyDescent="0.3">
      <c r="A530"/>
      <c r="F530"/>
      <c r="G530"/>
      <c r="I530" s="272"/>
    </row>
    <row r="531" spans="1:11" x14ac:dyDescent="0.3">
      <c r="A531"/>
      <c r="F531"/>
      <c r="G531"/>
      <c r="I531" s="272"/>
    </row>
    <row r="532" spans="1:11" x14ac:dyDescent="0.3">
      <c r="A532"/>
      <c r="F532"/>
      <c r="G532"/>
      <c r="I532" s="272"/>
    </row>
    <row r="533" spans="1:11" x14ac:dyDescent="0.3">
      <c r="A533"/>
      <c r="F533"/>
      <c r="G533"/>
      <c r="I533" s="272"/>
    </row>
    <row r="534" spans="1:11" x14ac:dyDescent="0.3">
      <c r="A534"/>
      <c r="F534"/>
      <c r="G534"/>
      <c r="I534" s="272"/>
    </row>
    <row r="535" spans="1:11" x14ac:dyDescent="0.3">
      <c r="A535"/>
      <c r="F535"/>
      <c r="G535"/>
      <c r="I535" s="272"/>
    </row>
    <row r="536" spans="1:11" x14ac:dyDescent="0.3">
      <c r="A536"/>
      <c r="F536"/>
      <c r="G536"/>
      <c r="I536" s="272"/>
      <c r="K536">
        <v>8070</v>
      </c>
    </row>
    <row r="537" spans="1:11" x14ac:dyDescent="0.3">
      <c r="A537"/>
      <c r="F537"/>
      <c r="G537"/>
      <c r="I537" s="272"/>
      <c r="K537">
        <v>1260</v>
      </c>
    </row>
    <row r="538" spans="1:11" x14ac:dyDescent="0.3">
      <c r="A538"/>
      <c r="F538"/>
      <c r="G538"/>
      <c r="I538" s="272"/>
    </row>
    <row r="539" spans="1:11" x14ac:dyDescent="0.3">
      <c r="A539"/>
      <c r="F539"/>
      <c r="G539"/>
      <c r="I539" s="272"/>
      <c r="K539">
        <v>384</v>
      </c>
    </row>
    <row r="540" spans="1:11" x14ac:dyDescent="0.3">
      <c r="A540"/>
      <c r="F540"/>
      <c r="G540"/>
      <c r="I540" s="272"/>
      <c r="K540">
        <v>4563.0360000000001</v>
      </c>
    </row>
    <row r="541" spans="1:11" x14ac:dyDescent="0.3">
      <c r="A541"/>
      <c r="F541"/>
      <c r="G541"/>
      <c r="I541" s="272"/>
    </row>
    <row r="542" spans="1:11" x14ac:dyDescent="0.3">
      <c r="A542"/>
      <c r="F542"/>
      <c r="G542"/>
      <c r="I542" s="272"/>
    </row>
    <row r="543" spans="1:11" x14ac:dyDescent="0.3">
      <c r="A543"/>
      <c r="F543"/>
      <c r="G543"/>
      <c r="I543" s="272"/>
    </row>
    <row r="544" spans="1:11" x14ac:dyDescent="0.3">
      <c r="A544"/>
      <c r="F544"/>
      <c r="G544"/>
      <c r="I544" s="272"/>
    </row>
    <row r="545" spans="1:11" x14ac:dyDescent="0.3">
      <c r="A545"/>
      <c r="F545"/>
      <c r="G545"/>
      <c r="I545" s="272"/>
    </row>
    <row r="546" spans="1:11" x14ac:dyDescent="0.3">
      <c r="A546"/>
      <c r="F546"/>
      <c r="G546"/>
      <c r="I546" s="272"/>
      <c r="K546">
        <v>750.12</v>
      </c>
    </row>
    <row r="547" spans="1:11" x14ac:dyDescent="0.3">
      <c r="A547"/>
      <c r="F547"/>
      <c r="G547"/>
      <c r="I547" s="272"/>
    </row>
    <row r="548" spans="1:11" x14ac:dyDescent="0.3">
      <c r="A548"/>
      <c r="F548"/>
      <c r="G548"/>
      <c r="I548" s="272"/>
    </row>
    <row r="549" spans="1:11" x14ac:dyDescent="0.3">
      <c r="A549"/>
      <c r="F549"/>
      <c r="G549"/>
      <c r="I549" s="272"/>
    </row>
    <row r="550" spans="1:11" x14ac:dyDescent="0.3">
      <c r="A550"/>
      <c r="F550"/>
      <c r="G550"/>
      <c r="I550" s="272"/>
      <c r="K550">
        <v>4800</v>
      </c>
    </row>
    <row r="551" spans="1:11" x14ac:dyDescent="0.3">
      <c r="A551"/>
      <c r="F551"/>
      <c r="G551"/>
      <c r="I551" s="272"/>
      <c r="K551">
        <v>10975.199999999999</v>
      </c>
    </row>
    <row r="552" spans="1:11" x14ac:dyDescent="0.3">
      <c r="A552"/>
      <c r="F552"/>
      <c r="G552"/>
      <c r="I552" s="272"/>
      <c r="K552">
        <v>1627.2</v>
      </c>
    </row>
    <row r="553" spans="1:11" x14ac:dyDescent="0.3">
      <c r="A553"/>
      <c r="F553"/>
      <c r="G553"/>
      <c r="I553" s="272"/>
      <c r="K553">
        <v>249.99959999999999</v>
      </c>
    </row>
    <row r="554" spans="1:11" x14ac:dyDescent="0.3">
      <c r="A554"/>
      <c r="F554"/>
      <c r="G554"/>
      <c r="I554" s="272"/>
      <c r="K554">
        <v>1200</v>
      </c>
    </row>
    <row r="555" spans="1:11" x14ac:dyDescent="0.3">
      <c r="A555"/>
      <c r="F555"/>
      <c r="G555"/>
      <c r="I555" s="272"/>
    </row>
    <row r="556" spans="1:11" x14ac:dyDescent="0.3">
      <c r="A556"/>
      <c r="F556"/>
      <c r="G556"/>
      <c r="I556" s="272"/>
      <c r="K556">
        <v>541.43999999999994</v>
      </c>
    </row>
    <row r="557" spans="1:11" x14ac:dyDescent="0.3">
      <c r="A557"/>
      <c r="F557"/>
      <c r="G557"/>
      <c r="I557" s="272"/>
      <c r="K557">
        <v>887.84039999999993</v>
      </c>
    </row>
    <row r="558" spans="1:11" x14ac:dyDescent="0.3">
      <c r="A558"/>
      <c r="F558"/>
      <c r="G558"/>
      <c r="I558" s="272"/>
    </row>
    <row r="559" spans="1:11" x14ac:dyDescent="0.3">
      <c r="A559"/>
      <c r="F559"/>
      <c r="G559"/>
      <c r="I559" s="272"/>
      <c r="K559">
        <v>541.43999999999994</v>
      </c>
    </row>
    <row r="560" spans="1:11" x14ac:dyDescent="0.3">
      <c r="A560"/>
      <c r="F560"/>
      <c r="G560"/>
      <c r="I560" s="272"/>
      <c r="K560">
        <v>327.37559999999996</v>
      </c>
    </row>
    <row r="561" spans="1:11" x14ac:dyDescent="0.3">
      <c r="A561"/>
      <c r="F561"/>
      <c r="G561"/>
      <c r="I561" s="272"/>
      <c r="K561">
        <v>1262.4959999999999</v>
      </c>
    </row>
    <row r="562" spans="1:11" x14ac:dyDescent="0.3">
      <c r="A562"/>
      <c r="F562"/>
      <c r="G562"/>
      <c r="I562" s="272"/>
    </row>
    <row r="563" spans="1:11" x14ac:dyDescent="0.3">
      <c r="A563"/>
      <c r="F563"/>
      <c r="G563"/>
      <c r="I563" s="272"/>
    </row>
    <row r="564" spans="1:11" x14ac:dyDescent="0.3">
      <c r="A564"/>
      <c r="F564"/>
      <c r="G564"/>
      <c r="I564" s="272"/>
    </row>
    <row r="565" spans="1:11" x14ac:dyDescent="0.3">
      <c r="A565"/>
      <c r="F565"/>
      <c r="G565"/>
      <c r="I565" s="272"/>
    </row>
    <row r="566" spans="1:11" x14ac:dyDescent="0.3">
      <c r="A566"/>
      <c r="F566"/>
      <c r="G566"/>
      <c r="I566" s="272"/>
    </row>
    <row r="567" spans="1:11" x14ac:dyDescent="0.3">
      <c r="A567"/>
      <c r="F567"/>
      <c r="G567"/>
      <c r="I567" s="272"/>
    </row>
    <row r="568" spans="1:11" x14ac:dyDescent="0.3">
      <c r="A568"/>
      <c r="F568"/>
      <c r="G568"/>
      <c r="I568" s="272"/>
    </row>
    <row r="569" spans="1:11" x14ac:dyDescent="0.3">
      <c r="A569"/>
      <c r="F569"/>
      <c r="G569"/>
      <c r="I569" s="272"/>
    </row>
    <row r="570" spans="1:11" x14ac:dyDescent="0.3">
      <c r="A570"/>
      <c r="F570"/>
      <c r="G570"/>
      <c r="I570" s="272"/>
    </row>
    <row r="571" spans="1:11" x14ac:dyDescent="0.3">
      <c r="A571"/>
      <c r="F571"/>
      <c r="G571"/>
      <c r="I571" s="272"/>
    </row>
    <row r="572" spans="1:11" x14ac:dyDescent="0.3">
      <c r="A572"/>
      <c r="F572"/>
      <c r="G572"/>
      <c r="I572" s="272"/>
    </row>
    <row r="573" spans="1:11" x14ac:dyDescent="0.3">
      <c r="A573"/>
      <c r="F573"/>
      <c r="G573"/>
      <c r="I573" s="272"/>
    </row>
    <row r="574" spans="1:11" x14ac:dyDescent="0.3">
      <c r="A574"/>
      <c r="F574"/>
      <c r="G574"/>
      <c r="I574" s="272"/>
    </row>
    <row r="575" spans="1:11" x14ac:dyDescent="0.3">
      <c r="A575"/>
      <c r="F575"/>
      <c r="G575"/>
      <c r="I575" s="272"/>
    </row>
    <row r="576" spans="1:11" x14ac:dyDescent="0.3">
      <c r="A576"/>
      <c r="F576"/>
      <c r="G576"/>
      <c r="I576" s="272"/>
    </row>
    <row r="577" spans="1:9" x14ac:dyDescent="0.3">
      <c r="A577"/>
      <c r="F577"/>
      <c r="G577"/>
      <c r="I577" s="272"/>
    </row>
    <row r="578" spans="1:9" x14ac:dyDescent="0.3">
      <c r="A578"/>
      <c r="F578"/>
      <c r="G578"/>
      <c r="I578" s="272"/>
    </row>
    <row r="579" spans="1:9" x14ac:dyDescent="0.3">
      <c r="A579"/>
      <c r="F579"/>
      <c r="G579"/>
      <c r="I579" s="272"/>
    </row>
    <row r="580" spans="1:9" x14ac:dyDescent="0.3">
      <c r="A580"/>
      <c r="F580"/>
      <c r="G580"/>
      <c r="I580" s="272"/>
    </row>
    <row r="581" spans="1:9" x14ac:dyDescent="0.3">
      <c r="A581"/>
      <c r="F581"/>
      <c r="G581"/>
      <c r="I581" s="272"/>
    </row>
    <row r="582" spans="1:9" x14ac:dyDescent="0.3">
      <c r="A582"/>
      <c r="F582"/>
      <c r="G582"/>
      <c r="I582" s="272"/>
    </row>
    <row r="583" spans="1:9" x14ac:dyDescent="0.3">
      <c r="A583"/>
      <c r="F583"/>
      <c r="G583"/>
      <c r="I583" s="272"/>
    </row>
    <row r="584" spans="1:9" x14ac:dyDescent="0.3">
      <c r="A584"/>
      <c r="F584"/>
      <c r="G584"/>
      <c r="I584" s="272"/>
    </row>
    <row r="585" spans="1:9" x14ac:dyDescent="0.3">
      <c r="A585"/>
      <c r="F585"/>
      <c r="G585"/>
      <c r="I585" s="272"/>
    </row>
    <row r="586" spans="1:9" x14ac:dyDescent="0.3">
      <c r="A586"/>
      <c r="F586"/>
      <c r="G586"/>
      <c r="I586" s="272"/>
    </row>
    <row r="587" spans="1:9" x14ac:dyDescent="0.3">
      <c r="A587"/>
      <c r="F587"/>
      <c r="G587"/>
      <c r="I587" s="272"/>
    </row>
    <row r="588" spans="1:9" x14ac:dyDescent="0.3">
      <c r="A588"/>
      <c r="F588"/>
      <c r="G588"/>
      <c r="I588" s="272"/>
    </row>
    <row r="589" spans="1:9" x14ac:dyDescent="0.3">
      <c r="A589"/>
      <c r="F589"/>
      <c r="G589"/>
      <c r="I589" s="272"/>
    </row>
    <row r="590" spans="1:9" x14ac:dyDescent="0.3">
      <c r="A590"/>
      <c r="F590"/>
      <c r="G590"/>
      <c r="I590" s="272"/>
    </row>
    <row r="591" spans="1:9" x14ac:dyDescent="0.3">
      <c r="A591"/>
      <c r="F591"/>
      <c r="G591"/>
      <c r="I591" s="272"/>
    </row>
    <row r="592" spans="1:9" x14ac:dyDescent="0.3">
      <c r="A592"/>
      <c r="F592"/>
      <c r="G592"/>
      <c r="I592" s="272"/>
    </row>
    <row r="593" spans="1:9" x14ac:dyDescent="0.3">
      <c r="A593"/>
      <c r="F593"/>
      <c r="G593"/>
      <c r="I593" s="272"/>
    </row>
    <row r="594" spans="1:9" x14ac:dyDescent="0.3">
      <c r="A594"/>
      <c r="F594"/>
      <c r="G594"/>
      <c r="I594" s="272"/>
    </row>
    <row r="595" spans="1:9" x14ac:dyDescent="0.3">
      <c r="A595"/>
      <c r="F595"/>
      <c r="G595"/>
      <c r="I595" s="272"/>
    </row>
    <row r="596" spans="1:9" x14ac:dyDescent="0.3">
      <c r="A596"/>
      <c r="F596"/>
      <c r="G596"/>
      <c r="I596" s="272"/>
    </row>
    <row r="597" spans="1:9" x14ac:dyDescent="0.3">
      <c r="A597"/>
      <c r="F597"/>
      <c r="G597"/>
      <c r="I597" s="272"/>
    </row>
    <row r="598" spans="1:9" x14ac:dyDescent="0.3">
      <c r="A598"/>
      <c r="F598"/>
      <c r="G598"/>
      <c r="I598" s="272"/>
    </row>
    <row r="599" spans="1:9" x14ac:dyDescent="0.3">
      <c r="A599"/>
      <c r="F599"/>
      <c r="G599"/>
      <c r="I599" s="272"/>
    </row>
    <row r="600" spans="1:9" x14ac:dyDescent="0.3">
      <c r="A600"/>
      <c r="F600"/>
      <c r="G600"/>
      <c r="I600" s="272"/>
    </row>
    <row r="601" spans="1:9" x14ac:dyDescent="0.3">
      <c r="A601"/>
      <c r="F601"/>
      <c r="G601"/>
      <c r="I601" s="272"/>
    </row>
    <row r="602" spans="1:9" x14ac:dyDescent="0.3">
      <c r="A602"/>
      <c r="F602"/>
      <c r="G602"/>
      <c r="I602" s="272"/>
    </row>
    <row r="603" spans="1:9" x14ac:dyDescent="0.3">
      <c r="A603"/>
      <c r="F603"/>
      <c r="G603"/>
      <c r="I603" s="272"/>
    </row>
    <row r="604" spans="1:9" x14ac:dyDescent="0.3">
      <c r="A604"/>
      <c r="F604"/>
      <c r="G604"/>
      <c r="I604" s="272"/>
    </row>
    <row r="605" spans="1:9" x14ac:dyDescent="0.3">
      <c r="A605"/>
      <c r="F605"/>
      <c r="G605"/>
      <c r="I605" s="272"/>
    </row>
    <row r="606" spans="1:9" x14ac:dyDescent="0.3">
      <c r="A606"/>
      <c r="F606"/>
      <c r="G606"/>
      <c r="I606" s="272"/>
    </row>
    <row r="607" spans="1:9" x14ac:dyDescent="0.3">
      <c r="A607"/>
      <c r="F607"/>
      <c r="G607"/>
      <c r="I607" s="272"/>
    </row>
    <row r="608" spans="1:9" x14ac:dyDescent="0.3">
      <c r="A608"/>
      <c r="F608"/>
      <c r="G608"/>
      <c r="I608" s="272"/>
    </row>
    <row r="609" spans="1:9" x14ac:dyDescent="0.3">
      <c r="A609"/>
      <c r="F609"/>
      <c r="G609"/>
      <c r="I609" s="272"/>
    </row>
    <row r="610" spans="1:9" x14ac:dyDescent="0.3">
      <c r="A610"/>
      <c r="F610"/>
      <c r="G610"/>
      <c r="I610" s="272"/>
    </row>
    <row r="611" spans="1:9" x14ac:dyDescent="0.3">
      <c r="A611"/>
      <c r="F611"/>
      <c r="G611"/>
      <c r="I611" s="272"/>
    </row>
    <row r="612" spans="1:9" x14ac:dyDescent="0.3">
      <c r="A612"/>
      <c r="F612"/>
      <c r="G612"/>
      <c r="I612" s="272"/>
    </row>
    <row r="613" spans="1:9" x14ac:dyDescent="0.3">
      <c r="A613"/>
      <c r="F613"/>
      <c r="G613"/>
      <c r="I613" s="272"/>
    </row>
    <row r="614" spans="1:9" x14ac:dyDescent="0.3">
      <c r="A614"/>
      <c r="F614"/>
      <c r="G614"/>
      <c r="I614" s="272"/>
    </row>
    <row r="615" spans="1:9" x14ac:dyDescent="0.3">
      <c r="A615"/>
      <c r="F615"/>
      <c r="G615"/>
      <c r="I615" s="272"/>
    </row>
    <row r="616" spans="1:9" x14ac:dyDescent="0.3">
      <c r="A616"/>
      <c r="F616"/>
      <c r="G616"/>
      <c r="I616" s="272"/>
    </row>
    <row r="617" spans="1:9" x14ac:dyDescent="0.3">
      <c r="A617"/>
      <c r="F617"/>
      <c r="G617"/>
      <c r="I617" s="272"/>
    </row>
    <row r="618" spans="1:9" x14ac:dyDescent="0.3">
      <c r="A618"/>
      <c r="F618"/>
      <c r="G618"/>
      <c r="I618" s="272"/>
    </row>
    <row r="619" spans="1:9" x14ac:dyDescent="0.3">
      <c r="A619"/>
      <c r="F619"/>
      <c r="G619"/>
      <c r="I619" s="272"/>
    </row>
    <row r="620" spans="1:9" x14ac:dyDescent="0.3">
      <c r="A620"/>
      <c r="F620"/>
      <c r="G620"/>
      <c r="I620" s="272"/>
    </row>
    <row r="621" spans="1:9" x14ac:dyDescent="0.3">
      <c r="A621"/>
      <c r="F621"/>
      <c r="G621"/>
      <c r="I621" s="272"/>
    </row>
    <row r="622" spans="1:9" x14ac:dyDescent="0.3">
      <c r="A622"/>
      <c r="F622"/>
      <c r="G622"/>
      <c r="I622" s="272"/>
    </row>
    <row r="623" spans="1:9" x14ac:dyDescent="0.3">
      <c r="A623"/>
      <c r="F623"/>
      <c r="G623"/>
      <c r="I623" s="272"/>
    </row>
    <row r="624" spans="1:9" x14ac:dyDescent="0.3">
      <c r="A624"/>
      <c r="F624"/>
      <c r="G624"/>
      <c r="I624" s="272"/>
    </row>
    <row r="625" spans="1:9" x14ac:dyDescent="0.3">
      <c r="A625"/>
      <c r="F625"/>
      <c r="G625"/>
      <c r="I625" s="272"/>
    </row>
    <row r="626" spans="1:9" x14ac:dyDescent="0.3">
      <c r="A626"/>
      <c r="F626"/>
      <c r="G626"/>
      <c r="I626" s="272"/>
    </row>
    <row r="627" spans="1:9" x14ac:dyDescent="0.3">
      <c r="A627"/>
      <c r="F627"/>
      <c r="G627"/>
      <c r="I627" s="272"/>
    </row>
    <row r="628" spans="1:9" x14ac:dyDescent="0.3">
      <c r="A628"/>
      <c r="F628"/>
      <c r="G628"/>
      <c r="I628" s="272"/>
    </row>
    <row r="629" spans="1:9" x14ac:dyDescent="0.3">
      <c r="A629"/>
      <c r="F629"/>
      <c r="G629"/>
      <c r="I629" s="272"/>
    </row>
    <row r="630" spans="1:9" x14ac:dyDescent="0.3">
      <c r="A630"/>
      <c r="F630"/>
      <c r="G630"/>
      <c r="I630" s="272"/>
    </row>
    <row r="631" spans="1:9" x14ac:dyDescent="0.3">
      <c r="A631"/>
      <c r="F631"/>
      <c r="G631"/>
      <c r="I631" s="272"/>
    </row>
    <row r="632" spans="1:9" x14ac:dyDescent="0.3">
      <c r="A632"/>
      <c r="F632"/>
      <c r="G632"/>
      <c r="I632" s="272"/>
    </row>
    <row r="633" spans="1:9" x14ac:dyDescent="0.3">
      <c r="A633"/>
      <c r="F633"/>
      <c r="G633"/>
      <c r="I633" s="272"/>
    </row>
    <row r="634" spans="1:9" x14ac:dyDescent="0.3">
      <c r="A634"/>
      <c r="F634"/>
      <c r="G634"/>
      <c r="I634" s="272"/>
    </row>
    <row r="635" spans="1:9" x14ac:dyDescent="0.3">
      <c r="A635"/>
      <c r="F635"/>
      <c r="G635"/>
      <c r="I635" s="272"/>
    </row>
    <row r="636" spans="1:9" x14ac:dyDescent="0.3">
      <c r="A636"/>
      <c r="F636"/>
      <c r="G636"/>
      <c r="I636" s="272"/>
    </row>
    <row r="637" spans="1:9" x14ac:dyDescent="0.3">
      <c r="A637"/>
      <c r="F637"/>
      <c r="G637"/>
      <c r="I637" s="272"/>
    </row>
    <row r="638" spans="1:9" x14ac:dyDescent="0.3">
      <c r="A638"/>
      <c r="F638"/>
      <c r="G638"/>
      <c r="I638" s="272"/>
    </row>
    <row r="639" spans="1:9" x14ac:dyDescent="0.3">
      <c r="A639"/>
      <c r="F639"/>
      <c r="G639"/>
      <c r="I639" s="272"/>
    </row>
    <row r="640" spans="1:9" x14ac:dyDescent="0.3">
      <c r="A640"/>
      <c r="F640"/>
      <c r="G640"/>
      <c r="I640" s="272"/>
    </row>
    <row r="641" spans="1:9" x14ac:dyDescent="0.3">
      <c r="A641"/>
      <c r="F641"/>
      <c r="G641"/>
      <c r="I641" s="272"/>
    </row>
    <row r="642" spans="1:9" x14ac:dyDescent="0.3">
      <c r="A642"/>
      <c r="F642"/>
      <c r="G642"/>
      <c r="I642" s="272"/>
    </row>
    <row r="643" spans="1:9" x14ac:dyDescent="0.3">
      <c r="A643"/>
      <c r="F643"/>
      <c r="G643"/>
      <c r="I643" s="272"/>
    </row>
    <row r="644" spans="1:9" x14ac:dyDescent="0.3">
      <c r="A644"/>
      <c r="F644"/>
      <c r="G644"/>
      <c r="I644" s="272"/>
    </row>
    <row r="645" spans="1:9" x14ac:dyDescent="0.3">
      <c r="A645"/>
      <c r="F645"/>
      <c r="G645"/>
      <c r="I645" s="272"/>
    </row>
    <row r="646" spans="1:9" x14ac:dyDescent="0.3">
      <c r="A646"/>
      <c r="F646"/>
      <c r="G646"/>
      <c r="I646" s="272"/>
    </row>
    <row r="647" spans="1:9" x14ac:dyDescent="0.3">
      <c r="A647"/>
      <c r="F647"/>
      <c r="G647"/>
      <c r="I647" s="272"/>
    </row>
    <row r="648" spans="1:9" x14ac:dyDescent="0.3">
      <c r="A648"/>
      <c r="F648"/>
      <c r="G648"/>
      <c r="I648" s="272"/>
    </row>
    <row r="649" spans="1:9" x14ac:dyDescent="0.3">
      <c r="A649"/>
      <c r="F649"/>
      <c r="G649"/>
      <c r="I649" s="272"/>
    </row>
    <row r="650" spans="1:9" x14ac:dyDescent="0.3">
      <c r="A650"/>
      <c r="F650"/>
      <c r="G650"/>
      <c r="I650" s="272"/>
    </row>
    <row r="651" spans="1:9" x14ac:dyDescent="0.3">
      <c r="A651"/>
      <c r="F651"/>
      <c r="G651"/>
      <c r="I651" s="272"/>
    </row>
    <row r="652" spans="1:9" x14ac:dyDescent="0.3">
      <c r="A652"/>
      <c r="F652"/>
      <c r="G652"/>
      <c r="I652" s="272"/>
    </row>
    <row r="653" spans="1:9" x14ac:dyDescent="0.3">
      <c r="A653"/>
      <c r="F653"/>
      <c r="G653"/>
      <c r="I653" s="272"/>
    </row>
    <row r="654" spans="1:9" x14ac:dyDescent="0.3">
      <c r="A654"/>
      <c r="F654"/>
      <c r="G654"/>
      <c r="I654" s="272"/>
    </row>
    <row r="655" spans="1:9" x14ac:dyDescent="0.3">
      <c r="A655"/>
      <c r="F655"/>
      <c r="G655"/>
      <c r="I655" s="272"/>
    </row>
    <row r="656" spans="1:9" x14ac:dyDescent="0.3">
      <c r="A656"/>
      <c r="F656"/>
      <c r="G656"/>
      <c r="I656" s="272"/>
    </row>
    <row r="657" spans="1:12" x14ac:dyDescent="0.3">
      <c r="A657"/>
      <c r="F657"/>
      <c r="G657"/>
      <c r="I657" s="272"/>
    </row>
    <row r="658" spans="1:12" x14ac:dyDescent="0.3">
      <c r="A658"/>
      <c r="F658"/>
      <c r="G658"/>
      <c r="I658" s="272"/>
    </row>
    <row r="659" spans="1:12" x14ac:dyDescent="0.3">
      <c r="A659"/>
      <c r="F659"/>
      <c r="G659"/>
      <c r="I659" s="272"/>
    </row>
    <row r="660" spans="1:12" x14ac:dyDescent="0.3">
      <c r="A660"/>
      <c r="F660"/>
      <c r="G660"/>
      <c r="I660" s="272"/>
      <c r="L660" t="s">
        <v>472</v>
      </c>
    </row>
    <row r="661" spans="1:12" x14ac:dyDescent="0.3">
      <c r="A661"/>
      <c r="F661"/>
      <c r="G661"/>
      <c r="I661" s="272"/>
    </row>
    <row r="662" spans="1:12" x14ac:dyDescent="0.3">
      <c r="A662"/>
      <c r="F662"/>
      <c r="G662"/>
      <c r="I662" s="272"/>
      <c r="K662">
        <v>3828</v>
      </c>
    </row>
    <row r="663" spans="1:12" x14ac:dyDescent="0.3">
      <c r="A663"/>
      <c r="F663"/>
      <c r="G663"/>
      <c r="I663" s="272"/>
      <c r="K663">
        <v>21999.84</v>
      </c>
    </row>
    <row r="664" spans="1:12" x14ac:dyDescent="0.3">
      <c r="A664"/>
      <c r="F664"/>
      <c r="G664"/>
      <c r="I664" s="272"/>
      <c r="K664">
        <v>16499.879999999997</v>
      </c>
    </row>
    <row r="665" spans="1:12" x14ac:dyDescent="0.3">
      <c r="A665"/>
      <c r="F665"/>
      <c r="G665"/>
      <c r="I665" s="272"/>
      <c r="K665">
        <v>19199.987999999998</v>
      </c>
    </row>
    <row r="666" spans="1:12" x14ac:dyDescent="0.3">
      <c r="A666"/>
      <c r="F666"/>
      <c r="G666"/>
      <c r="I666" s="272"/>
      <c r="K666">
        <v>840</v>
      </c>
    </row>
    <row r="667" spans="1:12" x14ac:dyDescent="0.3">
      <c r="A667"/>
      <c r="F667"/>
      <c r="G667"/>
      <c r="I667" s="272"/>
      <c r="K667">
        <v>5610</v>
      </c>
    </row>
    <row r="668" spans="1:12" x14ac:dyDescent="0.3">
      <c r="A668"/>
      <c r="F668"/>
      <c r="G668"/>
      <c r="I668" s="272"/>
    </row>
    <row r="669" spans="1:12" x14ac:dyDescent="0.3">
      <c r="A669"/>
      <c r="F669"/>
      <c r="G669"/>
      <c r="I669" s="272"/>
    </row>
    <row r="670" spans="1:12" x14ac:dyDescent="0.3">
      <c r="A670"/>
      <c r="F670"/>
      <c r="G670"/>
      <c r="I670" s="272"/>
      <c r="K670">
        <v>6540</v>
      </c>
    </row>
    <row r="671" spans="1:12" x14ac:dyDescent="0.3">
      <c r="A671"/>
      <c r="F671"/>
      <c r="G671"/>
      <c r="I671" s="272"/>
    </row>
    <row r="672" spans="1:12" x14ac:dyDescent="0.3">
      <c r="A672"/>
      <c r="F672"/>
      <c r="G672"/>
      <c r="I672" s="272"/>
      <c r="K672">
        <v>624</v>
      </c>
    </row>
    <row r="673" spans="1:11" x14ac:dyDescent="0.3">
      <c r="A673"/>
      <c r="F673"/>
      <c r="G673"/>
      <c r="I673" s="272"/>
      <c r="K673">
        <v>456</v>
      </c>
    </row>
    <row r="674" spans="1:11" x14ac:dyDescent="0.3">
      <c r="A674"/>
      <c r="F674"/>
      <c r="G674"/>
      <c r="I674" s="272"/>
      <c r="K674">
        <v>840</v>
      </c>
    </row>
    <row r="675" spans="1:11" x14ac:dyDescent="0.3">
      <c r="A675"/>
      <c r="F675"/>
      <c r="G675"/>
      <c r="I675" s="272"/>
      <c r="K675">
        <v>12030</v>
      </c>
    </row>
    <row r="676" spans="1:11" x14ac:dyDescent="0.3">
      <c r="A676"/>
      <c r="F676"/>
      <c r="G676"/>
      <c r="I676" s="272"/>
    </row>
    <row r="677" spans="1:11" x14ac:dyDescent="0.3">
      <c r="A677"/>
      <c r="F677"/>
      <c r="G677"/>
      <c r="I677" s="272"/>
    </row>
    <row r="678" spans="1:11" x14ac:dyDescent="0.3">
      <c r="A678"/>
      <c r="F678"/>
      <c r="G678"/>
      <c r="I678" s="272"/>
    </row>
    <row r="679" spans="1:11" x14ac:dyDescent="0.3">
      <c r="A679"/>
      <c r="F679"/>
      <c r="G679"/>
      <c r="I679" s="272"/>
      <c r="K679">
        <v>10094.4</v>
      </c>
    </row>
    <row r="680" spans="1:11" x14ac:dyDescent="0.3">
      <c r="A680"/>
      <c r="F680"/>
      <c r="G680"/>
      <c r="I680" s="272"/>
      <c r="K680">
        <v>8720.4</v>
      </c>
    </row>
    <row r="681" spans="1:11" x14ac:dyDescent="0.3">
      <c r="A681"/>
      <c r="F681"/>
      <c r="G681"/>
      <c r="I681" s="272"/>
    </row>
    <row r="682" spans="1:11" x14ac:dyDescent="0.3">
      <c r="A682"/>
      <c r="F682"/>
      <c r="G682"/>
      <c r="I682" s="272"/>
    </row>
    <row r="683" spans="1:11" x14ac:dyDescent="0.3">
      <c r="A683"/>
      <c r="F683"/>
      <c r="G683"/>
      <c r="I683" s="272"/>
      <c r="K683">
        <v>9920.4240000000009</v>
      </c>
    </row>
    <row r="684" spans="1:11" x14ac:dyDescent="0.3">
      <c r="A684"/>
      <c r="F684"/>
      <c r="G684"/>
      <c r="I684" s="272"/>
    </row>
    <row r="685" spans="1:11" x14ac:dyDescent="0.3">
      <c r="A685"/>
      <c r="F685"/>
      <c r="G685"/>
      <c r="I685" s="272"/>
    </row>
    <row r="686" spans="1:11" x14ac:dyDescent="0.3">
      <c r="A686"/>
      <c r="F686"/>
      <c r="G686"/>
      <c r="I686" s="272"/>
      <c r="K686">
        <v>662.4</v>
      </c>
    </row>
    <row r="687" spans="1:11" x14ac:dyDescent="0.3">
      <c r="A687"/>
      <c r="F687"/>
      <c r="G687"/>
      <c r="I687" s="272"/>
      <c r="K687">
        <v>11298</v>
      </c>
    </row>
    <row r="688" spans="1:11" x14ac:dyDescent="0.3">
      <c r="A688"/>
      <c r="F688"/>
      <c r="G688"/>
      <c r="I688" s="272"/>
      <c r="K688">
        <v>399.99999999999955</v>
      </c>
    </row>
    <row r="689" spans="1:11" x14ac:dyDescent="0.3">
      <c r="A689"/>
      <c r="F689"/>
      <c r="G689"/>
      <c r="I689" s="272"/>
      <c r="K689">
        <v>761.49599999999998</v>
      </c>
    </row>
    <row r="690" spans="1:11" x14ac:dyDescent="0.3">
      <c r="A690"/>
      <c r="F690"/>
      <c r="G690"/>
      <c r="I690" s="272"/>
    </row>
    <row r="691" spans="1:11" x14ac:dyDescent="0.3">
      <c r="A691"/>
      <c r="F691"/>
      <c r="G691"/>
      <c r="I691" s="272"/>
    </row>
    <row r="692" spans="1:11" x14ac:dyDescent="0.3">
      <c r="A692"/>
      <c r="F692"/>
      <c r="G692"/>
      <c r="I692" s="272"/>
      <c r="K692">
        <v>337.5</v>
      </c>
    </row>
    <row r="693" spans="1:11" x14ac:dyDescent="0.3">
      <c r="A693"/>
      <c r="F693"/>
      <c r="G693"/>
      <c r="I693" s="272"/>
      <c r="K693">
        <v>1869.9999995999999</v>
      </c>
    </row>
    <row r="694" spans="1:11" x14ac:dyDescent="0.3">
      <c r="A694"/>
      <c r="F694"/>
      <c r="G694"/>
      <c r="I694" s="272"/>
    </row>
    <row r="695" spans="1:11" x14ac:dyDescent="0.3">
      <c r="A695"/>
      <c r="F695"/>
      <c r="G695"/>
      <c r="I695" s="272"/>
      <c r="K695">
        <v>2707.5</v>
      </c>
    </row>
    <row r="696" spans="1:11" x14ac:dyDescent="0.3">
      <c r="A696"/>
      <c r="F696"/>
      <c r="G696"/>
      <c r="I696" s="272"/>
    </row>
    <row r="697" spans="1:11" x14ac:dyDescent="0.3">
      <c r="A697"/>
      <c r="F697"/>
      <c r="G697"/>
      <c r="I697" s="272"/>
      <c r="K697">
        <v>350.00000000099999</v>
      </c>
    </row>
    <row r="698" spans="1:11" x14ac:dyDescent="0.3">
      <c r="A698"/>
      <c r="F698"/>
      <c r="G698"/>
      <c r="I698" s="272"/>
    </row>
    <row r="699" spans="1:11" x14ac:dyDescent="0.3">
      <c r="A699"/>
      <c r="F699"/>
      <c r="G699"/>
      <c r="I699" s="272"/>
      <c r="K699">
        <v>1989.9999959999998</v>
      </c>
    </row>
    <row r="700" spans="1:11" x14ac:dyDescent="0.3">
      <c r="A700"/>
      <c r="F700"/>
      <c r="G700"/>
      <c r="I700" s="272"/>
      <c r="K700">
        <v>585</v>
      </c>
    </row>
    <row r="701" spans="1:11" x14ac:dyDescent="0.3">
      <c r="A701"/>
      <c r="F701"/>
      <c r="G701"/>
      <c r="I701" s="272"/>
      <c r="K701">
        <v>1746</v>
      </c>
    </row>
    <row r="702" spans="1:11" x14ac:dyDescent="0.3">
      <c r="A702"/>
      <c r="F702"/>
      <c r="G702"/>
      <c r="I702" s="272"/>
      <c r="K702">
        <v>1059.9999995999999</v>
      </c>
    </row>
    <row r="703" spans="1:11" x14ac:dyDescent="0.3">
      <c r="A703"/>
      <c r="F703"/>
      <c r="G703"/>
      <c r="I703" s="272"/>
    </row>
    <row r="704" spans="1:11" x14ac:dyDescent="0.3">
      <c r="A704"/>
      <c r="F704"/>
      <c r="G704"/>
      <c r="I704" s="272"/>
      <c r="K704">
        <v>324.99599999999998</v>
      </c>
    </row>
    <row r="705" spans="1:11" x14ac:dyDescent="0.3">
      <c r="A705"/>
      <c r="F705"/>
      <c r="G705"/>
      <c r="I705" s="272"/>
      <c r="K705">
        <v>4320</v>
      </c>
    </row>
    <row r="706" spans="1:11" x14ac:dyDescent="0.3">
      <c r="A706"/>
      <c r="F706"/>
      <c r="G706"/>
      <c r="I706" s="272"/>
      <c r="K706">
        <v>3612</v>
      </c>
    </row>
    <row r="707" spans="1:11" x14ac:dyDescent="0.3">
      <c r="A707"/>
      <c r="F707"/>
      <c r="G707"/>
      <c r="I707" s="272"/>
    </row>
    <row r="708" spans="1:11" x14ac:dyDescent="0.3">
      <c r="A708"/>
      <c r="F708"/>
      <c r="G708"/>
      <c r="I708" s="272"/>
      <c r="K708">
        <v>852</v>
      </c>
    </row>
    <row r="709" spans="1:11" x14ac:dyDescent="0.3">
      <c r="A709"/>
      <c r="F709"/>
      <c r="G709"/>
      <c r="I709" s="272"/>
    </row>
    <row r="710" spans="1:11" x14ac:dyDescent="0.3">
      <c r="A710"/>
      <c r="F710"/>
      <c r="G710"/>
      <c r="I710" s="272"/>
      <c r="K710">
        <v>420</v>
      </c>
    </row>
    <row r="711" spans="1:11" x14ac:dyDescent="0.3">
      <c r="A711"/>
      <c r="F711"/>
      <c r="G711"/>
      <c r="I711" s="272"/>
      <c r="K711">
        <v>31376.171999999999</v>
      </c>
    </row>
    <row r="712" spans="1:11" x14ac:dyDescent="0.3">
      <c r="A712"/>
      <c r="F712"/>
      <c r="G712"/>
      <c r="I712" s="272"/>
    </row>
    <row r="713" spans="1:11" x14ac:dyDescent="0.3">
      <c r="A713"/>
      <c r="F713"/>
      <c r="G713"/>
      <c r="I713" s="272"/>
    </row>
    <row r="714" spans="1:11" x14ac:dyDescent="0.3">
      <c r="A714"/>
      <c r="F714"/>
      <c r="G714"/>
      <c r="I714" s="272"/>
    </row>
    <row r="715" spans="1:11" x14ac:dyDescent="0.3">
      <c r="A715"/>
      <c r="F715"/>
      <c r="G715"/>
      <c r="I715" s="272"/>
    </row>
    <row r="716" spans="1:11" x14ac:dyDescent="0.3">
      <c r="A716"/>
      <c r="F716"/>
      <c r="G716"/>
      <c r="I716" s="272"/>
    </row>
    <row r="717" spans="1:11" x14ac:dyDescent="0.3">
      <c r="A717"/>
      <c r="F717"/>
      <c r="G717"/>
      <c r="I717" s="272"/>
    </row>
    <row r="718" spans="1:11" x14ac:dyDescent="0.3">
      <c r="A718"/>
      <c r="F718"/>
      <c r="G718"/>
      <c r="I718" s="272"/>
    </row>
    <row r="719" spans="1:11" x14ac:dyDescent="0.3">
      <c r="A719"/>
      <c r="F719"/>
      <c r="G719"/>
      <c r="I719" s="272"/>
    </row>
    <row r="720" spans="1:11" x14ac:dyDescent="0.3">
      <c r="A720"/>
      <c r="F720"/>
      <c r="G720"/>
      <c r="I720" s="272"/>
    </row>
    <row r="721" spans="1:11" x14ac:dyDescent="0.3">
      <c r="A721"/>
      <c r="F721"/>
      <c r="G721"/>
      <c r="I721" s="272"/>
      <c r="K721">
        <v>8070</v>
      </c>
    </row>
    <row r="722" spans="1:11" x14ac:dyDescent="0.3">
      <c r="A722"/>
      <c r="F722"/>
      <c r="G722"/>
      <c r="I722" s="272"/>
      <c r="K722">
        <v>1260</v>
      </c>
    </row>
    <row r="723" spans="1:11" x14ac:dyDescent="0.3">
      <c r="A723"/>
      <c r="F723"/>
      <c r="G723"/>
      <c r="I723" s="272"/>
    </row>
    <row r="724" spans="1:11" x14ac:dyDescent="0.3">
      <c r="A724"/>
      <c r="F724"/>
      <c r="G724"/>
      <c r="I724" s="272"/>
      <c r="K724">
        <v>384</v>
      </c>
    </row>
    <row r="725" spans="1:11" x14ac:dyDescent="0.3">
      <c r="A725"/>
      <c r="F725"/>
      <c r="G725"/>
      <c r="I725" s="272"/>
      <c r="K725">
        <v>4563.0360000000001</v>
      </c>
    </row>
    <row r="726" spans="1:11" x14ac:dyDescent="0.3">
      <c r="A726"/>
      <c r="F726"/>
      <c r="G726"/>
      <c r="I726" s="272"/>
    </row>
    <row r="727" spans="1:11" x14ac:dyDescent="0.3">
      <c r="A727"/>
      <c r="F727"/>
      <c r="G727"/>
      <c r="I727" s="272"/>
    </row>
    <row r="728" spans="1:11" x14ac:dyDescent="0.3">
      <c r="A728"/>
      <c r="F728"/>
      <c r="G728"/>
      <c r="I728" s="272"/>
    </row>
    <row r="729" spans="1:11" x14ac:dyDescent="0.3">
      <c r="A729"/>
      <c r="F729"/>
      <c r="G729"/>
      <c r="I729" s="272"/>
    </row>
    <row r="730" spans="1:11" x14ac:dyDescent="0.3">
      <c r="A730"/>
      <c r="F730"/>
      <c r="G730"/>
      <c r="I730" s="272"/>
    </row>
    <row r="731" spans="1:11" x14ac:dyDescent="0.3">
      <c r="A731"/>
      <c r="F731"/>
      <c r="G731"/>
      <c r="I731" s="272"/>
      <c r="K731">
        <v>750.12</v>
      </c>
    </row>
    <row r="732" spans="1:11" x14ac:dyDescent="0.3">
      <c r="A732"/>
      <c r="F732"/>
      <c r="G732"/>
      <c r="I732" s="272"/>
    </row>
    <row r="733" spans="1:11" x14ac:dyDescent="0.3">
      <c r="A733"/>
      <c r="F733"/>
      <c r="G733"/>
      <c r="I733" s="272"/>
    </row>
    <row r="734" spans="1:11" x14ac:dyDescent="0.3">
      <c r="A734"/>
      <c r="F734"/>
      <c r="G734"/>
      <c r="I734" s="272"/>
    </row>
    <row r="735" spans="1:11" x14ac:dyDescent="0.3">
      <c r="A735"/>
      <c r="F735"/>
      <c r="G735"/>
      <c r="I735" s="272"/>
      <c r="K735">
        <v>4800</v>
      </c>
    </row>
    <row r="736" spans="1:11" x14ac:dyDescent="0.3">
      <c r="A736"/>
      <c r="F736"/>
      <c r="G736"/>
      <c r="I736" s="272"/>
      <c r="K736">
        <v>10975.199999999999</v>
      </c>
    </row>
    <row r="737" spans="1:11" x14ac:dyDescent="0.3">
      <c r="A737"/>
      <c r="F737"/>
      <c r="G737"/>
      <c r="I737" s="272"/>
      <c r="K737">
        <v>1627.2</v>
      </c>
    </row>
    <row r="738" spans="1:11" x14ac:dyDescent="0.3">
      <c r="A738"/>
      <c r="F738"/>
      <c r="G738"/>
      <c r="I738" s="272"/>
      <c r="K738">
        <v>249.99959999999999</v>
      </c>
    </row>
    <row r="739" spans="1:11" x14ac:dyDescent="0.3">
      <c r="A739"/>
      <c r="F739"/>
      <c r="G739"/>
      <c r="I739" s="272"/>
      <c r="K739">
        <v>1200</v>
      </c>
    </row>
    <row r="740" spans="1:11" x14ac:dyDescent="0.3">
      <c r="A740"/>
      <c r="F740"/>
      <c r="G740"/>
      <c r="I740" s="272"/>
    </row>
    <row r="741" spans="1:11" x14ac:dyDescent="0.3">
      <c r="A741"/>
      <c r="F741"/>
      <c r="G741"/>
      <c r="I741" s="272"/>
      <c r="K741">
        <v>541.43999999999994</v>
      </c>
    </row>
    <row r="742" spans="1:11" x14ac:dyDescent="0.3">
      <c r="A742"/>
      <c r="F742"/>
      <c r="G742"/>
      <c r="I742" s="272"/>
      <c r="K742">
        <v>887.84039999999993</v>
      </c>
    </row>
    <row r="743" spans="1:11" x14ac:dyDescent="0.3">
      <c r="A743"/>
      <c r="F743"/>
      <c r="G743"/>
      <c r="I743" s="272"/>
    </row>
    <row r="744" spans="1:11" x14ac:dyDescent="0.3">
      <c r="A744"/>
      <c r="F744"/>
      <c r="G744"/>
      <c r="I744" s="272"/>
      <c r="K744">
        <v>541.43999999999994</v>
      </c>
    </row>
    <row r="745" spans="1:11" x14ac:dyDescent="0.3">
      <c r="A745"/>
      <c r="F745"/>
      <c r="G745"/>
      <c r="I745" s="272"/>
      <c r="K745">
        <v>327.37559999999996</v>
      </c>
    </row>
    <row r="746" spans="1:11" x14ac:dyDescent="0.3">
      <c r="A746"/>
      <c r="F746"/>
      <c r="G746"/>
      <c r="I746" s="272"/>
      <c r="K746">
        <v>1262.4959999999999</v>
      </c>
    </row>
    <row r="747" spans="1:11" x14ac:dyDescent="0.3">
      <c r="A747"/>
      <c r="F747"/>
      <c r="G747"/>
      <c r="I747" s="272"/>
    </row>
    <row r="748" spans="1:11" x14ac:dyDescent="0.3">
      <c r="A748"/>
      <c r="F748"/>
      <c r="G748"/>
      <c r="I748" s="272"/>
      <c r="K748">
        <v>270.71999999999997</v>
      </c>
    </row>
    <row r="749" spans="1:11" x14ac:dyDescent="0.3">
      <c r="A749"/>
      <c r="F749"/>
      <c r="G749"/>
      <c r="I749" s="272"/>
    </row>
    <row r="750" spans="1:11" x14ac:dyDescent="0.3">
      <c r="A750"/>
      <c r="F750"/>
      <c r="G750"/>
      <c r="I750" s="272"/>
    </row>
    <row r="751" spans="1:11" x14ac:dyDescent="0.3">
      <c r="A751"/>
      <c r="F751"/>
      <c r="G751"/>
      <c r="I751" s="272"/>
    </row>
    <row r="752" spans="1:11" x14ac:dyDescent="0.3">
      <c r="A752"/>
      <c r="F752"/>
      <c r="G752"/>
      <c r="I752" s="272"/>
    </row>
    <row r="753" spans="1:9" x14ac:dyDescent="0.3">
      <c r="A753"/>
      <c r="F753"/>
      <c r="G753"/>
      <c r="I753" s="272"/>
    </row>
    <row r="754" spans="1:9" x14ac:dyDescent="0.3">
      <c r="A754"/>
      <c r="F754"/>
      <c r="G754"/>
      <c r="I754" s="272"/>
    </row>
    <row r="755" spans="1:9" x14ac:dyDescent="0.3">
      <c r="A755"/>
      <c r="F755"/>
      <c r="G755"/>
      <c r="I755" s="272"/>
    </row>
    <row r="756" spans="1:9" x14ac:dyDescent="0.3">
      <c r="A756"/>
      <c r="F756"/>
      <c r="G756"/>
      <c r="I756" s="272"/>
    </row>
    <row r="757" spans="1:9" x14ac:dyDescent="0.3">
      <c r="A757"/>
      <c r="F757"/>
      <c r="G757"/>
      <c r="I757" s="272"/>
    </row>
    <row r="758" spans="1:9" x14ac:dyDescent="0.3">
      <c r="A758"/>
      <c r="F758"/>
      <c r="G758"/>
      <c r="I758" s="272"/>
    </row>
    <row r="759" spans="1:9" x14ac:dyDescent="0.3">
      <c r="A759"/>
      <c r="F759"/>
      <c r="G759"/>
      <c r="I759" s="272"/>
    </row>
    <row r="760" spans="1:9" x14ac:dyDescent="0.3">
      <c r="A760"/>
      <c r="F760"/>
      <c r="G760"/>
      <c r="I760" s="272"/>
    </row>
    <row r="761" spans="1:9" x14ac:dyDescent="0.3">
      <c r="A761"/>
      <c r="F761"/>
      <c r="G761"/>
      <c r="I761" s="272"/>
    </row>
    <row r="762" spans="1:9" x14ac:dyDescent="0.3">
      <c r="A762"/>
      <c r="F762"/>
      <c r="G762"/>
      <c r="I762" s="272"/>
    </row>
    <row r="763" spans="1:9" x14ac:dyDescent="0.3">
      <c r="A763"/>
      <c r="F763"/>
      <c r="G763"/>
      <c r="I763" s="272"/>
    </row>
    <row r="764" spans="1:9" x14ac:dyDescent="0.3">
      <c r="A764"/>
      <c r="F764"/>
      <c r="G764"/>
      <c r="I764" s="272"/>
    </row>
    <row r="765" spans="1:9" x14ac:dyDescent="0.3">
      <c r="A765"/>
      <c r="F765"/>
      <c r="G765"/>
      <c r="I765" s="272"/>
    </row>
    <row r="766" spans="1:9" x14ac:dyDescent="0.3">
      <c r="A766"/>
      <c r="F766"/>
      <c r="G766"/>
      <c r="I766" s="272"/>
    </row>
    <row r="767" spans="1:9" x14ac:dyDescent="0.3">
      <c r="A767"/>
      <c r="F767"/>
      <c r="G767"/>
      <c r="I767" s="272"/>
    </row>
    <row r="768" spans="1:9" x14ac:dyDescent="0.3">
      <c r="A768"/>
      <c r="F768"/>
      <c r="G768"/>
      <c r="I768" s="272"/>
    </row>
    <row r="769" spans="1:9" x14ac:dyDescent="0.3">
      <c r="A769"/>
      <c r="F769"/>
      <c r="G769"/>
      <c r="I769" s="272"/>
    </row>
    <row r="770" spans="1:9" x14ac:dyDescent="0.3">
      <c r="A770"/>
      <c r="F770"/>
      <c r="G770"/>
      <c r="I770" s="272"/>
    </row>
    <row r="771" spans="1:9" x14ac:dyDescent="0.3">
      <c r="A771"/>
      <c r="F771"/>
      <c r="G771"/>
      <c r="I771" s="272"/>
    </row>
    <row r="772" spans="1:9" x14ac:dyDescent="0.3">
      <c r="A772"/>
      <c r="F772"/>
      <c r="G772"/>
      <c r="I772" s="272"/>
    </row>
    <row r="773" spans="1:9" x14ac:dyDescent="0.3">
      <c r="A773"/>
      <c r="F773"/>
      <c r="G773"/>
      <c r="I773" s="272"/>
    </row>
    <row r="774" spans="1:9" x14ac:dyDescent="0.3">
      <c r="A774"/>
      <c r="F774"/>
      <c r="G774"/>
      <c r="I774" s="272"/>
    </row>
    <row r="775" spans="1:9" x14ac:dyDescent="0.3">
      <c r="A775"/>
      <c r="F775"/>
      <c r="G775"/>
      <c r="I775" s="272"/>
    </row>
    <row r="776" spans="1:9" x14ac:dyDescent="0.3">
      <c r="A776"/>
      <c r="F776"/>
      <c r="G776"/>
      <c r="I776" s="272"/>
    </row>
    <row r="777" spans="1:9" x14ac:dyDescent="0.3">
      <c r="A777"/>
      <c r="F777"/>
      <c r="G777"/>
      <c r="I777" s="272"/>
    </row>
    <row r="778" spans="1:9" x14ac:dyDescent="0.3">
      <c r="A778"/>
      <c r="F778"/>
      <c r="G778"/>
      <c r="I778" s="272"/>
    </row>
    <row r="779" spans="1:9" x14ac:dyDescent="0.3">
      <c r="A779"/>
      <c r="F779"/>
      <c r="G779"/>
      <c r="I779" s="272"/>
    </row>
    <row r="780" spans="1:9" x14ac:dyDescent="0.3">
      <c r="A780"/>
      <c r="F780"/>
      <c r="G780"/>
      <c r="I780" s="272"/>
    </row>
    <row r="781" spans="1:9" x14ac:dyDescent="0.3">
      <c r="A781"/>
      <c r="F781"/>
      <c r="G781"/>
      <c r="I781" s="272"/>
    </row>
    <row r="782" spans="1:9" x14ac:dyDescent="0.3">
      <c r="A782"/>
      <c r="F782"/>
      <c r="G782"/>
      <c r="I782" s="272"/>
    </row>
    <row r="783" spans="1:9" x14ac:dyDescent="0.3">
      <c r="A783"/>
      <c r="F783"/>
      <c r="G783"/>
      <c r="I783" s="272"/>
    </row>
    <row r="784" spans="1:9" x14ac:dyDescent="0.3">
      <c r="A784"/>
      <c r="F784"/>
      <c r="G784"/>
      <c r="I784" s="272"/>
    </row>
    <row r="785" spans="1:9" x14ac:dyDescent="0.3">
      <c r="A785"/>
      <c r="F785"/>
      <c r="G785"/>
      <c r="I785" s="272"/>
    </row>
    <row r="786" spans="1:9" x14ac:dyDescent="0.3">
      <c r="A786"/>
      <c r="F786"/>
      <c r="G786"/>
      <c r="I786" s="272"/>
    </row>
    <row r="787" spans="1:9" x14ac:dyDescent="0.3">
      <c r="A787"/>
      <c r="F787"/>
      <c r="G787"/>
      <c r="I787" s="272"/>
    </row>
    <row r="788" spans="1:9" x14ac:dyDescent="0.3">
      <c r="A788"/>
      <c r="F788"/>
      <c r="G788"/>
      <c r="I788" s="272"/>
    </row>
    <row r="789" spans="1:9" x14ac:dyDescent="0.3">
      <c r="A789"/>
      <c r="F789"/>
      <c r="G789"/>
      <c r="I789" s="272"/>
    </row>
    <row r="790" spans="1:9" x14ac:dyDescent="0.3">
      <c r="A790"/>
      <c r="F790"/>
      <c r="G790"/>
      <c r="I790" s="272"/>
    </row>
    <row r="791" spans="1:9" x14ac:dyDescent="0.3">
      <c r="A791"/>
      <c r="F791"/>
      <c r="G791"/>
      <c r="I791" s="272"/>
    </row>
    <row r="792" spans="1:9" x14ac:dyDescent="0.3">
      <c r="A792"/>
      <c r="F792"/>
      <c r="G792"/>
      <c r="I792" s="272"/>
    </row>
    <row r="793" spans="1:9" x14ac:dyDescent="0.3">
      <c r="A793"/>
      <c r="F793"/>
      <c r="G793"/>
      <c r="I793" s="272"/>
    </row>
    <row r="794" spans="1:9" x14ac:dyDescent="0.3">
      <c r="A794"/>
      <c r="F794"/>
      <c r="G794"/>
      <c r="I794" s="272"/>
    </row>
    <row r="795" spans="1:9" x14ac:dyDescent="0.3">
      <c r="A795"/>
      <c r="F795"/>
      <c r="G795"/>
      <c r="I795" s="272"/>
    </row>
    <row r="796" spans="1:9" x14ac:dyDescent="0.3">
      <c r="A796"/>
      <c r="F796"/>
      <c r="G796"/>
      <c r="I796" s="272"/>
    </row>
    <row r="797" spans="1:9" x14ac:dyDescent="0.3">
      <c r="A797"/>
      <c r="F797"/>
      <c r="G797"/>
      <c r="I797" s="272"/>
    </row>
    <row r="798" spans="1:9" x14ac:dyDescent="0.3">
      <c r="A798"/>
      <c r="F798"/>
      <c r="G798"/>
      <c r="I798" s="272"/>
    </row>
    <row r="799" spans="1:9" x14ac:dyDescent="0.3">
      <c r="A799"/>
      <c r="F799"/>
      <c r="G799"/>
      <c r="I799" s="272"/>
    </row>
    <row r="800" spans="1:9" x14ac:dyDescent="0.3">
      <c r="A800"/>
      <c r="F800"/>
      <c r="G800"/>
      <c r="I800" s="272"/>
    </row>
    <row r="801" spans="1:9" x14ac:dyDescent="0.3">
      <c r="A801"/>
      <c r="F801"/>
      <c r="G801"/>
      <c r="I801" s="272"/>
    </row>
    <row r="802" spans="1:9" x14ac:dyDescent="0.3">
      <c r="A802"/>
      <c r="F802"/>
      <c r="G802"/>
      <c r="I802" s="272"/>
    </row>
    <row r="803" spans="1:9" x14ac:dyDescent="0.3">
      <c r="A803"/>
      <c r="F803"/>
      <c r="G803"/>
      <c r="I803" s="272"/>
    </row>
    <row r="804" spans="1:9" x14ac:dyDescent="0.3">
      <c r="A804"/>
      <c r="F804"/>
      <c r="G804"/>
      <c r="I804" s="272"/>
    </row>
    <row r="805" spans="1:9" x14ac:dyDescent="0.3">
      <c r="A805"/>
      <c r="F805"/>
      <c r="G805"/>
      <c r="I805" s="272"/>
    </row>
    <row r="806" spans="1:9" x14ac:dyDescent="0.3">
      <c r="A806"/>
      <c r="F806"/>
      <c r="G806"/>
      <c r="I806" s="272"/>
    </row>
    <row r="807" spans="1:9" x14ac:dyDescent="0.3">
      <c r="A807"/>
      <c r="F807"/>
      <c r="G807"/>
      <c r="I807" s="272"/>
    </row>
    <row r="808" spans="1:9" x14ac:dyDescent="0.3">
      <c r="A808"/>
      <c r="F808"/>
      <c r="G808"/>
      <c r="I808" s="272"/>
    </row>
    <row r="809" spans="1:9" x14ac:dyDescent="0.3">
      <c r="A809"/>
      <c r="F809"/>
      <c r="G809"/>
      <c r="I809" s="272"/>
    </row>
    <row r="810" spans="1:9" x14ac:dyDescent="0.3">
      <c r="A810"/>
      <c r="F810"/>
      <c r="G810"/>
      <c r="I810" s="272"/>
    </row>
    <row r="811" spans="1:9" x14ac:dyDescent="0.3">
      <c r="A811"/>
      <c r="F811"/>
      <c r="G811"/>
      <c r="I811" s="272"/>
    </row>
    <row r="812" spans="1:9" x14ac:dyDescent="0.3">
      <c r="A812"/>
      <c r="F812"/>
      <c r="G812"/>
      <c r="I812" s="272"/>
    </row>
    <row r="813" spans="1:9" x14ac:dyDescent="0.3">
      <c r="A813"/>
      <c r="F813"/>
      <c r="G813"/>
      <c r="I813" s="272"/>
    </row>
    <row r="814" spans="1:9" x14ac:dyDescent="0.3">
      <c r="A814"/>
      <c r="F814"/>
      <c r="G814"/>
      <c r="I814" s="272"/>
    </row>
    <row r="815" spans="1:9" x14ac:dyDescent="0.3">
      <c r="A815"/>
      <c r="F815"/>
      <c r="G815"/>
      <c r="I815" s="272"/>
    </row>
    <row r="816" spans="1:9" x14ac:dyDescent="0.3">
      <c r="A816"/>
      <c r="F816"/>
      <c r="G816"/>
      <c r="I816" s="272"/>
    </row>
    <row r="817" spans="1:9" x14ac:dyDescent="0.3">
      <c r="A817"/>
      <c r="F817"/>
      <c r="G817"/>
      <c r="I817" s="272"/>
    </row>
    <row r="818" spans="1:9" x14ac:dyDescent="0.3">
      <c r="A818"/>
      <c r="F818"/>
      <c r="G818"/>
      <c r="I818" s="272"/>
    </row>
    <row r="819" spans="1:9" x14ac:dyDescent="0.3">
      <c r="A819"/>
      <c r="F819"/>
      <c r="G819"/>
      <c r="I819" s="272"/>
    </row>
    <row r="820" spans="1:9" x14ac:dyDescent="0.3">
      <c r="A820"/>
      <c r="F820"/>
      <c r="G820"/>
      <c r="I820" s="272"/>
    </row>
    <row r="821" spans="1:9" x14ac:dyDescent="0.3">
      <c r="A821"/>
      <c r="F821"/>
      <c r="G821"/>
      <c r="I821" s="272"/>
    </row>
    <row r="822" spans="1:9" x14ac:dyDescent="0.3">
      <c r="A822"/>
      <c r="F822"/>
      <c r="G822"/>
      <c r="I822" s="272"/>
    </row>
    <row r="823" spans="1:9" x14ac:dyDescent="0.3">
      <c r="A823"/>
      <c r="F823"/>
      <c r="G823"/>
      <c r="I823" s="272"/>
    </row>
    <row r="824" spans="1:9" x14ac:dyDescent="0.3">
      <c r="A824"/>
      <c r="F824"/>
      <c r="G824"/>
      <c r="I824" s="272"/>
    </row>
    <row r="825" spans="1:9" x14ac:dyDescent="0.3">
      <c r="A825"/>
      <c r="F825"/>
      <c r="G825"/>
      <c r="I825" s="272"/>
    </row>
    <row r="826" spans="1:9" x14ac:dyDescent="0.3">
      <c r="A826"/>
      <c r="F826"/>
      <c r="G826"/>
      <c r="I826" s="272"/>
    </row>
    <row r="827" spans="1:9" x14ac:dyDescent="0.3">
      <c r="A827"/>
      <c r="F827"/>
      <c r="G827"/>
      <c r="I827" s="272"/>
    </row>
    <row r="828" spans="1:9" x14ac:dyDescent="0.3">
      <c r="A828"/>
      <c r="F828"/>
      <c r="G828"/>
      <c r="I828" s="272"/>
    </row>
    <row r="829" spans="1:9" x14ac:dyDescent="0.3">
      <c r="A829"/>
      <c r="F829"/>
      <c r="G829"/>
      <c r="I829" s="272"/>
    </row>
    <row r="830" spans="1:9" x14ac:dyDescent="0.3">
      <c r="A830"/>
      <c r="F830"/>
      <c r="G830"/>
      <c r="I830" s="272"/>
    </row>
    <row r="831" spans="1:9" x14ac:dyDescent="0.3">
      <c r="A831"/>
      <c r="F831"/>
      <c r="G831"/>
      <c r="I831" s="272"/>
    </row>
    <row r="832" spans="1:9" x14ac:dyDescent="0.3">
      <c r="A832"/>
      <c r="F832"/>
      <c r="G832"/>
      <c r="I832" s="272"/>
    </row>
    <row r="833" spans="1:12" x14ac:dyDescent="0.3">
      <c r="A833"/>
      <c r="F833"/>
      <c r="G833"/>
      <c r="I833" s="272"/>
    </row>
    <row r="834" spans="1:12" x14ac:dyDescent="0.3">
      <c r="A834"/>
      <c r="F834"/>
      <c r="G834"/>
      <c r="I834" s="272"/>
    </row>
    <row r="835" spans="1:12" x14ac:dyDescent="0.3">
      <c r="A835"/>
      <c r="F835"/>
      <c r="G835"/>
      <c r="I835" s="272"/>
    </row>
    <row r="836" spans="1:12" x14ac:dyDescent="0.3">
      <c r="A836"/>
      <c r="F836"/>
      <c r="G836"/>
      <c r="I836" s="272"/>
    </row>
    <row r="837" spans="1:12" x14ac:dyDescent="0.3">
      <c r="A837"/>
      <c r="F837"/>
      <c r="G837"/>
      <c r="I837" s="272"/>
    </row>
    <row r="838" spans="1:12" x14ac:dyDescent="0.3">
      <c r="A838"/>
      <c r="F838"/>
      <c r="G838"/>
      <c r="I838" s="272"/>
    </row>
    <row r="839" spans="1:12" x14ac:dyDescent="0.3">
      <c r="A839"/>
      <c r="F839"/>
      <c r="G839"/>
      <c r="I839" s="272"/>
    </row>
    <row r="840" spans="1:12" x14ac:dyDescent="0.3">
      <c r="A840"/>
      <c r="F840"/>
      <c r="G840"/>
      <c r="I840" s="272"/>
    </row>
    <row r="841" spans="1:12" x14ac:dyDescent="0.3">
      <c r="A841"/>
      <c r="F841"/>
      <c r="G841"/>
      <c r="I841" s="272"/>
    </row>
    <row r="842" spans="1:12" x14ac:dyDescent="0.3">
      <c r="A842"/>
      <c r="F842"/>
      <c r="G842"/>
      <c r="I842" s="272"/>
    </row>
    <row r="843" spans="1:12" x14ac:dyDescent="0.3">
      <c r="A843"/>
      <c r="F843"/>
      <c r="G843"/>
      <c r="I843" s="272"/>
    </row>
    <row r="844" spans="1:12" x14ac:dyDescent="0.3">
      <c r="A844"/>
      <c r="F844"/>
      <c r="G844"/>
      <c r="I844" s="272"/>
    </row>
    <row r="845" spans="1:12" x14ac:dyDescent="0.3">
      <c r="A845"/>
      <c r="F845"/>
      <c r="G845"/>
      <c r="I845" s="272"/>
      <c r="L845" t="s">
        <v>472</v>
      </c>
    </row>
    <row r="846" spans="1:12" x14ac:dyDescent="0.3">
      <c r="A846"/>
      <c r="F846"/>
      <c r="G846"/>
      <c r="I846" s="272"/>
    </row>
    <row r="847" spans="1:12" x14ac:dyDescent="0.3">
      <c r="A847"/>
      <c r="F847"/>
      <c r="G847"/>
      <c r="I847" s="272"/>
      <c r="K847">
        <v>3828</v>
      </c>
    </row>
    <row r="848" spans="1:12" x14ac:dyDescent="0.3">
      <c r="A848"/>
      <c r="F848"/>
      <c r="G848"/>
      <c r="I848" s="272"/>
      <c r="K848">
        <v>21999.84</v>
      </c>
    </row>
    <row r="849" spans="1:11" x14ac:dyDescent="0.3">
      <c r="A849"/>
      <c r="F849"/>
      <c r="G849"/>
      <c r="I849" s="272"/>
      <c r="K849">
        <v>16499.879999999997</v>
      </c>
    </row>
    <row r="850" spans="1:11" x14ac:dyDescent="0.3">
      <c r="A850"/>
      <c r="F850"/>
      <c r="G850"/>
      <c r="I850" s="272"/>
      <c r="K850">
        <v>19199.987999999998</v>
      </c>
    </row>
    <row r="851" spans="1:11" x14ac:dyDescent="0.3">
      <c r="A851"/>
      <c r="F851"/>
      <c r="G851"/>
      <c r="I851" s="272"/>
      <c r="K851">
        <v>840</v>
      </c>
    </row>
    <row r="852" spans="1:11" x14ac:dyDescent="0.3">
      <c r="A852"/>
      <c r="F852"/>
      <c r="G852"/>
      <c r="I852" s="272"/>
      <c r="K852">
        <v>5610</v>
      </c>
    </row>
    <row r="853" spans="1:11" x14ac:dyDescent="0.3">
      <c r="A853"/>
      <c r="F853"/>
      <c r="G853"/>
      <c r="I853" s="272"/>
    </row>
    <row r="854" spans="1:11" x14ac:dyDescent="0.3">
      <c r="A854"/>
      <c r="F854"/>
      <c r="G854"/>
      <c r="I854" s="272"/>
    </row>
    <row r="855" spans="1:11" x14ac:dyDescent="0.3">
      <c r="A855"/>
      <c r="F855"/>
      <c r="G855"/>
      <c r="I855" s="272"/>
      <c r="K855">
        <v>6540</v>
      </c>
    </row>
    <row r="856" spans="1:11" x14ac:dyDescent="0.3">
      <c r="A856"/>
      <c r="F856"/>
      <c r="G856"/>
      <c r="I856" s="272"/>
    </row>
    <row r="857" spans="1:11" x14ac:dyDescent="0.3">
      <c r="A857"/>
      <c r="F857"/>
      <c r="G857"/>
      <c r="I857" s="272"/>
      <c r="K857">
        <v>624</v>
      </c>
    </row>
    <row r="858" spans="1:11" x14ac:dyDescent="0.3">
      <c r="A858"/>
      <c r="F858"/>
      <c r="G858"/>
      <c r="I858" s="272"/>
      <c r="K858">
        <v>456</v>
      </c>
    </row>
    <row r="859" spans="1:11" x14ac:dyDescent="0.3">
      <c r="A859"/>
      <c r="F859"/>
      <c r="G859"/>
      <c r="I859" s="272"/>
      <c r="K859">
        <v>840</v>
      </c>
    </row>
    <row r="860" spans="1:11" x14ac:dyDescent="0.3">
      <c r="A860"/>
      <c r="F860"/>
      <c r="G860"/>
      <c r="I860" s="272"/>
      <c r="K860">
        <v>12030</v>
      </c>
    </row>
    <row r="861" spans="1:11" x14ac:dyDescent="0.3">
      <c r="A861"/>
      <c r="F861"/>
      <c r="G861"/>
      <c r="I861" s="272"/>
    </row>
    <row r="862" spans="1:11" x14ac:dyDescent="0.3">
      <c r="A862"/>
      <c r="F862"/>
      <c r="G862"/>
      <c r="I862" s="272"/>
    </row>
    <row r="863" spans="1:11" x14ac:dyDescent="0.3">
      <c r="A863"/>
      <c r="F863"/>
      <c r="G863"/>
      <c r="I863" s="272"/>
    </row>
    <row r="864" spans="1:11" x14ac:dyDescent="0.3">
      <c r="A864"/>
      <c r="F864"/>
      <c r="G864"/>
      <c r="I864" s="272"/>
      <c r="K864">
        <v>10094.4</v>
      </c>
    </row>
    <row r="865" spans="1:11" x14ac:dyDescent="0.3">
      <c r="A865"/>
      <c r="F865"/>
      <c r="G865"/>
      <c r="I865" s="272"/>
      <c r="K865">
        <v>8720.4</v>
      </c>
    </row>
    <row r="866" spans="1:11" x14ac:dyDescent="0.3">
      <c r="A866"/>
      <c r="F866"/>
      <c r="G866"/>
      <c r="I866" s="272"/>
    </row>
    <row r="867" spans="1:11" x14ac:dyDescent="0.3">
      <c r="A867"/>
      <c r="F867"/>
      <c r="G867"/>
      <c r="I867" s="272"/>
    </row>
    <row r="868" spans="1:11" x14ac:dyDescent="0.3">
      <c r="A868"/>
      <c r="F868"/>
      <c r="G868"/>
      <c r="I868" s="272"/>
      <c r="K868">
        <v>9920.4240000000009</v>
      </c>
    </row>
    <row r="869" spans="1:11" x14ac:dyDescent="0.3">
      <c r="A869"/>
      <c r="F869"/>
      <c r="G869"/>
      <c r="I869" s="272"/>
    </row>
    <row r="870" spans="1:11" x14ac:dyDescent="0.3">
      <c r="A870"/>
      <c r="F870"/>
      <c r="G870"/>
      <c r="I870" s="272"/>
    </row>
    <row r="871" spans="1:11" x14ac:dyDescent="0.3">
      <c r="A871"/>
      <c r="F871"/>
      <c r="G871"/>
      <c r="I871" s="272"/>
      <c r="K871">
        <v>662.4</v>
      </c>
    </row>
    <row r="872" spans="1:11" x14ac:dyDescent="0.3">
      <c r="A872"/>
      <c r="F872"/>
      <c r="G872"/>
      <c r="I872" s="272"/>
      <c r="K872">
        <v>11298</v>
      </c>
    </row>
    <row r="873" spans="1:11" x14ac:dyDescent="0.3">
      <c r="A873"/>
      <c r="F873"/>
      <c r="G873"/>
      <c r="I873" s="272"/>
      <c r="K873">
        <v>399.99999999999955</v>
      </c>
    </row>
    <row r="874" spans="1:11" x14ac:dyDescent="0.3">
      <c r="A874"/>
      <c r="F874"/>
      <c r="G874"/>
      <c r="I874" s="272"/>
      <c r="K874">
        <v>761.49599999999998</v>
      </c>
    </row>
    <row r="875" spans="1:11" x14ac:dyDescent="0.3">
      <c r="A875"/>
      <c r="F875"/>
      <c r="G875"/>
      <c r="I875" s="272"/>
    </row>
    <row r="876" spans="1:11" x14ac:dyDescent="0.3">
      <c r="A876"/>
      <c r="F876"/>
      <c r="G876"/>
      <c r="I876" s="272"/>
    </row>
    <row r="877" spans="1:11" x14ac:dyDescent="0.3">
      <c r="A877"/>
      <c r="F877"/>
      <c r="G877"/>
      <c r="I877" s="272"/>
      <c r="K877">
        <v>337.5</v>
      </c>
    </row>
    <row r="878" spans="1:11" x14ac:dyDescent="0.3">
      <c r="A878"/>
      <c r="F878"/>
      <c r="G878"/>
      <c r="I878" s="272"/>
      <c r="K878">
        <v>1869.9999995999999</v>
      </c>
    </row>
    <row r="879" spans="1:11" x14ac:dyDescent="0.3">
      <c r="A879"/>
      <c r="F879"/>
      <c r="G879"/>
      <c r="I879" s="272"/>
    </row>
    <row r="880" spans="1:11" x14ac:dyDescent="0.3">
      <c r="A880"/>
      <c r="F880"/>
      <c r="G880"/>
      <c r="I880" s="272"/>
      <c r="K880">
        <v>2707.5</v>
      </c>
    </row>
    <row r="881" spans="1:11" x14ac:dyDescent="0.3">
      <c r="A881"/>
      <c r="F881"/>
      <c r="G881"/>
      <c r="I881" s="272"/>
    </row>
    <row r="882" spans="1:11" x14ac:dyDescent="0.3">
      <c r="A882"/>
      <c r="F882"/>
      <c r="G882"/>
      <c r="I882" s="272"/>
      <c r="K882">
        <v>350.00000000099999</v>
      </c>
    </row>
    <row r="883" spans="1:11" x14ac:dyDescent="0.3">
      <c r="A883"/>
      <c r="F883"/>
      <c r="G883"/>
      <c r="I883" s="272"/>
    </row>
    <row r="884" spans="1:11" x14ac:dyDescent="0.3">
      <c r="A884"/>
      <c r="F884"/>
      <c r="G884"/>
      <c r="I884" s="272"/>
      <c r="K884">
        <v>1989.9999959999998</v>
      </c>
    </row>
    <row r="885" spans="1:11" x14ac:dyDescent="0.3">
      <c r="A885"/>
      <c r="F885"/>
      <c r="G885"/>
      <c r="I885" s="272"/>
      <c r="K885">
        <v>585</v>
      </c>
    </row>
    <row r="886" spans="1:11" x14ac:dyDescent="0.3">
      <c r="A886"/>
      <c r="F886"/>
      <c r="G886"/>
      <c r="I886" s="272"/>
      <c r="K886">
        <v>1746</v>
      </c>
    </row>
    <row r="887" spans="1:11" x14ac:dyDescent="0.3">
      <c r="A887"/>
      <c r="F887"/>
      <c r="G887"/>
      <c r="I887" s="272"/>
      <c r="K887">
        <v>1059.9999995999999</v>
      </c>
    </row>
    <row r="888" spans="1:11" x14ac:dyDescent="0.3">
      <c r="A888"/>
      <c r="F888"/>
      <c r="G888"/>
      <c r="I888" s="272"/>
    </row>
    <row r="889" spans="1:11" x14ac:dyDescent="0.3">
      <c r="A889"/>
      <c r="F889"/>
      <c r="G889"/>
      <c r="I889" s="272"/>
      <c r="K889">
        <v>324.99599999999998</v>
      </c>
    </row>
    <row r="890" spans="1:11" x14ac:dyDescent="0.3">
      <c r="A890"/>
      <c r="F890"/>
      <c r="G890"/>
      <c r="I890" s="272"/>
      <c r="K890">
        <v>4320</v>
      </c>
    </row>
    <row r="891" spans="1:11" x14ac:dyDescent="0.3">
      <c r="A891"/>
      <c r="F891"/>
      <c r="G891"/>
      <c r="I891" s="272"/>
      <c r="K891">
        <v>3612</v>
      </c>
    </row>
    <row r="892" spans="1:11" x14ac:dyDescent="0.3">
      <c r="A892"/>
      <c r="F892"/>
      <c r="G892"/>
      <c r="I892" s="272"/>
    </row>
    <row r="893" spans="1:11" x14ac:dyDescent="0.3">
      <c r="A893"/>
      <c r="F893"/>
      <c r="G893"/>
      <c r="I893" s="272"/>
      <c r="K893">
        <v>852</v>
      </c>
    </row>
    <row r="894" spans="1:11" x14ac:dyDescent="0.3">
      <c r="A894"/>
      <c r="F894"/>
      <c r="G894"/>
      <c r="I894" s="272"/>
    </row>
    <row r="895" spans="1:11" x14ac:dyDescent="0.3">
      <c r="A895"/>
      <c r="F895"/>
      <c r="G895"/>
      <c r="I895" s="272"/>
      <c r="K895">
        <v>420</v>
      </c>
    </row>
    <row r="896" spans="1:11" x14ac:dyDescent="0.3">
      <c r="A896"/>
      <c r="F896"/>
      <c r="G896"/>
      <c r="I896" s="272"/>
      <c r="K896">
        <v>31376.171999999999</v>
      </c>
    </row>
    <row r="897" spans="1:11" x14ac:dyDescent="0.3">
      <c r="A897"/>
      <c r="F897"/>
      <c r="G897"/>
      <c r="I897" s="272"/>
    </row>
    <row r="898" spans="1:11" x14ac:dyDescent="0.3">
      <c r="A898"/>
      <c r="F898"/>
      <c r="G898"/>
      <c r="I898" s="272"/>
    </row>
    <row r="899" spans="1:11" x14ac:dyDescent="0.3">
      <c r="A899"/>
      <c r="F899"/>
      <c r="G899"/>
      <c r="I899" s="272"/>
    </row>
    <row r="900" spans="1:11" x14ac:dyDescent="0.3">
      <c r="A900"/>
      <c r="F900"/>
      <c r="G900"/>
      <c r="I900" s="272"/>
    </row>
    <row r="901" spans="1:11" x14ac:dyDescent="0.3">
      <c r="A901"/>
      <c r="F901"/>
      <c r="G901"/>
      <c r="I901" s="272"/>
    </row>
    <row r="902" spans="1:11" x14ac:dyDescent="0.3">
      <c r="A902"/>
      <c r="F902"/>
      <c r="G902"/>
      <c r="I902" s="272"/>
    </row>
    <row r="903" spans="1:11" x14ac:dyDescent="0.3">
      <c r="A903"/>
      <c r="F903"/>
      <c r="G903"/>
      <c r="I903" s="272"/>
    </row>
    <row r="904" spans="1:11" x14ac:dyDescent="0.3">
      <c r="A904"/>
      <c r="F904"/>
      <c r="G904"/>
      <c r="I904" s="272"/>
    </row>
    <row r="905" spans="1:11" x14ac:dyDescent="0.3">
      <c r="A905"/>
      <c r="F905"/>
      <c r="G905"/>
      <c r="I905" s="272"/>
    </row>
    <row r="906" spans="1:11" x14ac:dyDescent="0.3">
      <c r="A906"/>
      <c r="F906"/>
      <c r="G906"/>
      <c r="I906" s="272"/>
      <c r="K906">
        <v>8070</v>
      </c>
    </row>
    <row r="907" spans="1:11" x14ac:dyDescent="0.3">
      <c r="A907"/>
      <c r="F907"/>
      <c r="G907"/>
      <c r="I907" s="272"/>
      <c r="K907">
        <v>1260</v>
      </c>
    </row>
    <row r="908" spans="1:11" x14ac:dyDescent="0.3">
      <c r="A908"/>
      <c r="F908"/>
      <c r="G908"/>
      <c r="I908" s="272"/>
    </row>
    <row r="909" spans="1:11" x14ac:dyDescent="0.3">
      <c r="A909"/>
      <c r="F909"/>
      <c r="G909"/>
      <c r="I909" s="272"/>
      <c r="K909">
        <v>384</v>
      </c>
    </row>
    <row r="910" spans="1:11" x14ac:dyDescent="0.3">
      <c r="A910"/>
      <c r="F910"/>
      <c r="G910"/>
      <c r="I910" s="272"/>
      <c r="K910">
        <v>4563.0360000000001</v>
      </c>
    </row>
    <row r="911" spans="1:11" x14ac:dyDescent="0.3">
      <c r="A911"/>
      <c r="F911"/>
      <c r="G911"/>
      <c r="I911" s="272"/>
    </row>
    <row r="912" spans="1:11" x14ac:dyDescent="0.3">
      <c r="A912"/>
      <c r="F912"/>
      <c r="G912"/>
      <c r="I912" s="272"/>
    </row>
    <row r="913" spans="1:11" x14ac:dyDescent="0.3">
      <c r="A913"/>
      <c r="F913"/>
      <c r="G913"/>
      <c r="I913" s="272"/>
    </row>
    <row r="914" spans="1:11" x14ac:dyDescent="0.3">
      <c r="A914"/>
      <c r="F914"/>
      <c r="G914"/>
      <c r="I914" s="272"/>
    </row>
    <row r="915" spans="1:11" x14ac:dyDescent="0.3">
      <c r="A915"/>
      <c r="F915"/>
      <c r="G915"/>
      <c r="I915" s="272"/>
    </row>
    <row r="916" spans="1:11" x14ac:dyDescent="0.3">
      <c r="A916"/>
      <c r="F916"/>
      <c r="G916"/>
      <c r="I916" s="272"/>
      <c r="K916">
        <v>750.12</v>
      </c>
    </row>
    <row r="917" spans="1:11" x14ac:dyDescent="0.3">
      <c r="A917"/>
      <c r="F917"/>
      <c r="G917"/>
      <c r="I917" s="272"/>
    </row>
    <row r="918" spans="1:11" x14ac:dyDescent="0.3">
      <c r="A918"/>
      <c r="F918"/>
      <c r="G918"/>
      <c r="I918" s="272"/>
    </row>
    <row r="919" spans="1:11" x14ac:dyDescent="0.3">
      <c r="A919"/>
      <c r="F919"/>
      <c r="G919"/>
      <c r="I919" s="272"/>
    </row>
    <row r="920" spans="1:11" x14ac:dyDescent="0.3">
      <c r="A920"/>
      <c r="F920"/>
      <c r="G920"/>
      <c r="I920" s="272"/>
      <c r="K920">
        <v>4800</v>
      </c>
    </row>
    <row r="921" spans="1:11" x14ac:dyDescent="0.3">
      <c r="A921"/>
      <c r="F921"/>
      <c r="G921"/>
      <c r="I921" s="272"/>
      <c r="K921">
        <v>10975.199999999999</v>
      </c>
    </row>
    <row r="922" spans="1:11" x14ac:dyDescent="0.3">
      <c r="A922"/>
      <c r="F922"/>
      <c r="G922"/>
      <c r="I922" s="272"/>
      <c r="K922">
        <v>1627.2</v>
      </c>
    </row>
    <row r="923" spans="1:11" x14ac:dyDescent="0.3">
      <c r="A923"/>
      <c r="F923"/>
      <c r="G923"/>
      <c r="I923" s="272"/>
      <c r="K923">
        <v>249.99959999999999</v>
      </c>
    </row>
    <row r="924" spans="1:11" x14ac:dyDescent="0.3">
      <c r="A924"/>
      <c r="F924"/>
      <c r="G924"/>
      <c r="I924" s="272"/>
      <c r="K924">
        <v>1200</v>
      </c>
    </row>
    <row r="925" spans="1:11" x14ac:dyDescent="0.3">
      <c r="A925"/>
      <c r="F925"/>
      <c r="G925"/>
      <c r="I925" s="272"/>
    </row>
    <row r="926" spans="1:11" x14ac:dyDescent="0.3">
      <c r="A926"/>
      <c r="F926"/>
      <c r="G926"/>
      <c r="I926" s="272"/>
      <c r="K926">
        <v>541.43999999999994</v>
      </c>
    </row>
    <row r="927" spans="1:11" x14ac:dyDescent="0.3">
      <c r="A927"/>
      <c r="F927"/>
      <c r="G927"/>
      <c r="I927" s="272"/>
      <c r="K927">
        <v>887.84039999999993</v>
      </c>
    </row>
    <row r="928" spans="1:11" x14ac:dyDescent="0.3">
      <c r="A928"/>
      <c r="F928"/>
      <c r="G928"/>
      <c r="I928" s="272"/>
    </row>
    <row r="929" spans="1:11" x14ac:dyDescent="0.3">
      <c r="A929"/>
      <c r="F929"/>
      <c r="G929"/>
      <c r="I929" s="272"/>
      <c r="K929">
        <v>541.43999999999994</v>
      </c>
    </row>
    <row r="930" spans="1:11" x14ac:dyDescent="0.3">
      <c r="A930"/>
      <c r="F930"/>
      <c r="G930"/>
      <c r="I930" s="272"/>
      <c r="K930">
        <v>327.37559999999996</v>
      </c>
    </row>
    <row r="931" spans="1:11" x14ac:dyDescent="0.3">
      <c r="A931"/>
      <c r="F931"/>
      <c r="G931"/>
      <c r="I931" s="272"/>
      <c r="K931">
        <v>1262.4959999999999</v>
      </c>
    </row>
    <row r="932" spans="1:11" x14ac:dyDescent="0.3">
      <c r="A932"/>
      <c r="F932"/>
      <c r="G932"/>
      <c r="I932" s="272"/>
    </row>
    <row r="933" spans="1:11" x14ac:dyDescent="0.3">
      <c r="A933"/>
      <c r="F933"/>
      <c r="G933"/>
      <c r="I933" s="272"/>
      <c r="K933">
        <v>270.71999999999997</v>
      </c>
    </row>
    <row r="934" spans="1:11" x14ac:dyDescent="0.3">
      <c r="A934"/>
      <c r="F934"/>
      <c r="G934"/>
      <c r="I934" s="272"/>
      <c r="K934">
        <v>337.5</v>
      </c>
    </row>
    <row r="935" spans="1:11" x14ac:dyDescent="0.3">
      <c r="A935"/>
      <c r="F935"/>
      <c r="G935"/>
      <c r="I935" s="272"/>
    </row>
    <row r="936" spans="1:11" x14ac:dyDescent="0.3">
      <c r="A936"/>
      <c r="F936"/>
      <c r="G936"/>
      <c r="I936" s="272"/>
    </row>
    <row r="937" spans="1:11" x14ac:dyDescent="0.3">
      <c r="A937"/>
      <c r="F937"/>
      <c r="G937"/>
      <c r="I937" s="272"/>
    </row>
    <row r="938" spans="1:11" x14ac:dyDescent="0.3">
      <c r="A938"/>
      <c r="F938"/>
      <c r="G938"/>
      <c r="I938" s="272"/>
    </row>
    <row r="939" spans="1:11" x14ac:dyDescent="0.3">
      <c r="A939"/>
      <c r="F939"/>
      <c r="G939"/>
      <c r="I939" s="272"/>
    </row>
    <row r="940" spans="1:11" x14ac:dyDescent="0.3">
      <c r="A940"/>
      <c r="F940"/>
      <c r="G940"/>
      <c r="I940" s="272"/>
    </row>
    <row r="941" spans="1:11" x14ac:dyDescent="0.3">
      <c r="A941"/>
      <c r="F941"/>
      <c r="G941"/>
      <c r="I941" s="272"/>
    </row>
    <row r="942" spans="1:11" x14ac:dyDescent="0.3">
      <c r="A942"/>
      <c r="F942"/>
      <c r="G942"/>
      <c r="I942" s="272"/>
    </row>
    <row r="943" spans="1:11" x14ac:dyDescent="0.3">
      <c r="A943"/>
      <c r="F943"/>
      <c r="G943"/>
      <c r="I943" s="272"/>
    </row>
    <row r="944" spans="1:11" x14ac:dyDescent="0.3">
      <c r="A944"/>
      <c r="F944"/>
      <c r="G944"/>
      <c r="I944" s="272"/>
    </row>
    <row r="945" spans="1:9" x14ac:dyDescent="0.3">
      <c r="A945"/>
      <c r="F945"/>
      <c r="G945"/>
      <c r="I945" s="272"/>
    </row>
    <row r="946" spans="1:9" x14ac:dyDescent="0.3">
      <c r="A946"/>
      <c r="F946"/>
      <c r="G946"/>
      <c r="I946" s="272"/>
    </row>
    <row r="947" spans="1:9" x14ac:dyDescent="0.3">
      <c r="A947"/>
      <c r="F947"/>
      <c r="G947"/>
      <c r="I947" s="272"/>
    </row>
    <row r="948" spans="1:9" x14ac:dyDescent="0.3">
      <c r="A948"/>
      <c r="F948"/>
      <c r="G948"/>
      <c r="I948" s="272"/>
    </row>
    <row r="949" spans="1:9" x14ac:dyDescent="0.3">
      <c r="A949"/>
      <c r="F949"/>
      <c r="G949"/>
      <c r="I949" s="272"/>
    </row>
    <row r="950" spans="1:9" x14ac:dyDescent="0.3">
      <c r="A950"/>
      <c r="F950"/>
      <c r="G950"/>
      <c r="I950" s="272"/>
    </row>
    <row r="951" spans="1:9" x14ac:dyDescent="0.3">
      <c r="A951"/>
      <c r="F951"/>
      <c r="G951"/>
      <c r="I951" s="272"/>
    </row>
    <row r="952" spans="1:9" x14ac:dyDescent="0.3">
      <c r="A952"/>
      <c r="F952"/>
      <c r="G952"/>
      <c r="I952" s="272"/>
    </row>
    <row r="953" spans="1:9" x14ac:dyDescent="0.3">
      <c r="A953"/>
      <c r="F953"/>
      <c r="G953"/>
      <c r="I953" s="272"/>
    </row>
    <row r="954" spans="1:9" x14ac:dyDescent="0.3">
      <c r="A954"/>
      <c r="F954"/>
      <c r="G954"/>
      <c r="I954" s="272"/>
    </row>
    <row r="955" spans="1:9" x14ac:dyDescent="0.3">
      <c r="A955"/>
      <c r="F955"/>
      <c r="G955"/>
      <c r="I955" s="272"/>
    </row>
    <row r="956" spans="1:9" x14ac:dyDescent="0.3">
      <c r="A956"/>
      <c r="F956"/>
      <c r="G956"/>
      <c r="I956" s="272"/>
    </row>
    <row r="957" spans="1:9" x14ac:dyDescent="0.3">
      <c r="A957"/>
      <c r="F957"/>
      <c r="G957"/>
      <c r="I957" s="272"/>
    </row>
    <row r="958" spans="1:9" x14ac:dyDescent="0.3">
      <c r="A958"/>
      <c r="F958"/>
      <c r="G958"/>
      <c r="I958" s="272"/>
    </row>
    <row r="959" spans="1:9" x14ac:dyDescent="0.3">
      <c r="A959"/>
      <c r="F959"/>
      <c r="G959"/>
      <c r="I959" s="272"/>
    </row>
    <row r="960" spans="1:9" x14ac:dyDescent="0.3">
      <c r="A960"/>
      <c r="F960"/>
      <c r="G960"/>
      <c r="I960" s="272"/>
    </row>
    <row r="961" spans="1:9" x14ac:dyDescent="0.3">
      <c r="A961"/>
      <c r="F961"/>
      <c r="G961"/>
      <c r="I961" s="272"/>
    </row>
    <row r="962" spans="1:9" x14ac:dyDescent="0.3">
      <c r="A962"/>
      <c r="F962"/>
      <c r="G962"/>
      <c r="I962" s="272"/>
    </row>
    <row r="963" spans="1:9" x14ac:dyDescent="0.3">
      <c r="A963"/>
      <c r="F963"/>
      <c r="G963"/>
      <c r="I963" s="272"/>
    </row>
    <row r="964" spans="1:9" x14ac:dyDescent="0.3">
      <c r="A964"/>
      <c r="F964"/>
      <c r="G964"/>
      <c r="I964" s="272"/>
    </row>
    <row r="965" spans="1:9" x14ac:dyDescent="0.3">
      <c r="A965"/>
      <c r="F965"/>
      <c r="G965"/>
      <c r="I965" s="272"/>
    </row>
    <row r="966" spans="1:9" x14ac:dyDescent="0.3">
      <c r="A966"/>
      <c r="F966"/>
      <c r="G966"/>
      <c r="I966" s="272"/>
    </row>
    <row r="967" spans="1:9" x14ac:dyDescent="0.3">
      <c r="A967"/>
      <c r="F967"/>
      <c r="G967"/>
      <c r="I967" s="272"/>
    </row>
    <row r="968" spans="1:9" x14ac:dyDescent="0.3">
      <c r="A968"/>
      <c r="F968"/>
      <c r="G968"/>
      <c r="I968" s="272"/>
    </row>
    <row r="969" spans="1:9" x14ac:dyDescent="0.3">
      <c r="A969"/>
      <c r="F969"/>
      <c r="G969"/>
      <c r="I969" s="272"/>
    </row>
    <row r="970" spans="1:9" x14ac:dyDescent="0.3">
      <c r="A970"/>
      <c r="F970"/>
      <c r="G970"/>
      <c r="I970" s="272"/>
    </row>
    <row r="971" spans="1:9" x14ac:dyDescent="0.3">
      <c r="A971"/>
      <c r="F971"/>
      <c r="G971"/>
      <c r="I971" s="272"/>
    </row>
    <row r="972" spans="1:9" x14ac:dyDescent="0.3">
      <c r="A972"/>
      <c r="F972"/>
      <c r="G972"/>
      <c r="I972" s="272"/>
    </row>
    <row r="973" spans="1:9" x14ac:dyDescent="0.3">
      <c r="A973"/>
      <c r="F973"/>
      <c r="G973"/>
      <c r="I973" s="272"/>
    </row>
    <row r="974" spans="1:9" x14ac:dyDescent="0.3">
      <c r="A974"/>
      <c r="F974"/>
      <c r="G974"/>
      <c r="I974" s="272"/>
    </row>
    <row r="975" spans="1:9" x14ac:dyDescent="0.3">
      <c r="A975"/>
      <c r="F975"/>
      <c r="G975"/>
      <c r="I975" s="272"/>
    </row>
    <row r="976" spans="1:9" x14ac:dyDescent="0.3">
      <c r="A976"/>
      <c r="F976"/>
      <c r="G976"/>
      <c r="I976" s="272"/>
    </row>
    <row r="977" spans="1:9" x14ac:dyDescent="0.3">
      <c r="A977"/>
      <c r="F977"/>
      <c r="G977"/>
      <c r="I977" s="272"/>
    </row>
    <row r="978" spans="1:9" x14ac:dyDescent="0.3">
      <c r="A978"/>
      <c r="F978"/>
      <c r="G978"/>
      <c r="I978" s="272"/>
    </row>
    <row r="979" spans="1:9" x14ac:dyDescent="0.3">
      <c r="A979"/>
      <c r="F979"/>
      <c r="G979"/>
      <c r="I979" s="272"/>
    </row>
    <row r="980" spans="1:9" x14ac:dyDescent="0.3">
      <c r="A980"/>
      <c r="F980"/>
      <c r="G980"/>
      <c r="I980" s="272"/>
    </row>
    <row r="981" spans="1:9" x14ac:dyDescent="0.3">
      <c r="A981"/>
      <c r="F981"/>
      <c r="G981"/>
      <c r="I981" s="272"/>
    </row>
    <row r="982" spans="1:9" x14ac:dyDescent="0.3">
      <c r="A982"/>
      <c r="F982"/>
      <c r="G982"/>
      <c r="I982" s="272"/>
    </row>
    <row r="983" spans="1:9" x14ac:dyDescent="0.3">
      <c r="A983"/>
      <c r="F983"/>
      <c r="G983"/>
      <c r="I983" s="272"/>
    </row>
    <row r="984" spans="1:9" x14ac:dyDescent="0.3">
      <c r="A984"/>
      <c r="F984"/>
      <c r="G984"/>
      <c r="I984" s="272"/>
    </row>
    <row r="985" spans="1:9" x14ac:dyDescent="0.3">
      <c r="A985"/>
      <c r="F985"/>
      <c r="G985"/>
      <c r="I985" s="272"/>
    </row>
    <row r="986" spans="1:9" x14ac:dyDescent="0.3">
      <c r="A986"/>
      <c r="F986"/>
      <c r="G986"/>
      <c r="I986" s="272"/>
    </row>
    <row r="987" spans="1:9" x14ac:dyDescent="0.3">
      <c r="A987"/>
      <c r="F987"/>
      <c r="G987"/>
      <c r="I987" s="272"/>
    </row>
    <row r="988" spans="1:9" x14ac:dyDescent="0.3">
      <c r="A988"/>
      <c r="F988"/>
      <c r="G988"/>
      <c r="I988" s="272"/>
    </row>
    <row r="989" spans="1:9" x14ac:dyDescent="0.3">
      <c r="A989"/>
      <c r="F989"/>
      <c r="G989"/>
      <c r="I989" s="272"/>
    </row>
    <row r="990" spans="1:9" x14ac:dyDescent="0.3">
      <c r="A990"/>
      <c r="F990"/>
      <c r="G990"/>
      <c r="I990" s="272"/>
    </row>
    <row r="991" spans="1:9" x14ac:dyDescent="0.3">
      <c r="A991"/>
      <c r="F991"/>
      <c r="G991"/>
      <c r="I991" s="272"/>
    </row>
    <row r="992" spans="1:9" x14ac:dyDescent="0.3">
      <c r="A992"/>
      <c r="F992"/>
      <c r="G992"/>
      <c r="I992" s="272"/>
    </row>
    <row r="993" spans="1:9" x14ac:dyDescent="0.3">
      <c r="A993"/>
      <c r="F993"/>
      <c r="G993"/>
      <c r="I993" s="272"/>
    </row>
    <row r="994" spans="1:9" x14ac:dyDescent="0.3">
      <c r="A994"/>
      <c r="F994"/>
      <c r="G994"/>
      <c r="I994" s="272"/>
    </row>
    <row r="995" spans="1:9" x14ac:dyDescent="0.3">
      <c r="A995"/>
      <c r="F995"/>
      <c r="G995"/>
      <c r="I995" s="272"/>
    </row>
    <row r="996" spans="1:9" x14ac:dyDescent="0.3">
      <c r="A996"/>
      <c r="F996"/>
      <c r="G996"/>
      <c r="I996" s="272"/>
    </row>
    <row r="997" spans="1:9" x14ac:dyDescent="0.3">
      <c r="A997"/>
      <c r="F997"/>
      <c r="G997"/>
      <c r="I997" s="272"/>
    </row>
    <row r="998" spans="1:9" x14ac:dyDescent="0.3">
      <c r="A998"/>
      <c r="F998"/>
      <c r="G998"/>
      <c r="I998" s="272"/>
    </row>
    <row r="999" spans="1:9" x14ac:dyDescent="0.3">
      <c r="A999"/>
      <c r="F999"/>
      <c r="G999"/>
      <c r="I999" s="272"/>
    </row>
    <row r="1000" spans="1:9" x14ac:dyDescent="0.3">
      <c r="A1000"/>
      <c r="F1000"/>
      <c r="G1000"/>
      <c r="I1000" s="272"/>
    </row>
    <row r="1001" spans="1:9" x14ac:dyDescent="0.3">
      <c r="A1001"/>
      <c r="F1001"/>
      <c r="G1001"/>
      <c r="I1001" s="272"/>
    </row>
    <row r="1002" spans="1:9" x14ac:dyDescent="0.3">
      <c r="A1002"/>
      <c r="F1002"/>
      <c r="G1002"/>
      <c r="I1002" s="272"/>
    </row>
    <row r="1003" spans="1:9" x14ac:dyDescent="0.3">
      <c r="A1003"/>
      <c r="F1003"/>
      <c r="G1003"/>
      <c r="I1003" s="272"/>
    </row>
    <row r="1004" spans="1:9" x14ac:dyDescent="0.3">
      <c r="A1004"/>
      <c r="F1004"/>
      <c r="G1004"/>
      <c r="I1004" s="272"/>
    </row>
    <row r="1005" spans="1:9" x14ac:dyDescent="0.3">
      <c r="A1005"/>
      <c r="F1005"/>
      <c r="G1005"/>
      <c r="I1005" s="272"/>
    </row>
    <row r="1006" spans="1:9" x14ac:dyDescent="0.3">
      <c r="A1006"/>
      <c r="F1006"/>
      <c r="G1006"/>
      <c r="I1006" s="272"/>
    </row>
    <row r="1007" spans="1:9" x14ac:dyDescent="0.3">
      <c r="A1007"/>
      <c r="F1007"/>
      <c r="G1007"/>
      <c r="I1007" s="272"/>
    </row>
    <row r="1008" spans="1:9" x14ac:dyDescent="0.3">
      <c r="A1008"/>
      <c r="F1008"/>
      <c r="G1008"/>
      <c r="I1008" s="272"/>
    </row>
    <row r="1009" spans="1:9" x14ac:dyDescent="0.3">
      <c r="A1009"/>
      <c r="F1009"/>
      <c r="G1009"/>
      <c r="I1009" s="272"/>
    </row>
    <row r="1010" spans="1:9" x14ac:dyDescent="0.3">
      <c r="A1010"/>
      <c r="F1010"/>
      <c r="G1010"/>
      <c r="I1010" s="272"/>
    </row>
    <row r="1011" spans="1:9" x14ac:dyDescent="0.3">
      <c r="A1011"/>
      <c r="F1011"/>
      <c r="G1011"/>
      <c r="I1011" s="272"/>
    </row>
    <row r="1012" spans="1:9" x14ac:dyDescent="0.3">
      <c r="A1012"/>
      <c r="F1012"/>
      <c r="G1012"/>
      <c r="I1012" s="272"/>
    </row>
    <row r="1013" spans="1:9" x14ac:dyDescent="0.3">
      <c r="A1013"/>
      <c r="F1013"/>
      <c r="G1013"/>
      <c r="I1013" s="272"/>
    </row>
    <row r="1014" spans="1:9" x14ac:dyDescent="0.3">
      <c r="A1014"/>
      <c r="F1014"/>
      <c r="G1014"/>
      <c r="I1014" s="272"/>
    </row>
    <row r="1015" spans="1:9" x14ac:dyDescent="0.3">
      <c r="A1015"/>
      <c r="F1015"/>
      <c r="G1015"/>
      <c r="I1015" s="272"/>
    </row>
    <row r="1016" spans="1:9" x14ac:dyDescent="0.3">
      <c r="A1016"/>
      <c r="F1016"/>
      <c r="G1016"/>
      <c r="I1016" s="272"/>
    </row>
    <row r="1017" spans="1:9" x14ac:dyDescent="0.3">
      <c r="A1017"/>
      <c r="F1017"/>
      <c r="G1017"/>
      <c r="I1017" s="272"/>
    </row>
    <row r="1018" spans="1:9" x14ac:dyDescent="0.3">
      <c r="A1018"/>
      <c r="F1018"/>
      <c r="G1018"/>
      <c r="I1018" s="272"/>
    </row>
    <row r="1019" spans="1:9" x14ac:dyDescent="0.3">
      <c r="A1019"/>
      <c r="F1019"/>
      <c r="G1019"/>
      <c r="I1019" s="272"/>
    </row>
    <row r="1020" spans="1:9" x14ac:dyDescent="0.3">
      <c r="A1020"/>
      <c r="F1020"/>
      <c r="G1020"/>
      <c r="I1020" s="272"/>
    </row>
    <row r="1021" spans="1:9" x14ac:dyDescent="0.3">
      <c r="A1021"/>
      <c r="F1021"/>
      <c r="G1021"/>
      <c r="I1021" s="272"/>
    </row>
    <row r="1022" spans="1:9" x14ac:dyDescent="0.3">
      <c r="A1022"/>
      <c r="F1022"/>
      <c r="G1022"/>
      <c r="I1022" s="272"/>
    </row>
    <row r="1023" spans="1:9" x14ac:dyDescent="0.3">
      <c r="A1023"/>
      <c r="F1023"/>
      <c r="G1023"/>
      <c r="I1023" s="272"/>
    </row>
    <row r="1024" spans="1:9" x14ac:dyDescent="0.3">
      <c r="A1024"/>
      <c r="F1024"/>
      <c r="G1024"/>
      <c r="I1024" s="272"/>
    </row>
    <row r="1025" spans="1:12" x14ac:dyDescent="0.3">
      <c r="A1025"/>
      <c r="F1025"/>
      <c r="G1025"/>
      <c r="I1025" s="272"/>
    </row>
    <row r="1026" spans="1:12" x14ac:dyDescent="0.3">
      <c r="A1026"/>
      <c r="F1026"/>
      <c r="G1026"/>
      <c r="I1026" s="272"/>
    </row>
    <row r="1027" spans="1:12" x14ac:dyDescent="0.3">
      <c r="A1027"/>
      <c r="F1027"/>
      <c r="G1027"/>
      <c r="I1027" s="272"/>
    </row>
    <row r="1028" spans="1:12" x14ac:dyDescent="0.3">
      <c r="A1028"/>
      <c r="F1028"/>
      <c r="G1028"/>
      <c r="I1028" s="272"/>
    </row>
    <row r="1029" spans="1:12" x14ac:dyDescent="0.3">
      <c r="A1029"/>
      <c r="F1029"/>
      <c r="G1029"/>
      <c r="I1029" s="272"/>
    </row>
    <row r="1030" spans="1:12" x14ac:dyDescent="0.3">
      <c r="A1030"/>
      <c r="F1030"/>
      <c r="G1030"/>
      <c r="I1030" s="272"/>
      <c r="L1030" t="s">
        <v>472</v>
      </c>
    </row>
    <row r="1031" spans="1:12" x14ac:dyDescent="0.3">
      <c r="A1031"/>
      <c r="F1031"/>
      <c r="G1031"/>
      <c r="I1031" s="272"/>
    </row>
    <row r="1032" spans="1:12" x14ac:dyDescent="0.3">
      <c r="A1032"/>
      <c r="F1032"/>
      <c r="G1032"/>
      <c r="I1032" s="272"/>
      <c r="K1032">
        <v>3828</v>
      </c>
    </row>
    <row r="1033" spans="1:12" x14ac:dyDescent="0.3">
      <c r="A1033"/>
      <c r="F1033"/>
      <c r="G1033"/>
      <c r="I1033" s="272"/>
      <c r="K1033">
        <v>21999.84</v>
      </c>
    </row>
    <row r="1034" spans="1:12" x14ac:dyDescent="0.3">
      <c r="A1034"/>
      <c r="F1034"/>
      <c r="G1034"/>
      <c r="I1034" s="272"/>
      <c r="K1034">
        <v>16499.879999999997</v>
      </c>
    </row>
    <row r="1035" spans="1:12" x14ac:dyDescent="0.3">
      <c r="A1035"/>
      <c r="F1035"/>
      <c r="G1035"/>
      <c r="I1035" s="272"/>
      <c r="K1035">
        <v>19199.987999999998</v>
      </c>
    </row>
    <row r="1036" spans="1:12" x14ac:dyDescent="0.3">
      <c r="A1036"/>
      <c r="F1036"/>
      <c r="G1036"/>
      <c r="I1036" s="272"/>
      <c r="K1036">
        <v>840</v>
      </c>
    </row>
    <row r="1037" spans="1:12" x14ac:dyDescent="0.3">
      <c r="A1037"/>
      <c r="F1037"/>
      <c r="G1037"/>
      <c r="I1037" s="272"/>
      <c r="K1037">
        <v>5610</v>
      </c>
    </row>
    <row r="1038" spans="1:12" x14ac:dyDescent="0.3">
      <c r="A1038"/>
      <c r="F1038"/>
      <c r="G1038"/>
      <c r="I1038" s="272"/>
    </row>
    <row r="1039" spans="1:12" x14ac:dyDescent="0.3">
      <c r="A1039"/>
      <c r="F1039"/>
      <c r="G1039"/>
      <c r="I1039" s="272"/>
    </row>
    <row r="1040" spans="1:12" x14ac:dyDescent="0.3">
      <c r="A1040"/>
      <c r="F1040"/>
      <c r="G1040"/>
      <c r="I1040" s="272"/>
      <c r="K1040">
        <v>6540</v>
      </c>
    </row>
    <row r="1041" spans="1:11" x14ac:dyDescent="0.3">
      <c r="A1041"/>
      <c r="F1041"/>
      <c r="G1041"/>
      <c r="I1041" s="272"/>
    </row>
    <row r="1042" spans="1:11" x14ac:dyDescent="0.3">
      <c r="A1042"/>
      <c r="F1042"/>
      <c r="G1042"/>
      <c r="I1042" s="272"/>
      <c r="K1042">
        <v>624</v>
      </c>
    </row>
    <row r="1043" spans="1:11" x14ac:dyDescent="0.3">
      <c r="A1043"/>
      <c r="F1043"/>
      <c r="G1043"/>
      <c r="I1043" s="272"/>
      <c r="K1043">
        <v>456</v>
      </c>
    </row>
    <row r="1044" spans="1:11" x14ac:dyDescent="0.3">
      <c r="A1044"/>
      <c r="F1044"/>
      <c r="G1044"/>
      <c r="I1044" s="272"/>
      <c r="K1044">
        <v>840</v>
      </c>
    </row>
    <row r="1045" spans="1:11" x14ac:dyDescent="0.3">
      <c r="A1045"/>
      <c r="F1045"/>
      <c r="G1045"/>
      <c r="I1045" s="272"/>
      <c r="K1045">
        <v>12030</v>
      </c>
    </row>
    <row r="1046" spans="1:11" x14ac:dyDescent="0.3">
      <c r="A1046"/>
      <c r="F1046"/>
      <c r="G1046"/>
      <c r="I1046" s="272"/>
    </row>
    <row r="1047" spans="1:11" x14ac:dyDescent="0.3">
      <c r="A1047"/>
      <c r="F1047"/>
      <c r="G1047"/>
      <c r="I1047" s="272"/>
    </row>
    <row r="1048" spans="1:11" x14ac:dyDescent="0.3">
      <c r="A1048"/>
      <c r="F1048"/>
      <c r="G1048"/>
      <c r="I1048" s="272"/>
    </row>
    <row r="1049" spans="1:11" x14ac:dyDescent="0.3">
      <c r="A1049"/>
      <c r="F1049"/>
      <c r="G1049"/>
      <c r="I1049" s="272"/>
      <c r="K1049">
        <v>10094.4</v>
      </c>
    </row>
    <row r="1050" spans="1:11" x14ac:dyDescent="0.3">
      <c r="A1050"/>
      <c r="F1050"/>
      <c r="G1050"/>
      <c r="I1050" s="272"/>
      <c r="K1050">
        <v>8720.4</v>
      </c>
    </row>
    <row r="1051" spans="1:11" x14ac:dyDescent="0.3">
      <c r="A1051"/>
      <c r="F1051"/>
      <c r="G1051"/>
      <c r="I1051" s="272"/>
    </row>
    <row r="1052" spans="1:11" x14ac:dyDescent="0.3">
      <c r="A1052"/>
      <c r="F1052"/>
      <c r="G1052"/>
      <c r="I1052" s="272"/>
    </row>
    <row r="1053" spans="1:11" x14ac:dyDescent="0.3">
      <c r="A1053"/>
      <c r="F1053"/>
      <c r="G1053"/>
      <c r="I1053" s="272"/>
      <c r="K1053">
        <v>9920.4240000000009</v>
      </c>
    </row>
    <row r="1054" spans="1:11" x14ac:dyDescent="0.3">
      <c r="A1054"/>
      <c r="F1054"/>
      <c r="G1054"/>
      <c r="I1054" s="272"/>
    </row>
    <row r="1055" spans="1:11" x14ac:dyDescent="0.3">
      <c r="A1055"/>
      <c r="F1055"/>
      <c r="G1055"/>
      <c r="I1055" s="272"/>
    </row>
    <row r="1056" spans="1:11" x14ac:dyDescent="0.3">
      <c r="A1056"/>
      <c r="F1056"/>
      <c r="G1056"/>
      <c r="I1056" s="272"/>
      <c r="K1056">
        <v>662.4</v>
      </c>
    </row>
    <row r="1057" spans="1:11" x14ac:dyDescent="0.3">
      <c r="A1057"/>
      <c r="F1057"/>
      <c r="G1057"/>
      <c r="I1057" s="272"/>
      <c r="K1057">
        <v>11298</v>
      </c>
    </row>
    <row r="1058" spans="1:11" x14ac:dyDescent="0.3">
      <c r="A1058"/>
      <c r="F1058"/>
      <c r="G1058"/>
      <c r="I1058" s="272"/>
      <c r="K1058">
        <v>399.99999999999955</v>
      </c>
    </row>
    <row r="1059" spans="1:11" x14ac:dyDescent="0.3">
      <c r="A1059"/>
      <c r="F1059"/>
      <c r="G1059"/>
      <c r="I1059" s="272"/>
      <c r="K1059">
        <v>761.49599999999998</v>
      </c>
    </row>
    <row r="1060" spans="1:11" x14ac:dyDescent="0.3">
      <c r="A1060"/>
      <c r="F1060"/>
      <c r="G1060"/>
      <c r="I1060" s="272"/>
    </row>
    <row r="1061" spans="1:11" x14ac:dyDescent="0.3">
      <c r="A1061"/>
      <c r="F1061"/>
      <c r="G1061"/>
      <c r="I1061" s="272"/>
    </row>
    <row r="1062" spans="1:11" x14ac:dyDescent="0.3">
      <c r="A1062"/>
      <c r="F1062"/>
      <c r="G1062"/>
      <c r="I1062" s="272"/>
      <c r="K1062">
        <v>337.5</v>
      </c>
    </row>
    <row r="1063" spans="1:11" x14ac:dyDescent="0.3">
      <c r="A1063"/>
      <c r="F1063"/>
      <c r="G1063"/>
      <c r="I1063" s="272"/>
      <c r="K1063">
        <v>1869.9999995999999</v>
      </c>
    </row>
    <row r="1064" spans="1:11" x14ac:dyDescent="0.3">
      <c r="A1064"/>
      <c r="F1064"/>
      <c r="G1064"/>
      <c r="I1064" s="272"/>
    </row>
    <row r="1065" spans="1:11" x14ac:dyDescent="0.3">
      <c r="A1065"/>
      <c r="F1065"/>
      <c r="G1065"/>
      <c r="I1065" s="272"/>
      <c r="K1065">
        <v>2707.5</v>
      </c>
    </row>
    <row r="1066" spans="1:11" x14ac:dyDescent="0.3">
      <c r="A1066"/>
      <c r="F1066"/>
      <c r="G1066"/>
      <c r="I1066" s="272"/>
    </row>
    <row r="1067" spans="1:11" x14ac:dyDescent="0.3">
      <c r="A1067"/>
      <c r="F1067"/>
      <c r="G1067"/>
      <c r="I1067" s="272"/>
      <c r="K1067">
        <v>350.00000000099999</v>
      </c>
    </row>
    <row r="1068" spans="1:11" x14ac:dyDescent="0.3">
      <c r="A1068"/>
      <c r="F1068"/>
      <c r="G1068"/>
      <c r="I1068" s="272"/>
    </row>
    <row r="1069" spans="1:11" x14ac:dyDescent="0.3">
      <c r="A1069"/>
      <c r="F1069"/>
      <c r="G1069"/>
      <c r="I1069" s="272"/>
      <c r="K1069">
        <v>1989.9999959999998</v>
      </c>
    </row>
    <row r="1070" spans="1:11" x14ac:dyDescent="0.3">
      <c r="A1070"/>
      <c r="F1070"/>
      <c r="G1070"/>
      <c r="I1070" s="272"/>
      <c r="K1070">
        <v>585</v>
      </c>
    </row>
    <row r="1071" spans="1:11" x14ac:dyDescent="0.3">
      <c r="A1071"/>
      <c r="F1071"/>
      <c r="G1071"/>
      <c r="I1071" s="272"/>
      <c r="K1071">
        <v>1746</v>
      </c>
    </row>
    <row r="1072" spans="1:11" x14ac:dyDescent="0.3">
      <c r="A1072"/>
      <c r="F1072"/>
      <c r="G1072"/>
      <c r="I1072" s="272"/>
      <c r="K1072">
        <v>1059.9999995999999</v>
      </c>
    </row>
    <row r="1073" spans="1:11" x14ac:dyDescent="0.3">
      <c r="A1073"/>
      <c r="F1073"/>
      <c r="G1073"/>
      <c r="I1073" s="272"/>
    </row>
    <row r="1074" spans="1:11" x14ac:dyDescent="0.3">
      <c r="A1074"/>
      <c r="F1074"/>
      <c r="G1074"/>
      <c r="I1074" s="272"/>
      <c r="K1074">
        <v>324.99599999999998</v>
      </c>
    </row>
    <row r="1075" spans="1:11" x14ac:dyDescent="0.3">
      <c r="A1075"/>
      <c r="F1075"/>
      <c r="G1075"/>
      <c r="I1075" s="272"/>
      <c r="K1075">
        <v>4320</v>
      </c>
    </row>
    <row r="1076" spans="1:11" x14ac:dyDescent="0.3">
      <c r="A1076"/>
      <c r="F1076"/>
      <c r="G1076"/>
      <c r="I1076" s="272"/>
      <c r="K1076">
        <v>3612</v>
      </c>
    </row>
    <row r="1077" spans="1:11" x14ac:dyDescent="0.3">
      <c r="A1077"/>
      <c r="F1077"/>
      <c r="G1077"/>
      <c r="I1077" s="272"/>
    </row>
    <row r="1078" spans="1:11" x14ac:dyDescent="0.3">
      <c r="A1078"/>
      <c r="F1078"/>
      <c r="G1078"/>
      <c r="I1078" s="272"/>
      <c r="K1078">
        <v>852</v>
      </c>
    </row>
    <row r="1079" spans="1:11" x14ac:dyDescent="0.3">
      <c r="A1079"/>
      <c r="F1079"/>
      <c r="G1079"/>
      <c r="I1079" s="272"/>
    </row>
    <row r="1080" spans="1:11" x14ac:dyDescent="0.3">
      <c r="A1080"/>
      <c r="F1080"/>
      <c r="G1080"/>
      <c r="I1080" s="272"/>
      <c r="K1080">
        <v>420</v>
      </c>
    </row>
    <row r="1081" spans="1:11" x14ac:dyDescent="0.3">
      <c r="A1081"/>
      <c r="F1081"/>
      <c r="G1081"/>
      <c r="I1081" s="272"/>
      <c r="K1081">
        <v>31376.171999999999</v>
      </c>
    </row>
    <row r="1082" spans="1:11" x14ac:dyDescent="0.3">
      <c r="A1082"/>
      <c r="F1082"/>
      <c r="G1082"/>
      <c r="I1082" s="272"/>
    </row>
    <row r="1083" spans="1:11" x14ac:dyDescent="0.3">
      <c r="A1083"/>
      <c r="F1083"/>
      <c r="G1083"/>
      <c r="I1083" s="272"/>
    </row>
    <row r="1084" spans="1:11" x14ac:dyDescent="0.3">
      <c r="A1084"/>
      <c r="F1084"/>
      <c r="G1084"/>
      <c r="I1084" s="272"/>
    </row>
    <row r="1085" spans="1:11" x14ac:dyDescent="0.3">
      <c r="A1085"/>
      <c r="F1085"/>
      <c r="G1085"/>
      <c r="I1085" s="272"/>
    </row>
    <row r="1086" spans="1:11" x14ac:dyDescent="0.3">
      <c r="A1086"/>
      <c r="F1086"/>
      <c r="G1086"/>
      <c r="I1086" s="272"/>
    </row>
    <row r="1087" spans="1:11" x14ac:dyDescent="0.3">
      <c r="A1087"/>
      <c r="F1087"/>
      <c r="G1087"/>
      <c r="I1087" s="272"/>
    </row>
    <row r="1088" spans="1:11" x14ac:dyDescent="0.3">
      <c r="A1088"/>
      <c r="F1088"/>
      <c r="G1088"/>
      <c r="I1088" s="272"/>
    </row>
    <row r="1089" spans="1:11" x14ac:dyDescent="0.3">
      <c r="A1089"/>
      <c r="F1089"/>
      <c r="G1089"/>
      <c r="I1089" s="272"/>
    </row>
    <row r="1090" spans="1:11" x14ac:dyDescent="0.3">
      <c r="A1090"/>
      <c r="F1090"/>
      <c r="G1090"/>
      <c r="I1090" s="272"/>
    </row>
    <row r="1091" spans="1:11" x14ac:dyDescent="0.3">
      <c r="A1091"/>
      <c r="F1091"/>
      <c r="G1091"/>
      <c r="I1091" s="272"/>
      <c r="K1091">
        <v>8070</v>
      </c>
    </row>
    <row r="1092" spans="1:11" x14ac:dyDescent="0.3">
      <c r="A1092"/>
      <c r="F1092"/>
      <c r="G1092"/>
      <c r="I1092" s="272"/>
      <c r="K1092">
        <v>1260</v>
      </c>
    </row>
    <row r="1093" spans="1:11" x14ac:dyDescent="0.3">
      <c r="A1093"/>
      <c r="F1093"/>
      <c r="G1093"/>
      <c r="I1093" s="272"/>
    </row>
    <row r="1094" spans="1:11" x14ac:dyDescent="0.3">
      <c r="A1094"/>
      <c r="F1094"/>
      <c r="G1094"/>
      <c r="I1094" s="272"/>
      <c r="K1094">
        <v>384</v>
      </c>
    </row>
    <row r="1095" spans="1:11" x14ac:dyDescent="0.3">
      <c r="A1095"/>
      <c r="F1095"/>
      <c r="G1095"/>
      <c r="I1095" s="272"/>
      <c r="K1095">
        <v>4563.0360000000001</v>
      </c>
    </row>
    <row r="1096" spans="1:11" x14ac:dyDescent="0.3">
      <c r="A1096"/>
      <c r="F1096"/>
      <c r="G1096"/>
      <c r="I1096" s="272"/>
    </row>
    <row r="1097" spans="1:11" x14ac:dyDescent="0.3">
      <c r="A1097"/>
      <c r="F1097"/>
      <c r="G1097"/>
      <c r="I1097" s="272"/>
    </row>
    <row r="1098" spans="1:11" x14ac:dyDescent="0.3">
      <c r="A1098"/>
      <c r="F1098"/>
      <c r="G1098"/>
      <c r="I1098" s="272"/>
    </row>
    <row r="1099" spans="1:11" x14ac:dyDescent="0.3">
      <c r="A1099"/>
      <c r="F1099"/>
      <c r="G1099"/>
      <c r="I1099" s="272"/>
    </row>
    <row r="1100" spans="1:11" x14ac:dyDescent="0.3">
      <c r="A1100"/>
      <c r="F1100"/>
      <c r="G1100"/>
      <c r="I1100" s="272"/>
    </row>
    <row r="1101" spans="1:11" x14ac:dyDescent="0.3">
      <c r="A1101"/>
      <c r="F1101"/>
      <c r="G1101"/>
      <c r="I1101" s="272"/>
      <c r="K1101">
        <v>750.12</v>
      </c>
    </row>
    <row r="1102" spans="1:11" x14ac:dyDescent="0.3">
      <c r="A1102"/>
      <c r="F1102"/>
      <c r="G1102"/>
      <c r="I1102" s="272"/>
    </row>
    <row r="1103" spans="1:11" x14ac:dyDescent="0.3">
      <c r="A1103"/>
      <c r="F1103"/>
      <c r="G1103"/>
      <c r="I1103" s="272"/>
    </row>
    <row r="1104" spans="1:11" x14ac:dyDescent="0.3">
      <c r="A1104"/>
      <c r="F1104"/>
      <c r="G1104"/>
      <c r="I1104" s="272"/>
    </row>
    <row r="1105" spans="1:11" x14ac:dyDescent="0.3">
      <c r="A1105"/>
      <c r="F1105"/>
      <c r="G1105"/>
      <c r="I1105" s="272"/>
      <c r="K1105">
        <v>4800</v>
      </c>
    </row>
    <row r="1106" spans="1:11" x14ac:dyDescent="0.3">
      <c r="A1106"/>
      <c r="F1106"/>
      <c r="G1106"/>
      <c r="I1106" s="272"/>
      <c r="K1106">
        <v>10975.199999999999</v>
      </c>
    </row>
    <row r="1107" spans="1:11" x14ac:dyDescent="0.3">
      <c r="A1107"/>
      <c r="F1107"/>
      <c r="G1107"/>
      <c r="I1107" s="272"/>
      <c r="K1107">
        <v>1627.2</v>
      </c>
    </row>
    <row r="1108" spans="1:11" x14ac:dyDescent="0.3">
      <c r="A1108"/>
      <c r="F1108"/>
      <c r="G1108"/>
      <c r="I1108" s="272"/>
      <c r="K1108">
        <v>249.99959999999999</v>
      </c>
    </row>
    <row r="1109" spans="1:11" x14ac:dyDescent="0.3">
      <c r="A1109"/>
      <c r="F1109"/>
      <c r="G1109"/>
      <c r="I1109" s="272"/>
      <c r="K1109">
        <v>1200</v>
      </c>
    </row>
    <row r="1110" spans="1:11" x14ac:dyDescent="0.3">
      <c r="A1110"/>
      <c r="F1110"/>
      <c r="G1110"/>
      <c r="I1110" s="272"/>
    </row>
    <row r="1111" spans="1:11" x14ac:dyDescent="0.3">
      <c r="A1111"/>
      <c r="F1111"/>
      <c r="G1111"/>
      <c r="I1111" s="272"/>
      <c r="K1111">
        <v>541.43999999999994</v>
      </c>
    </row>
    <row r="1112" spans="1:11" x14ac:dyDescent="0.3">
      <c r="A1112"/>
      <c r="F1112"/>
      <c r="G1112"/>
      <c r="I1112" s="272"/>
      <c r="K1112">
        <v>887.84039999999993</v>
      </c>
    </row>
    <row r="1113" spans="1:11" x14ac:dyDescent="0.3">
      <c r="A1113"/>
      <c r="F1113"/>
      <c r="G1113"/>
      <c r="I1113" s="272"/>
    </row>
    <row r="1114" spans="1:11" x14ac:dyDescent="0.3">
      <c r="A1114"/>
      <c r="F1114"/>
      <c r="G1114"/>
      <c r="I1114" s="272"/>
      <c r="K1114">
        <v>541.43999999999994</v>
      </c>
    </row>
    <row r="1115" spans="1:11" x14ac:dyDescent="0.3">
      <c r="A1115"/>
      <c r="F1115"/>
      <c r="G1115"/>
      <c r="I1115" s="272"/>
      <c r="K1115">
        <v>327.37559999999996</v>
      </c>
    </row>
    <row r="1116" spans="1:11" x14ac:dyDescent="0.3">
      <c r="A1116"/>
      <c r="F1116"/>
      <c r="G1116"/>
      <c r="I1116" s="272"/>
      <c r="K1116">
        <v>1262.4959999999999</v>
      </c>
    </row>
    <row r="1117" spans="1:11" x14ac:dyDescent="0.3">
      <c r="A1117"/>
      <c r="F1117"/>
      <c r="G1117"/>
      <c r="I1117" s="272"/>
    </row>
    <row r="1118" spans="1:11" x14ac:dyDescent="0.3">
      <c r="A1118"/>
      <c r="F1118"/>
      <c r="G1118"/>
      <c r="I1118" s="272"/>
      <c r="K1118">
        <v>270.71999999999997</v>
      </c>
    </row>
    <row r="1119" spans="1:11" x14ac:dyDescent="0.3">
      <c r="A1119"/>
      <c r="F1119"/>
      <c r="G1119"/>
      <c r="I1119" s="272"/>
      <c r="K1119">
        <v>337.5</v>
      </c>
    </row>
    <row r="1120" spans="1:11" x14ac:dyDescent="0.3">
      <c r="A1120"/>
      <c r="F1120"/>
      <c r="G1120"/>
      <c r="I1120" s="272"/>
      <c r="K1120">
        <v>1081.44</v>
      </c>
    </row>
    <row r="1121" spans="1:9" x14ac:dyDescent="0.3">
      <c r="A1121"/>
      <c r="F1121"/>
      <c r="G1121"/>
      <c r="I1121" s="272"/>
    </row>
    <row r="1122" spans="1:9" x14ac:dyDescent="0.3">
      <c r="A1122"/>
      <c r="F1122"/>
      <c r="G1122"/>
      <c r="I1122" s="272"/>
    </row>
    <row r="1123" spans="1:9" x14ac:dyDescent="0.3">
      <c r="A1123"/>
      <c r="F1123"/>
      <c r="G1123"/>
      <c r="I1123" s="272"/>
    </row>
    <row r="1124" spans="1:9" x14ac:dyDescent="0.3">
      <c r="A1124"/>
      <c r="F1124"/>
      <c r="G1124"/>
      <c r="I1124" s="272"/>
    </row>
    <row r="1125" spans="1:9" x14ac:dyDescent="0.3">
      <c r="A1125"/>
      <c r="F1125"/>
      <c r="G1125"/>
      <c r="I1125" s="272"/>
    </row>
    <row r="1126" spans="1:9" x14ac:dyDescent="0.3">
      <c r="A1126"/>
      <c r="F1126"/>
      <c r="G1126"/>
      <c r="I1126" s="272"/>
    </row>
    <row r="1127" spans="1:9" x14ac:dyDescent="0.3">
      <c r="A1127"/>
      <c r="F1127"/>
      <c r="G1127"/>
      <c r="I1127" s="272"/>
    </row>
    <row r="1128" spans="1:9" x14ac:dyDescent="0.3">
      <c r="A1128"/>
      <c r="F1128"/>
      <c r="G1128"/>
      <c r="I1128" s="272"/>
    </row>
    <row r="1129" spans="1:9" x14ac:dyDescent="0.3">
      <c r="A1129"/>
      <c r="F1129"/>
      <c r="G1129"/>
      <c r="I1129" s="272"/>
    </row>
    <row r="1130" spans="1:9" x14ac:dyDescent="0.3">
      <c r="A1130"/>
      <c r="F1130"/>
      <c r="G1130"/>
      <c r="I1130" s="272"/>
    </row>
    <row r="1131" spans="1:9" x14ac:dyDescent="0.3">
      <c r="A1131"/>
      <c r="F1131"/>
      <c r="G1131"/>
      <c r="I1131" s="272"/>
    </row>
    <row r="1132" spans="1:9" x14ac:dyDescent="0.3">
      <c r="A1132"/>
      <c r="F1132"/>
      <c r="G1132"/>
      <c r="I1132" s="272"/>
    </row>
    <row r="1133" spans="1:9" x14ac:dyDescent="0.3">
      <c r="A1133"/>
      <c r="F1133"/>
      <c r="G1133"/>
      <c r="I1133" s="272"/>
    </row>
    <row r="1134" spans="1:9" x14ac:dyDescent="0.3">
      <c r="A1134"/>
      <c r="F1134"/>
      <c r="G1134"/>
      <c r="I1134" s="272"/>
    </row>
    <row r="1135" spans="1:9" x14ac:dyDescent="0.3">
      <c r="A1135"/>
      <c r="F1135"/>
      <c r="G1135"/>
      <c r="I1135" s="272"/>
    </row>
    <row r="1136" spans="1:9" x14ac:dyDescent="0.3">
      <c r="A1136"/>
      <c r="F1136"/>
      <c r="G1136"/>
      <c r="I1136" s="272"/>
    </row>
    <row r="1137" spans="1:9" x14ac:dyDescent="0.3">
      <c r="A1137"/>
      <c r="F1137"/>
      <c r="G1137"/>
      <c r="I1137" s="272"/>
    </row>
    <row r="1138" spans="1:9" x14ac:dyDescent="0.3">
      <c r="A1138"/>
      <c r="F1138"/>
      <c r="G1138"/>
      <c r="I1138" s="272"/>
    </row>
    <row r="1139" spans="1:9" x14ac:dyDescent="0.3">
      <c r="A1139"/>
      <c r="F1139"/>
      <c r="G1139"/>
      <c r="I1139" s="272"/>
    </row>
    <row r="1140" spans="1:9" x14ac:dyDescent="0.3">
      <c r="A1140"/>
      <c r="F1140"/>
      <c r="G1140"/>
      <c r="I1140" s="272"/>
    </row>
    <row r="1141" spans="1:9" x14ac:dyDescent="0.3">
      <c r="A1141"/>
      <c r="F1141"/>
      <c r="G1141"/>
      <c r="I1141" s="272"/>
    </row>
    <row r="1142" spans="1:9" x14ac:dyDescent="0.3">
      <c r="A1142"/>
      <c r="F1142"/>
      <c r="G1142"/>
      <c r="I1142" s="272"/>
    </row>
    <row r="1143" spans="1:9" x14ac:dyDescent="0.3">
      <c r="A1143"/>
      <c r="F1143"/>
      <c r="G1143"/>
      <c r="I1143" s="272"/>
    </row>
    <row r="1144" spans="1:9" x14ac:dyDescent="0.3">
      <c r="A1144"/>
      <c r="F1144"/>
      <c r="G1144"/>
      <c r="I1144" s="272"/>
    </row>
    <row r="1145" spans="1:9" x14ac:dyDescent="0.3">
      <c r="A1145"/>
      <c r="F1145"/>
      <c r="G1145"/>
      <c r="I1145" s="272"/>
    </row>
    <row r="1146" spans="1:9" x14ac:dyDescent="0.3">
      <c r="A1146"/>
      <c r="F1146"/>
      <c r="G1146"/>
      <c r="I1146" s="272"/>
    </row>
    <row r="1147" spans="1:9" x14ac:dyDescent="0.3">
      <c r="A1147"/>
      <c r="F1147"/>
      <c r="G1147"/>
      <c r="I1147" s="272"/>
    </row>
    <row r="1148" spans="1:9" x14ac:dyDescent="0.3">
      <c r="A1148"/>
      <c r="F1148"/>
      <c r="G1148"/>
      <c r="I1148" s="272"/>
    </row>
    <row r="1149" spans="1:9" x14ac:dyDescent="0.3">
      <c r="A1149"/>
      <c r="F1149"/>
      <c r="G1149"/>
      <c r="I1149" s="272"/>
    </row>
    <row r="1150" spans="1:9" x14ac:dyDescent="0.3">
      <c r="A1150"/>
      <c r="F1150"/>
      <c r="G1150"/>
      <c r="I1150" s="272"/>
    </row>
    <row r="1151" spans="1:9" x14ac:dyDescent="0.3">
      <c r="A1151"/>
      <c r="F1151"/>
      <c r="G1151"/>
      <c r="I1151" s="272"/>
    </row>
    <row r="1152" spans="1:9" x14ac:dyDescent="0.3">
      <c r="A1152"/>
      <c r="F1152"/>
      <c r="G1152"/>
      <c r="I1152" s="272"/>
    </row>
    <row r="1153" spans="1:9" x14ac:dyDescent="0.3">
      <c r="A1153"/>
      <c r="F1153"/>
      <c r="G1153"/>
      <c r="I1153" s="272"/>
    </row>
    <row r="1154" spans="1:9" x14ac:dyDescent="0.3">
      <c r="A1154"/>
      <c r="F1154"/>
      <c r="G1154"/>
      <c r="I1154" s="272"/>
    </row>
    <row r="1155" spans="1:9" x14ac:dyDescent="0.3">
      <c r="A1155"/>
      <c r="F1155"/>
      <c r="G1155"/>
      <c r="I1155" s="272"/>
    </row>
    <row r="1156" spans="1:9" x14ac:dyDescent="0.3">
      <c r="A1156"/>
      <c r="F1156"/>
      <c r="G1156"/>
      <c r="I1156" s="272"/>
    </row>
    <row r="1157" spans="1:9" x14ac:dyDescent="0.3">
      <c r="A1157"/>
      <c r="F1157"/>
      <c r="G1157"/>
      <c r="I1157" s="272"/>
    </row>
    <row r="1158" spans="1:9" x14ac:dyDescent="0.3">
      <c r="A1158"/>
      <c r="F1158"/>
      <c r="G1158"/>
      <c r="I1158" s="272"/>
    </row>
    <row r="1159" spans="1:9" x14ac:dyDescent="0.3">
      <c r="A1159"/>
      <c r="F1159"/>
      <c r="G1159"/>
      <c r="I1159" s="272"/>
    </row>
    <row r="1160" spans="1:9" x14ac:dyDescent="0.3">
      <c r="A1160"/>
      <c r="F1160"/>
      <c r="G1160"/>
      <c r="I1160" s="272"/>
    </row>
    <row r="1161" spans="1:9" x14ac:dyDescent="0.3">
      <c r="A1161"/>
      <c r="F1161"/>
      <c r="G1161"/>
      <c r="I1161" s="272"/>
    </row>
    <row r="1162" spans="1:9" x14ac:dyDescent="0.3">
      <c r="A1162"/>
      <c r="F1162"/>
      <c r="G1162"/>
      <c r="I1162" s="272"/>
    </row>
    <row r="1163" spans="1:9" x14ac:dyDescent="0.3">
      <c r="A1163"/>
      <c r="F1163"/>
      <c r="G1163"/>
      <c r="I1163" s="272"/>
    </row>
    <row r="1164" spans="1:9" x14ac:dyDescent="0.3">
      <c r="A1164"/>
      <c r="F1164"/>
      <c r="G1164"/>
      <c r="I1164" s="272"/>
    </row>
    <row r="1165" spans="1:9" x14ac:dyDescent="0.3">
      <c r="A1165"/>
      <c r="F1165"/>
      <c r="G1165"/>
      <c r="I1165" s="272"/>
    </row>
    <row r="1166" spans="1:9" x14ac:dyDescent="0.3">
      <c r="A1166"/>
      <c r="F1166"/>
      <c r="G1166"/>
      <c r="I1166" s="272"/>
    </row>
    <row r="1167" spans="1:9" x14ac:dyDescent="0.3">
      <c r="A1167"/>
      <c r="F1167"/>
      <c r="G1167"/>
      <c r="I1167" s="272"/>
    </row>
    <row r="1168" spans="1:9" x14ac:dyDescent="0.3">
      <c r="A1168"/>
      <c r="F1168"/>
      <c r="G1168"/>
      <c r="I1168" s="272"/>
    </row>
    <row r="1169" spans="1:9" x14ac:dyDescent="0.3">
      <c r="A1169"/>
      <c r="F1169"/>
      <c r="G1169"/>
      <c r="I1169" s="272"/>
    </row>
    <row r="1170" spans="1:9" x14ac:dyDescent="0.3">
      <c r="A1170"/>
      <c r="F1170"/>
      <c r="G1170"/>
      <c r="I1170" s="272"/>
    </row>
    <row r="1171" spans="1:9" x14ac:dyDescent="0.3">
      <c r="A1171"/>
      <c r="F1171"/>
      <c r="G1171"/>
      <c r="I1171" s="272"/>
    </row>
    <row r="1172" spans="1:9" x14ac:dyDescent="0.3">
      <c r="A1172"/>
      <c r="F1172"/>
      <c r="G1172"/>
      <c r="I1172" s="272"/>
    </row>
    <row r="1173" spans="1:9" x14ac:dyDescent="0.3">
      <c r="A1173"/>
      <c r="F1173"/>
      <c r="G1173"/>
      <c r="I1173" s="272"/>
    </row>
    <row r="1174" spans="1:9" x14ac:dyDescent="0.3">
      <c r="A1174"/>
      <c r="F1174"/>
      <c r="G1174"/>
      <c r="I1174" s="272"/>
    </row>
    <row r="1175" spans="1:9" x14ac:dyDescent="0.3">
      <c r="A1175"/>
      <c r="F1175"/>
      <c r="G1175"/>
      <c r="I1175" s="272"/>
    </row>
    <row r="1176" spans="1:9" x14ac:dyDescent="0.3">
      <c r="A1176"/>
      <c r="F1176"/>
      <c r="G1176"/>
      <c r="I1176" s="272"/>
    </row>
    <row r="1177" spans="1:9" x14ac:dyDescent="0.3">
      <c r="A1177"/>
      <c r="F1177"/>
      <c r="G1177"/>
      <c r="I1177" s="272"/>
    </row>
    <row r="1178" spans="1:9" x14ac:dyDescent="0.3">
      <c r="A1178"/>
      <c r="F1178"/>
      <c r="G1178"/>
      <c r="I1178" s="272"/>
    </row>
    <row r="1179" spans="1:9" x14ac:dyDescent="0.3">
      <c r="A1179"/>
      <c r="F1179"/>
      <c r="G1179"/>
      <c r="I1179" s="272"/>
    </row>
    <row r="1180" spans="1:9" x14ac:dyDescent="0.3">
      <c r="A1180"/>
      <c r="F1180"/>
      <c r="G1180"/>
      <c r="I1180" s="272"/>
    </row>
    <row r="1181" spans="1:9" x14ac:dyDescent="0.3">
      <c r="A1181"/>
      <c r="F1181"/>
      <c r="G1181"/>
      <c r="I1181" s="272"/>
    </row>
    <row r="1182" spans="1:9" x14ac:dyDescent="0.3">
      <c r="A1182"/>
      <c r="F1182"/>
      <c r="G1182"/>
      <c r="I1182" s="272"/>
    </row>
    <row r="1183" spans="1:9" x14ac:dyDescent="0.3">
      <c r="A1183"/>
      <c r="F1183"/>
      <c r="G1183"/>
      <c r="I1183" s="272"/>
    </row>
    <row r="1184" spans="1:9" x14ac:dyDescent="0.3">
      <c r="A1184"/>
      <c r="F1184"/>
      <c r="G1184"/>
      <c r="I1184" s="272"/>
    </row>
    <row r="1185" spans="1:9" x14ac:dyDescent="0.3">
      <c r="A1185"/>
      <c r="F1185"/>
      <c r="G1185"/>
      <c r="I1185" s="272"/>
    </row>
    <row r="1186" spans="1:9" x14ac:dyDescent="0.3">
      <c r="A1186"/>
      <c r="F1186"/>
      <c r="G1186"/>
      <c r="I1186" s="272"/>
    </row>
    <row r="1187" spans="1:9" x14ac:dyDescent="0.3">
      <c r="A1187"/>
      <c r="F1187"/>
      <c r="G1187"/>
      <c r="I1187" s="272"/>
    </row>
    <row r="1188" spans="1:9" x14ac:dyDescent="0.3">
      <c r="A1188"/>
      <c r="F1188"/>
      <c r="G1188"/>
      <c r="I1188" s="272"/>
    </row>
    <row r="1189" spans="1:9" x14ac:dyDescent="0.3">
      <c r="A1189"/>
      <c r="F1189"/>
      <c r="G1189"/>
      <c r="I1189" s="272"/>
    </row>
    <row r="1190" spans="1:9" x14ac:dyDescent="0.3">
      <c r="A1190"/>
      <c r="F1190"/>
      <c r="G1190"/>
      <c r="I1190" s="272"/>
    </row>
    <row r="1191" spans="1:9" x14ac:dyDescent="0.3">
      <c r="A1191"/>
      <c r="F1191"/>
      <c r="G1191"/>
      <c r="I1191" s="272"/>
    </row>
    <row r="1192" spans="1:9" x14ac:dyDescent="0.3">
      <c r="A1192"/>
      <c r="F1192"/>
      <c r="G1192"/>
      <c r="I1192" s="272"/>
    </row>
    <row r="1193" spans="1:9" x14ac:dyDescent="0.3">
      <c r="A1193"/>
      <c r="F1193"/>
      <c r="G1193"/>
      <c r="I1193" s="272"/>
    </row>
    <row r="1194" spans="1:9" x14ac:dyDescent="0.3">
      <c r="A1194"/>
      <c r="F1194"/>
      <c r="G1194"/>
      <c r="I1194" s="272"/>
    </row>
    <row r="1195" spans="1:9" x14ac:dyDescent="0.3">
      <c r="A1195"/>
      <c r="F1195"/>
      <c r="G1195"/>
      <c r="I1195" s="272"/>
    </row>
    <row r="1196" spans="1:9" x14ac:dyDescent="0.3">
      <c r="A1196"/>
      <c r="F1196"/>
      <c r="G1196"/>
      <c r="I1196" s="272"/>
    </row>
    <row r="1197" spans="1:9" x14ac:dyDescent="0.3">
      <c r="A1197"/>
      <c r="F1197"/>
      <c r="G1197"/>
      <c r="I1197" s="272"/>
    </row>
    <row r="1198" spans="1:9" x14ac:dyDescent="0.3">
      <c r="A1198"/>
      <c r="F1198"/>
      <c r="G1198"/>
      <c r="I1198" s="272"/>
    </row>
    <row r="1199" spans="1:9" x14ac:dyDescent="0.3">
      <c r="A1199"/>
      <c r="F1199"/>
      <c r="G1199"/>
      <c r="I1199" s="272"/>
    </row>
    <row r="1200" spans="1:9" x14ac:dyDescent="0.3">
      <c r="A1200"/>
      <c r="F1200"/>
      <c r="G1200"/>
      <c r="I1200" s="272"/>
    </row>
    <row r="1201" spans="1:12" x14ac:dyDescent="0.3">
      <c r="A1201"/>
      <c r="F1201"/>
      <c r="G1201"/>
      <c r="I1201" s="272"/>
    </row>
    <row r="1202" spans="1:12" x14ac:dyDescent="0.3">
      <c r="A1202"/>
      <c r="F1202"/>
      <c r="G1202"/>
      <c r="I1202" s="272"/>
    </row>
    <row r="1203" spans="1:12" x14ac:dyDescent="0.3">
      <c r="A1203"/>
      <c r="F1203"/>
      <c r="G1203"/>
      <c r="I1203" s="272"/>
    </row>
    <row r="1204" spans="1:12" x14ac:dyDescent="0.3">
      <c r="A1204"/>
      <c r="F1204"/>
      <c r="G1204"/>
      <c r="I1204" s="272"/>
    </row>
    <row r="1205" spans="1:12" x14ac:dyDescent="0.3">
      <c r="A1205"/>
      <c r="F1205"/>
      <c r="G1205"/>
      <c r="I1205" s="272"/>
    </row>
    <row r="1206" spans="1:12" x14ac:dyDescent="0.3">
      <c r="A1206"/>
      <c r="F1206"/>
      <c r="G1206"/>
      <c r="I1206" s="272"/>
    </row>
    <row r="1207" spans="1:12" x14ac:dyDescent="0.3">
      <c r="A1207"/>
      <c r="F1207"/>
      <c r="G1207"/>
      <c r="I1207" s="272"/>
    </row>
    <row r="1208" spans="1:12" x14ac:dyDescent="0.3">
      <c r="A1208"/>
      <c r="F1208"/>
      <c r="G1208"/>
      <c r="I1208" s="272"/>
    </row>
    <row r="1209" spans="1:12" x14ac:dyDescent="0.3">
      <c r="A1209"/>
      <c r="F1209"/>
      <c r="G1209"/>
      <c r="I1209" s="272"/>
    </row>
    <row r="1210" spans="1:12" x14ac:dyDescent="0.3">
      <c r="A1210"/>
      <c r="F1210"/>
      <c r="G1210"/>
      <c r="I1210" s="272"/>
    </row>
    <row r="1211" spans="1:12" x14ac:dyDescent="0.3">
      <c r="A1211"/>
      <c r="F1211"/>
      <c r="G1211"/>
      <c r="I1211" s="272"/>
    </row>
    <row r="1212" spans="1:12" x14ac:dyDescent="0.3">
      <c r="A1212"/>
      <c r="F1212"/>
      <c r="G1212"/>
      <c r="I1212" s="272"/>
    </row>
    <row r="1213" spans="1:12" x14ac:dyDescent="0.3">
      <c r="A1213"/>
      <c r="F1213"/>
      <c r="G1213"/>
      <c r="I1213" s="272"/>
    </row>
    <row r="1214" spans="1:12" x14ac:dyDescent="0.3">
      <c r="A1214"/>
      <c r="F1214"/>
      <c r="G1214"/>
      <c r="I1214" s="272"/>
    </row>
    <row r="1215" spans="1:12" x14ac:dyDescent="0.3">
      <c r="A1215"/>
      <c r="F1215"/>
      <c r="G1215"/>
      <c r="I1215" s="272"/>
      <c r="L1215" t="s">
        <v>472</v>
      </c>
    </row>
    <row r="1216" spans="1:12" x14ac:dyDescent="0.3">
      <c r="A1216"/>
      <c r="F1216"/>
      <c r="G1216"/>
      <c r="I1216" s="272"/>
    </row>
    <row r="1217" spans="1:11" x14ac:dyDescent="0.3">
      <c r="A1217"/>
      <c r="F1217"/>
      <c r="G1217"/>
      <c r="I1217" s="272"/>
      <c r="K1217">
        <v>3828</v>
      </c>
    </row>
    <row r="1218" spans="1:11" x14ac:dyDescent="0.3">
      <c r="A1218"/>
      <c r="F1218"/>
      <c r="G1218"/>
      <c r="I1218" s="272"/>
      <c r="K1218">
        <v>21999.84</v>
      </c>
    </row>
    <row r="1219" spans="1:11" x14ac:dyDescent="0.3">
      <c r="A1219"/>
      <c r="F1219"/>
      <c r="G1219"/>
      <c r="I1219" s="272"/>
      <c r="K1219">
        <v>16499.879999999997</v>
      </c>
    </row>
    <row r="1220" spans="1:11" x14ac:dyDescent="0.3">
      <c r="A1220"/>
      <c r="F1220"/>
      <c r="G1220"/>
      <c r="I1220" s="272"/>
      <c r="K1220">
        <v>19199.987999999998</v>
      </c>
    </row>
    <row r="1221" spans="1:11" x14ac:dyDescent="0.3">
      <c r="A1221"/>
      <c r="F1221"/>
      <c r="G1221"/>
      <c r="I1221" s="272"/>
      <c r="K1221">
        <v>840</v>
      </c>
    </row>
    <row r="1222" spans="1:11" x14ac:dyDescent="0.3">
      <c r="A1222"/>
      <c r="F1222"/>
      <c r="G1222"/>
      <c r="I1222" s="272"/>
      <c r="K1222">
        <v>5610</v>
      </c>
    </row>
    <row r="1223" spans="1:11" x14ac:dyDescent="0.3">
      <c r="A1223"/>
      <c r="F1223"/>
      <c r="G1223"/>
      <c r="I1223" s="272"/>
    </row>
    <row r="1224" spans="1:11" x14ac:dyDescent="0.3">
      <c r="A1224"/>
      <c r="F1224"/>
      <c r="G1224"/>
      <c r="I1224" s="272"/>
    </row>
    <row r="1225" spans="1:11" x14ac:dyDescent="0.3">
      <c r="A1225"/>
      <c r="F1225"/>
      <c r="G1225"/>
      <c r="I1225" s="272"/>
      <c r="K1225">
        <v>6540</v>
      </c>
    </row>
    <row r="1226" spans="1:11" x14ac:dyDescent="0.3">
      <c r="A1226"/>
      <c r="F1226"/>
      <c r="G1226"/>
      <c r="I1226" s="272"/>
    </row>
    <row r="1227" spans="1:11" x14ac:dyDescent="0.3">
      <c r="A1227"/>
      <c r="F1227"/>
      <c r="G1227"/>
      <c r="I1227" s="272"/>
      <c r="K1227">
        <v>624</v>
      </c>
    </row>
    <row r="1228" spans="1:11" x14ac:dyDescent="0.3">
      <c r="A1228"/>
      <c r="F1228"/>
      <c r="G1228"/>
      <c r="I1228" s="272"/>
      <c r="K1228">
        <v>456</v>
      </c>
    </row>
    <row r="1229" spans="1:11" x14ac:dyDescent="0.3">
      <c r="A1229"/>
      <c r="F1229"/>
      <c r="G1229"/>
      <c r="I1229" s="272"/>
      <c r="K1229">
        <v>840</v>
      </c>
    </row>
    <row r="1230" spans="1:11" x14ac:dyDescent="0.3">
      <c r="A1230"/>
      <c r="F1230"/>
      <c r="G1230"/>
      <c r="I1230" s="272"/>
      <c r="K1230">
        <v>12030</v>
      </c>
    </row>
    <row r="1231" spans="1:11" x14ac:dyDescent="0.3">
      <c r="A1231"/>
      <c r="F1231"/>
      <c r="G1231"/>
      <c r="I1231" s="272"/>
    </row>
    <row r="1232" spans="1:11" x14ac:dyDescent="0.3">
      <c r="A1232"/>
      <c r="F1232"/>
      <c r="G1232"/>
      <c r="I1232" s="272"/>
    </row>
    <row r="1233" spans="1:11" x14ac:dyDescent="0.3">
      <c r="A1233"/>
      <c r="F1233"/>
      <c r="G1233"/>
      <c r="I1233" s="272"/>
    </row>
    <row r="1234" spans="1:11" x14ac:dyDescent="0.3">
      <c r="A1234"/>
      <c r="F1234"/>
      <c r="G1234"/>
      <c r="I1234" s="272"/>
      <c r="K1234">
        <v>10094.4</v>
      </c>
    </row>
    <row r="1235" spans="1:11" x14ac:dyDescent="0.3">
      <c r="A1235"/>
      <c r="F1235"/>
      <c r="G1235"/>
      <c r="I1235" s="272"/>
      <c r="K1235">
        <v>8720.4</v>
      </c>
    </row>
    <row r="1236" spans="1:11" x14ac:dyDescent="0.3">
      <c r="A1236"/>
      <c r="F1236"/>
      <c r="G1236"/>
      <c r="I1236" s="272"/>
    </row>
    <row r="1237" spans="1:11" x14ac:dyDescent="0.3">
      <c r="A1237"/>
      <c r="F1237"/>
      <c r="G1237"/>
      <c r="I1237" s="272"/>
    </row>
    <row r="1238" spans="1:11" x14ac:dyDescent="0.3">
      <c r="A1238"/>
      <c r="F1238"/>
      <c r="G1238"/>
      <c r="I1238" s="272"/>
      <c r="K1238">
        <v>9920.4240000000009</v>
      </c>
    </row>
    <row r="1239" spans="1:11" x14ac:dyDescent="0.3">
      <c r="A1239"/>
      <c r="F1239"/>
      <c r="G1239"/>
      <c r="I1239" s="272"/>
    </row>
    <row r="1240" spans="1:11" x14ac:dyDescent="0.3">
      <c r="A1240"/>
      <c r="F1240"/>
      <c r="G1240"/>
      <c r="I1240" s="272"/>
    </row>
    <row r="1241" spans="1:11" x14ac:dyDescent="0.3">
      <c r="A1241"/>
      <c r="F1241"/>
      <c r="G1241"/>
      <c r="I1241" s="272"/>
      <c r="K1241">
        <v>662.4</v>
      </c>
    </row>
    <row r="1242" spans="1:11" x14ac:dyDescent="0.3">
      <c r="A1242"/>
      <c r="F1242"/>
      <c r="G1242"/>
      <c r="I1242" s="272"/>
      <c r="K1242">
        <v>11298</v>
      </c>
    </row>
    <row r="1243" spans="1:11" x14ac:dyDescent="0.3">
      <c r="A1243"/>
      <c r="F1243"/>
      <c r="G1243"/>
      <c r="I1243" s="272"/>
      <c r="K1243">
        <v>399.99999999999955</v>
      </c>
    </row>
    <row r="1244" spans="1:11" x14ac:dyDescent="0.3">
      <c r="A1244"/>
      <c r="F1244"/>
      <c r="G1244"/>
      <c r="I1244" s="272"/>
      <c r="K1244">
        <v>761.49599999999998</v>
      </c>
    </row>
    <row r="1245" spans="1:11" x14ac:dyDescent="0.3">
      <c r="A1245"/>
      <c r="F1245"/>
      <c r="G1245"/>
      <c r="I1245" s="272"/>
    </row>
    <row r="1246" spans="1:11" x14ac:dyDescent="0.3">
      <c r="A1246"/>
      <c r="F1246"/>
      <c r="G1246"/>
      <c r="I1246" s="272"/>
    </row>
    <row r="1247" spans="1:11" x14ac:dyDescent="0.3">
      <c r="A1247"/>
      <c r="F1247"/>
      <c r="G1247"/>
      <c r="I1247" s="272"/>
      <c r="K1247">
        <v>337.5</v>
      </c>
    </row>
    <row r="1248" spans="1:11" x14ac:dyDescent="0.3">
      <c r="A1248"/>
      <c r="F1248"/>
      <c r="G1248"/>
      <c r="I1248" s="272"/>
      <c r="K1248">
        <v>1869.9999995999999</v>
      </c>
    </row>
    <row r="1249" spans="1:11" x14ac:dyDescent="0.3">
      <c r="A1249"/>
      <c r="F1249"/>
      <c r="G1249"/>
      <c r="I1249" s="272"/>
    </row>
    <row r="1250" spans="1:11" x14ac:dyDescent="0.3">
      <c r="A1250"/>
      <c r="F1250"/>
      <c r="G1250"/>
      <c r="I1250" s="272"/>
      <c r="K1250">
        <v>2707.5</v>
      </c>
    </row>
    <row r="1251" spans="1:11" x14ac:dyDescent="0.3">
      <c r="A1251"/>
      <c r="F1251"/>
      <c r="G1251"/>
      <c r="I1251" s="272"/>
    </row>
    <row r="1252" spans="1:11" x14ac:dyDescent="0.3">
      <c r="A1252"/>
      <c r="F1252"/>
      <c r="G1252"/>
      <c r="I1252" s="272"/>
      <c r="K1252">
        <v>350.00000000099999</v>
      </c>
    </row>
    <row r="1253" spans="1:11" x14ac:dyDescent="0.3">
      <c r="A1253"/>
      <c r="F1253"/>
      <c r="G1253"/>
      <c r="I1253" s="272"/>
    </row>
    <row r="1254" spans="1:11" x14ac:dyDescent="0.3">
      <c r="A1254"/>
      <c r="F1254"/>
      <c r="G1254"/>
      <c r="I1254" s="272"/>
      <c r="K1254">
        <v>1989.9999959999998</v>
      </c>
    </row>
    <row r="1255" spans="1:11" x14ac:dyDescent="0.3">
      <c r="A1255"/>
      <c r="F1255"/>
      <c r="G1255"/>
      <c r="I1255" s="272"/>
      <c r="K1255">
        <v>585</v>
      </c>
    </row>
    <row r="1256" spans="1:11" x14ac:dyDescent="0.3">
      <c r="A1256"/>
      <c r="F1256"/>
      <c r="G1256"/>
      <c r="I1256" s="272"/>
      <c r="K1256">
        <v>1746</v>
      </c>
    </row>
    <row r="1257" spans="1:11" x14ac:dyDescent="0.3">
      <c r="A1257"/>
      <c r="F1257"/>
      <c r="G1257"/>
      <c r="I1257" s="272"/>
      <c r="K1257">
        <v>1059.9999995999999</v>
      </c>
    </row>
    <row r="1258" spans="1:11" x14ac:dyDescent="0.3">
      <c r="A1258"/>
      <c r="F1258"/>
      <c r="G1258"/>
      <c r="I1258" s="272"/>
    </row>
    <row r="1259" spans="1:11" x14ac:dyDescent="0.3">
      <c r="A1259"/>
      <c r="F1259"/>
      <c r="G1259"/>
      <c r="I1259" s="272"/>
      <c r="K1259">
        <v>324.99599999999998</v>
      </c>
    </row>
    <row r="1260" spans="1:11" x14ac:dyDescent="0.3">
      <c r="A1260"/>
      <c r="F1260"/>
      <c r="G1260"/>
      <c r="I1260" s="272"/>
      <c r="K1260">
        <v>4320</v>
      </c>
    </row>
    <row r="1261" spans="1:11" x14ac:dyDescent="0.3">
      <c r="A1261"/>
      <c r="F1261"/>
      <c r="G1261"/>
      <c r="I1261" s="272"/>
      <c r="K1261">
        <v>3612</v>
      </c>
    </row>
    <row r="1262" spans="1:11" x14ac:dyDescent="0.3">
      <c r="A1262"/>
      <c r="F1262"/>
      <c r="G1262"/>
      <c r="I1262" s="272"/>
    </row>
    <row r="1263" spans="1:11" x14ac:dyDescent="0.3">
      <c r="A1263"/>
      <c r="F1263"/>
      <c r="G1263"/>
      <c r="I1263" s="272"/>
      <c r="K1263">
        <v>852</v>
      </c>
    </row>
    <row r="1264" spans="1:11" x14ac:dyDescent="0.3">
      <c r="A1264"/>
      <c r="F1264"/>
      <c r="G1264"/>
      <c r="I1264" s="272"/>
    </row>
    <row r="1265" spans="1:11" x14ac:dyDescent="0.3">
      <c r="A1265"/>
      <c r="F1265"/>
      <c r="G1265"/>
      <c r="I1265" s="272"/>
      <c r="K1265">
        <v>420</v>
      </c>
    </row>
    <row r="1266" spans="1:11" x14ac:dyDescent="0.3">
      <c r="A1266"/>
      <c r="F1266"/>
      <c r="G1266"/>
      <c r="I1266" s="272"/>
      <c r="K1266">
        <v>31376.171999999999</v>
      </c>
    </row>
    <row r="1267" spans="1:11" x14ac:dyDescent="0.3">
      <c r="A1267"/>
      <c r="F1267"/>
      <c r="G1267"/>
      <c r="I1267" s="272"/>
    </row>
    <row r="1268" spans="1:11" x14ac:dyDescent="0.3">
      <c r="A1268"/>
      <c r="F1268"/>
      <c r="G1268"/>
      <c r="I1268" s="272"/>
    </row>
    <row r="1269" spans="1:11" x14ac:dyDescent="0.3">
      <c r="A1269"/>
      <c r="F1269"/>
      <c r="G1269"/>
      <c r="I1269" s="272"/>
    </row>
    <row r="1270" spans="1:11" x14ac:dyDescent="0.3">
      <c r="A1270"/>
      <c r="F1270"/>
      <c r="G1270"/>
      <c r="I1270" s="272"/>
    </row>
    <row r="1271" spans="1:11" x14ac:dyDescent="0.3">
      <c r="A1271"/>
      <c r="F1271"/>
      <c r="G1271"/>
      <c r="I1271" s="272"/>
    </row>
    <row r="1272" spans="1:11" x14ac:dyDescent="0.3">
      <c r="A1272"/>
      <c r="F1272"/>
      <c r="G1272"/>
      <c r="I1272" s="272"/>
    </row>
    <row r="1273" spans="1:11" x14ac:dyDescent="0.3">
      <c r="A1273"/>
      <c r="F1273"/>
      <c r="G1273"/>
      <c r="I1273" s="272"/>
    </row>
    <row r="1274" spans="1:11" x14ac:dyDescent="0.3">
      <c r="A1274"/>
      <c r="F1274"/>
      <c r="G1274"/>
      <c r="I1274" s="272"/>
    </row>
    <row r="1275" spans="1:11" x14ac:dyDescent="0.3">
      <c r="A1275"/>
      <c r="F1275"/>
      <c r="G1275"/>
      <c r="I1275" s="272"/>
    </row>
    <row r="1276" spans="1:11" x14ac:dyDescent="0.3">
      <c r="A1276"/>
      <c r="F1276"/>
      <c r="G1276"/>
      <c r="I1276" s="272"/>
      <c r="K1276">
        <v>8070</v>
      </c>
    </row>
    <row r="1277" spans="1:11" x14ac:dyDescent="0.3">
      <c r="A1277"/>
      <c r="F1277"/>
      <c r="G1277"/>
      <c r="I1277" s="272"/>
      <c r="K1277">
        <v>1260</v>
      </c>
    </row>
    <row r="1278" spans="1:11" x14ac:dyDescent="0.3">
      <c r="A1278"/>
      <c r="F1278"/>
      <c r="G1278"/>
      <c r="I1278" s="272"/>
    </row>
    <row r="1279" spans="1:11" x14ac:dyDescent="0.3">
      <c r="A1279"/>
      <c r="F1279"/>
      <c r="G1279"/>
      <c r="I1279" s="272"/>
      <c r="K1279">
        <v>384</v>
      </c>
    </row>
    <row r="1280" spans="1:11" x14ac:dyDescent="0.3">
      <c r="A1280"/>
      <c r="F1280"/>
      <c r="G1280"/>
      <c r="I1280" s="272"/>
      <c r="K1280">
        <v>4563.0360000000001</v>
      </c>
    </row>
    <row r="1281" spans="1:11" x14ac:dyDescent="0.3">
      <c r="A1281"/>
      <c r="F1281"/>
      <c r="G1281"/>
      <c r="I1281" s="272"/>
    </row>
    <row r="1282" spans="1:11" x14ac:dyDescent="0.3">
      <c r="A1282"/>
      <c r="F1282"/>
      <c r="G1282"/>
      <c r="I1282" s="272"/>
    </row>
    <row r="1283" spans="1:11" x14ac:dyDescent="0.3">
      <c r="A1283"/>
      <c r="F1283"/>
      <c r="G1283"/>
      <c r="I1283" s="272"/>
    </row>
    <row r="1284" spans="1:11" x14ac:dyDescent="0.3">
      <c r="A1284"/>
      <c r="F1284"/>
      <c r="G1284"/>
      <c r="I1284" s="272"/>
    </row>
    <row r="1285" spans="1:11" x14ac:dyDescent="0.3">
      <c r="A1285"/>
      <c r="F1285"/>
      <c r="G1285"/>
      <c r="I1285" s="272"/>
    </row>
    <row r="1286" spans="1:11" x14ac:dyDescent="0.3">
      <c r="A1286"/>
      <c r="F1286"/>
      <c r="G1286"/>
      <c r="I1286" s="272"/>
      <c r="K1286">
        <v>750.12</v>
      </c>
    </row>
    <row r="1287" spans="1:11" x14ac:dyDescent="0.3">
      <c r="A1287"/>
      <c r="F1287"/>
      <c r="G1287"/>
      <c r="I1287" s="272"/>
    </row>
    <row r="1288" spans="1:11" x14ac:dyDescent="0.3">
      <c r="A1288"/>
      <c r="F1288"/>
      <c r="G1288"/>
      <c r="I1288" s="272"/>
    </row>
    <row r="1289" spans="1:11" x14ac:dyDescent="0.3">
      <c r="A1289"/>
      <c r="F1289"/>
      <c r="G1289"/>
      <c r="I1289" s="272"/>
    </row>
    <row r="1290" spans="1:11" x14ac:dyDescent="0.3">
      <c r="A1290"/>
      <c r="F1290"/>
      <c r="G1290"/>
      <c r="I1290" s="272"/>
      <c r="K1290">
        <v>4800</v>
      </c>
    </row>
    <row r="1291" spans="1:11" x14ac:dyDescent="0.3">
      <c r="A1291"/>
      <c r="F1291"/>
      <c r="G1291"/>
      <c r="I1291" s="272"/>
      <c r="K1291">
        <v>10975.199999999999</v>
      </c>
    </row>
    <row r="1292" spans="1:11" x14ac:dyDescent="0.3">
      <c r="A1292"/>
      <c r="F1292"/>
      <c r="G1292"/>
      <c r="I1292" s="272"/>
      <c r="K1292">
        <v>1627.2</v>
      </c>
    </row>
    <row r="1293" spans="1:11" x14ac:dyDescent="0.3">
      <c r="A1293"/>
      <c r="F1293"/>
      <c r="G1293"/>
      <c r="I1293" s="272"/>
      <c r="K1293">
        <v>249.99959999999999</v>
      </c>
    </row>
    <row r="1294" spans="1:11" x14ac:dyDescent="0.3">
      <c r="A1294"/>
      <c r="F1294"/>
      <c r="G1294"/>
      <c r="I1294" s="272"/>
      <c r="K1294">
        <v>1200</v>
      </c>
    </row>
    <row r="1295" spans="1:11" x14ac:dyDescent="0.3">
      <c r="A1295"/>
      <c r="F1295"/>
      <c r="G1295"/>
      <c r="I1295" s="272"/>
    </row>
    <row r="1296" spans="1:11" x14ac:dyDescent="0.3">
      <c r="A1296"/>
      <c r="F1296"/>
      <c r="G1296"/>
      <c r="I1296" s="272"/>
      <c r="K1296">
        <v>541.43999999999994</v>
      </c>
    </row>
    <row r="1297" spans="1:11" x14ac:dyDescent="0.3">
      <c r="A1297"/>
      <c r="F1297"/>
      <c r="G1297"/>
      <c r="I1297" s="272"/>
      <c r="K1297">
        <v>887.84039999999993</v>
      </c>
    </row>
    <row r="1298" spans="1:11" x14ac:dyDescent="0.3">
      <c r="A1298"/>
      <c r="F1298"/>
      <c r="G1298"/>
      <c r="I1298" s="272"/>
    </row>
    <row r="1299" spans="1:11" x14ac:dyDescent="0.3">
      <c r="A1299"/>
      <c r="F1299"/>
      <c r="G1299"/>
      <c r="I1299" s="272"/>
      <c r="K1299">
        <v>541.43999999999994</v>
      </c>
    </row>
    <row r="1300" spans="1:11" x14ac:dyDescent="0.3">
      <c r="A1300"/>
      <c r="F1300"/>
      <c r="G1300"/>
      <c r="I1300" s="272"/>
      <c r="K1300">
        <v>327.37559999999996</v>
      </c>
    </row>
    <row r="1301" spans="1:11" x14ac:dyDescent="0.3">
      <c r="A1301"/>
      <c r="F1301"/>
      <c r="G1301"/>
      <c r="I1301" s="272"/>
      <c r="K1301">
        <v>1262.4959999999999</v>
      </c>
    </row>
    <row r="1302" spans="1:11" x14ac:dyDescent="0.3">
      <c r="A1302"/>
      <c r="F1302"/>
      <c r="G1302"/>
      <c r="I1302" s="272"/>
    </row>
    <row r="1303" spans="1:11" x14ac:dyDescent="0.3">
      <c r="A1303"/>
      <c r="F1303"/>
      <c r="G1303"/>
      <c r="I1303" s="272"/>
      <c r="K1303">
        <v>270.71999999999997</v>
      </c>
    </row>
    <row r="1304" spans="1:11" x14ac:dyDescent="0.3">
      <c r="A1304"/>
      <c r="F1304"/>
      <c r="G1304"/>
      <c r="I1304" s="272"/>
      <c r="K1304">
        <v>337.5</v>
      </c>
    </row>
    <row r="1305" spans="1:11" x14ac:dyDescent="0.3">
      <c r="A1305"/>
      <c r="F1305"/>
      <c r="G1305"/>
      <c r="I1305" s="272"/>
      <c r="K1305">
        <v>1081.44</v>
      </c>
    </row>
    <row r="1306" spans="1:11" x14ac:dyDescent="0.3">
      <c r="A1306"/>
      <c r="F1306"/>
      <c r="G1306"/>
      <c r="I1306" s="272"/>
    </row>
    <row r="1307" spans="1:11" x14ac:dyDescent="0.3">
      <c r="A1307"/>
      <c r="F1307"/>
      <c r="G1307"/>
      <c r="I1307" s="272"/>
    </row>
    <row r="1308" spans="1:11" x14ac:dyDescent="0.3">
      <c r="A1308"/>
      <c r="F1308"/>
      <c r="G1308"/>
      <c r="I1308" s="272"/>
    </row>
    <row r="1309" spans="1:11" x14ac:dyDescent="0.3">
      <c r="A1309"/>
      <c r="F1309"/>
      <c r="G1309"/>
      <c r="I1309" s="272"/>
    </row>
    <row r="1310" spans="1:11" x14ac:dyDescent="0.3">
      <c r="A1310"/>
      <c r="F1310"/>
      <c r="G1310"/>
      <c r="I1310" s="272"/>
    </row>
    <row r="1311" spans="1:11" x14ac:dyDescent="0.3">
      <c r="A1311"/>
      <c r="F1311"/>
      <c r="G1311"/>
      <c r="I1311" s="272"/>
    </row>
    <row r="1312" spans="1:11" x14ac:dyDescent="0.3">
      <c r="A1312"/>
      <c r="F1312"/>
      <c r="G1312"/>
      <c r="I1312" s="272"/>
    </row>
    <row r="1313" spans="1:9" x14ac:dyDescent="0.3">
      <c r="A1313"/>
      <c r="F1313"/>
      <c r="G1313"/>
      <c r="I1313" s="272"/>
    </row>
    <row r="1314" spans="1:9" x14ac:dyDescent="0.3">
      <c r="A1314"/>
      <c r="F1314"/>
      <c r="G1314"/>
      <c r="I1314" s="272"/>
    </row>
    <row r="1315" spans="1:9" x14ac:dyDescent="0.3">
      <c r="A1315"/>
      <c r="F1315"/>
      <c r="G1315"/>
      <c r="I1315" s="272"/>
    </row>
    <row r="1316" spans="1:9" x14ac:dyDescent="0.3">
      <c r="A1316"/>
      <c r="F1316"/>
      <c r="G1316"/>
      <c r="I1316" s="272"/>
    </row>
    <row r="1317" spans="1:9" x14ac:dyDescent="0.3">
      <c r="A1317"/>
      <c r="F1317"/>
      <c r="G1317"/>
      <c r="I1317" s="272"/>
    </row>
    <row r="1318" spans="1:9" x14ac:dyDescent="0.3">
      <c r="A1318"/>
      <c r="F1318"/>
      <c r="G1318"/>
      <c r="I1318" s="272"/>
    </row>
    <row r="1319" spans="1:9" x14ac:dyDescent="0.3">
      <c r="A1319"/>
      <c r="F1319"/>
      <c r="G1319"/>
      <c r="I1319" s="272"/>
    </row>
    <row r="1320" spans="1:9" x14ac:dyDescent="0.3">
      <c r="A1320"/>
      <c r="F1320"/>
      <c r="G1320"/>
      <c r="I1320" s="272"/>
    </row>
    <row r="1321" spans="1:9" x14ac:dyDescent="0.3">
      <c r="A1321"/>
      <c r="F1321"/>
      <c r="G1321"/>
      <c r="I1321" s="272"/>
    </row>
    <row r="1322" spans="1:9" x14ac:dyDescent="0.3">
      <c r="A1322"/>
      <c r="F1322"/>
      <c r="G1322"/>
      <c r="I1322" s="272"/>
    </row>
    <row r="1323" spans="1:9" x14ac:dyDescent="0.3">
      <c r="A1323"/>
      <c r="F1323"/>
      <c r="G1323"/>
      <c r="I1323" s="272"/>
    </row>
    <row r="1324" spans="1:9" x14ac:dyDescent="0.3">
      <c r="A1324"/>
      <c r="F1324"/>
      <c r="G1324"/>
      <c r="I1324" s="272"/>
    </row>
    <row r="1325" spans="1:9" x14ac:dyDescent="0.3">
      <c r="A1325"/>
      <c r="F1325"/>
      <c r="G1325"/>
      <c r="I1325" s="272"/>
    </row>
    <row r="1326" spans="1:9" x14ac:dyDescent="0.3">
      <c r="A1326"/>
      <c r="F1326"/>
      <c r="G1326"/>
      <c r="I1326" s="272"/>
    </row>
    <row r="1327" spans="1:9" x14ac:dyDescent="0.3">
      <c r="A1327"/>
      <c r="F1327"/>
      <c r="G1327"/>
      <c r="I1327" s="272"/>
    </row>
    <row r="1328" spans="1:9" x14ac:dyDescent="0.3">
      <c r="A1328"/>
      <c r="F1328"/>
      <c r="G1328"/>
      <c r="I1328" s="272"/>
    </row>
    <row r="1329" spans="1:9" x14ac:dyDescent="0.3">
      <c r="A1329"/>
      <c r="F1329"/>
      <c r="G1329"/>
      <c r="I1329" s="272"/>
    </row>
    <row r="1330" spans="1:9" x14ac:dyDescent="0.3">
      <c r="A1330"/>
      <c r="F1330"/>
      <c r="G1330"/>
      <c r="I1330" s="272"/>
    </row>
    <row r="1331" spans="1:9" x14ac:dyDescent="0.3">
      <c r="A1331"/>
      <c r="F1331"/>
      <c r="G1331"/>
      <c r="I1331" s="272"/>
    </row>
    <row r="1332" spans="1:9" x14ac:dyDescent="0.3">
      <c r="A1332"/>
      <c r="F1332"/>
      <c r="G1332"/>
      <c r="I1332" s="272"/>
    </row>
    <row r="1333" spans="1:9" x14ac:dyDescent="0.3">
      <c r="A1333"/>
      <c r="F1333"/>
      <c r="G1333"/>
      <c r="I1333" s="272"/>
    </row>
    <row r="1334" spans="1:9" x14ac:dyDescent="0.3">
      <c r="A1334"/>
      <c r="F1334"/>
      <c r="G1334"/>
      <c r="I1334" s="272"/>
    </row>
    <row r="1335" spans="1:9" x14ac:dyDescent="0.3">
      <c r="A1335"/>
      <c r="F1335"/>
      <c r="G1335"/>
      <c r="I1335" s="272"/>
    </row>
    <row r="1336" spans="1:9" x14ac:dyDescent="0.3">
      <c r="A1336"/>
      <c r="F1336"/>
      <c r="G1336"/>
      <c r="I1336" s="272"/>
    </row>
    <row r="1337" spans="1:9" x14ac:dyDescent="0.3">
      <c r="A1337"/>
      <c r="F1337"/>
      <c r="G1337"/>
      <c r="I1337" s="272"/>
    </row>
    <row r="1338" spans="1:9" x14ac:dyDescent="0.3">
      <c r="A1338"/>
      <c r="F1338"/>
      <c r="G1338"/>
      <c r="I1338" s="272"/>
    </row>
    <row r="1339" spans="1:9" x14ac:dyDescent="0.3">
      <c r="A1339"/>
      <c r="F1339"/>
      <c r="G1339"/>
      <c r="I1339" s="272"/>
    </row>
    <row r="1340" spans="1:9" x14ac:dyDescent="0.3">
      <c r="A1340"/>
      <c r="F1340"/>
      <c r="G1340"/>
      <c r="I1340" s="272"/>
    </row>
    <row r="1341" spans="1:9" x14ac:dyDescent="0.3">
      <c r="A1341"/>
      <c r="F1341"/>
      <c r="G1341"/>
      <c r="I1341" s="272"/>
    </row>
    <row r="1342" spans="1:9" x14ac:dyDescent="0.3">
      <c r="A1342"/>
      <c r="F1342"/>
      <c r="G1342"/>
      <c r="I1342" s="272"/>
    </row>
    <row r="1343" spans="1:9" x14ac:dyDescent="0.3">
      <c r="A1343"/>
      <c r="F1343"/>
      <c r="G1343"/>
      <c r="I1343" s="272"/>
    </row>
    <row r="1344" spans="1:9" x14ac:dyDescent="0.3">
      <c r="A1344"/>
      <c r="F1344"/>
      <c r="G1344"/>
      <c r="I1344" s="272"/>
    </row>
    <row r="1345" spans="1:9" x14ac:dyDescent="0.3">
      <c r="A1345"/>
      <c r="F1345"/>
      <c r="G1345"/>
      <c r="I1345" s="272"/>
    </row>
    <row r="1346" spans="1:9" x14ac:dyDescent="0.3">
      <c r="A1346"/>
      <c r="F1346"/>
      <c r="G1346"/>
      <c r="I1346" s="272"/>
    </row>
    <row r="1347" spans="1:9" x14ac:dyDescent="0.3">
      <c r="A1347"/>
      <c r="F1347"/>
      <c r="G1347"/>
      <c r="I1347" s="272"/>
    </row>
    <row r="1348" spans="1:9" x14ac:dyDescent="0.3">
      <c r="A1348"/>
      <c r="F1348"/>
      <c r="G1348"/>
      <c r="I1348" s="272"/>
    </row>
    <row r="1349" spans="1:9" x14ac:dyDescent="0.3">
      <c r="A1349"/>
      <c r="F1349"/>
      <c r="G1349"/>
      <c r="I1349" s="272"/>
    </row>
    <row r="1350" spans="1:9" x14ac:dyDescent="0.3">
      <c r="A1350"/>
      <c r="F1350"/>
      <c r="G1350"/>
      <c r="I1350" s="272"/>
    </row>
    <row r="1351" spans="1:9" x14ac:dyDescent="0.3">
      <c r="A1351"/>
      <c r="F1351"/>
      <c r="G1351"/>
      <c r="I1351" s="272"/>
    </row>
    <row r="1352" spans="1:9" x14ac:dyDescent="0.3">
      <c r="A1352"/>
      <c r="F1352"/>
      <c r="G1352"/>
      <c r="I1352" s="272"/>
    </row>
    <row r="1353" spans="1:9" x14ac:dyDescent="0.3">
      <c r="A1353"/>
      <c r="F1353"/>
      <c r="G1353"/>
      <c r="I1353" s="272"/>
    </row>
    <row r="1354" spans="1:9" x14ac:dyDescent="0.3">
      <c r="A1354"/>
      <c r="F1354"/>
      <c r="G1354"/>
      <c r="I1354" s="272"/>
    </row>
    <row r="1355" spans="1:9" x14ac:dyDescent="0.3">
      <c r="A1355"/>
      <c r="F1355"/>
      <c r="G1355"/>
      <c r="I1355" s="272"/>
    </row>
    <row r="1356" spans="1:9" x14ac:dyDescent="0.3">
      <c r="A1356"/>
      <c r="F1356"/>
      <c r="G1356"/>
      <c r="I1356" s="272"/>
    </row>
    <row r="1357" spans="1:9" x14ac:dyDescent="0.3">
      <c r="A1357"/>
      <c r="F1357"/>
      <c r="G1357"/>
      <c r="I1357" s="272"/>
    </row>
    <row r="1358" spans="1:9" x14ac:dyDescent="0.3">
      <c r="A1358"/>
      <c r="F1358"/>
      <c r="G1358"/>
      <c r="I1358" s="272"/>
    </row>
    <row r="1359" spans="1:9" x14ac:dyDescent="0.3">
      <c r="A1359"/>
      <c r="F1359"/>
      <c r="G1359"/>
      <c r="I1359" s="272"/>
    </row>
    <row r="1360" spans="1:9" x14ac:dyDescent="0.3">
      <c r="A1360"/>
      <c r="F1360"/>
      <c r="G1360"/>
      <c r="I1360" s="272"/>
    </row>
    <row r="1361" spans="1:9" x14ac:dyDescent="0.3">
      <c r="A1361"/>
      <c r="F1361"/>
      <c r="G1361"/>
      <c r="I1361" s="272"/>
    </row>
    <row r="1362" spans="1:9" x14ac:dyDescent="0.3">
      <c r="A1362"/>
      <c r="F1362"/>
      <c r="G1362"/>
      <c r="I1362" s="272"/>
    </row>
    <row r="1363" spans="1:9" x14ac:dyDescent="0.3">
      <c r="A1363"/>
      <c r="F1363"/>
      <c r="G1363"/>
      <c r="I1363" s="272"/>
    </row>
    <row r="1364" spans="1:9" x14ac:dyDescent="0.3">
      <c r="A1364"/>
      <c r="F1364"/>
      <c r="G1364"/>
      <c r="I1364" s="272"/>
    </row>
    <row r="1365" spans="1:9" x14ac:dyDescent="0.3">
      <c r="A1365"/>
      <c r="F1365"/>
      <c r="G1365"/>
      <c r="I1365" s="272"/>
    </row>
    <row r="1366" spans="1:9" x14ac:dyDescent="0.3">
      <c r="A1366"/>
      <c r="F1366"/>
      <c r="G1366"/>
      <c r="I1366" s="272"/>
    </row>
    <row r="1367" spans="1:9" x14ac:dyDescent="0.3">
      <c r="A1367"/>
      <c r="F1367"/>
      <c r="G1367"/>
      <c r="I1367" s="272"/>
    </row>
    <row r="1368" spans="1:9" x14ac:dyDescent="0.3">
      <c r="A1368"/>
      <c r="F1368"/>
      <c r="G1368"/>
      <c r="I1368" s="272"/>
    </row>
    <row r="1369" spans="1:9" x14ac:dyDescent="0.3">
      <c r="A1369"/>
      <c r="F1369"/>
      <c r="G1369"/>
      <c r="I1369" s="272"/>
    </row>
    <row r="1370" spans="1:9" x14ac:dyDescent="0.3">
      <c r="A1370"/>
      <c r="F1370"/>
      <c r="G1370"/>
      <c r="I1370" s="272"/>
    </row>
    <row r="1371" spans="1:9" x14ac:dyDescent="0.3">
      <c r="A1371"/>
      <c r="F1371"/>
      <c r="G1371"/>
      <c r="I1371" s="272"/>
    </row>
    <row r="1372" spans="1:9" x14ac:dyDescent="0.3">
      <c r="A1372"/>
      <c r="F1372"/>
      <c r="G1372"/>
      <c r="I1372" s="272"/>
    </row>
    <row r="1373" spans="1:9" x14ac:dyDescent="0.3">
      <c r="A1373"/>
      <c r="F1373"/>
      <c r="G1373"/>
      <c r="I1373" s="272"/>
    </row>
    <row r="1374" spans="1:9" x14ac:dyDescent="0.3">
      <c r="A1374"/>
      <c r="F1374"/>
      <c r="G1374"/>
      <c r="I1374" s="272"/>
    </row>
    <row r="1375" spans="1:9" x14ac:dyDescent="0.3">
      <c r="A1375"/>
      <c r="F1375"/>
      <c r="G1375"/>
      <c r="I1375" s="272"/>
    </row>
    <row r="1376" spans="1:9" x14ac:dyDescent="0.3">
      <c r="A1376"/>
      <c r="F1376"/>
      <c r="G1376"/>
      <c r="I1376" s="272"/>
    </row>
    <row r="1377" spans="1:9" x14ac:dyDescent="0.3">
      <c r="A1377"/>
      <c r="F1377"/>
      <c r="G1377"/>
      <c r="I1377" s="272"/>
    </row>
    <row r="1378" spans="1:9" x14ac:dyDescent="0.3">
      <c r="A1378"/>
      <c r="F1378"/>
      <c r="G1378"/>
      <c r="I1378" s="272"/>
    </row>
    <row r="1379" spans="1:9" x14ac:dyDescent="0.3">
      <c r="A1379"/>
      <c r="F1379"/>
      <c r="G1379"/>
      <c r="I1379" s="272"/>
    </row>
    <row r="1380" spans="1:9" x14ac:dyDescent="0.3">
      <c r="A1380"/>
      <c r="F1380"/>
      <c r="G1380"/>
      <c r="I1380" s="272"/>
    </row>
    <row r="1381" spans="1:9" x14ac:dyDescent="0.3">
      <c r="A1381"/>
      <c r="F1381"/>
      <c r="G1381"/>
      <c r="I1381" s="272"/>
    </row>
    <row r="1382" spans="1:9" x14ac:dyDescent="0.3">
      <c r="A1382"/>
      <c r="F1382"/>
      <c r="G1382"/>
      <c r="I1382" s="272"/>
    </row>
    <row r="1383" spans="1:9" x14ac:dyDescent="0.3">
      <c r="A1383"/>
      <c r="F1383"/>
      <c r="G1383"/>
      <c r="I1383" s="272"/>
    </row>
    <row r="1384" spans="1:9" x14ac:dyDescent="0.3">
      <c r="A1384"/>
      <c r="F1384"/>
      <c r="G1384"/>
      <c r="I1384" s="272"/>
    </row>
    <row r="1385" spans="1:9" x14ac:dyDescent="0.3">
      <c r="A1385"/>
      <c r="F1385"/>
      <c r="G1385"/>
      <c r="I1385" s="272"/>
    </row>
    <row r="1386" spans="1:9" x14ac:dyDescent="0.3">
      <c r="A1386"/>
      <c r="F1386"/>
      <c r="G1386"/>
      <c r="I1386" s="272"/>
    </row>
    <row r="1387" spans="1:9" x14ac:dyDescent="0.3">
      <c r="A1387"/>
      <c r="F1387"/>
      <c r="G1387"/>
      <c r="I1387" s="272"/>
    </row>
    <row r="1388" spans="1:9" x14ac:dyDescent="0.3">
      <c r="A1388"/>
      <c r="F1388"/>
      <c r="G1388"/>
      <c r="I1388" s="272"/>
    </row>
    <row r="1389" spans="1:9" x14ac:dyDescent="0.3">
      <c r="A1389"/>
      <c r="F1389"/>
      <c r="G1389"/>
      <c r="I1389" s="272"/>
    </row>
    <row r="1390" spans="1:9" x14ac:dyDescent="0.3">
      <c r="A1390"/>
      <c r="F1390"/>
      <c r="G1390"/>
      <c r="I1390" s="272"/>
    </row>
    <row r="1391" spans="1:9" x14ac:dyDescent="0.3">
      <c r="A1391"/>
      <c r="F1391"/>
      <c r="G1391"/>
      <c r="I1391" s="272"/>
    </row>
    <row r="1392" spans="1:9" x14ac:dyDescent="0.3">
      <c r="A1392"/>
      <c r="F1392"/>
      <c r="G1392"/>
      <c r="I1392" s="272"/>
    </row>
    <row r="1393" spans="1:12" x14ac:dyDescent="0.3">
      <c r="A1393"/>
      <c r="F1393"/>
      <c r="G1393"/>
      <c r="I1393" s="272"/>
    </row>
    <row r="1394" spans="1:12" x14ac:dyDescent="0.3">
      <c r="A1394"/>
      <c r="F1394"/>
      <c r="G1394"/>
      <c r="I1394" s="272"/>
    </row>
    <row r="1395" spans="1:12" x14ac:dyDescent="0.3">
      <c r="A1395"/>
      <c r="F1395"/>
      <c r="G1395"/>
      <c r="I1395" s="272"/>
    </row>
    <row r="1396" spans="1:12" x14ac:dyDescent="0.3">
      <c r="A1396"/>
      <c r="F1396"/>
      <c r="G1396"/>
      <c r="I1396" s="272"/>
    </row>
    <row r="1397" spans="1:12" x14ac:dyDescent="0.3">
      <c r="A1397"/>
      <c r="F1397"/>
      <c r="G1397"/>
      <c r="I1397" s="272"/>
    </row>
    <row r="1398" spans="1:12" x14ac:dyDescent="0.3">
      <c r="A1398"/>
      <c r="F1398"/>
      <c r="G1398"/>
      <c r="I1398" s="272"/>
    </row>
    <row r="1399" spans="1:12" x14ac:dyDescent="0.3">
      <c r="A1399"/>
      <c r="F1399"/>
      <c r="G1399"/>
      <c r="I1399" s="272"/>
    </row>
    <row r="1400" spans="1:12" x14ac:dyDescent="0.3">
      <c r="A1400"/>
      <c r="F1400"/>
      <c r="G1400"/>
      <c r="I1400" s="272"/>
      <c r="L1400" t="s">
        <v>472</v>
      </c>
    </row>
    <row r="1401" spans="1:12" x14ac:dyDescent="0.3">
      <c r="A1401"/>
      <c r="F1401"/>
      <c r="G1401"/>
      <c r="I1401" s="272"/>
    </row>
    <row r="1402" spans="1:12" x14ac:dyDescent="0.3">
      <c r="A1402"/>
      <c r="F1402"/>
      <c r="G1402"/>
      <c r="I1402" s="272"/>
      <c r="K1402">
        <v>3828</v>
      </c>
    </row>
    <row r="1403" spans="1:12" x14ac:dyDescent="0.3">
      <c r="A1403"/>
      <c r="F1403"/>
      <c r="G1403"/>
      <c r="I1403" s="272"/>
      <c r="K1403">
        <v>21999.84</v>
      </c>
    </row>
    <row r="1404" spans="1:12" x14ac:dyDescent="0.3">
      <c r="A1404"/>
      <c r="F1404"/>
      <c r="G1404"/>
      <c r="I1404" s="272"/>
      <c r="K1404">
        <v>16499.879999999997</v>
      </c>
    </row>
    <row r="1405" spans="1:12" x14ac:dyDescent="0.3">
      <c r="A1405"/>
      <c r="F1405"/>
      <c r="G1405"/>
      <c r="I1405" s="272"/>
      <c r="K1405">
        <v>19199.987999999998</v>
      </c>
    </row>
    <row r="1406" spans="1:12" x14ac:dyDescent="0.3">
      <c r="A1406"/>
      <c r="F1406"/>
      <c r="G1406"/>
      <c r="I1406" s="272"/>
      <c r="K1406">
        <v>840</v>
      </c>
    </row>
    <row r="1407" spans="1:12" x14ac:dyDescent="0.3">
      <c r="A1407"/>
      <c r="F1407"/>
      <c r="G1407"/>
      <c r="I1407" s="272"/>
      <c r="K1407">
        <v>5610</v>
      </c>
    </row>
    <row r="1408" spans="1:12" x14ac:dyDescent="0.3">
      <c r="A1408"/>
      <c r="F1408"/>
      <c r="G1408"/>
      <c r="I1408" s="272"/>
    </row>
    <row r="1409" spans="1:11" x14ac:dyDescent="0.3">
      <c r="A1409"/>
      <c r="F1409"/>
      <c r="G1409"/>
      <c r="I1409" s="272"/>
    </row>
    <row r="1410" spans="1:11" x14ac:dyDescent="0.3">
      <c r="A1410"/>
      <c r="F1410"/>
      <c r="G1410"/>
      <c r="I1410" s="272"/>
      <c r="K1410">
        <v>6540</v>
      </c>
    </row>
    <row r="1411" spans="1:11" x14ac:dyDescent="0.3">
      <c r="A1411"/>
      <c r="F1411"/>
      <c r="G1411"/>
      <c r="I1411" s="272"/>
    </row>
    <row r="1412" spans="1:11" x14ac:dyDescent="0.3">
      <c r="A1412"/>
      <c r="F1412"/>
      <c r="G1412"/>
      <c r="I1412" s="272"/>
      <c r="K1412">
        <v>624</v>
      </c>
    </row>
    <row r="1413" spans="1:11" x14ac:dyDescent="0.3">
      <c r="A1413"/>
      <c r="F1413"/>
      <c r="G1413"/>
      <c r="I1413" s="272"/>
      <c r="K1413">
        <v>456</v>
      </c>
    </row>
    <row r="1414" spans="1:11" x14ac:dyDescent="0.3">
      <c r="A1414"/>
      <c r="F1414"/>
      <c r="G1414"/>
      <c r="I1414" s="272"/>
      <c r="K1414">
        <v>840</v>
      </c>
    </row>
    <row r="1415" spans="1:11" x14ac:dyDescent="0.3">
      <c r="A1415"/>
      <c r="F1415"/>
      <c r="G1415"/>
      <c r="I1415" s="272"/>
      <c r="K1415">
        <v>12030</v>
      </c>
    </row>
    <row r="1416" spans="1:11" x14ac:dyDescent="0.3">
      <c r="A1416"/>
      <c r="F1416"/>
      <c r="G1416"/>
      <c r="I1416" s="272"/>
    </row>
    <row r="1417" spans="1:11" x14ac:dyDescent="0.3">
      <c r="A1417"/>
      <c r="F1417"/>
      <c r="G1417"/>
      <c r="I1417" s="272"/>
    </row>
    <row r="1418" spans="1:11" x14ac:dyDescent="0.3">
      <c r="A1418"/>
      <c r="F1418"/>
      <c r="G1418"/>
      <c r="I1418" s="272"/>
    </row>
    <row r="1419" spans="1:11" x14ac:dyDescent="0.3">
      <c r="A1419"/>
      <c r="F1419"/>
      <c r="G1419"/>
      <c r="I1419" s="272"/>
      <c r="K1419">
        <v>10094.4</v>
      </c>
    </row>
    <row r="1420" spans="1:11" x14ac:dyDescent="0.3">
      <c r="A1420"/>
      <c r="F1420"/>
      <c r="G1420"/>
      <c r="I1420" s="272"/>
      <c r="K1420">
        <v>8720.4</v>
      </c>
    </row>
    <row r="1421" spans="1:11" x14ac:dyDescent="0.3">
      <c r="A1421"/>
      <c r="F1421"/>
      <c r="G1421"/>
      <c r="I1421" s="272"/>
    </row>
    <row r="1422" spans="1:11" x14ac:dyDescent="0.3">
      <c r="A1422"/>
      <c r="F1422"/>
      <c r="G1422"/>
      <c r="I1422" s="272"/>
    </row>
    <row r="1423" spans="1:11" x14ac:dyDescent="0.3">
      <c r="A1423"/>
      <c r="F1423"/>
      <c r="G1423"/>
      <c r="I1423" s="272"/>
      <c r="K1423">
        <v>9920.4240000000009</v>
      </c>
    </row>
    <row r="1424" spans="1:11" x14ac:dyDescent="0.3">
      <c r="A1424"/>
      <c r="F1424"/>
      <c r="G1424"/>
      <c r="I1424" s="272"/>
    </row>
    <row r="1425" spans="1:11" x14ac:dyDescent="0.3">
      <c r="A1425"/>
      <c r="F1425"/>
      <c r="G1425"/>
      <c r="I1425" s="272"/>
    </row>
    <row r="1426" spans="1:11" x14ac:dyDescent="0.3">
      <c r="A1426"/>
      <c r="F1426"/>
      <c r="G1426"/>
      <c r="I1426" s="272"/>
      <c r="K1426">
        <v>662.4</v>
      </c>
    </row>
    <row r="1427" spans="1:11" x14ac:dyDescent="0.3">
      <c r="A1427"/>
      <c r="F1427"/>
      <c r="G1427"/>
      <c r="I1427" s="272"/>
      <c r="K1427">
        <v>11298</v>
      </c>
    </row>
    <row r="1428" spans="1:11" x14ac:dyDescent="0.3">
      <c r="A1428"/>
      <c r="F1428"/>
      <c r="G1428"/>
      <c r="I1428" s="272"/>
      <c r="K1428">
        <v>399.99999999999955</v>
      </c>
    </row>
    <row r="1429" spans="1:11" x14ac:dyDescent="0.3">
      <c r="A1429"/>
      <c r="F1429"/>
      <c r="G1429"/>
      <c r="I1429" s="272"/>
      <c r="K1429">
        <v>761.49599999999998</v>
      </c>
    </row>
    <row r="1430" spans="1:11" x14ac:dyDescent="0.3">
      <c r="A1430"/>
      <c r="F1430"/>
      <c r="G1430"/>
      <c r="I1430" s="272"/>
    </row>
    <row r="1431" spans="1:11" x14ac:dyDescent="0.3">
      <c r="A1431"/>
      <c r="F1431"/>
      <c r="G1431"/>
      <c r="I1431" s="272"/>
    </row>
    <row r="1432" spans="1:11" x14ac:dyDescent="0.3">
      <c r="A1432"/>
      <c r="F1432"/>
      <c r="G1432"/>
      <c r="I1432" s="272"/>
      <c r="K1432">
        <v>337.5</v>
      </c>
    </row>
    <row r="1433" spans="1:11" x14ac:dyDescent="0.3">
      <c r="A1433"/>
      <c r="F1433"/>
      <c r="G1433"/>
      <c r="I1433" s="272"/>
      <c r="K1433">
        <v>1869.9999995999999</v>
      </c>
    </row>
    <row r="1434" spans="1:11" x14ac:dyDescent="0.3">
      <c r="A1434"/>
      <c r="F1434"/>
      <c r="G1434"/>
      <c r="I1434" s="272"/>
    </row>
    <row r="1435" spans="1:11" x14ac:dyDescent="0.3">
      <c r="A1435"/>
      <c r="F1435"/>
      <c r="G1435"/>
      <c r="I1435" s="272"/>
      <c r="K1435">
        <v>2707.5</v>
      </c>
    </row>
    <row r="1436" spans="1:11" x14ac:dyDescent="0.3">
      <c r="A1436"/>
      <c r="F1436"/>
      <c r="G1436"/>
      <c r="I1436" s="272"/>
    </row>
    <row r="1437" spans="1:11" x14ac:dyDescent="0.3">
      <c r="A1437"/>
      <c r="F1437"/>
      <c r="G1437"/>
      <c r="I1437" s="272"/>
      <c r="K1437">
        <v>350.00000000099999</v>
      </c>
    </row>
    <row r="1438" spans="1:11" x14ac:dyDescent="0.3">
      <c r="A1438"/>
      <c r="F1438"/>
      <c r="G1438"/>
      <c r="I1438" s="272"/>
    </row>
    <row r="1439" spans="1:11" x14ac:dyDescent="0.3">
      <c r="A1439"/>
      <c r="F1439"/>
      <c r="G1439"/>
      <c r="I1439" s="272"/>
      <c r="K1439">
        <v>1989.9999959999998</v>
      </c>
    </row>
    <row r="1440" spans="1:11" x14ac:dyDescent="0.3">
      <c r="A1440"/>
      <c r="F1440"/>
      <c r="G1440"/>
      <c r="I1440" s="272"/>
      <c r="K1440">
        <v>585</v>
      </c>
    </row>
    <row r="1441" spans="1:11" x14ac:dyDescent="0.3">
      <c r="A1441"/>
      <c r="F1441"/>
      <c r="G1441"/>
      <c r="I1441" s="272"/>
      <c r="K1441">
        <v>1746</v>
      </c>
    </row>
    <row r="1442" spans="1:11" x14ac:dyDescent="0.3">
      <c r="A1442"/>
      <c r="F1442"/>
      <c r="G1442"/>
      <c r="I1442" s="272"/>
      <c r="K1442">
        <v>1059.9999995999999</v>
      </c>
    </row>
    <row r="1443" spans="1:11" x14ac:dyDescent="0.3">
      <c r="A1443"/>
      <c r="F1443"/>
      <c r="G1443"/>
      <c r="I1443" s="272"/>
    </row>
    <row r="1444" spans="1:11" x14ac:dyDescent="0.3">
      <c r="A1444"/>
      <c r="F1444"/>
      <c r="G1444"/>
      <c r="I1444" s="272"/>
      <c r="K1444">
        <v>324.99599999999998</v>
      </c>
    </row>
    <row r="1445" spans="1:11" x14ac:dyDescent="0.3">
      <c r="A1445"/>
      <c r="F1445"/>
      <c r="G1445"/>
      <c r="I1445" s="272"/>
      <c r="K1445">
        <v>4320</v>
      </c>
    </row>
    <row r="1446" spans="1:11" x14ac:dyDescent="0.3">
      <c r="A1446"/>
      <c r="F1446"/>
      <c r="G1446"/>
      <c r="I1446" s="272"/>
      <c r="K1446">
        <v>3612</v>
      </c>
    </row>
    <row r="1447" spans="1:11" x14ac:dyDescent="0.3">
      <c r="A1447"/>
      <c r="F1447"/>
      <c r="G1447"/>
      <c r="I1447" s="272"/>
    </row>
    <row r="1448" spans="1:11" x14ac:dyDescent="0.3">
      <c r="A1448"/>
      <c r="F1448"/>
      <c r="G1448"/>
      <c r="I1448" s="272"/>
      <c r="K1448">
        <v>852</v>
      </c>
    </row>
    <row r="1449" spans="1:11" x14ac:dyDescent="0.3">
      <c r="A1449"/>
      <c r="F1449"/>
      <c r="G1449"/>
      <c r="I1449" s="272"/>
    </row>
    <row r="1450" spans="1:11" x14ac:dyDescent="0.3">
      <c r="A1450"/>
      <c r="F1450"/>
      <c r="G1450"/>
      <c r="I1450" s="272"/>
      <c r="K1450">
        <v>420</v>
      </c>
    </row>
    <row r="1451" spans="1:11" x14ac:dyDescent="0.3">
      <c r="A1451"/>
      <c r="F1451"/>
      <c r="G1451"/>
      <c r="I1451" s="272"/>
      <c r="K1451">
        <v>31376.171999999999</v>
      </c>
    </row>
    <row r="1452" spans="1:11" x14ac:dyDescent="0.3">
      <c r="A1452"/>
      <c r="F1452"/>
      <c r="G1452"/>
      <c r="I1452" s="272"/>
    </row>
    <row r="1453" spans="1:11" x14ac:dyDescent="0.3">
      <c r="A1453"/>
      <c r="F1453"/>
      <c r="G1453"/>
      <c r="I1453" s="272"/>
    </row>
    <row r="1454" spans="1:11" x14ac:dyDescent="0.3">
      <c r="A1454"/>
      <c r="F1454"/>
      <c r="G1454"/>
      <c r="I1454" s="272"/>
    </row>
    <row r="1455" spans="1:11" x14ac:dyDescent="0.3">
      <c r="A1455"/>
      <c r="F1455"/>
      <c r="G1455"/>
      <c r="I1455" s="272"/>
    </row>
    <row r="1456" spans="1:11" x14ac:dyDescent="0.3">
      <c r="A1456"/>
      <c r="F1456"/>
      <c r="G1456"/>
      <c r="I1456" s="272"/>
    </row>
    <row r="1457" spans="1:11" x14ac:dyDescent="0.3">
      <c r="A1457"/>
      <c r="F1457"/>
      <c r="G1457"/>
      <c r="I1457" s="272"/>
    </row>
    <row r="1458" spans="1:11" x14ac:dyDescent="0.3">
      <c r="A1458"/>
      <c r="F1458"/>
      <c r="G1458"/>
      <c r="I1458" s="272"/>
    </row>
    <row r="1459" spans="1:11" x14ac:dyDescent="0.3">
      <c r="A1459"/>
      <c r="F1459"/>
      <c r="G1459"/>
      <c r="I1459" s="272"/>
    </row>
    <row r="1460" spans="1:11" x14ac:dyDescent="0.3">
      <c r="A1460"/>
      <c r="F1460"/>
      <c r="G1460"/>
      <c r="I1460" s="272"/>
    </row>
    <row r="1461" spans="1:11" x14ac:dyDescent="0.3">
      <c r="A1461"/>
      <c r="F1461"/>
      <c r="G1461"/>
      <c r="I1461" s="272"/>
      <c r="K1461">
        <v>8070</v>
      </c>
    </row>
    <row r="1462" spans="1:11" x14ac:dyDescent="0.3">
      <c r="A1462"/>
      <c r="F1462"/>
      <c r="G1462"/>
      <c r="I1462" s="272"/>
      <c r="K1462">
        <v>1260</v>
      </c>
    </row>
    <row r="1463" spans="1:11" x14ac:dyDescent="0.3">
      <c r="A1463"/>
      <c r="F1463"/>
      <c r="G1463"/>
      <c r="I1463" s="272"/>
    </row>
    <row r="1464" spans="1:11" x14ac:dyDescent="0.3">
      <c r="A1464"/>
      <c r="F1464"/>
      <c r="G1464"/>
      <c r="I1464" s="272"/>
      <c r="K1464">
        <v>384</v>
      </c>
    </row>
    <row r="1465" spans="1:11" x14ac:dyDescent="0.3">
      <c r="A1465"/>
      <c r="F1465"/>
      <c r="G1465"/>
      <c r="I1465" s="272"/>
      <c r="K1465">
        <v>4563.0360000000001</v>
      </c>
    </row>
    <row r="1466" spans="1:11" x14ac:dyDescent="0.3">
      <c r="A1466"/>
      <c r="F1466"/>
      <c r="G1466"/>
      <c r="I1466" s="272"/>
    </row>
    <row r="1467" spans="1:11" x14ac:dyDescent="0.3">
      <c r="A1467"/>
      <c r="F1467"/>
      <c r="G1467"/>
      <c r="I1467" s="272"/>
    </row>
    <row r="1468" spans="1:11" x14ac:dyDescent="0.3">
      <c r="A1468"/>
      <c r="F1468"/>
      <c r="G1468"/>
      <c r="I1468" s="272"/>
    </row>
    <row r="1469" spans="1:11" x14ac:dyDescent="0.3">
      <c r="A1469"/>
      <c r="F1469"/>
      <c r="G1469"/>
      <c r="I1469" s="272"/>
    </row>
    <row r="1470" spans="1:11" x14ac:dyDescent="0.3">
      <c r="A1470"/>
      <c r="F1470"/>
      <c r="G1470"/>
      <c r="I1470" s="272"/>
    </row>
    <row r="1471" spans="1:11" x14ac:dyDescent="0.3">
      <c r="A1471"/>
      <c r="F1471"/>
      <c r="G1471"/>
      <c r="I1471" s="272"/>
      <c r="K1471">
        <v>750.12</v>
      </c>
    </row>
    <row r="1472" spans="1:11" x14ac:dyDescent="0.3">
      <c r="A1472"/>
      <c r="F1472"/>
      <c r="G1472"/>
      <c r="I1472" s="272"/>
    </row>
    <row r="1473" spans="1:11" x14ac:dyDescent="0.3">
      <c r="A1473"/>
      <c r="F1473"/>
      <c r="G1473"/>
      <c r="I1473" s="272"/>
    </row>
    <row r="1474" spans="1:11" x14ac:dyDescent="0.3">
      <c r="A1474"/>
      <c r="F1474"/>
      <c r="G1474"/>
      <c r="I1474" s="272"/>
    </row>
    <row r="1475" spans="1:11" x14ac:dyDescent="0.3">
      <c r="A1475"/>
      <c r="F1475"/>
      <c r="G1475"/>
      <c r="I1475" s="272"/>
      <c r="K1475">
        <v>4800</v>
      </c>
    </row>
    <row r="1476" spans="1:11" x14ac:dyDescent="0.3">
      <c r="A1476"/>
      <c r="F1476"/>
      <c r="G1476"/>
      <c r="I1476" s="272"/>
      <c r="K1476">
        <v>10975.199999999999</v>
      </c>
    </row>
    <row r="1477" spans="1:11" x14ac:dyDescent="0.3">
      <c r="A1477"/>
      <c r="F1477"/>
      <c r="G1477"/>
      <c r="I1477" s="272"/>
      <c r="K1477">
        <v>1627.2</v>
      </c>
    </row>
    <row r="1478" spans="1:11" x14ac:dyDescent="0.3">
      <c r="A1478"/>
      <c r="F1478"/>
      <c r="G1478"/>
      <c r="I1478" s="272"/>
      <c r="K1478">
        <v>249.99959999999999</v>
      </c>
    </row>
    <row r="1479" spans="1:11" x14ac:dyDescent="0.3">
      <c r="A1479"/>
      <c r="F1479"/>
      <c r="G1479"/>
      <c r="I1479" s="272"/>
      <c r="K1479">
        <v>1200</v>
      </c>
    </row>
    <row r="1480" spans="1:11" x14ac:dyDescent="0.3">
      <c r="A1480"/>
      <c r="F1480"/>
      <c r="G1480"/>
      <c r="I1480" s="272"/>
    </row>
    <row r="1481" spans="1:11" x14ac:dyDescent="0.3">
      <c r="A1481"/>
      <c r="F1481"/>
      <c r="G1481"/>
      <c r="I1481" s="272"/>
      <c r="K1481">
        <v>541.43999999999994</v>
      </c>
    </row>
    <row r="1482" spans="1:11" x14ac:dyDescent="0.3">
      <c r="A1482"/>
      <c r="F1482"/>
      <c r="G1482"/>
      <c r="I1482" s="272"/>
      <c r="K1482">
        <v>887.84039999999993</v>
      </c>
    </row>
    <row r="1483" spans="1:11" x14ac:dyDescent="0.3">
      <c r="A1483"/>
      <c r="F1483"/>
      <c r="G1483"/>
      <c r="I1483" s="272"/>
    </row>
    <row r="1484" spans="1:11" x14ac:dyDescent="0.3">
      <c r="A1484"/>
      <c r="F1484"/>
      <c r="G1484"/>
      <c r="I1484" s="272"/>
      <c r="K1484">
        <v>541.43999999999994</v>
      </c>
    </row>
    <row r="1485" spans="1:11" x14ac:dyDescent="0.3">
      <c r="A1485"/>
      <c r="F1485"/>
      <c r="G1485"/>
      <c r="I1485" s="272"/>
      <c r="K1485">
        <v>327.37559999999996</v>
      </c>
    </row>
    <row r="1486" spans="1:11" x14ac:dyDescent="0.3">
      <c r="A1486"/>
      <c r="F1486"/>
      <c r="G1486"/>
      <c r="I1486" s="272"/>
      <c r="K1486">
        <v>1262.4959999999999</v>
      </c>
    </row>
    <row r="1487" spans="1:11" x14ac:dyDescent="0.3">
      <c r="A1487"/>
      <c r="F1487"/>
      <c r="G1487"/>
      <c r="I1487" s="272"/>
    </row>
    <row r="1488" spans="1:11" x14ac:dyDescent="0.3">
      <c r="A1488"/>
      <c r="F1488"/>
      <c r="G1488"/>
      <c r="I1488" s="272"/>
      <c r="K1488">
        <v>270.71999999999997</v>
      </c>
    </row>
    <row r="1489" spans="1:11" x14ac:dyDescent="0.3">
      <c r="A1489"/>
      <c r="F1489"/>
      <c r="G1489"/>
      <c r="I1489" s="272"/>
      <c r="K1489">
        <v>337.5</v>
      </c>
    </row>
    <row r="1490" spans="1:11" x14ac:dyDescent="0.3">
      <c r="A1490"/>
      <c r="F1490"/>
      <c r="G1490"/>
      <c r="I1490" s="272"/>
      <c r="K1490">
        <v>1081.44</v>
      </c>
    </row>
    <row r="1491" spans="1:11" x14ac:dyDescent="0.3">
      <c r="A1491"/>
      <c r="F1491"/>
      <c r="G1491"/>
      <c r="I1491" s="272"/>
    </row>
    <row r="1492" spans="1:11" x14ac:dyDescent="0.3">
      <c r="A1492"/>
      <c r="F1492"/>
      <c r="G1492"/>
      <c r="I1492" s="272"/>
    </row>
    <row r="1493" spans="1:11" x14ac:dyDescent="0.3">
      <c r="A1493"/>
      <c r="F1493"/>
      <c r="G1493"/>
      <c r="I1493" s="272"/>
    </row>
    <row r="1494" spans="1:11" x14ac:dyDescent="0.3">
      <c r="A1494"/>
      <c r="F1494"/>
      <c r="G1494"/>
      <c r="I1494" s="272"/>
    </row>
    <row r="1495" spans="1:11" x14ac:dyDescent="0.3">
      <c r="A1495"/>
      <c r="F1495"/>
      <c r="G1495"/>
      <c r="I1495" s="272"/>
    </row>
    <row r="1496" spans="1:11" x14ac:dyDescent="0.3">
      <c r="A1496"/>
      <c r="F1496"/>
      <c r="G1496"/>
      <c r="I1496" s="272"/>
    </row>
    <row r="1497" spans="1:11" x14ac:dyDescent="0.3">
      <c r="A1497"/>
      <c r="F1497"/>
      <c r="G1497"/>
      <c r="I1497" s="272"/>
    </row>
    <row r="1498" spans="1:11" x14ac:dyDescent="0.3">
      <c r="A1498"/>
      <c r="F1498"/>
      <c r="G1498"/>
      <c r="I1498" s="272"/>
    </row>
    <row r="1499" spans="1:11" x14ac:dyDescent="0.3">
      <c r="A1499"/>
      <c r="F1499"/>
      <c r="G1499"/>
      <c r="I1499" s="272"/>
    </row>
    <row r="1500" spans="1:11" x14ac:dyDescent="0.3">
      <c r="A1500"/>
      <c r="F1500"/>
      <c r="G1500"/>
      <c r="I1500" s="272"/>
    </row>
    <row r="1501" spans="1:11" x14ac:dyDescent="0.3">
      <c r="A1501"/>
      <c r="F1501"/>
      <c r="G1501"/>
      <c r="I1501" s="272"/>
    </row>
    <row r="1502" spans="1:11" x14ac:dyDescent="0.3">
      <c r="A1502"/>
      <c r="F1502"/>
      <c r="G1502"/>
      <c r="I1502" s="272"/>
    </row>
    <row r="1503" spans="1:11" x14ac:dyDescent="0.3">
      <c r="A1503"/>
      <c r="F1503"/>
      <c r="G1503"/>
      <c r="I1503" s="272"/>
    </row>
    <row r="1504" spans="1:11" x14ac:dyDescent="0.3">
      <c r="A1504"/>
      <c r="F1504"/>
      <c r="G1504"/>
      <c r="I1504" s="272"/>
    </row>
    <row r="1505" spans="1:9" x14ac:dyDescent="0.3">
      <c r="A1505"/>
      <c r="F1505"/>
      <c r="G1505"/>
      <c r="I1505" s="272"/>
    </row>
    <row r="1506" spans="1:9" x14ac:dyDescent="0.3">
      <c r="A1506"/>
      <c r="F1506"/>
      <c r="G1506"/>
      <c r="I1506" s="272"/>
    </row>
    <row r="1507" spans="1:9" x14ac:dyDescent="0.3">
      <c r="A1507"/>
      <c r="F1507"/>
      <c r="G1507"/>
      <c r="I1507" s="272"/>
    </row>
    <row r="1508" spans="1:9" x14ac:dyDescent="0.3">
      <c r="A1508"/>
      <c r="F1508"/>
      <c r="G1508"/>
      <c r="I1508" s="272"/>
    </row>
    <row r="1509" spans="1:9" x14ac:dyDescent="0.3">
      <c r="A1509"/>
      <c r="F1509"/>
      <c r="G1509"/>
      <c r="I1509" s="272"/>
    </row>
    <row r="1510" spans="1:9" x14ac:dyDescent="0.3">
      <c r="A1510"/>
      <c r="F1510"/>
      <c r="G1510"/>
      <c r="I1510" s="272"/>
    </row>
    <row r="1511" spans="1:9" x14ac:dyDescent="0.3">
      <c r="A1511"/>
      <c r="F1511"/>
      <c r="G1511"/>
      <c r="I1511" s="272"/>
    </row>
    <row r="1512" spans="1:9" x14ac:dyDescent="0.3">
      <c r="A1512"/>
      <c r="F1512"/>
      <c r="G1512"/>
      <c r="I1512" s="272"/>
    </row>
    <row r="1513" spans="1:9" x14ac:dyDescent="0.3">
      <c r="A1513"/>
      <c r="F1513"/>
      <c r="G1513"/>
      <c r="I1513" s="272"/>
    </row>
    <row r="1514" spans="1:9" x14ac:dyDescent="0.3">
      <c r="A1514"/>
      <c r="F1514"/>
      <c r="G1514"/>
      <c r="I1514" s="272"/>
    </row>
    <row r="1515" spans="1:9" x14ac:dyDescent="0.3">
      <c r="A1515"/>
      <c r="F1515"/>
      <c r="G1515"/>
      <c r="I1515" s="272"/>
    </row>
    <row r="1516" spans="1:9" x14ac:dyDescent="0.3">
      <c r="A1516"/>
      <c r="F1516"/>
      <c r="G1516"/>
      <c r="I1516" s="272"/>
    </row>
    <row r="1517" spans="1:9" x14ac:dyDescent="0.3">
      <c r="A1517"/>
      <c r="F1517"/>
      <c r="G1517"/>
      <c r="I1517" s="272"/>
    </row>
    <row r="1518" spans="1:9" x14ac:dyDescent="0.3">
      <c r="A1518"/>
      <c r="F1518"/>
      <c r="G1518"/>
      <c r="I1518" s="272"/>
    </row>
    <row r="1519" spans="1:9" x14ac:dyDescent="0.3">
      <c r="A1519"/>
      <c r="F1519"/>
      <c r="G1519"/>
      <c r="I1519" s="272"/>
    </row>
    <row r="1520" spans="1:9" x14ac:dyDescent="0.3">
      <c r="A1520"/>
      <c r="F1520"/>
      <c r="G1520"/>
      <c r="I1520" s="272"/>
    </row>
    <row r="1521" spans="1:9" x14ac:dyDescent="0.3">
      <c r="A1521"/>
      <c r="F1521"/>
      <c r="G1521"/>
      <c r="I1521" s="272"/>
    </row>
    <row r="1522" spans="1:9" x14ac:dyDescent="0.3">
      <c r="A1522"/>
      <c r="F1522"/>
      <c r="G1522"/>
      <c r="I1522" s="272"/>
    </row>
    <row r="1523" spans="1:9" x14ac:dyDescent="0.3">
      <c r="A1523"/>
      <c r="F1523"/>
      <c r="G1523"/>
      <c r="I1523" s="272"/>
    </row>
    <row r="1524" spans="1:9" x14ac:dyDescent="0.3">
      <c r="A1524"/>
      <c r="F1524"/>
      <c r="G1524"/>
      <c r="I1524" s="272"/>
    </row>
    <row r="1525" spans="1:9" x14ac:dyDescent="0.3">
      <c r="A1525"/>
      <c r="F1525"/>
      <c r="G1525"/>
      <c r="I1525" s="272"/>
    </row>
    <row r="1526" spans="1:9" x14ac:dyDescent="0.3">
      <c r="A1526"/>
      <c r="F1526"/>
      <c r="G1526"/>
      <c r="I1526" s="272"/>
    </row>
    <row r="1527" spans="1:9" x14ac:dyDescent="0.3">
      <c r="A1527"/>
      <c r="F1527"/>
      <c r="G1527"/>
      <c r="I1527" s="272"/>
    </row>
    <row r="1528" spans="1:9" x14ac:dyDescent="0.3">
      <c r="A1528"/>
      <c r="F1528"/>
      <c r="G1528"/>
      <c r="I1528" s="272"/>
    </row>
    <row r="1529" spans="1:9" x14ac:dyDescent="0.3">
      <c r="A1529"/>
      <c r="F1529"/>
      <c r="G1529"/>
      <c r="I1529" s="272"/>
    </row>
    <row r="1530" spans="1:9" x14ac:dyDescent="0.3">
      <c r="A1530"/>
      <c r="F1530"/>
      <c r="G1530"/>
      <c r="I1530" s="272"/>
    </row>
    <row r="1531" spans="1:9" x14ac:dyDescent="0.3">
      <c r="A1531"/>
      <c r="F1531"/>
      <c r="G1531"/>
      <c r="I1531" s="272"/>
    </row>
    <row r="1532" spans="1:9" x14ac:dyDescent="0.3">
      <c r="A1532"/>
      <c r="F1532"/>
      <c r="G1532"/>
      <c r="I1532" s="272"/>
    </row>
    <row r="1533" spans="1:9" x14ac:dyDescent="0.3">
      <c r="A1533"/>
      <c r="F1533"/>
      <c r="G1533"/>
      <c r="I1533" s="272"/>
    </row>
    <row r="1534" spans="1:9" x14ac:dyDescent="0.3">
      <c r="A1534"/>
      <c r="F1534"/>
      <c r="G1534"/>
      <c r="I1534" s="272"/>
    </row>
    <row r="1535" spans="1:9" x14ac:dyDescent="0.3">
      <c r="A1535"/>
      <c r="F1535"/>
      <c r="G1535"/>
      <c r="I1535" s="272"/>
    </row>
    <row r="1536" spans="1:9" x14ac:dyDescent="0.3">
      <c r="A1536"/>
      <c r="F1536"/>
      <c r="G1536"/>
      <c r="I1536" s="272"/>
    </row>
    <row r="1537" spans="1:9" x14ac:dyDescent="0.3">
      <c r="A1537"/>
      <c r="F1537"/>
      <c r="G1537"/>
      <c r="I1537" s="272"/>
    </row>
    <row r="1538" spans="1:9" x14ac:dyDescent="0.3">
      <c r="A1538"/>
      <c r="F1538"/>
      <c r="G1538"/>
      <c r="I1538" s="272"/>
    </row>
    <row r="1539" spans="1:9" x14ac:dyDescent="0.3">
      <c r="A1539"/>
      <c r="F1539"/>
      <c r="G1539"/>
      <c r="I1539" s="272"/>
    </row>
    <row r="1540" spans="1:9" x14ac:dyDescent="0.3">
      <c r="A1540"/>
      <c r="F1540"/>
      <c r="G1540"/>
      <c r="I1540" s="272"/>
    </row>
    <row r="1541" spans="1:9" x14ac:dyDescent="0.3">
      <c r="A1541"/>
      <c r="F1541"/>
      <c r="G1541"/>
      <c r="I1541" s="272"/>
    </row>
    <row r="1542" spans="1:9" x14ac:dyDescent="0.3">
      <c r="A1542"/>
      <c r="F1542"/>
      <c r="G1542"/>
      <c r="I1542" s="272"/>
    </row>
    <row r="1543" spans="1:9" x14ac:dyDescent="0.3">
      <c r="A1543"/>
      <c r="F1543"/>
      <c r="G1543"/>
      <c r="I1543" s="272"/>
    </row>
    <row r="1544" spans="1:9" x14ac:dyDescent="0.3">
      <c r="A1544"/>
      <c r="F1544"/>
      <c r="G1544"/>
      <c r="I1544" s="272"/>
    </row>
    <row r="1545" spans="1:9" x14ac:dyDescent="0.3">
      <c r="A1545"/>
      <c r="F1545"/>
      <c r="G1545"/>
      <c r="I1545" s="272"/>
    </row>
    <row r="1546" spans="1:9" x14ac:dyDescent="0.3">
      <c r="A1546"/>
      <c r="F1546"/>
      <c r="G1546"/>
      <c r="I1546" s="272"/>
    </row>
    <row r="1547" spans="1:9" x14ac:dyDescent="0.3">
      <c r="A1547"/>
      <c r="F1547"/>
      <c r="G1547"/>
      <c r="I1547" s="272"/>
    </row>
    <row r="1548" spans="1:9" x14ac:dyDescent="0.3">
      <c r="A1548"/>
      <c r="F1548"/>
      <c r="G1548"/>
      <c r="I1548" s="272"/>
    </row>
    <row r="1549" spans="1:9" x14ac:dyDescent="0.3">
      <c r="A1549"/>
      <c r="F1549"/>
      <c r="G1549"/>
      <c r="I1549" s="272"/>
    </row>
    <row r="1550" spans="1:9" x14ac:dyDescent="0.3">
      <c r="A1550"/>
      <c r="F1550"/>
      <c r="G1550"/>
      <c r="I1550" s="272"/>
    </row>
    <row r="1551" spans="1:9" x14ac:dyDescent="0.3">
      <c r="A1551"/>
      <c r="F1551"/>
      <c r="G1551"/>
      <c r="I1551" s="272"/>
    </row>
    <row r="1552" spans="1:9" x14ac:dyDescent="0.3">
      <c r="A1552"/>
      <c r="F1552"/>
      <c r="G1552"/>
      <c r="I1552" s="272"/>
    </row>
    <row r="1553" spans="1:9" x14ac:dyDescent="0.3">
      <c r="A1553"/>
      <c r="F1553"/>
      <c r="G1553"/>
      <c r="I1553" s="272"/>
    </row>
    <row r="1554" spans="1:9" x14ac:dyDescent="0.3">
      <c r="A1554"/>
      <c r="F1554"/>
      <c r="G1554"/>
      <c r="I1554" s="272"/>
    </row>
    <row r="1555" spans="1:9" x14ac:dyDescent="0.3">
      <c r="A1555"/>
      <c r="F1555"/>
      <c r="G1555"/>
      <c r="I1555" s="272"/>
    </row>
    <row r="1556" spans="1:9" x14ac:dyDescent="0.3">
      <c r="A1556"/>
      <c r="F1556"/>
      <c r="G1556"/>
      <c r="I1556" s="272"/>
    </row>
    <row r="1557" spans="1:9" x14ac:dyDescent="0.3">
      <c r="A1557"/>
      <c r="F1557"/>
      <c r="G1557"/>
      <c r="I1557" s="272"/>
    </row>
    <row r="1558" spans="1:9" x14ac:dyDescent="0.3">
      <c r="A1558"/>
      <c r="F1558"/>
      <c r="G1558"/>
      <c r="I1558" s="272"/>
    </row>
    <row r="1559" spans="1:9" x14ac:dyDescent="0.3">
      <c r="A1559"/>
      <c r="F1559"/>
      <c r="G1559"/>
      <c r="I1559" s="272"/>
    </row>
    <row r="1560" spans="1:9" x14ac:dyDescent="0.3">
      <c r="A1560"/>
      <c r="F1560"/>
      <c r="G1560"/>
      <c r="I1560" s="272"/>
    </row>
    <row r="1561" spans="1:9" x14ac:dyDescent="0.3">
      <c r="A1561"/>
      <c r="F1561"/>
      <c r="G1561"/>
      <c r="I1561" s="272"/>
    </row>
    <row r="1562" spans="1:9" x14ac:dyDescent="0.3">
      <c r="A1562"/>
      <c r="F1562"/>
      <c r="G1562"/>
      <c r="I1562" s="272"/>
    </row>
    <row r="1563" spans="1:9" x14ac:dyDescent="0.3">
      <c r="A1563"/>
      <c r="F1563"/>
      <c r="G1563"/>
      <c r="I1563" s="272"/>
    </row>
    <row r="1564" spans="1:9" x14ac:dyDescent="0.3">
      <c r="A1564"/>
      <c r="F1564"/>
      <c r="G1564"/>
      <c r="I1564" s="272"/>
    </row>
    <row r="1565" spans="1:9" x14ac:dyDescent="0.3">
      <c r="A1565"/>
      <c r="F1565"/>
      <c r="G1565"/>
      <c r="I1565" s="272"/>
    </row>
    <row r="1566" spans="1:9" x14ac:dyDescent="0.3">
      <c r="A1566"/>
      <c r="F1566"/>
      <c r="G1566"/>
      <c r="I1566" s="272"/>
    </row>
    <row r="1567" spans="1:9" x14ac:dyDescent="0.3">
      <c r="A1567"/>
      <c r="F1567"/>
      <c r="G1567"/>
      <c r="I1567" s="272"/>
    </row>
    <row r="1568" spans="1:9" x14ac:dyDescent="0.3">
      <c r="A1568"/>
      <c r="F1568"/>
      <c r="G1568"/>
      <c r="I1568" s="272"/>
    </row>
    <row r="1569" spans="1:9" x14ac:dyDescent="0.3">
      <c r="A1569"/>
      <c r="F1569"/>
      <c r="G1569"/>
      <c r="I1569" s="272"/>
    </row>
    <row r="1570" spans="1:9" x14ac:dyDescent="0.3">
      <c r="A1570"/>
      <c r="F1570"/>
      <c r="G1570"/>
      <c r="I1570" s="272"/>
    </row>
    <row r="1571" spans="1:9" x14ac:dyDescent="0.3">
      <c r="A1571"/>
      <c r="F1571"/>
      <c r="G1571"/>
      <c r="I1571" s="272"/>
    </row>
    <row r="1572" spans="1:9" x14ac:dyDescent="0.3">
      <c r="A1572"/>
      <c r="F1572"/>
      <c r="G1572"/>
      <c r="I1572" s="272"/>
    </row>
    <row r="1573" spans="1:9" x14ac:dyDescent="0.3">
      <c r="A1573"/>
      <c r="F1573"/>
      <c r="G1573"/>
      <c r="I1573" s="272"/>
    </row>
    <row r="1574" spans="1:9" x14ac:dyDescent="0.3">
      <c r="A1574"/>
      <c r="F1574"/>
      <c r="G1574"/>
      <c r="I1574" s="272"/>
    </row>
    <row r="1575" spans="1:9" x14ac:dyDescent="0.3">
      <c r="A1575"/>
      <c r="F1575"/>
      <c r="G1575"/>
      <c r="I1575" s="272"/>
    </row>
    <row r="1576" spans="1:9" x14ac:dyDescent="0.3">
      <c r="A1576"/>
      <c r="F1576"/>
      <c r="G1576"/>
      <c r="I1576" s="272"/>
    </row>
    <row r="1577" spans="1:9" x14ac:dyDescent="0.3">
      <c r="A1577"/>
      <c r="F1577"/>
      <c r="G1577"/>
      <c r="I1577" s="272"/>
    </row>
    <row r="1578" spans="1:9" x14ac:dyDescent="0.3">
      <c r="A1578"/>
      <c r="F1578"/>
      <c r="G1578"/>
      <c r="I1578" s="272"/>
    </row>
    <row r="1579" spans="1:9" x14ac:dyDescent="0.3">
      <c r="A1579"/>
      <c r="F1579"/>
      <c r="G1579"/>
      <c r="I1579" s="272"/>
    </row>
    <row r="1580" spans="1:9" x14ac:dyDescent="0.3">
      <c r="A1580"/>
      <c r="F1580"/>
      <c r="G1580"/>
      <c r="I1580" s="272"/>
    </row>
    <row r="1581" spans="1:9" x14ac:dyDescent="0.3">
      <c r="A1581"/>
      <c r="F1581"/>
      <c r="G1581"/>
      <c r="I1581" s="272"/>
    </row>
    <row r="1582" spans="1:9" x14ac:dyDescent="0.3">
      <c r="A1582"/>
      <c r="F1582"/>
      <c r="G1582"/>
      <c r="I1582" s="272"/>
    </row>
    <row r="1583" spans="1:9" x14ac:dyDescent="0.3">
      <c r="A1583"/>
      <c r="F1583"/>
      <c r="G1583"/>
      <c r="I1583" s="272"/>
    </row>
    <row r="1584" spans="1:9" x14ac:dyDescent="0.3">
      <c r="A1584"/>
      <c r="F1584"/>
      <c r="G1584"/>
      <c r="I1584" s="272"/>
    </row>
    <row r="1585" spans="1:12" x14ac:dyDescent="0.3">
      <c r="A1585"/>
      <c r="F1585"/>
      <c r="G1585"/>
      <c r="I1585" s="272"/>
      <c r="L1585" t="s">
        <v>472</v>
      </c>
    </row>
    <row r="1586" spans="1:12" x14ac:dyDescent="0.3">
      <c r="A1586"/>
      <c r="F1586"/>
      <c r="G1586"/>
      <c r="I1586" s="272"/>
    </row>
    <row r="1587" spans="1:12" x14ac:dyDescent="0.3">
      <c r="A1587"/>
      <c r="F1587"/>
      <c r="G1587"/>
      <c r="I1587" s="272"/>
      <c r="K1587">
        <v>3828</v>
      </c>
    </row>
    <row r="1588" spans="1:12" x14ac:dyDescent="0.3">
      <c r="A1588"/>
      <c r="F1588"/>
      <c r="G1588"/>
      <c r="I1588" s="272"/>
      <c r="K1588">
        <v>21999.84</v>
      </c>
    </row>
    <row r="1589" spans="1:12" x14ac:dyDescent="0.3">
      <c r="A1589"/>
      <c r="F1589"/>
      <c r="G1589"/>
      <c r="I1589" s="272"/>
      <c r="K1589">
        <v>16499.879999999997</v>
      </c>
    </row>
    <row r="1590" spans="1:12" x14ac:dyDescent="0.3">
      <c r="A1590"/>
      <c r="F1590"/>
      <c r="G1590"/>
      <c r="I1590" s="272"/>
      <c r="K1590">
        <v>19199.987999999998</v>
      </c>
    </row>
    <row r="1591" spans="1:12" x14ac:dyDescent="0.3">
      <c r="A1591"/>
      <c r="F1591"/>
      <c r="G1591"/>
      <c r="I1591" s="272"/>
      <c r="K1591">
        <v>840</v>
      </c>
    </row>
    <row r="1592" spans="1:12" x14ac:dyDescent="0.3">
      <c r="A1592"/>
      <c r="F1592"/>
      <c r="G1592"/>
      <c r="I1592" s="272"/>
      <c r="K1592">
        <v>5610</v>
      </c>
    </row>
    <row r="1593" spans="1:12" x14ac:dyDescent="0.3">
      <c r="A1593"/>
      <c r="F1593"/>
      <c r="G1593"/>
      <c r="I1593" s="272"/>
    </row>
    <row r="1594" spans="1:12" x14ac:dyDescent="0.3">
      <c r="A1594"/>
      <c r="F1594"/>
      <c r="G1594"/>
      <c r="I1594" s="272"/>
    </row>
    <row r="1595" spans="1:12" x14ac:dyDescent="0.3">
      <c r="A1595"/>
      <c r="F1595"/>
      <c r="G1595"/>
      <c r="I1595" s="272"/>
      <c r="K1595">
        <v>6540</v>
      </c>
    </row>
    <row r="1596" spans="1:12" x14ac:dyDescent="0.3">
      <c r="A1596"/>
      <c r="F1596"/>
      <c r="G1596"/>
      <c r="I1596" s="272"/>
    </row>
    <row r="1597" spans="1:12" x14ac:dyDescent="0.3">
      <c r="A1597"/>
      <c r="F1597"/>
      <c r="G1597"/>
      <c r="I1597" s="272"/>
      <c r="K1597">
        <v>624</v>
      </c>
    </row>
    <row r="1598" spans="1:12" x14ac:dyDescent="0.3">
      <c r="A1598"/>
      <c r="F1598"/>
      <c r="G1598"/>
      <c r="I1598" s="272"/>
      <c r="K1598">
        <v>456</v>
      </c>
    </row>
    <row r="1599" spans="1:12" x14ac:dyDescent="0.3">
      <c r="A1599"/>
      <c r="F1599"/>
      <c r="G1599"/>
      <c r="I1599" s="272"/>
      <c r="K1599">
        <v>840</v>
      </c>
    </row>
    <row r="1600" spans="1:12" x14ac:dyDescent="0.3">
      <c r="A1600"/>
      <c r="F1600"/>
      <c r="G1600"/>
      <c r="I1600" s="272"/>
      <c r="K1600">
        <v>12030</v>
      </c>
    </row>
    <row r="1601" spans="1:11" x14ac:dyDescent="0.3">
      <c r="A1601"/>
      <c r="F1601"/>
      <c r="G1601"/>
      <c r="I1601" s="272"/>
    </row>
    <row r="1602" spans="1:11" x14ac:dyDescent="0.3">
      <c r="A1602"/>
      <c r="F1602"/>
      <c r="G1602"/>
      <c r="I1602" s="272"/>
    </row>
    <row r="1603" spans="1:11" x14ac:dyDescent="0.3">
      <c r="A1603"/>
      <c r="F1603"/>
      <c r="G1603"/>
      <c r="I1603" s="272"/>
    </row>
    <row r="1604" spans="1:11" x14ac:dyDescent="0.3">
      <c r="A1604"/>
      <c r="F1604"/>
      <c r="G1604"/>
      <c r="I1604" s="272"/>
      <c r="K1604">
        <v>10094.4</v>
      </c>
    </row>
    <row r="1605" spans="1:11" x14ac:dyDescent="0.3">
      <c r="A1605"/>
      <c r="F1605"/>
      <c r="G1605"/>
      <c r="I1605" s="272"/>
      <c r="K1605">
        <v>8720.4</v>
      </c>
    </row>
    <row r="1606" spans="1:11" x14ac:dyDescent="0.3">
      <c r="A1606"/>
      <c r="F1606"/>
      <c r="G1606"/>
      <c r="I1606" s="272"/>
    </row>
    <row r="1607" spans="1:11" x14ac:dyDescent="0.3">
      <c r="A1607"/>
      <c r="F1607"/>
      <c r="G1607"/>
      <c r="I1607" s="272"/>
    </row>
    <row r="1608" spans="1:11" x14ac:dyDescent="0.3">
      <c r="A1608"/>
      <c r="F1608"/>
      <c r="G1608"/>
      <c r="I1608" s="272"/>
      <c r="K1608">
        <v>9920.4240000000009</v>
      </c>
    </row>
    <row r="1609" spans="1:11" x14ac:dyDescent="0.3">
      <c r="A1609"/>
      <c r="F1609"/>
      <c r="G1609"/>
      <c r="I1609" s="272"/>
    </row>
    <row r="1610" spans="1:11" x14ac:dyDescent="0.3">
      <c r="A1610"/>
      <c r="F1610"/>
      <c r="G1610"/>
      <c r="I1610" s="272"/>
    </row>
    <row r="1611" spans="1:11" x14ac:dyDescent="0.3">
      <c r="A1611"/>
      <c r="F1611"/>
      <c r="G1611"/>
      <c r="I1611" s="272"/>
      <c r="K1611">
        <v>662.4</v>
      </c>
    </row>
    <row r="1612" spans="1:11" x14ac:dyDescent="0.3">
      <c r="A1612"/>
      <c r="F1612"/>
      <c r="G1612"/>
      <c r="I1612" s="272"/>
      <c r="K1612">
        <v>11298</v>
      </c>
    </row>
    <row r="1613" spans="1:11" x14ac:dyDescent="0.3">
      <c r="A1613"/>
      <c r="F1613"/>
      <c r="G1613"/>
      <c r="I1613" s="272"/>
      <c r="K1613">
        <v>399.99999999999955</v>
      </c>
    </row>
    <row r="1614" spans="1:11" x14ac:dyDescent="0.3">
      <c r="A1614"/>
      <c r="F1614"/>
      <c r="G1614"/>
      <c r="I1614" s="272"/>
      <c r="K1614">
        <v>761.49599999999998</v>
      </c>
    </row>
    <row r="1615" spans="1:11" x14ac:dyDescent="0.3">
      <c r="A1615"/>
      <c r="F1615"/>
      <c r="G1615"/>
      <c r="I1615" s="272"/>
    </row>
    <row r="1616" spans="1:11" x14ac:dyDescent="0.3">
      <c r="A1616"/>
      <c r="F1616"/>
      <c r="G1616"/>
      <c r="I1616" s="272"/>
    </row>
    <row r="1617" spans="1:11" x14ac:dyDescent="0.3">
      <c r="A1617"/>
      <c r="F1617"/>
      <c r="G1617"/>
      <c r="I1617" s="272"/>
      <c r="K1617">
        <v>337.5</v>
      </c>
    </row>
    <row r="1618" spans="1:11" x14ac:dyDescent="0.3">
      <c r="A1618"/>
      <c r="F1618"/>
      <c r="G1618"/>
      <c r="I1618" s="272"/>
      <c r="K1618">
        <v>1869.9999995999999</v>
      </c>
    </row>
    <row r="1619" spans="1:11" x14ac:dyDescent="0.3">
      <c r="A1619"/>
      <c r="F1619"/>
      <c r="G1619"/>
      <c r="I1619" s="272"/>
    </row>
    <row r="1620" spans="1:11" x14ac:dyDescent="0.3">
      <c r="A1620"/>
      <c r="F1620"/>
      <c r="G1620"/>
      <c r="I1620" s="272"/>
      <c r="K1620">
        <v>2707.5</v>
      </c>
    </row>
    <row r="1621" spans="1:11" x14ac:dyDescent="0.3">
      <c r="A1621"/>
      <c r="F1621"/>
      <c r="G1621"/>
      <c r="I1621" s="272"/>
    </row>
    <row r="1622" spans="1:11" x14ac:dyDescent="0.3">
      <c r="A1622"/>
      <c r="F1622"/>
      <c r="G1622"/>
      <c r="I1622" s="272"/>
      <c r="K1622">
        <v>350.00000000099999</v>
      </c>
    </row>
    <row r="1623" spans="1:11" x14ac:dyDescent="0.3">
      <c r="A1623"/>
      <c r="F1623"/>
      <c r="G1623"/>
      <c r="I1623" s="272"/>
    </row>
    <row r="1624" spans="1:11" x14ac:dyDescent="0.3">
      <c r="A1624"/>
      <c r="F1624"/>
      <c r="G1624"/>
      <c r="I1624" s="272"/>
      <c r="K1624">
        <v>1989.9999959999998</v>
      </c>
    </row>
    <row r="1625" spans="1:11" x14ac:dyDescent="0.3">
      <c r="A1625"/>
      <c r="F1625"/>
      <c r="G1625"/>
      <c r="I1625" s="272"/>
      <c r="K1625">
        <v>585</v>
      </c>
    </row>
    <row r="1626" spans="1:11" x14ac:dyDescent="0.3">
      <c r="A1626"/>
      <c r="F1626"/>
      <c r="G1626"/>
      <c r="I1626" s="272"/>
      <c r="K1626">
        <v>1746</v>
      </c>
    </row>
    <row r="1627" spans="1:11" x14ac:dyDescent="0.3">
      <c r="A1627"/>
      <c r="F1627"/>
      <c r="G1627"/>
      <c r="I1627" s="272"/>
      <c r="K1627">
        <v>1059.9999995999999</v>
      </c>
    </row>
    <row r="1628" spans="1:11" x14ac:dyDescent="0.3">
      <c r="A1628"/>
      <c r="F1628"/>
      <c r="G1628"/>
      <c r="I1628" s="272"/>
    </row>
    <row r="1629" spans="1:11" x14ac:dyDescent="0.3">
      <c r="A1629"/>
      <c r="F1629"/>
      <c r="G1629"/>
      <c r="I1629" s="272"/>
      <c r="K1629">
        <v>324.99599999999998</v>
      </c>
    </row>
    <row r="1630" spans="1:11" x14ac:dyDescent="0.3">
      <c r="A1630"/>
      <c r="F1630"/>
      <c r="G1630"/>
      <c r="I1630" s="272"/>
      <c r="K1630">
        <v>4320</v>
      </c>
    </row>
    <row r="1631" spans="1:11" x14ac:dyDescent="0.3">
      <c r="A1631"/>
      <c r="F1631"/>
      <c r="G1631"/>
      <c r="I1631" s="272"/>
      <c r="K1631">
        <v>3612</v>
      </c>
    </row>
    <row r="1632" spans="1:11" x14ac:dyDescent="0.3">
      <c r="A1632"/>
      <c r="F1632"/>
      <c r="G1632"/>
      <c r="I1632" s="272"/>
    </row>
    <row r="1633" spans="1:11" x14ac:dyDescent="0.3">
      <c r="A1633"/>
      <c r="F1633"/>
      <c r="G1633"/>
      <c r="I1633" s="272"/>
      <c r="K1633">
        <v>852</v>
      </c>
    </row>
    <row r="1634" spans="1:11" x14ac:dyDescent="0.3">
      <c r="A1634"/>
      <c r="F1634"/>
      <c r="G1634"/>
      <c r="I1634" s="272"/>
    </row>
    <row r="1635" spans="1:11" x14ac:dyDescent="0.3">
      <c r="A1635"/>
      <c r="F1635"/>
      <c r="G1635"/>
      <c r="I1635" s="272"/>
      <c r="K1635">
        <v>420</v>
      </c>
    </row>
    <row r="1636" spans="1:11" x14ac:dyDescent="0.3">
      <c r="A1636"/>
      <c r="F1636"/>
      <c r="G1636"/>
      <c r="I1636" s="272"/>
      <c r="K1636">
        <v>31376.171999999999</v>
      </c>
    </row>
    <row r="1637" spans="1:11" x14ac:dyDescent="0.3">
      <c r="A1637"/>
      <c r="F1637"/>
      <c r="G1637"/>
      <c r="I1637" s="272"/>
    </row>
    <row r="1638" spans="1:11" x14ac:dyDescent="0.3">
      <c r="A1638"/>
      <c r="F1638"/>
      <c r="G1638"/>
      <c r="I1638" s="272"/>
    </row>
    <row r="1639" spans="1:11" x14ac:dyDescent="0.3">
      <c r="A1639"/>
      <c r="F1639"/>
      <c r="G1639"/>
      <c r="I1639" s="272"/>
    </row>
    <row r="1640" spans="1:11" x14ac:dyDescent="0.3">
      <c r="A1640"/>
      <c r="F1640"/>
      <c r="G1640"/>
      <c r="I1640" s="272"/>
    </row>
    <row r="1641" spans="1:11" x14ac:dyDescent="0.3">
      <c r="A1641"/>
      <c r="F1641"/>
      <c r="G1641"/>
      <c r="I1641" s="272"/>
    </row>
    <row r="1642" spans="1:11" x14ac:dyDescent="0.3">
      <c r="A1642"/>
      <c r="F1642"/>
      <c r="G1642"/>
      <c r="I1642" s="272"/>
    </row>
    <row r="1643" spans="1:11" x14ac:dyDescent="0.3">
      <c r="A1643"/>
      <c r="F1643"/>
      <c r="G1643"/>
      <c r="I1643" s="272"/>
    </row>
    <row r="1644" spans="1:11" x14ac:dyDescent="0.3">
      <c r="A1644"/>
      <c r="F1644"/>
      <c r="G1644"/>
      <c r="I1644" s="272"/>
    </row>
    <row r="1645" spans="1:11" x14ac:dyDescent="0.3">
      <c r="A1645"/>
      <c r="F1645"/>
      <c r="G1645"/>
      <c r="I1645" s="272"/>
    </row>
    <row r="1646" spans="1:11" x14ac:dyDescent="0.3">
      <c r="A1646"/>
      <c r="F1646"/>
      <c r="G1646"/>
      <c r="I1646" s="272"/>
      <c r="K1646">
        <v>8070</v>
      </c>
    </row>
    <row r="1647" spans="1:11" x14ac:dyDescent="0.3">
      <c r="A1647"/>
      <c r="F1647"/>
      <c r="G1647"/>
      <c r="I1647" s="272"/>
      <c r="K1647">
        <v>1260</v>
      </c>
    </row>
    <row r="1648" spans="1:11" x14ac:dyDescent="0.3">
      <c r="A1648"/>
      <c r="F1648"/>
      <c r="G1648"/>
      <c r="I1648" s="272"/>
    </row>
    <row r="1649" spans="1:11" x14ac:dyDescent="0.3">
      <c r="A1649"/>
      <c r="F1649"/>
      <c r="G1649"/>
      <c r="I1649" s="272"/>
      <c r="K1649">
        <v>384</v>
      </c>
    </row>
    <row r="1650" spans="1:11" x14ac:dyDescent="0.3">
      <c r="A1650"/>
      <c r="F1650"/>
      <c r="G1650"/>
      <c r="I1650" s="272"/>
      <c r="K1650">
        <v>4563.0360000000001</v>
      </c>
    </row>
    <row r="1651" spans="1:11" x14ac:dyDescent="0.3">
      <c r="A1651"/>
      <c r="F1651"/>
      <c r="G1651"/>
      <c r="I1651" s="272"/>
    </row>
    <row r="1652" spans="1:11" x14ac:dyDescent="0.3">
      <c r="A1652"/>
      <c r="F1652"/>
      <c r="G1652"/>
      <c r="I1652" s="272"/>
    </row>
    <row r="1653" spans="1:11" x14ac:dyDescent="0.3">
      <c r="A1653"/>
      <c r="F1653"/>
      <c r="G1653"/>
      <c r="I1653" s="272"/>
    </row>
    <row r="1654" spans="1:11" x14ac:dyDescent="0.3">
      <c r="A1654"/>
      <c r="F1654"/>
      <c r="G1654"/>
      <c r="I1654" s="272"/>
    </row>
    <row r="1655" spans="1:11" x14ac:dyDescent="0.3">
      <c r="A1655"/>
      <c r="F1655"/>
      <c r="G1655"/>
      <c r="I1655" s="272"/>
    </row>
    <row r="1656" spans="1:11" x14ac:dyDescent="0.3">
      <c r="A1656"/>
      <c r="F1656"/>
      <c r="G1656"/>
      <c r="I1656" s="272"/>
      <c r="K1656">
        <v>750.12</v>
      </c>
    </row>
    <row r="1657" spans="1:11" x14ac:dyDescent="0.3">
      <c r="A1657"/>
      <c r="F1657"/>
      <c r="G1657"/>
      <c r="I1657" s="272"/>
    </row>
    <row r="1658" spans="1:11" x14ac:dyDescent="0.3">
      <c r="A1658"/>
      <c r="F1658"/>
      <c r="G1658"/>
      <c r="I1658" s="272"/>
    </row>
    <row r="1659" spans="1:11" x14ac:dyDescent="0.3">
      <c r="A1659"/>
      <c r="F1659"/>
      <c r="G1659"/>
      <c r="I1659" s="272"/>
    </row>
    <row r="1660" spans="1:11" x14ac:dyDescent="0.3">
      <c r="A1660"/>
      <c r="F1660"/>
      <c r="G1660"/>
      <c r="I1660" s="272"/>
      <c r="K1660">
        <v>4800</v>
      </c>
    </row>
    <row r="1661" spans="1:11" x14ac:dyDescent="0.3">
      <c r="A1661"/>
      <c r="F1661"/>
      <c r="G1661"/>
      <c r="I1661" s="272"/>
      <c r="K1661">
        <v>10975.199999999999</v>
      </c>
    </row>
    <row r="1662" spans="1:11" x14ac:dyDescent="0.3">
      <c r="A1662"/>
      <c r="F1662"/>
      <c r="G1662"/>
      <c r="I1662" s="272"/>
      <c r="K1662">
        <v>1627.2</v>
      </c>
    </row>
    <row r="1663" spans="1:11" x14ac:dyDescent="0.3">
      <c r="A1663"/>
      <c r="F1663"/>
      <c r="G1663"/>
      <c r="I1663" s="272"/>
      <c r="K1663">
        <v>249.99959999999999</v>
      </c>
    </row>
    <row r="1664" spans="1:11" x14ac:dyDescent="0.3">
      <c r="A1664"/>
      <c r="F1664"/>
      <c r="G1664"/>
      <c r="I1664" s="272"/>
      <c r="K1664">
        <v>1200</v>
      </c>
    </row>
    <row r="1665" spans="1:11" x14ac:dyDescent="0.3">
      <c r="A1665"/>
      <c r="F1665"/>
      <c r="G1665"/>
      <c r="I1665" s="272"/>
    </row>
    <row r="1666" spans="1:11" x14ac:dyDescent="0.3">
      <c r="A1666"/>
      <c r="F1666"/>
      <c r="G1666"/>
      <c r="I1666" s="272"/>
      <c r="K1666">
        <v>541.43999999999994</v>
      </c>
    </row>
    <row r="1667" spans="1:11" x14ac:dyDescent="0.3">
      <c r="A1667"/>
      <c r="F1667"/>
      <c r="G1667"/>
      <c r="I1667" s="272"/>
      <c r="K1667">
        <v>887.84039999999993</v>
      </c>
    </row>
    <row r="1668" spans="1:11" x14ac:dyDescent="0.3">
      <c r="A1668"/>
      <c r="F1668"/>
      <c r="G1668"/>
      <c r="I1668" s="272"/>
    </row>
    <row r="1669" spans="1:11" x14ac:dyDescent="0.3">
      <c r="A1669"/>
      <c r="F1669"/>
      <c r="G1669"/>
      <c r="I1669" s="272"/>
      <c r="K1669">
        <v>541.43999999999994</v>
      </c>
    </row>
    <row r="1670" spans="1:11" x14ac:dyDescent="0.3">
      <c r="A1670"/>
      <c r="F1670"/>
      <c r="G1670"/>
      <c r="I1670" s="272"/>
      <c r="K1670">
        <v>327.37559999999996</v>
      </c>
    </row>
    <row r="1671" spans="1:11" x14ac:dyDescent="0.3">
      <c r="A1671"/>
      <c r="F1671"/>
      <c r="G1671"/>
      <c r="I1671" s="272"/>
      <c r="K1671">
        <v>1262.4959999999999</v>
      </c>
    </row>
    <row r="1672" spans="1:11" x14ac:dyDescent="0.3">
      <c r="A1672"/>
      <c r="F1672"/>
      <c r="G1672"/>
      <c r="I1672" s="272"/>
    </row>
    <row r="1673" spans="1:11" x14ac:dyDescent="0.3">
      <c r="A1673"/>
      <c r="F1673"/>
      <c r="G1673"/>
      <c r="I1673" s="272"/>
      <c r="K1673">
        <v>270.71999999999997</v>
      </c>
    </row>
    <row r="1674" spans="1:11" x14ac:dyDescent="0.3">
      <c r="A1674"/>
      <c r="F1674"/>
      <c r="G1674"/>
      <c r="I1674" s="272"/>
      <c r="K1674">
        <v>337.5</v>
      </c>
    </row>
    <row r="1675" spans="1:11" x14ac:dyDescent="0.3">
      <c r="A1675"/>
      <c r="F1675"/>
      <c r="G1675"/>
      <c r="I1675" s="272"/>
      <c r="K1675">
        <v>1081.44</v>
      </c>
    </row>
    <row r="1676" spans="1:11" x14ac:dyDescent="0.3">
      <c r="A1676"/>
      <c r="F1676"/>
      <c r="G1676"/>
      <c r="I1676" s="272"/>
    </row>
    <row r="1677" spans="1:11" x14ac:dyDescent="0.3">
      <c r="A1677"/>
      <c r="F1677"/>
      <c r="G1677"/>
      <c r="I1677" s="272"/>
    </row>
    <row r="1678" spans="1:11" x14ac:dyDescent="0.3">
      <c r="A1678"/>
      <c r="F1678"/>
      <c r="G1678"/>
      <c r="I1678" s="272"/>
    </row>
    <row r="1679" spans="1:11" x14ac:dyDescent="0.3">
      <c r="A1679"/>
      <c r="F1679"/>
      <c r="G1679"/>
      <c r="I1679" s="272"/>
    </row>
    <row r="1680" spans="1:11" x14ac:dyDescent="0.3">
      <c r="A1680"/>
      <c r="F1680"/>
      <c r="G1680"/>
      <c r="I1680" s="272"/>
    </row>
    <row r="1681" spans="1:9" x14ac:dyDescent="0.3">
      <c r="A1681"/>
      <c r="F1681"/>
      <c r="G1681"/>
      <c r="I1681" s="272"/>
    </row>
    <row r="1682" spans="1:9" x14ac:dyDescent="0.3">
      <c r="A1682"/>
      <c r="F1682"/>
      <c r="G1682"/>
      <c r="I1682" s="272"/>
    </row>
    <row r="1683" spans="1:9" x14ac:dyDescent="0.3">
      <c r="A1683"/>
      <c r="F1683"/>
      <c r="G1683"/>
      <c r="I1683" s="272"/>
    </row>
    <row r="1684" spans="1:9" x14ac:dyDescent="0.3">
      <c r="A1684"/>
      <c r="F1684"/>
      <c r="G1684"/>
      <c r="I1684" s="272"/>
    </row>
    <row r="1685" spans="1:9" x14ac:dyDescent="0.3">
      <c r="A1685"/>
      <c r="F1685"/>
      <c r="G1685"/>
      <c r="I1685" s="272"/>
    </row>
    <row r="1686" spans="1:9" x14ac:dyDescent="0.3">
      <c r="A1686"/>
      <c r="F1686"/>
      <c r="G1686"/>
      <c r="I1686" s="272"/>
    </row>
    <row r="1687" spans="1:9" x14ac:dyDescent="0.3">
      <c r="A1687"/>
      <c r="F1687"/>
      <c r="G1687"/>
      <c r="I1687" s="272"/>
    </row>
    <row r="1688" spans="1:9" x14ac:dyDescent="0.3">
      <c r="A1688"/>
      <c r="F1688"/>
      <c r="G1688"/>
      <c r="I1688" s="272"/>
    </row>
    <row r="1689" spans="1:9" x14ac:dyDescent="0.3">
      <c r="A1689"/>
      <c r="F1689"/>
      <c r="G1689"/>
      <c r="I1689" s="272"/>
    </row>
    <row r="1690" spans="1:9" x14ac:dyDescent="0.3">
      <c r="A1690"/>
      <c r="F1690"/>
      <c r="G1690"/>
      <c r="I1690" s="272"/>
    </row>
    <row r="1691" spans="1:9" x14ac:dyDescent="0.3">
      <c r="A1691"/>
      <c r="F1691"/>
      <c r="G1691"/>
      <c r="I1691" s="272"/>
    </row>
    <row r="1692" spans="1:9" x14ac:dyDescent="0.3">
      <c r="A1692"/>
      <c r="F1692"/>
      <c r="G1692"/>
      <c r="I1692" s="272"/>
    </row>
    <row r="1693" spans="1:9" x14ac:dyDescent="0.3">
      <c r="A1693"/>
      <c r="F1693"/>
      <c r="G1693"/>
      <c r="I1693" s="272"/>
    </row>
    <row r="1694" spans="1:9" x14ac:dyDescent="0.3">
      <c r="A1694"/>
      <c r="F1694"/>
      <c r="G1694"/>
      <c r="I1694" s="272"/>
    </row>
    <row r="1695" spans="1:9" x14ac:dyDescent="0.3">
      <c r="A1695"/>
      <c r="F1695"/>
      <c r="G1695"/>
      <c r="I1695" s="272"/>
    </row>
    <row r="1696" spans="1:9" x14ac:dyDescent="0.3">
      <c r="A1696"/>
      <c r="F1696"/>
      <c r="G1696"/>
      <c r="I1696" s="272"/>
    </row>
    <row r="1697" spans="1:9" x14ac:dyDescent="0.3">
      <c r="A1697"/>
      <c r="F1697"/>
      <c r="G1697"/>
      <c r="I1697" s="272"/>
    </row>
    <row r="1698" spans="1:9" x14ac:dyDescent="0.3">
      <c r="A1698"/>
      <c r="F1698"/>
      <c r="G1698"/>
      <c r="I1698" s="272"/>
    </row>
    <row r="1699" spans="1:9" x14ac:dyDescent="0.3">
      <c r="A1699"/>
      <c r="F1699"/>
      <c r="G1699"/>
      <c r="I1699" s="272"/>
    </row>
    <row r="1700" spans="1:9" x14ac:dyDescent="0.3">
      <c r="A1700"/>
      <c r="F1700"/>
      <c r="G1700"/>
      <c r="I1700" s="272"/>
    </row>
    <row r="1701" spans="1:9" x14ac:dyDescent="0.3">
      <c r="A1701"/>
      <c r="F1701"/>
      <c r="G1701"/>
      <c r="I1701" s="272"/>
    </row>
    <row r="1702" spans="1:9" x14ac:dyDescent="0.3">
      <c r="A1702"/>
      <c r="F1702"/>
      <c r="G1702"/>
      <c r="I1702" s="272"/>
    </row>
    <row r="1703" spans="1:9" x14ac:dyDescent="0.3">
      <c r="A1703"/>
      <c r="F1703"/>
      <c r="G1703"/>
      <c r="I1703" s="272"/>
    </row>
    <row r="1704" spans="1:9" x14ac:dyDescent="0.3">
      <c r="A1704"/>
      <c r="F1704"/>
      <c r="G1704"/>
      <c r="I1704" s="272"/>
    </row>
    <row r="1705" spans="1:9" x14ac:dyDescent="0.3">
      <c r="A1705"/>
      <c r="F1705"/>
      <c r="G1705"/>
      <c r="I1705" s="272"/>
    </row>
    <row r="1706" spans="1:9" x14ac:dyDescent="0.3">
      <c r="A1706"/>
      <c r="F1706"/>
      <c r="G1706"/>
      <c r="I1706" s="272"/>
    </row>
    <row r="1707" spans="1:9" x14ac:dyDescent="0.3">
      <c r="A1707"/>
      <c r="F1707"/>
      <c r="G1707"/>
      <c r="I1707" s="272"/>
    </row>
    <row r="1708" spans="1:9" x14ac:dyDescent="0.3">
      <c r="A1708"/>
      <c r="F1708"/>
      <c r="G1708"/>
      <c r="I1708" s="272"/>
    </row>
    <row r="1709" spans="1:9" x14ac:dyDescent="0.3">
      <c r="A1709"/>
      <c r="F1709"/>
      <c r="G1709"/>
      <c r="I1709" s="272"/>
    </row>
    <row r="1710" spans="1:9" x14ac:dyDescent="0.3">
      <c r="A1710"/>
      <c r="F1710"/>
      <c r="G1710"/>
      <c r="I1710" s="272"/>
    </row>
    <row r="1711" spans="1:9" x14ac:dyDescent="0.3">
      <c r="A1711"/>
      <c r="F1711"/>
      <c r="G1711"/>
      <c r="I1711" s="272"/>
    </row>
    <row r="1712" spans="1:9" x14ac:dyDescent="0.3">
      <c r="A1712"/>
      <c r="F1712"/>
      <c r="G1712"/>
      <c r="I1712" s="272"/>
    </row>
    <row r="1713" spans="1:9" x14ac:dyDescent="0.3">
      <c r="A1713"/>
      <c r="F1713"/>
      <c r="G1713"/>
      <c r="I1713" s="272"/>
    </row>
    <row r="1714" spans="1:9" x14ac:dyDescent="0.3">
      <c r="A1714"/>
      <c r="F1714"/>
      <c r="G1714"/>
      <c r="I1714" s="272"/>
    </row>
    <row r="1715" spans="1:9" x14ac:dyDescent="0.3">
      <c r="A1715"/>
      <c r="F1715"/>
      <c r="G1715"/>
      <c r="I1715" s="272"/>
    </row>
    <row r="1716" spans="1:9" x14ac:dyDescent="0.3">
      <c r="A1716"/>
      <c r="F1716"/>
      <c r="G1716"/>
      <c r="I1716" s="272"/>
    </row>
    <row r="1717" spans="1:9" x14ac:dyDescent="0.3">
      <c r="A1717"/>
      <c r="F1717"/>
      <c r="G1717"/>
      <c r="I1717" s="272"/>
    </row>
    <row r="1718" spans="1:9" x14ac:dyDescent="0.3">
      <c r="A1718"/>
      <c r="F1718"/>
      <c r="G1718"/>
      <c r="I1718" s="272"/>
    </row>
    <row r="1719" spans="1:9" x14ac:dyDescent="0.3">
      <c r="A1719"/>
      <c r="F1719"/>
      <c r="G1719"/>
      <c r="I1719" s="272"/>
    </row>
    <row r="1720" spans="1:9" x14ac:dyDescent="0.3">
      <c r="A1720"/>
      <c r="F1720"/>
      <c r="G1720"/>
      <c r="I1720" s="272"/>
    </row>
    <row r="1721" spans="1:9" x14ac:dyDescent="0.3">
      <c r="A1721"/>
      <c r="F1721"/>
      <c r="G1721"/>
      <c r="I1721" s="272"/>
    </row>
    <row r="1722" spans="1:9" x14ac:dyDescent="0.3">
      <c r="A1722"/>
      <c r="F1722"/>
      <c r="G1722"/>
      <c r="I1722" s="272"/>
    </row>
    <row r="1723" spans="1:9" x14ac:dyDescent="0.3">
      <c r="A1723"/>
      <c r="F1723"/>
      <c r="G1723"/>
      <c r="I1723" s="272"/>
    </row>
    <row r="1724" spans="1:9" x14ac:dyDescent="0.3">
      <c r="A1724"/>
      <c r="F1724"/>
      <c r="G1724"/>
      <c r="I1724" s="272"/>
    </row>
    <row r="1725" spans="1:9" x14ac:dyDescent="0.3">
      <c r="A1725"/>
      <c r="F1725"/>
      <c r="G1725"/>
      <c r="I1725" s="272"/>
    </row>
    <row r="1726" spans="1:9" x14ac:dyDescent="0.3">
      <c r="A1726"/>
      <c r="F1726"/>
      <c r="G1726"/>
      <c r="I1726" s="272"/>
    </row>
    <row r="1727" spans="1:9" x14ac:dyDescent="0.3">
      <c r="A1727"/>
      <c r="F1727"/>
      <c r="G1727"/>
      <c r="I1727" s="272"/>
    </row>
    <row r="1728" spans="1:9" x14ac:dyDescent="0.3">
      <c r="A1728"/>
      <c r="F1728"/>
      <c r="G1728"/>
      <c r="I1728" s="272"/>
    </row>
    <row r="1729" spans="1:9" x14ac:dyDescent="0.3">
      <c r="A1729"/>
      <c r="F1729"/>
      <c r="G1729"/>
      <c r="I1729" s="272"/>
    </row>
    <row r="1730" spans="1:9" x14ac:dyDescent="0.3">
      <c r="A1730"/>
      <c r="F1730"/>
      <c r="G1730"/>
      <c r="I1730" s="272"/>
    </row>
    <row r="1731" spans="1:9" x14ac:dyDescent="0.3">
      <c r="A1731"/>
      <c r="F1731"/>
      <c r="G1731"/>
      <c r="I1731" s="272"/>
    </row>
    <row r="1732" spans="1:9" x14ac:dyDescent="0.3">
      <c r="A1732"/>
      <c r="F1732"/>
      <c r="G1732"/>
      <c r="I1732" s="272"/>
    </row>
    <row r="1733" spans="1:9" x14ac:dyDescent="0.3">
      <c r="A1733"/>
      <c r="F1733"/>
      <c r="G1733"/>
      <c r="I1733" s="272"/>
    </row>
    <row r="1734" spans="1:9" x14ac:dyDescent="0.3">
      <c r="A1734"/>
      <c r="F1734"/>
      <c r="G1734"/>
      <c r="I1734" s="272"/>
    </row>
    <row r="1735" spans="1:9" x14ac:dyDescent="0.3">
      <c r="A1735"/>
      <c r="F1735"/>
      <c r="G1735"/>
      <c r="I1735" s="272"/>
    </row>
    <row r="1736" spans="1:9" x14ac:dyDescent="0.3">
      <c r="A1736"/>
      <c r="F1736"/>
      <c r="G1736"/>
      <c r="I1736" s="272"/>
    </row>
    <row r="1737" spans="1:9" x14ac:dyDescent="0.3">
      <c r="A1737"/>
      <c r="F1737"/>
      <c r="G1737"/>
      <c r="I1737" s="272"/>
    </row>
    <row r="1738" spans="1:9" x14ac:dyDescent="0.3">
      <c r="A1738"/>
      <c r="F1738"/>
      <c r="G1738"/>
      <c r="I1738" s="272"/>
    </row>
    <row r="1739" spans="1:9" x14ac:dyDescent="0.3">
      <c r="A1739"/>
      <c r="F1739"/>
      <c r="G1739"/>
      <c r="I1739" s="272"/>
    </row>
    <row r="1740" spans="1:9" x14ac:dyDescent="0.3">
      <c r="A1740"/>
      <c r="F1740"/>
      <c r="G1740"/>
      <c r="I1740" s="272"/>
    </row>
    <row r="1741" spans="1:9" x14ac:dyDescent="0.3">
      <c r="A1741"/>
      <c r="F1741"/>
      <c r="G1741"/>
      <c r="I1741" s="272"/>
    </row>
    <row r="1742" spans="1:9" x14ac:dyDescent="0.3">
      <c r="A1742"/>
      <c r="F1742"/>
      <c r="G1742"/>
      <c r="I1742" s="272"/>
    </row>
    <row r="1743" spans="1:9" x14ac:dyDescent="0.3">
      <c r="A1743"/>
      <c r="F1743"/>
      <c r="G1743"/>
      <c r="I1743" s="272"/>
    </row>
    <row r="1744" spans="1:9" x14ac:dyDescent="0.3">
      <c r="A1744"/>
      <c r="F1744"/>
      <c r="G1744"/>
      <c r="I1744" s="272"/>
    </row>
    <row r="1745" spans="1:9" x14ac:dyDescent="0.3">
      <c r="A1745"/>
      <c r="F1745"/>
      <c r="G1745"/>
      <c r="I1745" s="272"/>
    </row>
    <row r="1746" spans="1:9" x14ac:dyDescent="0.3">
      <c r="A1746"/>
      <c r="F1746"/>
      <c r="G1746"/>
      <c r="I1746" s="272"/>
    </row>
    <row r="1747" spans="1:9" x14ac:dyDescent="0.3">
      <c r="A1747"/>
      <c r="F1747"/>
      <c r="G1747"/>
      <c r="I1747" s="272"/>
    </row>
    <row r="1748" spans="1:9" x14ac:dyDescent="0.3">
      <c r="A1748"/>
      <c r="F1748"/>
      <c r="G1748"/>
      <c r="I1748" s="272"/>
    </row>
    <row r="1749" spans="1:9" x14ac:dyDescent="0.3">
      <c r="A1749"/>
      <c r="F1749"/>
      <c r="G1749"/>
      <c r="I1749" s="272"/>
    </row>
    <row r="1750" spans="1:9" x14ac:dyDescent="0.3">
      <c r="A1750"/>
      <c r="F1750"/>
      <c r="G1750"/>
      <c r="I1750" s="272"/>
    </row>
    <row r="1751" spans="1:9" x14ac:dyDescent="0.3">
      <c r="A1751"/>
      <c r="F1751"/>
      <c r="G1751"/>
      <c r="I1751" s="272"/>
    </row>
    <row r="1752" spans="1:9" x14ac:dyDescent="0.3">
      <c r="A1752"/>
      <c r="F1752"/>
      <c r="G1752"/>
      <c r="I1752" s="272"/>
    </row>
    <row r="1753" spans="1:9" x14ac:dyDescent="0.3">
      <c r="A1753"/>
      <c r="F1753"/>
      <c r="G1753"/>
      <c r="I1753" s="272"/>
    </row>
    <row r="1754" spans="1:9" x14ac:dyDescent="0.3">
      <c r="A1754"/>
      <c r="F1754"/>
      <c r="G1754"/>
      <c r="I1754" s="272"/>
    </row>
    <row r="1755" spans="1:9" x14ac:dyDescent="0.3">
      <c r="A1755"/>
      <c r="F1755"/>
      <c r="G1755"/>
      <c r="I1755" s="272"/>
    </row>
    <row r="1756" spans="1:9" x14ac:dyDescent="0.3">
      <c r="A1756"/>
      <c r="F1756"/>
      <c r="G1756"/>
      <c r="I1756" s="272"/>
    </row>
    <row r="1757" spans="1:9" x14ac:dyDescent="0.3">
      <c r="A1757"/>
      <c r="F1757"/>
      <c r="G1757"/>
      <c r="I1757" s="272"/>
    </row>
    <row r="1758" spans="1:9" x14ac:dyDescent="0.3">
      <c r="A1758"/>
      <c r="F1758"/>
      <c r="G1758"/>
      <c r="I1758" s="272"/>
    </row>
    <row r="1759" spans="1:9" x14ac:dyDescent="0.3">
      <c r="A1759"/>
      <c r="F1759"/>
      <c r="G1759"/>
      <c r="I1759" s="272"/>
    </row>
    <row r="1760" spans="1:9" x14ac:dyDescent="0.3">
      <c r="A1760"/>
      <c r="F1760"/>
      <c r="G1760"/>
      <c r="I1760" s="272"/>
    </row>
    <row r="1761" spans="1:12" x14ac:dyDescent="0.3">
      <c r="A1761"/>
      <c r="F1761"/>
      <c r="G1761"/>
      <c r="I1761" s="272"/>
    </row>
    <row r="1762" spans="1:12" x14ac:dyDescent="0.3">
      <c r="A1762"/>
      <c r="F1762"/>
      <c r="G1762"/>
      <c r="I1762" s="272"/>
    </row>
    <row r="1763" spans="1:12" x14ac:dyDescent="0.3">
      <c r="A1763"/>
      <c r="F1763"/>
      <c r="G1763"/>
      <c r="I1763" s="272"/>
    </row>
    <row r="1764" spans="1:12" x14ac:dyDescent="0.3">
      <c r="A1764"/>
      <c r="F1764"/>
      <c r="G1764"/>
      <c r="I1764" s="272"/>
    </row>
    <row r="1765" spans="1:12" x14ac:dyDescent="0.3">
      <c r="A1765"/>
      <c r="F1765"/>
      <c r="G1765"/>
      <c r="I1765" s="272"/>
    </row>
    <row r="1766" spans="1:12" x14ac:dyDescent="0.3">
      <c r="A1766"/>
      <c r="F1766"/>
      <c r="G1766"/>
      <c r="I1766" s="272"/>
    </row>
    <row r="1767" spans="1:12" x14ac:dyDescent="0.3">
      <c r="A1767"/>
      <c r="F1767"/>
      <c r="G1767"/>
      <c r="I1767" s="272"/>
    </row>
    <row r="1768" spans="1:12" x14ac:dyDescent="0.3">
      <c r="A1768"/>
      <c r="F1768"/>
      <c r="G1768"/>
      <c r="I1768" s="272"/>
    </row>
    <row r="1769" spans="1:12" x14ac:dyDescent="0.3">
      <c r="A1769"/>
      <c r="F1769"/>
      <c r="G1769"/>
      <c r="I1769" s="272"/>
    </row>
    <row r="1770" spans="1:12" x14ac:dyDescent="0.3">
      <c r="A1770"/>
      <c r="F1770"/>
      <c r="G1770"/>
      <c r="I1770" s="272"/>
      <c r="L1770" t="s">
        <v>472</v>
      </c>
    </row>
    <row r="1771" spans="1:12" x14ac:dyDescent="0.3">
      <c r="A1771"/>
      <c r="F1771"/>
      <c r="G1771"/>
      <c r="I1771" s="272"/>
    </row>
    <row r="1772" spans="1:12" x14ac:dyDescent="0.3">
      <c r="A1772"/>
      <c r="F1772"/>
      <c r="G1772"/>
      <c r="I1772" s="272"/>
      <c r="K1772">
        <v>3828</v>
      </c>
    </row>
    <row r="1773" spans="1:12" x14ac:dyDescent="0.3">
      <c r="A1773"/>
      <c r="F1773"/>
      <c r="G1773"/>
      <c r="I1773" s="272"/>
      <c r="K1773">
        <v>21999.84</v>
      </c>
    </row>
    <row r="1774" spans="1:12" x14ac:dyDescent="0.3">
      <c r="A1774"/>
      <c r="F1774"/>
      <c r="G1774"/>
      <c r="I1774" s="272"/>
      <c r="K1774">
        <v>16499.879999999997</v>
      </c>
    </row>
    <row r="1775" spans="1:12" x14ac:dyDescent="0.3">
      <c r="A1775"/>
      <c r="F1775"/>
      <c r="G1775"/>
      <c r="I1775" s="272"/>
      <c r="K1775">
        <v>19199.987999999998</v>
      </c>
    </row>
    <row r="1776" spans="1:12" x14ac:dyDescent="0.3">
      <c r="A1776"/>
      <c r="F1776"/>
      <c r="G1776"/>
      <c r="I1776" s="272"/>
      <c r="K1776">
        <v>840</v>
      </c>
    </row>
    <row r="1777" spans="1:11" x14ac:dyDescent="0.3">
      <c r="A1777"/>
      <c r="F1777"/>
      <c r="G1777"/>
      <c r="I1777" s="272"/>
      <c r="K1777">
        <v>5610</v>
      </c>
    </row>
    <row r="1778" spans="1:11" x14ac:dyDescent="0.3">
      <c r="A1778"/>
      <c r="F1778"/>
      <c r="G1778"/>
      <c r="I1778" s="272"/>
    </row>
    <row r="1779" spans="1:11" x14ac:dyDescent="0.3">
      <c r="A1779"/>
      <c r="F1779"/>
      <c r="G1779"/>
      <c r="I1779" s="272"/>
    </row>
    <row r="1780" spans="1:11" x14ac:dyDescent="0.3">
      <c r="A1780"/>
      <c r="F1780"/>
      <c r="G1780"/>
      <c r="I1780" s="272"/>
      <c r="K1780">
        <v>6540</v>
      </c>
    </row>
    <row r="1781" spans="1:11" x14ac:dyDescent="0.3">
      <c r="A1781"/>
      <c r="F1781"/>
      <c r="G1781"/>
      <c r="I1781" s="272"/>
    </row>
    <row r="1782" spans="1:11" x14ac:dyDescent="0.3">
      <c r="A1782"/>
      <c r="F1782"/>
      <c r="G1782"/>
      <c r="I1782" s="272"/>
      <c r="K1782">
        <v>624</v>
      </c>
    </row>
    <row r="1783" spans="1:11" x14ac:dyDescent="0.3">
      <c r="A1783"/>
      <c r="F1783"/>
      <c r="G1783"/>
      <c r="I1783" s="272"/>
      <c r="K1783">
        <v>456</v>
      </c>
    </row>
    <row r="1784" spans="1:11" x14ac:dyDescent="0.3">
      <c r="A1784"/>
      <c r="F1784"/>
      <c r="G1784"/>
      <c r="I1784" s="272"/>
      <c r="K1784">
        <v>840</v>
      </c>
    </row>
    <row r="1785" spans="1:11" x14ac:dyDescent="0.3">
      <c r="A1785"/>
      <c r="F1785"/>
      <c r="G1785"/>
      <c r="I1785" s="272"/>
      <c r="K1785">
        <v>12030</v>
      </c>
    </row>
    <row r="1786" spans="1:11" x14ac:dyDescent="0.3">
      <c r="A1786"/>
      <c r="F1786"/>
      <c r="G1786"/>
      <c r="I1786" s="272"/>
    </row>
    <row r="1787" spans="1:11" x14ac:dyDescent="0.3">
      <c r="A1787"/>
      <c r="F1787"/>
      <c r="G1787"/>
      <c r="I1787" s="272"/>
    </row>
    <row r="1788" spans="1:11" x14ac:dyDescent="0.3">
      <c r="A1788"/>
      <c r="F1788"/>
      <c r="G1788"/>
      <c r="I1788" s="272"/>
    </row>
    <row r="1789" spans="1:11" x14ac:dyDescent="0.3">
      <c r="A1789"/>
      <c r="F1789"/>
      <c r="G1789"/>
      <c r="I1789" s="272"/>
      <c r="K1789">
        <v>10094.4</v>
      </c>
    </row>
    <row r="1790" spans="1:11" x14ac:dyDescent="0.3">
      <c r="A1790"/>
      <c r="F1790"/>
      <c r="G1790"/>
      <c r="I1790" s="272"/>
      <c r="K1790">
        <v>8720.4</v>
      </c>
    </row>
    <row r="1791" spans="1:11" x14ac:dyDescent="0.3">
      <c r="A1791"/>
      <c r="F1791"/>
      <c r="G1791"/>
      <c r="I1791" s="272"/>
    </row>
    <row r="1792" spans="1:11" x14ac:dyDescent="0.3">
      <c r="A1792"/>
      <c r="F1792"/>
      <c r="G1792"/>
      <c r="I1792" s="272"/>
    </row>
    <row r="1793" spans="1:11" x14ac:dyDescent="0.3">
      <c r="A1793"/>
      <c r="F1793"/>
      <c r="G1793"/>
      <c r="I1793" s="272"/>
      <c r="K1793">
        <v>9920.4240000000009</v>
      </c>
    </row>
    <row r="1794" spans="1:11" x14ac:dyDescent="0.3">
      <c r="A1794"/>
      <c r="F1794"/>
      <c r="G1794"/>
      <c r="I1794" s="272"/>
    </row>
    <row r="1795" spans="1:11" x14ac:dyDescent="0.3">
      <c r="A1795"/>
      <c r="F1795"/>
      <c r="G1795"/>
      <c r="I1795" s="272"/>
    </row>
    <row r="1796" spans="1:11" x14ac:dyDescent="0.3">
      <c r="A1796"/>
      <c r="F1796"/>
      <c r="G1796"/>
      <c r="I1796" s="272"/>
      <c r="K1796">
        <v>662.4</v>
      </c>
    </row>
    <row r="1797" spans="1:11" x14ac:dyDescent="0.3">
      <c r="A1797"/>
      <c r="F1797"/>
      <c r="G1797"/>
      <c r="I1797" s="272"/>
      <c r="K1797">
        <v>11298</v>
      </c>
    </row>
    <row r="1798" spans="1:11" x14ac:dyDescent="0.3">
      <c r="A1798"/>
      <c r="F1798"/>
      <c r="G1798"/>
      <c r="I1798" s="272"/>
      <c r="K1798">
        <v>399.99999999999955</v>
      </c>
    </row>
    <row r="1799" spans="1:11" x14ac:dyDescent="0.3">
      <c r="A1799"/>
      <c r="F1799"/>
      <c r="G1799"/>
      <c r="I1799" s="272"/>
      <c r="K1799">
        <v>761.49599999999998</v>
      </c>
    </row>
    <row r="1800" spans="1:11" x14ac:dyDescent="0.3">
      <c r="A1800"/>
      <c r="F1800"/>
      <c r="G1800"/>
      <c r="I1800" s="272"/>
    </row>
    <row r="1801" spans="1:11" x14ac:dyDescent="0.3">
      <c r="A1801"/>
      <c r="F1801"/>
      <c r="G1801"/>
      <c r="I1801" s="272"/>
    </row>
    <row r="1802" spans="1:11" x14ac:dyDescent="0.3">
      <c r="A1802"/>
      <c r="F1802"/>
      <c r="G1802"/>
      <c r="I1802" s="272"/>
      <c r="K1802">
        <v>337.5</v>
      </c>
    </row>
    <row r="1803" spans="1:11" x14ac:dyDescent="0.3">
      <c r="A1803"/>
      <c r="F1803"/>
      <c r="G1803"/>
      <c r="I1803" s="272"/>
      <c r="K1803">
        <v>1869.9999995999999</v>
      </c>
    </row>
    <row r="1804" spans="1:11" x14ac:dyDescent="0.3">
      <c r="A1804"/>
      <c r="F1804"/>
      <c r="G1804"/>
      <c r="I1804" s="272"/>
    </row>
    <row r="1805" spans="1:11" x14ac:dyDescent="0.3">
      <c r="A1805"/>
      <c r="F1805"/>
      <c r="G1805"/>
      <c r="I1805" s="272"/>
      <c r="K1805">
        <v>2707.5</v>
      </c>
    </row>
    <row r="1806" spans="1:11" x14ac:dyDescent="0.3">
      <c r="A1806"/>
      <c r="F1806"/>
      <c r="G1806"/>
      <c r="I1806" s="272"/>
    </row>
    <row r="1807" spans="1:11" x14ac:dyDescent="0.3">
      <c r="A1807"/>
      <c r="F1807"/>
      <c r="G1807"/>
      <c r="I1807" s="272"/>
      <c r="K1807">
        <v>350.00000000099999</v>
      </c>
    </row>
    <row r="1808" spans="1:11" x14ac:dyDescent="0.3">
      <c r="A1808"/>
      <c r="F1808"/>
      <c r="G1808"/>
      <c r="I1808" s="272"/>
    </row>
    <row r="1809" spans="1:11" x14ac:dyDescent="0.3">
      <c r="A1809"/>
      <c r="F1809"/>
      <c r="G1809"/>
      <c r="I1809" s="272"/>
      <c r="K1809">
        <v>1989.9999959999998</v>
      </c>
    </row>
    <row r="1810" spans="1:11" x14ac:dyDescent="0.3">
      <c r="A1810"/>
      <c r="F1810"/>
      <c r="G1810"/>
      <c r="I1810" s="272"/>
      <c r="K1810">
        <v>585</v>
      </c>
    </row>
    <row r="1811" spans="1:11" x14ac:dyDescent="0.3">
      <c r="A1811"/>
      <c r="F1811"/>
      <c r="G1811"/>
      <c r="I1811" s="272"/>
      <c r="K1811">
        <v>1746</v>
      </c>
    </row>
    <row r="1812" spans="1:11" x14ac:dyDescent="0.3">
      <c r="A1812"/>
      <c r="F1812"/>
      <c r="G1812"/>
      <c r="I1812" s="272"/>
      <c r="K1812">
        <v>1059.9999995999999</v>
      </c>
    </row>
    <row r="1813" spans="1:11" x14ac:dyDescent="0.3">
      <c r="A1813"/>
      <c r="F1813"/>
      <c r="G1813"/>
      <c r="I1813" s="272"/>
    </row>
    <row r="1814" spans="1:11" x14ac:dyDescent="0.3">
      <c r="A1814"/>
      <c r="F1814"/>
      <c r="G1814"/>
      <c r="I1814" s="272"/>
      <c r="K1814">
        <v>324.99599999999998</v>
      </c>
    </row>
    <row r="1815" spans="1:11" x14ac:dyDescent="0.3">
      <c r="A1815"/>
      <c r="F1815"/>
      <c r="G1815"/>
      <c r="I1815" s="272"/>
      <c r="K1815">
        <v>4320</v>
      </c>
    </row>
    <row r="1816" spans="1:11" x14ac:dyDescent="0.3">
      <c r="A1816"/>
      <c r="F1816"/>
      <c r="G1816"/>
      <c r="I1816" s="272"/>
      <c r="K1816">
        <v>3612</v>
      </c>
    </row>
    <row r="1817" spans="1:11" x14ac:dyDescent="0.3">
      <c r="A1817"/>
      <c r="F1817"/>
      <c r="G1817"/>
      <c r="I1817" s="272"/>
    </row>
    <row r="1818" spans="1:11" x14ac:dyDescent="0.3">
      <c r="A1818"/>
      <c r="F1818"/>
      <c r="G1818"/>
      <c r="I1818" s="272"/>
      <c r="K1818">
        <v>852</v>
      </c>
    </row>
    <row r="1819" spans="1:11" x14ac:dyDescent="0.3">
      <c r="A1819"/>
      <c r="F1819"/>
      <c r="G1819"/>
      <c r="I1819" s="272"/>
    </row>
    <row r="1820" spans="1:11" x14ac:dyDescent="0.3">
      <c r="A1820"/>
      <c r="F1820"/>
      <c r="G1820"/>
      <c r="I1820" s="272"/>
      <c r="K1820">
        <v>420</v>
      </c>
    </row>
    <row r="1821" spans="1:11" x14ac:dyDescent="0.3">
      <c r="A1821"/>
      <c r="F1821"/>
      <c r="G1821"/>
      <c r="I1821" s="272"/>
      <c r="K1821">
        <v>31376.171999999999</v>
      </c>
    </row>
    <row r="1822" spans="1:11" x14ac:dyDescent="0.3">
      <c r="A1822"/>
      <c r="F1822"/>
      <c r="G1822"/>
      <c r="I1822" s="272"/>
    </row>
    <row r="1823" spans="1:11" x14ac:dyDescent="0.3">
      <c r="A1823"/>
      <c r="F1823"/>
      <c r="G1823"/>
      <c r="I1823" s="272"/>
    </row>
    <row r="1824" spans="1:11" x14ac:dyDescent="0.3">
      <c r="A1824"/>
      <c r="F1824"/>
      <c r="G1824"/>
      <c r="I1824" s="272"/>
    </row>
    <row r="1825" spans="1:11" x14ac:dyDescent="0.3">
      <c r="A1825"/>
      <c r="F1825"/>
      <c r="G1825"/>
      <c r="I1825" s="272"/>
    </row>
    <row r="1826" spans="1:11" x14ac:dyDescent="0.3">
      <c r="A1826"/>
      <c r="F1826"/>
      <c r="G1826"/>
      <c r="I1826" s="272"/>
    </row>
    <row r="1827" spans="1:11" x14ac:dyDescent="0.3">
      <c r="A1827"/>
      <c r="F1827"/>
      <c r="G1827"/>
      <c r="I1827" s="272"/>
    </row>
    <row r="1828" spans="1:11" x14ac:dyDescent="0.3">
      <c r="A1828"/>
      <c r="F1828"/>
      <c r="G1828"/>
      <c r="I1828" s="272"/>
    </row>
    <row r="1829" spans="1:11" x14ac:dyDescent="0.3">
      <c r="A1829"/>
      <c r="F1829"/>
      <c r="G1829"/>
      <c r="I1829" s="272"/>
    </row>
    <row r="1830" spans="1:11" x14ac:dyDescent="0.3">
      <c r="A1830"/>
      <c r="F1830"/>
      <c r="G1830"/>
      <c r="I1830" s="272"/>
    </row>
    <row r="1831" spans="1:11" x14ac:dyDescent="0.3">
      <c r="A1831"/>
      <c r="F1831"/>
      <c r="G1831"/>
      <c r="I1831" s="272"/>
      <c r="K1831">
        <v>8070</v>
      </c>
    </row>
    <row r="1832" spans="1:11" x14ac:dyDescent="0.3">
      <c r="A1832"/>
      <c r="F1832"/>
      <c r="G1832"/>
      <c r="I1832" s="272"/>
      <c r="K1832">
        <v>1260</v>
      </c>
    </row>
    <row r="1833" spans="1:11" x14ac:dyDescent="0.3">
      <c r="A1833"/>
      <c r="F1833"/>
      <c r="G1833"/>
      <c r="I1833" s="272"/>
    </row>
    <row r="1834" spans="1:11" x14ac:dyDescent="0.3">
      <c r="A1834"/>
      <c r="F1834"/>
      <c r="G1834"/>
      <c r="I1834" s="272"/>
      <c r="K1834">
        <v>384</v>
      </c>
    </row>
    <row r="1835" spans="1:11" x14ac:dyDescent="0.3">
      <c r="A1835"/>
      <c r="F1835"/>
      <c r="G1835"/>
      <c r="I1835" s="272"/>
      <c r="K1835">
        <v>4563.0360000000001</v>
      </c>
    </row>
    <row r="1836" spans="1:11" x14ac:dyDescent="0.3">
      <c r="A1836"/>
      <c r="F1836"/>
      <c r="G1836"/>
      <c r="I1836" s="272"/>
    </row>
    <row r="1837" spans="1:11" x14ac:dyDescent="0.3">
      <c r="A1837"/>
      <c r="F1837"/>
      <c r="G1837"/>
      <c r="I1837" s="272"/>
    </row>
    <row r="1838" spans="1:11" x14ac:dyDescent="0.3">
      <c r="A1838"/>
      <c r="F1838"/>
      <c r="G1838"/>
      <c r="I1838" s="272"/>
    </row>
    <row r="1839" spans="1:11" x14ac:dyDescent="0.3">
      <c r="A1839"/>
      <c r="F1839"/>
      <c r="G1839"/>
      <c r="I1839" s="272"/>
    </row>
    <row r="1840" spans="1:11" x14ac:dyDescent="0.3">
      <c r="A1840"/>
      <c r="F1840"/>
      <c r="G1840"/>
      <c r="I1840" s="272"/>
    </row>
    <row r="1841" spans="1:11" x14ac:dyDescent="0.3">
      <c r="A1841"/>
      <c r="F1841"/>
      <c r="G1841"/>
      <c r="I1841" s="272"/>
      <c r="K1841">
        <v>750.12</v>
      </c>
    </row>
    <row r="1842" spans="1:11" x14ac:dyDescent="0.3">
      <c r="A1842"/>
      <c r="F1842"/>
      <c r="G1842"/>
      <c r="I1842" s="272"/>
    </row>
    <row r="1843" spans="1:11" x14ac:dyDescent="0.3">
      <c r="A1843"/>
      <c r="F1843"/>
      <c r="G1843"/>
      <c r="I1843" s="272"/>
    </row>
    <row r="1844" spans="1:11" x14ac:dyDescent="0.3">
      <c r="A1844"/>
      <c r="F1844"/>
      <c r="G1844"/>
      <c r="I1844" s="272"/>
    </row>
    <row r="1845" spans="1:11" x14ac:dyDescent="0.3">
      <c r="A1845"/>
      <c r="F1845"/>
      <c r="G1845"/>
      <c r="I1845" s="272"/>
      <c r="K1845">
        <v>4800</v>
      </c>
    </row>
    <row r="1846" spans="1:11" x14ac:dyDescent="0.3">
      <c r="A1846"/>
      <c r="F1846"/>
      <c r="G1846"/>
      <c r="I1846" s="272"/>
      <c r="K1846">
        <v>10975.199999999999</v>
      </c>
    </row>
    <row r="1847" spans="1:11" x14ac:dyDescent="0.3">
      <c r="A1847"/>
      <c r="F1847"/>
      <c r="G1847"/>
      <c r="I1847" s="272"/>
      <c r="K1847">
        <v>1627.2</v>
      </c>
    </row>
    <row r="1848" spans="1:11" x14ac:dyDescent="0.3">
      <c r="A1848"/>
      <c r="F1848"/>
      <c r="G1848"/>
      <c r="I1848" s="272"/>
      <c r="K1848">
        <v>249.99959999999999</v>
      </c>
    </row>
    <row r="1849" spans="1:11" x14ac:dyDescent="0.3">
      <c r="A1849"/>
      <c r="F1849"/>
      <c r="G1849"/>
      <c r="I1849" s="272"/>
      <c r="K1849">
        <v>1200</v>
      </c>
    </row>
    <row r="1850" spans="1:11" x14ac:dyDescent="0.3">
      <c r="A1850"/>
      <c r="F1850"/>
      <c r="G1850"/>
      <c r="I1850" s="272"/>
    </row>
    <row r="1851" spans="1:11" x14ac:dyDescent="0.3">
      <c r="A1851"/>
      <c r="F1851"/>
      <c r="G1851"/>
      <c r="I1851" s="272"/>
      <c r="K1851">
        <v>541.43999999999994</v>
      </c>
    </row>
    <row r="1852" spans="1:11" x14ac:dyDescent="0.3">
      <c r="A1852"/>
      <c r="F1852"/>
      <c r="G1852"/>
      <c r="I1852" s="272"/>
      <c r="K1852">
        <v>887.84039999999993</v>
      </c>
    </row>
    <row r="1853" spans="1:11" x14ac:dyDescent="0.3">
      <c r="A1853"/>
      <c r="F1853"/>
      <c r="G1853"/>
      <c r="I1853" s="272"/>
    </row>
    <row r="1854" spans="1:11" x14ac:dyDescent="0.3">
      <c r="A1854"/>
      <c r="F1854"/>
      <c r="G1854"/>
      <c r="I1854" s="272"/>
      <c r="K1854">
        <v>541.43999999999994</v>
      </c>
    </row>
    <row r="1855" spans="1:11" x14ac:dyDescent="0.3">
      <c r="A1855"/>
      <c r="F1855"/>
      <c r="G1855"/>
      <c r="I1855" s="272"/>
      <c r="K1855">
        <v>327.37559999999996</v>
      </c>
    </row>
    <row r="1856" spans="1:11" x14ac:dyDescent="0.3">
      <c r="A1856"/>
      <c r="F1856"/>
      <c r="G1856"/>
      <c r="I1856" s="272"/>
      <c r="K1856">
        <v>1262.4959999999999</v>
      </c>
    </row>
    <row r="1857" spans="1:11" x14ac:dyDescent="0.3">
      <c r="A1857"/>
      <c r="F1857"/>
      <c r="G1857"/>
      <c r="I1857" s="272"/>
    </row>
    <row r="1858" spans="1:11" x14ac:dyDescent="0.3">
      <c r="A1858"/>
      <c r="F1858"/>
      <c r="G1858"/>
      <c r="I1858" s="272"/>
      <c r="K1858">
        <v>270.71999999999997</v>
      </c>
    </row>
    <row r="1859" spans="1:11" x14ac:dyDescent="0.3">
      <c r="A1859"/>
      <c r="F1859"/>
      <c r="G1859"/>
      <c r="I1859" s="272"/>
      <c r="K1859">
        <v>337.5</v>
      </c>
    </row>
    <row r="1860" spans="1:11" x14ac:dyDescent="0.3">
      <c r="A1860"/>
      <c r="F1860"/>
      <c r="G1860"/>
      <c r="I1860" s="272"/>
      <c r="K1860">
        <v>1081.44</v>
      </c>
    </row>
    <row r="1861" spans="1:11" x14ac:dyDescent="0.3">
      <c r="A1861"/>
      <c r="F1861"/>
      <c r="G1861"/>
      <c r="I1861" s="272"/>
    </row>
    <row r="1862" spans="1:11" x14ac:dyDescent="0.3">
      <c r="A1862"/>
      <c r="F1862"/>
      <c r="G1862"/>
      <c r="I1862" s="272"/>
    </row>
    <row r="1863" spans="1:11" x14ac:dyDescent="0.3">
      <c r="A1863"/>
      <c r="F1863"/>
      <c r="G1863"/>
      <c r="I1863" s="272"/>
    </row>
    <row r="1864" spans="1:11" x14ac:dyDescent="0.3">
      <c r="A1864"/>
      <c r="F1864"/>
      <c r="G1864"/>
      <c r="I1864" s="272"/>
      <c r="K1864">
        <v>10149.995999999999</v>
      </c>
    </row>
    <row r="1865" spans="1:11" x14ac:dyDescent="0.3">
      <c r="A1865"/>
      <c r="F1865"/>
      <c r="G1865"/>
      <c r="I1865" s="272"/>
    </row>
    <row r="1866" spans="1:11" x14ac:dyDescent="0.3">
      <c r="A1866"/>
      <c r="F1866"/>
      <c r="G1866"/>
      <c r="I1866" s="272"/>
    </row>
    <row r="1867" spans="1:11" x14ac:dyDescent="0.3">
      <c r="A1867"/>
      <c r="F1867"/>
      <c r="G1867"/>
      <c r="I1867" s="272"/>
    </row>
    <row r="1868" spans="1:11" x14ac:dyDescent="0.3">
      <c r="A1868"/>
      <c r="F1868"/>
      <c r="G1868"/>
      <c r="I1868" s="272"/>
    </row>
    <row r="1869" spans="1:11" x14ac:dyDescent="0.3">
      <c r="A1869"/>
      <c r="F1869"/>
      <c r="G1869"/>
      <c r="I1869" s="272"/>
    </row>
    <row r="1870" spans="1:11" x14ac:dyDescent="0.3">
      <c r="A1870"/>
      <c r="F1870"/>
      <c r="G1870"/>
      <c r="I1870" s="272"/>
    </row>
    <row r="1871" spans="1:11" x14ac:dyDescent="0.3">
      <c r="A1871"/>
      <c r="F1871"/>
      <c r="G1871"/>
      <c r="I1871" s="272"/>
    </row>
    <row r="1872" spans="1:11" x14ac:dyDescent="0.3">
      <c r="A1872"/>
      <c r="F1872"/>
      <c r="G1872"/>
      <c r="I1872" s="272"/>
    </row>
    <row r="1873" spans="1:9" x14ac:dyDescent="0.3">
      <c r="A1873"/>
      <c r="F1873"/>
      <c r="G1873"/>
      <c r="I1873" s="272"/>
    </row>
    <row r="1874" spans="1:9" x14ac:dyDescent="0.3">
      <c r="A1874"/>
      <c r="F1874"/>
      <c r="G1874"/>
      <c r="I1874" s="272"/>
    </row>
    <row r="1875" spans="1:9" x14ac:dyDescent="0.3">
      <c r="A1875"/>
      <c r="F1875"/>
      <c r="G1875"/>
      <c r="I1875" s="272"/>
    </row>
    <row r="1876" spans="1:9" x14ac:dyDescent="0.3">
      <c r="A1876"/>
      <c r="F1876"/>
      <c r="G1876"/>
      <c r="I1876" s="272"/>
    </row>
    <row r="1877" spans="1:9" x14ac:dyDescent="0.3">
      <c r="A1877"/>
      <c r="F1877"/>
      <c r="G1877"/>
      <c r="I1877" s="272"/>
    </row>
    <row r="1878" spans="1:9" x14ac:dyDescent="0.3">
      <c r="A1878"/>
      <c r="F1878"/>
      <c r="G1878"/>
      <c r="I1878" s="272"/>
    </row>
    <row r="1879" spans="1:9" x14ac:dyDescent="0.3">
      <c r="A1879"/>
      <c r="F1879"/>
      <c r="G1879"/>
      <c r="I1879" s="272"/>
    </row>
    <row r="1880" spans="1:9" x14ac:dyDescent="0.3">
      <c r="A1880"/>
      <c r="F1880"/>
      <c r="G1880"/>
      <c r="I1880" s="272"/>
    </row>
    <row r="1881" spans="1:9" x14ac:dyDescent="0.3">
      <c r="A1881"/>
      <c r="F1881"/>
      <c r="G1881"/>
      <c r="I1881" s="272"/>
    </row>
    <row r="1882" spans="1:9" x14ac:dyDescent="0.3">
      <c r="A1882"/>
      <c r="F1882"/>
      <c r="G1882"/>
      <c r="I1882" s="272"/>
    </row>
    <row r="1883" spans="1:9" x14ac:dyDescent="0.3">
      <c r="A1883"/>
      <c r="F1883"/>
      <c r="G1883"/>
      <c r="I1883" s="272"/>
    </row>
    <row r="1884" spans="1:9" x14ac:dyDescent="0.3">
      <c r="A1884"/>
      <c r="F1884"/>
      <c r="G1884"/>
      <c r="I1884" s="272"/>
    </row>
    <row r="1885" spans="1:9" x14ac:dyDescent="0.3">
      <c r="A1885"/>
      <c r="F1885"/>
      <c r="G1885"/>
      <c r="I1885" s="272"/>
    </row>
    <row r="1886" spans="1:9" x14ac:dyDescent="0.3">
      <c r="A1886"/>
      <c r="F1886"/>
      <c r="G1886"/>
      <c r="I1886" s="272"/>
    </row>
    <row r="1887" spans="1:9" x14ac:dyDescent="0.3">
      <c r="A1887"/>
      <c r="F1887"/>
      <c r="G1887"/>
      <c r="I1887" s="272"/>
    </row>
    <row r="1888" spans="1:9" x14ac:dyDescent="0.3">
      <c r="A1888"/>
      <c r="F1888"/>
      <c r="G1888"/>
      <c r="I1888" s="272"/>
    </row>
    <row r="1889" spans="1:9" x14ac:dyDescent="0.3">
      <c r="A1889"/>
      <c r="F1889"/>
      <c r="G1889"/>
      <c r="I1889" s="272"/>
    </row>
    <row r="1890" spans="1:9" x14ac:dyDescent="0.3">
      <c r="A1890"/>
      <c r="F1890"/>
      <c r="G1890"/>
      <c r="I1890" s="272"/>
    </row>
    <row r="1891" spans="1:9" x14ac:dyDescent="0.3">
      <c r="A1891"/>
      <c r="F1891"/>
      <c r="G1891"/>
      <c r="I1891" s="272"/>
    </row>
    <row r="1892" spans="1:9" x14ac:dyDescent="0.3">
      <c r="A1892"/>
      <c r="F1892"/>
      <c r="G1892"/>
      <c r="I1892" s="272"/>
    </row>
    <row r="1893" spans="1:9" x14ac:dyDescent="0.3">
      <c r="A1893"/>
      <c r="F1893"/>
      <c r="G1893"/>
      <c r="I1893" s="272"/>
    </row>
    <row r="1894" spans="1:9" x14ac:dyDescent="0.3">
      <c r="A1894"/>
      <c r="F1894"/>
      <c r="G1894"/>
      <c r="I1894" s="272"/>
    </row>
    <row r="1895" spans="1:9" x14ac:dyDescent="0.3">
      <c r="A1895"/>
      <c r="F1895"/>
      <c r="G1895"/>
      <c r="I1895" s="272"/>
    </row>
    <row r="1896" spans="1:9" x14ac:dyDescent="0.3">
      <c r="A1896"/>
      <c r="F1896"/>
      <c r="G1896"/>
      <c r="I1896" s="272"/>
    </row>
    <row r="1897" spans="1:9" x14ac:dyDescent="0.3">
      <c r="A1897"/>
      <c r="F1897"/>
      <c r="G1897"/>
      <c r="I1897" s="272"/>
    </row>
    <row r="1898" spans="1:9" x14ac:dyDescent="0.3">
      <c r="A1898"/>
      <c r="F1898"/>
      <c r="G1898"/>
      <c r="I1898" s="272"/>
    </row>
    <row r="1899" spans="1:9" x14ac:dyDescent="0.3">
      <c r="A1899"/>
      <c r="F1899"/>
      <c r="G1899"/>
      <c r="I1899" s="272"/>
    </row>
    <row r="1900" spans="1:9" x14ac:dyDescent="0.3">
      <c r="A1900"/>
      <c r="F1900"/>
      <c r="G1900"/>
      <c r="I1900" s="272"/>
    </row>
    <row r="1901" spans="1:9" x14ac:dyDescent="0.3">
      <c r="A1901"/>
      <c r="F1901"/>
      <c r="G1901"/>
      <c r="I1901" s="272"/>
    </row>
    <row r="1902" spans="1:9" x14ac:dyDescent="0.3">
      <c r="A1902"/>
      <c r="F1902"/>
      <c r="G1902"/>
      <c r="I1902" s="272"/>
    </row>
    <row r="1903" spans="1:9" x14ac:dyDescent="0.3">
      <c r="A1903"/>
      <c r="F1903"/>
      <c r="G1903"/>
      <c r="I1903" s="272"/>
    </row>
    <row r="1904" spans="1:9" x14ac:dyDescent="0.3">
      <c r="A1904"/>
      <c r="F1904"/>
      <c r="G1904"/>
      <c r="I1904" s="272"/>
    </row>
    <row r="1905" spans="1:9" x14ac:dyDescent="0.3">
      <c r="A1905"/>
      <c r="F1905"/>
      <c r="G1905"/>
      <c r="I1905" s="272"/>
    </row>
    <row r="1906" spans="1:9" x14ac:dyDescent="0.3">
      <c r="A1906"/>
      <c r="F1906"/>
      <c r="G1906"/>
      <c r="I1906" s="272"/>
    </row>
    <row r="1907" spans="1:9" x14ac:dyDescent="0.3">
      <c r="A1907"/>
      <c r="F1907"/>
      <c r="G1907"/>
      <c r="I1907" s="272"/>
    </row>
    <row r="1908" spans="1:9" x14ac:dyDescent="0.3">
      <c r="A1908"/>
      <c r="F1908"/>
      <c r="G1908"/>
      <c r="I1908" s="272"/>
    </row>
    <row r="1909" spans="1:9" x14ac:dyDescent="0.3">
      <c r="A1909"/>
      <c r="F1909"/>
      <c r="G1909"/>
      <c r="I1909" s="272"/>
    </row>
    <row r="1910" spans="1:9" x14ac:dyDescent="0.3">
      <c r="A1910"/>
      <c r="F1910"/>
      <c r="G1910"/>
      <c r="I1910" s="272"/>
    </row>
    <row r="1911" spans="1:9" x14ac:dyDescent="0.3">
      <c r="A1911"/>
      <c r="F1911"/>
      <c r="G1911"/>
      <c r="I1911" s="272"/>
    </row>
    <row r="1912" spans="1:9" x14ac:dyDescent="0.3">
      <c r="A1912"/>
      <c r="F1912"/>
      <c r="G1912"/>
      <c r="I1912" s="272"/>
    </row>
    <row r="1913" spans="1:9" x14ac:dyDescent="0.3">
      <c r="A1913"/>
      <c r="F1913"/>
      <c r="G1913"/>
      <c r="I1913" s="272"/>
    </row>
    <row r="1914" spans="1:9" x14ac:dyDescent="0.3">
      <c r="A1914"/>
      <c r="F1914"/>
      <c r="G1914"/>
      <c r="I1914" s="272"/>
    </row>
    <row r="1915" spans="1:9" x14ac:dyDescent="0.3">
      <c r="A1915"/>
      <c r="F1915"/>
      <c r="G1915"/>
      <c r="I1915" s="272"/>
    </row>
    <row r="1916" spans="1:9" x14ac:dyDescent="0.3">
      <c r="A1916"/>
      <c r="F1916"/>
      <c r="G1916"/>
      <c r="I1916" s="272"/>
    </row>
    <row r="1917" spans="1:9" x14ac:dyDescent="0.3">
      <c r="A1917"/>
      <c r="F1917"/>
      <c r="G1917"/>
      <c r="I1917" s="272"/>
    </row>
    <row r="1918" spans="1:9" x14ac:dyDescent="0.3">
      <c r="A1918"/>
      <c r="F1918"/>
      <c r="G1918"/>
      <c r="I1918" s="272"/>
    </row>
    <row r="1919" spans="1:9" x14ac:dyDescent="0.3">
      <c r="A1919"/>
      <c r="F1919"/>
      <c r="G1919"/>
      <c r="I1919" s="272"/>
    </row>
    <row r="1920" spans="1:9" x14ac:dyDescent="0.3">
      <c r="A1920"/>
      <c r="F1920"/>
      <c r="G1920"/>
      <c r="I1920" s="272"/>
    </row>
    <row r="1921" spans="1:9" x14ac:dyDescent="0.3">
      <c r="A1921"/>
      <c r="F1921"/>
      <c r="G1921"/>
      <c r="I1921" s="272"/>
    </row>
    <row r="1922" spans="1:9" x14ac:dyDescent="0.3">
      <c r="A1922"/>
      <c r="F1922"/>
      <c r="G1922"/>
      <c r="I1922" s="272"/>
    </row>
    <row r="1923" spans="1:9" x14ac:dyDescent="0.3">
      <c r="A1923"/>
      <c r="F1923"/>
      <c r="G1923"/>
      <c r="I1923" s="272"/>
    </row>
    <row r="1924" spans="1:9" x14ac:dyDescent="0.3">
      <c r="A1924"/>
      <c r="F1924"/>
      <c r="G1924"/>
      <c r="I1924" s="272"/>
    </row>
    <row r="1925" spans="1:9" x14ac:dyDescent="0.3">
      <c r="A1925"/>
      <c r="F1925"/>
      <c r="G1925"/>
      <c r="I1925" s="272"/>
    </row>
    <row r="1926" spans="1:9" x14ac:dyDescent="0.3">
      <c r="A1926"/>
      <c r="F1926"/>
      <c r="G1926"/>
      <c r="I1926" s="272"/>
    </row>
    <row r="1927" spans="1:9" x14ac:dyDescent="0.3">
      <c r="A1927"/>
      <c r="F1927"/>
      <c r="G1927"/>
      <c r="I1927" s="272"/>
    </row>
    <row r="1928" spans="1:9" x14ac:dyDescent="0.3">
      <c r="A1928"/>
      <c r="F1928"/>
      <c r="G1928"/>
      <c r="I1928" s="272"/>
    </row>
    <row r="1929" spans="1:9" x14ac:dyDescent="0.3">
      <c r="A1929"/>
      <c r="F1929"/>
      <c r="G1929"/>
      <c r="I1929" s="272"/>
    </row>
    <row r="1930" spans="1:9" x14ac:dyDescent="0.3">
      <c r="A1930"/>
      <c r="F1930"/>
      <c r="G1930"/>
      <c r="I1930" s="272"/>
    </row>
    <row r="1931" spans="1:9" x14ac:dyDescent="0.3">
      <c r="A1931"/>
      <c r="F1931"/>
      <c r="G1931"/>
      <c r="I1931" s="272"/>
    </row>
    <row r="1932" spans="1:9" x14ac:dyDescent="0.3">
      <c r="A1932"/>
      <c r="F1932"/>
      <c r="G1932"/>
      <c r="I1932" s="272"/>
    </row>
    <row r="1933" spans="1:9" x14ac:dyDescent="0.3">
      <c r="A1933"/>
      <c r="F1933"/>
      <c r="G1933"/>
      <c r="I1933" s="272"/>
    </row>
    <row r="1934" spans="1:9" x14ac:dyDescent="0.3">
      <c r="A1934"/>
      <c r="F1934"/>
      <c r="G1934"/>
      <c r="I1934" s="272"/>
    </row>
    <row r="1935" spans="1:9" x14ac:dyDescent="0.3">
      <c r="A1935"/>
      <c r="F1935"/>
      <c r="G1935"/>
      <c r="I1935" s="272"/>
    </row>
    <row r="1936" spans="1:9" x14ac:dyDescent="0.3">
      <c r="A1936"/>
      <c r="F1936"/>
      <c r="G1936"/>
      <c r="I1936" s="272"/>
    </row>
    <row r="1937" spans="1:9" x14ac:dyDescent="0.3">
      <c r="A1937"/>
      <c r="F1937"/>
      <c r="G1937"/>
      <c r="I1937" s="272"/>
    </row>
    <row r="1938" spans="1:9" x14ac:dyDescent="0.3">
      <c r="A1938"/>
      <c r="F1938"/>
      <c r="G1938"/>
      <c r="I1938" s="272"/>
    </row>
    <row r="1939" spans="1:9" x14ac:dyDescent="0.3">
      <c r="A1939"/>
      <c r="F1939"/>
      <c r="G1939"/>
      <c r="I1939" s="272"/>
    </row>
    <row r="1940" spans="1:9" x14ac:dyDescent="0.3">
      <c r="A1940"/>
      <c r="F1940"/>
      <c r="G1940"/>
      <c r="I1940" s="272"/>
    </row>
    <row r="1941" spans="1:9" x14ac:dyDescent="0.3">
      <c r="A1941"/>
      <c r="F1941"/>
      <c r="G1941"/>
      <c r="I1941" s="272"/>
    </row>
    <row r="1942" spans="1:9" x14ac:dyDescent="0.3">
      <c r="A1942"/>
      <c r="F1942"/>
      <c r="G1942"/>
      <c r="I1942" s="272"/>
    </row>
    <row r="1943" spans="1:9" x14ac:dyDescent="0.3">
      <c r="A1943"/>
      <c r="F1943"/>
      <c r="G1943"/>
      <c r="I1943" s="272"/>
    </row>
    <row r="1944" spans="1:9" x14ac:dyDescent="0.3">
      <c r="A1944"/>
      <c r="F1944"/>
      <c r="G1944"/>
      <c r="I1944" s="272"/>
    </row>
    <row r="1945" spans="1:9" x14ac:dyDescent="0.3">
      <c r="A1945"/>
      <c r="F1945"/>
      <c r="G1945"/>
      <c r="I1945" s="272"/>
    </row>
    <row r="1946" spans="1:9" x14ac:dyDescent="0.3">
      <c r="A1946"/>
      <c r="F1946"/>
      <c r="G1946"/>
      <c r="I1946" s="272"/>
    </row>
    <row r="1947" spans="1:9" x14ac:dyDescent="0.3">
      <c r="A1947"/>
      <c r="F1947"/>
      <c r="G1947"/>
      <c r="I1947" s="272"/>
    </row>
    <row r="1948" spans="1:9" x14ac:dyDescent="0.3">
      <c r="A1948"/>
      <c r="F1948"/>
      <c r="G1948"/>
      <c r="I1948" s="272"/>
    </row>
    <row r="1949" spans="1:9" x14ac:dyDescent="0.3">
      <c r="A1949"/>
      <c r="F1949"/>
      <c r="G1949"/>
      <c r="I1949" s="272"/>
    </row>
    <row r="1950" spans="1:9" x14ac:dyDescent="0.3">
      <c r="A1950"/>
      <c r="F1950"/>
      <c r="G1950"/>
      <c r="I1950" s="272"/>
    </row>
    <row r="1951" spans="1:9" x14ac:dyDescent="0.3">
      <c r="A1951"/>
      <c r="F1951"/>
      <c r="G1951"/>
      <c r="I1951" s="272"/>
    </row>
    <row r="1952" spans="1:9" x14ac:dyDescent="0.3">
      <c r="A1952"/>
      <c r="F1952"/>
      <c r="G1952"/>
      <c r="I1952" s="272"/>
    </row>
    <row r="1953" spans="1:12" x14ac:dyDescent="0.3">
      <c r="A1953"/>
      <c r="F1953"/>
      <c r="G1953"/>
      <c r="I1953" s="272"/>
    </row>
    <row r="1954" spans="1:12" x14ac:dyDescent="0.3">
      <c r="A1954"/>
      <c r="F1954"/>
      <c r="G1954"/>
      <c r="I1954" s="272"/>
    </row>
    <row r="1955" spans="1:12" x14ac:dyDescent="0.3">
      <c r="A1955"/>
      <c r="F1955"/>
      <c r="G1955"/>
      <c r="I1955" s="272"/>
      <c r="L1955" t="s">
        <v>472</v>
      </c>
    </row>
    <row r="1956" spans="1:12" x14ac:dyDescent="0.3">
      <c r="A1956"/>
      <c r="F1956"/>
      <c r="G1956"/>
      <c r="I1956" s="272"/>
    </row>
    <row r="1957" spans="1:12" x14ac:dyDescent="0.3">
      <c r="A1957"/>
      <c r="F1957"/>
      <c r="G1957"/>
      <c r="I1957" s="272"/>
      <c r="K1957">
        <v>3828</v>
      </c>
    </row>
    <row r="1958" spans="1:12" x14ac:dyDescent="0.3">
      <c r="A1958"/>
      <c r="F1958"/>
      <c r="G1958"/>
      <c r="I1958" s="272"/>
      <c r="K1958">
        <v>21999.84</v>
      </c>
    </row>
    <row r="1959" spans="1:12" x14ac:dyDescent="0.3">
      <c r="A1959"/>
      <c r="F1959"/>
      <c r="G1959"/>
      <c r="I1959" s="272"/>
      <c r="K1959">
        <v>16499.879999999997</v>
      </c>
    </row>
    <row r="1960" spans="1:12" x14ac:dyDescent="0.3">
      <c r="A1960"/>
      <c r="F1960"/>
      <c r="G1960"/>
      <c r="I1960" s="272"/>
      <c r="K1960">
        <v>19199.987999999998</v>
      </c>
    </row>
    <row r="1961" spans="1:12" x14ac:dyDescent="0.3">
      <c r="A1961"/>
      <c r="F1961"/>
      <c r="G1961"/>
      <c r="I1961" s="272"/>
      <c r="K1961">
        <v>840</v>
      </c>
    </row>
    <row r="1962" spans="1:12" x14ac:dyDescent="0.3">
      <c r="A1962"/>
      <c r="F1962"/>
      <c r="G1962"/>
      <c r="I1962" s="272"/>
      <c r="K1962">
        <v>5610</v>
      </c>
    </row>
    <row r="1963" spans="1:12" x14ac:dyDescent="0.3">
      <c r="A1963"/>
      <c r="F1963"/>
      <c r="G1963"/>
      <c r="I1963" s="272"/>
    </row>
    <row r="1964" spans="1:12" x14ac:dyDescent="0.3">
      <c r="A1964"/>
      <c r="F1964"/>
      <c r="G1964"/>
      <c r="I1964" s="272"/>
    </row>
    <row r="1965" spans="1:12" x14ac:dyDescent="0.3">
      <c r="A1965"/>
      <c r="F1965"/>
      <c r="G1965"/>
      <c r="I1965" s="272"/>
      <c r="K1965">
        <v>6540</v>
      </c>
    </row>
    <row r="1966" spans="1:12" x14ac:dyDescent="0.3">
      <c r="A1966"/>
      <c r="F1966"/>
      <c r="G1966"/>
      <c r="I1966" s="272"/>
    </row>
    <row r="1967" spans="1:12" x14ac:dyDescent="0.3">
      <c r="A1967"/>
      <c r="F1967"/>
      <c r="G1967"/>
      <c r="I1967" s="272"/>
      <c r="K1967">
        <v>624</v>
      </c>
    </row>
    <row r="1968" spans="1:12" x14ac:dyDescent="0.3">
      <c r="A1968"/>
      <c r="F1968"/>
      <c r="G1968"/>
      <c r="I1968" s="272"/>
      <c r="K1968">
        <v>456</v>
      </c>
    </row>
    <row r="1969" spans="1:11" x14ac:dyDescent="0.3">
      <c r="A1969"/>
      <c r="F1969"/>
      <c r="G1969"/>
      <c r="I1969" s="272"/>
      <c r="K1969">
        <v>840</v>
      </c>
    </row>
    <row r="1970" spans="1:11" x14ac:dyDescent="0.3">
      <c r="A1970"/>
      <c r="F1970"/>
      <c r="G1970"/>
      <c r="I1970" s="272"/>
      <c r="K1970">
        <v>12030</v>
      </c>
    </row>
    <row r="1971" spans="1:11" x14ac:dyDescent="0.3">
      <c r="A1971"/>
      <c r="F1971"/>
      <c r="G1971"/>
      <c r="I1971" s="272"/>
    </row>
    <row r="1972" spans="1:11" x14ac:dyDescent="0.3">
      <c r="A1972"/>
      <c r="F1972"/>
      <c r="G1972"/>
      <c r="I1972" s="272"/>
    </row>
    <row r="1973" spans="1:11" x14ac:dyDescent="0.3">
      <c r="A1973"/>
      <c r="F1973"/>
      <c r="G1973"/>
      <c r="I1973" s="272"/>
    </row>
    <row r="1974" spans="1:11" x14ac:dyDescent="0.3">
      <c r="A1974"/>
      <c r="F1974"/>
      <c r="G1974"/>
      <c r="I1974" s="272"/>
      <c r="K1974">
        <v>10094.4</v>
      </c>
    </row>
    <row r="1975" spans="1:11" x14ac:dyDescent="0.3">
      <c r="A1975"/>
      <c r="F1975"/>
      <c r="G1975"/>
      <c r="I1975" s="272"/>
      <c r="K1975">
        <v>8720.4</v>
      </c>
    </row>
    <row r="1976" spans="1:11" x14ac:dyDescent="0.3">
      <c r="A1976"/>
      <c r="F1976"/>
      <c r="G1976"/>
      <c r="I1976" s="272"/>
    </row>
    <row r="1977" spans="1:11" x14ac:dyDescent="0.3">
      <c r="A1977"/>
      <c r="F1977"/>
      <c r="G1977"/>
      <c r="I1977" s="272"/>
    </row>
    <row r="1978" spans="1:11" x14ac:dyDescent="0.3">
      <c r="A1978"/>
      <c r="F1978"/>
      <c r="G1978"/>
      <c r="I1978" s="272"/>
      <c r="K1978">
        <v>9920.4240000000009</v>
      </c>
    </row>
    <row r="1979" spans="1:11" x14ac:dyDescent="0.3">
      <c r="A1979"/>
      <c r="F1979"/>
      <c r="G1979"/>
      <c r="I1979" s="272"/>
    </row>
    <row r="1980" spans="1:11" x14ac:dyDescent="0.3">
      <c r="A1980"/>
      <c r="F1980"/>
      <c r="G1980"/>
      <c r="I1980" s="272"/>
    </row>
    <row r="1981" spans="1:11" x14ac:dyDescent="0.3">
      <c r="A1981"/>
      <c r="F1981"/>
      <c r="G1981"/>
      <c r="I1981" s="272"/>
      <c r="K1981">
        <v>662.4</v>
      </c>
    </row>
    <row r="1982" spans="1:11" x14ac:dyDescent="0.3">
      <c r="A1982"/>
      <c r="F1982"/>
      <c r="G1982"/>
      <c r="I1982" s="272"/>
      <c r="K1982">
        <v>11298</v>
      </c>
    </row>
    <row r="1983" spans="1:11" x14ac:dyDescent="0.3">
      <c r="A1983"/>
      <c r="F1983"/>
      <c r="G1983"/>
      <c r="I1983" s="272"/>
      <c r="K1983">
        <v>399.99999999999955</v>
      </c>
    </row>
    <row r="1984" spans="1:11" x14ac:dyDescent="0.3">
      <c r="A1984"/>
      <c r="F1984"/>
      <c r="G1984"/>
      <c r="I1984" s="272"/>
      <c r="K1984">
        <v>761.49599999999998</v>
      </c>
    </row>
    <row r="1985" spans="1:11" x14ac:dyDescent="0.3">
      <c r="A1985"/>
      <c r="F1985"/>
      <c r="G1985"/>
      <c r="I1985" s="272"/>
    </row>
    <row r="1986" spans="1:11" x14ac:dyDescent="0.3">
      <c r="A1986"/>
      <c r="F1986"/>
      <c r="G1986"/>
      <c r="I1986" s="272"/>
    </row>
    <row r="1987" spans="1:11" x14ac:dyDescent="0.3">
      <c r="A1987"/>
      <c r="F1987"/>
      <c r="G1987"/>
      <c r="I1987" s="272"/>
      <c r="K1987">
        <v>337.5</v>
      </c>
    </row>
    <row r="1988" spans="1:11" x14ac:dyDescent="0.3">
      <c r="A1988"/>
      <c r="F1988"/>
      <c r="G1988"/>
      <c r="I1988" s="272"/>
      <c r="K1988">
        <v>1869.9999995999999</v>
      </c>
    </row>
    <row r="1989" spans="1:11" x14ac:dyDescent="0.3">
      <c r="A1989"/>
      <c r="F1989"/>
      <c r="G1989"/>
      <c r="I1989" s="272"/>
    </row>
    <row r="1990" spans="1:11" x14ac:dyDescent="0.3">
      <c r="A1990"/>
      <c r="F1990"/>
      <c r="G1990"/>
      <c r="I1990" s="272"/>
      <c r="K1990">
        <v>2707.5</v>
      </c>
    </row>
    <row r="1991" spans="1:11" x14ac:dyDescent="0.3">
      <c r="A1991"/>
      <c r="F1991"/>
      <c r="G1991"/>
      <c r="I1991" s="272"/>
    </row>
    <row r="1992" spans="1:11" x14ac:dyDescent="0.3">
      <c r="A1992"/>
      <c r="F1992"/>
      <c r="G1992"/>
      <c r="I1992" s="272"/>
      <c r="K1992">
        <v>350.00000000099999</v>
      </c>
    </row>
    <row r="1993" spans="1:11" x14ac:dyDescent="0.3">
      <c r="A1993"/>
      <c r="F1993"/>
      <c r="G1993"/>
      <c r="I1993" s="272"/>
    </row>
    <row r="1994" spans="1:11" x14ac:dyDescent="0.3">
      <c r="A1994"/>
      <c r="F1994"/>
      <c r="G1994"/>
      <c r="I1994" s="272"/>
      <c r="K1994">
        <v>1989.9999959999998</v>
      </c>
    </row>
    <row r="1995" spans="1:11" x14ac:dyDescent="0.3">
      <c r="A1995"/>
      <c r="F1995"/>
      <c r="G1995"/>
      <c r="I1995" s="272"/>
      <c r="K1995">
        <v>585</v>
      </c>
    </row>
    <row r="1996" spans="1:11" x14ac:dyDescent="0.3">
      <c r="A1996"/>
      <c r="F1996"/>
      <c r="G1996"/>
      <c r="I1996" s="272"/>
      <c r="K1996">
        <v>1746</v>
      </c>
    </row>
    <row r="1997" spans="1:11" x14ac:dyDescent="0.3">
      <c r="A1997"/>
      <c r="F1997"/>
      <c r="G1997"/>
      <c r="I1997" s="272"/>
      <c r="K1997">
        <v>1059.9999995999999</v>
      </c>
    </row>
    <row r="1998" spans="1:11" x14ac:dyDescent="0.3">
      <c r="A1998"/>
      <c r="F1998"/>
      <c r="G1998"/>
      <c r="I1998" s="272"/>
    </row>
    <row r="1999" spans="1:11" x14ac:dyDescent="0.3">
      <c r="A1999"/>
      <c r="F1999"/>
      <c r="G1999"/>
      <c r="I1999" s="272"/>
      <c r="K1999">
        <v>324.99599999999998</v>
      </c>
    </row>
    <row r="2000" spans="1:11" x14ac:dyDescent="0.3">
      <c r="A2000"/>
      <c r="F2000"/>
      <c r="G2000"/>
      <c r="I2000" s="272"/>
      <c r="K2000">
        <v>4320</v>
      </c>
    </row>
    <row r="2001" spans="1:11" x14ac:dyDescent="0.3">
      <c r="A2001"/>
      <c r="F2001"/>
      <c r="G2001"/>
      <c r="I2001" s="272"/>
      <c r="K2001">
        <v>3612</v>
      </c>
    </row>
    <row r="2002" spans="1:11" x14ac:dyDescent="0.3">
      <c r="A2002"/>
      <c r="F2002"/>
      <c r="G2002"/>
      <c r="I2002" s="272"/>
    </row>
    <row r="2003" spans="1:11" x14ac:dyDescent="0.3">
      <c r="A2003"/>
      <c r="F2003"/>
      <c r="G2003"/>
      <c r="I2003" s="272"/>
      <c r="K2003">
        <v>852</v>
      </c>
    </row>
    <row r="2004" spans="1:11" x14ac:dyDescent="0.3">
      <c r="A2004"/>
      <c r="F2004"/>
      <c r="G2004"/>
      <c r="I2004" s="272"/>
    </row>
    <row r="2005" spans="1:11" x14ac:dyDescent="0.3">
      <c r="A2005"/>
      <c r="F2005"/>
      <c r="G2005"/>
      <c r="I2005" s="272"/>
      <c r="K2005">
        <v>420</v>
      </c>
    </row>
    <row r="2006" spans="1:11" x14ac:dyDescent="0.3">
      <c r="A2006"/>
      <c r="F2006"/>
      <c r="G2006"/>
      <c r="I2006" s="272"/>
      <c r="K2006">
        <v>31376.171999999999</v>
      </c>
    </row>
    <row r="2007" spans="1:11" x14ac:dyDescent="0.3">
      <c r="A2007"/>
      <c r="F2007"/>
      <c r="G2007"/>
      <c r="I2007" s="272"/>
    </row>
    <row r="2008" spans="1:11" x14ac:dyDescent="0.3">
      <c r="A2008"/>
      <c r="F2008"/>
      <c r="G2008"/>
      <c r="I2008" s="272"/>
    </row>
    <row r="2009" spans="1:11" x14ac:dyDescent="0.3">
      <c r="A2009"/>
      <c r="F2009"/>
      <c r="G2009"/>
      <c r="I2009" s="272"/>
    </row>
    <row r="2010" spans="1:11" x14ac:dyDescent="0.3">
      <c r="A2010"/>
      <c r="F2010"/>
      <c r="G2010"/>
      <c r="I2010" s="272"/>
    </row>
    <row r="2011" spans="1:11" x14ac:dyDescent="0.3">
      <c r="A2011"/>
      <c r="F2011"/>
      <c r="G2011"/>
      <c r="I2011" s="272"/>
    </row>
    <row r="2012" spans="1:11" x14ac:dyDescent="0.3">
      <c r="A2012"/>
      <c r="F2012"/>
      <c r="G2012"/>
      <c r="I2012" s="272"/>
    </row>
    <row r="2013" spans="1:11" x14ac:dyDescent="0.3">
      <c r="A2013"/>
      <c r="F2013"/>
      <c r="G2013"/>
      <c r="I2013" s="272"/>
    </row>
    <row r="2014" spans="1:11" x14ac:dyDescent="0.3">
      <c r="A2014"/>
      <c r="F2014"/>
      <c r="G2014"/>
      <c r="I2014" s="272"/>
    </row>
    <row r="2015" spans="1:11" x14ac:dyDescent="0.3">
      <c r="A2015"/>
      <c r="F2015"/>
      <c r="G2015"/>
      <c r="I2015" s="272"/>
    </row>
    <row r="2016" spans="1:11" x14ac:dyDescent="0.3">
      <c r="A2016"/>
      <c r="F2016"/>
      <c r="G2016"/>
      <c r="I2016" s="272"/>
      <c r="K2016">
        <v>8070</v>
      </c>
    </row>
    <row r="2017" spans="1:11" x14ac:dyDescent="0.3">
      <c r="A2017"/>
      <c r="F2017"/>
      <c r="G2017"/>
      <c r="I2017" s="272"/>
      <c r="K2017">
        <v>1260</v>
      </c>
    </row>
    <row r="2018" spans="1:11" x14ac:dyDescent="0.3">
      <c r="A2018"/>
      <c r="F2018"/>
      <c r="G2018"/>
      <c r="I2018" s="272"/>
    </row>
    <row r="2019" spans="1:11" x14ac:dyDescent="0.3">
      <c r="A2019"/>
      <c r="F2019"/>
      <c r="G2019"/>
      <c r="I2019" s="272"/>
      <c r="K2019">
        <v>384</v>
      </c>
    </row>
    <row r="2020" spans="1:11" x14ac:dyDescent="0.3">
      <c r="A2020"/>
      <c r="F2020"/>
      <c r="G2020"/>
      <c r="I2020" s="272"/>
      <c r="K2020">
        <v>4563.0360000000001</v>
      </c>
    </row>
    <row r="2021" spans="1:11" x14ac:dyDescent="0.3">
      <c r="A2021"/>
      <c r="F2021"/>
      <c r="G2021"/>
      <c r="I2021" s="272"/>
    </row>
    <row r="2022" spans="1:11" x14ac:dyDescent="0.3">
      <c r="A2022"/>
      <c r="F2022"/>
      <c r="G2022"/>
      <c r="I2022" s="272"/>
    </row>
    <row r="2023" spans="1:11" x14ac:dyDescent="0.3">
      <c r="A2023"/>
      <c r="F2023"/>
      <c r="G2023"/>
      <c r="I2023" s="272"/>
    </row>
    <row r="2024" spans="1:11" x14ac:dyDescent="0.3">
      <c r="A2024"/>
      <c r="F2024"/>
      <c r="G2024"/>
      <c r="I2024" s="272"/>
    </row>
    <row r="2025" spans="1:11" x14ac:dyDescent="0.3">
      <c r="A2025"/>
      <c r="F2025"/>
      <c r="G2025"/>
      <c r="I2025" s="272"/>
    </row>
    <row r="2026" spans="1:11" x14ac:dyDescent="0.3">
      <c r="A2026"/>
      <c r="F2026"/>
      <c r="G2026"/>
      <c r="I2026" s="272"/>
      <c r="K2026">
        <v>750.12</v>
      </c>
    </row>
    <row r="2027" spans="1:11" x14ac:dyDescent="0.3">
      <c r="A2027"/>
      <c r="F2027"/>
      <c r="G2027"/>
      <c r="I2027" s="272"/>
    </row>
    <row r="2028" spans="1:11" x14ac:dyDescent="0.3">
      <c r="A2028"/>
      <c r="F2028"/>
      <c r="G2028"/>
      <c r="I2028" s="272"/>
    </row>
    <row r="2029" spans="1:11" x14ac:dyDescent="0.3">
      <c r="A2029"/>
      <c r="F2029"/>
      <c r="G2029"/>
      <c r="I2029" s="272"/>
    </row>
    <row r="2030" spans="1:11" x14ac:dyDescent="0.3">
      <c r="A2030"/>
      <c r="F2030"/>
      <c r="G2030"/>
      <c r="I2030" s="272"/>
      <c r="K2030">
        <v>4800</v>
      </c>
    </row>
    <row r="2031" spans="1:11" x14ac:dyDescent="0.3">
      <c r="A2031"/>
      <c r="F2031"/>
      <c r="G2031"/>
      <c r="I2031" s="272"/>
      <c r="K2031">
        <v>10975.199999999999</v>
      </c>
    </row>
    <row r="2032" spans="1:11" x14ac:dyDescent="0.3">
      <c r="A2032"/>
      <c r="F2032"/>
      <c r="G2032"/>
      <c r="I2032" s="272"/>
      <c r="K2032">
        <v>1627.2</v>
      </c>
    </row>
    <row r="2033" spans="1:11" x14ac:dyDescent="0.3">
      <c r="A2033"/>
      <c r="F2033"/>
      <c r="G2033"/>
      <c r="I2033" s="272"/>
      <c r="K2033">
        <v>249.99959999999999</v>
      </c>
    </row>
    <row r="2034" spans="1:11" x14ac:dyDescent="0.3">
      <c r="A2034"/>
      <c r="F2034"/>
      <c r="G2034"/>
      <c r="I2034" s="272"/>
      <c r="K2034">
        <v>1200</v>
      </c>
    </row>
    <row r="2035" spans="1:11" x14ac:dyDescent="0.3">
      <c r="A2035"/>
      <c r="F2035"/>
      <c r="G2035"/>
      <c r="I2035" s="272"/>
    </row>
    <row r="2036" spans="1:11" x14ac:dyDescent="0.3">
      <c r="A2036"/>
      <c r="F2036"/>
      <c r="G2036"/>
      <c r="I2036" s="272"/>
      <c r="K2036">
        <v>541.43999999999994</v>
      </c>
    </row>
    <row r="2037" spans="1:11" x14ac:dyDescent="0.3">
      <c r="A2037"/>
      <c r="F2037"/>
      <c r="G2037"/>
      <c r="I2037" s="272"/>
      <c r="K2037">
        <v>887.84039999999993</v>
      </c>
    </row>
    <row r="2038" spans="1:11" x14ac:dyDescent="0.3">
      <c r="A2038"/>
      <c r="F2038"/>
      <c r="G2038"/>
      <c r="I2038" s="272"/>
    </row>
    <row r="2039" spans="1:11" x14ac:dyDescent="0.3">
      <c r="A2039"/>
      <c r="F2039"/>
      <c r="G2039"/>
      <c r="I2039" s="272"/>
      <c r="K2039">
        <v>541.43999999999994</v>
      </c>
    </row>
    <row r="2040" spans="1:11" x14ac:dyDescent="0.3">
      <c r="A2040"/>
      <c r="F2040"/>
      <c r="G2040"/>
      <c r="I2040" s="272"/>
      <c r="K2040">
        <v>327.37559999999996</v>
      </c>
    </row>
    <row r="2041" spans="1:11" x14ac:dyDescent="0.3">
      <c r="A2041"/>
      <c r="F2041"/>
      <c r="G2041"/>
      <c r="I2041" s="272"/>
      <c r="K2041">
        <v>1262.4959999999999</v>
      </c>
    </row>
    <row r="2042" spans="1:11" x14ac:dyDescent="0.3">
      <c r="A2042"/>
      <c r="F2042"/>
      <c r="G2042"/>
      <c r="I2042" s="272"/>
    </row>
    <row r="2043" spans="1:11" x14ac:dyDescent="0.3">
      <c r="A2043"/>
      <c r="F2043"/>
      <c r="G2043"/>
      <c r="I2043" s="272"/>
      <c r="K2043">
        <v>270.71999999999997</v>
      </c>
    </row>
    <row r="2044" spans="1:11" x14ac:dyDescent="0.3">
      <c r="A2044"/>
      <c r="F2044"/>
      <c r="G2044"/>
      <c r="I2044" s="272"/>
      <c r="K2044">
        <v>337.5</v>
      </c>
    </row>
    <row r="2045" spans="1:11" x14ac:dyDescent="0.3">
      <c r="A2045"/>
      <c r="F2045"/>
      <c r="G2045"/>
      <c r="I2045" s="272"/>
      <c r="K2045">
        <v>1081.44</v>
      </c>
    </row>
    <row r="2046" spans="1:11" x14ac:dyDescent="0.3">
      <c r="A2046"/>
      <c r="F2046"/>
      <c r="G2046"/>
      <c r="I2046" s="272"/>
    </row>
    <row r="2047" spans="1:11" x14ac:dyDescent="0.3">
      <c r="A2047"/>
      <c r="F2047"/>
      <c r="G2047"/>
      <c r="I2047" s="272"/>
    </row>
    <row r="2048" spans="1:11" x14ac:dyDescent="0.3">
      <c r="A2048"/>
      <c r="F2048"/>
      <c r="G2048"/>
      <c r="I2048" s="272"/>
    </row>
    <row r="2049" spans="1:11" x14ac:dyDescent="0.3">
      <c r="A2049"/>
      <c r="F2049"/>
      <c r="G2049"/>
      <c r="I2049" s="272"/>
      <c r="K2049">
        <v>10149.995999999999</v>
      </c>
    </row>
    <row r="2050" spans="1:11" x14ac:dyDescent="0.3">
      <c r="A2050"/>
      <c r="F2050"/>
      <c r="G2050"/>
      <c r="I2050" s="272"/>
    </row>
    <row r="2051" spans="1:11" x14ac:dyDescent="0.3">
      <c r="A2051"/>
      <c r="F2051"/>
      <c r="G2051"/>
      <c r="I2051" s="272"/>
    </row>
    <row r="2052" spans="1:11" x14ac:dyDescent="0.3">
      <c r="A2052"/>
      <c r="F2052"/>
      <c r="G2052"/>
      <c r="I2052" s="272"/>
    </row>
    <row r="2053" spans="1:11" x14ac:dyDescent="0.3">
      <c r="A2053"/>
      <c r="F2053"/>
      <c r="G2053"/>
      <c r="I2053" s="272"/>
    </row>
    <row r="2054" spans="1:11" x14ac:dyDescent="0.3">
      <c r="A2054"/>
      <c r="F2054"/>
      <c r="G2054"/>
      <c r="I2054" s="272"/>
    </row>
    <row r="2055" spans="1:11" x14ac:dyDescent="0.3">
      <c r="A2055"/>
      <c r="F2055"/>
      <c r="G2055"/>
      <c r="I2055" s="272"/>
    </row>
    <row r="2056" spans="1:11" x14ac:dyDescent="0.3">
      <c r="A2056"/>
      <c r="F2056"/>
      <c r="G2056"/>
      <c r="I2056" s="272"/>
    </row>
    <row r="2057" spans="1:11" x14ac:dyDescent="0.3">
      <c r="A2057"/>
      <c r="F2057"/>
      <c r="G2057"/>
      <c r="I2057" s="272"/>
    </row>
    <row r="2058" spans="1:11" x14ac:dyDescent="0.3">
      <c r="A2058"/>
      <c r="F2058"/>
      <c r="G2058"/>
      <c r="I2058" s="272"/>
    </row>
    <row r="2059" spans="1:11" x14ac:dyDescent="0.3">
      <c r="A2059"/>
      <c r="F2059"/>
      <c r="G2059"/>
      <c r="I2059" s="272"/>
    </row>
    <row r="2060" spans="1:11" x14ac:dyDescent="0.3">
      <c r="A2060"/>
      <c r="F2060"/>
      <c r="G2060"/>
      <c r="I2060" s="272"/>
    </row>
    <row r="2061" spans="1:11" x14ac:dyDescent="0.3">
      <c r="A2061"/>
      <c r="F2061"/>
      <c r="G2061"/>
      <c r="I2061" s="272"/>
    </row>
    <row r="2062" spans="1:11" x14ac:dyDescent="0.3">
      <c r="A2062"/>
      <c r="F2062"/>
      <c r="G2062"/>
      <c r="I2062" s="272"/>
    </row>
    <row r="2063" spans="1:11" x14ac:dyDescent="0.3">
      <c r="A2063"/>
      <c r="F2063"/>
      <c r="G2063"/>
      <c r="I2063" s="272"/>
    </row>
    <row r="2064" spans="1:11" x14ac:dyDescent="0.3">
      <c r="A2064"/>
      <c r="F2064"/>
      <c r="G2064"/>
      <c r="I2064" s="272"/>
    </row>
    <row r="2065" spans="1:9" x14ac:dyDescent="0.3">
      <c r="A2065"/>
      <c r="F2065"/>
      <c r="G2065"/>
      <c r="I2065" s="272"/>
    </row>
    <row r="2066" spans="1:9" x14ac:dyDescent="0.3">
      <c r="A2066"/>
      <c r="F2066"/>
      <c r="G2066"/>
      <c r="I2066" s="272"/>
    </row>
    <row r="2067" spans="1:9" x14ac:dyDescent="0.3">
      <c r="A2067"/>
      <c r="F2067"/>
      <c r="G2067"/>
      <c r="I2067" s="272"/>
    </row>
    <row r="2068" spans="1:9" x14ac:dyDescent="0.3">
      <c r="A2068"/>
      <c r="F2068"/>
      <c r="G2068"/>
      <c r="I2068" s="272"/>
    </row>
    <row r="2069" spans="1:9" x14ac:dyDescent="0.3">
      <c r="A2069"/>
      <c r="F2069"/>
      <c r="G2069"/>
      <c r="I2069" s="272"/>
    </row>
    <row r="2070" spans="1:9" x14ac:dyDescent="0.3">
      <c r="A2070"/>
      <c r="F2070"/>
      <c r="G2070"/>
      <c r="I2070" s="272"/>
    </row>
    <row r="2071" spans="1:9" x14ac:dyDescent="0.3">
      <c r="A2071"/>
      <c r="F2071"/>
      <c r="G2071"/>
      <c r="I2071" s="272"/>
    </row>
    <row r="2072" spans="1:9" x14ac:dyDescent="0.3">
      <c r="A2072"/>
      <c r="F2072"/>
      <c r="G2072"/>
      <c r="I2072" s="272"/>
    </row>
    <row r="2073" spans="1:9" x14ac:dyDescent="0.3">
      <c r="A2073"/>
      <c r="F2073"/>
      <c r="G2073"/>
      <c r="I2073" s="272"/>
    </row>
    <row r="2074" spans="1:9" x14ac:dyDescent="0.3">
      <c r="A2074"/>
      <c r="F2074"/>
      <c r="G2074"/>
      <c r="I2074" s="272"/>
    </row>
    <row r="2075" spans="1:9" x14ac:dyDescent="0.3">
      <c r="A2075"/>
      <c r="F2075"/>
      <c r="G2075"/>
      <c r="I2075" s="272"/>
    </row>
    <row r="2076" spans="1:9" x14ac:dyDescent="0.3">
      <c r="A2076"/>
      <c r="F2076"/>
      <c r="G2076"/>
      <c r="I2076" s="272"/>
    </row>
    <row r="2077" spans="1:9" x14ac:dyDescent="0.3">
      <c r="A2077"/>
      <c r="F2077"/>
      <c r="G2077"/>
      <c r="I2077" s="272"/>
    </row>
    <row r="2078" spans="1:9" x14ac:dyDescent="0.3">
      <c r="A2078"/>
      <c r="F2078"/>
      <c r="G2078"/>
      <c r="I2078" s="272"/>
    </row>
    <row r="2079" spans="1:9" x14ac:dyDescent="0.3">
      <c r="A2079"/>
      <c r="F2079"/>
      <c r="G2079"/>
      <c r="I2079" s="272"/>
    </row>
    <row r="2080" spans="1:9" x14ac:dyDescent="0.3">
      <c r="A2080"/>
      <c r="F2080"/>
      <c r="G2080"/>
      <c r="I2080" s="272"/>
    </row>
    <row r="2081" spans="1:9" x14ac:dyDescent="0.3">
      <c r="A2081"/>
      <c r="F2081"/>
      <c r="G2081"/>
      <c r="I2081" s="272"/>
    </row>
    <row r="2082" spans="1:9" x14ac:dyDescent="0.3">
      <c r="A2082"/>
      <c r="F2082"/>
      <c r="G2082"/>
      <c r="I2082" s="272"/>
    </row>
    <row r="2083" spans="1:9" x14ac:dyDescent="0.3">
      <c r="A2083"/>
      <c r="F2083"/>
      <c r="G2083"/>
      <c r="I2083" s="272"/>
    </row>
    <row r="2084" spans="1:9" x14ac:dyDescent="0.3">
      <c r="A2084"/>
      <c r="F2084"/>
      <c r="G2084"/>
      <c r="I2084" s="272"/>
    </row>
    <row r="2085" spans="1:9" x14ac:dyDescent="0.3">
      <c r="A2085"/>
      <c r="F2085"/>
      <c r="G2085"/>
      <c r="I2085" s="272"/>
    </row>
    <row r="2086" spans="1:9" x14ac:dyDescent="0.3">
      <c r="A2086"/>
      <c r="F2086"/>
      <c r="G2086"/>
      <c r="I2086" s="272"/>
    </row>
    <row r="2087" spans="1:9" x14ac:dyDescent="0.3">
      <c r="A2087"/>
      <c r="F2087"/>
      <c r="G2087"/>
      <c r="I2087" s="272"/>
    </row>
    <row r="2088" spans="1:9" x14ac:dyDescent="0.3">
      <c r="A2088"/>
      <c r="F2088"/>
      <c r="G2088"/>
      <c r="I2088" s="272"/>
    </row>
    <row r="2089" spans="1:9" x14ac:dyDescent="0.3">
      <c r="A2089"/>
      <c r="F2089"/>
      <c r="G2089"/>
      <c r="I2089" s="272"/>
    </row>
    <row r="2090" spans="1:9" x14ac:dyDescent="0.3">
      <c r="A2090"/>
      <c r="F2090"/>
      <c r="G2090"/>
      <c r="I2090" s="272"/>
    </row>
    <row r="2091" spans="1:9" x14ac:dyDescent="0.3">
      <c r="A2091"/>
      <c r="F2091"/>
      <c r="G2091"/>
      <c r="I2091" s="272"/>
    </row>
    <row r="2092" spans="1:9" x14ac:dyDescent="0.3">
      <c r="A2092"/>
      <c r="F2092"/>
      <c r="G2092"/>
      <c r="I2092" s="272"/>
    </row>
    <row r="2093" spans="1:9" x14ac:dyDescent="0.3">
      <c r="A2093"/>
      <c r="F2093"/>
      <c r="G2093"/>
      <c r="I2093" s="272"/>
    </row>
    <row r="2094" spans="1:9" x14ac:dyDescent="0.3">
      <c r="A2094"/>
      <c r="F2094"/>
      <c r="G2094"/>
      <c r="I2094" s="272"/>
    </row>
    <row r="2095" spans="1:9" x14ac:dyDescent="0.3">
      <c r="A2095"/>
      <c r="F2095"/>
      <c r="G2095"/>
      <c r="I2095" s="272"/>
    </row>
    <row r="2096" spans="1:9" x14ac:dyDescent="0.3">
      <c r="A2096"/>
      <c r="F2096"/>
      <c r="G2096"/>
      <c r="I2096" s="272"/>
    </row>
    <row r="2097" spans="1:9" x14ac:dyDescent="0.3">
      <c r="A2097"/>
      <c r="F2097"/>
      <c r="G2097"/>
      <c r="I2097" s="272"/>
    </row>
    <row r="2098" spans="1:9" x14ac:dyDescent="0.3">
      <c r="A2098"/>
      <c r="F2098"/>
      <c r="G2098"/>
      <c r="I2098" s="272"/>
    </row>
    <row r="2099" spans="1:9" x14ac:dyDescent="0.3">
      <c r="A2099"/>
      <c r="F2099"/>
      <c r="G2099"/>
      <c r="I2099" s="272"/>
    </row>
    <row r="2100" spans="1:9" x14ac:dyDescent="0.3">
      <c r="A2100"/>
      <c r="F2100"/>
      <c r="G2100"/>
      <c r="I2100" s="272"/>
    </row>
    <row r="2101" spans="1:9" x14ac:dyDescent="0.3">
      <c r="A2101"/>
      <c r="F2101"/>
      <c r="G2101"/>
      <c r="I2101" s="272"/>
    </row>
    <row r="2102" spans="1:9" x14ac:dyDescent="0.3">
      <c r="A2102"/>
      <c r="F2102"/>
      <c r="G2102"/>
      <c r="I2102" s="272"/>
    </row>
    <row r="2103" spans="1:9" x14ac:dyDescent="0.3">
      <c r="A2103"/>
      <c r="F2103"/>
      <c r="G2103"/>
      <c r="I2103" s="272"/>
    </row>
    <row r="2104" spans="1:9" x14ac:dyDescent="0.3">
      <c r="A2104"/>
      <c r="F2104"/>
      <c r="G2104"/>
      <c r="I2104" s="272"/>
    </row>
    <row r="2105" spans="1:9" x14ac:dyDescent="0.3">
      <c r="A2105"/>
      <c r="F2105"/>
      <c r="G2105"/>
      <c r="I2105" s="272"/>
    </row>
    <row r="2106" spans="1:9" x14ac:dyDescent="0.3">
      <c r="A2106"/>
      <c r="F2106"/>
      <c r="G2106"/>
      <c r="I2106" s="272"/>
    </row>
    <row r="2107" spans="1:9" x14ac:dyDescent="0.3">
      <c r="A2107"/>
      <c r="F2107"/>
      <c r="G2107"/>
      <c r="I2107" s="272"/>
    </row>
    <row r="2108" spans="1:9" x14ac:dyDescent="0.3">
      <c r="A2108"/>
      <c r="F2108"/>
      <c r="G2108"/>
      <c r="I2108" s="272"/>
    </row>
    <row r="2109" spans="1:9" x14ac:dyDescent="0.3">
      <c r="A2109"/>
      <c r="F2109"/>
      <c r="G2109"/>
      <c r="I2109" s="272"/>
    </row>
    <row r="2110" spans="1:9" x14ac:dyDescent="0.3">
      <c r="A2110"/>
      <c r="F2110"/>
      <c r="G2110"/>
      <c r="I2110" s="272"/>
    </row>
    <row r="2111" spans="1:9" x14ac:dyDescent="0.3">
      <c r="A2111"/>
      <c r="F2111"/>
      <c r="G2111"/>
      <c r="I2111" s="272"/>
    </row>
    <row r="2112" spans="1:9" x14ac:dyDescent="0.3">
      <c r="A2112"/>
      <c r="F2112"/>
      <c r="G2112"/>
      <c r="I2112" s="272"/>
    </row>
    <row r="2113" spans="1:9" x14ac:dyDescent="0.3">
      <c r="A2113"/>
      <c r="F2113"/>
      <c r="G2113"/>
      <c r="I2113" s="272"/>
    </row>
    <row r="2114" spans="1:9" x14ac:dyDescent="0.3">
      <c r="A2114"/>
      <c r="F2114"/>
      <c r="G2114"/>
      <c r="I2114" s="272"/>
    </row>
    <row r="2115" spans="1:9" x14ac:dyDescent="0.3">
      <c r="A2115"/>
      <c r="F2115"/>
      <c r="G2115"/>
      <c r="I2115" s="272"/>
    </row>
    <row r="2116" spans="1:9" x14ac:dyDescent="0.3">
      <c r="A2116"/>
      <c r="F2116"/>
      <c r="G2116"/>
      <c r="I2116" s="272"/>
    </row>
    <row r="2117" spans="1:9" x14ac:dyDescent="0.3">
      <c r="A2117"/>
      <c r="F2117"/>
      <c r="G2117"/>
      <c r="I2117" s="272"/>
    </row>
    <row r="2118" spans="1:9" x14ac:dyDescent="0.3">
      <c r="A2118"/>
      <c r="F2118"/>
      <c r="G2118"/>
      <c r="I2118" s="272"/>
    </row>
    <row r="2119" spans="1:9" x14ac:dyDescent="0.3">
      <c r="A2119"/>
      <c r="F2119"/>
      <c r="G2119"/>
      <c r="I2119" s="272"/>
    </row>
    <row r="2120" spans="1:9" x14ac:dyDescent="0.3">
      <c r="A2120"/>
      <c r="F2120"/>
      <c r="G2120"/>
      <c r="I2120" s="272"/>
    </row>
    <row r="2121" spans="1:9" x14ac:dyDescent="0.3">
      <c r="A2121"/>
      <c r="F2121"/>
      <c r="G2121"/>
      <c r="I2121" s="272"/>
    </row>
    <row r="2122" spans="1:9" x14ac:dyDescent="0.3">
      <c r="A2122"/>
      <c r="F2122"/>
      <c r="G2122"/>
      <c r="I2122" s="272"/>
    </row>
    <row r="2123" spans="1:9" x14ac:dyDescent="0.3">
      <c r="A2123"/>
      <c r="F2123"/>
      <c r="G2123"/>
      <c r="I2123" s="272"/>
    </row>
    <row r="2124" spans="1:9" x14ac:dyDescent="0.3">
      <c r="A2124"/>
      <c r="F2124"/>
      <c r="G2124"/>
      <c r="I2124" s="272"/>
    </row>
    <row r="2125" spans="1:9" x14ac:dyDescent="0.3">
      <c r="A2125"/>
      <c r="F2125"/>
      <c r="G2125"/>
      <c r="I2125" s="272"/>
    </row>
    <row r="2126" spans="1:9" x14ac:dyDescent="0.3">
      <c r="A2126"/>
      <c r="F2126"/>
      <c r="G2126"/>
      <c r="I2126" s="272"/>
    </row>
    <row r="2127" spans="1:9" x14ac:dyDescent="0.3">
      <c r="A2127"/>
      <c r="F2127"/>
      <c r="G2127"/>
      <c r="I2127" s="272"/>
    </row>
    <row r="2128" spans="1:9" x14ac:dyDescent="0.3">
      <c r="A2128"/>
      <c r="F2128"/>
      <c r="G2128"/>
      <c r="I2128" s="272"/>
    </row>
    <row r="2129" spans="1:9" x14ac:dyDescent="0.3">
      <c r="A2129"/>
      <c r="F2129"/>
      <c r="G2129"/>
      <c r="I2129" s="272"/>
    </row>
    <row r="2130" spans="1:9" x14ac:dyDescent="0.3">
      <c r="A2130"/>
      <c r="F2130"/>
      <c r="G2130"/>
      <c r="I2130" s="272"/>
    </row>
    <row r="2131" spans="1:9" x14ac:dyDescent="0.3">
      <c r="A2131"/>
      <c r="F2131"/>
      <c r="G2131"/>
      <c r="I2131" s="272"/>
    </row>
    <row r="2132" spans="1:9" x14ac:dyDescent="0.3">
      <c r="A2132"/>
      <c r="F2132"/>
      <c r="G2132"/>
      <c r="I2132" s="272"/>
    </row>
    <row r="2133" spans="1:9" x14ac:dyDescent="0.3">
      <c r="A2133"/>
      <c r="F2133"/>
      <c r="G2133"/>
      <c r="I2133" s="272"/>
    </row>
    <row r="2134" spans="1:9" x14ac:dyDescent="0.3">
      <c r="A2134"/>
      <c r="F2134"/>
      <c r="G2134"/>
      <c r="I2134" s="272"/>
    </row>
    <row r="2135" spans="1:9" x14ac:dyDescent="0.3">
      <c r="A2135"/>
      <c r="F2135"/>
      <c r="G2135"/>
      <c r="I2135" s="272"/>
    </row>
    <row r="2136" spans="1:9" x14ac:dyDescent="0.3">
      <c r="A2136"/>
      <c r="F2136"/>
      <c r="G2136"/>
      <c r="I2136" s="272"/>
    </row>
    <row r="2137" spans="1:9" x14ac:dyDescent="0.3">
      <c r="A2137"/>
      <c r="F2137"/>
      <c r="G2137"/>
      <c r="I2137" s="272"/>
    </row>
    <row r="2138" spans="1:9" x14ac:dyDescent="0.3">
      <c r="A2138"/>
      <c r="F2138"/>
      <c r="G2138"/>
      <c r="I2138" s="272"/>
    </row>
    <row r="2139" spans="1:9" x14ac:dyDescent="0.3">
      <c r="A2139"/>
      <c r="F2139"/>
      <c r="G2139"/>
      <c r="I2139" s="272"/>
    </row>
    <row r="2140" spans="1:9" x14ac:dyDescent="0.3">
      <c r="A2140"/>
      <c r="F2140"/>
      <c r="G2140"/>
      <c r="I2140" s="272"/>
    </row>
    <row r="2141" spans="1:9" x14ac:dyDescent="0.3">
      <c r="A2141"/>
      <c r="F2141"/>
      <c r="G2141"/>
      <c r="I2141" s="272"/>
    </row>
    <row r="2142" spans="1:9" x14ac:dyDescent="0.3">
      <c r="A2142"/>
      <c r="F2142"/>
      <c r="G2142"/>
      <c r="I2142" s="272"/>
    </row>
    <row r="2143" spans="1:9" x14ac:dyDescent="0.3">
      <c r="A2143"/>
      <c r="F2143"/>
      <c r="G2143"/>
      <c r="I2143" s="272"/>
    </row>
    <row r="2144" spans="1:9" x14ac:dyDescent="0.3">
      <c r="A2144"/>
      <c r="F2144"/>
      <c r="G2144"/>
      <c r="I2144" s="272"/>
    </row>
    <row r="2145" spans="1:9" x14ac:dyDescent="0.3">
      <c r="A2145"/>
      <c r="F2145"/>
      <c r="G2145"/>
      <c r="I2145" s="272"/>
    </row>
    <row r="2146" spans="1:9" x14ac:dyDescent="0.3">
      <c r="A2146"/>
      <c r="F2146"/>
      <c r="G2146"/>
      <c r="I2146" s="272"/>
    </row>
    <row r="2147" spans="1:9" x14ac:dyDescent="0.3">
      <c r="A2147"/>
      <c r="F2147"/>
      <c r="G2147"/>
      <c r="I2147" s="272"/>
    </row>
    <row r="2148" spans="1:9" x14ac:dyDescent="0.3">
      <c r="A2148"/>
      <c r="F2148"/>
      <c r="G2148"/>
      <c r="I2148" s="272"/>
    </row>
    <row r="2149" spans="1:9" x14ac:dyDescent="0.3">
      <c r="A2149"/>
      <c r="F2149"/>
      <c r="G2149"/>
      <c r="I2149" s="272"/>
    </row>
    <row r="2150" spans="1:9" x14ac:dyDescent="0.3">
      <c r="A2150"/>
      <c r="F2150"/>
      <c r="G2150"/>
      <c r="I2150" s="272"/>
    </row>
    <row r="2151" spans="1:9" x14ac:dyDescent="0.3">
      <c r="A2151"/>
      <c r="F2151"/>
      <c r="G2151"/>
      <c r="I2151" s="272"/>
    </row>
    <row r="2152" spans="1:9" x14ac:dyDescent="0.3">
      <c r="A2152"/>
      <c r="F2152"/>
      <c r="G2152"/>
      <c r="I2152" s="272"/>
    </row>
    <row r="2153" spans="1:9" x14ac:dyDescent="0.3">
      <c r="A2153"/>
      <c r="F2153"/>
      <c r="G2153"/>
      <c r="I2153" s="272"/>
    </row>
    <row r="2154" spans="1:9" x14ac:dyDescent="0.3">
      <c r="A2154"/>
      <c r="F2154"/>
      <c r="G2154"/>
      <c r="I2154" s="272"/>
    </row>
    <row r="2155" spans="1:9" x14ac:dyDescent="0.3">
      <c r="A2155"/>
      <c r="F2155"/>
      <c r="G2155"/>
      <c r="I2155" s="272"/>
    </row>
    <row r="2156" spans="1:9" x14ac:dyDescent="0.3">
      <c r="A2156"/>
      <c r="F2156"/>
      <c r="G2156"/>
      <c r="I2156" s="272"/>
    </row>
    <row r="2157" spans="1:9" x14ac:dyDescent="0.3">
      <c r="A2157"/>
      <c r="F2157"/>
      <c r="G2157"/>
      <c r="I2157" s="272"/>
    </row>
    <row r="2158" spans="1:9" x14ac:dyDescent="0.3">
      <c r="A2158"/>
      <c r="F2158"/>
      <c r="G2158"/>
      <c r="I2158" s="272"/>
    </row>
    <row r="2159" spans="1:9" x14ac:dyDescent="0.3">
      <c r="A2159"/>
      <c r="F2159"/>
      <c r="G2159"/>
      <c r="I2159" s="272"/>
    </row>
    <row r="2160" spans="1:9" x14ac:dyDescent="0.3">
      <c r="A2160"/>
      <c r="F2160"/>
      <c r="G2160"/>
      <c r="I2160" s="272"/>
    </row>
    <row r="2161" spans="1:9" x14ac:dyDescent="0.3">
      <c r="A2161"/>
      <c r="F2161"/>
      <c r="G2161"/>
      <c r="I2161" s="272"/>
    </row>
    <row r="2162" spans="1:9" x14ac:dyDescent="0.3">
      <c r="A2162"/>
      <c r="F2162"/>
      <c r="G2162"/>
      <c r="I2162" s="272"/>
    </row>
    <row r="2163" spans="1:9" x14ac:dyDescent="0.3">
      <c r="A2163"/>
      <c r="F2163"/>
      <c r="G2163"/>
      <c r="I2163" s="272"/>
    </row>
    <row r="2164" spans="1:9" x14ac:dyDescent="0.3">
      <c r="A2164"/>
      <c r="F2164"/>
      <c r="G2164"/>
      <c r="I2164" s="272"/>
    </row>
    <row r="2165" spans="1:9" x14ac:dyDescent="0.3">
      <c r="A2165"/>
      <c r="F2165"/>
      <c r="G2165"/>
      <c r="I2165" s="272"/>
    </row>
    <row r="2166" spans="1:9" x14ac:dyDescent="0.3">
      <c r="A2166"/>
      <c r="F2166"/>
      <c r="G2166"/>
      <c r="I2166" s="272"/>
    </row>
    <row r="2167" spans="1:9" x14ac:dyDescent="0.3">
      <c r="A2167"/>
      <c r="F2167"/>
      <c r="G2167"/>
      <c r="I2167" s="272"/>
    </row>
    <row r="2168" spans="1:9" x14ac:dyDescent="0.3">
      <c r="A2168"/>
      <c r="F2168"/>
      <c r="G2168"/>
      <c r="I2168" s="272"/>
    </row>
    <row r="2169" spans="1:9" x14ac:dyDescent="0.3">
      <c r="A2169"/>
      <c r="F2169"/>
      <c r="G2169"/>
      <c r="I2169" s="272"/>
    </row>
    <row r="2170" spans="1:9" x14ac:dyDescent="0.3">
      <c r="A2170"/>
      <c r="F2170"/>
      <c r="G2170"/>
      <c r="I2170" s="272"/>
    </row>
    <row r="2171" spans="1:9" x14ac:dyDescent="0.3">
      <c r="A2171"/>
      <c r="F2171"/>
      <c r="G2171"/>
      <c r="I2171" s="272"/>
    </row>
    <row r="2172" spans="1:9" x14ac:dyDescent="0.3">
      <c r="A2172"/>
      <c r="F2172"/>
      <c r="G2172"/>
      <c r="I2172" s="272"/>
    </row>
    <row r="2173" spans="1:9" x14ac:dyDescent="0.3">
      <c r="A2173"/>
      <c r="F2173"/>
      <c r="G2173"/>
      <c r="I2173" s="272"/>
    </row>
    <row r="2174" spans="1:9" x14ac:dyDescent="0.3">
      <c r="A2174"/>
      <c r="F2174"/>
      <c r="G2174"/>
      <c r="I2174" s="272"/>
    </row>
    <row r="2175" spans="1:9" x14ac:dyDescent="0.3">
      <c r="A2175"/>
      <c r="F2175"/>
      <c r="G2175"/>
      <c r="I2175" s="272"/>
    </row>
    <row r="2176" spans="1:9" x14ac:dyDescent="0.3">
      <c r="A2176"/>
      <c r="F2176"/>
      <c r="G2176"/>
      <c r="I2176" s="272"/>
    </row>
    <row r="2177" spans="1:9" x14ac:dyDescent="0.3">
      <c r="A2177"/>
      <c r="F2177"/>
      <c r="G2177"/>
      <c r="I2177" s="272"/>
    </row>
    <row r="2178" spans="1:9" x14ac:dyDescent="0.3">
      <c r="A2178"/>
      <c r="F2178"/>
      <c r="G2178"/>
      <c r="I2178" s="272"/>
    </row>
    <row r="2179" spans="1:9" x14ac:dyDescent="0.3">
      <c r="A2179"/>
      <c r="F2179"/>
      <c r="G2179"/>
      <c r="I2179" s="272"/>
    </row>
    <row r="2180" spans="1:9" x14ac:dyDescent="0.3">
      <c r="A2180"/>
      <c r="F2180"/>
      <c r="G2180"/>
      <c r="I2180" s="272"/>
    </row>
    <row r="2181" spans="1:9" x14ac:dyDescent="0.3">
      <c r="A2181"/>
      <c r="F2181"/>
      <c r="G2181"/>
      <c r="I2181" s="272"/>
    </row>
    <row r="2182" spans="1:9" x14ac:dyDescent="0.3">
      <c r="A2182"/>
      <c r="F2182"/>
      <c r="G2182"/>
      <c r="I2182" s="272"/>
    </row>
    <row r="2183" spans="1:9" x14ac:dyDescent="0.3">
      <c r="A2183"/>
      <c r="F2183"/>
      <c r="G2183"/>
      <c r="I2183" s="272"/>
    </row>
    <row r="2184" spans="1:9" x14ac:dyDescent="0.3">
      <c r="A2184"/>
      <c r="F2184"/>
      <c r="G2184"/>
      <c r="I2184" s="272"/>
    </row>
    <row r="2185" spans="1:9" x14ac:dyDescent="0.3">
      <c r="A2185"/>
      <c r="F2185"/>
      <c r="G2185"/>
      <c r="I2185" s="272"/>
    </row>
    <row r="2186" spans="1:9" x14ac:dyDescent="0.3">
      <c r="A2186"/>
      <c r="F2186"/>
      <c r="G2186"/>
      <c r="I2186" s="272"/>
    </row>
    <row r="2187" spans="1:9" x14ac:dyDescent="0.3">
      <c r="A2187"/>
      <c r="F2187"/>
      <c r="G2187"/>
      <c r="I2187" s="272"/>
    </row>
    <row r="2188" spans="1:9" x14ac:dyDescent="0.3">
      <c r="A2188"/>
      <c r="F2188"/>
      <c r="G2188"/>
      <c r="I2188" s="272"/>
    </row>
    <row r="2189" spans="1:9" x14ac:dyDescent="0.3">
      <c r="A2189"/>
      <c r="F2189"/>
      <c r="G2189"/>
      <c r="I2189" s="272"/>
    </row>
    <row r="2190" spans="1:9" x14ac:dyDescent="0.3">
      <c r="A2190"/>
      <c r="F2190"/>
      <c r="G2190"/>
      <c r="I2190" s="272"/>
    </row>
    <row r="2191" spans="1:9" x14ac:dyDescent="0.3">
      <c r="A2191"/>
      <c r="F2191"/>
      <c r="G2191"/>
      <c r="I2191" s="272"/>
    </row>
    <row r="2192" spans="1:9" x14ac:dyDescent="0.3">
      <c r="A2192"/>
      <c r="F2192"/>
      <c r="G2192"/>
      <c r="I2192" s="272"/>
    </row>
    <row r="2193" spans="1:9" x14ac:dyDescent="0.3">
      <c r="A2193"/>
      <c r="F2193"/>
      <c r="G2193"/>
      <c r="I2193" s="272"/>
    </row>
    <row r="2194" spans="1:9" x14ac:dyDescent="0.3">
      <c r="A2194"/>
      <c r="F2194"/>
      <c r="G2194"/>
      <c r="I2194" s="272"/>
    </row>
    <row r="2195" spans="1:9" x14ac:dyDescent="0.3">
      <c r="A2195"/>
      <c r="F2195"/>
      <c r="G2195"/>
      <c r="I2195" s="272"/>
    </row>
    <row r="2196" spans="1:9" x14ac:dyDescent="0.3">
      <c r="A2196"/>
      <c r="F2196"/>
      <c r="G2196"/>
      <c r="I2196" s="272"/>
    </row>
    <row r="2197" spans="1:9" x14ac:dyDescent="0.3">
      <c r="A2197"/>
      <c r="F2197"/>
      <c r="G2197"/>
      <c r="I2197" s="272"/>
    </row>
    <row r="2198" spans="1:9" x14ac:dyDescent="0.3">
      <c r="A2198"/>
      <c r="F2198"/>
      <c r="G2198"/>
      <c r="I2198" s="272"/>
    </row>
    <row r="2199" spans="1:9" x14ac:dyDescent="0.3">
      <c r="A2199"/>
      <c r="F2199"/>
      <c r="G2199"/>
      <c r="I2199" s="272"/>
    </row>
    <row r="2200" spans="1:9" x14ac:dyDescent="0.3">
      <c r="A2200"/>
      <c r="F2200"/>
      <c r="G2200"/>
      <c r="I2200" s="272"/>
    </row>
    <row r="2201" spans="1:9" x14ac:dyDescent="0.3">
      <c r="A2201"/>
      <c r="F2201"/>
      <c r="G2201"/>
      <c r="I2201" s="272"/>
    </row>
    <row r="2202" spans="1:9" x14ac:dyDescent="0.3">
      <c r="A2202"/>
      <c r="F2202"/>
      <c r="G2202"/>
      <c r="I2202" s="272"/>
    </row>
    <row r="2203" spans="1:9" x14ac:dyDescent="0.3">
      <c r="A2203"/>
      <c r="F2203"/>
      <c r="G2203"/>
      <c r="I2203" s="272"/>
    </row>
    <row r="2204" spans="1:9" x14ac:dyDescent="0.3">
      <c r="A2204"/>
      <c r="F2204"/>
      <c r="G2204"/>
      <c r="I2204" s="272"/>
    </row>
    <row r="2205" spans="1:9" x14ac:dyDescent="0.3">
      <c r="A2205"/>
      <c r="F2205"/>
      <c r="G2205"/>
      <c r="I2205" s="272"/>
    </row>
    <row r="2206" spans="1:9" x14ac:dyDescent="0.3">
      <c r="A2206"/>
      <c r="F2206"/>
      <c r="G2206"/>
      <c r="I2206" s="272"/>
    </row>
    <row r="2207" spans="1:9" x14ac:dyDescent="0.3">
      <c r="A2207"/>
      <c r="F2207"/>
      <c r="G2207"/>
      <c r="I2207" s="272"/>
    </row>
    <row r="2208" spans="1:9" x14ac:dyDescent="0.3">
      <c r="A2208"/>
      <c r="F2208"/>
      <c r="G2208"/>
      <c r="I2208" s="272"/>
    </row>
    <row r="2209" spans="1:9" x14ac:dyDescent="0.3">
      <c r="A2209"/>
      <c r="F2209"/>
      <c r="G2209"/>
      <c r="I2209" s="272"/>
    </row>
    <row r="2210" spans="1:9" x14ac:dyDescent="0.3">
      <c r="A2210"/>
      <c r="F2210"/>
      <c r="G2210"/>
      <c r="I2210" s="272"/>
    </row>
    <row r="2211" spans="1:9" x14ac:dyDescent="0.3">
      <c r="A2211"/>
      <c r="F2211"/>
      <c r="G2211"/>
      <c r="I2211" s="272"/>
    </row>
    <row r="2212" spans="1:9" x14ac:dyDescent="0.3">
      <c r="A2212"/>
      <c r="F2212"/>
      <c r="G2212"/>
      <c r="I2212" s="272"/>
    </row>
    <row r="2213" spans="1:9" x14ac:dyDescent="0.3">
      <c r="A2213"/>
      <c r="F2213"/>
      <c r="G2213"/>
      <c r="I2213" s="272"/>
    </row>
    <row r="2214" spans="1:9" x14ac:dyDescent="0.3">
      <c r="A2214"/>
      <c r="F2214"/>
      <c r="G2214"/>
      <c r="I2214" s="272"/>
    </row>
    <row r="2215" spans="1:9" x14ac:dyDescent="0.3">
      <c r="A2215"/>
      <c r="F2215"/>
      <c r="G2215"/>
      <c r="I2215" s="272"/>
    </row>
    <row r="2216" spans="1:9" x14ac:dyDescent="0.3">
      <c r="A2216"/>
      <c r="F2216"/>
      <c r="G2216"/>
      <c r="I2216" s="272"/>
    </row>
    <row r="2217" spans="1:9" x14ac:dyDescent="0.3">
      <c r="A2217"/>
      <c r="F2217"/>
      <c r="G2217"/>
      <c r="I2217" s="272"/>
    </row>
    <row r="2218" spans="1:9" x14ac:dyDescent="0.3">
      <c r="A2218"/>
      <c r="F2218"/>
      <c r="G2218"/>
      <c r="I2218" s="272"/>
    </row>
    <row r="2219" spans="1:9" x14ac:dyDescent="0.3">
      <c r="A2219"/>
      <c r="F2219"/>
      <c r="G2219"/>
      <c r="I2219" s="272"/>
    </row>
    <row r="2220" spans="1:9" x14ac:dyDescent="0.3">
      <c r="A2220"/>
      <c r="F2220"/>
      <c r="G2220"/>
      <c r="I2220" s="272"/>
    </row>
    <row r="2221" spans="1:9" x14ac:dyDescent="0.3">
      <c r="A2221"/>
      <c r="F2221"/>
      <c r="G2221"/>
      <c r="I2221" s="272"/>
    </row>
    <row r="2222" spans="1:9" x14ac:dyDescent="0.3">
      <c r="A2222"/>
      <c r="F2222"/>
      <c r="G2222"/>
      <c r="I2222" s="272"/>
    </row>
    <row r="2223" spans="1:9" x14ac:dyDescent="0.3">
      <c r="A2223"/>
      <c r="F2223"/>
      <c r="G2223"/>
      <c r="I2223" s="272"/>
    </row>
    <row r="2224" spans="1:9" x14ac:dyDescent="0.3">
      <c r="A2224"/>
      <c r="F2224"/>
      <c r="G2224"/>
      <c r="I2224" s="272"/>
    </row>
    <row r="2225" spans="1:9" x14ac:dyDescent="0.3">
      <c r="A2225"/>
      <c r="F2225"/>
      <c r="G2225"/>
      <c r="I2225" s="272"/>
    </row>
    <row r="2226" spans="1:9" x14ac:dyDescent="0.3">
      <c r="A2226"/>
      <c r="F2226"/>
      <c r="G2226"/>
      <c r="I2226" s="272"/>
    </row>
    <row r="2227" spans="1:9" x14ac:dyDescent="0.3">
      <c r="A2227"/>
      <c r="F2227"/>
      <c r="G2227"/>
      <c r="I2227" s="272"/>
    </row>
    <row r="2228" spans="1:9" x14ac:dyDescent="0.3">
      <c r="A2228"/>
      <c r="F2228"/>
      <c r="G2228"/>
      <c r="I2228" s="272"/>
    </row>
    <row r="2229" spans="1:9" x14ac:dyDescent="0.3">
      <c r="A2229"/>
      <c r="F2229"/>
      <c r="G2229"/>
      <c r="I2229" s="272"/>
    </row>
    <row r="2230" spans="1:9" x14ac:dyDescent="0.3">
      <c r="A2230"/>
      <c r="F2230"/>
      <c r="G2230"/>
      <c r="I2230" s="272"/>
    </row>
    <row r="2231" spans="1:9" x14ac:dyDescent="0.3">
      <c r="A2231"/>
      <c r="F2231"/>
      <c r="G2231"/>
      <c r="I2231" s="272"/>
    </row>
    <row r="2232" spans="1:9" x14ac:dyDescent="0.3">
      <c r="A2232"/>
      <c r="F2232"/>
      <c r="G2232"/>
      <c r="I2232" s="272"/>
    </row>
    <row r="2233" spans="1:9" x14ac:dyDescent="0.3">
      <c r="A2233"/>
      <c r="F2233"/>
      <c r="G2233"/>
      <c r="I2233" s="272"/>
    </row>
    <row r="2234" spans="1:9" x14ac:dyDescent="0.3">
      <c r="A2234"/>
      <c r="F2234"/>
      <c r="G2234"/>
      <c r="I2234" s="272"/>
    </row>
    <row r="2235" spans="1:9" x14ac:dyDescent="0.3">
      <c r="A2235"/>
      <c r="F2235"/>
      <c r="G2235"/>
      <c r="I2235" s="272"/>
    </row>
    <row r="2236" spans="1:9" x14ac:dyDescent="0.3">
      <c r="A2236"/>
      <c r="F2236"/>
      <c r="G2236"/>
      <c r="I2236" s="272"/>
    </row>
    <row r="2237" spans="1:9" x14ac:dyDescent="0.3">
      <c r="A2237"/>
      <c r="F2237"/>
      <c r="G2237"/>
      <c r="I2237" s="272"/>
    </row>
    <row r="2238" spans="1:9" x14ac:dyDescent="0.3">
      <c r="A2238"/>
      <c r="F2238"/>
      <c r="G2238"/>
      <c r="I2238" s="272"/>
    </row>
    <row r="2239" spans="1:9" x14ac:dyDescent="0.3">
      <c r="A2239"/>
      <c r="F2239"/>
      <c r="G2239"/>
      <c r="I2239" s="272"/>
    </row>
    <row r="2240" spans="1:9" x14ac:dyDescent="0.3">
      <c r="A2240"/>
      <c r="F2240"/>
      <c r="G2240"/>
      <c r="I2240" s="272"/>
    </row>
    <row r="2241" spans="1:9" x14ac:dyDescent="0.3">
      <c r="A2241"/>
      <c r="F2241"/>
      <c r="G2241"/>
      <c r="I2241" s="272"/>
    </row>
    <row r="2242" spans="1:9" x14ac:dyDescent="0.3">
      <c r="A2242"/>
      <c r="F2242"/>
      <c r="G2242"/>
      <c r="I2242" s="272"/>
    </row>
    <row r="2243" spans="1:9" x14ac:dyDescent="0.3">
      <c r="A2243"/>
      <c r="F2243"/>
      <c r="G2243"/>
      <c r="I2243" s="272"/>
    </row>
    <row r="2244" spans="1:9" x14ac:dyDescent="0.3">
      <c r="A2244"/>
      <c r="F2244"/>
      <c r="G2244"/>
      <c r="I2244" s="272"/>
    </row>
    <row r="2245" spans="1:9" x14ac:dyDescent="0.3">
      <c r="A2245"/>
      <c r="F2245"/>
      <c r="G2245"/>
      <c r="I2245" s="272"/>
    </row>
    <row r="2246" spans="1:9" x14ac:dyDescent="0.3">
      <c r="A2246"/>
      <c r="F2246"/>
      <c r="G2246"/>
      <c r="I2246" s="272"/>
    </row>
    <row r="2247" spans="1:9" x14ac:dyDescent="0.3">
      <c r="A2247"/>
      <c r="F2247"/>
      <c r="G2247"/>
      <c r="I2247" s="272"/>
    </row>
    <row r="2248" spans="1:9" x14ac:dyDescent="0.3">
      <c r="A2248"/>
      <c r="F2248"/>
      <c r="G2248"/>
      <c r="I2248" s="272"/>
    </row>
    <row r="2249" spans="1:9" x14ac:dyDescent="0.3">
      <c r="A2249"/>
      <c r="F2249"/>
      <c r="G2249"/>
      <c r="I2249" s="272"/>
    </row>
    <row r="2250" spans="1:9" x14ac:dyDescent="0.3">
      <c r="A2250"/>
      <c r="F2250"/>
      <c r="G2250"/>
      <c r="I2250" s="272"/>
    </row>
    <row r="2251" spans="1:9" x14ac:dyDescent="0.3">
      <c r="A2251"/>
      <c r="F2251"/>
      <c r="G2251"/>
      <c r="I2251" s="272"/>
    </row>
    <row r="2252" spans="1:9" x14ac:dyDescent="0.3">
      <c r="A2252"/>
      <c r="F2252"/>
      <c r="G2252"/>
      <c r="I2252" s="272"/>
    </row>
    <row r="2253" spans="1:9" x14ac:dyDescent="0.3">
      <c r="A2253"/>
      <c r="F2253"/>
      <c r="G2253"/>
      <c r="I2253" s="272"/>
    </row>
    <row r="2254" spans="1:9" x14ac:dyDescent="0.3">
      <c r="A2254"/>
      <c r="F2254"/>
      <c r="G2254"/>
      <c r="I2254" s="272"/>
    </row>
    <row r="2255" spans="1:9" x14ac:dyDescent="0.3">
      <c r="A2255"/>
      <c r="F2255"/>
      <c r="G2255"/>
      <c r="I2255" s="272"/>
    </row>
    <row r="2256" spans="1:9" x14ac:dyDescent="0.3">
      <c r="A2256"/>
      <c r="F2256"/>
      <c r="G2256"/>
      <c r="I2256" s="272"/>
    </row>
    <row r="2257" spans="1:9" x14ac:dyDescent="0.3">
      <c r="A2257"/>
      <c r="F2257"/>
      <c r="G2257"/>
      <c r="I2257" s="272"/>
    </row>
    <row r="2258" spans="1:9" x14ac:dyDescent="0.3">
      <c r="A2258"/>
      <c r="F2258"/>
      <c r="G2258"/>
      <c r="I2258" s="272"/>
    </row>
    <row r="2259" spans="1:9" x14ac:dyDescent="0.3">
      <c r="A2259"/>
      <c r="F2259"/>
      <c r="G2259"/>
      <c r="I2259" s="272"/>
    </row>
    <row r="2260" spans="1:9" x14ac:dyDescent="0.3">
      <c r="A2260"/>
      <c r="F2260"/>
      <c r="G2260"/>
      <c r="I2260" s="272"/>
    </row>
    <row r="2261" spans="1:9" x14ac:dyDescent="0.3">
      <c r="A2261"/>
      <c r="F2261"/>
      <c r="G2261"/>
      <c r="I2261" s="272"/>
    </row>
    <row r="2262" spans="1:9" x14ac:dyDescent="0.3">
      <c r="A2262"/>
      <c r="F2262"/>
      <c r="G2262"/>
      <c r="I2262" s="272"/>
    </row>
    <row r="2263" spans="1:9" x14ac:dyDescent="0.3">
      <c r="A2263"/>
      <c r="F2263"/>
      <c r="G2263"/>
      <c r="I2263" s="272"/>
    </row>
    <row r="2264" spans="1:9" x14ac:dyDescent="0.3">
      <c r="A2264"/>
      <c r="F2264"/>
      <c r="G2264"/>
      <c r="I2264" s="272"/>
    </row>
    <row r="2265" spans="1:9" x14ac:dyDescent="0.3">
      <c r="A2265"/>
      <c r="F2265"/>
      <c r="G2265"/>
      <c r="I2265" s="272"/>
    </row>
    <row r="2266" spans="1:9" x14ac:dyDescent="0.3">
      <c r="A2266"/>
      <c r="F2266"/>
      <c r="G2266"/>
      <c r="I2266" s="272"/>
    </row>
    <row r="2267" spans="1:9" x14ac:dyDescent="0.3">
      <c r="A2267"/>
      <c r="F2267"/>
      <c r="G2267"/>
      <c r="I2267" s="272"/>
    </row>
    <row r="2268" spans="1:9" x14ac:dyDescent="0.3">
      <c r="A2268"/>
      <c r="F2268"/>
      <c r="G2268"/>
      <c r="I2268" s="272"/>
    </row>
    <row r="2269" spans="1:9" x14ac:dyDescent="0.3">
      <c r="A2269"/>
      <c r="F2269"/>
      <c r="G2269"/>
      <c r="I2269" s="272"/>
    </row>
    <row r="2270" spans="1:9" x14ac:dyDescent="0.3">
      <c r="A2270"/>
      <c r="F2270"/>
      <c r="G2270"/>
      <c r="I2270" s="272"/>
    </row>
    <row r="2271" spans="1:9" x14ac:dyDescent="0.3">
      <c r="A2271"/>
      <c r="F2271"/>
      <c r="G2271"/>
      <c r="I2271" s="272"/>
    </row>
    <row r="2272" spans="1:9" x14ac:dyDescent="0.3">
      <c r="A2272"/>
      <c r="F2272"/>
      <c r="G2272"/>
      <c r="I2272" s="272"/>
    </row>
    <row r="2273" spans="1:9" x14ac:dyDescent="0.3">
      <c r="A2273"/>
      <c r="F2273"/>
      <c r="G2273"/>
      <c r="I2273" s="272"/>
    </row>
    <row r="2274" spans="1:9" x14ac:dyDescent="0.3">
      <c r="A2274"/>
      <c r="F2274"/>
      <c r="G2274"/>
      <c r="I2274" s="272"/>
    </row>
    <row r="2275" spans="1:9" x14ac:dyDescent="0.3">
      <c r="A2275"/>
      <c r="F2275"/>
      <c r="G2275"/>
      <c r="I2275" s="272"/>
    </row>
    <row r="2276" spans="1:9" x14ac:dyDescent="0.3">
      <c r="A2276"/>
      <c r="F2276"/>
      <c r="G2276"/>
      <c r="I2276" s="272"/>
    </row>
    <row r="2277" spans="1:9" x14ac:dyDescent="0.3">
      <c r="A2277"/>
      <c r="F2277"/>
      <c r="G2277"/>
      <c r="I2277" s="272"/>
    </row>
    <row r="2278" spans="1:9" x14ac:dyDescent="0.3">
      <c r="A2278"/>
      <c r="F2278"/>
      <c r="G2278"/>
      <c r="I2278" s="272"/>
    </row>
    <row r="2279" spans="1:9" x14ac:dyDescent="0.3">
      <c r="A2279"/>
      <c r="F2279"/>
      <c r="G2279"/>
      <c r="I2279" s="272"/>
    </row>
    <row r="2280" spans="1:9" x14ac:dyDescent="0.3">
      <c r="A2280"/>
      <c r="F2280"/>
      <c r="G2280"/>
      <c r="I2280" s="272"/>
    </row>
    <row r="2281" spans="1:9" x14ac:dyDescent="0.3">
      <c r="A2281"/>
      <c r="F2281"/>
      <c r="G2281"/>
      <c r="I2281" s="272"/>
    </row>
    <row r="2282" spans="1:9" x14ac:dyDescent="0.3">
      <c r="A2282"/>
      <c r="F2282"/>
      <c r="G2282"/>
      <c r="I2282" s="272"/>
    </row>
    <row r="2283" spans="1:9" x14ac:dyDescent="0.3">
      <c r="A2283"/>
      <c r="F2283"/>
      <c r="G2283"/>
      <c r="I2283" s="272"/>
    </row>
    <row r="2284" spans="1:9" x14ac:dyDescent="0.3">
      <c r="A2284"/>
      <c r="F2284"/>
      <c r="G2284"/>
      <c r="I2284" s="272"/>
    </row>
    <row r="2285" spans="1:9" x14ac:dyDescent="0.3">
      <c r="A2285"/>
      <c r="F2285"/>
      <c r="G2285"/>
      <c r="I2285" s="272"/>
    </row>
    <row r="2286" spans="1:9" x14ac:dyDescent="0.3">
      <c r="A2286"/>
      <c r="F2286"/>
      <c r="G2286"/>
      <c r="I2286" s="272"/>
    </row>
    <row r="2287" spans="1:9" x14ac:dyDescent="0.3">
      <c r="A2287"/>
      <c r="F2287"/>
      <c r="G2287"/>
      <c r="I2287" s="272"/>
    </row>
    <row r="2288" spans="1:9" x14ac:dyDescent="0.3">
      <c r="A2288"/>
      <c r="F2288"/>
      <c r="G2288"/>
      <c r="I2288" s="272"/>
    </row>
    <row r="2289" spans="1:9" x14ac:dyDescent="0.3">
      <c r="A2289"/>
      <c r="F2289"/>
      <c r="G2289"/>
      <c r="I2289" s="272"/>
    </row>
    <row r="2290" spans="1:9" x14ac:dyDescent="0.3">
      <c r="A2290"/>
      <c r="F2290"/>
      <c r="G2290"/>
      <c r="I2290" s="272"/>
    </row>
    <row r="2291" spans="1:9" x14ac:dyDescent="0.3">
      <c r="A2291"/>
      <c r="F2291"/>
      <c r="G2291"/>
      <c r="I2291" s="272"/>
    </row>
    <row r="2292" spans="1:9" x14ac:dyDescent="0.3">
      <c r="A2292"/>
      <c r="F2292"/>
      <c r="G2292"/>
      <c r="I2292" s="272"/>
    </row>
    <row r="2293" spans="1:9" x14ac:dyDescent="0.3">
      <c r="A2293"/>
      <c r="F2293"/>
      <c r="G2293"/>
      <c r="I2293" s="272"/>
    </row>
    <row r="2294" spans="1:9" x14ac:dyDescent="0.3">
      <c r="A2294"/>
      <c r="F2294"/>
      <c r="G2294"/>
      <c r="I2294" s="272"/>
    </row>
    <row r="2295" spans="1:9" x14ac:dyDescent="0.3">
      <c r="A2295"/>
      <c r="F2295"/>
      <c r="G2295"/>
      <c r="I2295" s="272"/>
    </row>
    <row r="2296" spans="1:9" x14ac:dyDescent="0.3">
      <c r="A2296"/>
      <c r="F2296"/>
      <c r="G2296"/>
      <c r="I2296" s="272"/>
    </row>
    <row r="2297" spans="1:9" x14ac:dyDescent="0.3">
      <c r="A2297"/>
      <c r="F2297"/>
      <c r="G2297"/>
      <c r="I2297" s="272"/>
    </row>
    <row r="2298" spans="1:9" x14ac:dyDescent="0.3">
      <c r="A2298"/>
      <c r="F2298"/>
      <c r="G2298"/>
      <c r="I2298" s="272"/>
    </row>
    <row r="2299" spans="1:9" x14ac:dyDescent="0.3">
      <c r="A2299"/>
      <c r="F2299"/>
      <c r="G2299"/>
      <c r="I2299" s="272"/>
    </row>
    <row r="2300" spans="1:9" x14ac:dyDescent="0.3">
      <c r="A2300"/>
      <c r="F2300"/>
      <c r="G2300"/>
      <c r="I2300" s="272"/>
    </row>
    <row r="2301" spans="1:9" x14ac:dyDescent="0.3">
      <c r="A2301"/>
      <c r="F2301"/>
      <c r="G2301"/>
      <c r="I2301" s="272"/>
    </row>
    <row r="2302" spans="1:9" x14ac:dyDescent="0.3">
      <c r="A2302"/>
      <c r="F2302"/>
      <c r="G2302"/>
      <c r="I2302" s="272"/>
    </row>
    <row r="2303" spans="1:9" x14ac:dyDescent="0.3">
      <c r="A2303"/>
      <c r="F2303"/>
      <c r="G2303"/>
      <c r="I2303" s="272"/>
    </row>
    <row r="2304" spans="1:9" x14ac:dyDescent="0.3">
      <c r="A2304"/>
      <c r="F2304"/>
      <c r="G2304"/>
      <c r="I2304" s="272"/>
    </row>
    <row r="2305" spans="1:9" x14ac:dyDescent="0.3">
      <c r="A2305"/>
      <c r="F2305"/>
      <c r="G2305"/>
      <c r="I2305" s="272"/>
    </row>
    <row r="2306" spans="1:9" x14ac:dyDescent="0.3">
      <c r="A2306"/>
      <c r="F2306"/>
      <c r="G2306"/>
      <c r="I2306" s="272"/>
    </row>
    <row r="2307" spans="1:9" x14ac:dyDescent="0.3">
      <c r="A2307"/>
      <c r="F2307"/>
      <c r="G2307"/>
      <c r="I2307" s="272"/>
    </row>
    <row r="2308" spans="1:9" x14ac:dyDescent="0.3">
      <c r="A2308"/>
      <c r="F2308"/>
      <c r="G2308"/>
      <c r="I2308" s="272"/>
    </row>
    <row r="2309" spans="1:9" x14ac:dyDescent="0.3">
      <c r="A2309"/>
      <c r="F2309"/>
      <c r="G2309"/>
      <c r="I2309" s="272"/>
    </row>
    <row r="2310" spans="1:9" x14ac:dyDescent="0.3">
      <c r="A2310"/>
      <c r="F2310"/>
      <c r="G2310"/>
      <c r="I2310" s="272"/>
    </row>
    <row r="2311" spans="1:9" x14ac:dyDescent="0.3">
      <c r="A2311"/>
      <c r="F2311"/>
      <c r="G2311"/>
      <c r="I2311" s="272"/>
    </row>
    <row r="2312" spans="1:9" x14ac:dyDescent="0.3">
      <c r="A2312"/>
      <c r="F2312"/>
      <c r="G2312"/>
      <c r="I2312" s="272"/>
    </row>
    <row r="2313" spans="1:9" x14ac:dyDescent="0.3">
      <c r="A2313"/>
      <c r="F2313"/>
      <c r="G2313"/>
      <c r="I2313" s="272"/>
    </row>
    <row r="2314" spans="1:9" x14ac:dyDescent="0.3">
      <c r="A2314"/>
      <c r="F2314"/>
      <c r="G2314"/>
      <c r="I2314" s="272"/>
    </row>
    <row r="2315" spans="1:9" x14ac:dyDescent="0.3">
      <c r="A2315"/>
      <c r="F2315"/>
      <c r="G2315"/>
      <c r="I2315" s="272"/>
    </row>
    <row r="2316" spans="1:9" x14ac:dyDescent="0.3">
      <c r="A2316"/>
      <c r="F2316"/>
      <c r="G2316"/>
      <c r="I2316" s="272"/>
    </row>
    <row r="2317" spans="1:9" x14ac:dyDescent="0.3">
      <c r="A2317"/>
      <c r="F2317"/>
      <c r="G2317"/>
      <c r="I2317" s="272"/>
    </row>
    <row r="2318" spans="1:9" x14ac:dyDescent="0.3">
      <c r="A2318"/>
      <c r="F2318"/>
      <c r="G2318"/>
      <c r="I2318" s="272"/>
    </row>
    <row r="2319" spans="1:9" x14ac:dyDescent="0.3">
      <c r="A2319"/>
      <c r="F2319"/>
      <c r="G2319"/>
      <c r="I2319" s="272"/>
    </row>
    <row r="2320" spans="1:9" x14ac:dyDescent="0.3">
      <c r="A2320"/>
      <c r="F2320"/>
      <c r="G2320"/>
      <c r="I2320" s="272"/>
    </row>
    <row r="2321" spans="1:9" x14ac:dyDescent="0.3">
      <c r="A2321"/>
      <c r="F2321"/>
      <c r="G2321"/>
      <c r="I2321" s="272"/>
    </row>
    <row r="2322" spans="1:9" x14ac:dyDescent="0.3">
      <c r="A2322"/>
      <c r="F2322"/>
      <c r="G2322"/>
      <c r="I2322" s="272"/>
    </row>
    <row r="2323" spans="1:9" x14ac:dyDescent="0.3">
      <c r="A2323"/>
      <c r="F2323"/>
      <c r="G2323"/>
      <c r="I2323" s="272"/>
    </row>
    <row r="2324" spans="1:9" x14ac:dyDescent="0.3">
      <c r="A2324"/>
      <c r="F2324"/>
      <c r="G2324"/>
      <c r="I2324" s="272"/>
    </row>
    <row r="2325" spans="1:9" x14ac:dyDescent="0.3">
      <c r="A2325"/>
      <c r="F2325"/>
      <c r="G2325"/>
      <c r="I2325" s="272"/>
    </row>
    <row r="2326" spans="1:9" x14ac:dyDescent="0.3">
      <c r="A2326"/>
      <c r="F2326"/>
      <c r="G2326"/>
      <c r="I2326" s="272"/>
    </row>
    <row r="2327" spans="1:9" x14ac:dyDescent="0.3">
      <c r="A2327"/>
      <c r="F2327"/>
      <c r="G2327"/>
      <c r="I2327" s="272"/>
    </row>
    <row r="2328" spans="1:9" x14ac:dyDescent="0.3">
      <c r="A2328"/>
      <c r="F2328"/>
      <c r="G2328"/>
      <c r="I2328" s="272"/>
    </row>
    <row r="2329" spans="1:9" x14ac:dyDescent="0.3">
      <c r="A2329"/>
      <c r="F2329"/>
      <c r="G2329"/>
      <c r="I2329" s="272"/>
    </row>
    <row r="2330" spans="1:9" x14ac:dyDescent="0.3">
      <c r="A2330"/>
      <c r="F2330"/>
      <c r="G2330"/>
      <c r="I2330" s="272"/>
    </row>
    <row r="2331" spans="1:9" x14ac:dyDescent="0.3">
      <c r="A2331"/>
      <c r="F2331"/>
      <c r="G2331"/>
      <c r="I2331" s="272"/>
    </row>
    <row r="2332" spans="1:9" x14ac:dyDescent="0.3">
      <c r="A2332"/>
      <c r="F2332"/>
      <c r="G2332"/>
      <c r="I2332" s="272"/>
    </row>
    <row r="2333" spans="1:9" x14ac:dyDescent="0.3">
      <c r="A2333"/>
      <c r="F2333"/>
      <c r="G2333"/>
      <c r="I2333" s="272"/>
    </row>
    <row r="2334" spans="1:9" x14ac:dyDescent="0.3">
      <c r="A2334"/>
      <c r="F2334"/>
      <c r="G2334"/>
      <c r="I2334" s="272"/>
    </row>
    <row r="2335" spans="1:9" x14ac:dyDescent="0.3">
      <c r="A2335"/>
      <c r="F2335"/>
      <c r="G2335"/>
      <c r="I2335" s="272"/>
    </row>
    <row r="2336" spans="1:9" x14ac:dyDescent="0.3">
      <c r="A2336"/>
      <c r="F2336"/>
      <c r="G2336"/>
      <c r="I2336" s="272"/>
    </row>
    <row r="2337" spans="1:9" x14ac:dyDescent="0.3">
      <c r="A2337"/>
      <c r="F2337"/>
      <c r="G2337"/>
      <c r="I2337" s="272"/>
    </row>
    <row r="2338" spans="1:9" x14ac:dyDescent="0.3">
      <c r="A2338"/>
      <c r="F2338"/>
      <c r="G2338"/>
      <c r="I2338" s="272"/>
    </row>
    <row r="2339" spans="1:9" x14ac:dyDescent="0.3">
      <c r="A2339"/>
      <c r="F2339"/>
      <c r="G2339"/>
      <c r="I2339" s="272"/>
    </row>
    <row r="2340" spans="1:9" x14ac:dyDescent="0.3">
      <c r="A2340"/>
      <c r="F2340"/>
      <c r="G2340"/>
      <c r="I2340" s="272"/>
    </row>
    <row r="2341" spans="1:9" x14ac:dyDescent="0.3">
      <c r="A2341"/>
      <c r="F2341"/>
      <c r="G2341"/>
      <c r="I2341" s="272"/>
    </row>
    <row r="2342" spans="1:9" x14ac:dyDescent="0.3">
      <c r="A2342"/>
      <c r="F2342"/>
      <c r="G2342"/>
      <c r="I2342" s="272"/>
    </row>
    <row r="2343" spans="1:9" x14ac:dyDescent="0.3">
      <c r="A2343"/>
      <c r="F2343"/>
      <c r="G2343"/>
      <c r="I2343" s="272"/>
    </row>
    <row r="2344" spans="1:9" x14ac:dyDescent="0.3">
      <c r="A2344"/>
      <c r="F2344"/>
      <c r="G2344"/>
      <c r="I2344" s="272"/>
    </row>
    <row r="2345" spans="1:9" x14ac:dyDescent="0.3">
      <c r="A2345"/>
      <c r="F2345"/>
      <c r="G2345"/>
      <c r="I2345" s="272"/>
    </row>
    <row r="2346" spans="1:9" x14ac:dyDescent="0.3">
      <c r="A2346"/>
      <c r="F2346"/>
      <c r="G2346"/>
      <c r="I2346" s="272"/>
    </row>
    <row r="2347" spans="1:9" x14ac:dyDescent="0.3">
      <c r="A2347"/>
      <c r="F2347"/>
      <c r="G2347"/>
      <c r="I2347" s="272"/>
    </row>
    <row r="2348" spans="1:9" x14ac:dyDescent="0.3">
      <c r="A2348"/>
      <c r="F2348"/>
      <c r="G2348"/>
      <c r="I2348" s="272"/>
    </row>
    <row r="2349" spans="1:9" x14ac:dyDescent="0.3">
      <c r="A2349"/>
      <c r="F2349"/>
      <c r="G2349"/>
      <c r="I2349" s="272"/>
    </row>
    <row r="2350" spans="1:9" x14ac:dyDescent="0.3">
      <c r="A2350"/>
      <c r="F2350"/>
      <c r="G2350"/>
      <c r="I2350" s="272"/>
    </row>
    <row r="2351" spans="1:9" x14ac:dyDescent="0.3">
      <c r="A2351"/>
      <c r="F2351"/>
      <c r="G2351"/>
      <c r="I2351" s="272"/>
    </row>
    <row r="2352" spans="1:9" x14ac:dyDescent="0.3">
      <c r="A2352"/>
      <c r="F2352"/>
      <c r="G2352"/>
      <c r="I2352" s="272"/>
    </row>
    <row r="2353" spans="1:9" x14ac:dyDescent="0.3">
      <c r="A2353"/>
      <c r="F2353"/>
      <c r="G2353"/>
      <c r="I2353" s="272"/>
    </row>
    <row r="2354" spans="1:9" x14ac:dyDescent="0.3">
      <c r="A2354"/>
      <c r="F2354"/>
      <c r="G2354"/>
      <c r="I2354" s="272"/>
    </row>
    <row r="2355" spans="1:9" x14ac:dyDescent="0.3">
      <c r="A2355"/>
      <c r="F2355"/>
      <c r="G2355"/>
      <c r="I2355" s="272"/>
    </row>
    <row r="2356" spans="1:9" x14ac:dyDescent="0.3">
      <c r="A2356"/>
      <c r="F2356"/>
      <c r="G2356"/>
      <c r="I2356" s="272"/>
    </row>
    <row r="2357" spans="1:9" x14ac:dyDescent="0.3">
      <c r="A2357"/>
      <c r="F2357"/>
      <c r="G2357"/>
      <c r="I2357" s="272"/>
    </row>
    <row r="2358" spans="1:9" x14ac:dyDescent="0.3">
      <c r="A2358"/>
      <c r="F2358"/>
      <c r="G2358"/>
      <c r="I2358" s="272"/>
    </row>
    <row r="2359" spans="1:9" x14ac:dyDescent="0.3">
      <c r="A2359"/>
      <c r="F2359"/>
      <c r="G2359"/>
      <c r="I2359" s="272"/>
    </row>
    <row r="2360" spans="1:9" x14ac:dyDescent="0.3">
      <c r="A2360"/>
      <c r="F2360"/>
      <c r="G2360"/>
      <c r="I2360" s="272"/>
    </row>
    <row r="2361" spans="1:9" x14ac:dyDescent="0.3">
      <c r="A2361"/>
      <c r="F2361"/>
      <c r="G2361"/>
      <c r="I2361" s="272"/>
    </row>
    <row r="2362" spans="1:9" x14ac:dyDescent="0.3">
      <c r="A2362"/>
      <c r="F2362"/>
      <c r="G2362"/>
      <c r="I2362" s="272"/>
    </row>
    <row r="2363" spans="1:9" x14ac:dyDescent="0.3">
      <c r="A2363"/>
      <c r="F2363"/>
      <c r="G2363"/>
      <c r="I2363" s="272"/>
    </row>
    <row r="2364" spans="1:9" x14ac:dyDescent="0.3">
      <c r="A2364"/>
      <c r="F2364"/>
      <c r="G2364"/>
      <c r="I2364" s="272"/>
    </row>
    <row r="2365" spans="1:9" x14ac:dyDescent="0.3">
      <c r="A2365"/>
      <c r="F2365"/>
      <c r="G2365"/>
      <c r="I2365" s="272"/>
    </row>
    <row r="2366" spans="1:9" x14ac:dyDescent="0.3">
      <c r="A2366"/>
      <c r="F2366"/>
      <c r="G2366"/>
      <c r="I2366" s="272"/>
    </row>
    <row r="2367" spans="1:9" x14ac:dyDescent="0.3">
      <c r="A2367"/>
      <c r="F2367"/>
      <c r="G2367"/>
      <c r="I2367" s="272"/>
    </row>
    <row r="2368" spans="1:9" x14ac:dyDescent="0.3">
      <c r="A2368"/>
      <c r="F2368"/>
      <c r="G2368"/>
      <c r="I2368" s="272"/>
    </row>
    <row r="2369" spans="1:9" x14ac:dyDescent="0.3">
      <c r="A2369"/>
      <c r="F2369"/>
      <c r="G2369"/>
      <c r="I2369" s="272"/>
    </row>
    <row r="2370" spans="1:9" x14ac:dyDescent="0.3">
      <c r="A2370"/>
      <c r="F2370"/>
      <c r="G2370"/>
      <c r="I2370" s="272"/>
    </row>
    <row r="2371" spans="1:9" x14ac:dyDescent="0.3">
      <c r="A2371"/>
      <c r="F2371"/>
      <c r="G2371"/>
      <c r="I2371" s="272"/>
    </row>
    <row r="2372" spans="1:9" x14ac:dyDescent="0.3">
      <c r="A2372"/>
      <c r="F2372"/>
      <c r="G2372"/>
      <c r="I2372" s="272"/>
    </row>
    <row r="2373" spans="1:9" x14ac:dyDescent="0.3">
      <c r="A2373"/>
      <c r="F2373"/>
      <c r="G2373"/>
      <c r="I2373" s="272"/>
    </row>
    <row r="2374" spans="1:9" x14ac:dyDescent="0.3">
      <c r="A2374"/>
      <c r="F2374"/>
      <c r="G2374"/>
      <c r="I2374" s="272"/>
    </row>
    <row r="2375" spans="1:9" x14ac:dyDescent="0.3">
      <c r="A2375"/>
      <c r="F2375"/>
      <c r="G2375"/>
      <c r="I2375" s="272"/>
    </row>
    <row r="2376" spans="1:9" x14ac:dyDescent="0.3">
      <c r="A2376"/>
      <c r="F2376"/>
      <c r="G2376"/>
      <c r="I2376" s="272"/>
    </row>
    <row r="2377" spans="1:9" x14ac:dyDescent="0.3">
      <c r="A2377"/>
      <c r="F2377"/>
      <c r="G2377"/>
      <c r="I2377" s="272"/>
    </row>
    <row r="2378" spans="1:9" x14ac:dyDescent="0.3">
      <c r="A2378"/>
      <c r="F2378"/>
      <c r="G2378"/>
      <c r="I2378" s="272"/>
    </row>
    <row r="2379" spans="1:9" x14ac:dyDescent="0.3">
      <c r="A2379"/>
      <c r="F2379"/>
      <c r="G2379"/>
      <c r="I2379" s="272"/>
    </row>
    <row r="2380" spans="1:9" x14ac:dyDescent="0.3">
      <c r="A2380"/>
      <c r="F2380"/>
      <c r="G2380"/>
      <c r="I2380" s="272"/>
    </row>
    <row r="2381" spans="1:9" x14ac:dyDescent="0.3">
      <c r="A2381"/>
      <c r="F2381"/>
      <c r="G2381"/>
      <c r="I2381" s="272"/>
    </row>
    <row r="2382" spans="1:9" x14ac:dyDescent="0.3">
      <c r="A2382"/>
      <c r="F2382"/>
      <c r="G2382"/>
      <c r="I2382" s="272"/>
    </row>
    <row r="2383" spans="1:9" x14ac:dyDescent="0.3">
      <c r="A2383"/>
      <c r="F2383"/>
      <c r="G2383"/>
      <c r="I2383" s="272"/>
    </row>
    <row r="2384" spans="1:9" x14ac:dyDescent="0.3">
      <c r="A2384"/>
      <c r="F2384"/>
      <c r="G2384"/>
      <c r="I2384" s="272"/>
    </row>
    <row r="2385" spans="1:9" x14ac:dyDescent="0.3">
      <c r="A2385"/>
      <c r="F2385"/>
      <c r="G2385"/>
      <c r="I2385" s="272"/>
    </row>
    <row r="2386" spans="1:9" x14ac:dyDescent="0.3">
      <c r="A2386"/>
      <c r="F2386"/>
      <c r="G2386"/>
      <c r="I2386" s="272"/>
    </row>
    <row r="2387" spans="1:9" x14ac:dyDescent="0.3">
      <c r="A2387"/>
      <c r="F2387"/>
      <c r="G2387"/>
      <c r="I2387" s="272"/>
    </row>
    <row r="2388" spans="1:9" x14ac:dyDescent="0.3">
      <c r="A2388"/>
      <c r="F2388"/>
      <c r="G2388"/>
      <c r="I2388" s="272"/>
    </row>
    <row r="2389" spans="1:9" x14ac:dyDescent="0.3">
      <c r="A2389"/>
      <c r="F2389"/>
      <c r="G2389"/>
      <c r="I2389" s="272"/>
    </row>
    <row r="2390" spans="1:9" x14ac:dyDescent="0.3">
      <c r="A2390"/>
      <c r="F2390"/>
      <c r="G2390"/>
      <c r="I2390" s="272"/>
    </row>
    <row r="2391" spans="1:9" x14ac:dyDescent="0.3">
      <c r="A2391"/>
      <c r="F2391"/>
      <c r="G2391"/>
      <c r="I2391" s="272"/>
    </row>
    <row r="2392" spans="1:9" x14ac:dyDescent="0.3">
      <c r="A2392"/>
      <c r="F2392"/>
      <c r="G2392"/>
      <c r="I2392" s="272"/>
    </row>
    <row r="2393" spans="1:9" x14ac:dyDescent="0.3">
      <c r="A2393"/>
      <c r="F2393"/>
      <c r="G2393"/>
      <c r="I2393" s="272"/>
    </row>
    <row r="2394" spans="1:9" x14ac:dyDescent="0.3">
      <c r="A2394"/>
      <c r="F2394"/>
      <c r="G2394"/>
      <c r="I2394" s="272"/>
    </row>
    <row r="2395" spans="1:9" x14ac:dyDescent="0.3">
      <c r="A2395"/>
      <c r="F2395"/>
      <c r="G2395"/>
      <c r="I2395" s="272"/>
    </row>
    <row r="2396" spans="1:9" x14ac:dyDescent="0.3">
      <c r="A2396"/>
      <c r="F2396"/>
      <c r="G2396"/>
      <c r="I2396" s="272"/>
    </row>
    <row r="2397" spans="1:9" x14ac:dyDescent="0.3">
      <c r="A2397"/>
      <c r="F2397"/>
      <c r="G2397"/>
      <c r="I2397" s="272"/>
    </row>
    <row r="2398" spans="1:9" x14ac:dyDescent="0.3">
      <c r="A2398"/>
      <c r="F2398"/>
      <c r="G2398"/>
      <c r="I2398" s="272"/>
    </row>
    <row r="2399" spans="1:9" x14ac:dyDescent="0.3">
      <c r="A2399"/>
      <c r="F2399"/>
      <c r="G2399"/>
      <c r="I2399" s="272"/>
    </row>
    <row r="2400" spans="1:9" x14ac:dyDescent="0.3">
      <c r="A2400"/>
      <c r="F2400"/>
      <c r="G2400"/>
      <c r="I2400" s="272"/>
    </row>
    <row r="2401" spans="1:9" x14ac:dyDescent="0.3">
      <c r="A2401"/>
      <c r="F2401"/>
      <c r="G2401"/>
      <c r="I2401" s="272"/>
    </row>
    <row r="2402" spans="1:9" x14ac:dyDescent="0.3">
      <c r="A2402"/>
      <c r="F2402"/>
      <c r="G2402"/>
      <c r="I2402" s="272"/>
    </row>
    <row r="2403" spans="1:9" x14ac:dyDescent="0.3">
      <c r="A2403"/>
      <c r="F2403"/>
      <c r="G2403"/>
      <c r="I2403" s="272"/>
    </row>
    <row r="2404" spans="1:9" x14ac:dyDescent="0.3">
      <c r="A2404"/>
      <c r="F2404"/>
      <c r="G2404"/>
      <c r="I2404" s="272"/>
    </row>
    <row r="2405" spans="1:9" x14ac:dyDescent="0.3">
      <c r="A2405"/>
      <c r="F2405"/>
      <c r="G2405"/>
      <c r="I2405" s="272"/>
    </row>
    <row r="2406" spans="1:9" x14ac:dyDescent="0.3">
      <c r="A2406"/>
      <c r="F2406"/>
      <c r="G2406"/>
      <c r="I2406" s="272"/>
    </row>
    <row r="2407" spans="1:9" x14ac:dyDescent="0.3">
      <c r="A2407"/>
      <c r="F2407"/>
      <c r="G2407"/>
      <c r="I2407" s="272"/>
    </row>
    <row r="2408" spans="1:9" x14ac:dyDescent="0.3">
      <c r="A2408"/>
      <c r="F2408"/>
      <c r="G2408"/>
      <c r="I2408" s="272"/>
    </row>
    <row r="2409" spans="1:9" x14ac:dyDescent="0.3">
      <c r="A2409"/>
      <c r="F2409"/>
      <c r="G2409"/>
      <c r="I2409" s="272"/>
    </row>
    <row r="2410" spans="1:9" x14ac:dyDescent="0.3">
      <c r="A2410"/>
      <c r="F2410"/>
      <c r="G2410"/>
      <c r="I2410" s="272"/>
    </row>
    <row r="2411" spans="1:9" x14ac:dyDescent="0.3">
      <c r="A2411"/>
      <c r="F2411"/>
      <c r="G2411"/>
      <c r="I2411" s="272"/>
    </row>
    <row r="2412" spans="1:9" x14ac:dyDescent="0.3">
      <c r="A2412"/>
      <c r="F2412"/>
      <c r="G2412"/>
      <c r="I2412" s="272"/>
    </row>
    <row r="2413" spans="1:9" x14ac:dyDescent="0.3">
      <c r="A2413"/>
      <c r="F2413"/>
      <c r="G2413"/>
      <c r="I2413" s="272"/>
    </row>
    <row r="2414" spans="1:9" x14ac:dyDescent="0.3">
      <c r="A2414"/>
      <c r="F2414"/>
      <c r="G2414"/>
      <c r="I2414" s="272"/>
    </row>
    <row r="2415" spans="1:9" x14ac:dyDescent="0.3">
      <c r="A2415"/>
      <c r="F2415"/>
      <c r="G2415"/>
      <c r="I2415" s="272"/>
    </row>
    <row r="2416" spans="1:9" x14ac:dyDescent="0.3">
      <c r="A2416"/>
      <c r="F2416"/>
      <c r="G2416"/>
      <c r="I2416" s="272"/>
    </row>
    <row r="2417" spans="1:9" x14ac:dyDescent="0.3">
      <c r="A2417"/>
      <c r="F2417"/>
      <c r="G2417"/>
      <c r="I2417" s="272"/>
    </row>
    <row r="2418" spans="1:9" x14ac:dyDescent="0.3">
      <c r="A2418"/>
      <c r="F2418"/>
      <c r="G2418"/>
      <c r="I2418" s="272"/>
    </row>
    <row r="2419" spans="1:9" x14ac:dyDescent="0.3">
      <c r="A2419"/>
      <c r="F2419"/>
      <c r="G2419"/>
      <c r="I2419"/>
    </row>
    <row r="2420" spans="1:9" x14ac:dyDescent="0.3">
      <c r="A2420"/>
      <c r="F2420"/>
      <c r="G2420"/>
      <c r="I2420"/>
    </row>
    <row r="2421" spans="1:9" x14ac:dyDescent="0.3">
      <c r="A2421"/>
      <c r="F2421"/>
      <c r="G2421"/>
      <c r="I2421"/>
    </row>
    <row r="2422" spans="1:9" x14ac:dyDescent="0.3">
      <c r="A2422"/>
      <c r="F2422"/>
      <c r="G2422"/>
      <c r="I2422"/>
    </row>
    <row r="2423" spans="1:9" x14ac:dyDescent="0.3">
      <c r="A2423"/>
      <c r="F2423"/>
      <c r="G2423"/>
      <c r="I2423"/>
    </row>
    <row r="2424" spans="1:9" x14ac:dyDescent="0.3">
      <c r="A2424"/>
      <c r="F2424"/>
      <c r="G2424"/>
      <c r="I2424"/>
    </row>
    <row r="2425" spans="1:9" x14ac:dyDescent="0.3">
      <c r="A2425"/>
      <c r="F2425"/>
      <c r="G2425"/>
      <c r="I2425"/>
    </row>
    <row r="2426" spans="1:9" x14ac:dyDescent="0.3">
      <c r="A2426"/>
      <c r="F2426"/>
      <c r="G2426"/>
      <c r="I2426"/>
    </row>
    <row r="2427" spans="1:9" x14ac:dyDescent="0.3">
      <c r="A2427"/>
      <c r="F2427"/>
      <c r="G2427"/>
      <c r="I2427"/>
    </row>
    <row r="2428" spans="1:9" x14ac:dyDescent="0.3">
      <c r="A2428"/>
      <c r="F2428"/>
      <c r="G2428"/>
      <c r="I2428"/>
    </row>
    <row r="2429" spans="1:9" x14ac:dyDescent="0.3">
      <c r="A2429"/>
      <c r="F2429"/>
      <c r="G2429"/>
      <c r="I2429"/>
    </row>
    <row r="2430" spans="1:9" x14ac:dyDescent="0.3">
      <c r="A2430"/>
      <c r="F2430"/>
      <c r="G2430"/>
      <c r="I2430"/>
    </row>
    <row r="2431" spans="1:9" x14ac:dyDescent="0.3">
      <c r="A2431"/>
      <c r="F2431"/>
      <c r="G2431"/>
      <c r="I2431"/>
    </row>
    <row r="2432" spans="1:9" x14ac:dyDescent="0.3">
      <c r="A2432"/>
      <c r="F2432"/>
      <c r="G2432"/>
      <c r="I2432"/>
    </row>
    <row r="2433" spans="1:9" x14ac:dyDescent="0.3">
      <c r="A2433"/>
      <c r="F2433"/>
      <c r="G2433"/>
      <c r="I2433"/>
    </row>
    <row r="2434" spans="1:9" x14ac:dyDescent="0.3">
      <c r="A2434"/>
      <c r="F2434"/>
      <c r="G2434"/>
      <c r="I2434"/>
    </row>
    <row r="2435" spans="1:9" x14ac:dyDescent="0.3">
      <c r="A2435"/>
      <c r="F2435"/>
      <c r="G2435"/>
      <c r="I2435"/>
    </row>
    <row r="2436" spans="1:9" x14ac:dyDescent="0.3">
      <c r="A2436"/>
      <c r="F2436"/>
      <c r="G2436"/>
      <c r="I2436"/>
    </row>
    <row r="2437" spans="1:9" x14ac:dyDescent="0.3">
      <c r="A2437"/>
      <c r="F2437"/>
      <c r="G2437"/>
      <c r="I2437"/>
    </row>
    <row r="2438" spans="1:9" x14ac:dyDescent="0.3">
      <c r="A2438"/>
      <c r="F2438"/>
      <c r="G2438"/>
      <c r="I2438"/>
    </row>
    <row r="2439" spans="1:9" x14ac:dyDescent="0.3">
      <c r="A2439"/>
      <c r="F2439"/>
      <c r="G2439"/>
      <c r="I2439"/>
    </row>
    <row r="2440" spans="1:9" x14ac:dyDescent="0.3">
      <c r="A2440"/>
      <c r="F2440"/>
      <c r="G2440"/>
      <c r="I2440"/>
    </row>
    <row r="2441" spans="1:9" x14ac:dyDescent="0.3">
      <c r="A2441"/>
      <c r="F2441"/>
      <c r="G2441"/>
      <c r="I2441"/>
    </row>
    <row r="2442" spans="1:9" x14ac:dyDescent="0.3">
      <c r="A2442"/>
      <c r="F2442"/>
      <c r="G2442"/>
      <c r="I2442"/>
    </row>
    <row r="2443" spans="1:9" x14ac:dyDescent="0.3">
      <c r="A2443"/>
      <c r="F2443"/>
      <c r="G2443"/>
      <c r="I2443"/>
    </row>
    <row r="2444" spans="1:9" x14ac:dyDescent="0.3">
      <c r="A2444"/>
      <c r="F2444"/>
      <c r="G2444"/>
      <c r="I2444"/>
    </row>
    <row r="2445" spans="1:9" x14ac:dyDescent="0.3">
      <c r="A2445"/>
      <c r="F2445"/>
      <c r="G2445"/>
      <c r="I2445"/>
    </row>
    <row r="2446" spans="1:9" x14ac:dyDescent="0.3">
      <c r="A2446"/>
      <c r="F2446"/>
      <c r="G2446"/>
      <c r="I2446"/>
    </row>
    <row r="2447" spans="1:9" x14ac:dyDescent="0.3">
      <c r="A2447"/>
      <c r="F2447"/>
      <c r="G2447"/>
      <c r="I2447"/>
    </row>
    <row r="2448" spans="1:9" x14ac:dyDescent="0.3">
      <c r="A2448"/>
      <c r="F2448"/>
      <c r="G2448"/>
      <c r="I2448"/>
    </row>
    <row r="2449" spans="1:9" x14ac:dyDescent="0.3">
      <c r="A2449"/>
      <c r="F2449"/>
      <c r="G2449"/>
      <c r="I2449"/>
    </row>
    <row r="2450" spans="1:9" x14ac:dyDescent="0.3">
      <c r="A2450"/>
      <c r="F2450"/>
      <c r="G2450"/>
      <c r="I2450"/>
    </row>
    <row r="2451" spans="1:9" x14ac:dyDescent="0.3">
      <c r="A2451"/>
      <c r="F2451"/>
      <c r="G2451"/>
      <c r="I2451"/>
    </row>
    <row r="2452" spans="1:9" x14ac:dyDescent="0.3">
      <c r="A2452"/>
      <c r="F2452"/>
      <c r="G2452"/>
      <c r="I2452"/>
    </row>
    <row r="2453" spans="1:9" x14ac:dyDescent="0.3">
      <c r="A2453"/>
      <c r="F2453"/>
      <c r="G2453"/>
      <c r="I2453"/>
    </row>
    <row r="2454" spans="1:9" x14ac:dyDescent="0.3">
      <c r="A2454"/>
      <c r="F2454"/>
      <c r="G2454"/>
      <c r="I2454"/>
    </row>
    <row r="2455" spans="1:9" x14ac:dyDescent="0.3">
      <c r="A2455"/>
      <c r="F2455"/>
      <c r="G2455"/>
      <c r="I2455"/>
    </row>
    <row r="2456" spans="1:9" x14ac:dyDescent="0.3">
      <c r="A2456"/>
      <c r="F2456"/>
      <c r="G2456"/>
      <c r="I2456"/>
    </row>
    <row r="2457" spans="1:9" x14ac:dyDescent="0.3">
      <c r="A2457"/>
      <c r="F2457"/>
      <c r="G2457"/>
      <c r="I2457"/>
    </row>
    <row r="2458" spans="1:9" x14ac:dyDescent="0.3">
      <c r="A2458"/>
      <c r="F2458"/>
      <c r="G2458"/>
      <c r="I2458"/>
    </row>
    <row r="2459" spans="1:9" x14ac:dyDescent="0.3">
      <c r="A2459"/>
      <c r="F2459"/>
      <c r="G2459"/>
      <c r="I2459"/>
    </row>
    <row r="2460" spans="1:9" x14ac:dyDescent="0.3">
      <c r="A2460"/>
      <c r="F2460"/>
      <c r="G2460"/>
      <c r="I2460"/>
    </row>
    <row r="2461" spans="1:9" x14ac:dyDescent="0.3">
      <c r="A2461"/>
      <c r="F2461"/>
      <c r="G2461"/>
      <c r="I2461"/>
    </row>
    <row r="2462" spans="1:9" x14ac:dyDescent="0.3">
      <c r="A2462"/>
      <c r="F2462"/>
      <c r="G2462"/>
      <c r="I2462"/>
    </row>
    <row r="2463" spans="1:9" x14ac:dyDescent="0.3">
      <c r="A2463"/>
      <c r="F2463"/>
      <c r="G2463"/>
      <c r="I2463"/>
    </row>
    <row r="2464" spans="1:9" x14ac:dyDescent="0.3">
      <c r="A2464"/>
      <c r="F2464"/>
      <c r="G2464"/>
      <c r="I2464"/>
    </row>
    <row r="2465" spans="1:9" x14ac:dyDescent="0.3">
      <c r="A2465"/>
      <c r="F2465"/>
      <c r="G2465"/>
      <c r="I2465"/>
    </row>
    <row r="2466" spans="1:9" x14ac:dyDescent="0.3">
      <c r="A2466"/>
      <c r="F2466"/>
      <c r="G2466"/>
      <c r="I2466"/>
    </row>
    <row r="2467" spans="1:9" x14ac:dyDescent="0.3">
      <c r="A2467"/>
      <c r="F2467"/>
      <c r="G2467"/>
      <c r="I2467"/>
    </row>
    <row r="2468" spans="1:9" x14ac:dyDescent="0.3">
      <c r="A2468"/>
      <c r="F2468"/>
      <c r="G2468"/>
      <c r="I2468"/>
    </row>
    <row r="2469" spans="1:9" x14ac:dyDescent="0.3">
      <c r="A2469"/>
      <c r="F2469"/>
      <c r="G2469"/>
      <c r="I2469"/>
    </row>
    <row r="2470" spans="1:9" x14ac:dyDescent="0.3">
      <c r="A2470"/>
      <c r="F2470"/>
      <c r="G2470"/>
      <c r="I2470"/>
    </row>
    <row r="2471" spans="1:9" x14ac:dyDescent="0.3">
      <c r="A2471"/>
      <c r="F2471"/>
      <c r="G2471"/>
      <c r="I2471"/>
    </row>
    <row r="2472" spans="1:9" x14ac:dyDescent="0.3">
      <c r="A2472"/>
      <c r="F2472"/>
      <c r="G2472"/>
      <c r="I2472"/>
    </row>
    <row r="2473" spans="1:9" x14ac:dyDescent="0.3">
      <c r="A2473"/>
      <c r="F2473"/>
      <c r="G2473"/>
      <c r="I2473"/>
    </row>
    <row r="2474" spans="1:9" x14ac:dyDescent="0.3">
      <c r="A2474"/>
      <c r="F2474"/>
      <c r="G2474"/>
      <c r="I2474"/>
    </row>
    <row r="2475" spans="1:9" x14ac:dyDescent="0.3">
      <c r="A2475"/>
      <c r="F2475"/>
      <c r="G2475"/>
      <c r="I2475"/>
    </row>
    <row r="2476" spans="1:9" x14ac:dyDescent="0.3">
      <c r="A2476"/>
      <c r="F2476"/>
      <c r="G2476"/>
      <c r="I2476"/>
    </row>
    <row r="2477" spans="1:9" x14ac:dyDescent="0.3">
      <c r="A2477"/>
      <c r="F2477"/>
      <c r="G2477"/>
      <c r="I2477"/>
    </row>
    <row r="2478" spans="1:9" x14ac:dyDescent="0.3">
      <c r="A2478"/>
      <c r="F2478"/>
      <c r="G2478"/>
      <c r="I2478"/>
    </row>
    <row r="2479" spans="1:9" x14ac:dyDescent="0.3">
      <c r="A2479"/>
      <c r="F2479"/>
      <c r="G2479"/>
      <c r="I2479"/>
    </row>
    <row r="2480" spans="1:9" x14ac:dyDescent="0.3">
      <c r="A2480"/>
      <c r="F2480"/>
      <c r="G2480"/>
      <c r="I2480"/>
    </row>
    <row r="2481" spans="1:9" x14ac:dyDescent="0.3">
      <c r="A2481"/>
      <c r="F2481"/>
      <c r="G2481"/>
      <c r="I2481"/>
    </row>
    <row r="2482" spans="1:9" x14ac:dyDescent="0.3">
      <c r="A2482"/>
      <c r="F2482"/>
      <c r="G2482"/>
      <c r="I2482"/>
    </row>
    <row r="2483" spans="1:9" x14ac:dyDescent="0.3">
      <c r="A2483"/>
      <c r="F2483"/>
      <c r="G2483"/>
      <c r="I2483"/>
    </row>
    <row r="2484" spans="1:9" x14ac:dyDescent="0.3">
      <c r="A2484"/>
      <c r="F2484"/>
      <c r="G2484"/>
      <c r="I2484"/>
    </row>
    <row r="2485" spans="1:9" x14ac:dyDescent="0.3">
      <c r="A2485"/>
      <c r="F2485"/>
      <c r="G2485"/>
      <c r="I2485"/>
    </row>
    <row r="2486" spans="1:9" x14ac:dyDescent="0.3">
      <c r="A2486"/>
      <c r="F2486"/>
      <c r="G2486"/>
      <c r="I2486"/>
    </row>
    <row r="2487" spans="1:9" x14ac:dyDescent="0.3">
      <c r="A2487"/>
      <c r="F2487"/>
      <c r="G2487"/>
      <c r="I2487"/>
    </row>
    <row r="2488" spans="1:9" x14ac:dyDescent="0.3">
      <c r="A2488"/>
      <c r="F2488"/>
      <c r="G2488"/>
      <c r="I2488"/>
    </row>
    <row r="2489" spans="1:9" x14ac:dyDescent="0.3">
      <c r="A2489"/>
      <c r="F2489"/>
      <c r="G2489"/>
      <c r="I2489"/>
    </row>
    <row r="2490" spans="1:9" x14ac:dyDescent="0.3">
      <c r="A2490"/>
      <c r="F2490"/>
      <c r="G2490"/>
      <c r="I2490"/>
    </row>
    <row r="2491" spans="1:9" x14ac:dyDescent="0.3">
      <c r="A2491"/>
      <c r="F2491"/>
      <c r="G2491"/>
      <c r="I2491"/>
    </row>
    <row r="2492" spans="1:9" x14ac:dyDescent="0.3">
      <c r="A2492"/>
      <c r="F2492"/>
      <c r="G2492"/>
      <c r="I2492"/>
    </row>
    <row r="2493" spans="1:9" x14ac:dyDescent="0.3">
      <c r="A2493"/>
      <c r="F2493"/>
      <c r="G2493"/>
      <c r="I2493"/>
    </row>
    <row r="2494" spans="1:9" x14ac:dyDescent="0.3">
      <c r="A2494"/>
      <c r="F2494"/>
      <c r="G2494"/>
      <c r="I2494"/>
    </row>
    <row r="2495" spans="1:9" x14ac:dyDescent="0.3">
      <c r="A2495"/>
      <c r="F2495"/>
      <c r="G2495"/>
      <c r="I2495"/>
    </row>
    <row r="2496" spans="1:9" x14ac:dyDescent="0.3">
      <c r="A2496"/>
      <c r="F2496"/>
      <c r="G2496"/>
      <c r="I2496"/>
    </row>
    <row r="2497" spans="1:9" x14ac:dyDescent="0.3">
      <c r="A2497"/>
      <c r="F2497"/>
      <c r="G2497"/>
      <c r="I2497"/>
    </row>
    <row r="2498" spans="1:9" x14ac:dyDescent="0.3">
      <c r="A2498"/>
      <c r="F2498"/>
      <c r="G2498"/>
      <c r="I2498"/>
    </row>
    <row r="2499" spans="1:9" x14ac:dyDescent="0.3">
      <c r="A2499"/>
      <c r="F2499"/>
      <c r="G2499"/>
      <c r="I2499"/>
    </row>
    <row r="2500" spans="1:9" x14ac:dyDescent="0.3">
      <c r="A2500"/>
      <c r="F2500"/>
      <c r="G2500"/>
      <c r="I2500"/>
    </row>
    <row r="2501" spans="1:9" x14ac:dyDescent="0.3">
      <c r="A2501"/>
      <c r="F2501"/>
      <c r="G2501"/>
      <c r="I2501"/>
    </row>
    <row r="2502" spans="1:9" x14ac:dyDescent="0.3">
      <c r="A2502"/>
      <c r="F2502"/>
      <c r="G2502"/>
      <c r="I2502"/>
    </row>
    <row r="2503" spans="1:9" x14ac:dyDescent="0.3">
      <c r="A2503"/>
      <c r="F2503"/>
      <c r="G2503"/>
      <c r="I2503"/>
    </row>
    <row r="2504" spans="1:9" x14ac:dyDescent="0.3">
      <c r="A2504"/>
      <c r="F2504"/>
      <c r="G2504"/>
      <c r="I2504"/>
    </row>
    <row r="2505" spans="1:9" x14ac:dyDescent="0.3">
      <c r="A2505"/>
      <c r="F2505"/>
      <c r="G2505"/>
      <c r="I2505"/>
    </row>
    <row r="2506" spans="1:9" x14ac:dyDescent="0.3">
      <c r="A2506"/>
      <c r="F2506"/>
      <c r="G2506"/>
      <c r="I2506"/>
    </row>
    <row r="2507" spans="1:9" x14ac:dyDescent="0.3">
      <c r="A2507"/>
      <c r="F2507"/>
      <c r="G2507"/>
      <c r="I2507"/>
    </row>
    <row r="2508" spans="1:9" x14ac:dyDescent="0.3">
      <c r="A2508"/>
      <c r="F2508"/>
      <c r="G2508"/>
      <c r="I2508"/>
    </row>
    <row r="2509" spans="1:9" x14ac:dyDescent="0.3">
      <c r="A2509"/>
      <c r="F2509"/>
      <c r="G2509"/>
      <c r="I2509"/>
    </row>
    <row r="2510" spans="1:9" x14ac:dyDescent="0.3">
      <c r="A2510"/>
      <c r="F2510"/>
      <c r="G2510"/>
      <c r="I2510"/>
    </row>
    <row r="2511" spans="1:9" x14ac:dyDescent="0.3">
      <c r="A2511"/>
      <c r="F2511"/>
      <c r="G2511"/>
      <c r="I2511"/>
    </row>
    <row r="2512" spans="1:9" x14ac:dyDescent="0.3">
      <c r="A2512"/>
      <c r="F2512"/>
      <c r="G2512"/>
      <c r="I2512"/>
    </row>
    <row r="2513" spans="1:9" x14ac:dyDescent="0.3">
      <c r="A2513"/>
      <c r="F2513"/>
      <c r="G2513"/>
      <c r="I2513"/>
    </row>
    <row r="2514" spans="1:9" x14ac:dyDescent="0.3">
      <c r="A2514"/>
      <c r="F2514"/>
      <c r="G2514"/>
      <c r="I2514"/>
    </row>
    <row r="2515" spans="1:9" x14ac:dyDescent="0.3">
      <c r="A2515"/>
      <c r="F2515"/>
      <c r="G2515"/>
      <c r="I2515"/>
    </row>
    <row r="2516" spans="1:9" x14ac:dyDescent="0.3">
      <c r="A2516"/>
      <c r="F2516"/>
      <c r="G2516"/>
      <c r="I2516"/>
    </row>
    <row r="2517" spans="1:9" x14ac:dyDescent="0.3">
      <c r="A2517"/>
      <c r="F2517"/>
      <c r="G2517"/>
      <c r="I2517"/>
    </row>
    <row r="2518" spans="1:9" x14ac:dyDescent="0.3">
      <c r="A2518"/>
      <c r="F2518"/>
      <c r="G2518"/>
      <c r="I2518"/>
    </row>
    <row r="2519" spans="1:9" x14ac:dyDescent="0.3">
      <c r="A2519"/>
      <c r="F2519"/>
      <c r="G2519"/>
      <c r="I2519"/>
    </row>
    <row r="2520" spans="1:9" x14ac:dyDescent="0.3">
      <c r="A2520"/>
      <c r="F2520"/>
      <c r="G2520"/>
      <c r="I2520"/>
    </row>
    <row r="2521" spans="1:9" x14ac:dyDescent="0.3">
      <c r="A2521"/>
      <c r="F2521"/>
      <c r="G2521"/>
      <c r="I2521"/>
    </row>
    <row r="2522" spans="1:9" x14ac:dyDescent="0.3">
      <c r="A2522"/>
      <c r="F2522"/>
      <c r="G2522"/>
      <c r="I2522"/>
    </row>
    <row r="2523" spans="1:9" x14ac:dyDescent="0.3">
      <c r="A2523"/>
      <c r="F2523"/>
      <c r="G2523"/>
      <c r="I2523"/>
    </row>
    <row r="2524" spans="1:9" x14ac:dyDescent="0.3">
      <c r="A2524"/>
      <c r="F2524"/>
      <c r="G2524"/>
      <c r="I2524"/>
    </row>
    <row r="2525" spans="1:9" x14ac:dyDescent="0.3">
      <c r="A2525"/>
      <c r="F2525"/>
      <c r="G2525"/>
      <c r="I2525"/>
    </row>
    <row r="2526" spans="1:9" x14ac:dyDescent="0.3">
      <c r="A2526"/>
      <c r="F2526"/>
      <c r="G2526"/>
      <c r="I2526"/>
    </row>
    <row r="2527" spans="1:9" x14ac:dyDescent="0.3">
      <c r="A2527"/>
      <c r="F2527"/>
      <c r="G2527"/>
      <c r="I2527"/>
    </row>
    <row r="2528" spans="1:9" x14ac:dyDescent="0.3">
      <c r="A2528"/>
      <c r="F2528"/>
      <c r="G2528"/>
      <c r="I2528"/>
    </row>
    <row r="2529" spans="1:9" x14ac:dyDescent="0.3">
      <c r="A2529"/>
      <c r="F2529"/>
      <c r="G2529"/>
      <c r="I2529"/>
    </row>
    <row r="2530" spans="1:9" x14ac:dyDescent="0.3">
      <c r="A2530"/>
      <c r="F2530"/>
      <c r="G2530"/>
      <c r="I2530"/>
    </row>
    <row r="2531" spans="1:9" x14ac:dyDescent="0.3">
      <c r="A2531"/>
      <c r="F2531"/>
      <c r="G2531"/>
      <c r="I2531"/>
    </row>
    <row r="2532" spans="1:9" x14ac:dyDescent="0.3">
      <c r="A2532"/>
      <c r="F2532"/>
      <c r="G2532"/>
      <c r="I2532"/>
    </row>
    <row r="2533" spans="1:9" x14ac:dyDescent="0.3">
      <c r="A2533"/>
      <c r="F2533"/>
      <c r="G2533"/>
      <c r="I2533"/>
    </row>
    <row r="2534" spans="1:9" x14ac:dyDescent="0.3">
      <c r="A2534"/>
      <c r="F2534"/>
      <c r="G2534"/>
      <c r="I2534"/>
    </row>
    <row r="2535" spans="1:9" x14ac:dyDescent="0.3">
      <c r="A2535"/>
      <c r="F2535"/>
      <c r="G2535"/>
      <c r="I2535"/>
    </row>
    <row r="2536" spans="1:9" x14ac:dyDescent="0.3">
      <c r="A2536"/>
      <c r="F2536"/>
      <c r="G2536"/>
      <c r="I2536"/>
    </row>
    <row r="2537" spans="1:9" x14ac:dyDescent="0.3">
      <c r="A2537"/>
      <c r="F2537"/>
      <c r="G2537"/>
      <c r="I2537"/>
    </row>
    <row r="2538" spans="1:9" x14ac:dyDescent="0.3">
      <c r="A2538"/>
      <c r="F2538"/>
      <c r="G2538"/>
      <c r="I2538"/>
    </row>
    <row r="2539" spans="1:9" x14ac:dyDescent="0.3">
      <c r="A2539"/>
      <c r="F2539"/>
      <c r="G2539"/>
      <c r="I2539"/>
    </row>
    <row r="2540" spans="1:9" x14ac:dyDescent="0.3">
      <c r="A2540"/>
      <c r="F2540"/>
      <c r="G2540"/>
      <c r="I2540"/>
    </row>
    <row r="2541" spans="1:9" x14ac:dyDescent="0.3">
      <c r="A2541"/>
      <c r="F2541"/>
      <c r="G2541"/>
      <c r="I2541"/>
    </row>
    <row r="2542" spans="1:9" x14ac:dyDescent="0.3">
      <c r="A2542"/>
      <c r="F2542"/>
      <c r="G2542"/>
      <c r="I2542"/>
    </row>
    <row r="2543" spans="1:9" x14ac:dyDescent="0.3">
      <c r="A2543"/>
      <c r="F2543"/>
      <c r="G2543"/>
      <c r="I2543"/>
    </row>
    <row r="2544" spans="1:9" x14ac:dyDescent="0.3">
      <c r="A2544"/>
      <c r="F2544"/>
      <c r="G2544"/>
      <c r="I2544"/>
    </row>
    <row r="2545" spans="1:9" x14ac:dyDescent="0.3">
      <c r="A2545"/>
      <c r="F2545"/>
      <c r="G2545"/>
      <c r="I2545"/>
    </row>
    <row r="2546" spans="1:9" x14ac:dyDescent="0.3">
      <c r="A2546"/>
      <c r="F2546"/>
      <c r="G2546"/>
      <c r="I2546"/>
    </row>
    <row r="2547" spans="1:9" x14ac:dyDescent="0.3">
      <c r="A2547"/>
      <c r="F2547"/>
      <c r="G2547"/>
      <c r="I2547"/>
    </row>
    <row r="2548" spans="1:9" x14ac:dyDescent="0.3">
      <c r="A2548"/>
      <c r="F2548"/>
      <c r="G2548"/>
      <c r="I2548"/>
    </row>
    <row r="2549" spans="1:9" x14ac:dyDescent="0.3">
      <c r="A2549"/>
      <c r="F2549"/>
      <c r="G2549"/>
      <c r="I2549"/>
    </row>
    <row r="2550" spans="1:9" x14ac:dyDescent="0.3">
      <c r="A2550"/>
      <c r="F2550"/>
      <c r="G2550"/>
      <c r="I2550"/>
    </row>
    <row r="2551" spans="1:9" x14ac:dyDescent="0.3">
      <c r="A2551"/>
      <c r="F2551"/>
      <c r="G2551"/>
      <c r="I2551"/>
    </row>
    <row r="2552" spans="1:9" x14ac:dyDescent="0.3">
      <c r="A2552"/>
      <c r="F2552"/>
      <c r="G2552"/>
      <c r="I2552"/>
    </row>
    <row r="2553" spans="1:9" x14ac:dyDescent="0.3">
      <c r="A2553"/>
      <c r="F2553"/>
      <c r="G2553"/>
      <c r="I2553"/>
    </row>
    <row r="2554" spans="1:9" x14ac:dyDescent="0.3">
      <c r="A2554"/>
      <c r="F2554"/>
      <c r="G2554"/>
      <c r="I2554"/>
    </row>
    <row r="2555" spans="1:9" x14ac:dyDescent="0.3">
      <c r="A2555"/>
      <c r="F2555"/>
      <c r="G2555"/>
      <c r="I2555"/>
    </row>
    <row r="2556" spans="1:9" x14ac:dyDescent="0.3">
      <c r="A2556"/>
      <c r="F2556"/>
      <c r="G2556"/>
      <c r="I2556"/>
    </row>
    <row r="2557" spans="1:9" x14ac:dyDescent="0.3">
      <c r="A2557"/>
      <c r="F2557"/>
      <c r="G2557"/>
      <c r="I2557"/>
    </row>
    <row r="2558" spans="1:9" x14ac:dyDescent="0.3">
      <c r="A2558"/>
      <c r="F2558"/>
      <c r="G2558"/>
      <c r="I2558"/>
    </row>
    <row r="2559" spans="1:9" x14ac:dyDescent="0.3">
      <c r="A2559"/>
      <c r="F2559"/>
      <c r="G2559"/>
      <c r="I2559"/>
    </row>
    <row r="2560" spans="1:9" x14ac:dyDescent="0.3">
      <c r="A2560"/>
      <c r="F2560"/>
      <c r="G2560"/>
      <c r="I2560"/>
    </row>
    <row r="2561" spans="1:9" x14ac:dyDescent="0.3">
      <c r="A2561"/>
      <c r="F2561"/>
      <c r="G2561"/>
      <c r="I2561"/>
    </row>
    <row r="2562" spans="1:9" x14ac:dyDescent="0.3">
      <c r="A2562"/>
      <c r="F2562"/>
      <c r="G2562"/>
      <c r="I2562"/>
    </row>
    <row r="2563" spans="1:9" x14ac:dyDescent="0.3">
      <c r="A2563"/>
      <c r="F2563"/>
      <c r="G2563"/>
      <c r="I2563"/>
    </row>
    <row r="2564" spans="1:9" x14ac:dyDescent="0.3">
      <c r="A2564"/>
      <c r="F2564"/>
      <c r="G2564"/>
      <c r="I2564"/>
    </row>
    <row r="2565" spans="1:9" x14ac:dyDescent="0.3">
      <c r="A2565"/>
      <c r="F2565"/>
      <c r="G2565"/>
      <c r="I2565"/>
    </row>
    <row r="2566" spans="1:9" x14ac:dyDescent="0.3">
      <c r="A2566"/>
      <c r="F2566"/>
      <c r="G2566"/>
      <c r="I2566"/>
    </row>
    <row r="2567" spans="1:9" x14ac:dyDescent="0.3">
      <c r="A2567"/>
      <c r="F2567"/>
      <c r="G2567"/>
      <c r="I2567"/>
    </row>
    <row r="2568" spans="1:9" x14ac:dyDescent="0.3">
      <c r="A2568"/>
      <c r="F2568"/>
      <c r="G2568"/>
      <c r="I2568"/>
    </row>
    <row r="2569" spans="1:9" x14ac:dyDescent="0.3">
      <c r="A2569"/>
      <c r="F2569"/>
      <c r="G2569"/>
      <c r="I2569"/>
    </row>
    <row r="2570" spans="1:9" x14ac:dyDescent="0.3">
      <c r="A2570"/>
      <c r="F2570"/>
      <c r="G2570"/>
      <c r="I2570"/>
    </row>
    <row r="2571" spans="1:9" x14ac:dyDescent="0.3">
      <c r="A2571"/>
      <c r="F2571"/>
      <c r="G2571"/>
      <c r="I2571"/>
    </row>
    <row r="2572" spans="1:9" x14ac:dyDescent="0.3">
      <c r="A2572"/>
      <c r="F2572"/>
      <c r="G2572"/>
      <c r="I2572"/>
    </row>
    <row r="2573" spans="1:9" x14ac:dyDescent="0.3">
      <c r="A2573"/>
      <c r="F2573"/>
      <c r="G2573"/>
      <c r="I2573"/>
    </row>
    <row r="2574" spans="1:9" x14ac:dyDescent="0.3">
      <c r="A2574"/>
      <c r="F2574"/>
      <c r="G2574"/>
      <c r="I2574"/>
    </row>
    <row r="2575" spans="1:9" x14ac:dyDescent="0.3">
      <c r="A2575"/>
      <c r="F2575"/>
      <c r="G2575"/>
      <c r="I2575"/>
    </row>
    <row r="2576" spans="1:9" x14ac:dyDescent="0.3">
      <c r="A2576"/>
      <c r="F2576"/>
      <c r="G2576"/>
      <c r="I2576"/>
    </row>
    <row r="2577" spans="1:9" x14ac:dyDescent="0.3">
      <c r="A2577"/>
      <c r="F2577"/>
      <c r="G2577"/>
      <c r="I2577"/>
    </row>
    <row r="2578" spans="1:9" x14ac:dyDescent="0.3">
      <c r="A2578"/>
      <c r="F2578"/>
      <c r="G2578"/>
      <c r="I2578"/>
    </row>
    <row r="2579" spans="1:9" x14ac:dyDescent="0.3">
      <c r="A2579"/>
      <c r="F2579"/>
      <c r="G2579"/>
      <c r="I2579"/>
    </row>
    <row r="2580" spans="1:9" x14ac:dyDescent="0.3">
      <c r="A2580"/>
      <c r="F2580"/>
      <c r="G2580"/>
      <c r="I2580"/>
    </row>
    <row r="2581" spans="1:9" x14ac:dyDescent="0.3">
      <c r="A2581"/>
      <c r="F2581"/>
      <c r="G2581"/>
      <c r="I2581"/>
    </row>
    <row r="2582" spans="1:9" x14ac:dyDescent="0.3">
      <c r="A2582"/>
      <c r="F2582"/>
      <c r="G2582"/>
      <c r="I2582"/>
    </row>
    <row r="2583" spans="1:9" x14ac:dyDescent="0.3">
      <c r="A2583"/>
      <c r="F2583"/>
      <c r="G2583"/>
      <c r="I2583"/>
    </row>
    <row r="2584" spans="1:9" x14ac:dyDescent="0.3">
      <c r="A2584"/>
      <c r="F2584"/>
      <c r="G2584"/>
      <c r="I2584"/>
    </row>
    <row r="2585" spans="1:9" x14ac:dyDescent="0.3">
      <c r="A2585"/>
      <c r="F2585"/>
      <c r="G2585"/>
      <c r="I2585"/>
    </row>
    <row r="2586" spans="1:9" x14ac:dyDescent="0.3">
      <c r="A2586"/>
      <c r="F2586"/>
      <c r="G2586"/>
      <c r="I2586"/>
    </row>
    <row r="2587" spans="1:9" x14ac:dyDescent="0.3">
      <c r="A2587"/>
      <c r="F2587"/>
      <c r="G2587"/>
      <c r="I2587"/>
    </row>
    <row r="2588" spans="1:9" x14ac:dyDescent="0.3">
      <c r="A2588"/>
      <c r="F2588"/>
      <c r="G2588"/>
      <c r="I2588"/>
    </row>
    <row r="2589" spans="1:9" x14ac:dyDescent="0.3">
      <c r="A2589"/>
      <c r="F2589"/>
      <c r="G2589"/>
      <c r="I2589"/>
    </row>
    <row r="2590" spans="1:9" x14ac:dyDescent="0.3">
      <c r="A2590"/>
      <c r="F2590"/>
      <c r="G2590"/>
      <c r="I2590"/>
    </row>
    <row r="2591" spans="1:9" x14ac:dyDescent="0.3">
      <c r="A2591"/>
      <c r="F2591"/>
      <c r="G2591"/>
      <c r="I2591"/>
    </row>
    <row r="2592" spans="1:9" x14ac:dyDescent="0.3">
      <c r="A2592"/>
      <c r="F2592"/>
      <c r="G2592"/>
      <c r="I2592"/>
    </row>
    <row r="2593" spans="1:9" x14ac:dyDescent="0.3">
      <c r="A2593"/>
      <c r="F2593"/>
      <c r="G2593"/>
      <c r="I2593"/>
    </row>
    <row r="2594" spans="1:9" x14ac:dyDescent="0.3">
      <c r="A2594"/>
      <c r="F2594"/>
      <c r="G2594"/>
      <c r="I2594"/>
    </row>
    <row r="2595" spans="1:9" x14ac:dyDescent="0.3">
      <c r="A2595"/>
      <c r="F2595"/>
      <c r="G2595"/>
      <c r="I2595"/>
    </row>
    <row r="2596" spans="1:9" x14ac:dyDescent="0.3">
      <c r="A2596"/>
      <c r="F2596"/>
      <c r="G2596"/>
      <c r="I2596"/>
    </row>
    <row r="2597" spans="1:9" x14ac:dyDescent="0.3">
      <c r="A2597"/>
      <c r="F2597"/>
      <c r="G2597"/>
      <c r="I2597"/>
    </row>
    <row r="2598" spans="1:9" x14ac:dyDescent="0.3">
      <c r="A2598"/>
      <c r="F2598"/>
      <c r="G2598"/>
      <c r="I2598"/>
    </row>
    <row r="2599" spans="1:9" x14ac:dyDescent="0.3">
      <c r="A2599"/>
      <c r="F2599"/>
      <c r="G2599"/>
      <c r="I2599"/>
    </row>
    <row r="2600" spans="1:9" x14ac:dyDescent="0.3">
      <c r="A2600"/>
      <c r="F2600"/>
      <c r="G2600"/>
      <c r="I2600"/>
    </row>
    <row r="2601" spans="1:9" x14ac:dyDescent="0.3">
      <c r="A2601"/>
      <c r="F2601"/>
      <c r="G2601"/>
      <c r="I2601"/>
    </row>
    <row r="2602" spans="1:9" x14ac:dyDescent="0.3">
      <c r="A2602"/>
      <c r="F2602"/>
      <c r="G2602"/>
      <c r="I2602"/>
    </row>
    <row r="2603" spans="1:9" x14ac:dyDescent="0.3">
      <c r="A2603"/>
      <c r="F2603"/>
      <c r="G2603"/>
      <c r="I2603"/>
    </row>
    <row r="2604" spans="1:9" x14ac:dyDescent="0.3">
      <c r="A2604"/>
      <c r="F2604"/>
      <c r="G2604"/>
      <c r="I2604"/>
    </row>
    <row r="2605" spans="1:9" x14ac:dyDescent="0.3">
      <c r="A2605"/>
      <c r="F2605"/>
      <c r="G2605"/>
      <c r="I2605"/>
    </row>
    <row r="2606" spans="1:9" x14ac:dyDescent="0.3">
      <c r="A2606"/>
      <c r="F2606"/>
      <c r="G2606"/>
      <c r="I2606"/>
    </row>
    <row r="2607" spans="1:9" x14ac:dyDescent="0.3">
      <c r="A2607"/>
      <c r="F2607"/>
      <c r="G2607"/>
      <c r="I2607"/>
    </row>
    <row r="2608" spans="1:9" x14ac:dyDescent="0.3">
      <c r="A2608"/>
      <c r="F2608"/>
      <c r="G2608"/>
      <c r="I2608"/>
    </row>
    <row r="2609" spans="1:9" x14ac:dyDescent="0.3">
      <c r="A2609"/>
      <c r="F2609"/>
      <c r="G2609"/>
      <c r="I2609"/>
    </row>
    <row r="2610" spans="1:9" x14ac:dyDescent="0.3">
      <c r="A2610"/>
      <c r="F2610"/>
      <c r="G2610"/>
      <c r="I2610"/>
    </row>
    <row r="2611" spans="1:9" x14ac:dyDescent="0.3">
      <c r="A2611"/>
      <c r="F2611"/>
      <c r="G2611"/>
      <c r="I2611"/>
    </row>
    <row r="2612" spans="1:9" x14ac:dyDescent="0.3">
      <c r="A2612"/>
      <c r="F2612"/>
      <c r="G2612"/>
      <c r="I2612"/>
    </row>
    <row r="2613" spans="1:9" x14ac:dyDescent="0.3">
      <c r="A2613"/>
      <c r="F2613"/>
      <c r="G2613"/>
      <c r="I2613"/>
    </row>
    <row r="2614" spans="1:9" x14ac:dyDescent="0.3">
      <c r="A2614"/>
      <c r="F2614"/>
      <c r="G2614"/>
      <c r="I2614"/>
    </row>
    <row r="2615" spans="1:9" x14ac:dyDescent="0.3">
      <c r="A2615"/>
      <c r="F2615"/>
      <c r="G2615"/>
      <c r="I2615"/>
    </row>
    <row r="2616" spans="1:9" x14ac:dyDescent="0.3">
      <c r="A2616"/>
      <c r="F2616"/>
      <c r="G2616"/>
      <c r="I2616"/>
    </row>
    <row r="2617" spans="1:9" x14ac:dyDescent="0.3">
      <c r="A2617"/>
      <c r="F2617"/>
      <c r="G2617"/>
      <c r="I2617"/>
    </row>
    <row r="2618" spans="1:9" x14ac:dyDescent="0.3">
      <c r="A2618"/>
      <c r="F2618"/>
      <c r="G2618"/>
      <c r="I2618"/>
    </row>
    <row r="2619" spans="1:9" x14ac:dyDescent="0.3">
      <c r="A2619"/>
      <c r="F2619"/>
      <c r="G2619"/>
      <c r="I2619"/>
    </row>
    <row r="2620" spans="1:9" x14ac:dyDescent="0.3">
      <c r="A2620"/>
      <c r="F2620"/>
      <c r="G2620"/>
      <c r="I2620"/>
    </row>
    <row r="2621" spans="1:9" x14ac:dyDescent="0.3">
      <c r="A2621"/>
      <c r="F2621"/>
      <c r="G2621"/>
      <c r="I2621"/>
    </row>
    <row r="2622" spans="1:9" x14ac:dyDescent="0.3">
      <c r="A2622"/>
      <c r="F2622"/>
      <c r="G2622"/>
      <c r="I2622"/>
    </row>
    <row r="2623" spans="1:9" x14ac:dyDescent="0.3">
      <c r="A2623"/>
      <c r="F2623"/>
      <c r="G2623"/>
      <c r="I2623"/>
    </row>
    <row r="2624" spans="1:9" x14ac:dyDescent="0.3">
      <c r="A2624"/>
      <c r="F2624"/>
      <c r="G2624"/>
      <c r="I2624"/>
    </row>
    <row r="2625" spans="1:9" x14ac:dyDescent="0.3">
      <c r="A2625"/>
      <c r="F2625"/>
      <c r="G2625"/>
      <c r="I2625"/>
    </row>
    <row r="2626" spans="1:9" x14ac:dyDescent="0.3">
      <c r="A2626"/>
      <c r="F2626"/>
      <c r="G2626"/>
      <c r="I2626"/>
    </row>
    <row r="2627" spans="1:9" x14ac:dyDescent="0.3">
      <c r="A2627"/>
      <c r="F2627"/>
      <c r="G2627"/>
      <c r="I2627"/>
    </row>
    <row r="2628" spans="1:9" x14ac:dyDescent="0.3">
      <c r="A2628"/>
      <c r="F2628"/>
      <c r="G2628"/>
      <c r="I2628"/>
    </row>
    <row r="2629" spans="1:9" x14ac:dyDescent="0.3">
      <c r="A2629"/>
      <c r="F2629"/>
      <c r="G2629"/>
      <c r="I2629"/>
    </row>
    <row r="2630" spans="1:9" x14ac:dyDescent="0.3">
      <c r="A2630"/>
      <c r="F2630"/>
      <c r="G2630"/>
      <c r="I2630"/>
    </row>
    <row r="2631" spans="1:9" x14ac:dyDescent="0.3">
      <c r="A2631"/>
      <c r="F2631"/>
      <c r="G2631"/>
      <c r="I2631"/>
    </row>
    <row r="2632" spans="1:9" x14ac:dyDescent="0.3">
      <c r="A2632"/>
      <c r="F2632"/>
      <c r="G2632"/>
      <c r="I2632"/>
    </row>
    <row r="2633" spans="1:9" x14ac:dyDescent="0.3">
      <c r="A2633"/>
      <c r="F2633"/>
      <c r="G2633"/>
      <c r="I2633"/>
    </row>
    <row r="2634" spans="1:9" x14ac:dyDescent="0.3">
      <c r="A2634"/>
      <c r="F2634"/>
      <c r="G2634"/>
      <c r="I2634"/>
    </row>
    <row r="2635" spans="1:9" x14ac:dyDescent="0.3">
      <c r="A2635"/>
      <c r="F2635"/>
      <c r="G2635"/>
      <c r="I2635"/>
    </row>
    <row r="2636" spans="1:9" x14ac:dyDescent="0.3">
      <c r="A2636"/>
      <c r="F2636"/>
      <c r="G2636"/>
      <c r="I2636"/>
    </row>
    <row r="2637" spans="1:9" x14ac:dyDescent="0.3">
      <c r="A2637"/>
      <c r="F2637"/>
      <c r="G2637"/>
      <c r="I2637"/>
    </row>
    <row r="2638" spans="1:9" x14ac:dyDescent="0.3">
      <c r="A2638"/>
      <c r="F2638"/>
      <c r="G2638"/>
      <c r="I2638"/>
    </row>
    <row r="2639" spans="1:9" x14ac:dyDescent="0.3">
      <c r="A2639"/>
      <c r="F2639"/>
      <c r="G2639"/>
      <c r="I2639"/>
    </row>
    <row r="2640" spans="1:9" x14ac:dyDescent="0.3">
      <c r="A2640"/>
      <c r="F2640"/>
      <c r="G2640"/>
      <c r="I2640"/>
    </row>
    <row r="2641" spans="1:9" x14ac:dyDescent="0.3">
      <c r="A2641"/>
      <c r="F2641"/>
      <c r="G2641"/>
      <c r="I2641"/>
    </row>
    <row r="2642" spans="1:9" x14ac:dyDescent="0.3">
      <c r="A2642"/>
      <c r="F2642"/>
      <c r="G2642"/>
      <c r="I2642"/>
    </row>
    <row r="2643" spans="1:9" x14ac:dyDescent="0.3">
      <c r="A2643"/>
      <c r="F2643"/>
      <c r="G2643"/>
      <c r="I2643"/>
    </row>
    <row r="2644" spans="1:9" x14ac:dyDescent="0.3">
      <c r="A2644"/>
      <c r="F2644"/>
      <c r="G2644"/>
      <c r="I2644"/>
    </row>
    <row r="2645" spans="1:9" x14ac:dyDescent="0.3">
      <c r="A2645"/>
      <c r="F2645"/>
      <c r="G2645"/>
      <c r="I2645"/>
    </row>
    <row r="2646" spans="1:9" x14ac:dyDescent="0.3">
      <c r="A2646"/>
      <c r="F2646"/>
      <c r="G2646"/>
      <c r="I2646"/>
    </row>
    <row r="2647" spans="1:9" x14ac:dyDescent="0.3">
      <c r="A2647"/>
      <c r="F2647"/>
      <c r="G2647"/>
      <c r="I2647"/>
    </row>
    <row r="2648" spans="1:9" x14ac:dyDescent="0.3">
      <c r="A2648"/>
      <c r="F2648"/>
      <c r="G2648"/>
      <c r="I2648"/>
    </row>
    <row r="2649" spans="1:9" x14ac:dyDescent="0.3">
      <c r="A2649"/>
      <c r="F2649"/>
      <c r="G2649"/>
      <c r="I2649"/>
    </row>
    <row r="2650" spans="1:9" x14ac:dyDescent="0.3">
      <c r="A2650"/>
      <c r="F2650"/>
      <c r="G2650"/>
      <c r="I2650"/>
    </row>
    <row r="2651" spans="1:9" x14ac:dyDescent="0.3">
      <c r="A2651"/>
      <c r="F2651"/>
      <c r="G2651"/>
      <c r="I2651"/>
    </row>
    <row r="2652" spans="1:9" x14ac:dyDescent="0.3">
      <c r="A2652"/>
      <c r="F2652"/>
      <c r="G2652"/>
      <c r="I2652"/>
    </row>
    <row r="2653" spans="1:9" x14ac:dyDescent="0.3">
      <c r="A2653"/>
      <c r="F2653"/>
      <c r="G2653"/>
      <c r="I2653"/>
    </row>
    <row r="2654" spans="1:9" x14ac:dyDescent="0.3">
      <c r="A2654"/>
      <c r="F2654"/>
      <c r="G2654"/>
      <c r="I2654"/>
    </row>
    <row r="2655" spans="1:9" x14ac:dyDescent="0.3">
      <c r="A2655"/>
      <c r="F2655"/>
      <c r="G2655"/>
      <c r="I2655"/>
    </row>
    <row r="2656" spans="1:9" x14ac:dyDescent="0.3">
      <c r="A2656"/>
      <c r="F2656"/>
      <c r="G2656"/>
      <c r="I2656"/>
    </row>
    <row r="2657" spans="1:9" x14ac:dyDescent="0.3">
      <c r="A2657"/>
      <c r="F2657"/>
      <c r="G2657"/>
      <c r="I2657"/>
    </row>
    <row r="2658" spans="1:9" x14ac:dyDescent="0.3">
      <c r="A2658"/>
      <c r="F2658"/>
      <c r="G2658"/>
      <c r="I2658"/>
    </row>
    <row r="2659" spans="1:9" x14ac:dyDescent="0.3">
      <c r="A2659"/>
      <c r="F2659"/>
      <c r="G2659"/>
      <c r="I2659"/>
    </row>
    <row r="2660" spans="1:9" x14ac:dyDescent="0.3">
      <c r="A2660"/>
      <c r="F2660"/>
      <c r="G2660"/>
      <c r="I2660"/>
    </row>
    <row r="2661" spans="1:9" x14ac:dyDescent="0.3">
      <c r="A2661"/>
      <c r="F2661"/>
      <c r="G2661"/>
      <c r="I2661"/>
    </row>
    <row r="2662" spans="1:9" x14ac:dyDescent="0.3">
      <c r="A2662"/>
      <c r="F2662"/>
      <c r="G2662"/>
      <c r="I2662"/>
    </row>
    <row r="2663" spans="1:9" x14ac:dyDescent="0.3">
      <c r="A2663"/>
      <c r="F2663"/>
      <c r="G2663"/>
      <c r="I2663"/>
    </row>
    <row r="2664" spans="1:9" x14ac:dyDescent="0.3">
      <c r="A2664"/>
      <c r="F2664"/>
      <c r="G2664"/>
      <c r="I2664"/>
    </row>
    <row r="2665" spans="1:9" x14ac:dyDescent="0.3">
      <c r="A2665"/>
      <c r="F2665"/>
      <c r="G2665"/>
      <c r="I2665"/>
    </row>
    <row r="2666" spans="1:9" x14ac:dyDescent="0.3">
      <c r="A2666"/>
      <c r="F2666"/>
      <c r="G2666"/>
      <c r="I2666"/>
    </row>
    <row r="2667" spans="1:9" x14ac:dyDescent="0.3">
      <c r="A2667"/>
      <c r="F2667"/>
      <c r="G2667"/>
      <c r="I2667"/>
    </row>
    <row r="2668" spans="1:9" x14ac:dyDescent="0.3">
      <c r="A2668"/>
      <c r="F2668"/>
      <c r="G2668"/>
      <c r="I2668"/>
    </row>
    <row r="2669" spans="1:9" x14ac:dyDescent="0.3">
      <c r="A2669"/>
      <c r="F2669"/>
      <c r="G2669"/>
      <c r="I2669"/>
    </row>
    <row r="2670" spans="1:9" x14ac:dyDescent="0.3">
      <c r="A2670"/>
      <c r="F2670"/>
      <c r="G2670"/>
      <c r="I2670"/>
    </row>
    <row r="2671" spans="1:9" x14ac:dyDescent="0.3">
      <c r="A2671"/>
      <c r="F2671"/>
      <c r="G2671"/>
      <c r="I2671"/>
    </row>
    <row r="2672" spans="1:9" x14ac:dyDescent="0.3">
      <c r="A2672"/>
      <c r="F2672"/>
      <c r="G2672"/>
      <c r="I2672"/>
    </row>
    <row r="2673" spans="1:9" x14ac:dyDescent="0.3">
      <c r="A2673"/>
      <c r="F2673"/>
      <c r="G2673"/>
      <c r="I2673"/>
    </row>
    <row r="2674" spans="1:9" x14ac:dyDescent="0.3">
      <c r="A2674"/>
      <c r="F2674"/>
      <c r="G2674"/>
      <c r="I2674"/>
    </row>
    <row r="2675" spans="1:9" x14ac:dyDescent="0.3">
      <c r="A2675"/>
      <c r="F2675"/>
      <c r="G2675"/>
      <c r="I2675"/>
    </row>
    <row r="2676" spans="1:9" x14ac:dyDescent="0.3">
      <c r="A2676"/>
      <c r="F2676"/>
      <c r="G2676"/>
      <c r="I2676"/>
    </row>
    <row r="2677" spans="1:9" x14ac:dyDescent="0.3">
      <c r="A2677"/>
      <c r="F2677"/>
      <c r="G2677"/>
      <c r="I2677"/>
    </row>
    <row r="2678" spans="1:9" x14ac:dyDescent="0.3">
      <c r="A2678"/>
      <c r="F2678"/>
      <c r="G2678"/>
      <c r="I2678"/>
    </row>
    <row r="2679" spans="1:9" x14ac:dyDescent="0.3">
      <c r="A2679"/>
      <c r="F2679"/>
      <c r="G2679"/>
      <c r="I2679"/>
    </row>
    <row r="2680" spans="1:9" x14ac:dyDescent="0.3">
      <c r="A2680"/>
      <c r="F2680"/>
      <c r="G2680"/>
      <c r="I2680"/>
    </row>
    <row r="2681" spans="1:9" x14ac:dyDescent="0.3">
      <c r="A2681"/>
      <c r="F2681"/>
      <c r="G2681"/>
      <c r="I2681"/>
    </row>
    <row r="2682" spans="1:9" x14ac:dyDescent="0.3">
      <c r="A2682"/>
      <c r="F2682"/>
      <c r="G2682"/>
      <c r="I2682"/>
    </row>
    <row r="2683" spans="1:9" x14ac:dyDescent="0.3">
      <c r="A2683"/>
      <c r="F2683"/>
      <c r="G2683"/>
      <c r="I2683"/>
    </row>
    <row r="2684" spans="1:9" x14ac:dyDescent="0.3">
      <c r="A2684"/>
      <c r="F2684"/>
      <c r="G2684"/>
      <c r="I2684"/>
    </row>
    <row r="2685" spans="1:9" x14ac:dyDescent="0.3">
      <c r="A2685"/>
      <c r="F2685"/>
      <c r="G2685"/>
      <c r="I2685"/>
    </row>
    <row r="2686" spans="1:9" x14ac:dyDescent="0.3">
      <c r="A2686"/>
      <c r="F2686"/>
      <c r="G2686"/>
      <c r="I2686"/>
    </row>
    <row r="2687" spans="1:9" x14ac:dyDescent="0.3">
      <c r="A2687"/>
      <c r="F2687"/>
      <c r="G2687"/>
      <c r="I2687"/>
    </row>
    <row r="2688" spans="1:9" x14ac:dyDescent="0.3">
      <c r="A2688"/>
      <c r="F2688"/>
      <c r="G2688"/>
      <c r="I2688"/>
    </row>
    <row r="2689" spans="1:9" x14ac:dyDescent="0.3">
      <c r="A2689"/>
      <c r="F2689"/>
      <c r="G2689"/>
      <c r="I2689"/>
    </row>
    <row r="2690" spans="1:9" x14ac:dyDescent="0.3">
      <c r="A2690"/>
      <c r="F2690"/>
      <c r="G2690"/>
      <c r="I2690"/>
    </row>
    <row r="2691" spans="1:9" x14ac:dyDescent="0.3">
      <c r="A2691"/>
      <c r="F2691"/>
      <c r="G2691"/>
      <c r="I2691"/>
    </row>
    <row r="2692" spans="1:9" x14ac:dyDescent="0.3">
      <c r="A2692"/>
      <c r="F2692"/>
      <c r="G2692"/>
      <c r="I2692"/>
    </row>
    <row r="2693" spans="1:9" x14ac:dyDescent="0.3">
      <c r="A2693"/>
      <c r="F2693"/>
      <c r="G2693"/>
      <c r="I2693"/>
    </row>
    <row r="2694" spans="1:9" x14ac:dyDescent="0.3">
      <c r="A2694"/>
      <c r="F2694"/>
      <c r="G2694"/>
      <c r="I2694"/>
    </row>
    <row r="2695" spans="1:9" x14ac:dyDescent="0.3">
      <c r="A2695"/>
      <c r="F2695"/>
      <c r="G2695"/>
      <c r="I2695"/>
    </row>
    <row r="2696" spans="1:9" x14ac:dyDescent="0.3">
      <c r="A2696"/>
      <c r="F2696"/>
      <c r="G2696"/>
      <c r="I2696"/>
    </row>
    <row r="2697" spans="1:9" x14ac:dyDescent="0.3">
      <c r="A2697"/>
      <c r="F2697"/>
      <c r="G2697"/>
      <c r="I2697"/>
    </row>
    <row r="2698" spans="1:9" x14ac:dyDescent="0.3">
      <c r="A2698"/>
      <c r="F2698"/>
      <c r="G2698"/>
      <c r="I2698"/>
    </row>
    <row r="2699" spans="1:9" x14ac:dyDescent="0.3">
      <c r="A2699"/>
      <c r="F2699"/>
      <c r="G2699"/>
      <c r="I2699"/>
    </row>
    <row r="2700" spans="1:9" x14ac:dyDescent="0.3">
      <c r="A2700"/>
      <c r="F2700"/>
      <c r="G2700"/>
      <c r="I2700"/>
    </row>
    <row r="2701" spans="1:9" x14ac:dyDescent="0.3">
      <c r="A2701"/>
      <c r="F2701"/>
      <c r="G2701"/>
      <c r="I2701"/>
    </row>
    <row r="2702" spans="1:9" x14ac:dyDescent="0.3">
      <c r="A2702"/>
      <c r="F2702"/>
      <c r="G2702"/>
      <c r="I2702"/>
    </row>
    <row r="2703" spans="1:9" x14ac:dyDescent="0.3">
      <c r="A2703"/>
      <c r="F2703"/>
      <c r="G2703"/>
      <c r="I2703"/>
    </row>
    <row r="2704" spans="1:9" x14ac:dyDescent="0.3">
      <c r="A2704"/>
      <c r="F2704"/>
      <c r="G2704"/>
      <c r="I2704"/>
    </row>
    <row r="2705" spans="1:9" x14ac:dyDescent="0.3">
      <c r="A2705"/>
      <c r="F2705"/>
      <c r="G2705"/>
      <c r="I2705"/>
    </row>
    <row r="2706" spans="1:9" x14ac:dyDescent="0.3">
      <c r="A2706"/>
      <c r="F2706"/>
      <c r="G2706"/>
      <c r="I2706"/>
    </row>
    <row r="2707" spans="1:9" x14ac:dyDescent="0.3">
      <c r="A2707"/>
      <c r="F2707"/>
      <c r="G2707"/>
      <c r="I2707"/>
    </row>
    <row r="2708" spans="1:9" x14ac:dyDescent="0.3">
      <c r="A2708"/>
      <c r="F2708"/>
      <c r="G2708"/>
      <c r="I2708"/>
    </row>
    <row r="2709" spans="1:9" x14ac:dyDescent="0.3">
      <c r="A2709"/>
      <c r="F2709"/>
      <c r="G2709"/>
      <c r="I2709"/>
    </row>
    <row r="2710" spans="1:9" x14ac:dyDescent="0.3">
      <c r="A2710"/>
      <c r="F2710"/>
      <c r="G2710"/>
      <c r="I2710"/>
    </row>
    <row r="2711" spans="1:9" x14ac:dyDescent="0.3">
      <c r="A2711"/>
      <c r="F2711"/>
      <c r="G2711"/>
      <c r="I2711"/>
    </row>
    <row r="2712" spans="1:9" x14ac:dyDescent="0.3">
      <c r="A2712"/>
      <c r="F2712"/>
      <c r="G2712"/>
      <c r="I2712"/>
    </row>
    <row r="2713" spans="1:9" x14ac:dyDescent="0.3">
      <c r="A2713"/>
      <c r="F2713"/>
      <c r="G2713"/>
      <c r="I2713"/>
    </row>
    <row r="2714" spans="1:9" x14ac:dyDescent="0.3">
      <c r="A2714"/>
      <c r="F2714"/>
      <c r="G2714"/>
      <c r="I2714"/>
    </row>
    <row r="2715" spans="1:9" x14ac:dyDescent="0.3">
      <c r="A2715"/>
      <c r="F2715"/>
      <c r="G2715"/>
      <c r="I2715"/>
    </row>
    <row r="2716" spans="1:9" x14ac:dyDescent="0.3">
      <c r="A2716"/>
      <c r="F2716"/>
      <c r="G2716"/>
      <c r="I2716"/>
    </row>
    <row r="2717" spans="1:9" x14ac:dyDescent="0.3">
      <c r="A2717"/>
      <c r="F2717"/>
      <c r="G2717"/>
      <c r="I2717"/>
    </row>
    <row r="2718" spans="1:9" x14ac:dyDescent="0.3">
      <c r="A2718"/>
      <c r="F2718"/>
      <c r="G2718"/>
      <c r="I2718"/>
    </row>
    <row r="2719" spans="1:9" x14ac:dyDescent="0.3">
      <c r="A2719"/>
      <c r="F2719"/>
      <c r="G2719"/>
      <c r="I2719"/>
    </row>
    <row r="2720" spans="1:9" x14ac:dyDescent="0.3">
      <c r="A2720"/>
      <c r="F2720"/>
      <c r="G2720"/>
      <c r="I2720"/>
    </row>
    <row r="2721" spans="1:9" x14ac:dyDescent="0.3">
      <c r="A2721"/>
      <c r="F2721"/>
      <c r="G2721"/>
      <c r="I2721"/>
    </row>
    <row r="2722" spans="1:9" x14ac:dyDescent="0.3">
      <c r="A2722"/>
      <c r="F2722"/>
      <c r="G2722"/>
      <c r="I2722"/>
    </row>
    <row r="2723" spans="1:9" x14ac:dyDescent="0.3">
      <c r="A2723"/>
      <c r="F2723"/>
      <c r="G2723"/>
      <c r="I2723"/>
    </row>
    <row r="2724" spans="1:9" x14ac:dyDescent="0.3">
      <c r="A2724"/>
      <c r="F2724"/>
      <c r="G2724"/>
      <c r="I2724"/>
    </row>
    <row r="2725" spans="1:9" x14ac:dyDescent="0.3">
      <c r="A2725"/>
      <c r="F2725"/>
      <c r="G2725"/>
      <c r="I2725"/>
    </row>
    <row r="2726" spans="1:9" x14ac:dyDescent="0.3">
      <c r="A2726"/>
      <c r="F2726"/>
      <c r="G2726"/>
      <c r="I2726"/>
    </row>
    <row r="2727" spans="1:9" x14ac:dyDescent="0.3">
      <c r="A2727"/>
      <c r="F2727"/>
      <c r="G2727"/>
      <c r="I2727"/>
    </row>
    <row r="2728" spans="1:9" x14ac:dyDescent="0.3">
      <c r="A2728"/>
      <c r="F2728"/>
      <c r="G2728"/>
      <c r="I2728"/>
    </row>
    <row r="2729" spans="1:9" x14ac:dyDescent="0.3">
      <c r="A2729"/>
      <c r="F2729"/>
      <c r="G2729"/>
      <c r="I2729"/>
    </row>
    <row r="2730" spans="1:9" x14ac:dyDescent="0.3">
      <c r="A2730"/>
      <c r="F2730"/>
      <c r="G2730"/>
      <c r="I2730"/>
    </row>
    <row r="2731" spans="1:9" x14ac:dyDescent="0.3">
      <c r="A2731"/>
      <c r="F2731"/>
      <c r="G2731"/>
      <c r="I2731"/>
    </row>
    <row r="2732" spans="1:9" x14ac:dyDescent="0.3">
      <c r="A2732"/>
      <c r="F2732"/>
      <c r="G2732"/>
      <c r="I2732"/>
    </row>
    <row r="2733" spans="1:9" x14ac:dyDescent="0.3">
      <c r="A2733"/>
      <c r="F2733"/>
      <c r="G2733"/>
      <c r="I2733"/>
    </row>
    <row r="2734" spans="1:9" x14ac:dyDescent="0.3">
      <c r="A2734"/>
      <c r="F2734"/>
      <c r="G2734"/>
      <c r="I2734"/>
    </row>
    <row r="2735" spans="1:9" x14ac:dyDescent="0.3">
      <c r="A2735"/>
      <c r="F2735"/>
      <c r="G2735"/>
      <c r="I2735"/>
    </row>
    <row r="2736" spans="1:9" x14ac:dyDescent="0.3">
      <c r="A2736"/>
      <c r="F2736"/>
      <c r="G2736"/>
      <c r="I2736"/>
    </row>
    <row r="2737" spans="1:9" x14ac:dyDescent="0.3">
      <c r="A2737"/>
      <c r="F2737"/>
      <c r="G2737"/>
      <c r="I2737"/>
    </row>
    <row r="2738" spans="1:9" x14ac:dyDescent="0.3">
      <c r="A2738"/>
      <c r="F2738"/>
      <c r="G2738"/>
      <c r="I2738"/>
    </row>
    <row r="2739" spans="1:9" x14ac:dyDescent="0.3">
      <c r="A2739"/>
      <c r="F2739"/>
      <c r="G2739"/>
      <c r="I2739"/>
    </row>
    <row r="2740" spans="1:9" x14ac:dyDescent="0.3">
      <c r="A2740"/>
      <c r="F2740"/>
      <c r="G2740"/>
      <c r="I2740"/>
    </row>
    <row r="2741" spans="1:9" x14ac:dyDescent="0.3">
      <c r="A2741"/>
      <c r="F2741"/>
      <c r="G2741"/>
      <c r="I2741"/>
    </row>
    <row r="2742" spans="1:9" x14ac:dyDescent="0.3">
      <c r="A2742"/>
      <c r="F2742"/>
      <c r="G2742"/>
      <c r="I2742"/>
    </row>
    <row r="2743" spans="1:9" x14ac:dyDescent="0.3">
      <c r="A2743"/>
      <c r="F2743"/>
      <c r="G2743"/>
      <c r="I2743"/>
    </row>
    <row r="2744" spans="1:9" x14ac:dyDescent="0.3">
      <c r="A2744"/>
      <c r="F2744"/>
      <c r="G2744"/>
      <c r="I2744"/>
    </row>
    <row r="2745" spans="1:9" x14ac:dyDescent="0.3">
      <c r="A2745"/>
      <c r="F2745"/>
      <c r="G2745"/>
      <c r="I2745"/>
    </row>
    <row r="2746" spans="1:9" x14ac:dyDescent="0.3">
      <c r="A2746"/>
      <c r="F2746"/>
      <c r="G2746"/>
      <c r="I2746"/>
    </row>
    <row r="2747" spans="1:9" x14ac:dyDescent="0.3">
      <c r="A2747"/>
      <c r="F2747"/>
      <c r="G2747"/>
      <c r="I2747"/>
    </row>
    <row r="2748" spans="1:9" x14ac:dyDescent="0.3">
      <c r="A2748"/>
      <c r="F2748"/>
      <c r="G2748"/>
      <c r="I2748"/>
    </row>
    <row r="2749" spans="1:9" x14ac:dyDescent="0.3">
      <c r="A2749"/>
      <c r="F2749"/>
      <c r="G2749"/>
      <c r="I2749"/>
    </row>
    <row r="2750" spans="1:9" x14ac:dyDescent="0.3">
      <c r="A2750"/>
      <c r="F2750"/>
      <c r="G2750"/>
      <c r="I2750"/>
    </row>
    <row r="2751" spans="1:9" x14ac:dyDescent="0.3">
      <c r="A2751"/>
      <c r="F2751"/>
      <c r="G2751"/>
      <c r="I2751"/>
    </row>
    <row r="2752" spans="1:9" x14ac:dyDescent="0.3">
      <c r="A2752"/>
      <c r="F2752"/>
      <c r="G2752"/>
      <c r="I2752"/>
    </row>
    <row r="2753" spans="1:9" x14ac:dyDescent="0.3">
      <c r="A2753"/>
      <c r="F2753"/>
      <c r="G2753"/>
      <c r="I2753"/>
    </row>
    <row r="2754" spans="1:9" x14ac:dyDescent="0.3">
      <c r="A2754"/>
      <c r="F2754"/>
      <c r="G2754"/>
      <c r="I2754"/>
    </row>
    <row r="2755" spans="1:9" x14ac:dyDescent="0.3">
      <c r="A2755"/>
      <c r="F2755"/>
      <c r="G2755"/>
      <c r="I2755"/>
    </row>
    <row r="2756" spans="1:9" x14ac:dyDescent="0.3">
      <c r="A2756"/>
      <c r="F2756"/>
      <c r="G2756"/>
      <c r="I2756"/>
    </row>
    <row r="2757" spans="1:9" x14ac:dyDescent="0.3">
      <c r="A2757"/>
      <c r="F2757"/>
      <c r="G2757"/>
      <c r="I2757"/>
    </row>
    <row r="2758" spans="1:9" x14ac:dyDescent="0.3">
      <c r="A2758"/>
      <c r="F2758"/>
      <c r="G2758"/>
      <c r="I2758"/>
    </row>
    <row r="2759" spans="1:9" x14ac:dyDescent="0.3">
      <c r="A2759"/>
      <c r="F2759"/>
      <c r="G2759"/>
      <c r="I2759"/>
    </row>
    <row r="2760" spans="1:9" x14ac:dyDescent="0.3">
      <c r="A2760"/>
      <c r="F2760"/>
      <c r="G2760"/>
      <c r="I2760"/>
    </row>
    <row r="2761" spans="1:9" x14ac:dyDescent="0.3">
      <c r="A2761"/>
      <c r="F2761"/>
      <c r="G2761"/>
      <c r="I2761"/>
    </row>
    <row r="2762" spans="1:9" x14ac:dyDescent="0.3">
      <c r="A2762"/>
      <c r="F2762"/>
      <c r="G2762"/>
      <c r="I2762"/>
    </row>
    <row r="2763" spans="1:9" x14ac:dyDescent="0.3">
      <c r="A2763"/>
      <c r="F2763"/>
      <c r="G2763"/>
      <c r="I2763"/>
    </row>
    <row r="2764" spans="1:9" x14ac:dyDescent="0.3">
      <c r="A2764"/>
      <c r="F2764"/>
      <c r="G2764"/>
      <c r="I2764"/>
    </row>
    <row r="2765" spans="1:9" x14ac:dyDescent="0.3">
      <c r="A2765"/>
      <c r="F2765"/>
      <c r="G2765"/>
      <c r="I2765"/>
    </row>
    <row r="2766" spans="1:9" x14ac:dyDescent="0.3">
      <c r="A2766"/>
      <c r="F2766"/>
      <c r="G2766"/>
      <c r="I2766"/>
    </row>
    <row r="2767" spans="1:9" x14ac:dyDescent="0.3">
      <c r="A2767"/>
      <c r="F2767"/>
      <c r="G2767"/>
      <c r="I2767"/>
    </row>
    <row r="2768" spans="1:9" x14ac:dyDescent="0.3">
      <c r="A2768"/>
      <c r="F2768"/>
      <c r="G2768"/>
      <c r="I2768"/>
    </row>
    <row r="2769" spans="1:9" x14ac:dyDescent="0.3">
      <c r="A2769"/>
      <c r="F2769"/>
      <c r="G2769"/>
      <c r="I2769"/>
    </row>
    <row r="2770" spans="1:9" x14ac:dyDescent="0.3">
      <c r="A2770"/>
      <c r="F2770"/>
      <c r="G2770"/>
      <c r="I2770"/>
    </row>
    <row r="2771" spans="1:9" x14ac:dyDescent="0.3">
      <c r="A2771"/>
      <c r="F2771"/>
      <c r="G2771"/>
      <c r="I2771"/>
    </row>
    <row r="2772" spans="1:9" x14ac:dyDescent="0.3">
      <c r="A2772"/>
      <c r="F2772"/>
      <c r="G2772"/>
      <c r="I2772"/>
    </row>
    <row r="2773" spans="1:9" x14ac:dyDescent="0.3">
      <c r="A2773"/>
      <c r="F2773"/>
      <c r="G2773"/>
      <c r="I2773"/>
    </row>
    <row r="2774" spans="1:9" x14ac:dyDescent="0.3">
      <c r="A2774"/>
      <c r="F2774"/>
      <c r="G2774"/>
      <c r="I2774"/>
    </row>
    <row r="2775" spans="1:9" x14ac:dyDescent="0.3">
      <c r="A2775"/>
      <c r="F2775"/>
      <c r="G2775"/>
      <c r="I2775"/>
    </row>
    <row r="2776" spans="1:9" x14ac:dyDescent="0.3">
      <c r="A2776"/>
      <c r="F2776"/>
      <c r="G2776"/>
      <c r="I2776"/>
    </row>
    <row r="2777" spans="1:9" x14ac:dyDescent="0.3">
      <c r="A2777"/>
      <c r="F2777"/>
      <c r="G2777"/>
      <c r="I2777"/>
    </row>
    <row r="2778" spans="1:9" x14ac:dyDescent="0.3">
      <c r="A2778"/>
      <c r="F2778"/>
      <c r="G2778"/>
      <c r="I2778"/>
    </row>
    <row r="2779" spans="1:9" x14ac:dyDescent="0.3">
      <c r="A2779"/>
      <c r="F2779"/>
      <c r="G2779"/>
      <c r="I2779"/>
    </row>
    <row r="2780" spans="1:9" x14ac:dyDescent="0.3">
      <c r="A2780"/>
      <c r="F2780"/>
      <c r="G2780"/>
      <c r="I2780"/>
    </row>
    <row r="2781" spans="1:9" x14ac:dyDescent="0.3">
      <c r="A2781"/>
      <c r="F2781"/>
      <c r="G2781"/>
      <c r="I2781"/>
    </row>
    <row r="2782" spans="1:9" x14ac:dyDescent="0.3">
      <c r="A2782"/>
      <c r="F2782"/>
      <c r="G2782"/>
      <c r="I2782"/>
    </row>
    <row r="2783" spans="1:9" x14ac:dyDescent="0.3">
      <c r="A2783"/>
      <c r="F2783"/>
      <c r="G2783"/>
      <c r="I2783"/>
    </row>
    <row r="2784" spans="1:9" x14ac:dyDescent="0.3">
      <c r="A2784"/>
      <c r="F2784"/>
      <c r="G2784"/>
      <c r="I2784"/>
    </row>
    <row r="2785" spans="1:9" x14ac:dyDescent="0.3">
      <c r="A2785"/>
      <c r="F2785"/>
      <c r="G2785"/>
      <c r="I2785"/>
    </row>
    <row r="2786" spans="1:9" x14ac:dyDescent="0.3">
      <c r="A2786"/>
      <c r="F2786"/>
      <c r="G2786"/>
      <c r="I2786"/>
    </row>
    <row r="2787" spans="1:9" x14ac:dyDescent="0.3">
      <c r="A2787"/>
      <c r="F2787"/>
      <c r="G2787"/>
      <c r="I2787"/>
    </row>
    <row r="2788" spans="1:9" x14ac:dyDescent="0.3">
      <c r="A2788"/>
      <c r="F2788"/>
      <c r="G2788"/>
      <c r="I2788"/>
    </row>
    <row r="2789" spans="1:9" x14ac:dyDescent="0.3">
      <c r="A2789"/>
      <c r="F2789"/>
      <c r="G2789"/>
      <c r="I2789"/>
    </row>
    <row r="2790" spans="1:9" x14ac:dyDescent="0.3">
      <c r="A2790"/>
      <c r="F2790"/>
      <c r="G2790"/>
      <c r="I2790"/>
    </row>
    <row r="2791" spans="1:9" x14ac:dyDescent="0.3">
      <c r="A2791"/>
      <c r="F2791"/>
      <c r="G2791"/>
      <c r="I2791"/>
    </row>
    <row r="2792" spans="1:9" x14ac:dyDescent="0.3">
      <c r="A2792"/>
      <c r="F2792"/>
      <c r="G2792"/>
      <c r="I2792"/>
    </row>
    <row r="2793" spans="1:9" x14ac:dyDescent="0.3">
      <c r="A2793"/>
      <c r="F2793"/>
      <c r="G2793"/>
      <c r="I2793"/>
    </row>
    <row r="2794" spans="1:9" x14ac:dyDescent="0.3">
      <c r="A2794"/>
      <c r="F2794"/>
      <c r="G2794"/>
      <c r="I2794"/>
    </row>
    <row r="2795" spans="1:9" x14ac:dyDescent="0.3">
      <c r="A2795"/>
      <c r="F2795"/>
      <c r="G2795"/>
      <c r="I2795"/>
    </row>
    <row r="2796" spans="1:9" x14ac:dyDescent="0.3">
      <c r="A2796"/>
      <c r="F2796"/>
      <c r="G2796"/>
      <c r="I2796"/>
    </row>
    <row r="2797" spans="1:9" x14ac:dyDescent="0.3">
      <c r="A2797"/>
      <c r="F2797"/>
      <c r="G2797"/>
      <c r="I2797"/>
    </row>
    <row r="2798" spans="1:9" x14ac:dyDescent="0.3">
      <c r="A2798"/>
      <c r="F2798"/>
      <c r="G2798"/>
      <c r="I2798"/>
    </row>
    <row r="2799" spans="1:9" x14ac:dyDescent="0.3">
      <c r="A2799"/>
      <c r="F2799"/>
      <c r="G2799"/>
      <c r="I2799"/>
    </row>
    <row r="2800" spans="1:9" x14ac:dyDescent="0.3">
      <c r="A2800"/>
      <c r="F2800"/>
      <c r="G2800"/>
      <c r="I2800"/>
    </row>
    <row r="2801" spans="1:9" x14ac:dyDescent="0.3">
      <c r="A2801"/>
      <c r="F2801"/>
      <c r="G2801"/>
      <c r="I2801"/>
    </row>
    <row r="2802" spans="1:9" x14ac:dyDescent="0.3">
      <c r="A2802"/>
      <c r="F2802"/>
      <c r="G2802"/>
      <c r="I2802"/>
    </row>
    <row r="2803" spans="1:9" x14ac:dyDescent="0.3">
      <c r="A2803"/>
      <c r="F2803"/>
      <c r="G2803"/>
      <c r="I2803"/>
    </row>
    <row r="2804" spans="1:9" x14ac:dyDescent="0.3">
      <c r="A2804"/>
      <c r="F2804"/>
      <c r="G2804"/>
      <c r="I2804"/>
    </row>
    <row r="2805" spans="1:9" x14ac:dyDescent="0.3">
      <c r="A2805"/>
      <c r="F2805"/>
      <c r="G2805"/>
      <c r="I2805"/>
    </row>
    <row r="2806" spans="1:9" x14ac:dyDescent="0.3">
      <c r="A2806"/>
      <c r="F2806"/>
      <c r="G2806"/>
      <c r="I2806"/>
    </row>
    <row r="2807" spans="1:9" x14ac:dyDescent="0.3">
      <c r="A2807"/>
      <c r="F2807"/>
      <c r="G2807"/>
      <c r="I2807"/>
    </row>
    <row r="2808" spans="1:9" x14ac:dyDescent="0.3">
      <c r="A2808"/>
      <c r="F2808"/>
      <c r="G2808"/>
      <c r="I2808"/>
    </row>
    <row r="2809" spans="1:9" x14ac:dyDescent="0.3">
      <c r="A2809"/>
      <c r="F2809"/>
      <c r="G2809"/>
      <c r="I2809"/>
    </row>
    <row r="2810" spans="1:9" x14ac:dyDescent="0.3">
      <c r="A2810"/>
      <c r="F2810"/>
      <c r="G2810"/>
      <c r="I2810"/>
    </row>
    <row r="2811" spans="1:9" x14ac:dyDescent="0.3">
      <c r="A2811"/>
      <c r="F2811"/>
      <c r="G2811"/>
      <c r="I2811"/>
    </row>
    <row r="2812" spans="1:9" x14ac:dyDescent="0.3">
      <c r="A2812"/>
      <c r="F2812"/>
      <c r="G2812"/>
      <c r="I2812"/>
    </row>
    <row r="2813" spans="1:9" x14ac:dyDescent="0.3">
      <c r="A2813"/>
      <c r="F2813"/>
      <c r="G2813"/>
      <c r="I2813"/>
    </row>
    <row r="2814" spans="1:9" x14ac:dyDescent="0.3">
      <c r="A2814"/>
      <c r="F2814"/>
      <c r="G2814"/>
      <c r="I2814"/>
    </row>
    <row r="2815" spans="1:9" x14ac:dyDescent="0.3">
      <c r="A2815"/>
      <c r="F2815"/>
      <c r="G2815"/>
      <c r="I2815"/>
    </row>
    <row r="2816" spans="1:9" x14ac:dyDescent="0.3">
      <c r="A2816"/>
      <c r="F2816"/>
      <c r="G2816"/>
      <c r="I2816"/>
    </row>
    <row r="2817" spans="1:9" x14ac:dyDescent="0.3">
      <c r="A2817"/>
      <c r="F2817"/>
      <c r="G2817"/>
      <c r="I2817"/>
    </row>
    <row r="2818" spans="1:9" x14ac:dyDescent="0.3">
      <c r="A2818"/>
      <c r="F2818"/>
      <c r="G2818"/>
      <c r="I2818"/>
    </row>
    <row r="2819" spans="1:9" x14ac:dyDescent="0.3">
      <c r="A2819"/>
      <c r="F2819"/>
      <c r="G2819"/>
      <c r="I2819"/>
    </row>
    <row r="2820" spans="1:9" x14ac:dyDescent="0.3">
      <c r="A2820"/>
      <c r="F2820"/>
      <c r="G2820"/>
      <c r="I2820"/>
    </row>
    <row r="2821" spans="1:9" x14ac:dyDescent="0.3">
      <c r="A2821"/>
      <c r="F2821"/>
      <c r="G2821"/>
      <c r="I2821"/>
    </row>
    <row r="2822" spans="1:9" x14ac:dyDescent="0.3">
      <c r="A2822"/>
      <c r="F2822"/>
      <c r="G2822"/>
      <c r="I2822"/>
    </row>
    <row r="2823" spans="1:9" x14ac:dyDescent="0.3">
      <c r="A2823"/>
      <c r="F2823"/>
      <c r="G2823"/>
      <c r="I2823"/>
    </row>
    <row r="2824" spans="1:9" x14ac:dyDescent="0.3">
      <c r="A2824"/>
      <c r="F2824"/>
      <c r="G2824"/>
      <c r="I2824"/>
    </row>
    <row r="2825" spans="1:9" x14ac:dyDescent="0.3">
      <c r="A2825"/>
      <c r="F2825"/>
      <c r="G2825"/>
      <c r="I2825"/>
    </row>
    <row r="2826" spans="1:9" x14ac:dyDescent="0.3">
      <c r="A2826"/>
      <c r="F2826"/>
      <c r="G2826"/>
      <c r="I2826"/>
    </row>
    <row r="2827" spans="1:9" x14ac:dyDescent="0.3">
      <c r="A2827"/>
      <c r="F2827"/>
      <c r="G2827"/>
      <c r="I2827"/>
    </row>
    <row r="2828" spans="1:9" x14ac:dyDescent="0.3">
      <c r="A2828"/>
      <c r="F2828"/>
      <c r="G2828"/>
      <c r="I2828"/>
    </row>
    <row r="2829" spans="1:9" x14ac:dyDescent="0.3">
      <c r="A2829"/>
      <c r="F2829"/>
      <c r="G2829"/>
      <c r="I2829"/>
    </row>
    <row r="2830" spans="1:9" x14ac:dyDescent="0.3">
      <c r="A2830"/>
      <c r="F2830"/>
      <c r="G2830"/>
      <c r="I2830"/>
    </row>
    <row r="2831" spans="1:9" x14ac:dyDescent="0.3">
      <c r="A2831"/>
      <c r="F2831"/>
      <c r="G2831"/>
      <c r="I2831"/>
    </row>
    <row r="2832" spans="1:9" x14ac:dyDescent="0.3">
      <c r="A2832"/>
      <c r="F2832"/>
      <c r="G2832"/>
      <c r="I2832"/>
    </row>
    <row r="2833" spans="1:9" x14ac:dyDescent="0.3">
      <c r="A2833"/>
      <c r="F2833"/>
      <c r="G2833"/>
      <c r="I2833"/>
    </row>
    <row r="2834" spans="1:9" x14ac:dyDescent="0.3">
      <c r="A2834"/>
      <c r="F2834"/>
      <c r="G2834"/>
      <c r="I2834"/>
    </row>
    <row r="2835" spans="1:9" x14ac:dyDescent="0.3">
      <c r="A2835"/>
      <c r="F2835"/>
      <c r="G2835"/>
      <c r="I2835"/>
    </row>
    <row r="2836" spans="1:9" x14ac:dyDescent="0.3">
      <c r="A2836"/>
      <c r="F2836"/>
      <c r="G2836"/>
      <c r="I2836"/>
    </row>
    <row r="2837" spans="1:9" x14ac:dyDescent="0.3">
      <c r="A2837"/>
      <c r="F2837"/>
      <c r="G2837"/>
      <c r="I2837"/>
    </row>
    <row r="2838" spans="1:9" x14ac:dyDescent="0.3">
      <c r="A2838"/>
      <c r="F2838"/>
      <c r="G2838"/>
      <c r="I2838"/>
    </row>
    <row r="2839" spans="1:9" x14ac:dyDescent="0.3">
      <c r="A2839"/>
      <c r="F2839"/>
      <c r="G2839"/>
      <c r="I2839"/>
    </row>
    <row r="2840" spans="1:9" x14ac:dyDescent="0.3">
      <c r="A2840"/>
      <c r="F2840"/>
      <c r="G2840"/>
      <c r="I2840"/>
    </row>
    <row r="2841" spans="1:9" x14ac:dyDescent="0.3">
      <c r="A2841"/>
      <c r="F2841"/>
      <c r="G2841"/>
      <c r="I2841"/>
    </row>
    <row r="2842" spans="1:9" x14ac:dyDescent="0.3">
      <c r="A2842"/>
      <c r="F2842"/>
      <c r="G2842"/>
      <c r="I2842"/>
    </row>
    <row r="2843" spans="1:9" x14ac:dyDescent="0.3">
      <c r="A2843"/>
      <c r="F2843"/>
      <c r="G2843"/>
      <c r="I2843"/>
    </row>
    <row r="2844" spans="1:9" x14ac:dyDescent="0.3">
      <c r="A2844"/>
      <c r="F2844"/>
      <c r="G2844"/>
      <c r="I2844"/>
    </row>
    <row r="2845" spans="1:9" x14ac:dyDescent="0.3">
      <c r="A2845"/>
      <c r="F2845"/>
      <c r="G2845"/>
      <c r="I2845"/>
    </row>
    <row r="2846" spans="1:9" x14ac:dyDescent="0.3">
      <c r="A2846"/>
      <c r="F2846"/>
      <c r="G2846"/>
      <c r="I2846"/>
    </row>
    <row r="2847" spans="1:9" x14ac:dyDescent="0.3">
      <c r="A2847"/>
      <c r="F2847"/>
      <c r="G2847"/>
      <c r="I2847"/>
    </row>
    <row r="2848" spans="1:9" x14ac:dyDescent="0.3">
      <c r="A2848"/>
      <c r="F2848"/>
      <c r="G2848"/>
      <c r="I2848"/>
    </row>
    <row r="2849" spans="1:9" x14ac:dyDescent="0.3">
      <c r="A2849"/>
      <c r="F2849"/>
      <c r="G2849"/>
      <c r="I2849"/>
    </row>
    <row r="2850" spans="1:9" x14ac:dyDescent="0.3">
      <c r="A2850"/>
      <c r="F2850"/>
      <c r="G2850"/>
      <c r="I2850"/>
    </row>
    <row r="2851" spans="1:9" x14ac:dyDescent="0.3">
      <c r="A2851"/>
      <c r="F2851"/>
      <c r="G2851"/>
      <c r="I2851"/>
    </row>
    <row r="2852" spans="1:9" x14ac:dyDescent="0.3">
      <c r="A2852"/>
      <c r="F2852"/>
      <c r="G2852"/>
      <c r="I2852"/>
    </row>
    <row r="2853" spans="1:9" x14ac:dyDescent="0.3">
      <c r="A2853"/>
      <c r="F2853"/>
      <c r="G2853"/>
      <c r="I2853"/>
    </row>
    <row r="2854" spans="1:9" x14ac:dyDescent="0.3">
      <c r="A2854"/>
      <c r="F2854"/>
      <c r="G2854"/>
      <c r="I2854"/>
    </row>
    <row r="2855" spans="1:9" x14ac:dyDescent="0.3">
      <c r="A2855"/>
      <c r="F2855"/>
      <c r="G2855"/>
      <c r="I2855"/>
    </row>
    <row r="2856" spans="1:9" x14ac:dyDescent="0.3">
      <c r="A2856"/>
      <c r="F2856"/>
      <c r="G2856"/>
      <c r="I2856"/>
    </row>
    <row r="2857" spans="1:9" x14ac:dyDescent="0.3">
      <c r="A2857"/>
      <c r="F2857"/>
      <c r="G2857"/>
      <c r="I2857"/>
    </row>
    <row r="2858" spans="1:9" x14ac:dyDescent="0.3">
      <c r="A2858"/>
      <c r="F2858"/>
      <c r="G2858"/>
      <c r="I2858"/>
    </row>
    <row r="2859" spans="1:9" x14ac:dyDescent="0.3">
      <c r="A2859"/>
      <c r="F2859"/>
      <c r="G2859"/>
      <c r="I2859"/>
    </row>
    <row r="2860" spans="1:9" x14ac:dyDescent="0.3">
      <c r="A2860"/>
      <c r="F2860"/>
      <c r="G2860"/>
      <c r="I2860"/>
    </row>
    <row r="2861" spans="1:9" x14ac:dyDescent="0.3">
      <c r="A2861"/>
      <c r="F2861"/>
      <c r="G2861"/>
      <c r="I2861"/>
    </row>
    <row r="2862" spans="1:9" x14ac:dyDescent="0.3">
      <c r="A2862"/>
      <c r="F2862"/>
      <c r="G2862"/>
      <c r="I2862"/>
    </row>
    <row r="2863" spans="1:9" x14ac:dyDescent="0.3">
      <c r="A2863"/>
      <c r="F2863"/>
      <c r="G2863"/>
      <c r="I2863"/>
    </row>
    <row r="2864" spans="1:9" x14ac:dyDescent="0.3">
      <c r="A2864"/>
      <c r="F2864"/>
      <c r="G2864"/>
      <c r="I2864"/>
    </row>
    <row r="2865" spans="1:9" x14ac:dyDescent="0.3">
      <c r="A2865"/>
      <c r="F2865"/>
      <c r="G2865"/>
      <c r="I2865"/>
    </row>
    <row r="2866" spans="1:9" x14ac:dyDescent="0.3">
      <c r="A2866"/>
      <c r="F2866"/>
      <c r="G2866"/>
      <c r="I2866"/>
    </row>
    <row r="2867" spans="1:9" x14ac:dyDescent="0.3">
      <c r="A2867"/>
      <c r="F2867"/>
      <c r="G2867"/>
      <c r="I2867"/>
    </row>
    <row r="2868" spans="1:9" x14ac:dyDescent="0.3">
      <c r="A2868"/>
      <c r="F2868"/>
      <c r="G2868"/>
      <c r="I2868"/>
    </row>
    <row r="2869" spans="1:9" x14ac:dyDescent="0.3">
      <c r="A2869"/>
      <c r="F2869"/>
      <c r="G2869"/>
      <c r="I2869"/>
    </row>
    <row r="2870" spans="1:9" x14ac:dyDescent="0.3">
      <c r="A2870"/>
      <c r="F2870"/>
      <c r="G2870"/>
      <c r="I2870"/>
    </row>
    <row r="2871" spans="1:9" x14ac:dyDescent="0.3">
      <c r="A2871"/>
      <c r="F2871"/>
      <c r="G2871"/>
      <c r="I2871"/>
    </row>
    <row r="2872" spans="1:9" x14ac:dyDescent="0.3">
      <c r="A2872"/>
      <c r="F2872"/>
      <c r="G2872"/>
      <c r="I2872"/>
    </row>
    <row r="2873" spans="1:9" x14ac:dyDescent="0.3">
      <c r="A2873"/>
      <c r="F2873"/>
      <c r="G2873"/>
      <c r="I2873"/>
    </row>
    <row r="2874" spans="1:9" x14ac:dyDescent="0.3">
      <c r="A2874"/>
      <c r="F2874"/>
      <c r="G2874"/>
      <c r="I2874"/>
    </row>
    <row r="2875" spans="1:9" x14ac:dyDescent="0.3">
      <c r="A2875"/>
      <c r="F2875"/>
      <c r="G2875"/>
      <c r="I2875"/>
    </row>
    <row r="2876" spans="1:9" x14ac:dyDescent="0.3">
      <c r="A2876"/>
      <c r="F2876"/>
      <c r="G2876"/>
      <c r="I2876"/>
    </row>
    <row r="2877" spans="1:9" x14ac:dyDescent="0.3">
      <c r="A2877"/>
      <c r="F2877"/>
      <c r="G2877"/>
      <c r="I2877"/>
    </row>
    <row r="2878" spans="1:9" x14ac:dyDescent="0.3">
      <c r="A2878"/>
      <c r="F2878"/>
      <c r="G2878"/>
      <c r="I2878"/>
    </row>
    <row r="2879" spans="1:9" x14ac:dyDescent="0.3">
      <c r="A2879"/>
      <c r="F2879"/>
      <c r="G2879"/>
      <c r="I2879"/>
    </row>
    <row r="2880" spans="1:9" x14ac:dyDescent="0.3">
      <c r="A2880"/>
      <c r="F2880"/>
      <c r="G2880"/>
      <c r="I2880"/>
    </row>
    <row r="2881" spans="1:9" x14ac:dyDescent="0.3">
      <c r="A2881"/>
      <c r="F2881"/>
      <c r="G2881"/>
      <c r="I2881"/>
    </row>
    <row r="2882" spans="1:9" x14ac:dyDescent="0.3">
      <c r="A2882"/>
      <c r="F2882"/>
      <c r="G2882"/>
      <c r="I2882"/>
    </row>
    <row r="2883" spans="1:9" x14ac:dyDescent="0.3">
      <c r="A2883"/>
      <c r="F2883"/>
      <c r="G2883"/>
      <c r="I2883"/>
    </row>
    <row r="2884" spans="1:9" x14ac:dyDescent="0.3">
      <c r="A2884"/>
      <c r="F2884"/>
      <c r="G2884"/>
      <c r="I2884"/>
    </row>
    <row r="2885" spans="1:9" x14ac:dyDescent="0.3">
      <c r="A2885"/>
      <c r="F2885"/>
      <c r="G2885"/>
      <c r="I2885"/>
    </row>
    <row r="2886" spans="1:9" x14ac:dyDescent="0.3">
      <c r="A2886"/>
      <c r="F2886"/>
      <c r="G2886"/>
      <c r="I2886"/>
    </row>
    <row r="2887" spans="1:9" x14ac:dyDescent="0.3">
      <c r="A2887"/>
      <c r="F2887"/>
      <c r="G2887"/>
      <c r="I2887"/>
    </row>
    <row r="2888" spans="1:9" x14ac:dyDescent="0.3">
      <c r="A2888"/>
      <c r="F2888"/>
      <c r="G2888"/>
      <c r="I2888"/>
    </row>
    <row r="2889" spans="1:9" x14ac:dyDescent="0.3">
      <c r="A2889"/>
      <c r="F2889"/>
      <c r="G2889"/>
      <c r="I2889"/>
    </row>
    <row r="2890" spans="1:9" x14ac:dyDescent="0.3">
      <c r="A2890"/>
      <c r="F2890"/>
      <c r="G2890"/>
      <c r="I2890"/>
    </row>
    <row r="2891" spans="1:9" x14ac:dyDescent="0.3">
      <c r="A2891"/>
      <c r="F2891"/>
      <c r="G2891"/>
      <c r="I2891"/>
    </row>
    <row r="2892" spans="1:9" x14ac:dyDescent="0.3">
      <c r="A2892"/>
      <c r="F2892"/>
      <c r="G2892"/>
      <c r="I2892"/>
    </row>
    <row r="2893" spans="1:9" x14ac:dyDescent="0.3">
      <c r="A2893"/>
      <c r="F2893"/>
      <c r="G2893"/>
      <c r="I2893"/>
    </row>
    <row r="2894" spans="1:9" x14ac:dyDescent="0.3">
      <c r="A2894"/>
      <c r="F2894"/>
      <c r="G2894"/>
      <c r="I2894"/>
    </row>
    <row r="2895" spans="1:9" x14ac:dyDescent="0.3">
      <c r="A2895"/>
      <c r="F2895"/>
      <c r="G2895"/>
      <c r="I2895"/>
    </row>
    <row r="2896" spans="1:9" x14ac:dyDescent="0.3">
      <c r="A2896"/>
      <c r="F2896"/>
      <c r="G2896"/>
      <c r="I2896"/>
    </row>
    <row r="2897" spans="1:9" x14ac:dyDescent="0.3">
      <c r="A2897"/>
      <c r="F2897"/>
      <c r="G2897"/>
      <c r="I2897"/>
    </row>
    <row r="2898" spans="1:9" x14ac:dyDescent="0.3">
      <c r="A2898"/>
      <c r="F2898"/>
      <c r="G2898"/>
      <c r="I2898"/>
    </row>
    <row r="2899" spans="1:9" x14ac:dyDescent="0.3">
      <c r="A2899"/>
      <c r="F2899"/>
      <c r="G2899"/>
      <c r="I2899"/>
    </row>
    <row r="2900" spans="1:9" x14ac:dyDescent="0.3">
      <c r="A2900"/>
      <c r="F2900"/>
      <c r="G2900"/>
      <c r="I2900"/>
    </row>
    <row r="2901" spans="1:9" x14ac:dyDescent="0.3">
      <c r="A2901"/>
      <c r="F2901"/>
      <c r="G2901"/>
      <c r="I2901"/>
    </row>
    <row r="2902" spans="1:9" x14ac:dyDescent="0.3">
      <c r="A2902"/>
      <c r="F2902"/>
      <c r="G2902"/>
      <c r="I2902"/>
    </row>
    <row r="2903" spans="1:9" x14ac:dyDescent="0.3">
      <c r="A2903"/>
      <c r="F2903"/>
      <c r="G2903"/>
      <c r="I2903"/>
    </row>
    <row r="2904" spans="1:9" x14ac:dyDescent="0.3">
      <c r="A2904"/>
      <c r="F2904"/>
      <c r="G2904"/>
      <c r="I2904"/>
    </row>
    <row r="2905" spans="1:9" x14ac:dyDescent="0.3">
      <c r="A2905"/>
      <c r="F2905"/>
      <c r="G2905"/>
      <c r="I2905"/>
    </row>
    <row r="2906" spans="1:9" x14ac:dyDescent="0.3">
      <c r="A2906"/>
      <c r="F2906"/>
      <c r="G2906"/>
      <c r="I2906"/>
    </row>
    <row r="2907" spans="1:9" x14ac:dyDescent="0.3">
      <c r="A2907"/>
      <c r="F2907"/>
      <c r="G2907"/>
      <c r="I2907"/>
    </row>
    <row r="2908" spans="1:9" x14ac:dyDescent="0.3">
      <c r="A2908"/>
      <c r="F2908"/>
      <c r="G2908"/>
      <c r="I2908"/>
    </row>
    <row r="2909" spans="1:9" x14ac:dyDescent="0.3">
      <c r="A2909"/>
      <c r="F2909"/>
      <c r="G2909"/>
      <c r="I2909"/>
    </row>
    <row r="2910" spans="1:9" x14ac:dyDescent="0.3">
      <c r="A2910"/>
      <c r="F2910"/>
      <c r="G2910"/>
      <c r="I2910"/>
    </row>
    <row r="2911" spans="1:9" x14ac:dyDescent="0.3">
      <c r="A2911"/>
      <c r="F2911"/>
      <c r="G2911"/>
      <c r="I2911"/>
    </row>
    <row r="2912" spans="1:9" x14ac:dyDescent="0.3">
      <c r="A2912"/>
      <c r="F2912"/>
      <c r="G2912"/>
      <c r="I2912"/>
    </row>
    <row r="2913" spans="1:9" x14ac:dyDescent="0.3">
      <c r="A2913"/>
      <c r="F2913"/>
      <c r="G2913"/>
      <c r="I2913"/>
    </row>
    <row r="2914" spans="1:9" x14ac:dyDescent="0.3">
      <c r="A2914"/>
      <c r="F2914"/>
      <c r="G2914"/>
      <c r="I2914"/>
    </row>
    <row r="2915" spans="1:9" x14ac:dyDescent="0.3">
      <c r="A2915"/>
      <c r="F2915"/>
      <c r="G2915"/>
      <c r="I2915"/>
    </row>
    <row r="2916" spans="1:9" x14ac:dyDescent="0.3">
      <c r="A2916"/>
      <c r="F2916"/>
      <c r="G2916"/>
      <c r="I2916"/>
    </row>
    <row r="2917" spans="1:9" x14ac:dyDescent="0.3">
      <c r="A2917"/>
      <c r="F2917"/>
      <c r="G2917"/>
      <c r="I2917"/>
    </row>
    <row r="2918" spans="1:9" x14ac:dyDescent="0.3">
      <c r="A2918"/>
      <c r="F2918"/>
      <c r="G2918"/>
      <c r="I2918"/>
    </row>
    <row r="2919" spans="1:9" x14ac:dyDescent="0.3">
      <c r="A2919"/>
      <c r="F2919"/>
      <c r="G2919"/>
      <c r="I2919"/>
    </row>
    <row r="2920" spans="1:9" x14ac:dyDescent="0.3">
      <c r="A2920"/>
      <c r="F2920"/>
      <c r="G2920"/>
      <c r="I2920"/>
    </row>
    <row r="2921" spans="1:9" x14ac:dyDescent="0.3">
      <c r="A2921"/>
      <c r="F2921"/>
      <c r="G2921"/>
      <c r="I2921"/>
    </row>
    <row r="2922" spans="1:9" x14ac:dyDescent="0.3">
      <c r="A2922"/>
      <c r="F2922"/>
      <c r="G2922"/>
      <c r="I2922"/>
    </row>
    <row r="2923" spans="1:9" x14ac:dyDescent="0.3">
      <c r="A2923"/>
      <c r="F2923"/>
      <c r="G2923"/>
      <c r="I2923"/>
    </row>
    <row r="2924" spans="1:9" x14ac:dyDescent="0.3">
      <c r="A2924"/>
      <c r="F2924"/>
      <c r="G2924"/>
      <c r="I2924"/>
    </row>
    <row r="2925" spans="1:9" x14ac:dyDescent="0.3">
      <c r="A2925"/>
      <c r="F2925"/>
      <c r="G2925"/>
      <c r="I2925"/>
    </row>
    <row r="2926" spans="1:9" x14ac:dyDescent="0.3">
      <c r="A2926"/>
      <c r="F2926"/>
      <c r="G2926"/>
      <c r="I2926"/>
    </row>
    <row r="2927" spans="1:9" x14ac:dyDescent="0.3">
      <c r="A2927"/>
      <c r="F2927"/>
      <c r="G2927"/>
      <c r="I2927"/>
    </row>
    <row r="2928" spans="1:9" x14ac:dyDescent="0.3">
      <c r="A2928"/>
      <c r="F2928"/>
      <c r="G2928"/>
      <c r="I2928"/>
    </row>
    <row r="2929" spans="1:9" x14ac:dyDescent="0.3">
      <c r="A2929"/>
      <c r="F2929"/>
      <c r="G2929"/>
      <c r="I2929"/>
    </row>
    <row r="2930" spans="1:9" x14ac:dyDescent="0.3">
      <c r="A2930"/>
      <c r="F2930"/>
      <c r="G2930"/>
      <c r="I2930"/>
    </row>
    <row r="2931" spans="1:9" x14ac:dyDescent="0.3">
      <c r="A2931"/>
      <c r="F2931"/>
      <c r="G2931"/>
      <c r="I2931"/>
    </row>
    <row r="2932" spans="1:9" x14ac:dyDescent="0.3">
      <c r="A2932"/>
      <c r="F2932"/>
      <c r="G2932"/>
      <c r="I2932"/>
    </row>
    <row r="2933" spans="1:9" x14ac:dyDescent="0.3">
      <c r="A2933"/>
      <c r="F2933"/>
      <c r="G2933"/>
      <c r="I2933"/>
    </row>
    <row r="2934" spans="1:9" x14ac:dyDescent="0.3">
      <c r="A2934"/>
      <c r="F2934"/>
      <c r="G2934"/>
      <c r="I2934"/>
    </row>
    <row r="2935" spans="1:9" x14ac:dyDescent="0.3">
      <c r="A2935"/>
      <c r="F2935"/>
      <c r="G2935"/>
      <c r="I2935"/>
    </row>
    <row r="2936" spans="1:9" x14ac:dyDescent="0.3">
      <c r="A2936"/>
      <c r="F2936"/>
      <c r="G2936"/>
      <c r="I2936"/>
    </row>
    <row r="2937" spans="1:9" x14ac:dyDescent="0.3">
      <c r="A2937"/>
      <c r="F2937"/>
      <c r="G2937"/>
      <c r="I2937"/>
    </row>
    <row r="2938" spans="1:9" x14ac:dyDescent="0.3">
      <c r="A2938"/>
      <c r="F2938"/>
      <c r="G2938"/>
      <c r="I2938"/>
    </row>
    <row r="2939" spans="1:9" x14ac:dyDescent="0.3">
      <c r="A2939"/>
      <c r="F2939"/>
      <c r="G2939"/>
      <c r="I2939"/>
    </row>
    <row r="2940" spans="1:9" x14ac:dyDescent="0.3">
      <c r="A2940"/>
      <c r="F2940"/>
      <c r="G2940"/>
      <c r="I2940"/>
    </row>
    <row r="2941" spans="1:9" x14ac:dyDescent="0.3">
      <c r="A2941"/>
      <c r="F2941"/>
      <c r="G2941"/>
      <c r="I2941"/>
    </row>
    <row r="2942" spans="1:9" x14ac:dyDescent="0.3">
      <c r="A2942"/>
      <c r="F2942"/>
      <c r="G2942"/>
      <c r="I2942"/>
    </row>
    <row r="2943" spans="1:9" x14ac:dyDescent="0.3">
      <c r="A2943"/>
      <c r="F2943"/>
      <c r="G2943"/>
      <c r="I2943"/>
    </row>
    <row r="2944" spans="1:9" x14ac:dyDescent="0.3">
      <c r="A2944"/>
      <c r="F2944"/>
      <c r="G2944"/>
      <c r="I2944"/>
    </row>
    <row r="2945" spans="1:9" x14ac:dyDescent="0.3">
      <c r="A2945"/>
      <c r="F2945"/>
      <c r="G2945"/>
      <c r="I2945"/>
    </row>
    <row r="2946" spans="1:9" x14ac:dyDescent="0.3">
      <c r="A2946"/>
      <c r="F2946"/>
      <c r="G2946"/>
      <c r="I2946"/>
    </row>
    <row r="2947" spans="1:9" x14ac:dyDescent="0.3">
      <c r="A2947"/>
      <c r="F2947"/>
      <c r="G2947"/>
      <c r="I2947"/>
    </row>
    <row r="2948" spans="1:9" x14ac:dyDescent="0.3">
      <c r="A2948"/>
      <c r="F2948"/>
      <c r="G2948"/>
      <c r="I2948"/>
    </row>
    <row r="2949" spans="1:9" x14ac:dyDescent="0.3">
      <c r="A2949"/>
      <c r="F2949"/>
      <c r="G2949"/>
      <c r="I2949"/>
    </row>
    <row r="2950" spans="1:9" x14ac:dyDescent="0.3">
      <c r="A2950"/>
      <c r="F2950"/>
      <c r="G2950"/>
      <c r="I2950"/>
    </row>
    <row r="2951" spans="1:9" x14ac:dyDescent="0.3">
      <c r="A2951"/>
      <c r="F2951"/>
      <c r="G2951"/>
      <c r="I2951"/>
    </row>
    <row r="2952" spans="1:9" x14ac:dyDescent="0.3">
      <c r="A2952"/>
      <c r="F2952"/>
      <c r="G2952"/>
      <c r="I2952"/>
    </row>
    <row r="2953" spans="1:9" x14ac:dyDescent="0.3">
      <c r="A2953"/>
      <c r="F2953"/>
      <c r="G2953"/>
      <c r="I2953"/>
    </row>
    <row r="2954" spans="1:9" x14ac:dyDescent="0.3">
      <c r="A2954"/>
      <c r="F2954"/>
      <c r="G2954"/>
      <c r="I2954"/>
    </row>
    <row r="2955" spans="1:9" x14ac:dyDescent="0.3">
      <c r="A2955"/>
      <c r="F2955"/>
      <c r="G2955"/>
      <c r="I2955"/>
    </row>
    <row r="2956" spans="1:9" x14ac:dyDescent="0.3">
      <c r="A2956"/>
      <c r="F2956"/>
      <c r="G2956"/>
      <c r="I2956"/>
    </row>
    <row r="2957" spans="1:9" x14ac:dyDescent="0.3">
      <c r="A2957"/>
      <c r="F2957"/>
      <c r="G2957"/>
      <c r="I2957"/>
    </row>
    <row r="2958" spans="1:9" x14ac:dyDescent="0.3">
      <c r="A2958"/>
      <c r="F2958"/>
      <c r="G2958"/>
      <c r="I2958"/>
    </row>
    <row r="2959" spans="1:9" x14ac:dyDescent="0.3">
      <c r="A2959"/>
      <c r="F2959"/>
      <c r="G2959"/>
      <c r="I2959"/>
    </row>
    <row r="2960" spans="1:9" x14ac:dyDescent="0.3">
      <c r="A2960"/>
      <c r="F2960"/>
      <c r="G2960"/>
      <c r="I2960"/>
    </row>
    <row r="2961" spans="1:9" x14ac:dyDescent="0.3">
      <c r="A2961"/>
      <c r="F2961"/>
      <c r="G2961"/>
      <c r="I2961"/>
    </row>
    <row r="2962" spans="1:9" x14ac:dyDescent="0.3">
      <c r="A2962"/>
      <c r="F2962"/>
      <c r="G2962"/>
      <c r="I2962"/>
    </row>
    <row r="2963" spans="1:9" x14ac:dyDescent="0.3">
      <c r="A2963"/>
      <c r="F2963"/>
      <c r="G2963"/>
      <c r="I2963"/>
    </row>
    <row r="2964" spans="1:9" x14ac:dyDescent="0.3">
      <c r="A2964"/>
      <c r="F2964"/>
      <c r="G2964"/>
      <c r="I2964"/>
    </row>
    <row r="2965" spans="1:9" x14ac:dyDescent="0.3">
      <c r="A2965"/>
      <c r="F2965"/>
      <c r="G2965"/>
      <c r="I2965"/>
    </row>
    <row r="2966" spans="1:9" x14ac:dyDescent="0.3">
      <c r="A2966"/>
      <c r="F2966"/>
      <c r="G2966"/>
      <c r="I2966"/>
    </row>
    <row r="2967" spans="1:9" x14ac:dyDescent="0.3">
      <c r="A2967"/>
      <c r="F2967"/>
      <c r="G2967"/>
      <c r="I2967"/>
    </row>
    <row r="2968" spans="1:9" x14ac:dyDescent="0.3">
      <c r="A2968"/>
      <c r="F2968"/>
      <c r="G2968"/>
      <c r="I2968"/>
    </row>
    <row r="2969" spans="1:9" x14ac:dyDescent="0.3">
      <c r="A2969"/>
      <c r="F2969"/>
      <c r="G2969"/>
      <c r="I2969"/>
    </row>
    <row r="2970" spans="1:9" x14ac:dyDescent="0.3">
      <c r="A2970"/>
      <c r="F2970"/>
      <c r="G2970"/>
      <c r="I2970"/>
    </row>
    <row r="2971" spans="1:9" x14ac:dyDescent="0.3">
      <c r="A2971"/>
      <c r="F2971"/>
      <c r="G2971"/>
      <c r="I2971"/>
    </row>
    <row r="2972" spans="1:9" x14ac:dyDescent="0.3">
      <c r="A2972"/>
      <c r="F2972"/>
      <c r="G2972"/>
      <c r="I2972"/>
    </row>
    <row r="2973" spans="1:9" x14ac:dyDescent="0.3">
      <c r="A2973"/>
      <c r="F2973"/>
      <c r="G2973"/>
      <c r="I2973"/>
    </row>
    <row r="2974" spans="1:9" x14ac:dyDescent="0.3">
      <c r="A2974"/>
      <c r="F2974"/>
      <c r="G2974"/>
      <c r="I2974"/>
    </row>
    <row r="2975" spans="1:9" x14ac:dyDescent="0.3">
      <c r="A2975"/>
      <c r="F2975"/>
      <c r="G2975"/>
      <c r="I2975"/>
    </row>
    <row r="2976" spans="1:9" x14ac:dyDescent="0.3">
      <c r="A2976"/>
      <c r="F2976"/>
      <c r="G2976"/>
      <c r="I2976"/>
    </row>
    <row r="2977" spans="1:9" x14ac:dyDescent="0.3">
      <c r="A2977"/>
      <c r="F2977"/>
      <c r="G2977"/>
      <c r="I2977"/>
    </row>
    <row r="2978" spans="1:9" x14ac:dyDescent="0.3">
      <c r="A2978"/>
      <c r="F2978"/>
      <c r="G2978"/>
      <c r="I2978"/>
    </row>
    <row r="2979" spans="1:9" x14ac:dyDescent="0.3">
      <c r="A2979"/>
      <c r="F2979"/>
      <c r="G2979"/>
      <c r="I2979"/>
    </row>
    <row r="2980" spans="1:9" x14ac:dyDescent="0.3">
      <c r="A2980"/>
      <c r="F2980"/>
      <c r="G2980"/>
      <c r="I2980"/>
    </row>
    <row r="2981" spans="1:9" x14ac:dyDescent="0.3">
      <c r="A2981"/>
      <c r="F2981"/>
      <c r="G2981"/>
      <c r="I2981"/>
    </row>
    <row r="2982" spans="1:9" x14ac:dyDescent="0.3">
      <c r="A2982"/>
      <c r="F2982"/>
      <c r="G2982"/>
      <c r="I2982"/>
    </row>
    <row r="2983" spans="1:9" x14ac:dyDescent="0.3">
      <c r="A2983"/>
      <c r="F2983"/>
      <c r="G2983"/>
      <c r="I2983"/>
    </row>
    <row r="2984" spans="1:9" x14ac:dyDescent="0.3">
      <c r="A2984"/>
      <c r="F2984"/>
      <c r="G2984"/>
      <c r="I2984"/>
    </row>
    <row r="2985" spans="1:9" x14ac:dyDescent="0.3">
      <c r="A2985"/>
      <c r="F2985"/>
      <c r="G2985"/>
      <c r="I2985"/>
    </row>
    <row r="2986" spans="1:9" x14ac:dyDescent="0.3">
      <c r="A2986"/>
      <c r="F2986"/>
      <c r="G2986"/>
      <c r="I2986"/>
    </row>
    <row r="2987" spans="1:9" x14ac:dyDescent="0.3">
      <c r="A2987"/>
      <c r="F2987"/>
      <c r="G2987"/>
      <c r="I2987"/>
    </row>
    <row r="2988" spans="1:9" x14ac:dyDescent="0.3">
      <c r="A2988"/>
      <c r="F2988"/>
      <c r="G2988"/>
      <c r="I2988"/>
    </row>
    <row r="2989" spans="1:9" x14ac:dyDescent="0.3">
      <c r="A2989"/>
      <c r="F2989"/>
      <c r="G2989"/>
      <c r="I2989"/>
    </row>
    <row r="2990" spans="1:9" x14ac:dyDescent="0.3">
      <c r="A2990"/>
      <c r="F2990"/>
      <c r="G2990"/>
      <c r="I2990"/>
    </row>
    <row r="2991" spans="1:9" x14ac:dyDescent="0.3">
      <c r="A2991"/>
      <c r="F2991"/>
      <c r="G2991"/>
      <c r="I2991"/>
    </row>
    <row r="2992" spans="1:9" x14ac:dyDescent="0.3">
      <c r="A2992"/>
      <c r="F2992"/>
      <c r="G2992"/>
      <c r="I2992"/>
    </row>
    <row r="2993" spans="1:9" x14ac:dyDescent="0.3">
      <c r="A2993"/>
      <c r="F2993"/>
      <c r="G2993"/>
      <c r="I2993"/>
    </row>
    <row r="2994" spans="1:9" x14ac:dyDescent="0.3">
      <c r="A2994"/>
      <c r="F2994"/>
      <c r="G2994"/>
      <c r="I2994"/>
    </row>
    <row r="2995" spans="1:9" x14ac:dyDescent="0.3">
      <c r="A2995"/>
      <c r="F2995"/>
      <c r="G2995"/>
      <c r="I2995"/>
    </row>
    <row r="2996" spans="1:9" x14ac:dyDescent="0.3">
      <c r="A2996"/>
      <c r="F2996"/>
      <c r="G2996"/>
      <c r="I2996"/>
    </row>
    <row r="2997" spans="1:9" x14ac:dyDescent="0.3">
      <c r="A2997"/>
      <c r="F2997"/>
      <c r="G2997"/>
      <c r="I2997"/>
    </row>
    <row r="2998" spans="1:9" x14ac:dyDescent="0.3">
      <c r="A2998"/>
      <c r="F2998"/>
      <c r="G2998"/>
      <c r="I2998"/>
    </row>
    <row r="2999" spans="1:9" x14ac:dyDescent="0.3">
      <c r="A2999"/>
      <c r="F2999"/>
      <c r="G2999"/>
      <c r="I2999"/>
    </row>
    <row r="3000" spans="1:9" x14ac:dyDescent="0.3">
      <c r="A3000"/>
      <c r="F3000"/>
      <c r="G3000"/>
      <c r="I3000"/>
    </row>
    <row r="3002" spans="1:9" x14ac:dyDescent="0.3">
      <c r="C3002" s="11"/>
    </row>
    <row r="3012" spans="3:3" x14ac:dyDescent="0.3">
      <c r="C3012" s="11"/>
    </row>
    <row r="3017" spans="3:3" x14ac:dyDescent="0.3">
      <c r="C3017" s="11"/>
    </row>
    <row r="3018" spans="3:3" x14ac:dyDescent="0.3">
      <c r="C3018" s="11"/>
    </row>
    <row r="3022" spans="3:3" x14ac:dyDescent="0.3">
      <c r="C3022" s="11"/>
    </row>
    <row r="3023" spans="3:3" x14ac:dyDescent="0.3">
      <c r="C3023" s="11"/>
    </row>
    <row r="3027" spans="3:3" x14ac:dyDescent="0.3">
      <c r="C3027" s="11"/>
    </row>
    <row r="3028" spans="3:3" x14ac:dyDescent="0.3">
      <c r="C3028" s="11"/>
    </row>
    <row r="3030" spans="3:3" x14ac:dyDescent="0.3">
      <c r="C3030" s="11"/>
    </row>
    <row r="3032" spans="3:3" x14ac:dyDescent="0.3">
      <c r="C3032" s="11"/>
    </row>
    <row r="3034" spans="3:3" x14ac:dyDescent="0.3">
      <c r="C3034" s="11"/>
    </row>
    <row r="3038" spans="3:3" x14ac:dyDescent="0.3">
      <c r="C3038" s="11"/>
    </row>
    <row r="3040" spans="3:3" x14ac:dyDescent="0.3">
      <c r="C3040" s="11"/>
    </row>
    <row r="3042" spans="3:3" x14ac:dyDescent="0.3">
      <c r="C3042" s="11"/>
    </row>
    <row r="3044" spans="3:3" x14ac:dyDescent="0.3">
      <c r="C3044" s="11"/>
    </row>
    <row r="3046" spans="3:3" x14ac:dyDescent="0.3">
      <c r="C3046" s="11"/>
    </row>
    <row r="3048" spans="3:3" x14ac:dyDescent="0.3">
      <c r="C3048" s="11"/>
    </row>
    <row r="3054" spans="3:3" x14ac:dyDescent="0.3">
      <c r="C3054" s="11"/>
    </row>
    <row r="3057" spans="3:3" x14ac:dyDescent="0.3">
      <c r="C3057" s="11"/>
    </row>
    <row r="3060" spans="3:3" x14ac:dyDescent="0.3">
      <c r="C3060" s="11"/>
    </row>
    <row r="3064" spans="3:3" x14ac:dyDescent="0.3">
      <c r="C3064" s="11"/>
    </row>
    <row r="3066" spans="3:3" x14ac:dyDescent="0.3">
      <c r="C3066" s="11"/>
    </row>
    <row r="3068" spans="3:3" x14ac:dyDescent="0.3">
      <c r="C3068" s="11"/>
    </row>
    <row r="3070" spans="3:3" x14ac:dyDescent="0.3">
      <c r="C3070" s="11"/>
    </row>
    <row r="3072" spans="3:3" x14ac:dyDescent="0.3">
      <c r="C3072" s="11"/>
    </row>
    <row r="3074" spans="3:3" x14ac:dyDescent="0.3">
      <c r="C3074" s="11"/>
    </row>
    <row r="3078" spans="3:3" x14ac:dyDescent="0.3">
      <c r="C3078" s="11"/>
    </row>
    <row r="3080" spans="3:3" x14ac:dyDescent="0.3">
      <c r="C3080" s="11"/>
    </row>
    <row r="3082" spans="3:3" x14ac:dyDescent="0.3">
      <c r="C3082" s="11"/>
    </row>
    <row r="3086" spans="3:3" x14ac:dyDescent="0.3">
      <c r="C3086" s="11"/>
    </row>
    <row r="3088" spans="3:3" x14ac:dyDescent="0.3">
      <c r="C3088" s="11"/>
    </row>
    <row r="3090" spans="3:3" x14ac:dyDescent="0.3">
      <c r="C3090" s="11"/>
    </row>
    <row r="3092" spans="3:3" x14ac:dyDescent="0.3">
      <c r="C3092" s="11"/>
    </row>
    <row r="3096" spans="3:3" x14ac:dyDescent="0.3">
      <c r="C3096" s="11"/>
    </row>
    <row r="3098" spans="3:3" x14ac:dyDescent="0.3">
      <c r="C3098" s="11"/>
    </row>
    <row r="3100" spans="3:3" x14ac:dyDescent="0.3">
      <c r="C3100" s="11"/>
    </row>
    <row r="3102" spans="3:3" x14ac:dyDescent="0.3">
      <c r="C3102" s="11"/>
    </row>
    <row r="3104" spans="3:3" x14ac:dyDescent="0.3">
      <c r="C3104" s="11"/>
    </row>
    <row r="3106" spans="3:3" x14ac:dyDescent="0.3">
      <c r="C3106" s="11"/>
    </row>
    <row r="3110" spans="3:3" x14ac:dyDescent="0.3">
      <c r="C3110" s="11"/>
    </row>
    <row r="3112" spans="3:3" x14ac:dyDescent="0.3">
      <c r="C3112" s="11"/>
    </row>
    <row r="3114" spans="3:3" x14ac:dyDescent="0.3">
      <c r="C3114" s="11"/>
    </row>
    <row r="3116" spans="3:3" x14ac:dyDescent="0.3">
      <c r="C3116" s="11"/>
    </row>
  </sheetData>
  <mergeCells count="2">
    <mergeCell ref="G4:H4"/>
    <mergeCell ref="A2:D3"/>
  </mergeCells>
  <dataValidations count="1">
    <dataValidation type="list" allowBlank="1" showInputMessage="1" showErrorMessage="1" sqref="F2">
      <formula1>$L$1:$X$1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FourniEtDate">
                <anchor moveWithCells="1" sizeWithCells="1">
                  <from>
                    <xdr:col>4</xdr:col>
                    <xdr:colOff>0</xdr:colOff>
                    <xdr:row>2</xdr:row>
                    <xdr:rowOff>137160</xdr:rowOff>
                  </from>
                  <to>
                    <xdr:col>5</xdr:col>
                    <xdr:colOff>2781300</xdr:colOff>
                    <xdr:row>3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lear2">
                <anchor moveWithCells="1" sizeWithCells="1">
                  <from>
                    <xdr:col>6</xdr:col>
                    <xdr:colOff>266700</xdr:colOff>
                    <xdr:row>0</xdr:row>
                    <xdr:rowOff>350520</xdr:rowOff>
                  </from>
                  <to>
                    <xdr:col>7</xdr:col>
                    <xdr:colOff>601980</xdr:colOff>
                    <xdr:row>1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1:XFD3116"/>
  <sheetViews>
    <sheetView topLeftCell="A16" workbookViewId="0">
      <selection activeCell="B6" sqref="B6"/>
    </sheetView>
  </sheetViews>
  <sheetFormatPr defaultRowHeight="14.4" x14ac:dyDescent="0.3"/>
  <cols>
    <col min="1" max="1" width="5.5546875" style="5" customWidth="1"/>
    <col min="2" max="2" width="27.44140625" customWidth="1"/>
    <col min="3" max="3" width="18.88671875" style="154" customWidth="1"/>
    <col min="4" max="4" width="8.109375" style="155" customWidth="1"/>
    <col min="5" max="5" width="13.109375" customWidth="1"/>
    <col min="6" max="6" width="41.88671875" style="10" customWidth="1"/>
    <col min="7" max="7" width="10.44140625" style="3" customWidth="1"/>
    <col min="8" max="8" width="11.33203125" customWidth="1"/>
    <col min="9" max="9" width="17" style="4" customWidth="1"/>
    <col min="10" max="10" width="15.109375" customWidth="1"/>
    <col min="11" max="11" width="12" customWidth="1"/>
    <col min="12" max="12" width="10.88671875" customWidth="1"/>
    <col min="13" max="13" width="17.33203125" hidden="1" customWidth="1"/>
    <col min="14" max="14" width="16.5546875" hidden="1" customWidth="1"/>
    <col min="15" max="15" width="15.6640625" hidden="1" customWidth="1"/>
    <col min="16" max="23" width="9.109375" hidden="1" customWidth="1"/>
    <col min="24" max="24" width="2.5546875" hidden="1" customWidth="1"/>
    <col min="25" max="25" width="28.44140625" customWidth="1"/>
    <col min="26" max="26" width="33.5546875" customWidth="1"/>
  </cols>
  <sheetData>
    <row r="1" spans="1:36" ht="39.75" customHeight="1" thickBot="1" x14ac:dyDescent="0.35">
      <c r="A1" s="112"/>
      <c r="B1" s="120" t="s">
        <v>1027</v>
      </c>
      <c r="C1" s="291">
        <f>SUM(I6:I2418)</f>
        <v>85367.081756476691</v>
      </c>
      <c r="D1" s="157" t="s">
        <v>1274</v>
      </c>
      <c r="E1" s="118" t="s">
        <v>1024</v>
      </c>
      <c r="F1" s="119" t="s">
        <v>381</v>
      </c>
      <c r="G1" s="114"/>
      <c r="H1" s="113"/>
      <c r="I1" s="115"/>
      <c r="J1" s="113"/>
      <c r="K1" s="116"/>
      <c r="L1" s="113"/>
      <c r="M1" s="117" t="s">
        <v>1012</v>
      </c>
      <c r="N1" s="117" t="s">
        <v>1013</v>
      </c>
      <c r="O1" s="117" t="s">
        <v>1014</v>
      </c>
      <c r="P1" s="117" t="s">
        <v>1015</v>
      </c>
      <c r="Q1" s="117" t="s">
        <v>1016</v>
      </c>
      <c r="R1" s="117" t="s">
        <v>1017</v>
      </c>
      <c r="S1" s="117" t="s">
        <v>1018</v>
      </c>
      <c r="T1" s="117" t="s">
        <v>1019</v>
      </c>
      <c r="U1" s="117" t="s">
        <v>1020</v>
      </c>
      <c r="V1" s="117" t="s">
        <v>1021</v>
      </c>
      <c r="W1" s="117" t="s">
        <v>1022</v>
      </c>
      <c r="X1" s="117" t="s">
        <v>1023</v>
      </c>
      <c r="Y1" s="113"/>
      <c r="Z1" s="113"/>
      <c r="AA1" s="113"/>
      <c r="AB1" s="113"/>
      <c r="AC1" s="113"/>
    </row>
    <row r="2" spans="1:36" ht="37.5" customHeight="1" thickBot="1" x14ac:dyDescent="0.35">
      <c r="A2" s="373" t="s">
        <v>1046</v>
      </c>
      <c r="B2" s="373"/>
      <c r="C2" s="373"/>
      <c r="D2" s="373"/>
      <c r="E2" s="118" t="s">
        <v>1010</v>
      </c>
      <c r="F2" s="119"/>
      <c r="G2" s="113"/>
      <c r="H2" s="113"/>
      <c r="I2" s="113"/>
      <c r="J2" s="113"/>
      <c r="K2" s="113"/>
      <c r="L2" s="113"/>
      <c r="M2" s="113" t="str">
        <f>IF(LOWER(F1)=F1,UPPER(F1),F1)</f>
        <v>AU VIEUX FOUR</v>
      </c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</row>
    <row r="3" spans="1:36" ht="25.5" customHeight="1" x14ac:dyDescent="0.3">
      <c r="A3" s="373"/>
      <c r="B3" s="373"/>
      <c r="C3" s="373"/>
      <c r="D3" s="37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</row>
    <row r="4" spans="1:36" ht="30.75" customHeight="1" x14ac:dyDescent="0.3">
      <c r="A4" s="374"/>
      <c r="B4" s="374"/>
      <c r="C4" s="374"/>
      <c r="D4" s="374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</row>
    <row r="5" spans="1:36" ht="25.5" customHeight="1" x14ac:dyDescent="0.3">
      <c r="A5" s="19"/>
      <c r="B5" s="20" t="s">
        <v>13</v>
      </c>
      <c r="C5" s="153" t="s">
        <v>14</v>
      </c>
      <c r="D5" s="276" t="s">
        <v>15</v>
      </c>
      <c r="E5" s="20" t="s">
        <v>7</v>
      </c>
      <c r="F5" s="20" t="s">
        <v>8</v>
      </c>
      <c r="G5" s="20" t="s">
        <v>9</v>
      </c>
      <c r="H5" s="21" t="s">
        <v>11</v>
      </c>
      <c r="I5" s="22" t="s">
        <v>5</v>
      </c>
      <c r="J5" s="22" t="s">
        <v>18</v>
      </c>
      <c r="K5" s="27" t="s">
        <v>807</v>
      </c>
      <c r="L5" s="27" t="s">
        <v>808</v>
      </c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292" t="s">
        <v>1272</v>
      </c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s="12" customFormat="1" x14ac:dyDescent="0.3">
      <c r="B6" s="12" t="s">
        <v>381</v>
      </c>
      <c r="C6" s="298">
        <v>45316</v>
      </c>
      <c r="D6" s="12" t="s">
        <v>380</v>
      </c>
      <c r="E6" s="12" t="s">
        <v>66</v>
      </c>
      <c r="F6" s="12" t="s">
        <v>67</v>
      </c>
      <c r="G6" s="12">
        <v>2000</v>
      </c>
      <c r="H6" s="12">
        <v>0.5</v>
      </c>
      <c r="I6" s="299">
        <v>1000</v>
      </c>
      <c r="J6" s="12">
        <v>1200</v>
      </c>
      <c r="K6" s="300">
        <v>0</v>
      </c>
      <c r="L6" s="300">
        <v>0.32</v>
      </c>
      <c r="M6" s="12">
        <v>1200</v>
      </c>
    </row>
    <row r="7" spans="1:36" s="12" customFormat="1" x14ac:dyDescent="0.3">
      <c r="A7"/>
      <c r="B7"/>
      <c r="C7"/>
      <c r="D7"/>
      <c r="E7"/>
      <c r="F7"/>
      <c r="G7"/>
      <c r="H7"/>
      <c r="I7" s="299"/>
      <c r="J7"/>
      <c r="K7" s="300"/>
      <c r="L7" s="300"/>
      <c r="M7"/>
      <c r="N7"/>
      <c r="Y7"/>
      <c r="Z7"/>
    </row>
    <row r="8" spans="1:36" s="12" customFormat="1" x14ac:dyDescent="0.3">
      <c r="B8" s="12" t="s">
        <v>381</v>
      </c>
      <c r="C8" s="298">
        <v>45356</v>
      </c>
      <c r="D8" s="12" t="s">
        <v>566</v>
      </c>
      <c r="E8" s="12" t="s">
        <v>66</v>
      </c>
      <c r="F8" s="12" t="s">
        <v>67</v>
      </c>
      <c r="G8" s="12">
        <v>2000</v>
      </c>
      <c r="H8" s="12">
        <v>0.5</v>
      </c>
      <c r="I8" s="299">
        <v>1000</v>
      </c>
      <c r="J8" s="12">
        <v>1200</v>
      </c>
      <c r="K8" s="300">
        <v>0</v>
      </c>
      <c r="L8" s="300">
        <v>0.32</v>
      </c>
      <c r="M8" s="12">
        <v>1460</v>
      </c>
    </row>
    <row r="9" spans="1:36" s="12" customFormat="1" x14ac:dyDescent="0.3">
      <c r="E9" s="12" t="s">
        <v>345</v>
      </c>
      <c r="F9" s="12" t="s">
        <v>346</v>
      </c>
      <c r="G9" s="12">
        <v>2000</v>
      </c>
      <c r="H9" s="12">
        <v>0.1083333333</v>
      </c>
      <c r="I9" s="299">
        <v>216.66666660000001</v>
      </c>
      <c r="J9" s="12">
        <v>259.99999991999999</v>
      </c>
      <c r="K9" s="300">
        <v>0</v>
      </c>
      <c r="L9" s="300">
        <v>8.3333333300000006E-2</v>
      </c>
    </row>
    <row r="10" spans="1:36" s="12" customFormat="1" x14ac:dyDescent="0.3">
      <c r="A10"/>
      <c r="B10"/>
      <c r="C10"/>
      <c r="D10"/>
      <c r="E10"/>
      <c r="F10"/>
      <c r="G10"/>
      <c r="H10"/>
      <c r="I10" s="299"/>
      <c r="J10"/>
      <c r="K10" s="300"/>
      <c r="L10" s="300"/>
      <c r="M10"/>
      <c r="N10"/>
      <c r="Y10"/>
      <c r="Z10"/>
    </row>
    <row r="11" spans="1:36" s="12" customFormat="1" x14ac:dyDescent="0.3">
      <c r="B11" s="12" t="s">
        <v>381</v>
      </c>
      <c r="C11" s="298">
        <v>45399</v>
      </c>
      <c r="D11" s="12" t="s">
        <v>716</v>
      </c>
      <c r="E11" s="12" t="s">
        <v>210</v>
      </c>
      <c r="F11" s="12" t="s">
        <v>65</v>
      </c>
      <c r="G11" s="12">
        <v>1800</v>
      </c>
      <c r="H11" s="12">
        <v>0.18055499999999999</v>
      </c>
      <c r="I11" s="299">
        <v>324.99899999999997</v>
      </c>
      <c r="J11" s="12">
        <v>389.99879999999996</v>
      </c>
      <c r="K11" s="300">
        <v>0</v>
      </c>
      <c r="L11" s="300">
        <v>0.1512</v>
      </c>
      <c r="M11" s="12">
        <v>990</v>
      </c>
    </row>
    <row r="12" spans="1:36" s="12" customFormat="1" x14ac:dyDescent="0.3">
      <c r="E12" s="12" t="s">
        <v>66</v>
      </c>
      <c r="F12" s="12" t="s">
        <v>67</v>
      </c>
      <c r="G12" s="12">
        <v>1000</v>
      </c>
      <c r="H12" s="12">
        <v>0.5</v>
      </c>
      <c r="I12" s="299">
        <v>500</v>
      </c>
      <c r="J12" s="12">
        <v>600</v>
      </c>
      <c r="K12" s="300">
        <v>0</v>
      </c>
      <c r="L12" s="300">
        <v>0.32</v>
      </c>
    </row>
    <row r="13" spans="1:36" s="12" customFormat="1" x14ac:dyDescent="0.3">
      <c r="A13"/>
      <c r="B13"/>
      <c r="C13"/>
      <c r="D13"/>
      <c r="E13"/>
      <c r="F13"/>
      <c r="G13"/>
      <c r="H13"/>
      <c r="I13" s="299"/>
      <c r="J13"/>
      <c r="K13" s="300"/>
      <c r="L13" s="300"/>
      <c r="M13"/>
      <c r="N13"/>
      <c r="Y13"/>
      <c r="Z13"/>
    </row>
    <row r="14" spans="1:36" s="12" customFormat="1" x14ac:dyDescent="0.3">
      <c r="B14" s="12" t="s">
        <v>381</v>
      </c>
      <c r="C14" s="298">
        <v>45413</v>
      </c>
      <c r="D14" s="12" t="s">
        <v>792</v>
      </c>
      <c r="E14" s="12" t="s">
        <v>875</v>
      </c>
      <c r="F14" s="12" t="s">
        <v>67</v>
      </c>
      <c r="G14" s="12">
        <v>1000</v>
      </c>
      <c r="H14" s="12">
        <v>0.5</v>
      </c>
      <c r="I14" s="299">
        <v>500</v>
      </c>
      <c r="J14" s="12">
        <v>600</v>
      </c>
      <c r="K14" s="300">
        <v>0</v>
      </c>
      <c r="L14" s="300">
        <v>0.32</v>
      </c>
      <c r="M14" s="12">
        <v>600</v>
      </c>
    </row>
    <row r="15" spans="1:36" s="12" customFormat="1" x14ac:dyDescent="0.3">
      <c r="A15"/>
      <c r="B15"/>
      <c r="C15"/>
      <c r="D15"/>
      <c r="E15"/>
      <c r="F15"/>
      <c r="G15"/>
      <c r="H15"/>
      <c r="I15" s="299"/>
      <c r="J15"/>
      <c r="K15" s="300"/>
      <c r="L15" s="300"/>
      <c r="M15"/>
      <c r="N15"/>
      <c r="Y15"/>
      <c r="Z15"/>
    </row>
    <row r="16" spans="1:36" s="12" customFormat="1" x14ac:dyDescent="0.3">
      <c r="B16" s="12" t="s">
        <v>381</v>
      </c>
      <c r="C16" s="298">
        <v>45414</v>
      </c>
      <c r="D16" s="12" t="s">
        <v>797</v>
      </c>
      <c r="E16" s="12" t="s">
        <v>802</v>
      </c>
      <c r="F16" s="12" t="s">
        <v>49</v>
      </c>
      <c r="G16" s="12">
        <v>20</v>
      </c>
      <c r="H16" s="12">
        <v>58.333333332999999</v>
      </c>
      <c r="I16" s="299">
        <v>1166.6666666599999</v>
      </c>
      <c r="J16" s="12">
        <v>1399.9999999919999</v>
      </c>
      <c r="K16" s="300">
        <v>0</v>
      </c>
      <c r="L16" s="300">
        <v>40</v>
      </c>
    </row>
    <row r="17" spans="1:26" s="12" customFormat="1" x14ac:dyDescent="0.3">
      <c r="A17"/>
      <c r="B17"/>
      <c r="C17"/>
      <c r="D17"/>
      <c r="E17"/>
      <c r="F17"/>
      <c r="G17"/>
      <c r="H17"/>
      <c r="I17" s="299"/>
      <c r="J17"/>
      <c r="K17" s="300"/>
      <c r="L17" s="300"/>
      <c r="M17"/>
      <c r="N17"/>
      <c r="Y17"/>
      <c r="Z17"/>
    </row>
    <row r="18" spans="1:26" s="12" customFormat="1" x14ac:dyDescent="0.3">
      <c r="B18" s="12" t="s">
        <v>381</v>
      </c>
      <c r="C18" s="298">
        <v>45425</v>
      </c>
      <c r="D18" s="12" t="s">
        <v>873</v>
      </c>
      <c r="E18" s="12" t="s">
        <v>802</v>
      </c>
      <c r="F18" s="12" t="s">
        <v>49</v>
      </c>
      <c r="G18" s="12">
        <v>30</v>
      </c>
      <c r="H18" s="12">
        <v>58.333333000000003</v>
      </c>
      <c r="I18" s="299">
        <v>1749.99999</v>
      </c>
      <c r="J18" s="12">
        <v>2099.999988</v>
      </c>
      <c r="K18" s="300">
        <v>0</v>
      </c>
      <c r="L18" s="300">
        <v>40</v>
      </c>
      <c r="M18" s="12">
        <v>2100</v>
      </c>
    </row>
    <row r="19" spans="1:26" s="12" customFormat="1" x14ac:dyDescent="0.3">
      <c r="A19"/>
      <c r="B19"/>
      <c r="C19"/>
      <c r="D19"/>
      <c r="E19"/>
      <c r="F19"/>
      <c r="G19"/>
      <c r="H19"/>
      <c r="I19" s="299"/>
      <c r="J19"/>
      <c r="K19" s="300"/>
      <c r="L19" s="300"/>
      <c r="M19"/>
      <c r="N19"/>
      <c r="Y19"/>
      <c r="Z19"/>
    </row>
    <row r="20" spans="1:26" s="12" customFormat="1" x14ac:dyDescent="0.3">
      <c r="B20" s="12" t="s">
        <v>381</v>
      </c>
      <c r="C20" s="298">
        <v>45432</v>
      </c>
      <c r="D20" s="12" t="s">
        <v>892</v>
      </c>
      <c r="E20" s="12" t="s">
        <v>875</v>
      </c>
      <c r="F20" s="12" t="s">
        <v>67</v>
      </c>
      <c r="G20" s="12">
        <v>2000</v>
      </c>
      <c r="H20" s="12">
        <v>0.5</v>
      </c>
      <c r="I20" s="299">
        <v>1000</v>
      </c>
      <c r="J20" s="12">
        <v>1200</v>
      </c>
      <c r="K20" s="300">
        <v>0</v>
      </c>
      <c r="L20" s="300">
        <v>0.32</v>
      </c>
      <c r="M20" s="12">
        <v>1200</v>
      </c>
    </row>
    <row r="21" spans="1:26" s="12" customFormat="1" x14ac:dyDescent="0.3">
      <c r="A21"/>
      <c r="B21"/>
      <c r="C21"/>
      <c r="D21"/>
      <c r="E21"/>
      <c r="F21"/>
      <c r="G21"/>
      <c r="H21"/>
      <c r="I21" s="299"/>
      <c r="J21"/>
      <c r="K21" s="300"/>
      <c r="L21" s="300"/>
      <c r="M21"/>
      <c r="N21"/>
      <c r="Y21"/>
      <c r="Z21"/>
    </row>
    <row r="22" spans="1:26" s="12" customFormat="1" x14ac:dyDescent="0.3">
      <c r="B22" s="12" t="s">
        <v>381</v>
      </c>
      <c r="C22" s="298">
        <v>45447</v>
      </c>
      <c r="D22" s="12" t="s">
        <v>932</v>
      </c>
      <c r="E22" s="12" t="s">
        <v>802</v>
      </c>
      <c r="F22" s="12" t="s">
        <v>49</v>
      </c>
      <c r="G22" s="12">
        <v>15</v>
      </c>
      <c r="H22" s="12">
        <v>58.333333330000002</v>
      </c>
      <c r="I22" s="299">
        <v>874.99999995000007</v>
      </c>
      <c r="J22" s="12">
        <v>1049.99999994</v>
      </c>
      <c r="K22" s="300">
        <v>0</v>
      </c>
      <c r="L22" s="300">
        <v>40</v>
      </c>
      <c r="M22" s="12">
        <v>1050</v>
      </c>
    </row>
    <row r="23" spans="1:26" s="12" customFormat="1" x14ac:dyDescent="0.3">
      <c r="A23"/>
      <c r="B23"/>
      <c r="C23"/>
      <c r="D23"/>
      <c r="E23"/>
      <c r="F23"/>
      <c r="G23"/>
      <c r="H23"/>
      <c r="I23" s="299"/>
      <c r="J23"/>
      <c r="K23" s="300"/>
      <c r="L23" s="300"/>
      <c r="M23"/>
      <c r="N23"/>
      <c r="Y23"/>
      <c r="Z23"/>
    </row>
    <row r="24" spans="1:26" s="12" customFormat="1" x14ac:dyDescent="0.3">
      <c r="B24" s="12" t="s">
        <v>381</v>
      </c>
      <c r="C24" s="298">
        <v>45453</v>
      </c>
      <c r="D24" s="12" t="s">
        <v>942</v>
      </c>
      <c r="E24" s="12" t="s">
        <v>875</v>
      </c>
      <c r="F24" s="12" t="s">
        <v>67</v>
      </c>
      <c r="G24" s="12">
        <v>2000</v>
      </c>
      <c r="H24" s="12">
        <v>0.5</v>
      </c>
      <c r="I24" s="299">
        <v>1000</v>
      </c>
      <c r="J24" s="12">
        <v>1200</v>
      </c>
      <c r="K24" s="300">
        <v>0</v>
      </c>
      <c r="L24" s="300">
        <v>0.32</v>
      </c>
      <c r="M24" s="12">
        <v>2250</v>
      </c>
    </row>
    <row r="25" spans="1:26" s="12" customFormat="1" x14ac:dyDescent="0.3">
      <c r="E25" s="12" t="s">
        <v>802</v>
      </c>
      <c r="F25" s="12" t="s">
        <v>49</v>
      </c>
      <c r="G25" s="12">
        <v>15</v>
      </c>
      <c r="H25" s="12">
        <v>58.333333333333336</v>
      </c>
      <c r="I25" s="299">
        <v>875</v>
      </c>
      <c r="J25" s="12">
        <v>1050</v>
      </c>
      <c r="K25" s="300">
        <v>0</v>
      </c>
      <c r="L25" s="300">
        <v>40</v>
      </c>
    </row>
    <row r="26" spans="1:26" s="12" customFormat="1" x14ac:dyDescent="0.3">
      <c r="A26"/>
      <c r="B26"/>
      <c r="C26"/>
      <c r="D26"/>
      <c r="E26"/>
      <c r="F26"/>
      <c r="G26"/>
      <c r="H26"/>
      <c r="I26" s="299"/>
      <c r="J26"/>
      <c r="K26" s="300"/>
      <c r="L26" s="300"/>
      <c r="M26"/>
      <c r="N26"/>
      <c r="Y26"/>
      <c r="Z26"/>
    </row>
    <row r="27" spans="1:26" s="12" customFormat="1" x14ac:dyDescent="0.3">
      <c r="B27" s="12" t="s">
        <v>381</v>
      </c>
      <c r="C27" s="298">
        <v>45476</v>
      </c>
      <c r="D27" s="12" t="s">
        <v>1052</v>
      </c>
      <c r="E27" s="12" t="s">
        <v>802</v>
      </c>
      <c r="F27" s="12" t="s">
        <v>49</v>
      </c>
      <c r="G27" s="12">
        <v>30</v>
      </c>
      <c r="H27" s="12">
        <v>58.333333333333336</v>
      </c>
      <c r="I27" s="299">
        <v>1750</v>
      </c>
      <c r="J27" s="12">
        <v>2100</v>
      </c>
      <c r="K27" s="300">
        <v>0</v>
      </c>
      <c r="L27" s="300">
        <v>40</v>
      </c>
      <c r="M27" s="12">
        <v>2100</v>
      </c>
    </row>
    <row r="28" spans="1:26" s="12" customFormat="1" x14ac:dyDescent="0.3">
      <c r="A28"/>
      <c r="B28"/>
      <c r="C28"/>
      <c r="D28"/>
      <c r="E28"/>
      <c r="F28"/>
      <c r="G28"/>
      <c r="H28"/>
      <c r="I28" s="299"/>
      <c r="J28"/>
      <c r="K28" s="300"/>
      <c r="L28" s="300"/>
      <c r="M28"/>
      <c r="N28"/>
      <c r="Y28"/>
      <c r="Z28"/>
    </row>
    <row r="29" spans="1:26" s="12" customFormat="1" x14ac:dyDescent="0.3">
      <c r="B29" s="12" t="s">
        <v>381</v>
      </c>
      <c r="C29" s="298">
        <v>45513</v>
      </c>
      <c r="D29" s="12" t="s">
        <v>1164</v>
      </c>
      <c r="E29" s="12" t="s">
        <v>1162</v>
      </c>
      <c r="F29" s="12" t="s">
        <v>943</v>
      </c>
      <c r="G29" s="12">
        <v>300</v>
      </c>
      <c r="H29" s="12">
        <v>3.4166666666666665</v>
      </c>
      <c r="I29" s="299">
        <v>1025</v>
      </c>
      <c r="J29" s="12">
        <v>1230</v>
      </c>
      <c r="K29" s="300">
        <v>0</v>
      </c>
      <c r="L29" s="300">
        <v>2.78</v>
      </c>
      <c r="M29" s="12">
        <v>1845</v>
      </c>
    </row>
    <row r="30" spans="1:26" s="12" customFormat="1" x14ac:dyDescent="0.3">
      <c r="E30" s="12" t="s">
        <v>290</v>
      </c>
      <c r="F30" s="12" t="s">
        <v>289</v>
      </c>
      <c r="G30" s="12">
        <v>500</v>
      </c>
      <c r="H30" s="12">
        <v>0.625</v>
      </c>
      <c r="I30" s="299">
        <v>312.5</v>
      </c>
      <c r="J30" s="12">
        <v>375</v>
      </c>
      <c r="K30" s="300">
        <v>0</v>
      </c>
      <c r="L30" s="300">
        <v>0.43333749999999999</v>
      </c>
    </row>
    <row r="31" spans="1:26" s="12" customFormat="1" x14ac:dyDescent="0.3">
      <c r="E31" s="12" t="s">
        <v>1097</v>
      </c>
      <c r="F31" s="12" t="s">
        <v>346</v>
      </c>
      <c r="G31" s="12">
        <v>2000</v>
      </c>
      <c r="H31" s="12">
        <v>0.1</v>
      </c>
      <c r="I31" s="299">
        <v>200</v>
      </c>
      <c r="J31" s="12">
        <v>240</v>
      </c>
      <c r="K31" s="300">
        <v>0</v>
      </c>
      <c r="L31" s="300">
        <v>8.9166666666666672E-2</v>
      </c>
    </row>
    <row r="32" spans="1:26" s="12" customFormat="1" x14ac:dyDescent="0.3">
      <c r="A32"/>
      <c r="B32"/>
      <c r="C32"/>
      <c r="D32"/>
      <c r="E32"/>
      <c r="F32"/>
      <c r="G32"/>
      <c r="H32"/>
      <c r="I32" s="299"/>
      <c r="J32"/>
      <c r="K32" s="300"/>
      <c r="L32" s="300"/>
      <c r="M32"/>
      <c r="N32"/>
      <c r="Y32"/>
      <c r="Z32"/>
    </row>
    <row r="33" spans="1:26" s="12" customFormat="1" x14ac:dyDescent="0.3">
      <c r="B33" s="12" t="s">
        <v>381</v>
      </c>
      <c r="C33" s="298">
        <v>45517</v>
      </c>
      <c r="D33" s="12" t="s">
        <v>1167</v>
      </c>
      <c r="E33" s="12" t="s">
        <v>1162</v>
      </c>
      <c r="F33" s="12" t="s">
        <v>943</v>
      </c>
      <c r="G33" s="12">
        <v>800</v>
      </c>
      <c r="H33" s="12">
        <v>3.4166666666666665</v>
      </c>
      <c r="I33" s="299">
        <v>2733.333333333333</v>
      </c>
      <c r="J33" s="12">
        <v>3279.9999999999995</v>
      </c>
      <c r="K33" s="300">
        <v>0</v>
      </c>
      <c r="L33" s="300">
        <v>2.78</v>
      </c>
    </row>
    <row r="34" spans="1:26" s="12" customFormat="1" x14ac:dyDescent="0.3">
      <c r="A34"/>
      <c r="B34"/>
      <c r="C34"/>
      <c r="D34"/>
      <c r="E34"/>
      <c r="F34"/>
      <c r="G34"/>
      <c r="H34"/>
      <c r="I34" s="299"/>
      <c r="J34"/>
      <c r="K34" s="300"/>
      <c r="L34" s="300"/>
      <c r="M34"/>
      <c r="N34"/>
      <c r="Y34"/>
      <c r="Z34"/>
    </row>
    <row r="35" spans="1:26" s="12" customFormat="1" x14ac:dyDescent="0.3">
      <c r="B35" s="12" t="s">
        <v>381</v>
      </c>
      <c r="C35" s="298">
        <v>45530</v>
      </c>
      <c r="D35" s="12" t="s">
        <v>1275</v>
      </c>
      <c r="E35" s="12" t="s">
        <v>1190</v>
      </c>
      <c r="F35" s="12" t="s">
        <v>1353</v>
      </c>
      <c r="G35" s="12">
        <v>1000</v>
      </c>
      <c r="H35" s="12">
        <v>0.625</v>
      </c>
      <c r="I35" s="299">
        <v>625</v>
      </c>
      <c r="J35" s="12">
        <v>750</v>
      </c>
      <c r="K35" s="300">
        <v>0</v>
      </c>
      <c r="L35" s="300">
        <v>0.55555833333333338</v>
      </c>
      <c r="M35" s="12">
        <v>2800</v>
      </c>
    </row>
    <row r="36" spans="1:26" s="12" customFormat="1" x14ac:dyDescent="0.3">
      <c r="E36" s="12" t="s">
        <v>1162</v>
      </c>
      <c r="F36" s="12" t="s">
        <v>943</v>
      </c>
      <c r="G36" s="12">
        <v>500</v>
      </c>
      <c r="H36" s="12">
        <v>3.4166666666666665</v>
      </c>
      <c r="I36" s="299">
        <v>1708.3333333333333</v>
      </c>
      <c r="J36" s="12">
        <v>2050</v>
      </c>
      <c r="K36" s="300">
        <v>0</v>
      </c>
      <c r="L36" s="300">
        <v>2.78</v>
      </c>
    </row>
    <row r="37" spans="1:26" s="12" customFormat="1" x14ac:dyDescent="0.3">
      <c r="A37"/>
      <c r="B37"/>
      <c r="C37"/>
      <c r="D37"/>
      <c r="E37"/>
      <c r="F37"/>
      <c r="G37"/>
      <c r="H37"/>
      <c r="I37" s="299"/>
      <c r="J37"/>
      <c r="K37" s="300"/>
      <c r="L37" s="300"/>
      <c r="M37"/>
      <c r="N37"/>
      <c r="Y37"/>
      <c r="Z37"/>
    </row>
    <row r="38" spans="1:26" s="12" customFormat="1" x14ac:dyDescent="0.3">
      <c r="B38" s="12" t="s">
        <v>381</v>
      </c>
      <c r="C38" s="298">
        <v>45539</v>
      </c>
      <c r="D38" s="12" t="s">
        <v>1331</v>
      </c>
      <c r="E38" s="12" t="s">
        <v>802</v>
      </c>
      <c r="F38" s="12" t="s">
        <v>49</v>
      </c>
      <c r="G38" s="12">
        <v>82</v>
      </c>
      <c r="H38" s="12">
        <v>58.5</v>
      </c>
      <c r="I38" s="299">
        <v>4797</v>
      </c>
      <c r="J38" s="12">
        <v>5756.4</v>
      </c>
      <c r="K38" s="300">
        <v>0</v>
      </c>
      <c r="L38" s="300">
        <v>40</v>
      </c>
      <c r="M38" s="12">
        <v>7560.0107999999991</v>
      </c>
    </row>
    <row r="39" spans="1:26" s="12" customFormat="1" x14ac:dyDescent="0.3">
      <c r="E39" s="12" t="s">
        <v>1131</v>
      </c>
      <c r="F39" s="12" t="s">
        <v>1130</v>
      </c>
      <c r="G39" s="12">
        <v>75</v>
      </c>
      <c r="H39" s="12">
        <v>7.9290000000000003</v>
      </c>
      <c r="I39" s="299">
        <v>594.67500000000007</v>
      </c>
      <c r="J39" s="12">
        <v>713.61</v>
      </c>
      <c r="K39" s="300">
        <v>393</v>
      </c>
      <c r="L39" s="300">
        <v>6.6669999999999998</v>
      </c>
    </row>
    <row r="40" spans="1:26" s="12" customFormat="1" x14ac:dyDescent="0.3">
      <c r="E40" s="12" t="s">
        <v>204</v>
      </c>
      <c r="F40" s="12" t="s">
        <v>191</v>
      </c>
      <c r="G40" s="12">
        <v>3</v>
      </c>
      <c r="H40" s="12">
        <v>275</v>
      </c>
      <c r="I40" s="299">
        <v>825</v>
      </c>
      <c r="J40" s="12">
        <v>990</v>
      </c>
      <c r="K40" s="300">
        <v>0</v>
      </c>
      <c r="L40" s="300">
        <v>250.6666666667</v>
      </c>
    </row>
    <row r="41" spans="1:26" s="12" customFormat="1" x14ac:dyDescent="0.3">
      <c r="E41" s="12" t="s">
        <v>211</v>
      </c>
      <c r="F41" s="12" t="s">
        <v>110</v>
      </c>
      <c r="G41" s="12">
        <v>2</v>
      </c>
      <c r="H41" s="12">
        <v>41.667000000000002</v>
      </c>
      <c r="I41" s="299">
        <v>83.334000000000003</v>
      </c>
      <c r="J41" s="12">
        <v>100.0008</v>
      </c>
      <c r="K41" s="300">
        <v>0</v>
      </c>
      <c r="L41" s="300">
        <v>35</v>
      </c>
    </row>
    <row r="42" spans="1:26" s="12" customFormat="1" x14ac:dyDescent="0.3">
      <c r="A42"/>
      <c r="B42"/>
      <c r="C42"/>
      <c r="D42"/>
      <c r="E42"/>
      <c r="F42"/>
      <c r="G42"/>
      <c r="H42"/>
      <c r="I42" s="299"/>
      <c r="J42"/>
      <c r="K42" s="300"/>
      <c r="L42" s="300"/>
      <c r="M42"/>
      <c r="N42"/>
      <c r="Y42"/>
      <c r="Z42"/>
    </row>
    <row r="43" spans="1:26" s="12" customFormat="1" x14ac:dyDescent="0.3">
      <c r="B43" s="12" t="s">
        <v>381</v>
      </c>
      <c r="C43" s="298">
        <v>45540</v>
      </c>
      <c r="D43" s="12" t="s">
        <v>1341</v>
      </c>
      <c r="E43" s="12" t="s">
        <v>1162</v>
      </c>
      <c r="F43" s="12" t="s">
        <v>943</v>
      </c>
      <c r="G43" s="12">
        <v>450</v>
      </c>
      <c r="H43" s="12">
        <v>3.4166666666666665</v>
      </c>
      <c r="I43" s="299">
        <v>1537.5</v>
      </c>
      <c r="J43" s="12">
        <v>1845</v>
      </c>
      <c r="K43" s="300">
        <v>0</v>
      </c>
      <c r="L43" s="300">
        <v>2.78</v>
      </c>
      <c r="M43" s="12">
        <v>1845</v>
      </c>
    </row>
    <row r="44" spans="1:26" s="12" customFormat="1" x14ac:dyDescent="0.3">
      <c r="E44" s="12" t="s">
        <v>1339</v>
      </c>
      <c r="F44" s="12" t="s">
        <v>49</v>
      </c>
      <c r="G44" s="12">
        <v>40</v>
      </c>
      <c r="H44" s="12">
        <v>83.333333333333343</v>
      </c>
      <c r="I44" s="299">
        <v>3333.3333333333339</v>
      </c>
      <c r="J44" s="12">
        <v>4000.0000000000005</v>
      </c>
      <c r="K44" s="300">
        <v>1</v>
      </c>
      <c r="L44" s="300">
        <v>58</v>
      </c>
    </row>
    <row r="45" spans="1:26" s="12" customFormat="1" x14ac:dyDescent="0.3">
      <c r="A45"/>
      <c r="B45"/>
      <c r="C45"/>
      <c r="D45"/>
      <c r="E45"/>
      <c r="F45"/>
      <c r="G45"/>
      <c r="H45"/>
      <c r="I45" s="299"/>
      <c r="J45"/>
      <c r="K45" s="300"/>
      <c r="L45" s="300"/>
      <c r="M45"/>
      <c r="N45"/>
      <c r="Y45"/>
      <c r="Z45"/>
    </row>
    <row r="46" spans="1:26" s="12" customFormat="1" x14ac:dyDescent="0.3">
      <c r="B46" s="12" t="s">
        <v>381</v>
      </c>
      <c r="C46" s="298">
        <v>45549</v>
      </c>
      <c r="D46" s="12" t="s">
        <v>1365</v>
      </c>
      <c r="E46" s="12" t="s">
        <v>1162</v>
      </c>
      <c r="F46" s="12" t="s">
        <v>943</v>
      </c>
      <c r="G46" s="12">
        <v>500</v>
      </c>
      <c r="H46" s="12">
        <v>3.4166666666666701</v>
      </c>
      <c r="I46" s="299">
        <v>1708.3333333333351</v>
      </c>
      <c r="J46" s="12">
        <v>2050.0000000000018</v>
      </c>
      <c r="K46" s="300">
        <v>0</v>
      </c>
      <c r="L46" s="300">
        <v>2.78</v>
      </c>
      <c r="M46" s="12">
        <v>3509.9999999200018</v>
      </c>
    </row>
    <row r="47" spans="1:26" s="12" customFormat="1" x14ac:dyDescent="0.3">
      <c r="E47" s="12" t="s">
        <v>875</v>
      </c>
      <c r="F47" s="12" t="s">
        <v>67</v>
      </c>
      <c r="G47" s="12">
        <v>2000</v>
      </c>
      <c r="H47" s="12">
        <v>0.5</v>
      </c>
      <c r="I47" s="299">
        <v>1000</v>
      </c>
      <c r="J47" s="12">
        <v>1200</v>
      </c>
      <c r="K47" s="300">
        <v>0</v>
      </c>
      <c r="L47" s="300">
        <v>0.32</v>
      </c>
    </row>
    <row r="48" spans="1:26" s="12" customFormat="1" x14ac:dyDescent="0.3">
      <c r="E48" s="12" t="s">
        <v>1097</v>
      </c>
      <c r="F48" s="12" t="s">
        <v>346</v>
      </c>
      <c r="G48" s="12">
        <v>2000</v>
      </c>
      <c r="H48" s="12">
        <v>0.1083333333</v>
      </c>
      <c r="I48" s="299">
        <v>216.66666660000001</v>
      </c>
      <c r="J48" s="12">
        <v>259.99999991999999</v>
      </c>
      <c r="K48" s="300">
        <v>0</v>
      </c>
      <c r="L48" s="300">
        <v>8.9166666666666672E-2</v>
      </c>
    </row>
    <row r="49" spans="1:26" s="12" customFormat="1" x14ac:dyDescent="0.3">
      <c r="A49"/>
      <c r="B49"/>
      <c r="C49"/>
      <c r="D49"/>
      <c r="E49"/>
      <c r="F49"/>
      <c r="G49"/>
      <c r="H49"/>
      <c r="I49" s="299"/>
      <c r="J49"/>
      <c r="K49" s="300"/>
      <c r="L49" s="300"/>
      <c r="M49"/>
      <c r="N49"/>
      <c r="Y49"/>
      <c r="Z49"/>
    </row>
    <row r="50" spans="1:26" s="12" customFormat="1" x14ac:dyDescent="0.3">
      <c r="B50" s="12" t="s">
        <v>381</v>
      </c>
      <c r="C50" s="298">
        <v>45558</v>
      </c>
      <c r="D50" s="12" t="s">
        <v>1437</v>
      </c>
      <c r="E50" s="12" t="s">
        <v>599</v>
      </c>
      <c r="F50" s="12" t="s">
        <v>600</v>
      </c>
      <c r="G50" s="12">
        <v>142</v>
      </c>
      <c r="H50" s="12">
        <v>10</v>
      </c>
      <c r="I50" s="299">
        <v>1420</v>
      </c>
      <c r="J50" s="12">
        <v>1704</v>
      </c>
      <c r="K50" s="300">
        <v>0</v>
      </c>
      <c r="L50" s="300">
        <v>7.5</v>
      </c>
      <c r="M50" s="12">
        <v>18636.003000000001</v>
      </c>
    </row>
    <row r="51" spans="1:26" s="12" customFormat="1" x14ac:dyDescent="0.3">
      <c r="E51" s="12" t="s">
        <v>252</v>
      </c>
      <c r="F51" s="12" t="s">
        <v>101</v>
      </c>
      <c r="G51" s="12">
        <v>41</v>
      </c>
      <c r="H51" s="12">
        <v>25</v>
      </c>
      <c r="I51" s="299">
        <v>1025</v>
      </c>
      <c r="J51" s="12">
        <v>1230</v>
      </c>
      <c r="K51" s="300">
        <v>0</v>
      </c>
      <c r="L51" s="300">
        <v>20.83</v>
      </c>
    </row>
    <row r="52" spans="1:26" s="12" customFormat="1" x14ac:dyDescent="0.3">
      <c r="E52" s="12" t="s">
        <v>206</v>
      </c>
      <c r="F52" s="12" t="s">
        <v>207</v>
      </c>
      <c r="G52" s="12">
        <v>16</v>
      </c>
      <c r="H52" s="12">
        <v>25</v>
      </c>
      <c r="I52" s="299">
        <v>400</v>
      </c>
      <c r="J52" s="12">
        <v>480</v>
      </c>
      <c r="K52" s="300">
        <v>0</v>
      </c>
      <c r="L52" s="300">
        <v>21.25</v>
      </c>
    </row>
    <row r="53" spans="1:26" s="12" customFormat="1" x14ac:dyDescent="0.3">
      <c r="E53" s="12" t="s">
        <v>160</v>
      </c>
      <c r="F53" s="12" t="s">
        <v>47</v>
      </c>
      <c r="G53" s="12">
        <v>25</v>
      </c>
      <c r="H53" s="12">
        <v>37.400100000000002</v>
      </c>
      <c r="I53" s="299">
        <v>935.00250000000005</v>
      </c>
      <c r="J53" s="12">
        <v>1122.0029999999999</v>
      </c>
      <c r="K53" s="300">
        <v>0</v>
      </c>
      <c r="L53" s="300">
        <v>31.669499999999999</v>
      </c>
    </row>
    <row r="54" spans="1:26" s="12" customFormat="1" x14ac:dyDescent="0.3">
      <c r="A54"/>
      <c r="B54"/>
      <c r="C54"/>
      <c r="D54"/>
      <c r="E54"/>
      <c r="F54"/>
      <c r="G54"/>
      <c r="H54"/>
      <c r="I54" s="299"/>
      <c r="J54"/>
      <c r="K54" s="300"/>
      <c r="L54" s="300"/>
      <c r="M54"/>
      <c r="N54"/>
      <c r="Y54"/>
      <c r="Z54"/>
    </row>
    <row r="55" spans="1:26" s="12" customFormat="1" x14ac:dyDescent="0.3">
      <c r="B55" s="12" t="s">
        <v>381</v>
      </c>
      <c r="C55" s="298">
        <v>45560</v>
      </c>
      <c r="D55" s="12" t="s">
        <v>1441</v>
      </c>
      <c r="E55" s="12" t="s">
        <v>1162</v>
      </c>
      <c r="F55" s="12" t="s">
        <v>943</v>
      </c>
      <c r="G55" s="12">
        <v>750</v>
      </c>
      <c r="H55" s="12">
        <v>3.4166666666666701</v>
      </c>
      <c r="I55" s="299">
        <v>2562.5000000000027</v>
      </c>
      <c r="J55" s="12">
        <v>3075.0000000000032</v>
      </c>
      <c r="K55" s="300">
        <v>0</v>
      </c>
      <c r="L55" s="300">
        <v>2.78</v>
      </c>
      <c r="M55" s="12">
        <v>3075</v>
      </c>
    </row>
    <row r="56" spans="1:26" s="12" customFormat="1" x14ac:dyDescent="0.3">
      <c r="A56"/>
      <c r="B56"/>
      <c r="C56"/>
      <c r="D56"/>
      <c r="E56"/>
      <c r="F56"/>
      <c r="G56"/>
      <c r="H56"/>
      <c r="I56" s="299"/>
      <c r="J56"/>
      <c r="K56" s="300"/>
      <c r="L56" s="300"/>
      <c r="M56"/>
      <c r="N56"/>
      <c r="Y56"/>
      <c r="Z56"/>
    </row>
    <row r="57" spans="1:26" s="12" customFormat="1" x14ac:dyDescent="0.3">
      <c r="B57" s="12" t="s">
        <v>381</v>
      </c>
      <c r="C57" s="298">
        <v>45568</v>
      </c>
      <c r="D57" s="12" t="s">
        <v>1471</v>
      </c>
      <c r="E57" s="12" t="s">
        <v>1339</v>
      </c>
      <c r="F57" s="12" t="s">
        <v>49</v>
      </c>
      <c r="G57" s="12">
        <v>20</v>
      </c>
      <c r="H57" s="12">
        <v>79.166666666666671</v>
      </c>
      <c r="I57" s="299">
        <v>1583.3333333333335</v>
      </c>
      <c r="J57" s="12">
        <v>1900</v>
      </c>
      <c r="K57" s="300">
        <v>1</v>
      </c>
      <c r="L57" s="300">
        <v>58</v>
      </c>
      <c r="M57" s="12">
        <v>1900</v>
      </c>
    </row>
    <row r="58" spans="1:26" s="12" customFormat="1" x14ac:dyDescent="0.3">
      <c r="A58"/>
      <c r="B58"/>
      <c r="C58"/>
      <c r="D58"/>
      <c r="E58"/>
      <c r="F58"/>
      <c r="G58"/>
      <c r="H58"/>
      <c r="I58" s="299"/>
      <c r="J58"/>
      <c r="K58" s="300"/>
      <c r="L58" s="300"/>
      <c r="M58"/>
      <c r="N58"/>
      <c r="Y58"/>
      <c r="Z58"/>
    </row>
    <row r="59" spans="1:26" s="12" customFormat="1" x14ac:dyDescent="0.3">
      <c r="B59" s="12" t="s">
        <v>381</v>
      </c>
      <c r="C59" s="298">
        <v>45572</v>
      </c>
      <c r="D59" s="12" t="s">
        <v>1476</v>
      </c>
      <c r="E59" s="12" t="s">
        <v>1162</v>
      </c>
      <c r="F59" s="12" t="s">
        <v>943</v>
      </c>
      <c r="G59" s="12">
        <v>750</v>
      </c>
      <c r="H59" s="12">
        <v>3.4166666666666665</v>
      </c>
      <c r="I59" s="299">
        <v>2562.5</v>
      </c>
      <c r="J59" s="12">
        <v>3075</v>
      </c>
      <c r="K59" s="300">
        <v>0</v>
      </c>
      <c r="L59" s="300">
        <v>2.78</v>
      </c>
      <c r="M59" s="12">
        <v>11235.001840000001</v>
      </c>
    </row>
    <row r="60" spans="1:26" s="12" customFormat="1" x14ac:dyDescent="0.3">
      <c r="E60" s="12" t="s">
        <v>408</v>
      </c>
      <c r="F60" s="12" t="s">
        <v>407</v>
      </c>
      <c r="G60" s="12">
        <v>10</v>
      </c>
      <c r="H60" s="12">
        <v>50</v>
      </c>
      <c r="I60" s="299">
        <v>500</v>
      </c>
      <c r="J60" s="12">
        <v>600</v>
      </c>
      <c r="K60" s="300">
        <v>0</v>
      </c>
      <c r="L60" s="300">
        <v>41.667000000000002</v>
      </c>
    </row>
    <row r="61" spans="1:26" s="12" customFormat="1" x14ac:dyDescent="0.3">
      <c r="E61" s="12" t="s">
        <v>599</v>
      </c>
      <c r="F61" s="12" t="s">
        <v>600</v>
      </c>
      <c r="G61" s="12">
        <v>38</v>
      </c>
      <c r="H61" s="12">
        <v>8.3333333333333339</v>
      </c>
      <c r="I61" s="299">
        <v>316.66666666666669</v>
      </c>
      <c r="J61" s="12">
        <v>380</v>
      </c>
      <c r="K61" s="300">
        <v>0</v>
      </c>
      <c r="L61" s="300">
        <v>7.5</v>
      </c>
    </row>
    <row r="62" spans="1:26" s="12" customFormat="1" x14ac:dyDescent="0.3">
      <c r="E62" s="12" t="s">
        <v>1338</v>
      </c>
      <c r="F62" s="12" t="s">
        <v>48</v>
      </c>
      <c r="G62" s="12">
        <v>71</v>
      </c>
      <c r="H62" s="12">
        <v>48.180700000000002</v>
      </c>
      <c r="I62" s="299">
        <v>3420.8297000000002</v>
      </c>
      <c r="J62" s="12">
        <v>4104.9956400000001</v>
      </c>
      <c r="K62" s="300">
        <v>0</v>
      </c>
      <c r="L62" s="300">
        <v>49.94</v>
      </c>
    </row>
    <row r="63" spans="1:26" s="12" customFormat="1" x14ac:dyDescent="0.3">
      <c r="E63" s="12" t="s">
        <v>1190</v>
      </c>
      <c r="F63" s="12" t="s">
        <v>1353</v>
      </c>
      <c r="G63" s="12">
        <v>2100</v>
      </c>
      <c r="H63" s="12">
        <v>0.62488500000000002</v>
      </c>
      <c r="I63" s="299">
        <v>1312.2585000000001</v>
      </c>
      <c r="J63" s="12">
        <v>1574.7102000000002</v>
      </c>
      <c r="K63" s="300">
        <v>0</v>
      </c>
      <c r="L63" s="300">
        <v>0.55555833333333338</v>
      </c>
    </row>
    <row r="64" spans="1:26" s="12" customFormat="1" x14ac:dyDescent="0.3">
      <c r="E64" s="12" t="s">
        <v>778</v>
      </c>
      <c r="F64" s="12" t="s">
        <v>346</v>
      </c>
      <c r="G64" s="12">
        <v>3000</v>
      </c>
      <c r="H64" s="12">
        <v>0.1</v>
      </c>
      <c r="I64" s="299">
        <v>300</v>
      </c>
      <c r="J64" s="12">
        <v>360</v>
      </c>
      <c r="K64" s="300">
        <v>0</v>
      </c>
      <c r="L64" s="300">
        <v>8.3333333300000006E-2</v>
      </c>
    </row>
    <row r="65" spans="1:26" s="12" customFormat="1" x14ac:dyDescent="0.3">
      <c r="E65" s="12" t="s">
        <v>1131</v>
      </c>
      <c r="F65" s="12" t="s">
        <v>1130</v>
      </c>
      <c r="G65" s="12">
        <v>20</v>
      </c>
      <c r="H65" s="12">
        <v>7.9290000000000003</v>
      </c>
      <c r="I65" s="299">
        <v>158.58000000000001</v>
      </c>
      <c r="J65" s="12">
        <v>190.29600000000002</v>
      </c>
      <c r="K65" s="300">
        <v>393</v>
      </c>
      <c r="L65" s="300">
        <v>6.6669999999999998</v>
      </c>
    </row>
    <row r="66" spans="1:26" s="12" customFormat="1" x14ac:dyDescent="0.3">
      <c r="E66" s="12" t="s">
        <v>1066</v>
      </c>
      <c r="F66" s="12" t="s">
        <v>49</v>
      </c>
      <c r="G66" s="12">
        <v>10</v>
      </c>
      <c r="H66" s="12">
        <v>79.1666666666667</v>
      </c>
      <c r="I66" s="299">
        <v>791.66666666666697</v>
      </c>
      <c r="J66" s="12">
        <v>950.00000000000034</v>
      </c>
      <c r="K66" s="300">
        <v>0</v>
      </c>
      <c r="L66" s="300">
        <v>60.416666666666671</v>
      </c>
    </row>
    <row r="67" spans="1:26" s="12" customFormat="1" x14ac:dyDescent="0.3">
      <c r="A67"/>
      <c r="B67"/>
      <c r="C67"/>
      <c r="D67"/>
      <c r="E67"/>
      <c r="F67"/>
      <c r="G67"/>
      <c r="H67"/>
      <c r="I67" s="299"/>
      <c r="J67"/>
      <c r="K67" s="300"/>
      <c r="L67" s="300"/>
      <c r="M67"/>
      <c r="N67"/>
      <c r="Y67"/>
      <c r="Z67"/>
    </row>
    <row r="68" spans="1:26" s="12" customFormat="1" x14ac:dyDescent="0.3">
      <c r="B68" s="12" t="s">
        <v>381</v>
      </c>
      <c r="C68" s="298">
        <v>45586</v>
      </c>
      <c r="D68" s="12" t="s">
        <v>1537</v>
      </c>
      <c r="E68" s="12" t="s">
        <v>1162</v>
      </c>
      <c r="F68" s="12" t="s">
        <v>943</v>
      </c>
      <c r="G68" s="12">
        <v>600</v>
      </c>
      <c r="H68" s="12">
        <v>3.4722200000000001</v>
      </c>
      <c r="I68" s="299">
        <v>2083.3319999999999</v>
      </c>
      <c r="J68" s="12">
        <v>2499.9983999999999</v>
      </c>
      <c r="K68" s="300">
        <v>0</v>
      </c>
      <c r="L68" s="300">
        <v>2.78</v>
      </c>
      <c r="M68" s="12">
        <v>5499.9984000000004</v>
      </c>
    </row>
    <row r="69" spans="1:26" s="12" customFormat="1" x14ac:dyDescent="0.3">
      <c r="E69" s="12" t="s">
        <v>1527</v>
      </c>
      <c r="F69" s="12" t="s">
        <v>49</v>
      </c>
      <c r="G69" s="12">
        <v>30</v>
      </c>
      <c r="H69" s="12">
        <v>83.333333333333343</v>
      </c>
      <c r="I69" s="299">
        <v>2500.0000000000005</v>
      </c>
      <c r="J69" s="12">
        <v>3000.0000000000005</v>
      </c>
      <c r="K69" s="300">
        <v>17</v>
      </c>
      <c r="L69" s="300">
        <v>58.5</v>
      </c>
    </row>
    <row r="70" spans="1:26" s="12" customFormat="1" x14ac:dyDescent="0.3">
      <c r="A70"/>
      <c r="B70"/>
      <c r="C70"/>
      <c r="D70"/>
      <c r="E70"/>
      <c r="F70"/>
      <c r="G70"/>
      <c r="H70"/>
      <c r="I70" s="299"/>
      <c r="J70"/>
      <c r="K70" s="300"/>
      <c r="L70" s="300"/>
      <c r="M70"/>
      <c r="N70"/>
      <c r="Y70"/>
      <c r="Z70"/>
    </row>
    <row r="71" spans="1:26" s="12" customFormat="1" x14ac:dyDescent="0.3">
      <c r="B71" s="12" t="s">
        <v>381</v>
      </c>
      <c r="C71" s="298">
        <v>45593</v>
      </c>
      <c r="D71" s="12" t="s">
        <v>1559</v>
      </c>
      <c r="E71" s="12" t="s">
        <v>875</v>
      </c>
      <c r="F71" s="12" t="s">
        <v>67</v>
      </c>
      <c r="G71" s="12">
        <v>2000</v>
      </c>
      <c r="H71" s="12">
        <v>0.5</v>
      </c>
      <c r="I71" s="299">
        <v>1000</v>
      </c>
      <c r="J71" s="12">
        <v>1200</v>
      </c>
      <c r="K71" s="300">
        <v>0</v>
      </c>
      <c r="L71" s="300">
        <v>0.32</v>
      </c>
      <c r="M71" s="12">
        <v>9920.0012800000004</v>
      </c>
    </row>
    <row r="72" spans="1:26" s="12" customFormat="1" x14ac:dyDescent="0.3">
      <c r="E72" s="12" t="s">
        <v>1526</v>
      </c>
      <c r="F72" s="12" t="s">
        <v>1525</v>
      </c>
      <c r="G72" s="12">
        <v>74</v>
      </c>
      <c r="H72" s="12">
        <v>37.528100000000002</v>
      </c>
      <c r="I72" s="299">
        <v>2777.0794000000001</v>
      </c>
      <c r="J72" s="12">
        <v>3332.4952800000001</v>
      </c>
      <c r="K72" s="300">
        <v>1</v>
      </c>
      <c r="L72" s="300">
        <v>31.67</v>
      </c>
    </row>
    <row r="73" spans="1:26" s="12" customFormat="1" x14ac:dyDescent="0.3">
      <c r="E73" s="12" t="s">
        <v>1335</v>
      </c>
      <c r="F73" s="12" t="s">
        <v>48</v>
      </c>
      <c r="G73" s="12">
        <v>20</v>
      </c>
      <c r="H73" s="12">
        <v>54.166666666666671</v>
      </c>
      <c r="I73" s="299">
        <v>1083.3333333333335</v>
      </c>
      <c r="J73" s="12">
        <v>1300.0000000000002</v>
      </c>
      <c r="K73" s="300">
        <v>0</v>
      </c>
      <c r="L73" s="300">
        <v>50</v>
      </c>
    </row>
    <row r="74" spans="1:26" s="12" customFormat="1" x14ac:dyDescent="0.3">
      <c r="E74" s="12" t="s">
        <v>778</v>
      </c>
      <c r="F74" s="12" t="s">
        <v>346</v>
      </c>
      <c r="G74" s="12">
        <v>7000</v>
      </c>
      <c r="H74" s="12">
        <v>0.1</v>
      </c>
      <c r="I74" s="299">
        <v>700</v>
      </c>
      <c r="J74" s="12">
        <v>840</v>
      </c>
      <c r="K74" s="300">
        <v>0</v>
      </c>
      <c r="L74" s="300">
        <v>8.3333333300000006E-2</v>
      </c>
    </row>
    <row r="75" spans="1:26" s="12" customFormat="1" x14ac:dyDescent="0.3">
      <c r="E75" s="12" t="s">
        <v>1190</v>
      </c>
      <c r="F75" s="12" t="s">
        <v>1353</v>
      </c>
      <c r="G75" s="12">
        <v>4500</v>
      </c>
      <c r="H75" s="12">
        <v>0.60138999999999998</v>
      </c>
      <c r="I75" s="299">
        <v>2706.2550000000001</v>
      </c>
      <c r="J75" s="12">
        <v>3247.5059999999999</v>
      </c>
      <c r="K75" s="300">
        <v>0</v>
      </c>
      <c r="L75" s="300">
        <v>0.55555833333333338</v>
      </c>
    </row>
    <row r="76" spans="1:26" s="12" customFormat="1" x14ac:dyDescent="0.3">
      <c r="A76"/>
      <c r="B76"/>
      <c r="C76"/>
      <c r="D76"/>
      <c r="E76"/>
      <c r="F76"/>
      <c r="G76"/>
      <c r="H76"/>
      <c r="I76" s="299"/>
      <c r="J76"/>
      <c r="K76" s="300"/>
      <c r="L76" s="300"/>
      <c r="M76"/>
      <c r="N76"/>
      <c r="Y76"/>
      <c r="Z76"/>
    </row>
    <row r="77" spans="1:26" s="12" customFormat="1" x14ac:dyDescent="0.3">
      <c r="B77" s="12" t="s">
        <v>381</v>
      </c>
      <c r="C77" s="298">
        <v>45600</v>
      </c>
      <c r="D77" s="12" t="s">
        <v>1584</v>
      </c>
      <c r="E77" s="12" t="s">
        <v>464</v>
      </c>
      <c r="F77" s="12" t="s">
        <v>38</v>
      </c>
      <c r="G77" s="12">
        <v>40</v>
      </c>
      <c r="H77" s="12">
        <v>12.5</v>
      </c>
      <c r="I77" s="299">
        <v>500</v>
      </c>
      <c r="J77" s="12">
        <v>600</v>
      </c>
      <c r="K77" s="300">
        <v>120</v>
      </c>
      <c r="L77" s="300">
        <v>7.5</v>
      </c>
      <c r="M77" s="12">
        <v>1725</v>
      </c>
    </row>
    <row r="78" spans="1:26" s="12" customFormat="1" x14ac:dyDescent="0.3">
      <c r="E78" s="12" t="s">
        <v>1527</v>
      </c>
      <c r="F78" s="12" t="s">
        <v>49</v>
      </c>
      <c r="G78" s="12">
        <v>15</v>
      </c>
      <c r="H78" s="12">
        <v>62.5</v>
      </c>
      <c r="I78" s="299">
        <v>937.5</v>
      </c>
      <c r="J78" s="12">
        <v>1125</v>
      </c>
      <c r="K78" s="300">
        <v>17</v>
      </c>
      <c r="L78" s="300">
        <v>58.5</v>
      </c>
    </row>
    <row r="79" spans="1:26" s="12" customFormat="1" x14ac:dyDescent="0.3">
      <c r="A79"/>
      <c r="B79"/>
      <c r="C79"/>
      <c r="D79"/>
      <c r="E79"/>
      <c r="F79"/>
      <c r="G79"/>
      <c r="H79"/>
      <c r="I79" s="299"/>
      <c r="J79"/>
      <c r="K79" s="300"/>
      <c r="L79" s="300"/>
      <c r="M79"/>
      <c r="N79"/>
      <c r="Y79"/>
      <c r="Z79"/>
    </row>
    <row r="80" spans="1:26" s="12" customFormat="1" x14ac:dyDescent="0.3">
      <c r="B80" s="12" t="s">
        <v>381</v>
      </c>
      <c r="C80" s="298">
        <v>45605</v>
      </c>
      <c r="D80" s="12" t="s">
        <v>1588</v>
      </c>
      <c r="E80" s="12" t="s">
        <v>944</v>
      </c>
      <c r="F80" s="12" t="s">
        <v>943</v>
      </c>
      <c r="G80" s="12">
        <v>100</v>
      </c>
      <c r="H80" s="12">
        <v>3.4169999999999998</v>
      </c>
      <c r="I80" s="299">
        <v>341.7</v>
      </c>
      <c r="J80" s="12">
        <v>410.03999999999996</v>
      </c>
      <c r="K80" s="300">
        <v>0</v>
      </c>
      <c r="L80" s="300">
        <v>2.9</v>
      </c>
      <c r="M80" s="12">
        <v>4920.4799999999996</v>
      </c>
    </row>
    <row r="81" spans="1:26" s="12" customFormat="1" x14ac:dyDescent="0.3">
      <c r="E81" s="12" t="s">
        <v>1162</v>
      </c>
      <c r="F81" s="12" t="s">
        <v>943</v>
      </c>
      <c r="G81" s="12">
        <v>500</v>
      </c>
      <c r="H81" s="12">
        <v>3.4169999999999998</v>
      </c>
      <c r="I81" s="299">
        <v>1708.5</v>
      </c>
      <c r="J81" s="12">
        <v>2050.1999999999998</v>
      </c>
      <c r="K81" s="300">
        <v>0</v>
      </c>
      <c r="L81" s="300">
        <v>2.78</v>
      </c>
    </row>
    <row r="82" spans="1:26" s="12" customFormat="1" x14ac:dyDescent="0.3">
      <c r="E82" s="12" t="s">
        <v>1162</v>
      </c>
      <c r="F82" s="12" t="s">
        <v>943</v>
      </c>
      <c r="G82" s="12">
        <v>600</v>
      </c>
      <c r="H82" s="12">
        <v>3.4169999999999998</v>
      </c>
      <c r="I82" s="299">
        <v>2050.1999999999998</v>
      </c>
      <c r="J82" s="12">
        <v>2460.2399999999998</v>
      </c>
      <c r="K82" s="300">
        <v>0</v>
      </c>
      <c r="L82" s="300">
        <v>2.78</v>
      </c>
    </row>
    <row r="83" spans="1:26" s="12" customFormat="1" x14ac:dyDescent="0.3">
      <c r="A83"/>
      <c r="B83"/>
      <c r="C83"/>
      <c r="D83"/>
      <c r="E83"/>
      <c r="F83"/>
      <c r="G83"/>
      <c r="H83"/>
      <c r="I83" s="299"/>
      <c r="J83"/>
      <c r="K83" s="300"/>
      <c r="L83" s="300"/>
      <c r="M83"/>
      <c r="N83"/>
      <c r="Y83"/>
      <c r="Z83"/>
    </row>
    <row r="84" spans="1:26" s="12" customFormat="1" x14ac:dyDescent="0.3">
      <c r="B84" s="12" t="s">
        <v>381</v>
      </c>
      <c r="C84" s="298">
        <v>45612</v>
      </c>
      <c r="D84" s="12" t="s">
        <v>1621</v>
      </c>
      <c r="E84" s="12" t="s">
        <v>1619</v>
      </c>
      <c r="F84" s="12" t="s">
        <v>947</v>
      </c>
      <c r="G84" s="12">
        <v>2000</v>
      </c>
      <c r="H84" s="12">
        <v>1.5833333333333333</v>
      </c>
      <c r="I84" s="299">
        <v>3166.6666666666665</v>
      </c>
      <c r="J84" s="12">
        <v>3799.9999999999995</v>
      </c>
      <c r="K84" s="300">
        <v>0</v>
      </c>
      <c r="L84" s="300">
        <v>1.3</v>
      </c>
      <c r="M84" s="12">
        <v>3799.9999999999995</v>
      </c>
    </row>
    <row r="85" spans="1:26" s="12" customFormat="1" x14ac:dyDescent="0.3">
      <c r="A85"/>
      <c r="B85"/>
      <c r="C85"/>
      <c r="D85"/>
      <c r="E85"/>
      <c r="F85"/>
      <c r="G85"/>
      <c r="H85"/>
      <c r="I85" s="299"/>
      <c r="J85"/>
      <c r="K85" s="300"/>
      <c r="L85" s="300"/>
      <c r="M85"/>
      <c r="N85"/>
      <c r="Y85"/>
      <c r="Z85"/>
    </row>
    <row r="86" spans="1:26" s="12" customFormat="1" x14ac:dyDescent="0.3">
      <c r="B86" s="12" t="s">
        <v>381</v>
      </c>
      <c r="C86" s="298">
        <v>45615</v>
      </c>
      <c r="D86" s="12" t="s">
        <v>1627</v>
      </c>
      <c r="E86" s="12" t="s">
        <v>918</v>
      </c>
      <c r="F86" s="12" t="s">
        <v>363</v>
      </c>
      <c r="G86" s="12">
        <v>30</v>
      </c>
      <c r="H86" s="12">
        <v>29.16</v>
      </c>
      <c r="I86" s="299">
        <v>874.8</v>
      </c>
      <c r="J86" s="12">
        <v>1049.76</v>
      </c>
      <c r="K86" s="300">
        <v>124.32999999999998</v>
      </c>
      <c r="L86" s="300">
        <v>25</v>
      </c>
      <c r="M86" s="12">
        <v>11338.603999999999</v>
      </c>
    </row>
    <row r="87" spans="1:26" s="12" customFormat="1" x14ac:dyDescent="0.3">
      <c r="E87" s="12" t="s">
        <v>1240</v>
      </c>
      <c r="F87" s="12" t="s">
        <v>1241</v>
      </c>
      <c r="G87" s="12">
        <v>10</v>
      </c>
      <c r="H87" s="12">
        <v>66.611999999999995</v>
      </c>
      <c r="I87" s="299">
        <v>666.11999999999989</v>
      </c>
      <c r="J87" s="12">
        <v>799.34399999999982</v>
      </c>
      <c r="K87" s="300">
        <v>0</v>
      </c>
      <c r="L87" s="300">
        <v>62.5</v>
      </c>
    </row>
    <row r="88" spans="1:26" s="12" customFormat="1" x14ac:dyDescent="0.3">
      <c r="E88" s="12" t="s">
        <v>1231</v>
      </c>
      <c r="F88" s="12" t="s">
        <v>1230</v>
      </c>
      <c r="G88" s="12">
        <v>68</v>
      </c>
      <c r="H88" s="12">
        <v>105</v>
      </c>
      <c r="I88" s="299">
        <v>7140</v>
      </c>
      <c r="J88" s="12">
        <v>8568</v>
      </c>
      <c r="K88" s="300">
        <v>0</v>
      </c>
      <c r="L88" s="300">
        <v>103.33333330000001</v>
      </c>
    </row>
    <row r="89" spans="1:26" s="12" customFormat="1" x14ac:dyDescent="0.3">
      <c r="E89" s="12" t="s">
        <v>1234</v>
      </c>
      <c r="F89" s="12" t="s">
        <v>1235</v>
      </c>
      <c r="G89" s="12">
        <v>19</v>
      </c>
      <c r="H89" s="12">
        <v>25</v>
      </c>
      <c r="I89" s="299">
        <v>475</v>
      </c>
      <c r="J89" s="12">
        <v>570</v>
      </c>
      <c r="K89" s="300">
        <v>0</v>
      </c>
      <c r="L89" s="300">
        <v>20</v>
      </c>
    </row>
    <row r="90" spans="1:26" s="12" customFormat="1" x14ac:dyDescent="0.3">
      <c r="E90" s="12" t="s">
        <v>1131</v>
      </c>
      <c r="F90" s="12" t="s">
        <v>1130</v>
      </c>
      <c r="G90" s="12">
        <v>37</v>
      </c>
      <c r="H90" s="12">
        <v>7.916666666666667</v>
      </c>
      <c r="I90" s="299">
        <v>292.91666666666669</v>
      </c>
      <c r="J90" s="12">
        <v>351.5</v>
      </c>
      <c r="K90" s="300">
        <v>393</v>
      </c>
      <c r="L90" s="300">
        <v>6.6669999999999998</v>
      </c>
    </row>
    <row r="91" spans="1:26" s="12" customFormat="1" x14ac:dyDescent="0.3">
      <c r="A91"/>
      <c r="B91"/>
      <c r="C91"/>
      <c r="D91"/>
      <c r="E91"/>
      <c r="F91"/>
      <c r="G91"/>
      <c r="H91"/>
      <c r="I91" s="299"/>
      <c r="J91"/>
      <c r="K91" s="300"/>
      <c r="L91" s="300"/>
      <c r="M91"/>
      <c r="N91"/>
      <c r="Y91"/>
      <c r="Z91"/>
    </row>
    <row r="92" spans="1:26" s="12" customFormat="1" x14ac:dyDescent="0.3">
      <c r="B92" s="12" t="s">
        <v>381</v>
      </c>
      <c r="C92" s="298">
        <v>45628</v>
      </c>
      <c r="D92" s="12" t="s">
        <v>1679</v>
      </c>
      <c r="E92" s="12" t="s">
        <v>1678</v>
      </c>
      <c r="G92" s="12">
        <v>1000</v>
      </c>
      <c r="H92" s="12">
        <v>3.4169999999999998</v>
      </c>
      <c r="I92" s="299">
        <v>3417</v>
      </c>
      <c r="J92" s="12">
        <v>4100.3999999999996</v>
      </c>
      <c r="K92" s="300"/>
      <c r="L92" s="300"/>
      <c r="M92" s="12">
        <v>5300.4</v>
      </c>
    </row>
    <row r="93" spans="1:26" s="12" customFormat="1" x14ac:dyDescent="0.3">
      <c r="E93" s="12" t="s">
        <v>1677</v>
      </c>
      <c r="G93" s="12">
        <v>2000</v>
      </c>
      <c r="H93" s="12">
        <v>0.5</v>
      </c>
      <c r="I93" s="299">
        <v>1000</v>
      </c>
      <c r="J93" s="12">
        <v>1200</v>
      </c>
      <c r="K93" s="300"/>
      <c r="L93" s="300"/>
    </row>
    <row r="94" spans="1:26" s="12" customFormat="1" x14ac:dyDescent="0.3">
      <c r="A94"/>
      <c r="B94"/>
      <c r="C94"/>
      <c r="D94"/>
      <c r="E94"/>
      <c r="F94"/>
      <c r="G94"/>
      <c r="H94"/>
      <c r="I94" s="299"/>
      <c r="J94"/>
      <c r="K94" s="300"/>
      <c r="L94" s="300"/>
      <c r="M94"/>
      <c r="N94"/>
      <c r="Y94"/>
      <c r="Z94"/>
    </row>
    <row r="95" spans="1:26" s="12" customFormat="1" x14ac:dyDescent="0.3">
      <c r="A95"/>
      <c r="B95"/>
      <c r="C95"/>
      <c r="D95"/>
      <c r="E95"/>
      <c r="F95"/>
      <c r="G95"/>
      <c r="H95"/>
      <c r="I95" s="299"/>
      <c r="J95"/>
      <c r="K95" s="300"/>
      <c r="L95" s="300"/>
      <c r="M95"/>
      <c r="N95"/>
      <c r="Y95"/>
      <c r="Z95"/>
    </row>
    <row r="96" spans="1:26" s="12" customFormat="1" x14ac:dyDescent="0.3">
      <c r="A96"/>
      <c r="B96"/>
      <c r="C96"/>
      <c r="D96"/>
      <c r="E96"/>
      <c r="F96"/>
      <c r="G96"/>
      <c r="H96"/>
      <c r="I96" s="299"/>
      <c r="J96"/>
      <c r="K96" s="300"/>
      <c r="L96" s="300"/>
      <c r="M96"/>
      <c r="N96"/>
      <c r="Y96"/>
      <c r="Z96"/>
    </row>
    <row r="97" spans="1:26" s="12" customFormat="1" x14ac:dyDescent="0.3">
      <c r="A97"/>
      <c r="B97"/>
      <c r="C97"/>
      <c r="D97"/>
      <c r="E97"/>
      <c r="F97"/>
      <c r="G97"/>
      <c r="H97"/>
      <c r="I97" s="299"/>
      <c r="J97"/>
      <c r="K97" s="300"/>
      <c r="L97" s="300"/>
      <c r="M97"/>
      <c r="N97"/>
      <c r="Y97"/>
      <c r="Z97"/>
    </row>
    <row r="98" spans="1:26" s="12" customFormat="1" x14ac:dyDescent="0.3">
      <c r="A98"/>
      <c r="B98"/>
      <c r="C98"/>
      <c r="D98"/>
      <c r="E98"/>
      <c r="F98"/>
      <c r="G98"/>
      <c r="H98"/>
      <c r="I98" s="299"/>
      <c r="J98"/>
      <c r="K98" s="300"/>
      <c r="L98" s="300"/>
      <c r="M98"/>
      <c r="N98"/>
      <c r="Y98"/>
      <c r="Z98"/>
    </row>
    <row r="99" spans="1:26" s="12" customFormat="1" x14ac:dyDescent="0.3">
      <c r="A99"/>
      <c r="B99"/>
      <c r="C99"/>
      <c r="D99"/>
      <c r="E99"/>
      <c r="F99"/>
      <c r="G99"/>
      <c r="H99"/>
      <c r="I99" s="299"/>
      <c r="J99"/>
      <c r="K99" s="300"/>
      <c r="L99" s="300"/>
      <c r="M99"/>
      <c r="N99"/>
      <c r="Y99"/>
      <c r="Z99"/>
    </row>
    <row r="100" spans="1:26" s="12" customFormat="1" x14ac:dyDescent="0.3">
      <c r="A100"/>
      <c r="B100"/>
      <c r="C100"/>
      <c r="D100"/>
      <c r="E100"/>
      <c r="F100"/>
      <c r="G100"/>
      <c r="H100"/>
      <c r="I100" s="299"/>
      <c r="J100"/>
      <c r="K100" s="300"/>
      <c r="L100" s="300"/>
      <c r="M100"/>
      <c r="N100"/>
      <c r="Y100"/>
      <c r="Z100"/>
    </row>
    <row r="101" spans="1:26" s="12" customFormat="1" x14ac:dyDescent="0.3">
      <c r="A101"/>
      <c r="B101"/>
      <c r="C101"/>
      <c r="D101"/>
      <c r="E101"/>
      <c r="F101"/>
      <c r="G101"/>
      <c r="H101"/>
      <c r="I101" s="299"/>
      <c r="J101"/>
      <c r="K101" s="300"/>
      <c r="L101" s="300"/>
      <c r="M101"/>
      <c r="N101"/>
      <c r="Y101"/>
      <c r="Z101"/>
    </row>
    <row r="102" spans="1:26" s="12" customFormat="1" x14ac:dyDescent="0.3">
      <c r="A102"/>
      <c r="B102"/>
      <c r="C102"/>
      <c r="D102"/>
      <c r="E102"/>
      <c r="F102"/>
      <c r="G102"/>
      <c r="H102"/>
      <c r="I102" s="299"/>
      <c r="J102"/>
      <c r="K102" s="300"/>
      <c r="L102" s="300"/>
      <c r="M102"/>
      <c r="N102"/>
      <c r="Y102"/>
      <c r="Z102"/>
    </row>
    <row r="103" spans="1:26" s="12" customFormat="1" x14ac:dyDescent="0.3">
      <c r="A103"/>
      <c r="B103"/>
      <c r="C103"/>
      <c r="D103"/>
      <c r="E103"/>
      <c r="F103"/>
      <c r="G103"/>
      <c r="H103"/>
      <c r="I103" s="299"/>
      <c r="J103"/>
      <c r="K103" s="300"/>
      <c r="L103" s="300"/>
      <c r="M103"/>
      <c r="N103"/>
      <c r="Y103"/>
      <c r="Z103"/>
    </row>
    <row r="104" spans="1:26" s="12" customFormat="1" x14ac:dyDescent="0.3">
      <c r="A104"/>
      <c r="B104"/>
      <c r="C104"/>
      <c r="D104"/>
      <c r="E104"/>
      <c r="F104"/>
      <c r="G104"/>
      <c r="H104"/>
      <c r="I104" s="299"/>
      <c r="J104"/>
      <c r="K104" s="300"/>
      <c r="L104" s="300"/>
      <c r="M104"/>
      <c r="N104"/>
      <c r="Y104"/>
      <c r="Z104"/>
    </row>
    <row r="105" spans="1:26" s="12" customFormat="1" x14ac:dyDescent="0.3">
      <c r="A105"/>
      <c r="B105"/>
      <c r="C105"/>
      <c r="D105"/>
      <c r="E105"/>
      <c r="F105"/>
      <c r="G105"/>
      <c r="H105"/>
      <c r="I105" s="299"/>
      <c r="J105"/>
      <c r="K105" s="300"/>
      <c r="L105" s="300"/>
      <c r="M105"/>
      <c r="N105"/>
      <c r="Y105"/>
      <c r="Z105"/>
    </row>
    <row r="106" spans="1:26" s="12" customFormat="1" x14ac:dyDescent="0.3">
      <c r="A106"/>
      <c r="B106"/>
      <c r="C106"/>
      <c r="D106"/>
      <c r="E106"/>
      <c r="F106"/>
      <c r="G106"/>
      <c r="H106"/>
      <c r="I106" s="299"/>
      <c r="J106"/>
      <c r="K106" s="300"/>
      <c r="L106" s="300"/>
      <c r="M106"/>
      <c r="N106"/>
      <c r="Y106"/>
      <c r="Z106"/>
    </row>
    <row r="107" spans="1:26" s="12" customFormat="1" x14ac:dyDescent="0.3">
      <c r="A107"/>
      <c r="B107"/>
      <c r="C107"/>
      <c r="D107"/>
      <c r="E107"/>
      <c r="F107"/>
      <c r="G107"/>
      <c r="H107"/>
      <c r="I107" s="299"/>
      <c r="J107"/>
      <c r="K107" s="300"/>
      <c r="L107" s="300"/>
      <c r="M107"/>
      <c r="N107"/>
      <c r="Y107"/>
      <c r="Z107"/>
    </row>
    <row r="108" spans="1:26" s="12" customFormat="1" x14ac:dyDescent="0.3">
      <c r="A108"/>
      <c r="B108"/>
      <c r="C108"/>
      <c r="D108"/>
      <c r="E108"/>
      <c r="F108"/>
      <c r="G108"/>
      <c r="H108"/>
      <c r="I108" s="299"/>
      <c r="J108"/>
      <c r="K108" s="300"/>
      <c r="L108" s="300"/>
      <c r="M108"/>
      <c r="N108"/>
      <c r="Y108"/>
      <c r="Z108"/>
    </row>
    <row r="109" spans="1:26" s="12" customFormat="1" x14ac:dyDescent="0.3">
      <c r="A109"/>
      <c r="B109"/>
      <c r="C109"/>
      <c r="D109"/>
      <c r="E109"/>
      <c r="F109"/>
      <c r="G109"/>
      <c r="H109"/>
      <c r="I109" s="299"/>
      <c r="J109"/>
      <c r="K109" s="300"/>
      <c r="L109" s="300"/>
      <c r="M109"/>
      <c r="N109"/>
      <c r="Y109"/>
      <c r="Z109"/>
    </row>
    <row r="110" spans="1:26" s="12" customFormat="1" x14ac:dyDescent="0.3">
      <c r="A110"/>
      <c r="B110"/>
      <c r="C110"/>
      <c r="D110"/>
      <c r="E110"/>
      <c r="F110"/>
      <c r="G110"/>
      <c r="H110"/>
      <c r="I110" s="299"/>
      <c r="J110"/>
      <c r="K110" s="300"/>
      <c r="L110" s="300"/>
      <c r="M110"/>
      <c r="N110"/>
      <c r="Y110"/>
      <c r="Z110"/>
    </row>
    <row r="111" spans="1:26" s="12" customFormat="1" x14ac:dyDescent="0.3">
      <c r="A111"/>
      <c r="B111"/>
      <c r="C111"/>
      <c r="D111"/>
      <c r="E111"/>
      <c r="F111"/>
      <c r="G111"/>
      <c r="H111"/>
      <c r="I111" s="299"/>
      <c r="J111"/>
      <c r="K111" s="300"/>
      <c r="L111" s="300"/>
      <c r="M111"/>
      <c r="N111"/>
      <c r="Y111"/>
      <c r="Z111"/>
    </row>
    <row r="112" spans="1:26" s="12" customFormat="1" x14ac:dyDescent="0.3">
      <c r="A112"/>
      <c r="B112"/>
      <c r="C112"/>
      <c r="D112"/>
      <c r="E112"/>
      <c r="F112"/>
      <c r="G112"/>
      <c r="H112"/>
      <c r="I112" s="299"/>
      <c r="J112"/>
      <c r="K112" s="300"/>
      <c r="L112" s="300"/>
      <c r="M112"/>
      <c r="N112"/>
      <c r="Y112"/>
      <c r="Z112"/>
    </row>
    <row r="113" spans="1:26" s="12" customFormat="1" x14ac:dyDescent="0.3">
      <c r="A113"/>
      <c r="B113"/>
      <c r="C113"/>
      <c r="D113"/>
      <c r="E113"/>
      <c r="F113"/>
      <c r="G113"/>
      <c r="H113"/>
      <c r="I113" s="299"/>
      <c r="J113"/>
      <c r="K113" s="300"/>
      <c r="L113" s="300"/>
      <c r="M113"/>
      <c r="N113"/>
      <c r="Y113"/>
      <c r="Z113"/>
    </row>
    <row r="114" spans="1:26" s="12" customFormat="1" x14ac:dyDescent="0.3">
      <c r="A114"/>
      <c r="B114"/>
      <c r="C114"/>
      <c r="D114"/>
      <c r="E114"/>
      <c r="F114"/>
      <c r="G114"/>
      <c r="H114"/>
      <c r="I114" s="299"/>
      <c r="J114"/>
      <c r="K114" s="300"/>
      <c r="L114" s="300"/>
      <c r="M114"/>
      <c r="N114"/>
      <c r="Y114"/>
      <c r="Z114"/>
    </row>
    <row r="115" spans="1:26" s="12" customFormat="1" x14ac:dyDescent="0.3">
      <c r="A115"/>
      <c r="B115"/>
      <c r="C115"/>
      <c r="D115"/>
      <c r="E115"/>
      <c r="F115"/>
      <c r="G115"/>
      <c r="H115"/>
      <c r="I115" s="299"/>
      <c r="J115"/>
      <c r="K115" s="300"/>
      <c r="L115" s="300"/>
      <c r="M115"/>
      <c r="N115"/>
      <c r="Y115"/>
      <c r="Z115"/>
    </row>
    <row r="116" spans="1:26" s="12" customFormat="1" x14ac:dyDescent="0.3">
      <c r="A116"/>
      <c r="B116"/>
      <c r="C116"/>
      <c r="D116"/>
      <c r="E116"/>
      <c r="F116"/>
      <c r="G116"/>
      <c r="H116"/>
      <c r="I116" s="299"/>
      <c r="J116"/>
      <c r="K116" s="300"/>
      <c r="L116" s="300"/>
      <c r="M116"/>
      <c r="N116"/>
      <c r="Y116"/>
      <c r="Z116"/>
    </row>
    <row r="117" spans="1:26" s="12" customFormat="1" x14ac:dyDescent="0.3">
      <c r="A117"/>
      <c r="B117"/>
      <c r="C117"/>
      <c r="D117"/>
      <c r="E117"/>
      <c r="F117"/>
      <c r="G117"/>
      <c r="H117"/>
      <c r="I117" s="299"/>
      <c r="J117"/>
      <c r="K117" s="300"/>
      <c r="L117" s="300"/>
      <c r="M117"/>
      <c r="N117"/>
      <c r="Y117"/>
      <c r="Z117"/>
    </row>
    <row r="118" spans="1:26" s="12" customFormat="1" x14ac:dyDescent="0.3">
      <c r="A118"/>
      <c r="B118"/>
      <c r="C118"/>
      <c r="D118"/>
      <c r="E118"/>
      <c r="F118"/>
      <c r="G118"/>
      <c r="H118"/>
      <c r="I118" s="299"/>
      <c r="J118"/>
      <c r="K118" s="300"/>
      <c r="L118" s="300"/>
      <c r="M118"/>
      <c r="N118"/>
      <c r="Y118"/>
      <c r="Z118"/>
    </row>
    <row r="119" spans="1:26" s="12" customFormat="1" x14ac:dyDescent="0.3">
      <c r="A119"/>
      <c r="B119"/>
      <c r="C119"/>
      <c r="D119"/>
      <c r="E119"/>
      <c r="F119"/>
      <c r="G119"/>
      <c r="H119"/>
      <c r="I119" s="299"/>
      <c r="J119"/>
      <c r="K119" s="300"/>
      <c r="L119" s="300"/>
      <c r="M119"/>
      <c r="N119"/>
      <c r="Y119"/>
      <c r="Z119"/>
    </row>
    <row r="120" spans="1:26" s="12" customFormat="1" x14ac:dyDescent="0.3">
      <c r="A120"/>
      <c r="B120"/>
      <c r="C120"/>
      <c r="D120"/>
      <c r="E120"/>
      <c r="F120"/>
      <c r="G120"/>
      <c r="H120"/>
      <c r="I120" s="299"/>
      <c r="J120"/>
      <c r="K120" s="300"/>
      <c r="L120" s="300"/>
      <c r="M120"/>
      <c r="N120"/>
      <c r="Y120"/>
      <c r="Z120"/>
    </row>
    <row r="121" spans="1:26" s="12" customFormat="1" x14ac:dyDescent="0.3">
      <c r="A121"/>
      <c r="B121"/>
      <c r="C121"/>
      <c r="D121"/>
      <c r="E121"/>
      <c r="F121"/>
      <c r="G121"/>
      <c r="H121"/>
      <c r="I121" s="299"/>
      <c r="J121"/>
      <c r="K121" s="300"/>
      <c r="L121" s="300"/>
      <c r="M121"/>
      <c r="N121"/>
      <c r="Y121"/>
      <c r="Z121"/>
    </row>
    <row r="122" spans="1:26" s="12" customFormat="1" x14ac:dyDescent="0.3">
      <c r="A122"/>
      <c r="B122"/>
      <c r="C122"/>
      <c r="D122"/>
      <c r="E122"/>
      <c r="F122"/>
      <c r="G122"/>
      <c r="H122"/>
      <c r="I122" s="299"/>
      <c r="J122"/>
      <c r="K122" s="300"/>
      <c r="L122" s="300"/>
      <c r="M122"/>
      <c r="N122"/>
      <c r="Y122"/>
      <c r="Z122"/>
    </row>
    <row r="123" spans="1:26" s="12" customFormat="1" x14ac:dyDescent="0.3">
      <c r="A123"/>
      <c r="B123"/>
      <c r="C123"/>
      <c r="D123"/>
      <c r="E123"/>
      <c r="F123"/>
      <c r="G123"/>
      <c r="H123"/>
      <c r="I123" s="299"/>
      <c r="J123"/>
      <c r="K123" s="300"/>
      <c r="L123" s="300"/>
      <c r="M123"/>
      <c r="N123"/>
      <c r="Y123"/>
      <c r="Z123"/>
    </row>
    <row r="124" spans="1:26" s="12" customFormat="1" x14ac:dyDescent="0.3">
      <c r="A124"/>
      <c r="B124"/>
      <c r="C124"/>
      <c r="D124"/>
      <c r="E124"/>
      <c r="F124"/>
      <c r="G124"/>
      <c r="H124"/>
      <c r="I124" s="299"/>
      <c r="J124"/>
      <c r="K124" s="300"/>
      <c r="L124" s="300"/>
      <c r="M124"/>
      <c r="N124"/>
      <c r="Y124"/>
      <c r="Z124"/>
    </row>
    <row r="125" spans="1:26" s="12" customFormat="1" x14ac:dyDescent="0.3">
      <c r="A125"/>
      <c r="B125"/>
      <c r="C125"/>
      <c r="D125"/>
      <c r="E125"/>
      <c r="F125"/>
      <c r="G125"/>
      <c r="H125"/>
      <c r="I125" s="299"/>
      <c r="J125"/>
      <c r="K125" s="300"/>
      <c r="L125" s="300"/>
      <c r="M125"/>
      <c r="N125"/>
      <c r="Y125"/>
      <c r="Z125"/>
    </row>
    <row r="126" spans="1:26" s="12" customFormat="1" x14ac:dyDescent="0.3">
      <c r="A126"/>
      <c r="B126"/>
      <c r="C126"/>
      <c r="D126"/>
      <c r="E126"/>
      <c r="F126"/>
      <c r="G126"/>
      <c r="H126"/>
      <c r="I126" s="299"/>
      <c r="J126"/>
      <c r="K126" s="300"/>
      <c r="L126" s="300"/>
      <c r="M126"/>
      <c r="N126"/>
      <c r="Y126"/>
      <c r="Z126"/>
    </row>
    <row r="127" spans="1:26" s="12" customFormat="1" x14ac:dyDescent="0.3">
      <c r="A127"/>
      <c r="B127"/>
      <c r="C127"/>
      <c r="D127"/>
      <c r="E127"/>
      <c r="F127"/>
      <c r="G127"/>
      <c r="H127"/>
      <c r="I127" s="299"/>
      <c r="J127"/>
      <c r="K127" s="300"/>
      <c r="L127" s="300"/>
      <c r="M127"/>
      <c r="N127"/>
      <c r="Y127"/>
      <c r="Z127"/>
    </row>
    <row r="128" spans="1:26" s="12" customFormat="1" x14ac:dyDescent="0.3">
      <c r="A128"/>
      <c r="B128"/>
      <c r="C128"/>
      <c r="D128"/>
      <c r="E128"/>
      <c r="F128"/>
      <c r="G128"/>
      <c r="H128"/>
      <c r="I128" s="299"/>
      <c r="J128"/>
      <c r="K128" s="300"/>
      <c r="L128" s="300"/>
      <c r="M128"/>
      <c r="N128"/>
      <c r="Y128"/>
      <c r="Z128"/>
    </row>
    <row r="129" spans="1:26" s="12" customFormat="1" x14ac:dyDescent="0.3">
      <c r="A129"/>
      <c r="B129"/>
      <c r="C129"/>
      <c r="D129"/>
      <c r="E129"/>
      <c r="F129"/>
      <c r="G129"/>
      <c r="H129"/>
      <c r="I129" s="299"/>
      <c r="J129"/>
      <c r="K129" s="300"/>
      <c r="L129" s="300"/>
      <c r="M129"/>
      <c r="N129"/>
      <c r="Y129"/>
      <c r="Z129"/>
    </row>
    <row r="130" spans="1:26" s="12" customFormat="1" x14ac:dyDescent="0.3">
      <c r="A130"/>
      <c r="B130"/>
      <c r="C130"/>
      <c r="D130"/>
      <c r="E130"/>
      <c r="F130"/>
      <c r="G130"/>
      <c r="H130"/>
      <c r="I130" s="299"/>
      <c r="J130"/>
      <c r="K130" s="300"/>
      <c r="L130" s="300"/>
      <c r="M130"/>
      <c r="N130"/>
      <c r="Y130"/>
      <c r="Z130"/>
    </row>
    <row r="131" spans="1:26" s="12" customFormat="1" x14ac:dyDescent="0.3">
      <c r="A131"/>
      <c r="B131"/>
      <c r="C131"/>
      <c r="D131"/>
      <c r="E131"/>
      <c r="F131"/>
      <c r="G131"/>
      <c r="H131"/>
      <c r="I131" s="299"/>
      <c r="J131"/>
      <c r="K131" s="300"/>
      <c r="L131" s="300"/>
      <c r="M131"/>
      <c r="N131"/>
      <c r="Y131"/>
      <c r="Z131"/>
    </row>
    <row r="132" spans="1:26" s="12" customFormat="1" x14ac:dyDescent="0.3">
      <c r="A132"/>
      <c r="B132"/>
      <c r="C132"/>
      <c r="D132"/>
      <c r="E132"/>
      <c r="F132"/>
      <c r="G132"/>
      <c r="H132"/>
      <c r="I132" s="299"/>
      <c r="J132"/>
      <c r="K132" s="300"/>
      <c r="L132" s="300"/>
      <c r="M132"/>
      <c r="N132"/>
      <c r="Y132"/>
      <c r="Z132"/>
    </row>
    <row r="133" spans="1:26" s="12" customFormat="1" x14ac:dyDescent="0.3">
      <c r="A133"/>
      <c r="B133"/>
      <c r="C133"/>
      <c r="D133"/>
      <c r="E133"/>
      <c r="F133"/>
      <c r="G133"/>
      <c r="H133"/>
      <c r="I133" s="299"/>
      <c r="J133"/>
      <c r="K133" s="300"/>
      <c r="L133" s="300"/>
      <c r="M133"/>
      <c r="N133"/>
      <c r="Y133"/>
      <c r="Z133"/>
    </row>
    <row r="134" spans="1:26" s="12" customFormat="1" x14ac:dyDescent="0.3">
      <c r="A134"/>
      <c r="B134"/>
      <c r="C134"/>
      <c r="D134"/>
      <c r="E134"/>
      <c r="F134"/>
      <c r="G134"/>
      <c r="H134"/>
      <c r="I134" s="299"/>
      <c r="J134"/>
      <c r="K134" s="300"/>
      <c r="L134" s="300"/>
      <c r="M134"/>
      <c r="N134"/>
      <c r="Y134"/>
      <c r="Z134"/>
    </row>
    <row r="135" spans="1:26" s="12" customFormat="1" x14ac:dyDescent="0.3">
      <c r="A135"/>
      <c r="B135"/>
      <c r="C135"/>
      <c r="D135"/>
      <c r="E135"/>
      <c r="F135"/>
      <c r="G135"/>
      <c r="H135"/>
      <c r="I135" s="299"/>
      <c r="J135"/>
      <c r="K135" s="300"/>
      <c r="L135" s="300"/>
      <c r="M135"/>
      <c r="N135"/>
      <c r="Y135"/>
      <c r="Z135"/>
    </row>
    <row r="136" spans="1:26" s="12" customFormat="1" x14ac:dyDescent="0.3">
      <c r="A136"/>
      <c r="B136"/>
      <c r="C136"/>
      <c r="D136"/>
      <c r="E136"/>
      <c r="F136"/>
      <c r="G136"/>
      <c r="H136"/>
      <c r="I136" s="299"/>
      <c r="J136"/>
      <c r="K136" s="300"/>
      <c r="L136" s="300"/>
      <c r="M136"/>
      <c r="N136"/>
      <c r="Y136"/>
      <c r="Z136"/>
    </row>
    <row r="137" spans="1:26" s="12" customFormat="1" x14ac:dyDescent="0.3">
      <c r="A137"/>
      <c r="B137"/>
      <c r="C137"/>
      <c r="D137"/>
      <c r="E137"/>
      <c r="F137"/>
      <c r="G137"/>
      <c r="H137"/>
      <c r="I137" s="299"/>
      <c r="J137"/>
      <c r="K137" s="300"/>
      <c r="L137" s="300"/>
      <c r="M137"/>
      <c r="N137"/>
      <c r="Y137"/>
      <c r="Z137"/>
    </row>
    <row r="138" spans="1:26" s="12" customFormat="1" x14ac:dyDescent="0.3">
      <c r="A138"/>
      <c r="B138"/>
      <c r="C138"/>
      <c r="D138"/>
      <c r="E138"/>
      <c r="F138"/>
      <c r="G138"/>
      <c r="H138"/>
      <c r="I138" s="299"/>
      <c r="J138"/>
      <c r="K138" s="300"/>
      <c r="L138" s="300"/>
      <c r="M138"/>
      <c r="N138"/>
      <c r="Y138"/>
      <c r="Z138"/>
    </row>
    <row r="139" spans="1:26" s="12" customFormat="1" x14ac:dyDescent="0.3">
      <c r="A139"/>
      <c r="B139"/>
      <c r="C139"/>
      <c r="D139"/>
      <c r="E139"/>
      <c r="F139"/>
      <c r="G139"/>
      <c r="H139"/>
      <c r="I139" s="299"/>
      <c r="J139"/>
      <c r="K139" s="300"/>
      <c r="L139" s="300"/>
      <c r="M139"/>
      <c r="N139"/>
      <c r="Y139"/>
      <c r="Z139"/>
    </row>
    <row r="140" spans="1:26" s="12" customFormat="1" x14ac:dyDescent="0.3">
      <c r="A140"/>
      <c r="B140"/>
      <c r="C140"/>
      <c r="D140"/>
      <c r="E140"/>
      <c r="F140"/>
      <c r="G140"/>
      <c r="H140"/>
      <c r="I140" s="299"/>
      <c r="J140"/>
      <c r="K140" s="300"/>
      <c r="L140" s="300"/>
      <c r="M140"/>
      <c r="N140"/>
      <c r="Y140"/>
      <c r="Z140"/>
    </row>
    <row r="141" spans="1:26" s="12" customFormat="1" x14ac:dyDescent="0.3">
      <c r="A141"/>
      <c r="B141"/>
      <c r="C141"/>
      <c r="D141"/>
      <c r="E141"/>
      <c r="F141"/>
      <c r="G141"/>
      <c r="H141"/>
      <c r="I141" s="299"/>
      <c r="J141"/>
      <c r="K141" s="300"/>
      <c r="L141" s="300"/>
      <c r="M141"/>
      <c r="N141"/>
      <c r="Y141"/>
      <c r="Z141"/>
    </row>
    <row r="142" spans="1:26" s="12" customFormat="1" x14ac:dyDescent="0.3">
      <c r="A142"/>
      <c r="B142"/>
      <c r="C142"/>
      <c r="D142"/>
      <c r="E142"/>
      <c r="F142"/>
      <c r="G142"/>
      <c r="H142"/>
      <c r="I142" s="299"/>
      <c r="J142"/>
      <c r="K142" s="300"/>
      <c r="L142" s="300"/>
      <c r="M142"/>
      <c r="N142"/>
      <c r="Y142"/>
      <c r="Z142"/>
    </row>
    <row r="143" spans="1:26" s="12" customFormat="1" x14ac:dyDescent="0.3">
      <c r="A143"/>
      <c r="B143"/>
      <c r="C143"/>
      <c r="D143"/>
      <c r="E143"/>
      <c r="F143"/>
      <c r="G143"/>
      <c r="H143"/>
      <c r="I143" s="299"/>
      <c r="J143"/>
      <c r="K143" s="300"/>
      <c r="L143" s="300"/>
      <c r="M143"/>
      <c r="N143"/>
      <c r="Y143"/>
      <c r="Z143"/>
    </row>
    <row r="144" spans="1:26" s="12" customFormat="1" x14ac:dyDescent="0.3">
      <c r="A144"/>
      <c r="B144"/>
      <c r="C144"/>
      <c r="D144"/>
      <c r="E144"/>
      <c r="F144"/>
      <c r="G144"/>
      <c r="H144"/>
      <c r="I144" s="299"/>
      <c r="J144"/>
      <c r="K144" s="300"/>
      <c r="L144" s="300"/>
      <c r="M144"/>
      <c r="N144"/>
      <c r="Y144"/>
      <c r="Z144"/>
    </row>
    <row r="145" spans="1:26" s="12" customFormat="1" x14ac:dyDescent="0.3">
      <c r="A145"/>
      <c r="B145"/>
      <c r="C145"/>
      <c r="D145"/>
      <c r="E145"/>
      <c r="F145"/>
      <c r="G145"/>
      <c r="H145"/>
      <c r="I145" s="299"/>
      <c r="J145"/>
      <c r="K145" s="300"/>
      <c r="L145" s="300"/>
      <c r="M145"/>
      <c r="N145"/>
      <c r="Y145"/>
      <c r="Z145"/>
    </row>
    <row r="146" spans="1:26" s="12" customFormat="1" x14ac:dyDescent="0.3">
      <c r="A146"/>
      <c r="B146"/>
      <c r="C146"/>
      <c r="D146"/>
      <c r="E146"/>
      <c r="F146"/>
      <c r="G146"/>
      <c r="H146"/>
      <c r="I146" s="299"/>
      <c r="J146"/>
      <c r="K146" s="300"/>
      <c r="L146" s="300"/>
      <c r="M146"/>
      <c r="N146"/>
      <c r="Y146"/>
      <c r="Z146"/>
    </row>
    <row r="147" spans="1:26" s="12" customFormat="1" x14ac:dyDescent="0.3">
      <c r="A147"/>
      <c r="B147"/>
      <c r="C147"/>
      <c r="D147"/>
      <c r="E147"/>
      <c r="F147"/>
      <c r="G147"/>
      <c r="H147"/>
      <c r="I147" s="299"/>
      <c r="J147"/>
      <c r="K147" s="300"/>
      <c r="L147" s="300"/>
      <c r="M147"/>
      <c r="N147"/>
      <c r="Y147"/>
      <c r="Z147"/>
    </row>
    <row r="148" spans="1:26" s="12" customFormat="1" x14ac:dyDescent="0.3">
      <c r="A148"/>
      <c r="B148"/>
      <c r="C148"/>
      <c r="D148"/>
      <c r="E148"/>
      <c r="F148"/>
      <c r="G148"/>
      <c r="H148"/>
      <c r="I148" s="299"/>
      <c r="J148"/>
      <c r="K148" s="300"/>
      <c r="L148" s="300"/>
      <c r="M148"/>
      <c r="N148"/>
      <c r="Y148"/>
      <c r="Z148"/>
    </row>
    <row r="149" spans="1:26" s="12" customFormat="1" x14ac:dyDescent="0.3">
      <c r="A149"/>
      <c r="B149"/>
      <c r="C149"/>
      <c r="D149"/>
      <c r="E149"/>
      <c r="F149"/>
      <c r="G149"/>
      <c r="H149"/>
      <c r="I149" s="299"/>
      <c r="J149"/>
      <c r="K149" s="300"/>
      <c r="L149" s="300"/>
      <c r="M149"/>
      <c r="N149"/>
      <c r="Y149"/>
      <c r="Z149"/>
    </row>
    <row r="150" spans="1:26" s="12" customFormat="1" x14ac:dyDescent="0.3">
      <c r="A150"/>
      <c r="B150"/>
      <c r="C150"/>
      <c r="D150"/>
      <c r="E150"/>
      <c r="F150"/>
      <c r="G150"/>
      <c r="H150"/>
      <c r="I150" s="299"/>
      <c r="J150"/>
      <c r="K150" s="300"/>
      <c r="L150" s="300"/>
      <c r="M150"/>
      <c r="N150"/>
      <c r="Y150"/>
      <c r="Z150"/>
    </row>
    <row r="151" spans="1:26" s="12" customFormat="1" x14ac:dyDescent="0.3">
      <c r="A151"/>
      <c r="B151"/>
      <c r="C151"/>
      <c r="D151"/>
      <c r="E151"/>
      <c r="F151"/>
      <c r="G151"/>
      <c r="H151"/>
      <c r="I151" s="299"/>
      <c r="J151"/>
      <c r="K151" s="300"/>
      <c r="L151" s="300"/>
      <c r="M151"/>
      <c r="N151"/>
      <c r="Y151"/>
      <c r="Z151"/>
    </row>
    <row r="152" spans="1:26" s="12" customFormat="1" x14ac:dyDescent="0.3">
      <c r="A152"/>
      <c r="B152"/>
      <c r="C152"/>
      <c r="D152"/>
      <c r="E152"/>
      <c r="F152"/>
      <c r="G152"/>
      <c r="H152"/>
      <c r="I152" s="299"/>
      <c r="J152"/>
      <c r="K152" s="300"/>
      <c r="L152" s="300"/>
      <c r="M152"/>
      <c r="N152"/>
      <c r="Y152"/>
      <c r="Z152"/>
    </row>
    <row r="153" spans="1:26" s="12" customFormat="1" x14ac:dyDescent="0.3">
      <c r="A153"/>
      <c r="B153"/>
      <c r="C153"/>
      <c r="D153"/>
      <c r="E153"/>
      <c r="F153"/>
      <c r="G153"/>
      <c r="H153"/>
      <c r="I153" s="299"/>
      <c r="J153"/>
      <c r="K153" s="300"/>
      <c r="L153" s="300"/>
      <c r="M153"/>
      <c r="N153"/>
      <c r="Y153"/>
      <c r="Z153"/>
    </row>
    <row r="154" spans="1:26" s="12" customFormat="1" x14ac:dyDescent="0.3">
      <c r="A154"/>
      <c r="B154"/>
      <c r="C154"/>
      <c r="D154"/>
      <c r="E154"/>
      <c r="F154"/>
      <c r="G154"/>
      <c r="H154"/>
      <c r="I154" s="299"/>
      <c r="J154"/>
      <c r="K154" s="300"/>
      <c r="L154" s="300"/>
      <c r="M154"/>
      <c r="N154"/>
      <c r="Y154"/>
      <c r="Z154"/>
    </row>
    <row r="155" spans="1:26" s="12" customFormat="1" x14ac:dyDescent="0.3">
      <c r="A155"/>
      <c r="B155"/>
      <c r="C155"/>
      <c r="D155"/>
      <c r="E155"/>
      <c r="F155"/>
      <c r="G155"/>
      <c r="H155"/>
      <c r="I155" s="299"/>
      <c r="J155"/>
      <c r="K155" s="300"/>
      <c r="L155" s="300"/>
      <c r="M155"/>
      <c r="N155"/>
      <c r="Y155"/>
      <c r="Z155"/>
    </row>
    <row r="156" spans="1:26" s="12" customFormat="1" x14ac:dyDescent="0.3">
      <c r="A156"/>
      <c r="B156"/>
      <c r="C156"/>
      <c r="D156"/>
      <c r="E156"/>
      <c r="F156"/>
      <c r="G156"/>
      <c r="H156"/>
      <c r="I156" s="299"/>
      <c r="J156"/>
      <c r="K156" s="300"/>
      <c r="L156" s="300"/>
      <c r="M156"/>
      <c r="N156"/>
      <c r="Y156"/>
      <c r="Z156"/>
    </row>
    <row r="157" spans="1:26" s="12" customFormat="1" x14ac:dyDescent="0.3">
      <c r="A157"/>
      <c r="B157"/>
      <c r="C157"/>
      <c r="D157"/>
      <c r="E157"/>
      <c r="F157"/>
      <c r="G157"/>
      <c r="H157"/>
      <c r="I157" s="299"/>
      <c r="J157"/>
      <c r="K157" s="300"/>
      <c r="L157" s="300"/>
      <c r="M157"/>
      <c r="N157"/>
      <c r="Y157"/>
      <c r="Z157"/>
    </row>
    <row r="158" spans="1:26" s="12" customFormat="1" x14ac:dyDescent="0.3">
      <c r="A158"/>
      <c r="B158"/>
      <c r="C158"/>
      <c r="D158"/>
      <c r="E158"/>
      <c r="F158"/>
      <c r="G158"/>
      <c r="H158"/>
      <c r="I158" s="299"/>
      <c r="J158"/>
      <c r="K158" s="300"/>
      <c r="L158" s="300"/>
      <c r="M158"/>
      <c r="N158"/>
      <c r="Y158"/>
      <c r="Z158"/>
    </row>
    <row r="159" spans="1:26" s="12" customFormat="1" x14ac:dyDescent="0.3">
      <c r="A159"/>
      <c r="B159"/>
      <c r="C159"/>
      <c r="D159"/>
      <c r="E159"/>
      <c r="F159"/>
      <c r="G159"/>
      <c r="H159"/>
      <c r="I159" s="299"/>
      <c r="J159"/>
      <c r="K159" s="300"/>
      <c r="L159" s="300"/>
      <c r="M159"/>
      <c r="N159"/>
      <c r="Y159"/>
      <c r="Z159"/>
    </row>
    <row r="160" spans="1:26" s="12" customFormat="1" x14ac:dyDescent="0.3">
      <c r="A160"/>
      <c r="B160"/>
      <c r="C160"/>
      <c r="D160"/>
      <c r="E160"/>
      <c r="F160"/>
      <c r="G160"/>
      <c r="H160"/>
      <c r="I160" s="299"/>
      <c r="J160"/>
      <c r="K160" s="300"/>
      <c r="L160" s="300"/>
      <c r="M160"/>
      <c r="N160"/>
      <c r="Y160"/>
      <c r="Z160"/>
    </row>
    <row r="161" spans="1:26" s="12" customFormat="1" x14ac:dyDescent="0.3">
      <c r="A161"/>
      <c r="B161"/>
      <c r="C161"/>
      <c r="D161"/>
      <c r="E161"/>
      <c r="F161"/>
      <c r="G161"/>
      <c r="H161"/>
      <c r="I161" s="299"/>
      <c r="J161"/>
      <c r="K161" s="300"/>
      <c r="L161" s="300"/>
      <c r="M161"/>
      <c r="N161"/>
      <c r="Y161"/>
      <c r="Z161"/>
    </row>
    <row r="162" spans="1:26" s="12" customFormat="1" x14ac:dyDescent="0.3">
      <c r="A162"/>
      <c r="B162"/>
      <c r="C162"/>
      <c r="D162"/>
      <c r="E162"/>
      <c r="F162"/>
      <c r="G162"/>
      <c r="H162"/>
      <c r="I162" s="299"/>
      <c r="J162"/>
      <c r="K162" s="300"/>
      <c r="L162" s="300"/>
      <c r="M162"/>
      <c r="N162"/>
      <c r="Y162"/>
      <c r="Z162"/>
    </row>
    <row r="163" spans="1:26" s="12" customFormat="1" x14ac:dyDescent="0.3">
      <c r="A163"/>
      <c r="B163"/>
      <c r="C163"/>
      <c r="D163"/>
      <c r="E163"/>
      <c r="F163"/>
      <c r="G163"/>
      <c r="H163"/>
      <c r="I163" s="299"/>
      <c r="J163"/>
      <c r="K163" s="300"/>
      <c r="L163" s="300"/>
      <c r="M163"/>
      <c r="N163"/>
      <c r="Y163"/>
      <c r="Z163"/>
    </row>
    <row r="164" spans="1:26" s="12" customFormat="1" x14ac:dyDescent="0.3">
      <c r="A164"/>
      <c r="B164"/>
      <c r="C164"/>
      <c r="D164"/>
      <c r="E164"/>
      <c r="F164"/>
      <c r="G164"/>
      <c r="H164"/>
      <c r="I164" s="299"/>
      <c r="J164"/>
      <c r="K164" s="300"/>
      <c r="L164" s="300"/>
      <c r="M164"/>
      <c r="N164"/>
      <c r="Y164"/>
      <c r="Z164"/>
    </row>
    <row r="165" spans="1:26" s="12" customFormat="1" x14ac:dyDescent="0.3">
      <c r="A165"/>
      <c r="B165"/>
      <c r="C165"/>
      <c r="D165"/>
      <c r="E165"/>
      <c r="F165"/>
      <c r="G165"/>
      <c r="H165"/>
      <c r="I165" s="299"/>
      <c r="J165"/>
      <c r="K165" s="300"/>
      <c r="L165" s="300"/>
      <c r="M165"/>
      <c r="N165"/>
      <c r="Y165"/>
      <c r="Z165"/>
    </row>
    <row r="166" spans="1:26" s="12" customFormat="1" x14ac:dyDescent="0.3">
      <c r="A166"/>
      <c r="B166"/>
      <c r="C166"/>
      <c r="D166"/>
      <c r="E166"/>
      <c r="F166"/>
      <c r="G166"/>
      <c r="H166"/>
      <c r="I166" s="299"/>
      <c r="J166"/>
      <c r="K166" s="300"/>
      <c r="L166" s="300"/>
      <c r="M166"/>
      <c r="N166"/>
      <c r="Y166"/>
      <c r="Z166"/>
    </row>
    <row r="167" spans="1:26" s="12" customFormat="1" x14ac:dyDescent="0.3">
      <c r="A167"/>
      <c r="B167"/>
      <c r="C167"/>
      <c r="D167"/>
      <c r="E167"/>
      <c r="F167"/>
      <c r="G167"/>
      <c r="H167"/>
      <c r="I167" s="299"/>
      <c r="J167"/>
      <c r="K167" s="300"/>
      <c r="L167" s="300"/>
      <c r="M167"/>
      <c r="N167"/>
      <c r="Y167"/>
      <c r="Z167"/>
    </row>
    <row r="168" spans="1:26" s="12" customFormat="1" x14ac:dyDescent="0.3">
      <c r="A168"/>
      <c r="B168"/>
      <c r="C168"/>
      <c r="D168"/>
      <c r="E168"/>
      <c r="F168"/>
      <c r="G168"/>
      <c r="H168"/>
      <c r="I168" s="299"/>
      <c r="J168"/>
      <c r="K168" s="300"/>
      <c r="L168" s="300"/>
      <c r="M168"/>
      <c r="N168"/>
      <c r="Y168"/>
      <c r="Z168"/>
    </row>
    <row r="169" spans="1:26" s="12" customFormat="1" x14ac:dyDescent="0.3">
      <c r="A169"/>
      <c r="B169"/>
      <c r="C169"/>
      <c r="D169"/>
      <c r="E169"/>
      <c r="F169"/>
      <c r="G169"/>
      <c r="H169"/>
      <c r="I169" s="299"/>
      <c r="J169"/>
      <c r="K169" s="300"/>
      <c r="L169" s="300"/>
      <c r="M169"/>
      <c r="N169"/>
      <c r="Y169"/>
      <c r="Z169"/>
    </row>
    <row r="170" spans="1:26" s="12" customFormat="1" x14ac:dyDescent="0.3">
      <c r="A170"/>
      <c r="B170"/>
      <c r="C170"/>
      <c r="D170"/>
      <c r="E170"/>
      <c r="F170"/>
      <c r="G170"/>
      <c r="H170"/>
      <c r="I170" s="299"/>
      <c r="J170"/>
      <c r="K170" s="300"/>
      <c r="L170" s="300"/>
      <c r="M170"/>
      <c r="N170"/>
      <c r="Y170"/>
      <c r="Z170"/>
    </row>
    <row r="171" spans="1:26" s="12" customFormat="1" x14ac:dyDescent="0.3">
      <c r="A171"/>
      <c r="B171"/>
      <c r="C171"/>
      <c r="D171"/>
      <c r="E171"/>
      <c r="F171"/>
      <c r="G171"/>
      <c r="H171"/>
      <c r="I171" s="299"/>
      <c r="J171"/>
      <c r="K171" s="300"/>
      <c r="L171" s="300"/>
      <c r="M171"/>
      <c r="N171"/>
      <c r="Y171"/>
      <c r="Z171"/>
    </row>
    <row r="172" spans="1:26" s="12" customFormat="1" x14ac:dyDescent="0.3">
      <c r="A172"/>
      <c r="B172"/>
      <c r="C172"/>
      <c r="D172"/>
      <c r="E172"/>
      <c r="F172"/>
      <c r="G172"/>
      <c r="H172"/>
      <c r="I172" s="299"/>
      <c r="J172"/>
      <c r="K172" s="300"/>
      <c r="L172" s="300"/>
      <c r="M172"/>
      <c r="N172"/>
      <c r="Y172"/>
      <c r="Z172"/>
    </row>
    <row r="173" spans="1:26" s="12" customFormat="1" x14ac:dyDescent="0.3">
      <c r="A173"/>
      <c r="B173"/>
      <c r="C173"/>
      <c r="D173"/>
      <c r="E173"/>
      <c r="F173"/>
      <c r="G173"/>
      <c r="H173"/>
      <c r="I173" s="299"/>
      <c r="J173"/>
      <c r="K173" s="300"/>
      <c r="L173" s="300"/>
      <c r="M173"/>
      <c r="N173"/>
      <c r="Y173"/>
      <c r="Z173"/>
    </row>
    <row r="174" spans="1:26" s="12" customFormat="1" x14ac:dyDescent="0.3">
      <c r="A174"/>
      <c r="B174"/>
      <c r="C174"/>
      <c r="D174"/>
      <c r="E174"/>
      <c r="F174"/>
      <c r="G174"/>
      <c r="H174"/>
      <c r="I174" s="299"/>
      <c r="J174"/>
      <c r="K174" s="300"/>
      <c r="L174" s="300"/>
      <c r="M174"/>
      <c r="N174"/>
      <c r="Y174"/>
      <c r="Z174"/>
    </row>
    <row r="175" spans="1:26" s="12" customFormat="1" x14ac:dyDescent="0.3">
      <c r="A175"/>
      <c r="B175"/>
      <c r="C175"/>
      <c r="D175"/>
      <c r="E175"/>
      <c r="F175"/>
      <c r="G175"/>
      <c r="H175"/>
      <c r="I175" s="299"/>
      <c r="J175"/>
      <c r="K175" s="300"/>
      <c r="L175" s="300"/>
      <c r="M175"/>
      <c r="N175"/>
      <c r="Y175"/>
      <c r="Z175"/>
    </row>
    <row r="176" spans="1:26" s="12" customFormat="1" x14ac:dyDescent="0.3">
      <c r="A176"/>
      <c r="B176"/>
      <c r="C176"/>
      <c r="D176"/>
      <c r="E176"/>
      <c r="F176"/>
      <c r="G176"/>
      <c r="H176"/>
      <c r="I176" s="299"/>
      <c r="J176"/>
      <c r="K176" s="300"/>
      <c r="L176" s="300"/>
      <c r="M176"/>
      <c r="N176"/>
      <c r="Y176"/>
      <c r="Z176"/>
    </row>
    <row r="177" spans="1:26" s="12" customFormat="1" x14ac:dyDescent="0.3">
      <c r="A177"/>
      <c r="B177"/>
      <c r="C177"/>
      <c r="D177"/>
      <c r="E177"/>
      <c r="F177"/>
      <c r="G177"/>
      <c r="H177"/>
      <c r="I177" s="299"/>
      <c r="J177"/>
      <c r="K177" s="300"/>
      <c r="L177" s="300"/>
      <c r="M177"/>
      <c r="N177"/>
      <c r="Y177"/>
      <c r="Z177"/>
    </row>
    <row r="178" spans="1:26" s="12" customFormat="1" x14ac:dyDescent="0.3">
      <c r="A178"/>
      <c r="B178"/>
      <c r="C178"/>
      <c r="D178"/>
      <c r="E178"/>
      <c r="F178"/>
      <c r="G178"/>
      <c r="H178"/>
      <c r="I178" s="299"/>
      <c r="J178"/>
      <c r="K178" s="300"/>
      <c r="L178" s="300"/>
      <c r="M178"/>
      <c r="N178"/>
      <c r="Y178"/>
      <c r="Z178"/>
    </row>
    <row r="179" spans="1:26" s="12" customFormat="1" x14ac:dyDescent="0.3">
      <c r="A179"/>
      <c r="B179"/>
      <c r="C179"/>
      <c r="D179"/>
      <c r="E179"/>
      <c r="F179"/>
      <c r="G179"/>
      <c r="H179"/>
      <c r="I179" s="299"/>
      <c r="J179"/>
      <c r="K179" s="300"/>
      <c r="L179" s="300"/>
      <c r="M179"/>
      <c r="N179"/>
      <c r="Y179"/>
      <c r="Z179"/>
    </row>
    <row r="180" spans="1:26" s="12" customFormat="1" x14ac:dyDescent="0.3">
      <c r="A180"/>
      <c r="B180"/>
      <c r="C180"/>
      <c r="D180"/>
      <c r="E180"/>
      <c r="F180"/>
      <c r="G180"/>
      <c r="H180"/>
      <c r="I180" s="299"/>
      <c r="J180"/>
      <c r="K180" s="300"/>
      <c r="L180" s="300"/>
      <c r="M180"/>
      <c r="N180"/>
      <c r="Y180"/>
      <c r="Z180"/>
    </row>
    <row r="181" spans="1:26" s="12" customFormat="1" x14ac:dyDescent="0.3">
      <c r="A181"/>
      <c r="B181"/>
      <c r="C181"/>
      <c r="D181"/>
      <c r="E181"/>
      <c r="F181"/>
      <c r="G181"/>
      <c r="H181"/>
      <c r="I181" s="299"/>
      <c r="J181"/>
      <c r="K181" s="300"/>
      <c r="L181" s="300"/>
      <c r="M181"/>
      <c r="N181"/>
      <c r="Y181"/>
      <c r="Z181"/>
    </row>
    <row r="182" spans="1:26" s="12" customFormat="1" x14ac:dyDescent="0.3">
      <c r="A182"/>
      <c r="B182"/>
      <c r="C182"/>
      <c r="D182"/>
      <c r="E182"/>
      <c r="F182"/>
      <c r="G182"/>
      <c r="H182"/>
      <c r="I182" s="299"/>
      <c r="J182"/>
      <c r="K182" s="300"/>
      <c r="L182" s="300"/>
      <c r="M182"/>
      <c r="N182"/>
      <c r="Y182"/>
      <c r="Z182"/>
    </row>
    <row r="183" spans="1:26" s="12" customFormat="1" x14ac:dyDescent="0.3">
      <c r="A183"/>
      <c r="B183"/>
      <c r="C183"/>
      <c r="D183"/>
      <c r="E183"/>
      <c r="F183"/>
      <c r="G183"/>
      <c r="H183"/>
      <c r="I183" s="299"/>
      <c r="J183"/>
      <c r="K183" s="300"/>
      <c r="L183" s="300"/>
      <c r="M183"/>
      <c r="N183"/>
      <c r="Y183"/>
      <c r="Z183"/>
    </row>
    <row r="184" spans="1:26" s="12" customFormat="1" x14ac:dyDescent="0.3">
      <c r="A184"/>
      <c r="B184"/>
      <c r="C184"/>
      <c r="D184"/>
      <c r="E184"/>
      <c r="F184"/>
      <c r="G184"/>
      <c r="H184"/>
      <c r="I184" s="299"/>
      <c r="J184"/>
      <c r="K184" s="300"/>
      <c r="L184" s="300"/>
      <c r="M184"/>
      <c r="N184"/>
      <c r="Y184"/>
      <c r="Z184"/>
    </row>
    <row r="185" spans="1:26" s="12" customFormat="1" x14ac:dyDescent="0.3">
      <c r="A185"/>
      <c r="B185"/>
      <c r="C185"/>
      <c r="D185"/>
      <c r="E185"/>
      <c r="F185"/>
      <c r="G185"/>
      <c r="H185"/>
      <c r="I185" s="299"/>
      <c r="J185"/>
      <c r="K185" s="300"/>
      <c r="L185" s="300"/>
      <c r="M185"/>
      <c r="N185"/>
      <c r="Y185"/>
      <c r="Z185"/>
    </row>
    <row r="186" spans="1:26" s="12" customFormat="1" x14ac:dyDescent="0.3">
      <c r="A186"/>
      <c r="B186"/>
      <c r="C186"/>
      <c r="D186"/>
      <c r="E186"/>
      <c r="F186"/>
      <c r="G186"/>
      <c r="H186"/>
      <c r="I186" s="299"/>
      <c r="J186"/>
      <c r="K186" s="300"/>
      <c r="L186" s="300"/>
      <c r="M186"/>
      <c r="N186"/>
      <c r="Y186"/>
      <c r="Z186"/>
    </row>
    <row r="187" spans="1:26" s="12" customFormat="1" x14ac:dyDescent="0.3">
      <c r="A187"/>
      <c r="B187"/>
      <c r="C187"/>
      <c r="D187"/>
      <c r="E187"/>
      <c r="F187"/>
      <c r="G187"/>
      <c r="H187"/>
      <c r="I187" s="299"/>
      <c r="J187"/>
      <c r="K187" s="300"/>
      <c r="L187" s="300"/>
      <c r="M187"/>
      <c r="N187"/>
      <c r="Y187"/>
      <c r="Z187"/>
    </row>
    <row r="188" spans="1:26" s="12" customFormat="1" x14ac:dyDescent="0.3">
      <c r="A188"/>
      <c r="B188"/>
      <c r="C188"/>
      <c r="D188"/>
      <c r="E188"/>
      <c r="F188"/>
      <c r="G188"/>
      <c r="H188"/>
      <c r="I188" s="299"/>
      <c r="J188"/>
      <c r="K188" s="300"/>
      <c r="L188" s="300"/>
      <c r="M188"/>
      <c r="N188"/>
      <c r="Y188"/>
      <c r="Z188"/>
    </row>
    <row r="189" spans="1:26" s="12" customFormat="1" x14ac:dyDescent="0.3">
      <c r="A189"/>
      <c r="B189"/>
      <c r="C189"/>
      <c r="D189"/>
      <c r="E189"/>
      <c r="F189"/>
      <c r="G189"/>
      <c r="H189"/>
      <c r="I189" s="299"/>
      <c r="J189"/>
      <c r="K189" s="300"/>
      <c r="L189" s="300"/>
      <c r="M189"/>
      <c r="N189"/>
      <c r="Y189"/>
      <c r="Z189"/>
    </row>
    <row r="190" spans="1:26" s="12" customFormat="1" x14ac:dyDescent="0.3">
      <c r="A190"/>
      <c r="B190"/>
      <c r="C190"/>
      <c r="D190"/>
      <c r="E190"/>
      <c r="F190"/>
      <c r="G190"/>
      <c r="H190"/>
      <c r="I190" s="299"/>
      <c r="J190"/>
      <c r="K190" s="300"/>
      <c r="L190" s="300"/>
      <c r="M190"/>
      <c r="N190"/>
      <c r="Y190"/>
      <c r="Z190"/>
    </row>
    <row r="191" spans="1:26" s="12" customFormat="1" x14ac:dyDescent="0.3">
      <c r="A191"/>
      <c r="B191"/>
      <c r="C191"/>
      <c r="D191"/>
      <c r="E191"/>
      <c r="F191"/>
      <c r="G191"/>
      <c r="H191"/>
      <c r="I191" s="299"/>
      <c r="J191"/>
      <c r="K191" s="300"/>
      <c r="L191" s="300"/>
      <c r="M191"/>
      <c r="N191"/>
      <c r="Y191"/>
      <c r="Z191"/>
    </row>
    <row r="192" spans="1:26" s="12" customFormat="1" x14ac:dyDescent="0.3">
      <c r="A192"/>
      <c r="B192"/>
      <c r="C192"/>
      <c r="D192"/>
      <c r="E192"/>
      <c r="F192"/>
      <c r="G192"/>
      <c r="H192"/>
      <c r="I192" s="299"/>
      <c r="J192"/>
      <c r="K192" s="300"/>
      <c r="L192" s="300"/>
      <c r="M192"/>
      <c r="N192"/>
      <c r="Y192"/>
      <c r="Z192"/>
    </row>
    <row r="193" spans="1:26" s="12" customFormat="1" x14ac:dyDescent="0.3">
      <c r="A193"/>
      <c r="B193"/>
      <c r="C193"/>
      <c r="D193"/>
      <c r="E193"/>
      <c r="F193"/>
      <c r="G193"/>
      <c r="H193"/>
      <c r="I193" s="299"/>
      <c r="J193"/>
      <c r="K193" s="300"/>
      <c r="L193" s="300"/>
      <c r="M193"/>
      <c r="N193"/>
      <c r="Y193"/>
      <c r="Z193"/>
    </row>
    <row r="194" spans="1:26" s="12" customFormat="1" x14ac:dyDescent="0.3">
      <c r="A194"/>
      <c r="B194"/>
      <c r="C194"/>
      <c r="D194"/>
      <c r="E194"/>
      <c r="F194"/>
      <c r="G194"/>
      <c r="H194"/>
      <c r="I194" s="299"/>
      <c r="J194"/>
      <c r="K194" s="300"/>
      <c r="L194" s="300"/>
      <c r="M194"/>
      <c r="N194"/>
      <c r="Y194"/>
      <c r="Z194"/>
    </row>
    <row r="195" spans="1:26" s="12" customFormat="1" x14ac:dyDescent="0.3">
      <c r="A195"/>
      <c r="B195"/>
      <c r="C195"/>
      <c r="D195"/>
      <c r="E195"/>
      <c r="F195"/>
      <c r="G195"/>
      <c r="H195"/>
      <c r="I195" s="299"/>
      <c r="J195"/>
      <c r="K195" s="300"/>
      <c r="L195" s="300"/>
      <c r="M195"/>
      <c r="N195"/>
      <c r="Y195"/>
      <c r="Z195"/>
    </row>
    <row r="196" spans="1:26" s="12" customFormat="1" x14ac:dyDescent="0.3">
      <c r="A196"/>
      <c r="B196"/>
      <c r="C196"/>
      <c r="D196"/>
      <c r="E196"/>
      <c r="F196"/>
      <c r="G196"/>
      <c r="H196"/>
      <c r="I196" s="299"/>
      <c r="J196"/>
      <c r="K196" s="300"/>
      <c r="L196" s="300"/>
      <c r="M196"/>
      <c r="N196"/>
      <c r="Y196"/>
      <c r="Z196"/>
    </row>
    <row r="197" spans="1:26" s="12" customFormat="1" x14ac:dyDescent="0.3">
      <c r="A197"/>
      <c r="B197"/>
      <c r="C197"/>
      <c r="D197"/>
      <c r="E197"/>
      <c r="F197"/>
      <c r="G197"/>
      <c r="H197"/>
      <c r="I197" s="299"/>
      <c r="J197"/>
      <c r="K197" s="300"/>
      <c r="L197" s="300"/>
      <c r="M197"/>
      <c r="N197"/>
      <c r="Y197"/>
      <c r="Z197"/>
    </row>
    <row r="198" spans="1:26" s="12" customFormat="1" x14ac:dyDescent="0.3">
      <c r="A198"/>
      <c r="B198"/>
      <c r="C198"/>
      <c r="D198"/>
      <c r="E198"/>
      <c r="F198"/>
      <c r="G198"/>
      <c r="H198"/>
      <c r="I198" s="299"/>
      <c r="J198"/>
      <c r="K198" s="300"/>
      <c r="L198" s="300"/>
      <c r="M198"/>
      <c r="N198"/>
      <c r="Y198"/>
      <c r="Z198"/>
    </row>
    <row r="199" spans="1:26" s="12" customFormat="1" x14ac:dyDescent="0.3">
      <c r="A199"/>
      <c r="B199"/>
      <c r="C199"/>
      <c r="D199"/>
      <c r="E199"/>
      <c r="F199"/>
      <c r="G199"/>
      <c r="H199"/>
      <c r="I199" s="299"/>
      <c r="J199"/>
      <c r="K199" s="300"/>
      <c r="L199" s="300"/>
      <c r="M199"/>
      <c r="N199"/>
      <c r="Y199"/>
      <c r="Z199"/>
    </row>
    <row r="200" spans="1:26" s="12" customFormat="1" x14ac:dyDescent="0.3">
      <c r="A200"/>
      <c r="B200"/>
      <c r="C200"/>
      <c r="D200"/>
      <c r="E200"/>
      <c r="F200"/>
      <c r="G200"/>
      <c r="H200"/>
      <c r="I200" s="299"/>
      <c r="J200"/>
      <c r="K200" s="300"/>
      <c r="L200" s="300"/>
      <c r="M200"/>
      <c r="N200"/>
      <c r="Y200"/>
      <c r="Z200"/>
    </row>
    <row r="201" spans="1:26" s="12" customFormat="1" x14ac:dyDescent="0.3">
      <c r="A201"/>
      <c r="B201"/>
      <c r="C201"/>
      <c r="D201"/>
      <c r="E201"/>
      <c r="F201"/>
      <c r="G201"/>
      <c r="H201"/>
      <c r="I201" s="299"/>
      <c r="J201"/>
      <c r="K201" s="300"/>
      <c r="L201" s="300"/>
      <c r="M201"/>
      <c r="N201"/>
      <c r="Y201"/>
      <c r="Z201"/>
    </row>
    <row r="202" spans="1:26" s="12" customFormat="1" x14ac:dyDescent="0.3">
      <c r="A202"/>
      <c r="B202"/>
      <c r="C202"/>
      <c r="D202"/>
      <c r="E202"/>
      <c r="F202"/>
      <c r="G202"/>
      <c r="H202"/>
      <c r="I202" s="299"/>
      <c r="J202"/>
      <c r="K202" s="300"/>
      <c r="L202" s="300"/>
      <c r="M202"/>
      <c r="N202"/>
      <c r="Y202"/>
      <c r="Z202"/>
    </row>
    <row r="203" spans="1:26" s="12" customFormat="1" x14ac:dyDescent="0.3">
      <c r="A203"/>
      <c r="B203"/>
      <c r="C203"/>
      <c r="D203"/>
      <c r="E203"/>
      <c r="F203"/>
      <c r="G203"/>
      <c r="H203"/>
      <c r="I203" s="299"/>
      <c r="J203"/>
      <c r="K203" s="300"/>
      <c r="L203" s="300"/>
      <c r="M203"/>
      <c r="N203"/>
      <c r="Y203"/>
      <c r="Z203"/>
    </row>
    <row r="204" spans="1:26" s="12" customFormat="1" x14ac:dyDescent="0.3">
      <c r="A204"/>
      <c r="B204"/>
      <c r="C204"/>
      <c r="D204"/>
      <c r="E204"/>
      <c r="F204"/>
      <c r="G204"/>
      <c r="H204"/>
      <c r="I204" s="299"/>
      <c r="J204"/>
      <c r="K204" s="300"/>
      <c r="L204" s="300"/>
      <c r="M204"/>
      <c r="N204"/>
      <c r="Y204"/>
      <c r="Z204"/>
    </row>
    <row r="205" spans="1:26" s="12" customFormat="1" x14ac:dyDescent="0.3">
      <c r="A205"/>
      <c r="B205"/>
      <c r="C205"/>
      <c r="D205"/>
      <c r="E205"/>
      <c r="F205"/>
      <c r="G205"/>
      <c r="H205"/>
      <c r="I205" s="299"/>
      <c r="J205"/>
      <c r="K205" s="300"/>
      <c r="L205" s="300"/>
      <c r="M205"/>
      <c r="N205"/>
      <c r="Y205"/>
      <c r="Z205"/>
    </row>
    <row r="206" spans="1:26" s="12" customFormat="1" x14ac:dyDescent="0.3">
      <c r="A206"/>
      <c r="B206"/>
      <c r="C206"/>
      <c r="D206"/>
      <c r="E206"/>
      <c r="F206"/>
      <c r="G206"/>
      <c r="H206"/>
      <c r="I206" s="299"/>
      <c r="J206"/>
      <c r="K206" s="300"/>
      <c r="L206" s="300"/>
      <c r="M206"/>
      <c r="N206"/>
      <c r="Y206"/>
      <c r="Z206"/>
    </row>
    <row r="207" spans="1:26" s="12" customFormat="1" x14ac:dyDescent="0.3">
      <c r="A207"/>
      <c r="B207"/>
      <c r="C207"/>
      <c r="D207"/>
      <c r="E207"/>
      <c r="F207"/>
      <c r="G207"/>
      <c r="H207"/>
      <c r="I207" s="299"/>
      <c r="J207"/>
      <c r="K207" s="300"/>
      <c r="L207" s="300"/>
      <c r="M207"/>
      <c r="N207"/>
      <c r="Y207"/>
      <c r="Z207"/>
    </row>
    <row r="208" spans="1:26" s="12" customFormat="1" x14ac:dyDescent="0.3">
      <c r="A208"/>
      <c r="B208"/>
      <c r="C208"/>
      <c r="D208"/>
      <c r="E208"/>
      <c r="F208"/>
      <c r="G208"/>
      <c r="H208"/>
      <c r="I208" s="299"/>
      <c r="J208"/>
      <c r="K208" s="300"/>
      <c r="L208" s="300"/>
      <c r="M208"/>
      <c r="N208"/>
      <c r="Y208"/>
      <c r="Z208"/>
    </row>
    <row r="209" spans="1:26" s="12" customFormat="1" x14ac:dyDescent="0.3">
      <c r="A209"/>
      <c r="B209"/>
      <c r="C209"/>
      <c r="D209"/>
      <c r="E209"/>
      <c r="F209"/>
      <c r="G209"/>
      <c r="H209"/>
      <c r="I209" s="299"/>
      <c r="J209"/>
      <c r="K209" s="300"/>
      <c r="L209" s="300"/>
      <c r="M209"/>
      <c r="N209"/>
      <c r="Y209"/>
      <c r="Z209"/>
    </row>
    <row r="210" spans="1:26" s="12" customFormat="1" x14ac:dyDescent="0.3">
      <c r="A210"/>
      <c r="B210"/>
      <c r="C210"/>
      <c r="D210"/>
      <c r="E210"/>
      <c r="F210"/>
      <c r="G210"/>
      <c r="H210"/>
      <c r="I210" s="299"/>
      <c r="J210"/>
      <c r="K210" s="300"/>
      <c r="L210" s="300"/>
      <c r="M210"/>
      <c r="N210"/>
      <c r="Y210"/>
      <c r="Z210"/>
    </row>
    <row r="211" spans="1:26" s="12" customFormat="1" x14ac:dyDescent="0.3">
      <c r="A211"/>
      <c r="B211"/>
      <c r="C211"/>
      <c r="D211"/>
      <c r="E211"/>
      <c r="F211"/>
      <c r="G211"/>
      <c r="H211"/>
      <c r="I211" s="299"/>
      <c r="J211"/>
      <c r="K211" s="300"/>
      <c r="L211" s="300"/>
      <c r="M211"/>
      <c r="N211"/>
      <c r="Y211"/>
      <c r="Z211"/>
    </row>
    <row r="212" spans="1:26" s="12" customFormat="1" x14ac:dyDescent="0.3">
      <c r="A212"/>
      <c r="B212"/>
      <c r="C212"/>
      <c r="D212"/>
      <c r="E212"/>
      <c r="F212"/>
      <c r="G212"/>
      <c r="H212"/>
      <c r="I212" s="299"/>
      <c r="J212"/>
      <c r="K212" s="300"/>
      <c r="L212" s="300"/>
      <c r="M212"/>
      <c r="N212"/>
      <c r="Y212"/>
      <c r="Z212"/>
    </row>
    <row r="213" spans="1:26" s="12" customFormat="1" x14ac:dyDescent="0.3">
      <c r="A213"/>
      <c r="B213"/>
      <c r="C213"/>
      <c r="D213"/>
      <c r="E213"/>
      <c r="F213"/>
      <c r="G213"/>
      <c r="H213"/>
      <c r="I213" s="299"/>
      <c r="J213"/>
      <c r="K213" s="300"/>
      <c r="L213" s="300"/>
      <c r="M213"/>
      <c r="N213"/>
      <c r="Y213"/>
      <c r="Z213"/>
    </row>
    <row r="214" spans="1:26" s="12" customFormat="1" x14ac:dyDescent="0.3">
      <c r="A214"/>
      <c r="B214"/>
      <c r="C214"/>
      <c r="D214"/>
      <c r="E214"/>
      <c r="F214"/>
      <c r="G214"/>
      <c r="H214"/>
      <c r="I214" s="299"/>
      <c r="J214"/>
      <c r="K214" s="300"/>
      <c r="L214" s="300"/>
      <c r="M214"/>
      <c r="N214"/>
      <c r="Y214"/>
      <c r="Z214"/>
    </row>
    <row r="215" spans="1:26" s="12" customFormat="1" x14ac:dyDescent="0.3">
      <c r="A215"/>
      <c r="B215"/>
      <c r="C215"/>
      <c r="D215"/>
      <c r="E215"/>
      <c r="F215"/>
      <c r="G215"/>
      <c r="H215"/>
      <c r="I215" s="299"/>
      <c r="J215"/>
      <c r="K215" s="300"/>
      <c r="L215" s="300"/>
      <c r="M215"/>
      <c r="N215"/>
      <c r="Y215"/>
      <c r="Z215"/>
    </row>
    <row r="216" spans="1:26" s="12" customFormat="1" x14ac:dyDescent="0.3">
      <c r="A216"/>
      <c r="B216"/>
      <c r="C216"/>
      <c r="D216"/>
      <c r="E216"/>
      <c r="F216"/>
      <c r="G216"/>
      <c r="H216"/>
      <c r="I216" s="299"/>
      <c r="J216"/>
      <c r="K216" s="300"/>
      <c r="L216" s="300"/>
      <c r="M216"/>
      <c r="N216"/>
      <c r="Y216"/>
      <c r="Z216"/>
    </row>
    <row r="217" spans="1:26" s="12" customFormat="1" x14ac:dyDescent="0.3">
      <c r="A217"/>
      <c r="B217"/>
      <c r="C217"/>
      <c r="D217"/>
      <c r="E217"/>
      <c r="F217"/>
      <c r="G217"/>
      <c r="H217"/>
      <c r="I217" s="299"/>
      <c r="J217"/>
      <c r="K217" s="300"/>
      <c r="L217" s="300"/>
      <c r="M217"/>
      <c r="N217"/>
      <c r="Y217"/>
      <c r="Z217"/>
    </row>
    <row r="218" spans="1:26" s="12" customFormat="1" x14ac:dyDescent="0.3">
      <c r="A218"/>
      <c r="B218"/>
      <c r="C218"/>
      <c r="D218"/>
      <c r="E218"/>
      <c r="F218"/>
      <c r="G218"/>
      <c r="H218"/>
      <c r="I218" s="299"/>
      <c r="J218"/>
      <c r="K218" s="300"/>
      <c r="L218" s="300"/>
      <c r="M218"/>
      <c r="N218"/>
      <c r="Y218"/>
      <c r="Z218"/>
    </row>
    <row r="219" spans="1:26" s="12" customFormat="1" x14ac:dyDescent="0.3">
      <c r="A219"/>
      <c r="B219"/>
      <c r="C219"/>
      <c r="D219"/>
      <c r="E219"/>
      <c r="F219"/>
      <c r="G219"/>
      <c r="H219"/>
      <c r="I219" s="299"/>
      <c r="J219"/>
      <c r="K219" s="300"/>
      <c r="L219" s="300"/>
      <c r="M219"/>
      <c r="N219"/>
      <c r="Y219"/>
      <c r="Z219"/>
    </row>
    <row r="220" spans="1:26" s="12" customFormat="1" x14ac:dyDescent="0.3">
      <c r="A220"/>
      <c r="B220"/>
      <c r="C220"/>
      <c r="D220"/>
      <c r="E220"/>
      <c r="F220"/>
      <c r="G220"/>
      <c r="H220"/>
      <c r="I220" s="299"/>
      <c r="J220"/>
      <c r="K220" s="300"/>
      <c r="L220" s="300"/>
      <c r="M220"/>
      <c r="N220"/>
      <c r="Y220"/>
      <c r="Z220"/>
    </row>
    <row r="221" spans="1:26" s="12" customFormat="1" x14ac:dyDescent="0.3">
      <c r="A221"/>
      <c r="B221"/>
      <c r="C221"/>
      <c r="D221"/>
      <c r="E221"/>
      <c r="F221"/>
      <c r="G221"/>
      <c r="H221"/>
      <c r="I221" s="299"/>
      <c r="J221"/>
      <c r="K221" s="300"/>
      <c r="L221" s="300"/>
      <c r="M221"/>
      <c r="N221"/>
      <c r="Y221"/>
      <c r="Z221"/>
    </row>
    <row r="222" spans="1:26" s="12" customFormat="1" x14ac:dyDescent="0.3">
      <c r="A222"/>
      <c r="B222"/>
      <c r="C222"/>
      <c r="D222"/>
      <c r="E222"/>
      <c r="F222"/>
      <c r="G222"/>
      <c r="H222"/>
      <c r="I222" s="299"/>
      <c r="J222"/>
      <c r="K222" s="300"/>
      <c r="L222" s="300"/>
      <c r="M222"/>
      <c r="N222"/>
      <c r="Y222"/>
      <c r="Z222"/>
    </row>
    <row r="223" spans="1:26" s="12" customFormat="1" x14ac:dyDescent="0.3">
      <c r="A223"/>
      <c r="B223"/>
      <c r="C223"/>
      <c r="D223"/>
      <c r="E223"/>
      <c r="F223"/>
      <c r="G223"/>
      <c r="H223"/>
      <c r="I223" s="299"/>
      <c r="J223"/>
      <c r="K223" s="300"/>
      <c r="L223" s="300"/>
      <c r="M223"/>
      <c r="N223"/>
      <c r="Y223"/>
      <c r="Z223"/>
    </row>
    <row r="224" spans="1:26" s="12" customFormat="1" x14ac:dyDescent="0.3">
      <c r="A224"/>
      <c r="B224"/>
      <c r="C224"/>
      <c r="D224"/>
      <c r="E224"/>
      <c r="F224"/>
      <c r="G224"/>
      <c r="H224"/>
      <c r="I224" s="299"/>
      <c r="J224"/>
      <c r="K224" s="300"/>
      <c r="L224" s="300"/>
      <c r="M224"/>
      <c r="N224"/>
      <c r="Y224"/>
      <c r="Z224"/>
    </row>
    <row r="225" spans="1:26" s="12" customFormat="1" x14ac:dyDescent="0.3">
      <c r="A225"/>
      <c r="B225"/>
      <c r="C225"/>
      <c r="D225"/>
      <c r="E225"/>
      <c r="F225"/>
      <c r="G225"/>
      <c r="H225"/>
      <c r="I225" s="299"/>
      <c r="J225"/>
      <c r="K225" s="300"/>
      <c r="L225" s="300"/>
      <c r="M225"/>
      <c r="N225"/>
      <c r="Y225"/>
      <c r="Z225"/>
    </row>
    <row r="226" spans="1:26" s="12" customFormat="1" x14ac:dyDescent="0.3">
      <c r="A226"/>
      <c r="B226"/>
      <c r="C226"/>
      <c r="D226"/>
      <c r="E226"/>
      <c r="F226"/>
      <c r="G226"/>
      <c r="H226"/>
      <c r="I226" s="299"/>
      <c r="J226"/>
      <c r="K226" s="300"/>
      <c r="L226" s="300"/>
      <c r="M226"/>
      <c r="N226"/>
      <c r="Y226"/>
      <c r="Z226"/>
    </row>
    <row r="227" spans="1:26" s="12" customFormat="1" x14ac:dyDescent="0.3">
      <c r="A227"/>
      <c r="B227"/>
      <c r="C227"/>
      <c r="D227"/>
      <c r="E227"/>
      <c r="F227"/>
      <c r="G227"/>
      <c r="H227"/>
      <c r="I227" s="299"/>
      <c r="J227"/>
      <c r="K227" s="300"/>
      <c r="L227" s="300"/>
      <c r="M227"/>
      <c r="N227"/>
      <c r="Y227"/>
      <c r="Z227"/>
    </row>
    <row r="228" spans="1:26" s="12" customFormat="1" x14ac:dyDescent="0.3">
      <c r="A228"/>
      <c r="B228"/>
      <c r="C228"/>
      <c r="D228"/>
      <c r="E228"/>
      <c r="F228"/>
      <c r="G228"/>
      <c r="H228"/>
      <c r="I228" s="299"/>
      <c r="J228"/>
      <c r="K228" s="300"/>
      <c r="L228" s="300"/>
      <c r="M228"/>
      <c r="N228"/>
      <c r="Y228"/>
      <c r="Z228"/>
    </row>
    <row r="229" spans="1:26" x14ac:dyDescent="0.3">
      <c r="A229"/>
      <c r="C229"/>
      <c r="D229"/>
      <c r="F229"/>
      <c r="G229"/>
      <c r="I229" s="299"/>
      <c r="K229" s="300"/>
      <c r="L229" s="300"/>
    </row>
    <row r="230" spans="1:26" s="12" customFormat="1" x14ac:dyDescent="0.3">
      <c r="A230"/>
      <c r="B230"/>
      <c r="C230"/>
      <c r="D230"/>
      <c r="E230"/>
      <c r="F230"/>
      <c r="G230"/>
      <c r="H230"/>
      <c r="I230" s="299"/>
      <c r="J230"/>
      <c r="K230" s="300"/>
      <c r="L230" s="300"/>
      <c r="M230"/>
      <c r="N230"/>
      <c r="Y230"/>
      <c r="Z230"/>
    </row>
    <row r="231" spans="1:26" s="12" customFormat="1" x14ac:dyDescent="0.3">
      <c r="A231"/>
      <c r="B231"/>
      <c r="C231"/>
      <c r="D231"/>
      <c r="E231"/>
      <c r="F231"/>
      <c r="G231"/>
      <c r="H231"/>
      <c r="I231" s="299"/>
      <c r="J231"/>
      <c r="K231" s="300"/>
      <c r="L231" s="300"/>
      <c r="M231"/>
      <c r="N231"/>
      <c r="Y231"/>
      <c r="Z231"/>
    </row>
    <row r="232" spans="1:26" s="12" customFormat="1" x14ac:dyDescent="0.3">
      <c r="A232"/>
      <c r="B232"/>
      <c r="C232"/>
      <c r="D232"/>
      <c r="E232"/>
      <c r="F232"/>
      <c r="G232"/>
      <c r="H232"/>
      <c r="I232" s="299"/>
      <c r="J232"/>
      <c r="K232" s="300"/>
      <c r="L232" s="300"/>
      <c r="M232"/>
      <c r="N232"/>
      <c r="Y232"/>
      <c r="Z232"/>
    </row>
    <row r="233" spans="1:26" s="12" customFormat="1" x14ac:dyDescent="0.3">
      <c r="A233"/>
      <c r="B233"/>
      <c r="C233"/>
      <c r="D233"/>
      <c r="E233"/>
      <c r="F233"/>
      <c r="G233"/>
      <c r="H233"/>
      <c r="I233" s="299"/>
      <c r="J233"/>
      <c r="K233" s="300"/>
      <c r="L233" s="300"/>
      <c r="M233"/>
      <c r="N233"/>
      <c r="Y233"/>
      <c r="Z233"/>
    </row>
    <row r="234" spans="1:26" s="12" customFormat="1" x14ac:dyDescent="0.3">
      <c r="A234"/>
      <c r="B234"/>
      <c r="C234"/>
      <c r="D234"/>
      <c r="E234"/>
      <c r="F234"/>
      <c r="G234"/>
      <c r="H234"/>
      <c r="I234" s="299"/>
      <c r="J234"/>
      <c r="K234" s="300"/>
      <c r="L234" s="300"/>
      <c r="M234"/>
      <c r="N234"/>
      <c r="Y234"/>
      <c r="Z234"/>
    </row>
    <row r="235" spans="1:26" s="12" customFormat="1" x14ac:dyDescent="0.3">
      <c r="A235"/>
      <c r="B235"/>
      <c r="C235"/>
      <c r="D235"/>
      <c r="E235"/>
      <c r="F235"/>
      <c r="G235"/>
      <c r="H235"/>
      <c r="I235" s="299"/>
      <c r="J235"/>
      <c r="K235" s="300"/>
      <c r="L235" s="300"/>
      <c r="M235"/>
      <c r="N235"/>
      <c r="Y235"/>
      <c r="Z235"/>
    </row>
    <row r="236" spans="1:26" s="12" customFormat="1" x14ac:dyDescent="0.3">
      <c r="A236"/>
      <c r="B236"/>
      <c r="C236"/>
      <c r="D236"/>
      <c r="E236"/>
      <c r="F236"/>
      <c r="G236"/>
      <c r="H236"/>
      <c r="I236" s="299"/>
      <c r="J236"/>
      <c r="K236" s="300"/>
      <c r="L236" s="300"/>
      <c r="M236"/>
      <c r="N236"/>
      <c r="Y236"/>
      <c r="Z236"/>
    </row>
    <row r="237" spans="1:26" s="12" customFormat="1" x14ac:dyDescent="0.3">
      <c r="A237"/>
      <c r="B237"/>
      <c r="C237"/>
      <c r="D237"/>
      <c r="E237"/>
      <c r="F237"/>
      <c r="G237"/>
      <c r="H237"/>
      <c r="I237" s="299"/>
      <c r="J237"/>
      <c r="K237" s="300"/>
      <c r="L237" s="300"/>
      <c r="M237"/>
      <c r="N237"/>
      <c r="Y237"/>
      <c r="Z237"/>
    </row>
    <row r="238" spans="1:26" s="12" customFormat="1" x14ac:dyDescent="0.3">
      <c r="A238"/>
      <c r="B238"/>
      <c r="C238"/>
      <c r="D238"/>
      <c r="E238"/>
      <c r="F238"/>
      <c r="G238"/>
      <c r="H238"/>
      <c r="I238" s="299"/>
      <c r="J238"/>
      <c r="K238" s="300"/>
      <c r="L238" s="300"/>
      <c r="M238"/>
      <c r="N238"/>
      <c r="Y238"/>
      <c r="Z238"/>
    </row>
    <row r="239" spans="1:26" s="12" customFormat="1" x14ac:dyDescent="0.3">
      <c r="A239"/>
      <c r="B239"/>
      <c r="C239"/>
      <c r="D239"/>
      <c r="E239"/>
      <c r="F239"/>
      <c r="G239"/>
      <c r="H239"/>
      <c r="I239" s="299"/>
      <c r="J239"/>
      <c r="K239" s="300"/>
      <c r="L239" s="300"/>
      <c r="M239"/>
      <c r="N239"/>
      <c r="Y239"/>
      <c r="Z239"/>
    </row>
    <row r="240" spans="1:26" s="12" customFormat="1" x14ac:dyDescent="0.3">
      <c r="A240"/>
      <c r="B240"/>
      <c r="C240"/>
      <c r="D240"/>
      <c r="E240"/>
      <c r="F240"/>
      <c r="G240"/>
      <c r="H240"/>
      <c r="I240" s="299"/>
      <c r="J240"/>
      <c r="K240" s="300"/>
      <c r="L240" s="300"/>
      <c r="M240"/>
      <c r="N240"/>
      <c r="Y240"/>
      <c r="Z240"/>
    </row>
    <row r="241" spans="1:16384" s="12" customFormat="1" x14ac:dyDescent="0.3">
      <c r="A241"/>
      <c r="B241"/>
      <c r="C241"/>
      <c r="D241"/>
      <c r="E241"/>
      <c r="F241"/>
      <c r="G241"/>
      <c r="H241"/>
      <c r="I241" s="299"/>
      <c r="J241"/>
      <c r="K241" s="300"/>
      <c r="L241" s="300"/>
      <c r="M241"/>
      <c r="N241"/>
      <c r="Y241"/>
      <c r="Z241"/>
    </row>
    <row r="242" spans="1:16384" s="12" customFormat="1" x14ac:dyDescent="0.3">
      <c r="A242"/>
      <c r="B242"/>
      <c r="C242"/>
      <c r="D242"/>
      <c r="E242"/>
      <c r="F242"/>
      <c r="G242"/>
      <c r="H242"/>
      <c r="I242" s="299"/>
      <c r="J242"/>
      <c r="K242" s="300"/>
      <c r="L242" s="300"/>
      <c r="M242"/>
      <c r="N242"/>
      <c r="Y242"/>
      <c r="Z242"/>
    </row>
    <row r="243" spans="1:16384" s="12" customFormat="1" x14ac:dyDescent="0.3">
      <c r="A243"/>
      <c r="B243"/>
      <c r="C243"/>
      <c r="D243"/>
      <c r="E243"/>
      <c r="F243"/>
      <c r="G243"/>
      <c r="H243"/>
      <c r="I243" s="299"/>
      <c r="J243"/>
      <c r="K243" s="300"/>
      <c r="L243" s="300"/>
      <c r="M243"/>
      <c r="N243"/>
      <c r="Y243"/>
      <c r="Z243"/>
    </row>
    <row r="244" spans="1:16384" s="12" customFormat="1" x14ac:dyDescent="0.3">
      <c r="A244"/>
      <c r="B244"/>
      <c r="C244"/>
      <c r="D244"/>
      <c r="E244"/>
      <c r="F244"/>
      <c r="G244"/>
      <c r="H244"/>
      <c r="I244" s="299"/>
      <c r="J244"/>
      <c r="K244" s="300"/>
      <c r="L244" s="300"/>
      <c r="M244"/>
      <c r="N244"/>
      <c r="Y244"/>
      <c r="Z244"/>
    </row>
    <row r="245" spans="1:16384" s="12" customFormat="1" x14ac:dyDescent="0.3">
      <c r="A245"/>
      <c r="B245"/>
      <c r="C245"/>
      <c r="D245"/>
      <c r="E245"/>
      <c r="F245"/>
      <c r="G245"/>
      <c r="H245"/>
      <c r="I245" s="299"/>
      <c r="J245"/>
      <c r="K245" s="300"/>
      <c r="L245" s="300"/>
      <c r="M245"/>
      <c r="N245"/>
      <c r="Y245"/>
      <c r="Z245"/>
    </row>
    <row r="246" spans="1:16384" s="12" customFormat="1" x14ac:dyDescent="0.3">
      <c r="A246"/>
      <c r="B246"/>
      <c r="C246"/>
      <c r="D246"/>
      <c r="E246"/>
      <c r="F246"/>
      <c r="G246"/>
      <c r="H246"/>
      <c r="I246" s="299"/>
      <c r="J246"/>
      <c r="K246" s="300"/>
      <c r="L246" s="300"/>
      <c r="M246"/>
      <c r="N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  <c r="RV246"/>
      <c r="RW246"/>
      <c r="RX246"/>
      <c r="RY246"/>
      <c r="RZ246"/>
      <c r="SA246"/>
      <c r="SB246"/>
      <c r="SC246"/>
      <c r="SD246"/>
      <c r="SE246"/>
      <c r="SF246"/>
      <c r="SG246"/>
      <c r="SH246"/>
      <c r="SI246"/>
      <c r="SJ246"/>
      <c r="SK246"/>
      <c r="SL246"/>
      <c r="SM246"/>
      <c r="SN246"/>
      <c r="SO246"/>
      <c r="SP246"/>
      <c r="SQ246"/>
      <c r="SR246"/>
      <c r="SS246"/>
      <c r="ST246"/>
      <c r="SU246"/>
      <c r="SV246"/>
      <c r="SW246"/>
      <c r="SX246"/>
      <c r="SY246"/>
      <c r="SZ246"/>
      <c r="TA246"/>
      <c r="TB246"/>
      <c r="TC246"/>
      <c r="TD246"/>
      <c r="TE246"/>
      <c r="TF246"/>
      <c r="TG246"/>
      <c r="TH246"/>
      <c r="TI246"/>
      <c r="TJ246"/>
      <c r="TK246"/>
      <c r="TL246"/>
      <c r="TM246"/>
      <c r="TN246"/>
      <c r="TO246"/>
      <c r="TP246"/>
      <c r="TQ246"/>
      <c r="TR246"/>
      <c r="TS246"/>
      <c r="TT246"/>
      <c r="TU246"/>
      <c r="TV246"/>
      <c r="TW246"/>
      <c r="TX246"/>
      <c r="TY246"/>
      <c r="TZ246"/>
      <c r="UA246"/>
      <c r="UB246"/>
      <c r="UC246"/>
      <c r="UD246"/>
      <c r="UE246"/>
      <c r="UF246"/>
      <c r="UG246"/>
      <c r="UH246"/>
      <c r="UI246"/>
      <c r="UJ246"/>
      <c r="UK246"/>
      <c r="UL246"/>
      <c r="UM246"/>
      <c r="UN246"/>
      <c r="UO246"/>
      <c r="UP246"/>
      <c r="UQ246"/>
      <c r="UR246"/>
      <c r="US246"/>
      <c r="UT246"/>
      <c r="UU246"/>
      <c r="UV246"/>
      <c r="UW246"/>
      <c r="UX246"/>
      <c r="UY246"/>
      <c r="UZ246"/>
      <c r="VA246"/>
      <c r="VB246"/>
      <c r="VC246"/>
      <c r="VD246"/>
      <c r="VE246"/>
      <c r="VF246"/>
      <c r="VG246"/>
      <c r="VH246"/>
      <c r="VI246"/>
      <c r="VJ246"/>
      <c r="VK246"/>
      <c r="VL246"/>
      <c r="VM246"/>
      <c r="VN246"/>
      <c r="VO246"/>
      <c r="VP246"/>
      <c r="VQ246"/>
      <c r="VR246"/>
      <c r="VS246"/>
      <c r="VT246"/>
      <c r="VU246"/>
      <c r="VV246"/>
      <c r="VW246"/>
      <c r="VX246"/>
      <c r="VY246"/>
      <c r="VZ246"/>
      <c r="WA246"/>
      <c r="WB246"/>
      <c r="WC246"/>
      <c r="WD246"/>
      <c r="WE246"/>
      <c r="WF246"/>
      <c r="WG246"/>
      <c r="WH246"/>
      <c r="WI246"/>
      <c r="WJ246"/>
      <c r="WK246"/>
      <c r="WL246"/>
      <c r="WM246"/>
      <c r="WN246"/>
      <c r="WO246"/>
      <c r="WP246"/>
      <c r="WQ246"/>
      <c r="WR246"/>
      <c r="WS246"/>
      <c r="WT246"/>
      <c r="WU246"/>
      <c r="WV246"/>
      <c r="WW246"/>
      <c r="WX246"/>
      <c r="WY246"/>
      <c r="WZ246"/>
      <c r="XA246"/>
      <c r="XB246"/>
      <c r="XC246"/>
      <c r="XD246"/>
      <c r="XE246"/>
      <c r="XF246"/>
      <c r="XG246"/>
      <c r="XH246"/>
      <c r="XI246"/>
      <c r="XJ246"/>
      <c r="XK246"/>
      <c r="XL246"/>
      <c r="XM246"/>
      <c r="XN246"/>
      <c r="XO246"/>
      <c r="XP246"/>
      <c r="XQ246"/>
      <c r="XR246"/>
      <c r="XS246"/>
      <c r="XT246"/>
      <c r="XU246"/>
      <c r="XV246"/>
      <c r="XW246"/>
      <c r="XX246"/>
      <c r="XY246"/>
      <c r="XZ246"/>
      <c r="YA246"/>
      <c r="YB246"/>
      <c r="YC246"/>
      <c r="YD246"/>
      <c r="YE246"/>
      <c r="YF246"/>
      <c r="YG246"/>
      <c r="YH246"/>
      <c r="YI246"/>
      <c r="YJ246"/>
      <c r="YK246"/>
      <c r="YL246"/>
      <c r="YM246"/>
      <c r="YN246"/>
      <c r="YO246"/>
      <c r="YP246"/>
      <c r="YQ246"/>
      <c r="YR246"/>
      <c r="YS246"/>
      <c r="YT246"/>
      <c r="YU246"/>
      <c r="YV246"/>
      <c r="YW246"/>
      <c r="YX246"/>
      <c r="YY246"/>
      <c r="YZ246"/>
      <c r="ZA246"/>
      <c r="ZB246"/>
      <c r="ZC246"/>
      <c r="ZD246"/>
      <c r="ZE246"/>
      <c r="ZF246"/>
      <c r="ZG246"/>
      <c r="ZH246"/>
      <c r="ZI246"/>
      <c r="ZJ246"/>
      <c r="ZK246"/>
      <c r="ZL246"/>
      <c r="ZM246"/>
      <c r="ZN246"/>
      <c r="ZO246"/>
      <c r="ZP246"/>
      <c r="ZQ246"/>
      <c r="ZR246"/>
      <c r="ZS246"/>
      <c r="ZT246"/>
      <c r="ZU246"/>
      <c r="ZV246"/>
      <c r="ZW246"/>
      <c r="ZX246"/>
      <c r="ZY246"/>
      <c r="ZZ246"/>
      <c r="AAA246"/>
      <c r="AAB246"/>
      <c r="AAC246"/>
      <c r="AAD246"/>
      <c r="AAE246"/>
      <c r="AAF246"/>
      <c r="AAG246"/>
      <c r="AAH246"/>
      <c r="AAI246"/>
      <c r="AAJ246"/>
      <c r="AAK246"/>
      <c r="AAL246"/>
      <c r="AAM246"/>
      <c r="AAN246"/>
      <c r="AAO246"/>
      <c r="AAP246"/>
      <c r="AAQ246"/>
      <c r="AAR246"/>
      <c r="AAS246"/>
      <c r="AAT246"/>
      <c r="AAU246"/>
      <c r="AAV246"/>
      <c r="AAW246"/>
      <c r="AAX246"/>
      <c r="AAY246"/>
      <c r="AAZ246"/>
      <c r="ABA246"/>
      <c r="ABB246"/>
      <c r="ABC246"/>
      <c r="ABD246"/>
      <c r="ABE246"/>
      <c r="ABF246"/>
      <c r="ABG246"/>
      <c r="ABH246"/>
      <c r="ABI246"/>
      <c r="ABJ246"/>
      <c r="ABK246"/>
      <c r="ABL246"/>
      <c r="ABM246"/>
      <c r="ABN246"/>
      <c r="ABO246"/>
      <c r="ABP246"/>
      <c r="ABQ246"/>
      <c r="ABR246"/>
      <c r="ABS246"/>
      <c r="ABT246"/>
      <c r="ABU246"/>
      <c r="ABV246"/>
      <c r="ABW246"/>
      <c r="ABX246"/>
      <c r="ABY246"/>
      <c r="ABZ246"/>
      <c r="ACA246"/>
      <c r="ACB246"/>
      <c r="ACC246"/>
      <c r="ACD246"/>
      <c r="ACE246"/>
      <c r="ACF246"/>
      <c r="ACG246"/>
      <c r="ACH246"/>
      <c r="ACI246"/>
      <c r="ACJ246"/>
      <c r="ACK246"/>
      <c r="ACL246"/>
      <c r="ACM246"/>
      <c r="ACN246"/>
      <c r="ACO246"/>
      <c r="ACP246"/>
      <c r="ACQ246"/>
      <c r="ACR246"/>
      <c r="ACS246"/>
      <c r="ACT246"/>
      <c r="ACU246"/>
      <c r="ACV246"/>
      <c r="ACW246"/>
      <c r="ACX246"/>
      <c r="ACY246"/>
      <c r="ACZ246"/>
      <c r="ADA246"/>
      <c r="ADB246"/>
      <c r="ADC246"/>
      <c r="ADD246"/>
      <c r="ADE246"/>
      <c r="ADF246"/>
      <c r="ADG246"/>
      <c r="ADH246"/>
      <c r="ADI246"/>
      <c r="ADJ246"/>
      <c r="ADK246"/>
      <c r="ADL246"/>
      <c r="ADM246"/>
      <c r="ADN246"/>
      <c r="ADO246"/>
      <c r="ADP246"/>
      <c r="ADQ246"/>
      <c r="ADR246"/>
      <c r="ADS246"/>
      <c r="ADT246"/>
      <c r="ADU246"/>
      <c r="ADV246"/>
      <c r="ADW246"/>
      <c r="ADX246"/>
      <c r="ADY246"/>
      <c r="ADZ246"/>
      <c r="AEA246"/>
      <c r="AEB246"/>
      <c r="AEC246"/>
      <c r="AED246"/>
      <c r="AEE246"/>
      <c r="AEF246"/>
      <c r="AEG246"/>
      <c r="AEH246"/>
      <c r="AEI246"/>
      <c r="AEJ246"/>
      <c r="AEK246"/>
      <c r="AEL246"/>
      <c r="AEM246"/>
      <c r="AEN246"/>
      <c r="AEO246"/>
      <c r="AEP246"/>
      <c r="AEQ246"/>
      <c r="AER246"/>
      <c r="AES246"/>
      <c r="AET246"/>
      <c r="AEU246"/>
      <c r="AEV246"/>
      <c r="AEW246"/>
      <c r="AEX246"/>
      <c r="AEY246"/>
      <c r="AEZ246"/>
      <c r="AFA246"/>
      <c r="AFB246"/>
      <c r="AFC246"/>
      <c r="AFD246"/>
      <c r="AFE246"/>
      <c r="AFF246"/>
      <c r="AFG246"/>
      <c r="AFH246"/>
      <c r="AFI246"/>
      <c r="AFJ246"/>
      <c r="AFK246"/>
      <c r="AFL246"/>
      <c r="AFM246"/>
      <c r="AFN246"/>
      <c r="AFO246"/>
      <c r="AFP246"/>
      <c r="AFQ246"/>
      <c r="AFR246"/>
      <c r="AFS246"/>
      <c r="AFT246"/>
      <c r="AFU246"/>
      <c r="AFV246"/>
      <c r="AFW246"/>
      <c r="AFX246"/>
      <c r="AFY246"/>
      <c r="AFZ246"/>
      <c r="AGA246"/>
      <c r="AGB246"/>
      <c r="AGC246"/>
      <c r="AGD246"/>
      <c r="AGE246"/>
      <c r="AGF246"/>
      <c r="AGG246"/>
      <c r="AGH246"/>
      <c r="AGI246"/>
      <c r="AGJ246"/>
      <c r="AGK246"/>
      <c r="AGL246"/>
      <c r="AGM246"/>
      <c r="AGN246"/>
      <c r="AGO246"/>
      <c r="AGP246"/>
      <c r="AGQ246"/>
      <c r="AGR246"/>
      <c r="AGS246"/>
      <c r="AGT246"/>
      <c r="AGU246"/>
      <c r="AGV246"/>
      <c r="AGW246"/>
      <c r="AGX246"/>
      <c r="AGY246"/>
      <c r="AGZ246"/>
      <c r="AHA246"/>
      <c r="AHB246"/>
      <c r="AHC246"/>
      <c r="AHD246"/>
      <c r="AHE246"/>
      <c r="AHF246"/>
      <c r="AHG246"/>
      <c r="AHH246"/>
      <c r="AHI246"/>
      <c r="AHJ246"/>
      <c r="AHK246"/>
      <c r="AHL246"/>
      <c r="AHM246"/>
      <c r="AHN246"/>
      <c r="AHO246"/>
      <c r="AHP246"/>
      <c r="AHQ246"/>
      <c r="AHR246"/>
      <c r="AHS246"/>
      <c r="AHT246"/>
      <c r="AHU246"/>
      <c r="AHV246"/>
      <c r="AHW246"/>
      <c r="AHX246"/>
      <c r="AHY246"/>
      <c r="AHZ246"/>
      <c r="AIA246"/>
      <c r="AIB246"/>
      <c r="AIC246"/>
      <c r="AID246"/>
      <c r="AIE246"/>
      <c r="AIF246"/>
      <c r="AIG246"/>
      <c r="AIH246"/>
      <c r="AII246"/>
      <c r="AIJ246"/>
      <c r="AIK246"/>
      <c r="AIL246"/>
      <c r="AIM246"/>
      <c r="AIN246"/>
      <c r="AIO246"/>
      <c r="AIP246"/>
      <c r="AIQ246"/>
      <c r="AIR246"/>
      <c r="AIS246"/>
      <c r="AIT246"/>
      <c r="AIU246"/>
      <c r="AIV246"/>
      <c r="AIW246"/>
      <c r="AIX246"/>
      <c r="AIY246"/>
      <c r="AIZ246"/>
      <c r="AJA246"/>
      <c r="AJB246"/>
      <c r="AJC246"/>
      <c r="AJD246"/>
      <c r="AJE246"/>
      <c r="AJF246"/>
      <c r="AJG246"/>
      <c r="AJH246"/>
      <c r="AJI246"/>
      <c r="AJJ246"/>
      <c r="AJK246"/>
      <c r="AJL246"/>
      <c r="AJM246"/>
      <c r="AJN246"/>
      <c r="AJO246"/>
      <c r="AJP246"/>
      <c r="AJQ246"/>
      <c r="AJR246"/>
      <c r="AJS246"/>
      <c r="AJT246"/>
      <c r="AJU246"/>
      <c r="AJV246"/>
      <c r="AJW246"/>
      <c r="AJX246"/>
      <c r="AJY246"/>
      <c r="AJZ246"/>
      <c r="AKA246"/>
      <c r="AKB246"/>
      <c r="AKC246"/>
      <c r="AKD246"/>
      <c r="AKE246"/>
      <c r="AKF246"/>
      <c r="AKG246"/>
      <c r="AKH246"/>
      <c r="AKI246"/>
      <c r="AKJ246"/>
      <c r="AKK246"/>
      <c r="AKL246"/>
      <c r="AKM246"/>
      <c r="AKN246"/>
      <c r="AKO246"/>
      <c r="AKP246"/>
      <c r="AKQ246"/>
      <c r="AKR246"/>
      <c r="AKS246"/>
      <c r="AKT246"/>
      <c r="AKU246"/>
      <c r="AKV246"/>
      <c r="AKW246"/>
      <c r="AKX246"/>
      <c r="AKY246"/>
      <c r="AKZ246"/>
      <c r="ALA246"/>
      <c r="ALB246"/>
      <c r="ALC246"/>
      <c r="ALD246"/>
      <c r="ALE246"/>
      <c r="ALF246"/>
      <c r="ALG246"/>
      <c r="ALH246"/>
      <c r="ALI246"/>
      <c r="ALJ246"/>
      <c r="ALK246"/>
      <c r="ALL246"/>
      <c r="ALM246"/>
      <c r="ALN246"/>
      <c r="ALO246"/>
      <c r="ALP246"/>
      <c r="ALQ246"/>
      <c r="ALR246"/>
      <c r="ALS246"/>
      <c r="ALT246"/>
      <c r="ALU246"/>
      <c r="ALV246"/>
      <c r="ALW246"/>
      <c r="ALX246"/>
      <c r="ALY246"/>
      <c r="ALZ246"/>
      <c r="AMA246"/>
      <c r="AMB246"/>
      <c r="AMC246"/>
      <c r="AMD246"/>
      <c r="AME246"/>
      <c r="AMF246"/>
      <c r="AMG246"/>
      <c r="AMH246"/>
      <c r="AMI246"/>
      <c r="AMJ246"/>
      <c r="AMK246"/>
      <c r="AML246"/>
      <c r="AMM246"/>
      <c r="AMN246"/>
      <c r="AMO246"/>
      <c r="AMP246"/>
      <c r="AMQ246"/>
      <c r="AMR246"/>
      <c r="AMS246"/>
      <c r="AMT246"/>
      <c r="AMU246"/>
      <c r="AMV246"/>
      <c r="AMW246"/>
      <c r="AMX246"/>
      <c r="AMY246"/>
      <c r="AMZ246"/>
      <c r="ANA246"/>
      <c r="ANB246"/>
      <c r="ANC246"/>
      <c r="AND246"/>
      <c r="ANE246"/>
      <c r="ANF246"/>
      <c r="ANG246"/>
      <c r="ANH246"/>
      <c r="ANI246"/>
      <c r="ANJ246"/>
      <c r="ANK246"/>
      <c r="ANL246"/>
      <c r="ANM246"/>
      <c r="ANN246"/>
      <c r="ANO246"/>
      <c r="ANP246"/>
      <c r="ANQ246"/>
      <c r="ANR246"/>
      <c r="ANS246"/>
      <c r="ANT246"/>
      <c r="ANU246"/>
      <c r="ANV246"/>
      <c r="ANW246"/>
      <c r="ANX246"/>
      <c r="ANY246"/>
      <c r="ANZ246"/>
      <c r="AOA246"/>
      <c r="AOB246"/>
      <c r="AOC246"/>
      <c r="AOD246"/>
      <c r="AOE246"/>
      <c r="AOF246"/>
      <c r="AOG246"/>
      <c r="AOH246"/>
      <c r="AOI246"/>
      <c r="AOJ246"/>
      <c r="AOK246"/>
      <c r="AOL246"/>
      <c r="AOM246"/>
      <c r="AON246"/>
      <c r="AOO246"/>
      <c r="AOP246"/>
      <c r="AOQ246"/>
      <c r="AOR246"/>
      <c r="AOS246"/>
      <c r="AOT246"/>
      <c r="AOU246"/>
      <c r="AOV246"/>
      <c r="AOW246"/>
      <c r="AOX246"/>
      <c r="AOY246"/>
      <c r="AOZ246"/>
      <c r="APA246"/>
      <c r="APB246"/>
      <c r="APC246"/>
      <c r="APD246"/>
      <c r="APE246"/>
      <c r="APF246"/>
      <c r="APG246"/>
      <c r="APH246"/>
      <c r="API246"/>
      <c r="APJ246"/>
      <c r="APK246"/>
      <c r="APL246"/>
      <c r="APM246"/>
      <c r="APN246"/>
      <c r="APO246"/>
      <c r="APP246"/>
      <c r="APQ246"/>
      <c r="APR246"/>
      <c r="APS246"/>
      <c r="APT246"/>
      <c r="APU246"/>
      <c r="APV246"/>
      <c r="APW246"/>
      <c r="APX246"/>
      <c r="APY246"/>
      <c r="APZ246"/>
      <c r="AQA246"/>
      <c r="AQB246"/>
      <c r="AQC246"/>
      <c r="AQD246"/>
      <c r="AQE246"/>
      <c r="AQF246"/>
      <c r="AQG246"/>
      <c r="AQH246"/>
      <c r="AQI246"/>
      <c r="AQJ246"/>
      <c r="AQK246"/>
      <c r="AQL246"/>
      <c r="AQM246"/>
      <c r="AQN246"/>
      <c r="AQO246"/>
      <c r="AQP246"/>
      <c r="AQQ246"/>
      <c r="AQR246"/>
      <c r="AQS246"/>
      <c r="AQT246"/>
      <c r="AQU246"/>
      <c r="AQV246"/>
      <c r="AQW246"/>
      <c r="AQX246"/>
      <c r="AQY246"/>
      <c r="AQZ246"/>
      <c r="ARA246"/>
      <c r="ARB246"/>
      <c r="ARC246"/>
      <c r="ARD246"/>
      <c r="ARE246"/>
      <c r="ARF246"/>
      <c r="ARG246"/>
      <c r="ARH246"/>
      <c r="ARI246"/>
      <c r="ARJ246"/>
      <c r="ARK246"/>
      <c r="ARL246"/>
      <c r="ARM246"/>
      <c r="ARN246"/>
      <c r="ARO246"/>
      <c r="ARP246"/>
      <c r="ARQ246"/>
      <c r="ARR246"/>
      <c r="ARS246"/>
      <c r="ART246"/>
      <c r="ARU246"/>
      <c r="ARV246"/>
      <c r="ARW246"/>
      <c r="ARX246"/>
      <c r="ARY246"/>
      <c r="ARZ246"/>
      <c r="ASA246"/>
      <c r="ASB246"/>
      <c r="ASC246"/>
      <c r="ASD246"/>
      <c r="ASE246"/>
      <c r="ASF246"/>
      <c r="ASG246"/>
      <c r="ASH246"/>
      <c r="ASI246"/>
      <c r="ASJ246"/>
      <c r="ASK246"/>
      <c r="ASL246"/>
      <c r="ASM246"/>
      <c r="ASN246"/>
      <c r="ASO246"/>
      <c r="ASP246"/>
      <c r="ASQ246"/>
      <c r="ASR246"/>
      <c r="ASS246"/>
      <c r="AST246"/>
      <c r="ASU246"/>
      <c r="ASV246"/>
      <c r="ASW246"/>
      <c r="ASX246"/>
      <c r="ASY246"/>
      <c r="ASZ246"/>
      <c r="ATA246"/>
      <c r="ATB246"/>
      <c r="ATC246"/>
      <c r="ATD246"/>
      <c r="ATE246"/>
      <c r="ATF246"/>
      <c r="ATG246"/>
      <c r="ATH246"/>
      <c r="ATI246"/>
      <c r="ATJ246"/>
      <c r="ATK246"/>
      <c r="ATL246"/>
      <c r="ATM246"/>
      <c r="ATN246"/>
      <c r="ATO246"/>
      <c r="ATP246"/>
      <c r="ATQ246"/>
      <c r="ATR246"/>
      <c r="ATS246"/>
      <c r="ATT246"/>
      <c r="ATU246"/>
      <c r="ATV246"/>
      <c r="ATW246"/>
      <c r="ATX246"/>
      <c r="ATY246"/>
      <c r="ATZ246"/>
      <c r="AUA246"/>
      <c r="AUB246"/>
      <c r="AUC246"/>
      <c r="AUD246"/>
      <c r="AUE246"/>
      <c r="AUF246"/>
      <c r="AUG246"/>
      <c r="AUH246"/>
      <c r="AUI246"/>
      <c r="AUJ246"/>
      <c r="AUK246"/>
      <c r="AUL246"/>
      <c r="AUM246"/>
      <c r="AUN246"/>
      <c r="AUO246"/>
      <c r="AUP246"/>
      <c r="AUQ246"/>
      <c r="AUR246"/>
      <c r="AUS246"/>
      <c r="AUT246"/>
      <c r="AUU246"/>
      <c r="AUV246"/>
      <c r="AUW246"/>
      <c r="AUX246"/>
      <c r="AUY246"/>
      <c r="AUZ246"/>
      <c r="AVA246"/>
      <c r="AVB246"/>
      <c r="AVC246"/>
      <c r="AVD246"/>
      <c r="AVE246"/>
      <c r="AVF246"/>
      <c r="AVG246"/>
      <c r="AVH246"/>
      <c r="AVI246"/>
      <c r="AVJ246"/>
      <c r="AVK246"/>
      <c r="AVL246"/>
      <c r="AVM246"/>
      <c r="AVN246"/>
      <c r="AVO246"/>
      <c r="AVP246"/>
      <c r="AVQ246"/>
      <c r="AVR246"/>
      <c r="AVS246"/>
      <c r="AVT246"/>
      <c r="AVU246"/>
      <c r="AVV246"/>
      <c r="AVW246"/>
      <c r="AVX246"/>
      <c r="AVY246"/>
      <c r="AVZ246"/>
      <c r="AWA246"/>
      <c r="AWB246"/>
      <c r="AWC246"/>
      <c r="AWD246"/>
      <c r="AWE246"/>
      <c r="AWF246"/>
      <c r="AWG246"/>
      <c r="AWH246"/>
      <c r="AWI246"/>
      <c r="AWJ246"/>
      <c r="AWK246"/>
      <c r="AWL246"/>
      <c r="AWM246"/>
      <c r="AWN246"/>
      <c r="AWO246"/>
      <c r="AWP246"/>
      <c r="AWQ246"/>
      <c r="AWR246"/>
      <c r="AWS246"/>
      <c r="AWT246"/>
      <c r="AWU246"/>
      <c r="AWV246"/>
      <c r="AWW246"/>
      <c r="AWX246"/>
      <c r="AWY246"/>
      <c r="AWZ246"/>
      <c r="AXA246"/>
      <c r="AXB246"/>
      <c r="AXC246"/>
      <c r="AXD246"/>
      <c r="AXE246"/>
      <c r="AXF246"/>
      <c r="AXG246"/>
      <c r="AXH246"/>
      <c r="AXI246"/>
      <c r="AXJ246"/>
      <c r="AXK246"/>
      <c r="AXL246"/>
      <c r="AXM246"/>
      <c r="AXN246"/>
      <c r="AXO246"/>
      <c r="AXP246"/>
      <c r="AXQ246"/>
      <c r="AXR246"/>
      <c r="AXS246"/>
      <c r="AXT246"/>
      <c r="AXU246"/>
      <c r="AXV246"/>
      <c r="AXW246"/>
      <c r="AXX246"/>
      <c r="AXY246"/>
      <c r="AXZ246"/>
      <c r="AYA246"/>
      <c r="AYB246"/>
      <c r="AYC246"/>
      <c r="AYD246"/>
      <c r="AYE246"/>
      <c r="AYF246"/>
      <c r="AYG246"/>
      <c r="AYH246"/>
      <c r="AYI246"/>
      <c r="AYJ246"/>
      <c r="AYK246"/>
      <c r="AYL246"/>
      <c r="AYM246"/>
      <c r="AYN246"/>
      <c r="AYO246"/>
      <c r="AYP246"/>
      <c r="AYQ246"/>
      <c r="AYR246"/>
      <c r="AYS246"/>
      <c r="AYT246"/>
      <c r="AYU246"/>
      <c r="AYV246"/>
      <c r="AYW246"/>
      <c r="AYX246"/>
      <c r="AYY246"/>
      <c r="AYZ246"/>
      <c r="AZA246"/>
      <c r="AZB246"/>
      <c r="AZC246"/>
      <c r="AZD246"/>
      <c r="AZE246"/>
      <c r="AZF246"/>
      <c r="AZG246"/>
      <c r="AZH246"/>
      <c r="AZI246"/>
      <c r="AZJ246"/>
      <c r="AZK246"/>
      <c r="AZL246"/>
      <c r="AZM246"/>
      <c r="AZN246"/>
      <c r="AZO246"/>
      <c r="AZP246"/>
      <c r="AZQ246"/>
      <c r="AZR246"/>
      <c r="AZS246"/>
      <c r="AZT246"/>
      <c r="AZU246"/>
      <c r="AZV246"/>
      <c r="AZW246"/>
      <c r="AZX246"/>
      <c r="AZY246"/>
      <c r="AZZ246"/>
      <c r="BAA246"/>
      <c r="BAB246"/>
      <c r="BAC246"/>
      <c r="BAD246"/>
      <c r="BAE246"/>
      <c r="BAF246"/>
      <c r="BAG246"/>
      <c r="BAH246"/>
      <c r="BAI246"/>
      <c r="BAJ246"/>
      <c r="BAK246"/>
      <c r="BAL246"/>
      <c r="BAM246"/>
      <c r="BAN246"/>
      <c r="BAO246"/>
      <c r="BAP246"/>
      <c r="BAQ246"/>
      <c r="BAR246"/>
      <c r="BAS246"/>
      <c r="BAT246"/>
      <c r="BAU246"/>
      <c r="BAV246"/>
      <c r="BAW246"/>
      <c r="BAX246"/>
      <c r="BAY246"/>
      <c r="BAZ246"/>
      <c r="BBA246"/>
      <c r="BBB246"/>
      <c r="BBC246"/>
      <c r="BBD246"/>
      <c r="BBE246"/>
      <c r="BBF246"/>
      <c r="BBG246"/>
      <c r="BBH246"/>
      <c r="BBI246"/>
      <c r="BBJ246"/>
      <c r="BBK246"/>
      <c r="BBL246"/>
      <c r="BBM246"/>
      <c r="BBN246"/>
      <c r="BBO246"/>
      <c r="BBP246"/>
      <c r="BBQ246"/>
      <c r="BBR246"/>
      <c r="BBS246"/>
      <c r="BBT246"/>
      <c r="BBU246"/>
      <c r="BBV246"/>
      <c r="BBW246"/>
      <c r="BBX246"/>
      <c r="BBY246"/>
      <c r="BBZ246"/>
      <c r="BCA246"/>
      <c r="BCB246"/>
      <c r="BCC246"/>
      <c r="BCD246"/>
      <c r="BCE246"/>
      <c r="BCF246"/>
      <c r="BCG246"/>
      <c r="BCH246"/>
      <c r="BCI246"/>
      <c r="BCJ246"/>
      <c r="BCK246"/>
      <c r="BCL246"/>
      <c r="BCM246"/>
      <c r="BCN246"/>
      <c r="BCO246"/>
      <c r="BCP246"/>
      <c r="BCQ246"/>
      <c r="BCR246"/>
      <c r="BCS246"/>
      <c r="BCT246"/>
      <c r="BCU246"/>
      <c r="BCV246"/>
      <c r="BCW246"/>
      <c r="BCX246"/>
      <c r="BCY246"/>
      <c r="BCZ246"/>
      <c r="BDA246"/>
      <c r="BDB246"/>
      <c r="BDC246"/>
      <c r="BDD246"/>
      <c r="BDE246"/>
      <c r="BDF246"/>
      <c r="BDG246"/>
      <c r="BDH246"/>
      <c r="BDI246"/>
      <c r="BDJ246"/>
      <c r="BDK246"/>
      <c r="BDL246"/>
      <c r="BDM246"/>
      <c r="BDN246"/>
      <c r="BDO246"/>
      <c r="BDP246"/>
      <c r="BDQ246"/>
      <c r="BDR246"/>
      <c r="BDS246"/>
      <c r="BDT246"/>
      <c r="BDU246"/>
      <c r="BDV246"/>
      <c r="BDW246"/>
      <c r="BDX246"/>
      <c r="BDY246"/>
      <c r="BDZ246"/>
      <c r="BEA246"/>
      <c r="BEB246"/>
      <c r="BEC246"/>
      <c r="BED246"/>
      <c r="BEE246"/>
      <c r="BEF246"/>
      <c r="BEG246"/>
      <c r="BEH246"/>
      <c r="BEI246"/>
      <c r="BEJ246"/>
      <c r="BEK246"/>
      <c r="BEL246"/>
      <c r="BEM246"/>
      <c r="BEN246"/>
      <c r="BEO246"/>
      <c r="BEP246"/>
      <c r="BEQ246"/>
      <c r="BER246"/>
      <c r="BES246"/>
      <c r="BET246"/>
      <c r="BEU246"/>
      <c r="BEV246"/>
      <c r="BEW246"/>
      <c r="BEX246"/>
      <c r="BEY246"/>
      <c r="BEZ246"/>
      <c r="BFA246"/>
      <c r="BFB246"/>
      <c r="BFC246"/>
      <c r="BFD246"/>
      <c r="BFE246"/>
      <c r="BFF246"/>
      <c r="BFG246"/>
      <c r="BFH246"/>
      <c r="BFI246"/>
      <c r="BFJ246"/>
      <c r="BFK246"/>
      <c r="BFL246"/>
      <c r="BFM246"/>
      <c r="BFN246"/>
      <c r="BFO246"/>
      <c r="BFP246"/>
      <c r="BFQ246"/>
      <c r="BFR246"/>
      <c r="BFS246"/>
      <c r="BFT246"/>
      <c r="BFU246"/>
      <c r="BFV246"/>
      <c r="BFW246"/>
      <c r="BFX246"/>
      <c r="BFY246"/>
      <c r="BFZ246"/>
      <c r="BGA246"/>
      <c r="BGB246"/>
      <c r="BGC246"/>
      <c r="BGD246"/>
      <c r="BGE246"/>
      <c r="BGF246"/>
      <c r="BGG246"/>
      <c r="BGH246"/>
      <c r="BGI246"/>
      <c r="BGJ246"/>
      <c r="BGK246"/>
      <c r="BGL246"/>
      <c r="BGM246"/>
      <c r="BGN246"/>
      <c r="BGO246"/>
      <c r="BGP246"/>
      <c r="BGQ246"/>
      <c r="BGR246"/>
      <c r="BGS246"/>
      <c r="BGT246"/>
      <c r="BGU246"/>
      <c r="BGV246"/>
      <c r="BGW246"/>
      <c r="BGX246"/>
      <c r="BGY246"/>
      <c r="BGZ246"/>
      <c r="BHA246"/>
      <c r="BHB246"/>
      <c r="BHC246"/>
      <c r="BHD246"/>
      <c r="BHE246"/>
      <c r="BHF246"/>
      <c r="BHG246"/>
      <c r="BHH246"/>
      <c r="BHI246"/>
      <c r="BHJ246"/>
      <c r="BHK246"/>
      <c r="BHL246"/>
      <c r="BHM246"/>
      <c r="BHN246"/>
      <c r="BHO246"/>
      <c r="BHP246"/>
      <c r="BHQ246"/>
      <c r="BHR246"/>
      <c r="BHS246"/>
      <c r="BHT246"/>
      <c r="BHU246"/>
      <c r="BHV246"/>
      <c r="BHW246"/>
      <c r="BHX246"/>
      <c r="BHY246"/>
      <c r="BHZ246"/>
      <c r="BIA246"/>
      <c r="BIB246"/>
      <c r="BIC246"/>
      <c r="BID246"/>
      <c r="BIE246"/>
      <c r="BIF246"/>
      <c r="BIG246"/>
      <c r="BIH246"/>
      <c r="BII246"/>
      <c r="BIJ246"/>
      <c r="BIK246"/>
      <c r="BIL246"/>
      <c r="BIM246"/>
      <c r="BIN246"/>
      <c r="BIO246"/>
      <c r="BIP246"/>
      <c r="BIQ246"/>
      <c r="BIR246"/>
      <c r="BIS246"/>
      <c r="BIT246"/>
      <c r="BIU246"/>
      <c r="BIV246"/>
      <c r="BIW246"/>
      <c r="BIX246"/>
      <c r="BIY246"/>
      <c r="BIZ246"/>
      <c r="BJA246"/>
      <c r="BJB246"/>
      <c r="BJC246"/>
      <c r="BJD246"/>
      <c r="BJE246"/>
      <c r="BJF246"/>
      <c r="BJG246"/>
      <c r="BJH246"/>
      <c r="BJI246"/>
      <c r="BJJ246"/>
      <c r="BJK246"/>
      <c r="BJL246"/>
      <c r="BJM246"/>
      <c r="BJN246"/>
      <c r="BJO246"/>
      <c r="BJP246"/>
      <c r="BJQ246"/>
      <c r="BJR246"/>
      <c r="BJS246"/>
      <c r="BJT246"/>
      <c r="BJU246"/>
      <c r="BJV246"/>
      <c r="BJW246"/>
      <c r="BJX246"/>
      <c r="BJY246"/>
      <c r="BJZ246"/>
      <c r="BKA246"/>
      <c r="BKB246"/>
      <c r="BKC246"/>
      <c r="BKD246"/>
      <c r="BKE246"/>
      <c r="BKF246"/>
      <c r="BKG246"/>
      <c r="BKH246"/>
      <c r="BKI246"/>
      <c r="BKJ246"/>
      <c r="BKK246"/>
      <c r="BKL246"/>
      <c r="BKM246"/>
      <c r="BKN246"/>
      <c r="BKO246"/>
      <c r="BKP246"/>
      <c r="BKQ246"/>
      <c r="BKR246"/>
      <c r="BKS246"/>
      <c r="BKT246"/>
      <c r="BKU246"/>
      <c r="BKV246"/>
      <c r="BKW246"/>
      <c r="BKX246"/>
      <c r="BKY246"/>
      <c r="BKZ246"/>
      <c r="BLA246"/>
      <c r="BLB246"/>
      <c r="BLC246"/>
      <c r="BLD246"/>
      <c r="BLE246"/>
      <c r="BLF246"/>
      <c r="BLG246"/>
      <c r="BLH246"/>
      <c r="BLI246"/>
      <c r="BLJ246"/>
      <c r="BLK246"/>
      <c r="BLL246"/>
      <c r="BLM246"/>
      <c r="BLN246"/>
      <c r="BLO246"/>
      <c r="BLP246"/>
      <c r="BLQ246"/>
      <c r="BLR246"/>
      <c r="BLS246"/>
      <c r="BLT246"/>
      <c r="BLU246"/>
      <c r="BLV246"/>
      <c r="BLW246"/>
      <c r="BLX246"/>
      <c r="BLY246"/>
      <c r="BLZ246"/>
      <c r="BMA246"/>
      <c r="BMB246"/>
      <c r="BMC246"/>
      <c r="BMD246"/>
      <c r="BME246"/>
      <c r="BMF246"/>
      <c r="BMG246"/>
      <c r="BMH246"/>
      <c r="BMI246"/>
      <c r="BMJ246"/>
      <c r="BMK246"/>
      <c r="BML246"/>
      <c r="BMM246"/>
      <c r="BMN246"/>
      <c r="BMO246"/>
      <c r="BMP246"/>
      <c r="BMQ246"/>
      <c r="BMR246"/>
      <c r="BMS246"/>
      <c r="BMT246"/>
      <c r="BMU246"/>
      <c r="BMV246"/>
      <c r="BMW246"/>
      <c r="BMX246"/>
      <c r="BMY246"/>
      <c r="BMZ246"/>
      <c r="BNA246"/>
      <c r="BNB246"/>
      <c r="BNC246"/>
      <c r="BND246"/>
      <c r="BNE246"/>
      <c r="BNF246"/>
      <c r="BNG246"/>
      <c r="BNH246"/>
      <c r="BNI246"/>
      <c r="BNJ246"/>
      <c r="BNK246"/>
      <c r="BNL246"/>
      <c r="BNM246"/>
      <c r="BNN246"/>
      <c r="BNO246"/>
      <c r="BNP246"/>
      <c r="BNQ246"/>
      <c r="BNR246"/>
      <c r="BNS246"/>
      <c r="BNT246"/>
      <c r="BNU246"/>
      <c r="BNV246"/>
      <c r="BNW246"/>
      <c r="BNX246"/>
      <c r="BNY246"/>
      <c r="BNZ246"/>
      <c r="BOA246"/>
      <c r="BOB246"/>
      <c r="BOC246"/>
      <c r="BOD246"/>
      <c r="BOE246"/>
      <c r="BOF246"/>
      <c r="BOG246"/>
      <c r="BOH246"/>
      <c r="BOI246"/>
      <c r="BOJ246"/>
      <c r="BOK246"/>
      <c r="BOL246"/>
      <c r="BOM246"/>
      <c r="BON246"/>
      <c r="BOO246"/>
      <c r="BOP246"/>
      <c r="BOQ246"/>
      <c r="BOR246"/>
      <c r="BOS246"/>
      <c r="BOT246"/>
      <c r="BOU246"/>
      <c r="BOV246"/>
      <c r="BOW246"/>
      <c r="BOX246"/>
      <c r="BOY246"/>
      <c r="BOZ246"/>
      <c r="BPA246"/>
      <c r="BPB246"/>
      <c r="BPC246"/>
      <c r="BPD246"/>
      <c r="BPE246"/>
      <c r="BPF246"/>
      <c r="BPG246"/>
      <c r="BPH246"/>
      <c r="BPI246"/>
      <c r="BPJ246"/>
      <c r="BPK246"/>
      <c r="BPL246"/>
      <c r="BPM246"/>
      <c r="BPN246"/>
      <c r="BPO246"/>
      <c r="BPP246"/>
      <c r="BPQ246"/>
      <c r="BPR246"/>
      <c r="BPS246"/>
      <c r="BPT246"/>
      <c r="BPU246"/>
      <c r="BPV246"/>
      <c r="BPW246"/>
      <c r="BPX246"/>
      <c r="BPY246"/>
      <c r="BPZ246"/>
      <c r="BQA246"/>
      <c r="BQB246"/>
      <c r="BQC246"/>
      <c r="BQD246"/>
      <c r="BQE246"/>
      <c r="BQF246"/>
      <c r="BQG246"/>
      <c r="BQH246"/>
      <c r="BQI246"/>
      <c r="BQJ246"/>
      <c r="BQK246"/>
      <c r="BQL246"/>
      <c r="BQM246"/>
      <c r="BQN246"/>
      <c r="BQO246"/>
      <c r="BQP246"/>
      <c r="BQQ246"/>
      <c r="BQR246"/>
      <c r="BQS246"/>
      <c r="BQT246"/>
      <c r="BQU246"/>
      <c r="BQV246"/>
      <c r="BQW246"/>
      <c r="BQX246"/>
      <c r="BQY246"/>
      <c r="BQZ246"/>
      <c r="BRA246"/>
      <c r="BRB246"/>
      <c r="BRC246"/>
      <c r="BRD246"/>
      <c r="BRE246"/>
      <c r="BRF246"/>
      <c r="BRG246"/>
      <c r="BRH246"/>
      <c r="BRI246"/>
      <c r="BRJ246"/>
      <c r="BRK246"/>
      <c r="BRL246"/>
      <c r="BRM246"/>
      <c r="BRN246"/>
      <c r="BRO246"/>
      <c r="BRP246"/>
      <c r="BRQ246"/>
      <c r="BRR246"/>
      <c r="BRS246"/>
      <c r="BRT246"/>
      <c r="BRU246"/>
      <c r="BRV246"/>
      <c r="BRW246"/>
      <c r="BRX246"/>
      <c r="BRY246"/>
      <c r="BRZ246"/>
      <c r="BSA246"/>
      <c r="BSB246"/>
      <c r="BSC246"/>
      <c r="BSD246"/>
      <c r="BSE246"/>
      <c r="BSF246"/>
      <c r="BSG246"/>
      <c r="BSH246"/>
      <c r="BSI246"/>
      <c r="BSJ246"/>
      <c r="BSK246"/>
      <c r="BSL246"/>
      <c r="BSM246"/>
      <c r="BSN246"/>
      <c r="BSO246"/>
      <c r="BSP246"/>
      <c r="BSQ246"/>
      <c r="BSR246"/>
      <c r="BSS246"/>
      <c r="BST246"/>
      <c r="BSU246"/>
      <c r="BSV246"/>
      <c r="BSW246"/>
      <c r="BSX246"/>
      <c r="BSY246"/>
      <c r="BSZ246"/>
      <c r="BTA246"/>
      <c r="BTB246"/>
      <c r="BTC246"/>
      <c r="BTD246"/>
      <c r="BTE246"/>
      <c r="BTF246"/>
      <c r="BTG246"/>
      <c r="BTH246"/>
      <c r="BTI246"/>
      <c r="BTJ246"/>
      <c r="BTK246"/>
      <c r="BTL246"/>
      <c r="BTM246"/>
      <c r="BTN246"/>
      <c r="BTO246"/>
      <c r="BTP246"/>
      <c r="BTQ246"/>
      <c r="BTR246"/>
      <c r="BTS246"/>
      <c r="BTT246"/>
      <c r="BTU246"/>
      <c r="BTV246"/>
      <c r="BTW246"/>
      <c r="BTX246"/>
      <c r="BTY246"/>
      <c r="BTZ246"/>
      <c r="BUA246"/>
      <c r="BUB246"/>
      <c r="BUC246"/>
      <c r="BUD246"/>
      <c r="BUE246"/>
      <c r="BUF246"/>
      <c r="BUG246"/>
      <c r="BUH246"/>
      <c r="BUI246"/>
      <c r="BUJ246"/>
      <c r="BUK246"/>
      <c r="BUL246"/>
      <c r="BUM246"/>
      <c r="BUN246"/>
      <c r="BUO246"/>
      <c r="BUP246"/>
      <c r="BUQ246"/>
      <c r="BUR246"/>
      <c r="BUS246"/>
      <c r="BUT246"/>
      <c r="BUU246"/>
      <c r="BUV246"/>
      <c r="BUW246"/>
      <c r="BUX246"/>
      <c r="BUY246"/>
      <c r="BUZ246"/>
      <c r="BVA246"/>
      <c r="BVB246"/>
      <c r="BVC246"/>
      <c r="BVD246"/>
      <c r="BVE246"/>
      <c r="BVF246"/>
      <c r="BVG246"/>
      <c r="BVH246"/>
      <c r="BVI246"/>
      <c r="BVJ246"/>
      <c r="BVK246"/>
      <c r="BVL246"/>
      <c r="BVM246"/>
      <c r="BVN246"/>
      <c r="BVO246"/>
      <c r="BVP246"/>
      <c r="BVQ246"/>
      <c r="BVR246"/>
      <c r="BVS246"/>
      <c r="BVT246"/>
      <c r="BVU246"/>
      <c r="BVV246"/>
      <c r="BVW246"/>
      <c r="BVX246"/>
      <c r="BVY246"/>
      <c r="BVZ246"/>
      <c r="BWA246"/>
      <c r="BWB246"/>
      <c r="BWC246"/>
      <c r="BWD246"/>
      <c r="BWE246"/>
      <c r="BWF246"/>
      <c r="BWG246"/>
      <c r="BWH246"/>
      <c r="BWI246"/>
      <c r="BWJ246"/>
      <c r="BWK246"/>
      <c r="BWL246"/>
      <c r="BWM246"/>
      <c r="BWN246"/>
      <c r="BWO246"/>
      <c r="BWP246"/>
      <c r="BWQ246"/>
      <c r="BWR246"/>
      <c r="BWS246"/>
      <c r="BWT246"/>
      <c r="BWU246"/>
      <c r="BWV246"/>
      <c r="BWW246"/>
      <c r="BWX246"/>
      <c r="BWY246"/>
      <c r="BWZ246"/>
      <c r="BXA246"/>
      <c r="BXB246"/>
      <c r="BXC246"/>
      <c r="BXD246"/>
      <c r="BXE246"/>
      <c r="BXF246"/>
      <c r="BXG246"/>
      <c r="BXH246"/>
      <c r="BXI246"/>
      <c r="BXJ246"/>
      <c r="BXK246"/>
      <c r="BXL246"/>
      <c r="BXM246"/>
      <c r="BXN246"/>
      <c r="BXO246"/>
      <c r="BXP246"/>
      <c r="BXQ246"/>
      <c r="BXR246"/>
      <c r="BXS246"/>
      <c r="BXT246"/>
      <c r="BXU246"/>
      <c r="BXV246"/>
      <c r="BXW246"/>
      <c r="BXX246"/>
      <c r="BXY246"/>
      <c r="BXZ246"/>
      <c r="BYA246"/>
      <c r="BYB246"/>
      <c r="BYC246"/>
      <c r="BYD246"/>
      <c r="BYE246"/>
      <c r="BYF246"/>
      <c r="BYG246"/>
      <c r="BYH246"/>
      <c r="BYI246"/>
      <c r="BYJ246"/>
      <c r="BYK246"/>
      <c r="BYL246"/>
      <c r="BYM246"/>
      <c r="BYN246"/>
      <c r="BYO246"/>
      <c r="BYP246"/>
      <c r="BYQ246"/>
      <c r="BYR246"/>
      <c r="BYS246"/>
      <c r="BYT246"/>
      <c r="BYU246"/>
      <c r="BYV246"/>
      <c r="BYW246"/>
      <c r="BYX246"/>
      <c r="BYY246"/>
      <c r="BYZ246"/>
      <c r="BZA246"/>
      <c r="BZB246"/>
      <c r="BZC246"/>
      <c r="BZD246"/>
      <c r="BZE246"/>
      <c r="BZF246"/>
      <c r="BZG246"/>
      <c r="BZH246"/>
      <c r="BZI246"/>
      <c r="BZJ246"/>
      <c r="BZK246"/>
      <c r="BZL246"/>
      <c r="BZM246"/>
      <c r="BZN246"/>
      <c r="BZO246"/>
      <c r="BZP246"/>
      <c r="BZQ246"/>
      <c r="BZR246"/>
      <c r="BZS246"/>
      <c r="BZT246"/>
      <c r="BZU246"/>
      <c r="BZV246"/>
      <c r="BZW246"/>
      <c r="BZX246"/>
      <c r="BZY246"/>
      <c r="BZZ246"/>
      <c r="CAA246"/>
      <c r="CAB246"/>
      <c r="CAC246"/>
      <c r="CAD246"/>
      <c r="CAE246"/>
      <c r="CAF246"/>
      <c r="CAG246"/>
      <c r="CAH246"/>
      <c r="CAI246"/>
      <c r="CAJ246"/>
      <c r="CAK246"/>
      <c r="CAL246"/>
      <c r="CAM246"/>
      <c r="CAN246"/>
      <c r="CAO246"/>
      <c r="CAP246"/>
      <c r="CAQ246"/>
      <c r="CAR246"/>
      <c r="CAS246"/>
      <c r="CAT246"/>
      <c r="CAU246"/>
      <c r="CAV246"/>
      <c r="CAW246"/>
      <c r="CAX246"/>
      <c r="CAY246"/>
      <c r="CAZ246"/>
      <c r="CBA246"/>
      <c r="CBB246"/>
      <c r="CBC246"/>
      <c r="CBD246"/>
      <c r="CBE246"/>
      <c r="CBF246"/>
      <c r="CBG246"/>
      <c r="CBH246"/>
      <c r="CBI246"/>
      <c r="CBJ246"/>
      <c r="CBK246"/>
      <c r="CBL246"/>
      <c r="CBM246"/>
      <c r="CBN246"/>
      <c r="CBO246"/>
      <c r="CBP246"/>
      <c r="CBQ246"/>
      <c r="CBR246"/>
      <c r="CBS246"/>
      <c r="CBT246"/>
      <c r="CBU246"/>
      <c r="CBV246"/>
      <c r="CBW246"/>
      <c r="CBX246"/>
      <c r="CBY246"/>
      <c r="CBZ246"/>
      <c r="CCA246"/>
      <c r="CCB246"/>
      <c r="CCC246"/>
      <c r="CCD246"/>
      <c r="CCE246"/>
      <c r="CCF246"/>
      <c r="CCG246"/>
      <c r="CCH246"/>
      <c r="CCI246"/>
      <c r="CCJ246"/>
      <c r="CCK246"/>
      <c r="CCL246"/>
      <c r="CCM246"/>
      <c r="CCN246"/>
      <c r="CCO246"/>
      <c r="CCP246"/>
      <c r="CCQ246"/>
      <c r="CCR246"/>
      <c r="CCS246"/>
      <c r="CCT246"/>
      <c r="CCU246"/>
      <c r="CCV246"/>
      <c r="CCW246"/>
      <c r="CCX246"/>
      <c r="CCY246"/>
      <c r="CCZ246"/>
      <c r="CDA246"/>
      <c r="CDB246"/>
      <c r="CDC246"/>
      <c r="CDD246"/>
      <c r="CDE246"/>
      <c r="CDF246"/>
      <c r="CDG246"/>
      <c r="CDH246"/>
      <c r="CDI246"/>
      <c r="CDJ246"/>
      <c r="CDK246"/>
      <c r="CDL246"/>
      <c r="CDM246"/>
      <c r="CDN246"/>
      <c r="CDO246"/>
      <c r="CDP246"/>
      <c r="CDQ246"/>
      <c r="CDR246"/>
      <c r="CDS246"/>
      <c r="CDT246"/>
      <c r="CDU246"/>
      <c r="CDV246"/>
      <c r="CDW246"/>
      <c r="CDX246"/>
      <c r="CDY246"/>
      <c r="CDZ246"/>
      <c r="CEA246"/>
      <c r="CEB246"/>
      <c r="CEC246"/>
      <c r="CED246"/>
      <c r="CEE246"/>
      <c r="CEF246"/>
      <c r="CEG246"/>
      <c r="CEH246"/>
      <c r="CEI246"/>
      <c r="CEJ246"/>
      <c r="CEK246"/>
      <c r="CEL246"/>
      <c r="CEM246"/>
      <c r="CEN246"/>
      <c r="CEO246"/>
      <c r="CEP246"/>
      <c r="CEQ246"/>
      <c r="CER246"/>
      <c r="CES246"/>
      <c r="CET246"/>
      <c r="CEU246"/>
      <c r="CEV246"/>
      <c r="CEW246"/>
      <c r="CEX246"/>
      <c r="CEY246"/>
      <c r="CEZ246"/>
      <c r="CFA246"/>
      <c r="CFB246"/>
      <c r="CFC246"/>
      <c r="CFD246"/>
      <c r="CFE246"/>
      <c r="CFF246"/>
      <c r="CFG246"/>
      <c r="CFH246"/>
      <c r="CFI246"/>
      <c r="CFJ246"/>
      <c r="CFK246"/>
      <c r="CFL246"/>
      <c r="CFM246"/>
      <c r="CFN246"/>
      <c r="CFO246"/>
      <c r="CFP246"/>
      <c r="CFQ246"/>
      <c r="CFR246"/>
      <c r="CFS246"/>
      <c r="CFT246"/>
      <c r="CFU246"/>
      <c r="CFV246"/>
      <c r="CFW246"/>
      <c r="CFX246"/>
      <c r="CFY246"/>
      <c r="CFZ246"/>
      <c r="CGA246"/>
      <c r="CGB246"/>
      <c r="CGC246"/>
      <c r="CGD246"/>
      <c r="CGE246"/>
      <c r="CGF246"/>
      <c r="CGG246"/>
      <c r="CGH246"/>
      <c r="CGI246"/>
      <c r="CGJ246"/>
      <c r="CGK246"/>
      <c r="CGL246"/>
      <c r="CGM246"/>
      <c r="CGN246"/>
      <c r="CGO246"/>
      <c r="CGP246"/>
      <c r="CGQ246"/>
      <c r="CGR246"/>
      <c r="CGS246"/>
      <c r="CGT246"/>
      <c r="CGU246"/>
      <c r="CGV246"/>
      <c r="CGW246"/>
      <c r="CGX246"/>
      <c r="CGY246"/>
      <c r="CGZ246"/>
      <c r="CHA246"/>
      <c r="CHB246"/>
      <c r="CHC246"/>
      <c r="CHD246"/>
      <c r="CHE246"/>
      <c r="CHF246"/>
      <c r="CHG246"/>
      <c r="CHH246"/>
      <c r="CHI246"/>
      <c r="CHJ246"/>
      <c r="CHK246"/>
      <c r="CHL246"/>
      <c r="CHM246"/>
      <c r="CHN246"/>
      <c r="CHO246"/>
      <c r="CHP246"/>
      <c r="CHQ246"/>
      <c r="CHR246"/>
      <c r="CHS246"/>
      <c r="CHT246"/>
      <c r="CHU246"/>
      <c r="CHV246"/>
      <c r="CHW246"/>
      <c r="CHX246"/>
      <c r="CHY246"/>
      <c r="CHZ246"/>
      <c r="CIA246"/>
      <c r="CIB246"/>
      <c r="CIC246"/>
      <c r="CID246"/>
      <c r="CIE246"/>
      <c r="CIF246"/>
      <c r="CIG246"/>
      <c r="CIH246"/>
      <c r="CII246"/>
      <c r="CIJ246"/>
      <c r="CIK246"/>
      <c r="CIL246"/>
      <c r="CIM246"/>
      <c r="CIN246"/>
      <c r="CIO246"/>
      <c r="CIP246"/>
      <c r="CIQ246"/>
      <c r="CIR246"/>
      <c r="CIS246"/>
      <c r="CIT246"/>
      <c r="CIU246"/>
      <c r="CIV246"/>
      <c r="CIW246"/>
      <c r="CIX246"/>
      <c r="CIY246"/>
      <c r="CIZ246"/>
      <c r="CJA246"/>
      <c r="CJB246"/>
      <c r="CJC246"/>
      <c r="CJD246"/>
      <c r="CJE246"/>
      <c r="CJF246"/>
      <c r="CJG246"/>
      <c r="CJH246"/>
      <c r="CJI246"/>
      <c r="CJJ246"/>
      <c r="CJK246"/>
      <c r="CJL246"/>
      <c r="CJM246"/>
      <c r="CJN246"/>
      <c r="CJO246"/>
      <c r="CJP246"/>
      <c r="CJQ246"/>
      <c r="CJR246"/>
      <c r="CJS246"/>
      <c r="CJT246"/>
      <c r="CJU246"/>
      <c r="CJV246"/>
      <c r="CJW246"/>
      <c r="CJX246"/>
      <c r="CJY246"/>
      <c r="CJZ246"/>
      <c r="CKA246"/>
      <c r="CKB246"/>
      <c r="CKC246"/>
      <c r="CKD246"/>
      <c r="CKE246"/>
      <c r="CKF246"/>
      <c r="CKG246"/>
      <c r="CKH246"/>
      <c r="CKI246"/>
      <c r="CKJ246"/>
      <c r="CKK246"/>
      <c r="CKL246"/>
      <c r="CKM246"/>
      <c r="CKN246"/>
      <c r="CKO246"/>
      <c r="CKP246"/>
      <c r="CKQ246"/>
      <c r="CKR246"/>
      <c r="CKS246"/>
      <c r="CKT246"/>
      <c r="CKU246"/>
      <c r="CKV246"/>
      <c r="CKW246"/>
      <c r="CKX246"/>
      <c r="CKY246"/>
      <c r="CKZ246"/>
      <c r="CLA246"/>
      <c r="CLB246"/>
      <c r="CLC246"/>
      <c r="CLD246"/>
      <c r="CLE246"/>
      <c r="CLF246"/>
      <c r="CLG246"/>
      <c r="CLH246"/>
      <c r="CLI246"/>
      <c r="CLJ246"/>
      <c r="CLK246"/>
      <c r="CLL246"/>
      <c r="CLM246"/>
      <c r="CLN246"/>
      <c r="CLO246"/>
      <c r="CLP246"/>
      <c r="CLQ246"/>
      <c r="CLR246"/>
      <c r="CLS246"/>
      <c r="CLT246"/>
      <c r="CLU246"/>
      <c r="CLV246"/>
      <c r="CLW246"/>
      <c r="CLX246"/>
      <c r="CLY246"/>
      <c r="CLZ246"/>
      <c r="CMA246"/>
      <c r="CMB246"/>
      <c r="CMC246"/>
      <c r="CMD246"/>
      <c r="CME246"/>
      <c r="CMF246"/>
      <c r="CMG246"/>
      <c r="CMH246"/>
      <c r="CMI246"/>
      <c r="CMJ246"/>
      <c r="CMK246"/>
      <c r="CML246"/>
      <c r="CMM246"/>
      <c r="CMN246"/>
      <c r="CMO246"/>
      <c r="CMP246"/>
      <c r="CMQ246"/>
      <c r="CMR246"/>
      <c r="CMS246"/>
      <c r="CMT246"/>
      <c r="CMU246"/>
      <c r="CMV246"/>
      <c r="CMW246"/>
      <c r="CMX246"/>
      <c r="CMY246"/>
      <c r="CMZ246"/>
      <c r="CNA246"/>
      <c r="CNB246"/>
      <c r="CNC246"/>
      <c r="CND246"/>
      <c r="CNE246"/>
      <c r="CNF246"/>
      <c r="CNG246"/>
      <c r="CNH246"/>
      <c r="CNI246"/>
      <c r="CNJ246"/>
      <c r="CNK246"/>
      <c r="CNL246"/>
      <c r="CNM246"/>
      <c r="CNN246"/>
      <c r="CNO246"/>
      <c r="CNP246"/>
      <c r="CNQ246"/>
      <c r="CNR246"/>
      <c r="CNS246"/>
      <c r="CNT246"/>
      <c r="CNU246"/>
      <c r="CNV246"/>
      <c r="CNW246"/>
      <c r="CNX246"/>
      <c r="CNY246"/>
      <c r="CNZ246"/>
      <c r="COA246"/>
      <c r="COB246"/>
      <c r="COC246"/>
      <c r="COD246"/>
      <c r="COE246"/>
      <c r="COF246"/>
      <c r="COG246"/>
      <c r="COH246"/>
      <c r="COI246"/>
      <c r="COJ246"/>
      <c r="COK246"/>
      <c r="COL246"/>
      <c r="COM246"/>
      <c r="CON246"/>
      <c r="COO246"/>
      <c r="COP246"/>
      <c r="COQ246"/>
      <c r="COR246"/>
      <c r="COS246"/>
      <c r="COT246"/>
      <c r="COU246"/>
      <c r="COV246"/>
      <c r="COW246"/>
      <c r="COX246"/>
      <c r="COY246"/>
      <c r="COZ246"/>
      <c r="CPA246"/>
      <c r="CPB246"/>
      <c r="CPC246"/>
      <c r="CPD246"/>
      <c r="CPE246"/>
      <c r="CPF246"/>
      <c r="CPG246"/>
      <c r="CPH246"/>
      <c r="CPI246"/>
      <c r="CPJ246"/>
      <c r="CPK246"/>
      <c r="CPL246"/>
      <c r="CPM246"/>
      <c r="CPN246"/>
      <c r="CPO246"/>
      <c r="CPP246"/>
      <c r="CPQ246"/>
      <c r="CPR246"/>
      <c r="CPS246"/>
      <c r="CPT246"/>
      <c r="CPU246"/>
      <c r="CPV246"/>
      <c r="CPW246"/>
      <c r="CPX246"/>
      <c r="CPY246"/>
      <c r="CPZ246"/>
      <c r="CQA246"/>
      <c r="CQB246"/>
      <c r="CQC246"/>
      <c r="CQD246"/>
      <c r="CQE246"/>
      <c r="CQF246"/>
      <c r="CQG246"/>
      <c r="CQH246"/>
      <c r="CQI246"/>
      <c r="CQJ246"/>
      <c r="CQK246"/>
      <c r="CQL246"/>
      <c r="CQM246"/>
      <c r="CQN246"/>
      <c r="CQO246"/>
      <c r="CQP246"/>
      <c r="CQQ246"/>
      <c r="CQR246"/>
      <c r="CQS246"/>
      <c r="CQT246"/>
      <c r="CQU246"/>
      <c r="CQV246"/>
      <c r="CQW246"/>
      <c r="CQX246"/>
      <c r="CQY246"/>
      <c r="CQZ246"/>
      <c r="CRA246"/>
      <c r="CRB246"/>
      <c r="CRC246"/>
      <c r="CRD246"/>
      <c r="CRE246"/>
      <c r="CRF246"/>
      <c r="CRG246"/>
      <c r="CRH246"/>
      <c r="CRI246"/>
      <c r="CRJ246"/>
      <c r="CRK246"/>
      <c r="CRL246"/>
      <c r="CRM246"/>
      <c r="CRN246"/>
      <c r="CRO246"/>
      <c r="CRP246"/>
      <c r="CRQ246"/>
      <c r="CRR246"/>
      <c r="CRS246"/>
      <c r="CRT246"/>
      <c r="CRU246"/>
      <c r="CRV246"/>
      <c r="CRW246"/>
      <c r="CRX246"/>
      <c r="CRY246"/>
      <c r="CRZ246"/>
      <c r="CSA246"/>
      <c r="CSB246"/>
      <c r="CSC246"/>
      <c r="CSD246"/>
      <c r="CSE246"/>
      <c r="CSF246"/>
      <c r="CSG246"/>
      <c r="CSH246"/>
      <c r="CSI246"/>
      <c r="CSJ246"/>
      <c r="CSK246"/>
      <c r="CSL246"/>
      <c r="CSM246"/>
      <c r="CSN246"/>
      <c r="CSO246"/>
      <c r="CSP246"/>
      <c r="CSQ246"/>
      <c r="CSR246"/>
      <c r="CSS246"/>
      <c r="CST246"/>
      <c r="CSU246"/>
      <c r="CSV246"/>
      <c r="CSW246"/>
      <c r="CSX246"/>
      <c r="CSY246"/>
      <c r="CSZ246"/>
      <c r="CTA246"/>
      <c r="CTB246"/>
      <c r="CTC246"/>
      <c r="CTD246"/>
      <c r="CTE246"/>
      <c r="CTF246"/>
      <c r="CTG246"/>
      <c r="CTH246"/>
      <c r="CTI246"/>
      <c r="CTJ246"/>
      <c r="CTK246"/>
      <c r="CTL246"/>
      <c r="CTM246"/>
      <c r="CTN246"/>
      <c r="CTO246"/>
      <c r="CTP246"/>
      <c r="CTQ246"/>
      <c r="CTR246"/>
      <c r="CTS246"/>
      <c r="CTT246"/>
      <c r="CTU246"/>
      <c r="CTV246"/>
      <c r="CTW246"/>
      <c r="CTX246"/>
      <c r="CTY246"/>
      <c r="CTZ246"/>
      <c r="CUA246"/>
      <c r="CUB246"/>
      <c r="CUC246"/>
      <c r="CUD246"/>
      <c r="CUE246"/>
      <c r="CUF246"/>
      <c r="CUG246"/>
      <c r="CUH246"/>
      <c r="CUI246"/>
      <c r="CUJ246"/>
      <c r="CUK246"/>
      <c r="CUL246"/>
      <c r="CUM246"/>
      <c r="CUN246"/>
      <c r="CUO246"/>
      <c r="CUP246"/>
      <c r="CUQ246"/>
      <c r="CUR246"/>
      <c r="CUS246"/>
      <c r="CUT246"/>
      <c r="CUU246"/>
      <c r="CUV246"/>
      <c r="CUW246"/>
      <c r="CUX246"/>
      <c r="CUY246"/>
      <c r="CUZ246"/>
      <c r="CVA246"/>
      <c r="CVB246"/>
      <c r="CVC246"/>
      <c r="CVD246"/>
      <c r="CVE246"/>
      <c r="CVF246"/>
      <c r="CVG246"/>
      <c r="CVH246"/>
      <c r="CVI246"/>
      <c r="CVJ246"/>
      <c r="CVK246"/>
      <c r="CVL246"/>
      <c r="CVM246"/>
      <c r="CVN246"/>
      <c r="CVO246"/>
      <c r="CVP246"/>
      <c r="CVQ246"/>
      <c r="CVR246"/>
      <c r="CVS246"/>
      <c r="CVT246"/>
      <c r="CVU246"/>
      <c r="CVV246"/>
      <c r="CVW246"/>
      <c r="CVX246"/>
      <c r="CVY246"/>
      <c r="CVZ246"/>
      <c r="CWA246"/>
      <c r="CWB246"/>
      <c r="CWC246"/>
      <c r="CWD246"/>
      <c r="CWE246"/>
      <c r="CWF246"/>
      <c r="CWG246"/>
      <c r="CWH246"/>
      <c r="CWI246"/>
      <c r="CWJ246"/>
      <c r="CWK246"/>
      <c r="CWL246"/>
      <c r="CWM246"/>
      <c r="CWN246"/>
      <c r="CWO246"/>
      <c r="CWP246"/>
      <c r="CWQ246"/>
      <c r="CWR246"/>
      <c r="CWS246"/>
      <c r="CWT246"/>
      <c r="CWU246"/>
      <c r="CWV246"/>
      <c r="CWW246"/>
      <c r="CWX246"/>
      <c r="CWY246"/>
      <c r="CWZ246"/>
      <c r="CXA246"/>
      <c r="CXB246"/>
      <c r="CXC246"/>
      <c r="CXD246"/>
      <c r="CXE246"/>
      <c r="CXF246"/>
      <c r="CXG246"/>
      <c r="CXH246"/>
      <c r="CXI246"/>
      <c r="CXJ246"/>
      <c r="CXK246"/>
      <c r="CXL246"/>
      <c r="CXM246"/>
      <c r="CXN246"/>
      <c r="CXO246"/>
      <c r="CXP246"/>
      <c r="CXQ246"/>
      <c r="CXR246"/>
      <c r="CXS246"/>
      <c r="CXT246"/>
      <c r="CXU246"/>
      <c r="CXV246"/>
      <c r="CXW246"/>
      <c r="CXX246"/>
      <c r="CXY246"/>
      <c r="CXZ246"/>
      <c r="CYA246"/>
      <c r="CYB246"/>
      <c r="CYC246"/>
      <c r="CYD246"/>
      <c r="CYE246"/>
      <c r="CYF246"/>
      <c r="CYG246"/>
      <c r="CYH246"/>
      <c r="CYI246"/>
      <c r="CYJ246"/>
      <c r="CYK246"/>
      <c r="CYL246"/>
      <c r="CYM246"/>
      <c r="CYN246"/>
      <c r="CYO246"/>
      <c r="CYP246"/>
      <c r="CYQ246"/>
      <c r="CYR246"/>
      <c r="CYS246"/>
      <c r="CYT246"/>
      <c r="CYU246"/>
      <c r="CYV246"/>
      <c r="CYW246"/>
      <c r="CYX246"/>
      <c r="CYY246"/>
      <c r="CYZ246"/>
      <c r="CZA246"/>
      <c r="CZB246"/>
      <c r="CZC246"/>
      <c r="CZD246"/>
      <c r="CZE246"/>
      <c r="CZF246"/>
      <c r="CZG246"/>
      <c r="CZH246"/>
      <c r="CZI246"/>
      <c r="CZJ246"/>
      <c r="CZK246"/>
      <c r="CZL246"/>
      <c r="CZM246"/>
      <c r="CZN246"/>
      <c r="CZO246"/>
      <c r="CZP246"/>
      <c r="CZQ246"/>
      <c r="CZR246"/>
      <c r="CZS246"/>
      <c r="CZT246"/>
      <c r="CZU246"/>
      <c r="CZV246"/>
      <c r="CZW246"/>
      <c r="CZX246"/>
      <c r="CZY246"/>
      <c r="CZZ246"/>
      <c r="DAA246"/>
      <c r="DAB246"/>
      <c r="DAC246"/>
      <c r="DAD246"/>
      <c r="DAE246"/>
      <c r="DAF246"/>
      <c r="DAG246"/>
      <c r="DAH246"/>
      <c r="DAI246"/>
      <c r="DAJ246"/>
      <c r="DAK246"/>
      <c r="DAL246"/>
      <c r="DAM246"/>
      <c r="DAN246"/>
      <c r="DAO246"/>
      <c r="DAP246"/>
      <c r="DAQ246"/>
      <c r="DAR246"/>
      <c r="DAS246"/>
      <c r="DAT246"/>
      <c r="DAU246"/>
      <c r="DAV246"/>
      <c r="DAW246"/>
      <c r="DAX246"/>
      <c r="DAY246"/>
      <c r="DAZ246"/>
      <c r="DBA246"/>
      <c r="DBB246"/>
      <c r="DBC246"/>
      <c r="DBD246"/>
      <c r="DBE246"/>
      <c r="DBF246"/>
      <c r="DBG246"/>
      <c r="DBH246"/>
      <c r="DBI246"/>
      <c r="DBJ246"/>
      <c r="DBK246"/>
      <c r="DBL246"/>
      <c r="DBM246"/>
      <c r="DBN246"/>
      <c r="DBO246"/>
      <c r="DBP246"/>
      <c r="DBQ246"/>
      <c r="DBR246"/>
      <c r="DBS246"/>
      <c r="DBT246"/>
      <c r="DBU246"/>
      <c r="DBV246"/>
      <c r="DBW246"/>
      <c r="DBX246"/>
      <c r="DBY246"/>
      <c r="DBZ246"/>
      <c r="DCA246"/>
      <c r="DCB246"/>
      <c r="DCC246"/>
      <c r="DCD246"/>
      <c r="DCE246"/>
      <c r="DCF246"/>
      <c r="DCG246"/>
      <c r="DCH246"/>
      <c r="DCI246"/>
      <c r="DCJ246"/>
      <c r="DCK246"/>
      <c r="DCL246"/>
      <c r="DCM246"/>
      <c r="DCN246"/>
      <c r="DCO246"/>
      <c r="DCP246"/>
      <c r="DCQ246"/>
      <c r="DCR246"/>
      <c r="DCS246"/>
      <c r="DCT246"/>
      <c r="DCU246"/>
      <c r="DCV246"/>
      <c r="DCW246"/>
      <c r="DCX246"/>
      <c r="DCY246"/>
      <c r="DCZ246"/>
      <c r="DDA246"/>
      <c r="DDB246"/>
      <c r="DDC246"/>
      <c r="DDD246"/>
      <c r="DDE246"/>
      <c r="DDF246"/>
      <c r="DDG246"/>
      <c r="DDH246"/>
      <c r="DDI246"/>
      <c r="DDJ246"/>
      <c r="DDK246"/>
      <c r="DDL246"/>
      <c r="DDM246"/>
      <c r="DDN246"/>
      <c r="DDO246"/>
      <c r="DDP246"/>
      <c r="DDQ246"/>
      <c r="DDR246"/>
      <c r="DDS246"/>
      <c r="DDT246"/>
      <c r="DDU246"/>
      <c r="DDV246"/>
      <c r="DDW246"/>
      <c r="DDX246"/>
      <c r="DDY246"/>
      <c r="DDZ246"/>
      <c r="DEA246"/>
      <c r="DEB246"/>
      <c r="DEC246"/>
      <c r="DED246"/>
      <c r="DEE246"/>
      <c r="DEF246"/>
      <c r="DEG246"/>
      <c r="DEH246"/>
      <c r="DEI246"/>
      <c r="DEJ246"/>
      <c r="DEK246"/>
      <c r="DEL246"/>
      <c r="DEM246"/>
      <c r="DEN246"/>
      <c r="DEO246"/>
      <c r="DEP246"/>
      <c r="DEQ246"/>
      <c r="DER246"/>
      <c r="DES246"/>
      <c r="DET246"/>
      <c r="DEU246"/>
      <c r="DEV246"/>
      <c r="DEW246"/>
      <c r="DEX246"/>
      <c r="DEY246"/>
      <c r="DEZ246"/>
      <c r="DFA246"/>
      <c r="DFB246"/>
      <c r="DFC246"/>
      <c r="DFD246"/>
      <c r="DFE246"/>
      <c r="DFF246"/>
      <c r="DFG246"/>
      <c r="DFH246"/>
      <c r="DFI246"/>
      <c r="DFJ246"/>
      <c r="DFK246"/>
      <c r="DFL246"/>
      <c r="DFM246"/>
      <c r="DFN246"/>
      <c r="DFO246"/>
      <c r="DFP246"/>
      <c r="DFQ246"/>
      <c r="DFR246"/>
      <c r="DFS246"/>
      <c r="DFT246"/>
      <c r="DFU246"/>
      <c r="DFV246"/>
      <c r="DFW246"/>
      <c r="DFX246"/>
      <c r="DFY246"/>
      <c r="DFZ246"/>
      <c r="DGA246"/>
      <c r="DGB246"/>
      <c r="DGC246"/>
      <c r="DGD246"/>
      <c r="DGE246"/>
      <c r="DGF246"/>
      <c r="DGG246"/>
      <c r="DGH246"/>
      <c r="DGI246"/>
      <c r="DGJ246"/>
      <c r="DGK246"/>
      <c r="DGL246"/>
      <c r="DGM246"/>
      <c r="DGN246"/>
      <c r="DGO246"/>
      <c r="DGP246"/>
      <c r="DGQ246"/>
      <c r="DGR246"/>
      <c r="DGS246"/>
      <c r="DGT246"/>
      <c r="DGU246"/>
      <c r="DGV246"/>
      <c r="DGW246"/>
      <c r="DGX246"/>
      <c r="DGY246"/>
      <c r="DGZ246"/>
      <c r="DHA246"/>
      <c r="DHB246"/>
      <c r="DHC246"/>
      <c r="DHD246"/>
      <c r="DHE246"/>
      <c r="DHF246"/>
      <c r="DHG246"/>
      <c r="DHH246"/>
      <c r="DHI246"/>
      <c r="DHJ246"/>
      <c r="DHK246"/>
      <c r="DHL246"/>
      <c r="DHM246"/>
      <c r="DHN246"/>
      <c r="DHO246"/>
      <c r="DHP246"/>
      <c r="DHQ246"/>
      <c r="DHR246"/>
      <c r="DHS246"/>
      <c r="DHT246"/>
      <c r="DHU246"/>
      <c r="DHV246"/>
      <c r="DHW246"/>
      <c r="DHX246"/>
      <c r="DHY246"/>
      <c r="DHZ246"/>
      <c r="DIA246"/>
      <c r="DIB246"/>
      <c r="DIC246"/>
      <c r="DID246"/>
      <c r="DIE246"/>
      <c r="DIF246"/>
      <c r="DIG246"/>
      <c r="DIH246"/>
      <c r="DII246"/>
      <c r="DIJ246"/>
      <c r="DIK246"/>
      <c r="DIL246"/>
      <c r="DIM246"/>
      <c r="DIN246"/>
      <c r="DIO246"/>
      <c r="DIP246"/>
      <c r="DIQ246"/>
      <c r="DIR246"/>
      <c r="DIS246"/>
      <c r="DIT246"/>
      <c r="DIU246"/>
      <c r="DIV246"/>
      <c r="DIW246"/>
      <c r="DIX246"/>
      <c r="DIY246"/>
      <c r="DIZ246"/>
      <c r="DJA246"/>
      <c r="DJB246"/>
      <c r="DJC246"/>
      <c r="DJD246"/>
      <c r="DJE246"/>
      <c r="DJF246"/>
      <c r="DJG246"/>
      <c r="DJH246"/>
      <c r="DJI246"/>
      <c r="DJJ246"/>
      <c r="DJK246"/>
      <c r="DJL246"/>
      <c r="DJM246"/>
      <c r="DJN246"/>
      <c r="DJO246"/>
      <c r="DJP246"/>
      <c r="DJQ246"/>
      <c r="DJR246"/>
      <c r="DJS246"/>
      <c r="DJT246"/>
      <c r="DJU246"/>
      <c r="DJV246"/>
      <c r="DJW246"/>
      <c r="DJX246"/>
      <c r="DJY246"/>
      <c r="DJZ246"/>
      <c r="DKA246"/>
      <c r="DKB246"/>
      <c r="DKC246"/>
      <c r="DKD246"/>
      <c r="DKE246"/>
      <c r="DKF246"/>
      <c r="DKG246"/>
      <c r="DKH246"/>
      <c r="DKI246"/>
      <c r="DKJ246"/>
      <c r="DKK246"/>
      <c r="DKL246"/>
      <c r="DKM246"/>
      <c r="DKN246"/>
      <c r="DKO246"/>
      <c r="DKP246"/>
      <c r="DKQ246"/>
      <c r="DKR246"/>
      <c r="DKS246"/>
      <c r="DKT246"/>
      <c r="DKU246"/>
      <c r="DKV246"/>
      <c r="DKW246"/>
      <c r="DKX246"/>
      <c r="DKY246"/>
      <c r="DKZ246"/>
      <c r="DLA246"/>
      <c r="DLB246"/>
      <c r="DLC246"/>
      <c r="DLD246"/>
      <c r="DLE246"/>
      <c r="DLF246"/>
      <c r="DLG246"/>
      <c r="DLH246"/>
      <c r="DLI246"/>
      <c r="DLJ246"/>
      <c r="DLK246"/>
      <c r="DLL246"/>
      <c r="DLM246"/>
      <c r="DLN246"/>
      <c r="DLO246"/>
      <c r="DLP246"/>
      <c r="DLQ246"/>
      <c r="DLR246"/>
      <c r="DLS246"/>
      <c r="DLT246"/>
      <c r="DLU246"/>
      <c r="DLV246"/>
      <c r="DLW246"/>
      <c r="DLX246"/>
      <c r="DLY246"/>
      <c r="DLZ246"/>
      <c r="DMA246"/>
      <c r="DMB246"/>
      <c r="DMC246"/>
      <c r="DMD246"/>
      <c r="DME246"/>
      <c r="DMF246"/>
      <c r="DMG246"/>
      <c r="DMH246"/>
      <c r="DMI246"/>
      <c r="DMJ246"/>
      <c r="DMK246"/>
      <c r="DML246"/>
      <c r="DMM246"/>
      <c r="DMN246"/>
      <c r="DMO246"/>
      <c r="DMP246"/>
      <c r="DMQ246"/>
      <c r="DMR246"/>
      <c r="DMS246"/>
      <c r="DMT246"/>
      <c r="DMU246"/>
      <c r="DMV246"/>
      <c r="DMW246"/>
      <c r="DMX246"/>
      <c r="DMY246"/>
      <c r="DMZ246"/>
      <c r="DNA246"/>
      <c r="DNB246"/>
      <c r="DNC246"/>
      <c r="DND246"/>
      <c r="DNE246"/>
      <c r="DNF246"/>
      <c r="DNG246"/>
      <c r="DNH246"/>
      <c r="DNI246"/>
      <c r="DNJ246"/>
      <c r="DNK246"/>
      <c r="DNL246"/>
      <c r="DNM246"/>
      <c r="DNN246"/>
      <c r="DNO246"/>
      <c r="DNP246"/>
      <c r="DNQ246"/>
      <c r="DNR246"/>
      <c r="DNS246"/>
      <c r="DNT246"/>
      <c r="DNU246"/>
      <c r="DNV246"/>
      <c r="DNW246"/>
      <c r="DNX246"/>
      <c r="DNY246"/>
      <c r="DNZ246"/>
      <c r="DOA246"/>
      <c r="DOB246"/>
      <c r="DOC246"/>
      <c r="DOD246"/>
      <c r="DOE246"/>
      <c r="DOF246"/>
      <c r="DOG246"/>
      <c r="DOH246"/>
      <c r="DOI246"/>
      <c r="DOJ246"/>
      <c r="DOK246"/>
      <c r="DOL246"/>
      <c r="DOM246"/>
      <c r="DON246"/>
      <c r="DOO246"/>
      <c r="DOP246"/>
      <c r="DOQ246"/>
      <c r="DOR246"/>
      <c r="DOS246"/>
      <c r="DOT246"/>
      <c r="DOU246"/>
      <c r="DOV246"/>
      <c r="DOW246"/>
      <c r="DOX246"/>
      <c r="DOY246"/>
      <c r="DOZ246"/>
      <c r="DPA246"/>
      <c r="DPB246"/>
      <c r="DPC246"/>
      <c r="DPD246"/>
      <c r="DPE246"/>
      <c r="DPF246"/>
      <c r="DPG246"/>
      <c r="DPH246"/>
      <c r="DPI246"/>
      <c r="DPJ246"/>
      <c r="DPK246"/>
      <c r="DPL246"/>
      <c r="DPM246"/>
      <c r="DPN246"/>
      <c r="DPO246"/>
      <c r="DPP246"/>
      <c r="DPQ246"/>
      <c r="DPR246"/>
      <c r="DPS246"/>
      <c r="DPT246"/>
      <c r="DPU246"/>
      <c r="DPV246"/>
      <c r="DPW246"/>
      <c r="DPX246"/>
      <c r="DPY246"/>
      <c r="DPZ246"/>
      <c r="DQA246"/>
      <c r="DQB246"/>
      <c r="DQC246"/>
      <c r="DQD246"/>
      <c r="DQE246"/>
      <c r="DQF246"/>
      <c r="DQG246"/>
      <c r="DQH246"/>
      <c r="DQI246"/>
      <c r="DQJ246"/>
      <c r="DQK246"/>
      <c r="DQL246"/>
      <c r="DQM246"/>
      <c r="DQN246"/>
      <c r="DQO246"/>
      <c r="DQP246"/>
      <c r="DQQ246"/>
      <c r="DQR246"/>
      <c r="DQS246"/>
      <c r="DQT246"/>
      <c r="DQU246"/>
      <c r="DQV246"/>
      <c r="DQW246"/>
      <c r="DQX246"/>
      <c r="DQY246"/>
      <c r="DQZ246"/>
      <c r="DRA246"/>
      <c r="DRB246"/>
      <c r="DRC246"/>
      <c r="DRD246"/>
      <c r="DRE246"/>
      <c r="DRF246"/>
      <c r="DRG246"/>
      <c r="DRH246"/>
      <c r="DRI246"/>
      <c r="DRJ246"/>
      <c r="DRK246"/>
      <c r="DRL246"/>
      <c r="DRM246"/>
      <c r="DRN246"/>
      <c r="DRO246"/>
      <c r="DRP246"/>
      <c r="DRQ246"/>
      <c r="DRR246"/>
      <c r="DRS246"/>
      <c r="DRT246"/>
      <c r="DRU246"/>
      <c r="DRV246"/>
      <c r="DRW246"/>
      <c r="DRX246"/>
      <c r="DRY246"/>
      <c r="DRZ246"/>
      <c r="DSA246"/>
      <c r="DSB246"/>
      <c r="DSC246"/>
      <c r="DSD246"/>
      <c r="DSE246"/>
      <c r="DSF246"/>
      <c r="DSG246"/>
      <c r="DSH246"/>
      <c r="DSI246"/>
      <c r="DSJ246"/>
      <c r="DSK246"/>
      <c r="DSL246"/>
      <c r="DSM246"/>
      <c r="DSN246"/>
      <c r="DSO246"/>
      <c r="DSP246"/>
      <c r="DSQ246"/>
      <c r="DSR246"/>
      <c r="DSS246"/>
      <c r="DST246"/>
      <c r="DSU246"/>
      <c r="DSV246"/>
      <c r="DSW246"/>
      <c r="DSX246"/>
      <c r="DSY246"/>
      <c r="DSZ246"/>
      <c r="DTA246"/>
      <c r="DTB246"/>
      <c r="DTC246"/>
      <c r="DTD246"/>
      <c r="DTE246"/>
      <c r="DTF246"/>
      <c r="DTG246"/>
      <c r="DTH246"/>
      <c r="DTI246"/>
      <c r="DTJ246"/>
      <c r="DTK246"/>
      <c r="DTL246"/>
      <c r="DTM246"/>
      <c r="DTN246"/>
      <c r="DTO246"/>
      <c r="DTP246"/>
      <c r="DTQ246"/>
      <c r="DTR246"/>
      <c r="DTS246"/>
      <c r="DTT246"/>
      <c r="DTU246"/>
      <c r="DTV246"/>
      <c r="DTW246"/>
      <c r="DTX246"/>
      <c r="DTY246"/>
      <c r="DTZ246"/>
      <c r="DUA246"/>
      <c r="DUB246"/>
      <c r="DUC246"/>
      <c r="DUD246"/>
      <c r="DUE246"/>
      <c r="DUF246"/>
      <c r="DUG246"/>
      <c r="DUH246"/>
      <c r="DUI246"/>
      <c r="DUJ246"/>
      <c r="DUK246"/>
      <c r="DUL246"/>
      <c r="DUM246"/>
      <c r="DUN246"/>
      <c r="DUO246"/>
      <c r="DUP246"/>
      <c r="DUQ246"/>
      <c r="DUR246"/>
      <c r="DUS246"/>
      <c r="DUT246"/>
      <c r="DUU246"/>
      <c r="DUV246"/>
      <c r="DUW246"/>
      <c r="DUX246"/>
      <c r="DUY246"/>
      <c r="DUZ246"/>
      <c r="DVA246"/>
      <c r="DVB246"/>
      <c r="DVC246"/>
      <c r="DVD246"/>
      <c r="DVE246"/>
      <c r="DVF246"/>
      <c r="DVG246"/>
      <c r="DVH246"/>
      <c r="DVI246"/>
      <c r="DVJ246"/>
      <c r="DVK246"/>
      <c r="DVL246"/>
      <c r="DVM246"/>
      <c r="DVN246"/>
      <c r="DVO246"/>
      <c r="DVP246"/>
      <c r="DVQ246"/>
      <c r="DVR246"/>
      <c r="DVS246"/>
      <c r="DVT246"/>
      <c r="DVU246"/>
      <c r="DVV246"/>
      <c r="DVW246"/>
      <c r="DVX246"/>
      <c r="DVY246"/>
      <c r="DVZ246"/>
      <c r="DWA246"/>
      <c r="DWB246"/>
      <c r="DWC246"/>
      <c r="DWD246"/>
      <c r="DWE246"/>
      <c r="DWF246"/>
      <c r="DWG246"/>
      <c r="DWH246"/>
      <c r="DWI246"/>
      <c r="DWJ246"/>
      <c r="DWK246"/>
      <c r="DWL246"/>
      <c r="DWM246"/>
      <c r="DWN246"/>
      <c r="DWO246"/>
      <c r="DWP246"/>
      <c r="DWQ246"/>
      <c r="DWR246"/>
      <c r="DWS246"/>
      <c r="DWT246"/>
      <c r="DWU246"/>
      <c r="DWV246"/>
      <c r="DWW246"/>
      <c r="DWX246"/>
      <c r="DWY246"/>
      <c r="DWZ246"/>
      <c r="DXA246"/>
      <c r="DXB246"/>
      <c r="DXC246"/>
      <c r="DXD246"/>
      <c r="DXE246"/>
      <c r="DXF246"/>
      <c r="DXG246"/>
      <c r="DXH246"/>
      <c r="DXI246"/>
      <c r="DXJ246"/>
      <c r="DXK246"/>
      <c r="DXL246"/>
      <c r="DXM246"/>
      <c r="DXN246"/>
      <c r="DXO246"/>
      <c r="DXP246"/>
      <c r="DXQ246"/>
      <c r="DXR246"/>
      <c r="DXS246"/>
      <c r="DXT246"/>
      <c r="DXU246"/>
      <c r="DXV246"/>
      <c r="DXW246"/>
      <c r="DXX246"/>
      <c r="DXY246"/>
      <c r="DXZ246"/>
      <c r="DYA246"/>
      <c r="DYB246"/>
      <c r="DYC246"/>
      <c r="DYD246"/>
      <c r="DYE246"/>
      <c r="DYF246"/>
      <c r="DYG246"/>
      <c r="DYH246"/>
      <c r="DYI246"/>
      <c r="DYJ246"/>
      <c r="DYK246"/>
      <c r="DYL246"/>
      <c r="DYM246"/>
      <c r="DYN246"/>
      <c r="DYO246"/>
      <c r="DYP246"/>
      <c r="DYQ246"/>
      <c r="DYR246"/>
      <c r="DYS246"/>
      <c r="DYT246"/>
      <c r="DYU246"/>
      <c r="DYV246"/>
      <c r="DYW246"/>
      <c r="DYX246"/>
      <c r="DYY246"/>
      <c r="DYZ246"/>
      <c r="DZA246"/>
      <c r="DZB246"/>
      <c r="DZC246"/>
      <c r="DZD246"/>
      <c r="DZE246"/>
      <c r="DZF246"/>
      <c r="DZG246"/>
      <c r="DZH246"/>
      <c r="DZI246"/>
      <c r="DZJ246"/>
      <c r="DZK246"/>
      <c r="DZL246"/>
      <c r="DZM246"/>
      <c r="DZN246"/>
      <c r="DZO246"/>
      <c r="DZP246"/>
      <c r="DZQ246"/>
      <c r="DZR246"/>
      <c r="DZS246"/>
      <c r="DZT246"/>
      <c r="DZU246"/>
      <c r="DZV246"/>
      <c r="DZW246"/>
      <c r="DZX246"/>
      <c r="DZY246"/>
      <c r="DZZ246"/>
      <c r="EAA246"/>
      <c r="EAB246"/>
      <c r="EAC246"/>
      <c r="EAD246"/>
      <c r="EAE246"/>
      <c r="EAF246"/>
      <c r="EAG246"/>
      <c r="EAH246"/>
      <c r="EAI246"/>
      <c r="EAJ246"/>
      <c r="EAK246"/>
      <c r="EAL246"/>
      <c r="EAM246"/>
      <c r="EAN246"/>
      <c r="EAO246"/>
      <c r="EAP246"/>
      <c r="EAQ246"/>
      <c r="EAR246"/>
      <c r="EAS246"/>
      <c r="EAT246"/>
      <c r="EAU246"/>
      <c r="EAV246"/>
      <c r="EAW246"/>
      <c r="EAX246"/>
      <c r="EAY246"/>
      <c r="EAZ246"/>
      <c r="EBA246"/>
      <c r="EBB246"/>
      <c r="EBC246"/>
      <c r="EBD246"/>
      <c r="EBE246"/>
      <c r="EBF246"/>
      <c r="EBG246"/>
      <c r="EBH246"/>
      <c r="EBI246"/>
      <c r="EBJ246"/>
      <c r="EBK246"/>
      <c r="EBL246"/>
      <c r="EBM246"/>
      <c r="EBN246"/>
      <c r="EBO246"/>
      <c r="EBP246"/>
      <c r="EBQ246"/>
      <c r="EBR246"/>
      <c r="EBS246"/>
      <c r="EBT246"/>
      <c r="EBU246"/>
      <c r="EBV246"/>
      <c r="EBW246"/>
      <c r="EBX246"/>
      <c r="EBY246"/>
      <c r="EBZ246"/>
      <c r="ECA246"/>
      <c r="ECB246"/>
      <c r="ECC246"/>
      <c r="ECD246"/>
      <c r="ECE246"/>
      <c r="ECF246"/>
      <c r="ECG246"/>
      <c r="ECH246"/>
      <c r="ECI246"/>
      <c r="ECJ246"/>
      <c r="ECK246"/>
      <c r="ECL246"/>
      <c r="ECM246"/>
      <c r="ECN246"/>
      <c r="ECO246"/>
      <c r="ECP246"/>
      <c r="ECQ246"/>
      <c r="ECR246"/>
      <c r="ECS246"/>
      <c r="ECT246"/>
      <c r="ECU246"/>
      <c r="ECV246"/>
      <c r="ECW246"/>
      <c r="ECX246"/>
      <c r="ECY246"/>
      <c r="ECZ246"/>
      <c r="EDA246"/>
      <c r="EDB246"/>
      <c r="EDC246"/>
      <c r="EDD246"/>
      <c r="EDE246"/>
      <c r="EDF246"/>
      <c r="EDG246"/>
      <c r="EDH246"/>
      <c r="EDI246"/>
      <c r="EDJ246"/>
      <c r="EDK246"/>
      <c r="EDL246"/>
      <c r="EDM246"/>
      <c r="EDN246"/>
      <c r="EDO246"/>
      <c r="EDP246"/>
      <c r="EDQ246"/>
      <c r="EDR246"/>
      <c r="EDS246"/>
      <c r="EDT246"/>
      <c r="EDU246"/>
      <c r="EDV246"/>
      <c r="EDW246"/>
      <c r="EDX246"/>
      <c r="EDY246"/>
      <c r="EDZ246"/>
      <c r="EEA246"/>
      <c r="EEB246"/>
      <c r="EEC246"/>
      <c r="EED246"/>
      <c r="EEE246"/>
      <c r="EEF246"/>
      <c r="EEG246"/>
      <c r="EEH246"/>
      <c r="EEI246"/>
      <c r="EEJ246"/>
      <c r="EEK246"/>
      <c r="EEL246"/>
      <c r="EEM246"/>
      <c r="EEN246"/>
      <c r="EEO246"/>
      <c r="EEP246"/>
      <c r="EEQ246"/>
      <c r="EER246"/>
      <c r="EES246"/>
      <c r="EET246"/>
      <c r="EEU246"/>
      <c r="EEV246"/>
      <c r="EEW246"/>
      <c r="EEX246"/>
      <c r="EEY246"/>
      <c r="EEZ246"/>
      <c r="EFA246"/>
      <c r="EFB246"/>
      <c r="EFC246"/>
      <c r="EFD246"/>
      <c r="EFE246"/>
      <c r="EFF246"/>
      <c r="EFG246"/>
      <c r="EFH246"/>
      <c r="EFI246"/>
      <c r="EFJ246"/>
      <c r="EFK246"/>
      <c r="EFL246"/>
      <c r="EFM246"/>
      <c r="EFN246"/>
      <c r="EFO246"/>
      <c r="EFP246"/>
      <c r="EFQ246"/>
      <c r="EFR246"/>
      <c r="EFS246"/>
      <c r="EFT246"/>
      <c r="EFU246"/>
      <c r="EFV246"/>
      <c r="EFW246"/>
      <c r="EFX246"/>
      <c r="EFY246"/>
      <c r="EFZ246"/>
      <c r="EGA246"/>
      <c r="EGB246"/>
      <c r="EGC246"/>
      <c r="EGD246"/>
      <c r="EGE246"/>
      <c r="EGF246"/>
      <c r="EGG246"/>
      <c r="EGH246"/>
      <c r="EGI246"/>
      <c r="EGJ246"/>
      <c r="EGK246"/>
      <c r="EGL246"/>
      <c r="EGM246"/>
      <c r="EGN246"/>
      <c r="EGO246"/>
      <c r="EGP246"/>
      <c r="EGQ246"/>
      <c r="EGR246"/>
      <c r="EGS246"/>
      <c r="EGT246"/>
      <c r="EGU246"/>
      <c r="EGV246"/>
      <c r="EGW246"/>
      <c r="EGX246"/>
      <c r="EGY246"/>
      <c r="EGZ246"/>
      <c r="EHA246"/>
      <c r="EHB246"/>
      <c r="EHC246"/>
      <c r="EHD246"/>
      <c r="EHE246"/>
      <c r="EHF246"/>
      <c r="EHG246"/>
      <c r="EHH246"/>
      <c r="EHI246"/>
      <c r="EHJ246"/>
      <c r="EHK246"/>
      <c r="EHL246"/>
      <c r="EHM246"/>
      <c r="EHN246"/>
      <c r="EHO246"/>
      <c r="EHP246"/>
      <c r="EHQ246"/>
      <c r="EHR246"/>
      <c r="EHS246"/>
      <c r="EHT246"/>
      <c r="EHU246"/>
      <c r="EHV246"/>
      <c r="EHW246"/>
      <c r="EHX246"/>
      <c r="EHY246"/>
      <c r="EHZ246"/>
      <c r="EIA246"/>
      <c r="EIB246"/>
      <c r="EIC246"/>
      <c r="EID246"/>
      <c r="EIE246"/>
      <c r="EIF246"/>
      <c r="EIG246"/>
      <c r="EIH246"/>
      <c r="EII246"/>
      <c r="EIJ246"/>
      <c r="EIK246"/>
      <c r="EIL246"/>
      <c r="EIM246"/>
      <c r="EIN246"/>
      <c r="EIO246"/>
      <c r="EIP246"/>
      <c r="EIQ246"/>
      <c r="EIR246"/>
      <c r="EIS246"/>
      <c r="EIT246"/>
      <c r="EIU246"/>
      <c r="EIV246"/>
      <c r="EIW246"/>
      <c r="EIX246"/>
      <c r="EIY246"/>
      <c r="EIZ246"/>
      <c r="EJA246"/>
      <c r="EJB246"/>
      <c r="EJC246"/>
      <c r="EJD246"/>
      <c r="EJE246"/>
      <c r="EJF246"/>
      <c r="EJG246"/>
      <c r="EJH246"/>
      <c r="EJI246"/>
      <c r="EJJ246"/>
      <c r="EJK246"/>
      <c r="EJL246"/>
      <c r="EJM246"/>
      <c r="EJN246"/>
      <c r="EJO246"/>
      <c r="EJP246"/>
      <c r="EJQ246"/>
      <c r="EJR246"/>
      <c r="EJS246"/>
      <c r="EJT246"/>
      <c r="EJU246"/>
      <c r="EJV246"/>
      <c r="EJW246"/>
      <c r="EJX246"/>
      <c r="EJY246"/>
      <c r="EJZ246"/>
      <c r="EKA246"/>
      <c r="EKB246"/>
      <c r="EKC246"/>
      <c r="EKD246"/>
      <c r="EKE246"/>
      <c r="EKF246"/>
      <c r="EKG246"/>
      <c r="EKH246"/>
      <c r="EKI246"/>
      <c r="EKJ246"/>
      <c r="EKK246"/>
      <c r="EKL246"/>
      <c r="EKM246"/>
      <c r="EKN246"/>
      <c r="EKO246"/>
      <c r="EKP246"/>
      <c r="EKQ246"/>
      <c r="EKR246"/>
      <c r="EKS246"/>
      <c r="EKT246"/>
      <c r="EKU246"/>
      <c r="EKV246"/>
      <c r="EKW246"/>
      <c r="EKX246"/>
      <c r="EKY246"/>
      <c r="EKZ246"/>
      <c r="ELA246"/>
      <c r="ELB246"/>
      <c r="ELC246"/>
      <c r="ELD246"/>
      <c r="ELE246"/>
      <c r="ELF246"/>
      <c r="ELG246"/>
      <c r="ELH246"/>
      <c r="ELI246"/>
      <c r="ELJ246"/>
      <c r="ELK246"/>
      <c r="ELL246"/>
      <c r="ELM246"/>
      <c r="ELN246"/>
      <c r="ELO246"/>
      <c r="ELP246"/>
      <c r="ELQ246"/>
      <c r="ELR246"/>
      <c r="ELS246"/>
      <c r="ELT246"/>
      <c r="ELU246"/>
      <c r="ELV246"/>
      <c r="ELW246"/>
      <c r="ELX246"/>
      <c r="ELY246"/>
      <c r="ELZ246"/>
      <c r="EMA246"/>
      <c r="EMB246"/>
      <c r="EMC246"/>
      <c r="EMD246"/>
      <c r="EME246"/>
      <c r="EMF246"/>
      <c r="EMG246"/>
      <c r="EMH246"/>
      <c r="EMI246"/>
      <c r="EMJ246"/>
      <c r="EMK246"/>
      <c r="EML246"/>
      <c r="EMM246"/>
      <c r="EMN246"/>
      <c r="EMO246"/>
      <c r="EMP246"/>
      <c r="EMQ246"/>
      <c r="EMR246"/>
      <c r="EMS246"/>
      <c r="EMT246"/>
      <c r="EMU246"/>
      <c r="EMV246"/>
      <c r="EMW246"/>
      <c r="EMX246"/>
      <c r="EMY246"/>
      <c r="EMZ246"/>
      <c r="ENA246"/>
      <c r="ENB246"/>
      <c r="ENC246"/>
      <c r="END246"/>
      <c r="ENE246"/>
      <c r="ENF246"/>
      <c r="ENG246"/>
      <c r="ENH246"/>
      <c r="ENI246"/>
      <c r="ENJ246"/>
      <c r="ENK246"/>
      <c r="ENL246"/>
      <c r="ENM246"/>
      <c r="ENN246"/>
      <c r="ENO246"/>
      <c r="ENP246"/>
      <c r="ENQ246"/>
      <c r="ENR246"/>
      <c r="ENS246"/>
      <c r="ENT246"/>
      <c r="ENU246"/>
      <c r="ENV246"/>
      <c r="ENW246"/>
      <c r="ENX246"/>
      <c r="ENY246"/>
      <c r="ENZ246"/>
      <c r="EOA246"/>
      <c r="EOB246"/>
      <c r="EOC246"/>
      <c r="EOD246"/>
      <c r="EOE246"/>
      <c r="EOF246"/>
      <c r="EOG246"/>
      <c r="EOH246"/>
      <c r="EOI246"/>
      <c r="EOJ246"/>
      <c r="EOK246"/>
      <c r="EOL246"/>
      <c r="EOM246"/>
      <c r="EON246"/>
      <c r="EOO246"/>
      <c r="EOP246"/>
      <c r="EOQ246"/>
      <c r="EOR246"/>
      <c r="EOS246"/>
      <c r="EOT246"/>
      <c r="EOU246"/>
      <c r="EOV246"/>
      <c r="EOW246"/>
      <c r="EOX246"/>
      <c r="EOY246"/>
      <c r="EOZ246"/>
      <c r="EPA246"/>
      <c r="EPB246"/>
      <c r="EPC246"/>
      <c r="EPD246"/>
      <c r="EPE246"/>
      <c r="EPF246"/>
      <c r="EPG246"/>
      <c r="EPH246"/>
      <c r="EPI246"/>
      <c r="EPJ246"/>
      <c r="EPK246"/>
      <c r="EPL246"/>
      <c r="EPM246"/>
      <c r="EPN246"/>
      <c r="EPO246"/>
      <c r="EPP246"/>
      <c r="EPQ246"/>
      <c r="EPR246"/>
      <c r="EPS246"/>
      <c r="EPT246"/>
      <c r="EPU246"/>
      <c r="EPV246"/>
      <c r="EPW246"/>
      <c r="EPX246"/>
      <c r="EPY246"/>
      <c r="EPZ246"/>
      <c r="EQA246"/>
      <c r="EQB246"/>
      <c r="EQC246"/>
      <c r="EQD246"/>
      <c r="EQE246"/>
      <c r="EQF246"/>
      <c r="EQG246"/>
      <c r="EQH246"/>
      <c r="EQI246"/>
      <c r="EQJ246"/>
      <c r="EQK246"/>
      <c r="EQL246"/>
      <c r="EQM246"/>
      <c r="EQN246"/>
      <c r="EQO246"/>
      <c r="EQP246"/>
      <c r="EQQ246"/>
      <c r="EQR246"/>
      <c r="EQS246"/>
      <c r="EQT246"/>
      <c r="EQU246"/>
      <c r="EQV246"/>
      <c r="EQW246"/>
      <c r="EQX246"/>
      <c r="EQY246"/>
      <c r="EQZ246"/>
      <c r="ERA246"/>
      <c r="ERB246"/>
      <c r="ERC246"/>
      <c r="ERD246"/>
      <c r="ERE246"/>
      <c r="ERF246"/>
      <c r="ERG246"/>
      <c r="ERH246"/>
      <c r="ERI246"/>
      <c r="ERJ246"/>
      <c r="ERK246"/>
      <c r="ERL246"/>
      <c r="ERM246"/>
      <c r="ERN246"/>
      <c r="ERO246"/>
      <c r="ERP246"/>
      <c r="ERQ246"/>
      <c r="ERR246"/>
      <c r="ERS246"/>
      <c r="ERT246"/>
      <c r="ERU246"/>
      <c r="ERV246"/>
      <c r="ERW246"/>
      <c r="ERX246"/>
      <c r="ERY246"/>
      <c r="ERZ246"/>
      <c r="ESA246"/>
      <c r="ESB246"/>
      <c r="ESC246"/>
      <c r="ESD246"/>
      <c r="ESE246"/>
      <c r="ESF246"/>
      <c r="ESG246"/>
      <c r="ESH246"/>
      <c r="ESI246"/>
      <c r="ESJ246"/>
      <c r="ESK246"/>
      <c r="ESL246"/>
      <c r="ESM246"/>
      <c r="ESN246"/>
      <c r="ESO246"/>
      <c r="ESP246"/>
      <c r="ESQ246"/>
      <c r="ESR246"/>
      <c r="ESS246"/>
      <c r="EST246"/>
      <c r="ESU246"/>
      <c r="ESV246"/>
      <c r="ESW246"/>
      <c r="ESX246"/>
      <c r="ESY246"/>
      <c r="ESZ246"/>
      <c r="ETA246"/>
      <c r="ETB246"/>
      <c r="ETC246"/>
      <c r="ETD246"/>
      <c r="ETE246"/>
      <c r="ETF246"/>
      <c r="ETG246"/>
      <c r="ETH246"/>
      <c r="ETI246"/>
      <c r="ETJ246"/>
      <c r="ETK246"/>
      <c r="ETL246"/>
      <c r="ETM246"/>
      <c r="ETN246"/>
      <c r="ETO246"/>
      <c r="ETP246"/>
      <c r="ETQ246"/>
      <c r="ETR246"/>
      <c r="ETS246"/>
      <c r="ETT246"/>
      <c r="ETU246"/>
      <c r="ETV246"/>
      <c r="ETW246"/>
      <c r="ETX246"/>
      <c r="ETY246"/>
      <c r="ETZ246"/>
      <c r="EUA246"/>
      <c r="EUB246"/>
      <c r="EUC246"/>
      <c r="EUD246"/>
      <c r="EUE246"/>
      <c r="EUF246"/>
      <c r="EUG246"/>
      <c r="EUH246"/>
      <c r="EUI246"/>
      <c r="EUJ246"/>
      <c r="EUK246"/>
      <c r="EUL246"/>
      <c r="EUM246"/>
      <c r="EUN246"/>
      <c r="EUO246"/>
      <c r="EUP246"/>
      <c r="EUQ246"/>
      <c r="EUR246"/>
      <c r="EUS246"/>
      <c r="EUT246"/>
      <c r="EUU246"/>
      <c r="EUV246"/>
      <c r="EUW246"/>
      <c r="EUX246"/>
      <c r="EUY246"/>
      <c r="EUZ246"/>
      <c r="EVA246"/>
      <c r="EVB246"/>
      <c r="EVC246"/>
      <c r="EVD246"/>
      <c r="EVE246"/>
      <c r="EVF246"/>
      <c r="EVG246"/>
      <c r="EVH246"/>
      <c r="EVI246"/>
      <c r="EVJ246"/>
      <c r="EVK246"/>
      <c r="EVL246"/>
      <c r="EVM246"/>
      <c r="EVN246"/>
      <c r="EVO246"/>
      <c r="EVP246"/>
      <c r="EVQ246"/>
      <c r="EVR246"/>
      <c r="EVS246"/>
      <c r="EVT246"/>
      <c r="EVU246"/>
      <c r="EVV246"/>
      <c r="EVW246"/>
      <c r="EVX246"/>
      <c r="EVY246"/>
      <c r="EVZ246"/>
      <c r="EWA246"/>
      <c r="EWB246"/>
      <c r="EWC246"/>
      <c r="EWD246"/>
      <c r="EWE246"/>
      <c r="EWF246"/>
      <c r="EWG246"/>
      <c r="EWH246"/>
      <c r="EWI246"/>
      <c r="EWJ246"/>
      <c r="EWK246"/>
      <c r="EWL246"/>
      <c r="EWM246"/>
      <c r="EWN246"/>
      <c r="EWO246"/>
      <c r="EWP246"/>
      <c r="EWQ246"/>
      <c r="EWR246"/>
      <c r="EWS246"/>
      <c r="EWT246"/>
      <c r="EWU246"/>
      <c r="EWV246"/>
      <c r="EWW246"/>
      <c r="EWX246"/>
      <c r="EWY246"/>
      <c r="EWZ246"/>
      <c r="EXA246"/>
      <c r="EXB246"/>
      <c r="EXC246"/>
      <c r="EXD246"/>
      <c r="EXE246"/>
      <c r="EXF246"/>
      <c r="EXG246"/>
      <c r="EXH246"/>
      <c r="EXI246"/>
      <c r="EXJ246"/>
      <c r="EXK246"/>
      <c r="EXL246"/>
      <c r="EXM246"/>
      <c r="EXN246"/>
      <c r="EXO246"/>
      <c r="EXP246"/>
      <c r="EXQ246"/>
      <c r="EXR246"/>
      <c r="EXS246"/>
      <c r="EXT246"/>
      <c r="EXU246"/>
      <c r="EXV246"/>
      <c r="EXW246"/>
      <c r="EXX246"/>
      <c r="EXY246"/>
      <c r="EXZ246"/>
      <c r="EYA246"/>
      <c r="EYB246"/>
      <c r="EYC246"/>
      <c r="EYD246"/>
      <c r="EYE246"/>
      <c r="EYF246"/>
      <c r="EYG246"/>
      <c r="EYH246"/>
      <c r="EYI246"/>
      <c r="EYJ246"/>
      <c r="EYK246"/>
      <c r="EYL246"/>
      <c r="EYM246"/>
      <c r="EYN246"/>
      <c r="EYO246"/>
      <c r="EYP246"/>
      <c r="EYQ246"/>
      <c r="EYR246"/>
      <c r="EYS246"/>
      <c r="EYT246"/>
      <c r="EYU246"/>
      <c r="EYV246"/>
      <c r="EYW246"/>
      <c r="EYX246"/>
      <c r="EYY246"/>
      <c r="EYZ246"/>
      <c r="EZA246"/>
      <c r="EZB246"/>
      <c r="EZC246"/>
      <c r="EZD246"/>
      <c r="EZE246"/>
      <c r="EZF246"/>
      <c r="EZG246"/>
      <c r="EZH246"/>
      <c r="EZI246"/>
      <c r="EZJ246"/>
      <c r="EZK246"/>
      <c r="EZL246"/>
      <c r="EZM246"/>
      <c r="EZN246"/>
      <c r="EZO246"/>
      <c r="EZP246"/>
      <c r="EZQ246"/>
      <c r="EZR246"/>
      <c r="EZS246"/>
      <c r="EZT246"/>
      <c r="EZU246"/>
      <c r="EZV246"/>
      <c r="EZW246"/>
      <c r="EZX246"/>
      <c r="EZY246"/>
      <c r="EZZ246"/>
      <c r="FAA246"/>
      <c r="FAB246"/>
      <c r="FAC246"/>
      <c r="FAD246"/>
      <c r="FAE246"/>
      <c r="FAF246"/>
      <c r="FAG246"/>
      <c r="FAH246"/>
      <c r="FAI246"/>
      <c r="FAJ246"/>
      <c r="FAK246"/>
      <c r="FAL246"/>
      <c r="FAM246"/>
      <c r="FAN246"/>
      <c r="FAO246"/>
      <c r="FAP246"/>
      <c r="FAQ246"/>
      <c r="FAR246"/>
      <c r="FAS246"/>
      <c r="FAT246"/>
      <c r="FAU246"/>
      <c r="FAV246"/>
      <c r="FAW246"/>
      <c r="FAX246"/>
      <c r="FAY246"/>
      <c r="FAZ246"/>
      <c r="FBA246"/>
      <c r="FBB246"/>
      <c r="FBC246"/>
      <c r="FBD246"/>
      <c r="FBE246"/>
      <c r="FBF246"/>
      <c r="FBG246"/>
      <c r="FBH246"/>
      <c r="FBI246"/>
      <c r="FBJ246"/>
      <c r="FBK246"/>
      <c r="FBL246"/>
      <c r="FBM246"/>
      <c r="FBN246"/>
      <c r="FBO246"/>
      <c r="FBP246"/>
      <c r="FBQ246"/>
      <c r="FBR246"/>
      <c r="FBS246"/>
      <c r="FBT246"/>
      <c r="FBU246"/>
      <c r="FBV246"/>
      <c r="FBW246"/>
      <c r="FBX246"/>
      <c r="FBY246"/>
      <c r="FBZ246"/>
      <c r="FCA246"/>
      <c r="FCB246"/>
      <c r="FCC246"/>
      <c r="FCD246"/>
      <c r="FCE246"/>
      <c r="FCF246"/>
      <c r="FCG246"/>
      <c r="FCH246"/>
      <c r="FCI246"/>
      <c r="FCJ246"/>
      <c r="FCK246"/>
      <c r="FCL246"/>
      <c r="FCM246"/>
      <c r="FCN246"/>
      <c r="FCO246"/>
      <c r="FCP246"/>
      <c r="FCQ246"/>
      <c r="FCR246"/>
      <c r="FCS246"/>
      <c r="FCT246"/>
      <c r="FCU246"/>
      <c r="FCV246"/>
      <c r="FCW246"/>
      <c r="FCX246"/>
      <c r="FCY246"/>
      <c r="FCZ246"/>
      <c r="FDA246"/>
      <c r="FDB246"/>
      <c r="FDC246"/>
      <c r="FDD246"/>
      <c r="FDE246"/>
      <c r="FDF246"/>
      <c r="FDG246"/>
      <c r="FDH246"/>
      <c r="FDI246"/>
      <c r="FDJ246"/>
      <c r="FDK246"/>
      <c r="FDL246"/>
      <c r="FDM246"/>
      <c r="FDN246"/>
      <c r="FDO246"/>
      <c r="FDP246"/>
      <c r="FDQ246"/>
      <c r="FDR246"/>
      <c r="FDS246"/>
      <c r="FDT246"/>
      <c r="FDU246"/>
      <c r="FDV246"/>
      <c r="FDW246"/>
      <c r="FDX246"/>
      <c r="FDY246"/>
      <c r="FDZ246"/>
      <c r="FEA246"/>
      <c r="FEB246"/>
      <c r="FEC246"/>
      <c r="FED246"/>
      <c r="FEE246"/>
      <c r="FEF246"/>
      <c r="FEG246"/>
      <c r="FEH246"/>
      <c r="FEI246"/>
      <c r="FEJ246"/>
      <c r="FEK246"/>
      <c r="FEL246"/>
      <c r="FEM246"/>
      <c r="FEN246"/>
      <c r="FEO246"/>
      <c r="FEP246"/>
      <c r="FEQ246"/>
      <c r="FER246"/>
      <c r="FES246"/>
      <c r="FET246"/>
      <c r="FEU246"/>
      <c r="FEV246"/>
      <c r="FEW246"/>
      <c r="FEX246"/>
      <c r="FEY246"/>
      <c r="FEZ246"/>
      <c r="FFA246"/>
      <c r="FFB246"/>
      <c r="FFC246"/>
      <c r="FFD246"/>
      <c r="FFE246"/>
      <c r="FFF246"/>
      <c r="FFG246"/>
      <c r="FFH246"/>
      <c r="FFI246"/>
      <c r="FFJ246"/>
      <c r="FFK246"/>
      <c r="FFL246"/>
      <c r="FFM246"/>
      <c r="FFN246"/>
      <c r="FFO246"/>
      <c r="FFP246"/>
      <c r="FFQ246"/>
      <c r="FFR246"/>
      <c r="FFS246"/>
      <c r="FFT246"/>
      <c r="FFU246"/>
      <c r="FFV246"/>
      <c r="FFW246"/>
      <c r="FFX246"/>
      <c r="FFY246"/>
      <c r="FFZ246"/>
      <c r="FGA246"/>
      <c r="FGB246"/>
      <c r="FGC246"/>
      <c r="FGD246"/>
      <c r="FGE246"/>
      <c r="FGF246"/>
      <c r="FGG246"/>
      <c r="FGH246"/>
      <c r="FGI246"/>
      <c r="FGJ246"/>
      <c r="FGK246"/>
      <c r="FGL246"/>
      <c r="FGM246"/>
      <c r="FGN246"/>
      <c r="FGO246"/>
      <c r="FGP246"/>
      <c r="FGQ246"/>
      <c r="FGR246"/>
      <c r="FGS246"/>
      <c r="FGT246"/>
      <c r="FGU246"/>
      <c r="FGV246"/>
      <c r="FGW246"/>
      <c r="FGX246"/>
      <c r="FGY246"/>
      <c r="FGZ246"/>
      <c r="FHA246"/>
      <c r="FHB246"/>
      <c r="FHC246"/>
      <c r="FHD246"/>
      <c r="FHE246"/>
      <c r="FHF246"/>
      <c r="FHG246"/>
      <c r="FHH246"/>
      <c r="FHI246"/>
      <c r="FHJ246"/>
      <c r="FHK246"/>
      <c r="FHL246"/>
      <c r="FHM246"/>
      <c r="FHN246"/>
      <c r="FHO246"/>
      <c r="FHP246"/>
      <c r="FHQ246"/>
      <c r="FHR246"/>
      <c r="FHS246"/>
      <c r="FHT246"/>
      <c r="FHU246"/>
      <c r="FHV246"/>
      <c r="FHW246"/>
      <c r="FHX246"/>
      <c r="FHY246"/>
      <c r="FHZ246"/>
      <c r="FIA246"/>
      <c r="FIB246"/>
      <c r="FIC246"/>
      <c r="FID246"/>
      <c r="FIE246"/>
      <c r="FIF246"/>
      <c r="FIG246"/>
      <c r="FIH246"/>
      <c r="FII246"/>
      <c r="FIJ246"/>
      <c r="FIK246"/>
      <c r="FIL246"/>
      <c r="FIM246"/>
      <c r="FIN246"/>
      <c r="FIO246"/>
      <c r="FIP246"/>
      <c r="FIQ246"/>
      <c r="FIR246"/>
      <c r="FIS246"/>
      <c r="FIT246"/>
      <c r="FIU246"/>
      <c r="FIV246"/>
      <c r="FIW246"/>
      <c r="FIX246"/>
      <c r="FIY246"/>
      <c r="FIZ246"/>
      <c r="FJA246"/>
      <c r="FJB246"/>
      <c r="FJC246"/>
      <c r="FJD246"/>
      <c r="FJE246"/>
      <c r="FJF246"/>
      <c r="FJG246"/>
      <c r="FJH246"/>
      <c r="FJI246"/>
      <c r="FJJ246"/>
      <c r="FJK246"/>
      <c r="FJL246"/>
      <c r="FJM246"/>
      <c r="FJN246"/>
      <c r="FJO246"/>
      <c r="FJP246"/>
      <c r="FJQ246"/>
      <c r="FJR246"/>
      <c r="FJS246"/>
      <c r="FJT246"/>
      <c r="FJU246"/>
      <c r="FJV246"/>
      <c r="FJW246"/>
      <c r="FJX246"/>
      <c r="FJY246"/>
      <c r="FJZ246"/>
      <c r="FKA246"/>
      <c r="FKB246"/>
      <c r="FKC246"/>
      <c r="FKD246"/>
      <c r="FKE246"/>
      <c r="FKF246"/>
      <c r="FKG246"/>
      <c r="FKH246"/>
      <c r="FKI246"/>
      <c r="FKJ246"/>
      <c r="FKK246"/>
      <c r="FKL246"/>
      <c r="FKM246"/>
      <c r="FKN246"/>
      <c r="FKO246"/>
      <c r="FKP246"/>
      <c r="FKQ246"/>
      <c r="FKR246"/>
      <c r="FKS246"/>
      <c r="FKT246"/>
      <c r="FKU246"/>
      <c r="FKV246"/>
      <c r="FKW246"/>
      <c r="FKX246"/>
      <c r="FKY246"/>
      <c r="FKZ246"/>
      <c r="FLA246"/>
      <c r="FLB246"/>
      <c r="FLC246"/>
      <c r="FLD246"/>
      <c r="FLE246"/>
      <c r="FLF246"/>
      <c r="FLG246"/>
      <c r="FLH246"/>
      <c r="FLI246"/>
      <c r="FLJ246"/>
      <c r="FLK246"/>
      <c r="FLL246"/>
      <c r="FLM246"/>
      <c r="FLN246"/>
      <c r="FLO246"/>
      <c r="FLP246"/>
      <c r="FLQ246"/>
      <c r="FLR246"/>
      <c r="FLS246"/>
      <c r="FLT246"/>
      <c r="FLU246"/>
      <c r="FLV246"/>
      <c r="FLW246"/>
      <c r="FLX246"/>
      <c r="FLY246"/>
      <c r="FLZ246"/>
      <c r="FMA246"/>
      <c r="FMB246"/>
      <c r="FMC246"/>
      <c r="FMD246"/>
      <c r="FME246"/>
      <c r="FMF246"/>
      <c r="FMG246"/>
      <c r="FMH246"/>
      <c r="FMI246"/>
      <c r="FMJ246"/>
      <c r="FMK246"/>
      <c r="FML246"/>
      <c r="FMM246"/>
      <c r="FMN246"/>
      <c r="FMO246"/>
      <c r="FMP246"/>
      <c r="FMQ246"/>
      <c r="FMR246"/>
      <c r="FMS246"/>
      <c r="FMT246"/>
      <c r="FMU246"/>
      <c r="FMV246"/>
      <c r="FMW246"/>
      <c r="FMX246"/>
      <c r="FMY246"/>
      <c r="FMZ246"/>
      <c r="FNA246"/>
      <c r="FNB246"/>
      <c r="FNC246"/>
      <c r="FND246"/>
      <c r="FNE246"/>
      <c r="FNF246"/>
      <c r="FNG246"/>
      <c r="FNH246"/>
      <c r="FNI246"/>
      <c r="FNJ246"/>
      <c r="FNK246"/>
      <c r="FNL246"/>
      <c r="FNM246"/>
      <c r="FNN246"/>
      <c r="FNO246"/>
      <c r="FNP246"/>
      <c r="FNQ246"/>
      <c r="FNR246"/>
      <c r="FNS246"/>
      <c r="FNT246"/>
      <c r="FNU246"/>
      <c r="FNV246"/>
      <c r="FNW246"/>
      <c r="FNX246"/>
      <c r="FNY246"/>
      <c r="FNZ246"/>
      <c r="FOA246"/>
      <c r="FOB246"/>
      <c r="FOC246"/>
      <c r="FOD246"/>
      <c r="FOE246"/>
      <c r="FOF246"/>
      <c r="FOG246"/>
      <c r="FOH246"/>
      <c r="FOI246"/>
      <c r="FOJ246"/>
      <c r="FOK246"/>
      <c r="FOL246"/>
      <c r="FOM246"/>
      <c r="FON246"/>
      <c r="FOO246"/>
      <c r="FOP246"/>
      <c r="FOQ246"/>
      <c r="FOR246"/>
      <c r="FOS246"/>
      <c r="FOT246"/>
      <c r="FOU246"/>
      <c r="FOV246"/>
      <c r="FOW246"/>
      <c r="FOX246"/>
      <c r="FOY246"/>
      <c r="FOZ246"/>
      <c r="FPA246"/>
      <c r="FPB246"/>
      <c r="FPC246"/>
      <c r="FPD246"/>
      <c r="FPE246"/>
      <c r="FPF246"/>
      <c r="FPG246"/>
      <c r="FPH246"/>
      <c r="FPI246"/>
      <c r="FPJ246"/>
      <c r="FPK246"/>
      <c r="FPL246"/>
      <c r="FPM246"/>
      <c r="FPN246"/>
      <c r="FPO246"/>
      <c r="FPP246"/>
      <c r="FPQ246"/>
      <c r="FPR246"/>
      <c r="FPS246"/>
      <c r="FPT246"/>
      <c r="FPU246"/>
      <c r="FPV246"/>
      <c r="FPW246"/>
      <c r="FPX246"/>
      <c r="FPY246"/>
      <c r="FPZ246"/>
      <c r="FQA246"/>
      <c r="FQB246"/>
      <c r="FQC246"/>
      <c r="FQD246"/>
      <c r="FQE246"/>
      <c r="FQF246"/>
      <c r="FQG246"/>
      <c r="FQH246"/>
      <c r="FQI246"/>
      <c r="FQJ246"/>
      <c r="FQK246"/>
      <c r="FQL246"/>
      <c r="FQM246"/>
      <c r="FQN246"/>
      <c r="FQO246"/>
      <c r="FQP246"/>
      <c r="FQQ246"/>
      <c r="FQR246"/>
      <c r="FQS246"/>
      <c r="FQT246"/>
      <c r="FQU246"/>
      <c r="FQV246"/>
      <c r="FQW246"/>
      <c r="FQX246"/>
      <c r="FQY246"/>
      <c r="FQZ246"/>
      <c r="FRA246"/>
      <c r="FRB246"/>
      <c r="FRC246"/>
      <c r="FRD246"/>
      <c r="FRE246"/>
      <c r="FRF246"/>
      <c r="FRG246"/>
      <c r="FRH246"/>
      <c r="FRI246"/>
      <c r="FRJ246"/>
      <c r="FRK246"/>
      <c r="FRL246"/>
      <c r="FRM246"/>
      <c r="FRN246"/>
      <c r="FRO246"/>
      <c r="FRP246"/>
      <c r="FRQ246"/>
      <c r="FRR246"/>
      <c r="FRS246"/>
      <c r="FRT246"/>
      <c r="FRU246"/>
      <c r="FRV246"/>
      <c r="FRW246"/>
      <c r="FRX246"/>
      <c r="FRY246"/>
      <c r="FRZ246"/>
      <c r="FSA246"/>
      <c r="FSB246"/>
      <c r="FSC246"/>
      <c r="FSD246"/>
      <c r="FSE246"/>
      <c r="FSF246"/>
      <c r="FSG246"/>
      <c r="FSH246"/>
      <c r="FSI246"/>
      <c r="FSJ246"/>
      <c r="FSK246"/>
      <c r="FSL246"/>
      <c r="FSM246"/>
      <c r="FSN246"/>
      <c r="FSO246"/>
      <c r="FSP246"/>
      <c r="FSQ246"/>
      <c r="FSR246"/>
      <c r="FSS246"/>
      <c r="FST246"/>
      <c r="FSU246"/>
      <c r="FSV246"/>
      <c r="FSW246"/>
      <c r="FSX246"/>
      <c r="FSY246"/>
      <c r="FSZ246"/>
      <c r="FTA246"/>
      <c r="FTB246"/>
      <c r="FTC246"/>
      <c r="FTD246"/>
      <c r="FTE246"/>
      <c r="FTF246"/>
      <c r="FTG246"/>
      <c r="FTH246"/>
      <c r="FTI246"/>
      <c r="FTJ246"/>
      <c r="FTK246"/>
      <c r="FTL246"/>
      <c r="FTM246"/>
      <c r="FTN246"/>
      <c r="FTO246"/>
      <c r="FTP246"/>
      <c r="FTQ246"/>
      <c r="FTR246"/>
      <c r="FTS246"/>
      <c r="FTT246"/>
      <c r="FTU246"/>
      <c r="FTV246"/>
      <c r="FTW246"/>
      <c r="FTX246"/>
      <c r="FTY246"/>
      <c r="FTZ246"/>
      <c r="FUA246"/>
      <c r="FUB246"/>
      <c r="FUC246"/>
      <c r="FUD246"/>
      <c r="FUE246"/>
      <c r="FUF246"/>
      <c r="FUG246"/>
      <c r="FUH246"/>
      <c r="FUI246"/>
      <c r="FUJ246"/>
      <c r="FUK246"/>
      <c r="FUL246"/>
      <c r="FUM246"/>
      <c r="FUN246"/>
      <c r="FUO246"/>
      <c r="FUP246"/>
      <c r="FUQ246"/>
      <c r="FUR246"/>
      <c r="FUS246"/>
      <c r="FUT246"/>
      <c r="FUU246"/>
      <c r="FUV246"/>
      <c r="FUW246"/>
      <c r="FUX246"/>
      <c r="FUY246"/>
      <c r="FUZ246"/>
      <c r="FVA246"/>
      <c r="FVB246"/>
      <c r="FVC246"/>
      <c r="FVD246"/>
      <c r="FVE246"/>
      <c r="FVF246"/>
      <c r="FVG246"/>
      <c r="FVH246"/>
      <c r="FVI246"/>
      <c r="FVJ246"/>
      <c r="FVK246"/>
      <c r="FVL246"/>
      <c r="FVM246"/>
      <c r="FVN246"/>
      <c r="FVO246"/>
      <c r="FVP246"/>
      <c r="FVQ246"/>
      <c r="FVR246"/>
      <c r="FVS246"/>
      <c r="FVT246"/>
      <c r="FVU246"/>
      <c r="FVV246"/>
      <c r="FVW246"/>
      <c r="FVX246"/>
      <c r="FVY246"/>
      <c r="FVZ246"/>
      <c r="FWA246"/>
      <c r="FWB246"/>
      <c r="FWC246"/>
      <c r="FWD246"/>
      <c r="FWE246"/>
      <c r="FWF246"/>
      <c r="FWG246"/>
      <c r="FWH246"/>
      <c r="FWI246"/>
      <c r="FWJ246"/>
      <c r="FWK246"/>
      <c r="FWL246"/>
      <c r="FWM246"/>
      <c r="FWN246"/>
      <c r="FWO246"/>
      <c r="FWP246"/>
      <c r="FWQ246"/>
      <c r="FWR246"/>
      <c r="FWS246"/>
      <c r="FWT246"/>
      <c r="FWU246"/>
      <c r="FWV246"/>
      <c r="FWW246"/>
      <c r="FWX246"/>
      <c r="FWY246"/>
      <c r="FWZ246"/>
      <c r="FXA246"/>
      <c r="FXB246"/>
      <c r="FXC246"/>
      <c r="FXD246"/>
      <c r="FXE246"/>
      <c r="FXF246"/>
      <c r="FXG246"/>
      <c r="FXH246"/>
      <c r="FXI246"/>
      <c r="FXJ246"/>
      <c r="FXK246"/>
      <c r="FXL246"/>
      <c r="FXM246"/>
      <c r="FXN246"/>
      <c r="FXO246"/>
      <c r="FXP246"/>
      <c r="FXQ246"/>
      <c r="FXR246"/>
      <c r="FXS246"/>
      <c r="FXT246"/>
      <c r="FXU246"/>
      <c r="FXV246"/>
      <c r="FXW246"/>
      <c r="FXX246"/>
      <c r="FXY246"/>
      <c r="FXZ246"/>
      <c r="FYA246"/>
      <c r="FYB246"/>
      <c r="FYC246"/>
      <c r="FYD246"/>
      <c r="FYE246"/>
      <c r="FYF246"/>
      <c r="FYG246"/>
      <c r="FYH246"/>
      <c r="FYI246"/>
      <c r="FYJ246"/>
      <c r="FYK246"/>
      <c r="FYL246"/>
      <c r="FYM246"/>
      <c r="FYN246"/>
      <c r="FYO246"/>
      <c r="FYP246"/>
      <c r="FYQ246"/>
      <c r="FYR246"/>
      <c r="FYS246"/>
      <c r="FYT246"/>
      <c r="FYU246"/>
      <c r="FYV246"/>
      <c r="FYW246"/>
      <c r="FYX246"/>
      <c r="FYY246"/>
      <c r="FYZ246"/>
      <c r="FZA246"/>
      <c r="FZB246"/>
      <c r="FZC246"/>
      <c r="FZD246"/>
      <c r="FZE246"/>
      <c r="FZF246"/>
      <c r="FZG246"/>
      <c r="FZH246"/>
      <c r="FZI246"/>
      <c r="FZJ246"/>
      <c r="FZK246"/>
      <c r="FZL246"/>
      <c r="FZM246"/>
      <c r="FZN246"/>
      <c r="FZO246"/>
      <c r="FZP246"/>
      <c r="FZQ246"/>
      <c r="FZR246"/>
      <c r="FZS246"/>
      <c r="FZT246"/>
      <c r="FZU246"/>
      <c r="FZV246"/>
      <c r="FZW246"/>
      <c r="FZX246"/>
      <c r="FZY246"/>
      <c r="FZZ246"/>
      <c r="GAA246"/>
      <c r="GAB246"/>
      <c r="GAC246"/>
      <c r="GAD246"/>
      <c r="GAE246"/>
      <c r="GAF246"/>
      <c r="GAG246"/>
      <c r="GAH246"/>
      <c r="GAI246"/>
      <c r="GAJ246"/>
      <c r="GAK246"/>
      <c r="GAL246"/>
      <c r="GAM246"/>
      <c r="GAN246"/>
      <c r="GAO246"/>
      <c r="GAP246"/>
      <c r="GAQ246"/>
      <c r="GAR246"/>
      <c r="GAS246"/>
      <c r="GAT246"/>
      <c r="GAU246"/>
      <c r="GAV246"/>
      <c r="GAW246"/>
      <c r="GAX246"/>
      <c r="GAY246"/>
      <c r="GAZ246"/>
      <c r="GBA246"/>
      <c r="GBB246"/>
      <c r="GBC246"/>
      <c r="GBD246"/>
      <c r="GBE246"/>
      <c r="GBF246"/>
      <c r="GBG246"/>
      <c r="GBH246"/>
      <c r="GBI246"/>
      <c r="GBJ246"/>
      <c r="GBK246"/>
      <c r="GBL246"/>
      <c r="GBM246"/>
      <c r="GBN246"/>
      <c r="GBO246"/>
      <c r="GBP246"/>
      <c r="GBQ246"/>
      <c r="GBR246"/>
      <c r="GBS246"/>
      <c r="GBT246"/>
      <c r="GBU246"/>
      <c r="GBV246"/>
      <c r="GBW246"/>
      <c r="GBX246"/>
      <c r="GBY246"/>
      <c r="GBZ246"/>
      <c r="GCA246"/>
      <c r="GCB246"/>
      <c r="GCC246"/>
      <c r="GCD246"/>
      <c r="GCE246"/>
      <c r="GCF246"/>
      <c r="GCG246"/>
      <c r="GCH246"/>
      <c r="GCI246"/>
      <c r="GCJ246"/>
      <c r="GCK246"/>
      <c r="GCL246"/>
      <c r="GCM246"/>
      <c r="GCN246"/>
      <c r="GCO246"/>
      <c r="GCP246"/>
      <c r="GCQ246"/>
      <c r="GCR246"/>
      <c r="GCS246"/>
      <c r="GCT246"/>
      <c r="GCU246"/>
      <c r="GCV246"/>
      <c r="GCW246"/>
      <c r="GCX246"/>
      <c r="GCY246"/>
      <c r="GCZ246"/>
      <c r="GDA246"/>
      <c r="GDB246"/>
      <c r="GDC246"/>
      <c r="GDD246"/>
      <c r="GDE246"/>
      <c r="GDF246"/>
      <c r="GDG246"/>
      <c r="GDH246"/>
      <c r="GDI246"/>
      <c r="GDJ246"/>
      <c r="GDK246"/>
      <c r="GDL246"/>
      <c r="GDM246"/>
      <c r="GDN246"/>
      <c r="GDO246"/>
      <c r="GDP246"/>
      <c r="GDQ246"/>
      <c r="GDR246"/>
      <c r="GDS246"/>
      <c r="GDT246"/>
      <c r="GDU246"/>
      <c r="GDV246"/>
      <c r="GDW246"/>
      <c r="GDX246"/>
      <c r="GDY246"/>
      <c r="GDZ246"/>
      <c r="GEA246"/>
      <c r="GEB246"/>
      <c r="GEC246"/>
      <c r="GED246"/>
      <c r="GEE246"/>
      <c r="GEF246"/>
      <c r="GEG246"/>
      <c r="GEH246"/>
      <c r="GEI246"/>
      <c r="GEJ246"/>
      <c r="GEK246"/>
      <c r="GEL246"/>
      <c r="GEM246"/>
      <c r="GEN246"/>
      <c r="GEO246"/>
      <c r="GEP246"/>
      <c r="GEQ246"/>
      <c r="GER246"/>
      <c r="GES246"/>
      <c r="GET246"/>
      <c r="GEU246"/>
      <c r="GEV246"/>
      <c r="GEW246"/>
      <c r="GEX246"/>
      <c r="GEY246"/>
      <c r="GEZ246"/>
      <c r="GFA246"/>
      <c r="GFB246"/>
      <c r="GFC246"/>
      <c r="GFD246"/>
      <c r="GFE246"/>
      <c r="GFF246"/>
      <c r="GFG246"/>
      <c r="GFH246"/>
      <c r="GFI246"/>
      <c r="GFJ246"/>
      <c r="GFK246"/>
      <c r="GFL246"/>
      <c r="GFM246"/>
      <c r="GFN246"/>
      <c r="GFO246"/>
      <c r="GFP246"/>
      <c r="GFQ246"/>
      <c r="GFR246"/>
      <c r="GFS246"/>
      <c r="GFT246"/>
      <c r="GFU246"/>
      <c r="GFV246"/>
      <c r="GFW246"/>
      <c r="GFX246"/>
      <c r="GFY246"/>
      <c r="GFZ246"/>
      <c r="GGA246"/>
      <c r="GGB246"/>
      <c r="GGC246"/>
      <c r="GGD246"/>
      <c r="GGE246"/>
      <c r="GGF246"/>
      <c r="GGG246"/>
      <c r="GGH246"/>
      <c r="GGI246"/>
      <c r="GGJ246"/>
      <c r="GGK246"/>
      <c r="GGL246"/>
      <c r="GGM246"/>
      <c r="GGN246"/>
      <c r="GGO246"/>
      <c r="GGP246"/>
      <c r="GGQ246"/>
      <c r="GGR246"/>
      <c r="GGS246"/>
      <c r="GGT246"/>
      <c r="GGU246"/>
      <c r="GGV246"/>
      <c r="GGW246"/>
      <c r="GGX246"/>
      <c r="GGY246"/>
      <c r="GGZ246"/>
      <c r="GHA246"/>
      <c r="GHB246"/>
      <c r="GHC246"/>
      <c r="GHD246"/>
      <c r="GHE246"/>
      <c r="GHF246"/>
      <c r="GHG246"/>
      <c r="GHH246"/>
      <c r="GHI246"/>
      <c r="GHJ246"/>
      <c r="GHK246"/>
      <c r="GHL246"/>
      <c r="GHM246"/>
      <c r="GHN246"/>
      <c r="GHO246"/>
      <c r="GHP246"/>
      <c r="GHQ246"/>
      <c r="GHR246"/>
      <c r="GHS246"/>
      <c r="GHT246"/>
      <c r="GHU246"/>
      <c r="GHV246"/>
      <c r="GHW246"/>
      <c r="GHX246"/>
      <c r="GHY246"/>
      <c r="GHZ246"/>
      <c r="GIA246"/>
      <c r="GIB246"/>
      <c r="GIC246"/>
      <c r="GID246"/>
      <c r="GIE246"/>
      <c r="GIF246"/>
      <c r="GIG246"/>
      <c r="GIH246"/>
      <c r="GII246"/>
      <c r="GIJ246"/>
      <c r="GIK246"/>
      <c r="GIL246"/>
      <c r="GIM246"/>
      <c r="GIN246"/>
      <c r="GIO246"/>
      <c r="GIP246"/>
      <c r="GIQ246"/>
      <c r="GIR246"/>
      <c r="GIS246"/>
      <c r="GIT246"/>
      <c r="GIU246"/>
      <c r="GIV246"/>
      <c r="GIW246"/>
      <c r="GIX246"/>
      <c r="GIY246"/>
      <c r="GIZ246"/>
      <c r="GJA246"/>
      <c r="GJB246"/>
      <c r="GJC246"/>
      <c r="GJD246"/>
      <c r="GJE246"/>
      <c r="GJF246"/>
      <c r="GJG246"/>
      <c r="GJH246"/>
      <c r="GJI246"/>
      <c r="GJJ246"/>
      <c r="GJK246"/>
      <c r="GJL246"/>
      <c r="GJM246"/>
      <c r="GJN246"/>
      <c r="GJO246"/>
      <c r="GJP246"/>
      <c r="GJQ246"/>
      <c r="GJR246"/>
      <c r="GJS246"/>
      <c r="GJT246"/>
      <c r="GJU246"/>
      <c r="GJV246"/>
      <c r="GJW246"/>
      <c r="GJX246"/>
      <c r="GJY246"/>
      <c r="GJZ246"/>
      <c r="GKA246"/>
      <c r="GKB246"/>
      <c r="GKC246"/>
      <c r="GKD246"/>
      <c r="GKE246"/>
      <c r="GKF246"/>
      <c r="GKG246"/>
      <c r="GKH246"/>
      <c r="GKI246"/>
      <c r="GKJ246"/>
      <c r="GKK246"/>
      <c r="GKL246"/>
      <c r="GKM246"/>
      <c r="GKN246"/>
      <c r="GKO246"/>
      <c r="GKP246"/>
      <c r="GKQ246"/>
      <c r="GKR246"/>
      <c r="GKS246"/>
      <c r="GKT246"/>
      <c r="GKU246"/>
      <c r="GKV246"/>
      <c r="GKW246"/>
      <c r="GKX246"/>
      <c r="GKY246"/>
      <c r="GKZ246"/>
      <c r="GLA246"/>
      <c r="GLB246"/>
      <c r="GLC246"/>
      <c r="GLD246"/>
      <c r="GLE246"/>
      <c r="GLF246"/>
      <c r="GLG246"/>
      <c r="GLH246"/>
      <c r="GLI246"/>
      <c r="GLJ246"/>
      <c r="GLK246"/>
      <c r="GLL246"/>
      <c r="GLM246"/>
      <c r="GLN246"/>
      <c r="GLO246"/>
      <c r="GLP246"/>
      <c r="GLQ246"/>
      <c r="GLR246"/>
      <c r="GLS246"/>
      <c r="GLT246"/>
      <c r="GLU246"/>
      <c r="GLV246"/>
      <c r="GLW246"/>
      <c r="GLX246"/>
      <c r="GLY246"/>
      <c r="GLZ246"/>
      <c r="GMA246"/>
      <c r="GMB246"/>
      <c r="GMC246"/>
      <c r="GMD246"/>
      <c r="GME246"/>
      <c r="GMF246"/>
      <c r="GMG246"/>
      <c r="GMH246"/>
      <c r="GMI246"/>
      <c r="GMJ246"/>
      <c r="GMK246"/>
      <c r="GML246"/>
      <c r="GMM246"/>
      <c r="GMN246"/>
      <c r="GMO246"/>
      <c r="GMP246"/>
      <c r="GMQ246"/>
      <c r="GMR246"/>
      <c r="GMS246"/>
      <c r="GMT246"/>
      <c r="GMU246"/>
      <c r="GMV246"/>
      <c r="GMW246"/>
      <c r="GMX246"/>
      <c r="GMY246"/>
      <c r="GMZ246"/>
      <c r="GNA246"/>
      <c r="GNB246"/>
      <c r="GNC246"/>
      <c r="GND246"/>
      <c r="GNE246"/>
      <c r="GNF246"/>
      <c r="GNG246"/>
      <c r="GNH246"/>
      <c r="GNI246"/>
      <c r="GNJ246"/>
      <c r="GNK246"/>
      <c r="GNL246"/>
      <c r="GNM246"/>
      <c r="GNN246"/>
      <c r="GNO246"/>
      <c r="GNP246"/>
      <c r="GNQ246"/>
      <c r="GNR246"/>
      <c r="GNS246"/>
      <c r="GNT246"/>
      <c r="GNU246"/>
      <c r="GNV246"/>
      <c r="GNW246"/>
      <c r="GNX246"/>
      <c r="GNY246"/>
      <c r="GNZ246"/>
      <c r="GOA246"/>
      <c r="GOB246"/>
      <c r="GOC246"/>
      <c r="GOD246"/>
      <c r="GOE246"/>
      <c r="GOF246"/>
      <c r="GOG246"/>
      <c r="GOH246"/>
      <c r="GOI246"/>
      <c r="GOJ246"/>
      <c r="GOK246"/>
      <c r="GOL246"/>
      <c r="GOM246"/>
      <c r="GON246"/>
      <c r="GOO246"/>
      <c r="GOP246"/>
      <c r="GOQ246"/>
      <c r="GOR246"/>
      <c r="GOS246"/>
      <c r="GOT246"/>
      <c r="GOU246"/>
      <c r="GOV246"/>
      <c r="GOW246"/>
      <c r="GOX246"/>
      <c r="GOY246"/>
      <c r="GOZ246"/>
      <c r="GPA246"/>
      <c r="GPB246"/>
      <c r="GPC246"/>
      <c r="GPD246"/>
      <c r="GPE246"/>
      <c r="GPF246"/>
      <c r="GPG246"/>
      <c r="GPH246"/>
      <c r="GPI246"/>
      <c r="GPJ246"/>
      <c r="GPK246"/>
      <c r="GPL246"/>
      <c r="GPM246"/>
      <c r="GPN246"/>
      <c r="GPO246"/>
      <c r="GPP246"/>
      <c r="GPQ246"/>
      <c r="GPR246"/>
      <c r="GPS246"/>
      <c r="GPT246"/>
      <c r="GPU246"/>
      <c r="GPV246"/>
      <c r="GPW246"/>
      <c r="GPX246"/>
      <c r="GPY246"/>
      <c r="GPZ246"/>
      <c r="GQA246"/>
      <c r="GQB246"/>
      <c r="GQC246"/>
      <c r="GQD246"/>
      <c r="GQE246"/>
      <c r="GQF246"/>
      <c r="GQG246"/>
      <c r="GQH246"/>
      <c r="GQI246"/>
      <c r="GQJ246"/>
      <c r="GQK246"/>
      <c r="GQL246"/>
      <c r="GQM246"/>
      <c r="GQN246"/>
      <c r="GQO246"/>
      <c r="GQP246"/>
      <c r="GQQ246"/>
      <c r="GQR246"/>
      <c r="GQS246"/>
      <c r="GQT246"/>
      <c r="GQU246"/>
      <c r="GQV246"/>
      <c r="GQW246"/>
      <c r="GQX246"/>
      <c r="GQY246"/>
      <c r="GQZ246"/>
      <c r="GRA246"/>
      <c r="GRB246"/>
      <c r="GRC246"/>
      <c r="GRD246"/>
      <c r="GRE246"/>
      <c r="GRF246"/>
      <c r="GRG246"/>
      <c r="GRH246"/>
      <c r="GRI246"/>
      <c r="GRJ246"/>
      <c r="GRK246"/>
      <c r="GRL246"/>
      <c r="GRM246"/>
      <c r="GRN246"/>
      <c r="GRO246"/>
      <c r="GRP246"/>
      <c r="GRQ246"/>
      <c r="GRR246"/>
      <c r="GRS246"/>
      <c r="GRT246"/>
      <c r="GRU246"/>
      <c r="GRV246"/>
      <c r="GRW246"/>
      <c r="GRX246"/>
      <c r="GRY246"/>
      <c r="GRZ246"/>
      <c r="GSA246"/>
      <c r="GSB246"/>
      <c r="GSC246"/>
      <c r="GSD246"/>
      <c r="GSE246"/>
      <c r="GSF246"/>
      <c r="GSG246"/>
      <c r="GSH246"/>
      <c r="GSI246"/>
      <c r="GSJ246"/>
      <c r="GSK246"/>
      <c r="GSL246"/>
      <c r="GSM246"/>
      <c r="GSN246"/>
      <c r="GSO246"/>
      <c r="GSP246"/>
      <c r="GSQ246"/>
      <c r="GSR246"/>
      <c r="GSS246"/>
      <c r="GST246"/>
      <c r="GSU246"/>
      <c r="GSV246"/>
      <c r="GSW246"/>
      <c r="GSX246"/>
      <c r="GSY246"/>
      <c r="GSZ246"/>
      <c r="GTA246"/>
      <c r="GTB246"/>
      <c r="GTC246"/>
      <c r="GTD246"/>
      <c r="GTE246"/>
      <c r="GTF246"/>
      <c r="GTG246"/>
      <c r="GTH246"/>
      <c r="GTI246"/>
      <c r="GTJ246"/>
      <c r="GTK246"/>
      <c r="GTL246"/>
      <c r="GTM246"/>
      <c r="GTN246"/>
      <c r="GTO246"/>
      <c r="GTP246"/>
      <c r="GTQ246"/>
      <c r="GTR246"/>
      <c r="GTS246"/>
      <c r="GTT246"/>
      <c r="GTU246"/>
      <c r="GTV246"/>
      <c r="GTW246"/>
      <c r="GTX246"/>
      <c r="GTY246"/>
      <c r="GTZ246"/>
      <c r="GUA246"/>
      <c r="GUB246"/>
      <c r="GUC246"/>
      <c r="GUD246"/>
      <c r="GUE246"/>
      <c r="GUF246"/>
      <c r="GUG246"/>
      <c r="GUH246"/>
      <c r="GUI246"/>
      <c r="GUJ246"/>
      <c r="GUK246"/>
      <c r="GUL246"/>
      <c r="GUM246"/>
      <c r="GUN246"/>
      <c r="GUO246"/>
      <c r="GUP246"/>
      <c r="GUQ246"/>
      <c r="GUR246"/>
      <c r="GUS246"/>
      <c r="GUT246"/>
      <c r="GUU246"/>
      <c r="GUV246"/>
      <c r="GUW246"/>
      <c r="GUX246"/>
      <c r="GUY246"/>
      <c r="GUZ246"/>
      <c r="GVA246"/>
      <c r="GVB246"/>
      <c r="GVC246"/>
      <c r="GVD246"/>
      <c r="GVE246"/>
      <c r="GVF246"/>
      <c r="GVG246"/>
      <c r="GVH246"/>
      <c r="GVI246"/>
      <c r="GVJ246"/>
      <c r="GVK246"/>
      <c r="GVL246"/>
      <c r="GVM246"/>
      <c r="GVN246"/>
      <c r="GVO246"/>
      <c r="GVP246"/>
      <c r="GVQ246"/>
      <c r="GVR246"/>
      <c r="GVS246"/>
      <c r="GVT246"/>
      <c r="GVU246"/>
      <c r="GVV246"/>
      <c r="GVW246"/>
      <c r="GVX246"/>
      <c r="GVY246"/>
      <c r="GVZ246"/>
      <c r="GWA246"/>
      <c r="GWB246"/>
      <c r="GWC246"/>
      <c r="GWD246"/>
      <c r="GWE246"/>
      <c r="GWF246"/>
      <c r="GWG246"/>
      <c r="GWH246"/>
      <c r="GWI246"/>
      <c r="GWJ246"/>
      <c r="GWK246"/>
      <c r="GWL246"/>
      <c r="GWM246"/>
      <c r="GWN246"/>
      <c r="GWO246"/>
      <c r="GWP246"/>
      <c r="GWQ246"/>
      <c r="GWR246"/>
      <c r="GWS246"/>
      <c r="GWT246"/>
      <c r="GWU246"/>
      <c r="GWV246"/>
      <c r="GWW246"/>
      <c r="GWX246"/>
      <c r="GWY246"/>
      <c r="GWZ246"/>
      <c r="GXA246"/>
      <c r="GXB246"/>
      <c r="GXC246"/>
      <c r="GXD246"/>
      <c r="GXE246"/>
      <c r="GXF246"/>
      <c r="GXG246"/>
      <c r="GXH246"/>
      <c r="GXI246"/>
      <c r="GXJ246"/>
      <c r="GXK246"/>
      <c r="GXL246"/>
      <c r="GXM246"/>
      <c r="GXN246"/>
      <c r="GXO246"/>
      <c r="GXP246"/>
      <c r="GXQ246"/>
      <c r="GXR246"/>
      <c r="GXS246"/>
      <c r="GXT246"/>
      <c r="GXU246"/>
      <c r="GXV246"/>
      <c r="GXW246"/>
      <c r="GXX246"/>
      <c r="GXY246"/>
      <c r="GXZ246"/>
      <c r="GYA246"/>
      <c r="GYB246"/>
      <c r="GYC246"/>
      <c r="GYD246"/>
      <c r="GYE246"/>
      <c r="GYF246"/>
      <c r="GYG246"/>
      <c r="GYH246"/>
      <c r="GYI246"/>
      <c r="GYJ246"/>
      <c r="GYK246"/>
      <c r="GYL246"/>
      <c r="GYM246"/>
      <c r="GYN246"/>
      <c r="GYO246"/>
      <c r="GYP246"/>
      <c r="GYQ246"/>
      <c r="GYR246"/>
      <c r="GYS246"/>
      <c r="GYT246"/>
      <c r="GYU246"/>
      <c r="GYV246"/>
      <c r="GYW246"/>
      <c r="GYX246"/>
      <c r="GYY246"/>
      <c r="GYZ246"/>
      <c r="GZA246"/>
      <c r="GZB246"/>
      <c r="GZC246"/>
      <c r="GZD246"/>
      <c r="GZE246"/>
      <c r="GZF246"/>
      <c r="GZG246"/>
      <c r="GZH246"/>
      <c r="GZI246"/>
      <c r="GZJ246"/>
      <c r="GZK246"/>
      <c r="GZL246"/>
      <c r="GZM246"/>
      <c r="GZN246"/>
      <c r="GZO246"/>
      <c r="GZP246"/>
      <c r="GZQ246"/>
      <c r="GZR246"/>
      <c r="GZS246"/>
      <c r="GZT246"/>
      <c r="GZU246"/>
      <c r="GZV246"/>
      <c r="GZW246"/>
      <c r="GZX246"/>
      <c r="GZY246"/>
      <c r="GZZ246"/>
      <c r="HAA246"/>
      <c r="HAB246"/>
      <c r="HAC246"/>
      <c r="HAD246"/>
      <c r="HAE246"/>
      <c r="HAF246"/>
      <c r="HAG246"/>
      <c r="HAH246"/>
      <c r="HAI246"/>
      <c r="HAJ246"/>
      <c r="HAK246"/>
      <c r="HAL246"/>
      <c r="HAM246"/>
      <c r="HAN246"/>
      <c r="HAO246"/>
      <c r="HAP246"/>
      <c r="HAQ246"/>
      <c r="HAR246"/>
      <c r="HAS246"/>
      <c r="HAT246"/>
      <c r="HAU246"/>
      <c r="HAV246"/>
      <c r="HAW246"/>
      <c r="HAX246"/>
      <c r="HAY246"/>
      <c r="HAZ246"/>
      <c r="HBA246"/>
      <c r="HBB246"/>
      <c r="HBC246"/>
      <c r="HBD246"/>
      <c r="HBE246"/>
      <c r="HBF246"/>
      <c r="HBG246"/>
      <c r="HBH246"/>
      <c r="HBI246"/>
      <c r="HBJ246"/>
      <c r="HBK246"/>
      <c r="HBL246"/>
      <c r="HBM246"/>
      <c r="HBN246"/>
      <c r="HBO246"/>
      <c r="HBP246"/>
      <c r="HBQ246"/>
      <c r="HBR246"/>
      <c r="HBS246"/>
      <c r="HBT246"/>
      <c r="HBU246"/>
      <c r="HBV246"/>
      <c r="HBW246"/>
      <c r="HBX246"/>
      <c r="HBY246"/>
      <c r="HBZ246"/>
      <c r="HCA246"/>
      <c r="HCB246"/>
      <c r="HCC246"/>
      <c r="HCD246"/>
      <c r="HCE246"/>
      <c r="HCF246"/>
      <c r="HCG246"/>
      <c r="HCH246"/>
      <c r="HCI246"/>
      <c r="HCJ246"/>
      <c r="HCK246"/>
      <c r="HCL246"/>
      <c r="HCM246"/>
      <c r="HCN246"/>
      <c r="HCO246"/>
      <c r="HCP246"/>
      <c r="HCQ246"/>
      <c r="HCR246"/>
      <c r="HCS246"/>
      <c r="HCT246"/>
      <c r="HCU246"/>
      <c r="HCV246"/>
      <c r="HCW246"/>
      <c r="HCX246"/>
      <c r="HCY246"/>
      <c r="HCZ246"/>
      <c r="HDA246"/>
      <c r="HDB246"/>
      <c r="HDC246"/>
      <c r="HDD246"/>
      <c r="HDE246"/>
      <c r="HDF246"/>
      <c r="HDG246"/>
      <c r="HDH246"/>
      <c r="HDI246"/>
      <c r="HDJ246"/>
      <c r="HDK246"/>
      <c r="HDL246"/>
      <c r="HDM246"/>
      <c r="HDN246"/>
      <c r="HDO246"/>
      <c r="HDP246"/>
      <c r="HDQ246"/>
      <c r="HDR246"/>
      <c r="HDS246"/>
      <c r="HDT246"/>
      <c r="HDU246"/>
      <c r="HDV246"/>
      <c r="HDW246"/>
      <c r="HDX246"/>
      <c r="HDY246"/>
      <c r="HDZ246"/>
      <c r="HEA246"/>
      <c r="HEB246"/>
      <c r="HEC246"/>
      <c r="HED246"/>
      <c r="HEE246"/>
      <c r="HEF246"/>
      <c r="HEG246"/>
      <c r="HEH246"/>
      <c r="HEI246"/>
      <c r="HEJ246"/>
      <c r="HEK246"/>
      <c r="HEL246"/>
      <c r="HEM246"/>
      <c r="HEN246"/>
      <c r="HEO246"/>
      <c r="HEP246"/>
      <c r="HEQ246"/>
      <c r="HER246"/>
      <c r="HES246"/>
      <c r="HET246"/>
      <c r="HEU246"/>
      <c r="HEV246"/>
      <c r="HEW246"/>
      <c r="HEX246"/>
      <c r="HEY246"/>
      <c r="HEZ246"/>
      <c r="HFA246"/>
      <c r="HFB246"/>
      <c r="HFC246"/>
      <c r="HFD246"/>
      <c r="HFE246"/>
      <c r="HFF246"/>
      <c r="HFG246"/>
      <c r="HFH246"/>
      <c r="HFI246"/>
      <c r="HFJ246"/>
      <c r="HFK246"/>
      <c r="HFL246"/>
      <c r="HFM246"/>
      <c r="HFN246"/>
      <c r="HFO246"/>
      <c r="HFP246"/>
      <c r="HFQ246"/>
      <c r="HFR246"/>
      <c r="HFS246"/>
      <c r="HFT246"/>
      <c r="HFU246"/>
      <c r="HFV246"/>
      <c r="HFW246"/>
      <c r="HFX246"/>
      <c r="HFY246"/>
      <c r="HFZ246"/>
      <c r="HGA246"/>
      <c r="HGB246"/>
      <c r="HGC246"/>
      <c r="HGD246"/>
      <c r="HGE246"/>
      <c r="HGF246"/>
      <c r="HGG246"/>
      <c r="HGH246"/>
      <c r="HGI246"/>
      <c r="HGJ246"/>
      <c r="HGK246"/>
      <c r="HGL246"/>
      <c r="HGM246"/>
      <c r="HGN246"/>
      <c r="HGO246"/>
      <c r="HGP246"/>
      <c r="HGQ246"/>
      <c r="HGR246"/>
      <c r="HGS246"/>
      <c r="HGT246"/>
      <c r="HGU246"/>
      <c r="HGV246"/>
      <c r="HGW246"/>
      <c r="HGX246"/>
      <c r="HGY246"/>
      <c r="HGZ246"/>
      <c r="HHA246"/>
      <c r="HHB246"/>
      <c r="HHC246"/>
      <c r="HHD246"/>
      <c r="HHE246"/>
      <c r="HHF246"/>
      <c r="HHG246"/>
      <c r="HHH246"/>
      <c r="HHI246"/>
      <c r="HHJ246"/>
      <c r="HHK246"/>
      <c r="HHL246"/>
      <c r="HHM246"/>
      <c r="HHN246"/>
      <c r="HHO246"/>
      <c r="HHP246"/>
      <c r="HHQ246"/>
      <c r="HHR246"/>
      <c r="HHS246"/>
      <c r="HHT246"/>
      <c r="HHU246"/>
      <c r="HHV246"/>
      <c r="HHW246"/>
      <c r="HHX246"/>
      <c r="HHY246"/>
      <c r="HHZ246"/>
      <c r="HIA246"/>
      <c r="HIB246"/>
      <c r="HIC246"/>
      <c r="HID246"/>
      <c r="HIE246"/>
      <c r="HIF246"/>
      <c r="HIG246"/>
      <c r="HIH246"/>
      <c r="HII246"/>
      <c r="HIJ246"/>
      <c r="HIK246"/>
      <c r="HIL246"/>
      <c r="HIM246"/>
      <c r="HIN246"/>
      <c r="HIO246"/>
      <c r="HIP246"/>
      <c r="HIQ246"/>
      <c r="HIR246"/>
      <c r="HIS246"/>
      <c r="HIT246"/>
      <c r="HIU246"/>
      <c r="HIV246"/>
      <c r="HIW246"/>
      <c r="HIX246"/>
      <c r="HIY246"/>
      <c r="HIZ246"/>
      <c r="HJA246"/>
      <c r="HJB246"/>
      <c r="HJC246"/>
      <c r="HJD246"/>
      <c r="HJE246"/>
      <c r="HJF246"/>
      <c r="HJG246"/>
      <c r="HJH246"/>
      <c r="HJI246"/>
      <c r="HJJ246"/>
      <c r="HJK246"/>
      <c r="HJL246"/>
      <c r="HJM246"/>
      <c r="HJN246"/>
      <c r="HJO246"/>
      <c r="HJP246"/>
      <c r="HJQ246"/>
      <c r="HJR246"/>
      <c r="HJS246"/>
      <c r="HJT246"/>
      <c r="HJU246"/>
      <c r="HJV246"/>
      <c r="HJW246"/>
      <c r="HJX246"/>
      <c r="HJY246"/>
      <c r="HJZ246"/>
      <c r="HKA246"/>
      <c r="HKB246"/>
      <c r="HKC246"/>
      <c r="HKD246"/>
      <c r="HKE246"/>
      <c r="HKF246"/>
      <c r="HKG246"/>
      <c r="HKH246"/>
      <c r="HKI246"/>
      <c r="HKJ246"/>
      <c r="HKK246"/>
      <c r="HKL246"/>
      <c r="HKM246"/>
      <c r="HKN246"/>
      <c r="HKO246"/>
      <c r="HKP246"/>
      <c r="HKQ246"/>
      <c r="HKR246"/>
      <c r="HKS246"/>
      <c r="HKT246"/>
      <c r="HKU246"/>
      <c r="HKV246"/>
      <c r="HKW246"/>
      <c r="HKX246"/>
      <c r="HKY246"/>
      <c r="HKZ246"/>
      <c r="HLA246"/>
      <c r="HLB246"/>
      <c r="HLC246"/>
      <c r="HLD246"/>
      <c r="HLE246"/>
      <c r="HLF246"/>
      <c r="HLG246"/>
      <c r="HLH246"/>
      <c r="HLI246"/>
      <c r="HLJ246"/>
      <c r="HLK246"/>
      <c r="HLL246"/>
      <c r="HLM246"/>
      <c r="HLN246"/>
      <c r="HLO246"/>
      <c r="HLP246"/>
      <c r="HLQ246"/>
      <c r="HLR246"/>
      <c r="HLS246"/>
      <c r="HLT246"/>
      <c r="HLU246"/>
      <c r="HLV246"/>
      <c r="HLW246"/>
      <c r="HLX246"/>
      <c r="HLY246"/>
      <c r="HLZ246"/>
      <c r="HMA246"/>
      <c r="HMB246"/>
      <c r="HMC246"/>
      <c r="HMD246"/>
      <c r="HME246"/>
      <c r="HMF246"/>
      <c r="HMG246"/>
      <c r="HMH246"/>
      <c r="HMI246"/>
      <c r="HMJ246"/>
      <c r="HMK246"/>
      <c r="HML246"/>
      <c r="HMM246"/>
      <c r="HMN246"/>
      <c r="HMO246"/>
      <c r="HMP246"/>
      <c r="HMQ246"/>
      <c r="HMR246"/>
      <c r="HMS246"/>
      <c r="HMT246"/>
      <c r="HMU246"/>
      <c r="HMV246"/>
      <c r="HMW246"/>
      <c r="HMX246"/>
      <c r="HMY246"/>
      <c r="HMZ246"/>
      <c r="HNA246"/>
      <c r="HNB246"/>
      <c r="HNC246"/>
      <c r="HND246"/>
      <c r="HNE246"/>
      <c r="HNF246"/>
      <c r="HNG246"/>
      <c r="HNH246"/>
      <c r="HNI246"/>
      <c r="HNJ246"/>
      <c r="HNK246"/>
      <c r="HNL246"/>
      <c r="HNM246"/>
      <c r="HNN246"/>
      <c r="HNO246"/>
      <c r="HNP246"/>
      <c r="HNQ246"/>
      <c r="HNR246"/>
      <c r="HNS246"/>
      <c r="HNT246"/>
      <c r="HNU246"/>
      <c r="HNV246"/>
      <c r="HNW246"/>
      <c r="HNX246"/>
      <c r="HNY246"/>
      <c r="HNZ246"/>
      <c r="HOA246"/>
      <c r="HOB246"/>
      <c r="HOC246"/>
      <c r="HOD246"/>
      <c r="HOE246"/>
      <c r="HOF246"/>
      <c r="HOG246"/>
      <c r="HOH246"/>
      <c r="HOI246"/>
      <c r="HOJ246"/>
      <c r="HOK246"/>
      <c r="HOL246"/>
      <c r="HOM246"/>
      <c r="HON246"/>
      <c r="HOO246"/>
      <c r="HOP246"/>
      <c r="HOQ246"/>
      <c r="HOR246"/>
      <c r="HOS246"/>
      <c r="HOT246"/>
      <c r="HOU246"/>
      <c r="HOV246"/>
      <c r="HOW246"/>
      <c r="HOX246"/>
      <c r="HOY246"/>
      <c r="HOZ246"/>
      <c r="HPA246"/>
      <c r="HPB246"/>
      <c r="HPC246"/>
      <c r="HPD246"/>
      <c r="HPE246"/>
      <c r="HPF246"/>
      <c r="HPG246"/>
      <c r="HPH246"/>
      <c r="HPI246"/>
      <c r="HPJ246"/>
      <c r="HPK246"/>
      <c r="HPL246"/>
      <c r="HPM246"/>
      <c r="HPN246"/>
      <c r="HPO246"/>
      <c r="HPP246"/>
      <c r="HPQ246"/>
      <c r="HPR246"/>
      <c r="HPS246"/>
      <c r="HPT246"/>
      <c r="HPU246"/>
      <c r="HPV246"/>
      <c r="HPW246"/>
      <c r="HPX246"/>
      <c r="HPY246"/>
      <c r="HPZ246"/>
      <c r="HQA246"/>
      <c r="HQB246"/>
      <c r="HQC246"/>
      <c r="HQD246"/>
      <c r="HQE246"/>
      <c r="HQF246"/>
      <c r="HQG246"/>
      <c r="HQH246"/>
      <c r="HQI246"/>
      <c r="HQJ246"/>
      <c r="HQK246"/>
      <c r="HQL246"/>
      <c r="HQM246"/>
      <c r="HQN246"/>
      <c r="HQO246"/>
      <c r="HQP246"/>
      <c r="HQQ246"/>
      <c r="HQR246"/>
      <c r="HQS246"/>
      <c r="HQT246"/>
      <c r="HQU246"/>
      <c r="HQV246"/>
      <c r="HQW246"/>
      <c r="HQX246"/>
      <c r="HQY246"/>
      <c r="HQZ246"/>
      <c r="HRA246"/>
      <c r="HRB246"/>
      <c r="HRC246"/>
      <c r="HRD246"/>
      <c r="HRE246"/>
      <c r="HRF246"/>
      <c r="HRG246"/>
      <c r="HRH246"/>
      <c r="HRI246"/>
      <c r="HRJ246"/>
      <c r="HRK246"/>
      <c r="HRL246"/>
      <c r="HRM246"/>
      <c r="HRN246"/>
      <c r="HRO246"/>
      <c r="HRP246"/>
      <c r="HRQ246"/>
      <c r="HRR246"/>
      <c r="HRS246"/>
      <c r="HRT246"/>
      <c r="HRU246"/>
      <c r="HRV246"/>
      <c r="HRW246"/>
      <c r="HRX246"/>
      <c r="HRY246"/>
      <c r="HRZ246"/>
      <c r="HSA246"/>
      <c r="HSB246"/>
      <c r="HSC246"/>
      <c r="HSD246"/>
      <c r="HSE246"/>
      <c r="HSF246"/>
      <c r="HSG246"/>
      <c r="HSH246"/>
      <c r="HSI246"/>
      <c r="HSJ246"/>
      <c r="HSK246"/>
      <c r="HSL246"/>
      <c r="HSM246"/>
      <c r="HSN246"/>
      <c r="HSO246"/>
      <c r="HSP246"/>
      <c r="HSQ246"/>
      <c r="HSR246"/>
      <c r="HSS246"/>
      <c r="HST246"/>
      <c r="HSU246"/>
      <c r="HSV246"/>
      <c r="HSW246"/>
      <c r="HSX246"/>
      <c r="HSY246"/>
      <c r="HSZ246"/>
      <c r="HTA246"/>
      <c r="HTB246"/>
      <c r="HTC246"/>
      <c r="HTD246"/>
      <c r="HTE246"/>
      <c r="HTF246"/>
      <c r="HTG246"/>
      <c r="HTH246"/>
      <c r="HTI246"/>
      <c r="HTJ246"/>
      <c r="HTK246"/>
      <c r="HTL246"/>
      <c r="HTM246"/>
      <c r="HTN246"/>
      <c r="HTO246"/>
      <c r="HTP246"/>
      <c r="HTQ246"/>
      <c r="HTR246"/>
      <c r="HTS246"/>
      <c r="HTT246"/>
      <c r="HTU246"/>
      <c r="HTV246"/>
      <c r="HTW246"/>
      <c r="HTX246"/>
      <c r="HTY246"/>
      <c r="HTZ246"/>
      <c r="HUA246"/>
      <c r="HUB246"/>
      <c r="HUC246"/>
      <c r="HUD246"/>
      <c r="HUE246"/>
      <c r="HUF246"/>
      <c r="HUG246"/>
      <c r="HUH246"/>
      <c r="HUI246"/>
      <c r="HUJ246"/>
      <c r="HUK246"/>
      <c r="HUL246"/>
      <c r="HUM246"/>
      <c r="HUN246"/>
      <c r="HUO246"/>
      <c r="HUP246"/>
      <c r="HUQ246"/>
      <c r="HUR246"/>
      <c r="HUS246"/>
      <c r="HUT246"/>
      <c r="HUU246"/>
      <c r="HUV246"/>
      <c r="HUW246"/>
      <c r="HUX246"/>
      <c r="HUY246"/>
      <c r="HUZ246"/>
      <c r="HVA246"/>
      <c r="HVB246"/>
      <c r="HVC246"/>
      <c r="HVD246"/>
      <c r="HVE246"/>
      <c r="HVF246"/>
      <c r="HVG246"/>
      <c r="HVH246"/>
      <c r="HVI246"/>
      <c r="HVJ246"/>
      <c r="HVK246"/>
      <c r="HVL246"/>
      <c r="HVM246"/>
      <c r="HVN246"/>
      <c r="HVO246"/>
      <c r="HVP246"/>
      <c r="HVQ246"/>
      <c r="HVR246"/>
      <c r="HVS246"/>
      <c r="HVT246"/>
      <c r="HVU246"/>
      <c r="HVV246"/>
      <c r="HVW246"/>
      <c r="HVX246"/>
      <c r="HVY246"/>
      <c r="HVZ246"/>
      <c r="HWA246"/>
      <c r="HWB246"/>
      <c r="HWC246"/>
      <c r="HWD246"/>
      <c r="HWE246"/>
      <c r="HWF246"/>
      <c r="HWG246"/>
      <c r="HWH246"/>
      <c r="HWI246"/>
      <c r="HWJ246"/>
      <c r="HWK246"/>
      <c r="HWL246"/>
      <c r="HWM246"/>
      <c r="HWN246"/>
      <c r="HWO246"/>
      <c r="HWP246"/>
      <c r="HWQ246"/>
      <c r="HWR246"/>
      <c r="HWS246"/>
      <c r="HWT246"/>
      <c r="HWU246"/>
      <c r="HWV246"/>
      <c r="HWW246"/>
      <c r="HWX246"/>
      <c r="HWY246"/>
      <c r="HWZ246"/>
      <c r="HXA246"/>
      <c r="HXB246"/>
      <c r="HXC246"/>
      <c r="HXD246"/>
      <c r="HXE246"/>
      <c r="HXF246"/>
      <c r="HXG246"/>
      <c r="HXH246"/>
      <c r="HXI246"/>
      <c r="HXJ246"/>
      <c r="HXK246"/>
      <c r="HXL246"/>
      <c r="HXM246"/>
      <c r="HXN246"/>
      <c r="HXO246"/>
      <c r="HXP246"/>
      <c r="HXQ246"/>
      <c r="HXR246"/>
      <c r="HXS246"/>
      <c r="HXT246"/>
      <c r="HXU246"/>
      <c r="HXV246"/>
      <c r="HXW246"/>
      <c r="HXX246"/>
      <c r="HXY246"/>
      <c r="HXZ246"/>
      <c r="HYA246"/>
      <c r="HYB246"/>
      <c r="HYC246"/>
      <c r="HYD246"/>
      <c r="HYE246"/>
      <c r="HYF246"/>
      <c r="HYG246"/>
      <c r="HYH246"/>
      <c r="HYI246"/>
      <c r="HYJ246"/>
      <c r="HYK246"/>
      <c r="HYL246"/>
      <c r="HYM246"/>
      <c r="HYN246"/>
      <c r="HYO246"/>
      <c r="HYP246"/>
      <c r="HYQ246"/>
      <c r="HYR246"/>
      <c r="HYS246"/>
      <c r="HYT246"/>
      <c r="HYU246"/>
      <c r="HYV246"/>
      <c r="HYW246"/>
      <c r="HYX246"/>
      <c r="HYY246"/>
      <c r="HYZ246"/>
      <c r="HZA246"/>
      <c r="HZB246"/>
      <c r="HZC246"/>
      <c r="HZD246"/>
      <c r="HZE246"/>
      <c r="HZF246"/>
      <c r="HZG246"/>
      <c r="HZH246"/>
      <c r="HZI246"/>
      <c r="HZJ246"/>
      <c r="HZK246"/>
      <c r="HZL246"/>
      <c r="HZM246"/>
      <c r="HZN246"/>
      <c r="HZO246"/>
      <c r="HZP246"/>
      <c r="HZQ246"/>
      <c r="HZR246"/>
      <c r="HZS246"/>
      <c r="HZT246"/>
      <c r="HZU246"/>
      <c r="HZV246"/>
      <c r="HZW246"/>
      <c r="HZX246"/>
      <c r="HZY246"/>
      <c r="HZZ246"/>
      <c r="IAA246"/>
      <c r="IAB246"/>
      <c r="IAC246"/>
      <c r="IAD246"/>
      <c r="IAE246"/>
      <c r="IAF246"/>
      <c r="IAG246"/>
      <c r="IAH246"/>
      <c r="IAI246"/>
      <c r="IAJ246"/>
      <c r="IAK246"/>
      <c r="IAL246"/>
      <c r="IAM246"/>
      <c r="IAN246"/>
      <c r="IAO246"/>
      <c r="IAP246"/>
      <c r="IAQ246"/>
      <c r="IAR246"/>
      <c r="IAS246"/>
      <c r="IAT246"/>
      <c r="IAU246"/>
      <c r="IAV246"/>
      <c r="IAW246"/>
      <c r="IAX246"/>
      <c r="IAY246"/>
      <c r="IAZ246"/>
      <c r="IBA246"/>
      <c r="IBB246"/>
      <c r="IBC246"/>
      <c r="IBD246"/>
      <c r="IBE246"/>
      <c r="IBF246"/>
      <c r="IBG246"/>
      <c r="IBH246"/>
      <c r="IBI246"/>
      <c r="IBJ246"/>
      <c r="IBK246"/>
      <c r="IBL246"/>
      <c r="IBM246"/>
      <c r="IBN246"/>
      <c r="IBO246"/>
      <c r="IBP246"/>
      <c r="IBQ246"/>
      <c r="IBR246"/>
      <c r="IBS246"/>
      <c r="IBT246"/>
      <c r="IBU246"/>
      <c r="IBV246"/>
      <c r="IBW246"/>
      <c r="IBX246"/>
      <c r="IBY246"/>
      <c r="IBZ246"/>
      <c r="ICA246"/>
      <c r="ICB246"/>
      <c r="ICC246"/>
      <c r="ICD246"/>
      <c r="ICE246"/>
      <c r="ICF246"/>
      <c r="ICG246"/>
      <c r="ICH246"/>
      <c r="ICI246"/>
      <c r="ICJ246"/>
      <c r="ICK246"/>
      <c r="ICL246"/>
      <c r="ICM246"/>
      <c r="ICN246"/>
      <c r="ICO246"/>
      <c r="ICP246"/>
      <c r="ICQ246"/>
      <c r="ICR246"/>
      <c r="ICS246"/>
      <c r="ICT246"/>
      <c r="ICU246"/>
      <c r="ICV246"/>
      <c r="ICW246"/>
      <c r="ICX246"/>
      <c r="ICY246"/>
      <c r="ICZ246"/>
      <c r="IDA246"/>
      <c r="IDB246"/>
      <c r="IDC246"/>
      <c r="IDD246"/>
      <c r="IDE246"/>
      <c r="IDF246"/>
      <c r="IDG246"/>
      <c r="IDH246"/>
      <c r="IDI246"/>
      <c r="IDJ246"/>
      <c r="IDK246"/>
      <c r="IDL246"/>
      <c r="IDM246"/>
      <c r="IDN246"/>
      <c r="IDO246"/>
      <c r="IDP246"/>
      <c r="IDQ246"/>
      <c r="IDR246"/>
      <c r="IDS246"/>
      <c r="IDT246"/>
      <c r="IDU246"/>
      <c r="IDV246"/>
      <c r="IDW246"/>
      <c r="IDX246"/>
      <c r="IDY246"/>
      <c r="IDZ246"/>
      <c r="IEA246"/>
      <c r="IEB246"/>
      <c r="IEC246"/>
      <c r="IED246"/>
      <c r="IEE246"/>
      <c r="IEF246"/>
      <c r="IEG246"/>
      <c r="IEH246"/>
      <c r="IEI246"/>
      <c r="IEJ246"/>
      <c r="IEK246"/>
      <c r="IEL246"/>
      <c r="IEM246"/>
      <c r="IEN246"/>
      <c r="IEO246"/>
      <c r="IEP246"/>
      <c r="IEQ246"/>
      <c r="IER246"/>
      <c r="IES246"/>
      <c r="IET246"/>
      <c r="IEU246"/>
      <c r="IEV246"/>
      <c r="IEW246"/>
      <c r="IEX246"/>
      <c r="IEY246"/>
      <c r="IEZ246"/>
      <c r="IFA246"/>
      <c r="IFB246"/>
      <c r="IFC246"/>
      <c r="IFD246"/>
      <c r="IFE246"/>
      <c r="IFF246"/>
      <c r="IFG246"/>
      <c r="IFH246"/>
      <c r="IFI246"/>
      <c r="IFJ246"/>
      <c r="IFK246"/>
      <c r="IFL246"/>
      <c r="IFM246"/>
      <c r="IFN246"/>
      <c r="IFO246"/>
      <c r="IFP246"/>
      <c r="IFQ246"/>
      <c r="IFR246"/>
      <c r="IFS246"/>
      <c r="IFT246"/>
      <c r="IFU246"/>
      <c r="IFV246"/>
      <c r="IFW246"/>
      <c r="IFX246"/>
      <c r="IFY246"/>
      <c r="IFZ246"/>
      <c r="IGA246"/>
      <c r="IGB246"/>
      <c r="IGC246"/>
      <c r="IGD246"/>
      <c r="IGE246"/>
      <c r="IGF246"/>
      <c r="IGG246"/>
      <c r="IGH246"/>
      <c r="IGI246"/>
      <c r="IGJ246"/>
      <c r="IGK246"/>
      <c r="IGL246"/>
      <c r="IGM246"/>
      <c r="IGN246"/>
      <c r="IGO246"/>
      <c r="IGP246"/>
      <c r="IGQ246"/>
      <c r="IGR246"/>
      <c r="IGS246"/>
      <c r="IGT246"/>
      <c r="IGU246"/>
      <c r="IGV246"/>
      <c r="IGW246"/>
      <c r="IGX246"/>
      <c r="IGY246"/>
      <c r="IGZ246"/>
      <c r="IHA246"/>
      <c r="IHB246"/>
      <c r="IHC246"/>
      <c r="IHD246"/>
      <c r="IHE246"/>
      <c r="IHF246"/>
      <c r="IHG246"/>
      <c r="IHH246"/>
      <c r="IHI246"/>
      <c r="IHJ246"/>
      <c r="IHK246"/>
      <c r="IHL246"/>
      <c r="IHM246"/>
      <c r="IHN246"/>
      <c r="IHO246"/>
      <c r="IHP246"/>
      <c r="IHQ246"/>
      <c r="IHR246"/>
      <c r="IHS246"/>
      <c r="IHT246"/>
      <c r="IHU246"/>
      <c r="IHV246"/>
      <c r="IHW246"/>
      <c r="IHX246"/>
      <c r="IHY246"/>
      <c r="IHZ246"/>
      <c r="IIA246"/>
      <c r="IIB246"/>
      <c r="IIC246"/>
      <c r="IID246"/>
      <c r="IIE246"/>
      <c r="IIF246"/>
      <c r="IIG246"/>
      <c r="IIH246"/>
      <c r="III246"/>
      <c r="IIJ246"/>
      <c r="IIK246"/>
      <c r="IIL246"/>
      <c r="IIM246"/>
      <c r="IIN246"/>
      <c r="IIO246"/>
      <c r="IIP246"/>
      <c r="IIQ246"/>
      <c r="IIR246"/>
      <c r="IIS246"/>
      <c r="IIT246"/>
      <c r="IIU246"/>
      <c r="IIV246"/>
      <c r="IIW246"/>
      <c r="IIX246"/>
      <c r="IIY246"/>
      <c r="IIZ246"/>
      <c r="IJA246"/>
      <c r="IJB246"/>
      <c r="IJC246"/>
      <c r="IJD246"/>
      <c r="IJE246"/>
      <c r="IJF246"/>
      <c r="IJG246"/>
      <c r="IJH246"/>
      <c r="IJI246"/>
      <c r="IJJ246"/>
      <c r="IJK246"/>
      <c r="IJL246"/>
      <c r="IJM246"/>
      <c r="IJN246"/>
      <c r="IJO246"/>
      <c r="IJP246"/>
      <c r="IJQ246"/>
      <c r="IJR246"/>
      <c r="IJS246"/>
      <c r="IJT246"/>
      <c r="IJU246"/>
      <c r="IJV246"/>
      <c r="IJW246"/>
      <c r="IJX246"/>
      <c r="IJY246"/>
      <c r="IJZ246"/>
      <c r="IKA246"/>
      <c r="IKB246"/>
      <c r="IKC246"/>
      <c r="IKD246"/>
      <c r="IKE246"/>
      <c r="IKF246"/>
      <c r="IKG246"/>
      <c r="IKH246"/>
      <c r="IKI246"/>
      <c r="IKJ246"/>
      <c r="IKK246"/>
      <c r="IKL246"/>
      <c r="IKM246"/>
      <c r="IKN246"/>
      <c r="IKO246"/>
      <c r="IKP246"/>
      <c r="IKQ246"/>
      <c r="IKR246"/>
      <c r="IKS246"/>
      <c r="IKT246"/>
      <c r="IKU246"/>
      <c r="IKV246"/>
      <c r="IKW246"/>
      <c r="IKX246"/>
      <c r="IKY246"/>
      <c r="IKZ246"/>
      <c r="ILA246"/>
      <c r="ILB246"/>
      <c r="ILC246"/>
      <c r="ILD246"/>
      <c r="ILE246"/>
      <c r="ILF246"/>
      <c r="ILG246"/>
      <c r="ILH246"/>
      <c r="ILI246"/>
      <c r="ILJ246"/>
      <c r="ILK246"/>
      <c r="ILL246"/>
      <c r="ILM246"/>
      <c r="ILN246"/>
      <c r="ILO246"/>
      <c r="ILP246"/>
      <c r="ILQ246"/>
      <c r="ILR246"/>
      <c r="ILS246"/>
      <c r="ILT246"/>
      <c r="ILU246"/>
      <c r="ILV246"/>
      <c r="ILW246"/>
      <c r="ILX246"/>
      <c r="ILY246"/>
      <c r="ILZ246"/>
      <c r="IMA246"/>
      <c r="IMB246"/>
      <c r="IMC246"/>
      <c r="IMD246"/>
      <c r="IME246"/>
      <c r="IMF246"/>
      <c r="IMG246"/>
      <c r="IMH246"/>
      <c r="IMI246"/>
      <c r="IMJ246"/>
      <c r="IMK246"/>
      <c r="IML246"/>
      <c r="IMM246"/>
      <c r="IMN246"/>
      <c r="IMO246"/>
      <c r="IMP246"/>
      <c r="IMQ246"/>
      <c r="IMR246"/>
      <c r="IMS246"/>
      <c r="IMT246"/>
      <c r="IMU246"/>
      <c r="IMV246"/>
      <c r="IMW246"/>
      <c r="IMX246"/>
      <c r="IMY246"/>
      <c r="IMZ246"/>
      <c r="INA246"/>
      <c r="INB246"/>
      <c r="INC246"/>
      <c r="IND246"/>
      <c r="INE246"/>
      <c r="INF246"/>
      <c r="ING246"/>
      <c r="INH246"/>
      <c r="INI246"/>
      <c r="INJ246"/>
      <c r="INK246"/>
      <c r="INL246"/>
      <c r="INM246"/>
      <c r="INN246"/>
      <c r="INO246"/>
      <c r="INP246"/>
      <c r="INQ246"/>
      <c r="INR246"/>
      <c r="INS246"/>
      <c r="INT246"/>
      <c r="INU246"/>
      <c r="INV246"/>
      <c r="INW246"/>
      <c r="INX246"/>
      <c r="INY246"/>
      <c r="INZ246"/>
      <c r="IOA246"/>
      <c r="IOB246"/>
      <c r="IOC246"/>
      <c r="IOD246"/>
      <c r="IOE246"/>
      <c r="IOF246"/>
      <c r="IOG246"/>
      <c r="IOH246"/>
      <c r="IOI246"/>
      <c r="IOJ246"/>
      <c r="IOK246"/>
      <c r="IOL246"/>
      <c r="IOM246"/>
      <c r="ION246"/>
      <c r="IOO246"/>
      <c r="IOP246"/>
      <c r="IOQ246"/>
      <c r="IOR246"/>
      <c r="IOS246"/>
      <c r="IOT246"/>
      <c r="IOU246"/>
      <c r="IOV246"/>
      <c r="IOW246"/>
      <c r="IOX246"/>
      <c r="IOY246"/>
      <c r="IOZ246"/>
      <c r="IPA246"/>
      <c r="IPB246"/>
      <c r="IPC246"/>
      <c r="IPD246"/>
      <c r="IPE246"/>
      <c r="IPF246"/>
      <c r="IPG246"/>
      <c r="IPH246"/>
      <c r="IPI246"/>
      <c r="IPJ246"/>
      <c r="IPK246"/>
      <c r="IPL246"/>
      <c r="IPM246"/>
      <c r="IPN246"/>
      <c r="IPO246"/>
      <c r="IPP246"/>
      <c r="IPQ246"/>
      <c r="IPR246"/>
      <c r="IPS246"/>
      <c r="IPT246"/>
      <c r="IPU246"/>
      <c r="IPV246"/>
      <c r="IPW246"/>
      <c r="IPX246"/>
      <c r="IPY246"/>
      <c r="IPZ246"/>
      <c r="IQA246"/>
      <c r="IQB246"/>
      <c r="IQC246"/>
      <c r="IQD246"/>
      <c r="IQE246"/>
      <c r="IQF246"/>
      <c r="IQG246"/>
      <c r="IQH246"/>
      <c r="IQI246"/>
      <c r="IQJ246"/>
      <c r="IQK246"/>
      <c r="IQL246"/>
      <c r="IQM246"/>
      <c r="IQN246"/>
      <c r="IQO246"/>
      <c r="IQP246"/>
      <c r="IQQ246"/>
      <c r="IQR246"/>
      <c r="IQS246"/>
      <c r="IQT246"/>
      <c r="IQU246"/>
      <c r="IQV246"/>
      <c r="IQW246"/>
      <c r="IQX246"/>
      <c r="IQY246"/>
      <c r="IQZ246"/>
      <c r="IRA246"/>
      <c r="IRB246"/>
      <c r="IRC246"/>
      <c r="IRD246"/>
      <c r="IRE246"/>
      <c r="IRF246"/>
      <c r="IRG246"/>
      <c r="IRH246"/>
      <c r="IRI246"/>
      <c r="IRJ246"/>
      <c r="IRK246"/>
      <c r="IRL246"/>
      <c r="IRM246"/>
      <c r="IRN246"/>
      <c r="IRO246"/>
      <c r="IRP246"/>
      <c r="IRQ246"/>
      <c r="IRR246"/>
      <c r="IRS246"/>
      <c r="IRT246"/>
      <c r="IRU246"/>
      <c r="IRV246"/>
      <c r="IRW246"/>
      <c r="IRX246"/>
      <c r="IRY246"/>
      <c r="IRZ246"/>
      <c r="ISA246"/>
      <c r="ISB246"/>
      <c r="ISC246"/>
      <c r="ISD246"/>
      <c r="ISE246"/>
      <c r="ISF246"/>
      <c r="ISG246"/>
      <c r="ISH246"/>
      <c r="ISI246"/>
      <c r="ISJ246"/>
      <c r="ISK246"/>
      <c r="ISL246"/>
      <c r="ISM246"/>
      <c r="ISN246"/>
      <c r="ISO246"/>
      <c r="ISP246"/>
      <c r="ISQ246"/>
      <c r="ISR246"/>
      <c r="ISS246"/>
      <c r="IST246"/>
      <c r="ISU246"/>
      <c r="ISV246"/>
      <c r="ISW246"/>
      <c r="ISX246"/>
      <c r="ISY246"/>
      <c r="ISZ246"/>
      <c r="ITA246"/>
      <c r="ITB246"/>
      <c r="ITC246"/>
      <c r="ITD246"/>
      <c r="ITE246"/>
      <c r="ITF246"/>
      <c r="ITG246"/>
      <c r="ITH246"/>
      <c r="ITI246"/>
      <c r="ITJ246"/>
      <c r="ITK246"/>
      <c r="ITL246"/>
      <c r="ITM246"/>
      <c r="ITN246"/>
      <c r="ITO246"/>
      <c r="ITP246"/>
      <c r="ITQ246"/>
      <c r="ITR246"/>
      <c r="ITS246"/>
      <c r="ITT246"/>
      <c r="ITU246"/>
      <c r="ITV246"/>
      <c r="ITW246"/>
      <c r="ITX246"/>
      <c r="ITY246"/>
      <c r="ITZ246"/>
      <c r="IUA246"/>
      <c r="IUB246"/>
      <c r="IUC246"/>
      <c r="IUD246"/>
      <c r="IUE246"/>
      <c r="IUF246"/>
      <c r="IUG246"/>
      <c r="IUH246"/>
      <c r="IUI246"/>
      <c r="IUJ246"/>
      <c r="IUK246"/>
      <c r="IUL246"/>
      <c r="IUM246"/>
      <c r="IUN246"/>
      <c r="IUO246"/>
      <c r="IUP246"/>
      <c r="IUQ246"/>
      <c r="IUR246"/>
      <c r="IUS246"/>
      <c r="IUT246"/>
      <c r="IUU246"/>
      <c r="IUV246"/>
      <c r="IUW246"/>
      <c r="IUX246"/>
      <c r="IUY246"/>
      <c r="IUZ246"/>
      <c r="IVA246"/>
      <c r="IVB246"/>
      <c r="IVC246"/>
      <c r="IVD246"/>
      <c r="IVE246"/>
      <c r="IVF246"/>
      <c r="IVG246"/>
      <c r="IVH246"/>
      <c r="IVI246"/>
      <c r="IVJ246"/>
      <c r="IVK246"/>
      <c r="IVL246"/>
      <c r="IVM246"/>
      <c r="IVN246"/>
      <c r="IVO246"/>
      <c r="IVP246"/>
      <c r="IVQ246"/>
      <c r="IVR246"/>
      <c r="IVS246"/>
      <c r="IVT246"/>
      <c r="IVU246"/>
      <c r="IVV246"/>
      <c r="IVW246"/>
      <c r="IVX246"/>
      <c r="IVY246"/>
      <c r="IVZ246"/>
      <c r="IWA246"/>
      <c r="IWB246"/>
      <c r="IWC246"/>
      <c r="IWD246"/>
      <c r="IWE246"/>
      <c r="IWF246"/>
      <c r="IWG246"/>
      <c r="IWH246"/>
      <c r="IWI246"/>
      <c r="IWJ246"/>
      <c r="IWK246"/>
      <c r="IWL246"/>
      <c r="IWM246"/>
      <c r="IWN246"/>
      <c r="IWO246"/>
      <c r="IWP246"/>
      <c r="IWQ246"/>
      <c r="IWR246"/>
      <c r="IWS246"/>
      <c r="IWT246"/>
      <c r="IWU246"/>
      <c r="IWV246"/>
      <c r="IWW246"/>
      <c r="IWX246"/>
      <c r="IWY246"/>
      <c r="IWZ246"/>
      <c r="IXA246"/>
      <c r="IXB246"/>
      <c r="IXC246"/>
      <c r="IXD246"/>
      <c r="IXE246"/>
      <c r="IXF246"/>
      <c r="IXG246"/>
      <c r="IXH246"/>
      <c r="IXI246"/>
      <c r="IXJ246"/>
      <c r="IXK246"/>
      <c r="IXL246"/>
      <c r="IXM246"/>
      <c r="IXN246"/>
      <c r="IXO246"/>
      <c r="IXP246"/>
      <c r="IXQ246"/>
      <c r="IXR246"/>
      <c r="IXS246"/>
      <c r="IXT246"/>
      <c r="IXU246"/>
      <c r="IXV246"/>
      <c r="IXW246"/>
      <c r="IXX246"/>
      <c r="IXY246"/>
      <c r="IXZ246"/>
      <c r="IYA246"/>
      <c r="IYB246"/>
      <c r="IYC246"/>
      <c r="IYD246"/>
      <c r="IYE246"/>
      <c r="IYF246"/>
      <c r="IYG246"/>
      <c r="IYH246"/>
      <c r="IYI246"/>
      <c r="IYJ246"/>
      <c r="IYK246"/>
      <c r="IYL246"/>
      <c r="IYM246"/>
      <c r="IYN246"/>
      <c r="IYO246"/>
      <c r="IYP246"/>
      <c r="IYQ246"/>
      <c r="IYR246"/>
      <c r="IYS246"/>
      <c r="IYT246"/>
      <c r="IYU246"/>
      <c r="IYV246"/>
      <c r="IYW246"/>
      <c r="IYX246"/>
      <c r="IYY246"/>
      <c r="IYZ246"/>
      <c r="IZA246"/>
      <c r="IZB246"/>
      <c r="IZC246"/>
      <c r="IZD246"/>
      <c r="IZE246"/>
      <c r="IZF246"/>
      <c r="IZG246"/>
      <c r="IZH246"/>
      <c r="IZI246"/>
      <c r="IZJ246"/>
      <c r="IZK246"/>
      <c r="IZL246"/>
      <c r="IZM246"/>
      <c r="IZN246"/>
      <c r="IZO246"/>
      <c r="IZP246"/>
      <c r="IZQ246"/>
      <c r="IZR246"/>
      <c r="IZS246"/>
      <c r="IZT246"/>
      <c r="IZU246"/>
      <c r="IZV246"/>
      <c r="IZW246"/>
      <c r="IZX246"/>
      <c r="IZY246"/>
      <c r="IZZ246"/>
      <c r="JAA246"/>
      <c r="JAB246"/>
      <c r="JAC246"/>
      <c r="JAD246"/>
      <c r="JAE246"/>
      <c r="JAF246"/>
      <c r="JAG246"/>
      <c r="JAH246"/>
      <c r="JAI246"/>
      <c r="JAJ246"/>
      <c r="JAK246"/>
      <c r="JAL246"/>
      <c r="JAM246"/>
      <c r="JAN246"/>
      <c r="JAO246"/>
      <c r="JAP246"/>
      <c r="JAQ246"/>
      <c r="JAR246"/>
      <c r="JAS246"/>
      <c r="JAT246"/>
      <c r="JAU246"/>
      <c r="JAV246"/>
      <c r="JAW246"/>
      <c r="JAX246"/>
      <c r="JAY246"/>
      <c r="JAZ246"/>
      <c r="JBA246"/>
      <c r="JBB246"/>
      <c r="JBC246"/>
      <c r="JBD246"/>
      <c r="JBE246"/>
      <c r="JBF246"/>
      <c r="JBG246"/>
      <c r="JBH246"/>
      <c r="JBI246"/>
      <c r="JBJ246"/>
      <c r="JBK246"/>
      <c r="JBL246"/>
      <c r="JBM246"/>
      <c r="JBN246"/>
      <c r="JBO246"/>
      <c r="JBP246"/>
      <c r="JBQ246"/>
      <c r="JBR246"/>
      <c r="JBS246"/>
      <c r="JBT246"/>
      <c r="JBU246"/>
      <c r="JBV246"/>
      <c r="JBW246"/>
      <c r="JBX246"/>
      <c r="JBY246"/>
      <c r="JBZ246"/>
      <c r="JCA246"/>
      <c r="JCB246"/>
      <c r="JCC246"/>
      <c r="JCD246"/>
      <c r="JCE246"/>
      <c r="JCF246"/>
      <c r="JCG246"/>
      <c r="JCH246"/>
      <c r="JCI246"/>
      <c r="JCJ246"/>
      <c r="JCK246"/>
      <c r="JCL246"/>
      <c r="JCM246"/>
      <c r="JCN246"/>
      <c r="JCO246"/>
      <c r="JCP246"/>
      <c r="JCQ246"/>
      <c r="JCR246"/>
      <c r="JCS246"/>
      <c r="JCT246"/>
      <c r="JCU246"/>
      <c r="JCV246"/>
      <c r="JCW246"/>
      <c r="JCX246"/>
      <c r="JCY246"/>
      <c r="JCZ246"/>
      <c r="JDA246"/>
      <c r="JDB246"/>
      <c r="JDC246"/>
      <c r="JDD246"/>
      <c r="JDE246"/>
      <c r="JDF246"/>
      <c r="JDG246"/>
      <c r="JDH246"/>
      <c r="JDI246"/>
      <c r="JDJ246"/>
      <c r="JDK246"/>
      <c r="JDL246"/>
      <c r="JDM246"/>
      <c r="JDN246"/>
      <c r="JDO246"/>
      <c r="JDP246"/>
      <c r="JDQ246"/>
      <c r="JDR246"/>
      <c r="JDS246"/>
      <c r="JDT246"/>
      <c r="JDU246"/>
      <c r="JDV246"/>
      <c r="JDW246"/>
      <c r="JDX246"/>
      <c r="JDY246"/>
      <c r="JDZ246"/>
      <c r="JEA246"/>
      <c r="JEB246"/>
      <c r="JEC246"/>
      <c r="JED246"/>
      <c r="JEE246"/>
      <c r="JEF246"/>
      <c r="JEG246"/>
      <c r="JEH246"/>
      <c r="JEI246"/>
      <c r="JEJ246"/>
      <c r="JEK246"/>
      <c r="JEL246"/>
      <c r="JEM246"/>
      <c r="JEN246"/>
      <c r="JEO246"/>
      <c r="JEP246"/>
      <c r="JEQ246"/>
      <c r="JER246"/>
      <c r="JES246"/>
      <c r="JET246"/>
      <c r="JEU246"/>
      <c r="JEV246"/>
      <c r="JEW246"/>
      <c r="JEX246"/>
      <c r="JEY246"/>
      <c r="JEZ246"/>
      <c r="JFA246"/>
      <c r="JFB246"/>
      <c r="JFC246"/>
      <c r="JFD246"/>
      <c r="JFE246"/>
      <c r="JFF246"/>
      <c r="JFG246"/>
      <c r="JFH246"/>
      <c r="JFI246"/>
      <c r="JFJ246"/>
      <c r="JFK246"/>
      <c r="JFL246"/>
      <c r="JFM246"/>
      <c r="JFN246"/>
      <c r="JFO246"/>
      <c r="JFP246"/>
      <c r="JFQ246"/>
      <c r="JFR246"/>
      <c r="JFS246"/>
      <c r="JFT246"/>
      <c r="JFU246"/>
      <c r="JFV246"/>
      <c r="JFW246"/>
      <c r="JFX246"/>
      <c r="JFY246"/>
      <c r="JFZ246"/>
      <c r="JGA246"/>
      <c r="JGB246"/>
      <c r="JGC246"/>
      <c r="JGD246"/>
      <c r="JGE246"/>
      <c r="JGF246"/>
      <c r="JGG246"/>
      <c r="JGH246"/>
      <c r="JGI246"/>
      <c r="JGJ246"/>
      <c r="JGK246"/>
      <c r="JGL246"/>
      <c r="JGM246"/>
      <c r="JGN246"/>
      <c r="JGO246"/>
      <c r="JGP246"/>
      <c r="JGQ246"/>
      <c r="JGR246"/>
      <c r="JGS246"/>
      <c r="JGT246"/>
      <c r="JGU246"/>
      <c r="JGV246"/>
      <c r="JGW246"/>
      <c r="JGX246"/>
      <c r="JGY246"/>
      <c r="JGZ246"/>
      <c r="JHA246"/>
      <c r="JHB246"/>
      <c r="JHC246"/>
      <c r="JHD246"/>
      <c r="JHE246"/>
      <c r="JHF246"/>
      <c r="JHG246"/>
      <c r="JHH246"/>
      <c r="JHI246"/>
      <c r="JHJ246"/>
      <c r="JHK246"/>
      <c r="JHL246"/>
      <c r="JHM246"/>
      <c r="JHN246"/>
      <c r="JHO246"/>
      <c r="JHP246"/>
      <c r="JHQ246"/>
      <c r="JHR246"/>
      <c r="JHS246"/>
      <c r="JHT246"/>
      <c r="JHU246"/>
      <c r="JHV246"/>
      <c r="JHW246"/>
      <c r="JHX246"/>
      <c r="JHY246"/>
      <c r="JHZ246"/>
      <c r="JIA246"/>
      <c r="JIB246"/>
      <c r="JIC246"/>
      <c r="JID246"/>
      <c r="JIE246"/>
      <c r="JIF246"/>
      <c r="JIG246"/>
      <c r="JIH246"/>
      <c r="JII246"/>
      <c r="JIJ246"/>
      <c r="JIK246"/>
      <c r="JIL246"/>
      <c r="JIM246"/>
      <c r="JIN246"/>
      <c r="JIO246"/>
      <c r="JIP246"/>
      <c r="JIQ246"/>
      <c r="JIR246"/>
      <c r="JIS246"/>
      <c r="JIT246"/>
      <c r="JIU246"/>
      <c r="JIV246"/>
      <c r="JIW246"/>
      <c r="JIX246"/>
      <c r="JIY246"/>
      <c r="JIZ246"/>
      <c r="JJA246"/>
      <c r="JJB246"/>
      <c r="JJC246"/>
      <c r="JJD246"/>
      <c r="JJE246"/>
      <c r="JJF246"/>
      <c r="JJG246"/>
      <c r="JJH246"/>
      <c r="JJI246"/>
      <c r="JJJ246"/>
      <c r="JJK246"/>
      <c r="JJL246"/>
      <c r="JJM246"/>
      <c r="JJN246"/>
      <c r="JJO246"/>
      <c r="JJP246"/>
      <c r="JJQ246"/>
      <c r="JJR246"/>
      <c r="JJS246"/>
      <c r="JJT246"/>
      <c r="JJU246"/>
      <c r="JJV246"/>
      <c r="JJW246"/>
      <c r="JJX246"/>
      <c r="JJY246"/>
      <c r="JJZ246"/>
      <c r="JKA246"/>
      <c r="JKB246"/>
      <c r="JKC246"/>
      <c r="JKD246"/>
      <c r="JKE246"/>
      <c r="JKF246"/>
      <c r="JKG246"/>
      <c r="JKH246"/>
      <c r="JKI246"/>
      <c r="JKJ246"/>
      <c r="JKK246"/>
      <c r="JKL246"/>
      <c r="JKM246"/>
      <c r="JKN246"/>
      <c r="JKO246"/>
      <c r="JKP246"/>
      <c r="JKQ246"/>
      <c r="JKR246"/>
      <c r="JKS246"/>
      <c r="JKT246"/>
      <c r="JKU246"/>
      <c r="JKV246"/>
      <c r="JKW246"/>
      <c r="JKX246"/>
      <c r="JKY246"/>
      <c r="JKZ246"/>
      <c r="JLA246"/>
      <c r="JLB246"/>
      <c r="JLC246"/>
      <c r="JLD246"/>
      <c r="JLE246"/>
      <c r="JLF246"/>
      <c r="JLG246"/>
      <c r="JLH246"/>
      <c r="JLI246"/>
      <c r="JLJ246"/>
      <c r="JLK246"/>
      <c r="JLL246"/>
      <c r="JLM246"/>
      <c r="JLN246"/>
      <c r="JLO246"/>
      <c r="JLP246"/>
      <c r="JLQ246"/>
      <c r="JLR246"/>
      <c r="JLS246"/>
      <c r="JLT246"/>
      <c r="JLU246"/>
      <c r="JLV246"/>
      <c r="JLW246"/>
      <c r="JLX246"/>
      <c r="JLY246"/>
      <c r="JLZ246"/>
      <c r="JMA246"/>
      <c r="JMB246"/>
      <c r="JMC246"/>
      <c r="JMD246"/>
      <c r="JME246"/>
      <c r="JMF246"/>
      <c r="JMG246"/>
      <c r="JMH246"/>
      <c r="JMI246"/>
      <c r="JMJ246"/>
      <c r="JMK246"/>
      <c r="JML246"/>
      <c r="JMM246"/>
      <c r="JMN246"/>
      <c r="JMO246"/>
      <c r="JMP246"/>
      <c r="JMQ246"/>
      <c r="JMR246"/>
      <c r="JMS246"/>
      <c r="JMT246"/>
      <c r="JMU246"/>
      <c r="JMV246"/>
      <c r="JMW246"/>
      <c r="JMX246"/>
      <c r="JMY246"/>
      <c r="JMZ246"/>
      <c r="JNA246"/>
      <c r="JNB246"/>
      <c r="JNC246"/>
      <c r="JND246"/>
      <c r="JNE246"/>
      <c r="JNF246"/>
      <c r="JNG246"/>
      <c r="JNH246"/>
      <c r="JNI246"/>
      <c r="JNJ246"/>
      <c r="JNK246"/>
      <c r="JNL246"/>
      <c r="JNM246"/>
      <c r="JNN246"/>
      <c r="JNO246"/>
      <c r="JNP246"/>
      <c r="JNQ246"/>
      <c r="JNR246"/>
      <c r="JNS246"/>
      <c r="JNT246"/>
      <c r="JNU246"/>
      <c r="JNV246"/>
      <c r="JNW246"/>
      <c r="JNX246"/>
      <c r="JNY246"/>
      <c r="JNZ246"/>
      <c r="JOA246"/>
      <c r="JOB246"/>
      <c r="JOC246"/>
      <c r="JOD246"/>
      <c r="JOE246"/>
      <c r="JOF246"/>
      <c r="JOG246"/>
      <c r="JOH246"/>
      <c r="JOI246"/>
      <c r="JOJ246"/>
      <c r="JOK246"/>
      <c r="JOL246"/>
      <c r="JOM246"/>
      <c r="JON246"/>
      <c r="JOO246"/>
      <c r="JOP246"/>
      <c r="JOQ246"/>
      <c r="JOR246"/>
      <c r="JOS246"/>
      <c r="JOT246"/>
      <c r="JOU246"/>
      <c r="JOV246"/>
      <c r="JOW246"/>
      <c r="JOX246"/>
      <c r="JOY246"/>
      <c r="JOZ246"/>
      <c r="JPA246"/>
      <c r="JPB246"/>
      <c r="JPC246"/>
      <c r="JPD246"/>
      <c r="JPE246"/>
      <c r="JPF246"/>
      <c r="JPG246"/>
      <c r="JPH246"/>
      <c r="JPI246"/>
      <c r="JPJ246"/>
      <c r="JPK246"/>
      <c r="JPL246"/>
      <c r="JPM246"/>
      <c r="JPN246"/>
      <c r="JPO246"/>
      <c r="JPP246"/>
      <c r="JPQ246"/>
      <c r="JPR246"/>
      <c r="JPS246"/>
      <c r="JPT246"/>
      <c r="JPU246"/>
      <c r="JPV246"/>
      <c r="JPW246"/>
      <c r="JPX246"/>
      <c r="JPY246"/>
      <c r="JPZ246"/>
      <c r="JQA246"/>
      <c r="JQB246"/>
      <c r="JQC246"/>
      <c r="JQD246"/>
      <c r="JQE246"/>
      <c r="JQF246"/>
      <c r="JQG246"/>
      <c r="JQH246"/>
      <c r="JQI246"/>
      <c r="JQJ246"/>
      <c r="JQK246"/>
      <c r="JQL246"/>
      <c r="JQM246"/>
      <c r="JQN246"/>
      <c r="JQO246"/>
      <c r="JQP246"/>
      <c r="JQQ246"/>
      <c r="JQR246"/>
      <c r="JQS246"/>
      <c r="JQT246"/>
      <c r="JQU246"/>
      <c r="JQV246"/>
      <c r="JQW246"/>
      <c r="JQX246"/>
      <c r="JQY246"/>
      <c r="JQZ246"/>
      <c r="JRA246"/>
      <c r="JRB246"/>
      <c r="JRC246"/>
      <c r="JRD246"/>
      <c r="JRE246"/>
      <c r="JRF246"/>
      <c r="JRG246"/>
      <c r="JRH246"/>
      <c r="JRI246"/>
      <c r="JRJ246"/>
      <c r="JRK246"/>
      <c r="JRL246"/>
      <c r="JRM246"/>
      <c r="JRN246"/>
      <c r="JRO246"/>
      <c r="JRP246"/>
      <c r="JRQ246"/>
      <c r="JRR246"/>
      <c r="JRS246"/>
      <c r="JRT246"/>
      <c r="JRU246"/>
      <c r="JRV246"/>
      <c r="JRW246"/>
      <c r="JRX246"/>
      <c r="JRY246"/>
      <c r="JRZ246"/>
      <c r="JSA246"/>
      <c r="JSB246"/>
      <c r="JSC246"/>
      <c r="JSD246"/>
      <c r="JSE246"/>
      <c r="JSF246"/>
      <c r="JSG246"/>
      <c r="JSH246"/>
      <c r="JSI246"/>
      <c r="JSJ246"/>
      <c r="JSK246"/>
      <c r="JSL246"/>
      <c r="JSM246"/>
      <c r="JSN246"/>
      <c r="JSO246"/>
      <c r="JSP246"/>
      <c r="JSQ246"/>
      <c r="JSR246"/>
      <c r="JSS246"/>
      <c r="JST246"/>
      <c r="JSU246"/>
      <c r="JSV246"/>
      <c r="JSW246"/>
      <c r="JSX246"/>
      <c r="JSY246"/>
      <c r="JSZ246"/>
      <c r="JTA246"/>
      <c r="JTB246"/>
      <c r="JTC246"/>
      <c r="JTD246"/>
      <c r="JTE246"/>
      <c r="JTF246"/>
      <c r="JTG246"/>
      <c r="JTH246"/>
      <c r="JTI246"/>
      <c r="JTJ246"/>
      <c r="JTK246"/>
      <c r="JTL246"/>
      <c r="JTM246"/>
      <c r="JTN246"/>
      <c r="JTO246"/>
      <c r="JTP246"/>
      <c r="JTQ246"/>
      <c r="JTR246"/>
      <c r="JTS246"/>
      <c r="JTT246"/>
      <c r="JTU246"/>
      <c r="JTV246"/>
      <c r="JTW246"/>
      <c r="JTX246"/>
      <c r="JTY246"/>
      <c r="JTZ246"/>
      <c r="JUA246"/>
      <c r="JUB246"/>
      <c r="JUC246"/>
      <c r="JUD246"/>
      <c r="JUE246"/>
      <c r="JUF246"/>
      <c r="JUG246"/>
      <c r="JUH246"/>
      <c r="JUI246"/>
      <c r="JUJ246"/>
      <c r="JUK246"/>
      <c r="JUL246"/>
      <c r="JUM246"/>
      <c r="JUN246"/>
      <c r="JUO246"/>
      <c r="JUP246"/>
      <c r="JUQ246"/>
      <c r="JUR246"/>
      <c r="JUS246"/>
      <c r="JUT246"/>
      <c r="JUU246"/>
      <c r="JUV246"/>
      <c r="JUW246"/>
      <c r="JUX246"/>
      <c r="JUY246"/>
      <c r="JUZ246"/>
      <c r="JVA246"/>
      <c r="JVB246"/>
      <c r="JVC246"/>
      <c r="JVD246"/>
      <c r="JVE246"/>
      <c r="JVF246"/>
      <c r="JVG246"/>
      <c r="JVH246"/>
      <c r="JVI246"/>
      <c r="JVJ246"/>
      <c r="JVK246"/>
      <c r="JVL246"/>
      <c r="JVM246"/>
      <c r="JVN246"/>
      <c r="JVO246"/>
      <c r="JVP246"/>
      <c r="JVQ246"/>
      <c r="JVR246"/>
      <c r="JVS246"/>
      <c r="JVT246"/>
      <c r="JVU246"/>
      <c r="JVV246"/>
      <c r="JVW246"/>
      <c r="JVX246"/>
      <c r="JVY246"/>
      <c r="JVZ246"/>
      <c r="JWA246"/>
      <c r="JWB246"/>
      <c r="JWC246"/>
      <c r="JWD246"/>
      <c r="JWE246"/>
      <c r="JWF246"/>
      <c r="JWG246"/>
      <c r="JWH246"/>
      <c r="JWI246"/>
      <c r="JWJ246"/>
      <c r="JWK246"/>
      <c r="JWL246"/>
      <c r="JWM246"/>
      <c r="JWN246"/>
      <c r="JWO246"/>
      <c r="JWP246"/>
      <c r="JWQ246"/>
      <c r="JWR246"/>
      <c r="JWS246"/>
      <c r="JWT246"/>
      <c r="JWU246"/>
      <c r="JWV246"/>
      <c r="JWW246"/>
      <c r="JWX246"/>
      <c r="JWY246"/>
      <c r="JWZ246"/>
      <c r="JXA246"/>
      <c r="JXB246"/>
      <c r="JXC246"/>
      <c r="JXD246"/>
      <c r="JXE246"/>
      <c r="JXF246"/>
      <c r="JXG246"/>
      <c r="JXH246"/>
      <c r="JXI246"/>
      <c r="JXJ246"/>
      <c r="JXK246"/>
      <c r="JXL246"/>
      <c r="JXM246"/>
      <c r="JXN246"/>
      <c r="JXO246"/>
      <c r="JXP246"/>
      <c r="JXQ246"/>
      <c r="JXR246"/>
      <c r="JXS246"/>
      <c r="JXT246"/>
      <c r="JXU246"/>
      <c r="JXV246"/>
      <c r="JXW246"/>
      <c r="JXX246"/>
      <c r="JXY246"/>
      <c r="JXZ246"/>
      <c r="JYA246"/>
      <c r="JYB246"/>
      <c r="JYC246"/>
      <c r="JYD246"/>
      <c r="JYE246"/>
      <c r="JYF246"/>
      <c r="JYG246"/>
      <c r="JYH246"/>
      <c r="JYI246"/>
      <c r="JYJ246"/>
      <c r="JYK246"/>
      <c r="JYL246"/>
      <c r="JYM246"/>
      <c r="JYN246"/>
      <c r="JYO246"/>
      <c r="JYP246"/>
      <c r="JYQ246"/>
      <c r="JYR246"/>
      <c r="JYS246"/>
      <c r="JYT246"/>
      <c r="JYU246"/>
      <c r="JYV246"/>
      <c r="JYW246"/>
      <c r="JYX246"/>
      <c r="JYY246"/>
      <c r="JYZ246"/>
      <c r="JZA246"/>
      <c r="JZB246"/>
      <c r="JZC246"/>
      <c r="JZD246"/>
      <c r="JZE246"/>
      <c r="JZF246"/>
      <c r="JZG246"/>
      <c r="JZH246"/>
      <c r="JZI246"/>
      <c r="JZJ246"/>
      <c r="JZK246"/>
      <c r="JZL246"/>
      <c r="JZM246"/>
      <c r="JZN246"/>
      <c r="JZO246"/>
      <c r="JZP246"/>
      <c r="JZQ246"/>
      <c r="JZR246"/>
      <c r="JZS246"/>
      <c r="JZT246"/>
      <c r="JZU246"/>
      <c r="JZV246"/>
      <c r="JZW246"/>
      <c r="JZX246"/>
      <c r="JZY246"/>
      <c r="JZZ246"/>
      <c r="KAA246"/>
      <c r="KAB246"/>
      <c r="KAC246"/>
      <c r="KAD246"/>
      <c r="KAE246"/>
      <c r="KAF246"/>
      <c r="KAG246"/>
      <c r="KAH246"/>
      <c r="KAI246"/>
      <c r="KAJ246"/>
      <c r="KAK246"/>
      <c r="KAL246"/>
      <c r="KAM246"/>
      <c r="KAN246"/>
      <c r="KAO246"/>
      <c r="KAP246"/>
      <c r="KAQ246"/>
      <c r="KAR246"/>
      <c r="KAS246"/>
      <c r="KAT246"/>
      <c r="KAU246"/>
      <c r="KAV246"/>
      <c r="KAW246"/>
      <c r="KAX246"/>
      <c r="KAY246"/>
      <c r="KAZ246"/>
      <c r="KBA246"/>
      <c r="KBB246"/>
      <c r="KBC246"/>
      <c r="KBD246"/>
      <c r="KBE246"/>
      <c r="KBF246"/>
      <c r="KBG246"/>
      <c r="KBH246"/>
      <c r="KBI246"/>
      <c r="KBJ246"/>
      <c r="KBK246"/>
      <c r="KBL246"/>
      <c r="KBM246"/>
      <c r="KBN246"/>
      <c r="KBO246"/>
      <c r="KBP246"/>
      <c r="KBQ246"/>
      <c r="KBR246"/>
      <c r="KBS246"/>
      <c r="KBT246"/>
      <c r="KBU246"/>
      <c r="KBV246"/>
      <c r="KBW246"/>
      <c r="KBX246"/>
      <c r="KBY246"/>
      <c r="KBZ246"/>
      <c r="KCA246"/>
      <c r="KCB246"/>
      <c r="KCC246"/>
      <c r="KCD246"/>
      <c r="KCE246"/>
      <c r="KCF246"/>
      <c r="KCG246"/>
      <c r="KCH246"/>
      <c r="KCI246"/>
      <c r="KCJ246"/>
      <c r="KCK246"/>
      <c r="KCL246"/>
      <c r="KCM246"/>
      <c r="KCN246"/>
      <c r="KCO246"/>
      <c r="KCP246"/>
      <c r="KCQ246"/>
      <c r="KCR246"/>
      <c r="KCS246"/>
      <c r="KCT246"/>
      <c r="KCU246"/>
      <c r="KCV246"/>
      <c r="KCW246"/>
      <c r="KCX246"/>
      <c r="KCY246"/>
      <c r="KCZ246"/>
      <c r="KDA246"/>
      <c r="KDB246"/>
      <c r="KDC246"/>
      <c r="KDD246"/>
      <c r="KDE246"/>
      <c r="KDF246"/>
      <c r="KDG246"/>
      <c r="KDH246"/>
      <c r="KDI246"/>
      <c r="KDJ246"/>
      <c r="KDK246"/>
      <c r="KDL246"/>
      <c r="KDM246"/>
      <c r="KDN246"/>
      <c r="KDO246"/>
      <c r="KDP246"/>
      <c r="KDQ246"/>
      <c r="KDR246"/>
      <c r="KDS246"/>
      <c r="KDT246"/>
      <c r="KDU246"/>
      <c r="KDV246"/>
      <c r="KDW246"/>
      <c r="KDX246"/>
      <c r="KDY246"/>
      <c r="KDZ246"/>
      <c r="KEA246"/>
      <c r="KEB246"/>
      <c r="KEC246"/>
      <c r="KED246"/>
      <c r="KEE246"/>
      <c r="KEF246"/>
      <c r="KEG246"/>
      <c r="KEH246"/>
      <c r="KEI246"/>
      <c r="KEJ246"/>
      <c r="KEK246"/>
      <c r="KEL246"/>
      <c r="KEM246"/>
      <c r="KEN246"/>
      <c r="KEO246"/>
      <c r="KEP246"/>
      <c r="KEQ246"/>
      <c r="KER246"/>
      <c r="KES246"/>
      <c r="KET246"/>
      <c r="KEU246"/>
      <c r="KEV246"/>
      <c r="KEW246"/>
      <c r="KEX246"/>
      <c r="KEY246"/>
      <c r="KEZ246"/>
      <c r="KFA246"/>
      <c r="KFB246"/>
      <c r="KFC246"/>
      <c r="KFD246"/>
      <c r="KFE246"/>
      <c r="KFF246"/>
      <c r="KFG246"/>
      <c r="KFH246"/>
      <c r="KFI246"/>
      <c r="KFJ246"/>
      <c r="KFK246"/>
      <c r="KFL246"/>
      <c r="KFM246"/>
      <c r="KFN246"/>
      <c r="KFO246"/>
      <c r="KFP246"/>
      <c r="KFQ246"/>
      <c r="KFR246"/>
      <c r="KFS246"/>
      <c r="KFT246"/>
      <c r="KFU246"/>
      <c r="KFV246"/>
      <c r="KFW246"/>
      <c r="KFX246"/>
      <c r="KFY246"/>
      <c r="KFZ246"/>
      <c r="KGA246"/>
      <c r="KGB246"/>
      <c r="KGC246"/>
      <c r="KGD246"/>
      <c r="KGE246"/>
      <c r="KGF246"/>
      <c r="KGG246"/>
      <c r="KGH246"/>
      <c r="KGI246"/>
      <c r="KGJ246"/>
      <c r="KGK246"/>
      <c r="KGL246"/>
      <c r="KGM246"/>
      <c r="KGN246"/>
      <c r="KGO246"/>
      <c r="KGP246"/>
      <c r="KGQ246"/>
      <c r="KGR246"/>
      <c r="KGS246"/>
      <c r="KGT246"/>
      <c r="KGU246"/>
      <c r="KGV246"/>
      <c r="KGW246"/>
      <c r="KGX246"/>
      <c r="KGY246"/>
      <c r="KGZ246"/>
      <c r="KHA246"/>
      <c r="KHB246"/>
      <c r="KHC246"/>
      <c r="KHD246"/>
      <c r="KHE246"/>
      <c r="KHF246"/>
      <c r="KHG246"/>
      <c r="KHH246"/>
      <c r="KHI246"/>
      <c r="KHJ246"/>
      <c r="KHK246"/>
      <c r="KHL246"/>
      <c r="KHM246"/>
      <c r="KHN246"/>
      <c r="KHO246"/>
      <c r="KHP246"/>
      <c r="KHQ246"/>
      <c r="KHR246"/>
      <c r="KHS246"/>
      <c r="KHT246"/>
      <c r="KHU246"/>
      <c r="KHV246"/>
      <c r="KHW246"/>
      <c r="KHX246"/>
      <c r="KHY246"/>
      <c r="KHZ246"/>
      <c r="KIA246"/>
      <c r="KIB246"/>
      <c r="KIC246"/>
      <c r="KID246"/>
      <c r="KIE246"/>
      <c r="KIF246"/>
      <c r="KIG246"/>
      <c r="KIH246"/>
      <c r="KII246"/>
      <c r="KIJ246"/>
      <c r="KIK246"/>
      <c r="KIL246"/>
      <c r="KIM246"/>
      <c r="KIN246"/>
      <c r="KIO246"/>
      <c r="KIP246"/>
      <c r="KIQ246"/>
      <c r="KIR246"/>
      <c r="KIS246"/>
      <c r="KIT246"/>
      <c r="KIU246"/>
      <c r="KIV246"/>
      <c r="KIW246"/>
      <c r="KIX246"/>
      <c r="KIY246"/>
      <c r="KIZ246"/>
      <c r="KJA246"/>
      <c r="KJB246"/>
      <c r="KJC246"/>
      <c r="KJD246"/>
      <c r="KJE246"/>
      <c r="KJF246"/>
      <c r="KJG246"/>
      <c r="KJH246"/>
      <c r="KJI246"/>
      <c r="KJJ246"/>
      <c r="KJK246"/>
      <c r="KJL246"/>
      <c r="KJM246"/>
      <c r="KJN246"/>
      <c r="KJO246"/>
      <c r="KJP246"/>
      <c r="KJQ246"/>
      <c r="KJR246"/>
      <c r="KJS246"/>
      <c r="KJT246"/>
      <c r="KJU246"/>
      <c r="KJV246"/>
      <c r="KJW246"/>
      <c r="KJX246"/>
      <c r="KJY246"/>
      <c r="KJZ246"/>
      <c r="KKA246"/>
      <c r="KKB246"/>
      <c r="KKC246"/>
      <c r="KKD246"/>
      <c r="KKE246"/>
      <c r="KKF246"/>
      <c r="KKG246"/>
      <c r="KKH246"/>
      <c r="KKI246"/>
      <c r="KKJ246"/>
      <c r="KKK246"/>
      <c r="KKL246"/>
      <c r="KKM246"/>
      <c r="KKN246"/>
      <c r="KKO246"/>
      <c r="KKP246"/>
      <c r="KKQ246"/>
      <c r="KKR246"/>
      <c r="KKS246"/>
      <c r="KKT246"/>
      <c r="KKU246"/>
      <c r="KKV246"/>
      <c r="KKW246"/>
      <c r="KKX246"/>
      <c r="KKY246"/>
      <c r="KKZ246"/>
      <c r="KLA246"/>
      <c r="KLB246"/>
      <c r="KLC246"/>
      <c r="KLD246"/>
      <c r="KLE246"/>
      <c r="KLF246"/>
      <c r="KLG246"/>
      <c r="KLH246"/>
      <c r="KLI246"/>
      <c r="KLJ246"/>
      <c r="KLK246"/>
      <c r="KLL246"/>
      <c r="KLM246"/>
      <c r="KLN246"/>
      <c r="KLO246"/>
      <c r="KLP246"/>
      <c r="KLQ246"/>
      <c r="KLR246"/>
      <c r="KLS246"/>
      <c r="KLT246"/>
      <c r="KLU246"/>
      <c r="KLV246"/>
      <c r="KLW246"/>
      <c r="KLX246"/>
      <c r="KLY246"/>
      <c r="KLZ246"/>
      <c r="KMA246"/>
      <c r="KMB246"/>
      <c r="KMC246"/>
      <c r="KMD246"/>
      <c r="KME246"/>
      <c r="KMF246"/>
      <c r="KMG246"/>
      <c r="KMH246"/>
      <c r="KMI246"/>
      <c r="KMJ246"/>
      <c r="KMK246"/>
      <c r="KML246"/>
      <c r="KMM246"/>
      <c r="KMN246"/>
      <c r="KMO246"/>
      <c r="KMP246"/>
      <c r="KMQ246"/>
      <c r="KMR246"/>
      <c r="KMS246"/>
      <c r="KMT246"/>
      <c r="KMU246"/>
      <c r="KMV246"/>
      <c r="KMW246"/>
      <c r="KMX246"/>
      <c r="KMY246"/>
      <c r="KMZ246"/>
      <c r="KNA246"/>
      <c r="KNB246"/>
      <c r="KNC246"/>
      <c r="KND246"/>
      <c r="KNE246"/>
      <c r="KNF246"/>
      <c r="KNG246"/>
      <c r="KNH246"/>
      <c r="KNI246"/>
      <c r="KNJ246"/>
      <c r="KNK246"/>
      <c r="KNL246"/>
      <c r="KNM246"/>
      <c r="KNN246"/>
      <c r="KNO246"/>
      <c r="KNP246"/>
      <c r="KNQ246"/>
      <c r="KNR246"/>
      <c r="KNS246"/>
      <c r="KNT246"/>
      <c r="KNU246"/>
      <c r="KNV246"/>
      <c r="KNW246"/>
      <c r="KNX246"/>
      <c r="KNY246"/>
      <c r="KNZ246"/>
      <c r="KOA246"/>
      <c r="KOB246"/>
      <c r="KOC246"/>
      <c r="KOD246"/>
      <c r="KOE246"/>
      <c r="KOF246"/>
      <c r="KOG246"/>
      <c r="KOH246"/>
      <c r="KOI246"/>
      <c r="KOJ246"/>
      <c r="KOK246"/>
      <c r="KOL246"/>
      <c r="KOM246"/>
      <c r="KON246"/>
      <c r="KOO246"/>
      <c r="KOP246"/>
      <c r="KOQ246"/>
      <c r="KOR246"/>
      <c r="KOS246"/>
      <c r="KOT246"/>
      <c r="KOU246"/>
      <c r="KOV246"/>
      <c r="KOW246"/>
      <c r="KOX246"/>
      <c r="KOY246"/>
      <c r="KOZ246"/>
      <c r="KPA246"/>
      <c r="KPB246"/>
      <c r="KPC246"/>
      <c r="KPD246"/>
      <c r="KPE246"/>
      <c r="KPF246"/>
      <c r="KPG246"/>
      <c r="KPH246"/>
      <c r="KPI246"/>
      <c r="KPJ246"/>
      <c r="KPK246"/>
      <c r="KPL246"/>
      <c r="KPM246"/>
      <c r="KPN246"/>
      <c r="KPO246"/>
      <c r="KPP246"/>
      <c r="KPQ246"/>
      <c r="KPR246"/>
      <c r="KPS246"/>
      <c r="KPT246"/>
      <c r="KPU246"/>
      <c r="KPV246"/>
      <c r="KPW246"/>
      <c r="KPX246"/>
      <c r="KPY246"/>
      <c r="KPZ246"/>
      <c r="KQA246"/>
      <c r="KQB246"/>
      <c r="KQC246"/>
      <c r="KQD246"/>
      <c r="KQE246"/>
      <c r="KQF246"/>
      <c r="KQG246"/>
      <c r="KQH246"/>
      <c r="KQI246"/>
      <c r="KQJ246"/>
      <c r="KQK246"/>
      <c r="KQL246"/>
      <c r="KQM246"/>
      <c r="KQN246"/>
      <c r="KQO246"/>
      <c r="KQP246"/>
      <c r="KQQ246"/>
      <c r="KQR246"/>
      <c r="KQS246"/>
      <c r="KQT246"/>
      <c r="KQU246"/>
      <c r="KQV246"/>
      <c r="KQW246"/>
      <c r="KQX246"/>
      <c r="KQY246"/>
      <c r="KQZ246"/>
      <c r="KRA246"/>
      <c r="KRB246"/>
      <c r="KRC246"/>
      <c r="KRD246"/>
      <c r="KRE246"/>
      <c r="KRF246"/>
      <c r="KRG246"/>
      <c r="KRH246"/>
      <c r="KRI246"/>
      <c r="KRJ246"/>
      <c r="KRK246"/>
      <c r="KRL246"/>
      <c r="KRM246"/>
      <c r="KRN246"/>
      <c r="KRO246"/>
      <c r="KRP246"/>
      <c r="KRQ246"/>
      <c r="KRR246"/>
      <c r="KRS246"/>
      <c r="KRT246"/>
      <c r="KRU246"/>
      <c r="KRV246"/>
      <c r="KRW246"/>
      <c r="KRX246"/>
      <c r="KRY246"/>
      <c r="KRZ246"/>
      <c r="KSA246"/>
      <c r="KSB246"/>
      <c r="KSC246"/>
      <c r="KSD246"/>
      <c r="KSE246"/>
      <c r="KSF246"/>
      <c r="KSG246"/>
      <c r="KSH246"/>
      <c r="KSI246"/>
      <c r="KSJ246"/>
      <c r="KSK246"/>
      <c r="KSL246"/>
      <c r="KSM246"/>
      <c r="KSN246"/>
      <c r="KSO246"/>
      <c r="KSP246"/>
      <c r="KSQ246"/>
      <c r="KSR246"/>
      <c r="KSS246"/>
      <c r="KST246"/>
      <c r="KSU246"/>
      <c r="KSV246"/>
      <c r="KSW246"/>
      <c r="KSX246"/>
      <c r="KSY246"/>
      <c r="KSZ246"/>
      <c r="KTA246"/>
      <c r="KTB246"/>
      <c r="KTC246"/>
      <c r="KTD246"/>
      <c r="KTE246"/>
      <c r="KTF246"/>
      <c r="KTG246"/>
      <c r="KTH246"/>
      <c r="KTI246"/>
      <c r="KTJ246"/>
      <c r="KTK246"/>
      <c r="KTL246"/>
      <c r="KTM246"/>
      <c r="KTN246"/>
      <c r="KTO246"/>
      <c r="KTP246"/>
      <c r="KTQ246"/>
      <c r="KTR246"/>
      <c r="KTS246"/>
      <c r="KTT246"/>
      <c r="KTU246"/>
      <c r="KTV246"/>
      <c r="KTW246"/>
      <c r="KTX246"/>
      <c r="KTY246"/>
      <c r="KTZ246"/>
      <c r="KUA246"/>
      <c r="KUB246"/>
      <c r="KUC246"/>
      <c r="KUD246"/>
      <c r="KUE246"/>
      <c r="KUF246"/>
      <c r="KUG246"/>
      <c r="KUH246"/>
      <c r="KUI246"/>
      <c r="KUJ246"/>
      <c r="KUK246"/>
      <c r="KUL246"/>
      <c r="KUM246"/>
      <c r="KUN246"/>
      <c r="KUO246"/>
      <c r="KUP246"/>
      <c r="KUQ246"/>
      <c r="KUR246"/>
      <c r="KUS246"/>
      <c r="KUT246"/>
      <c r="KUU246"/>
      <c r="KUV246"/>
      <c r="KUW246"/>
      <c r="KUX246"/>
      <c r="KUY246"/>
      <c r="KUZ246"/>
      <c r="KVA246"/>
      <c r="KVB246"/>
      <c r="KVC246"/>
      <c r="KVD246"/>
      <c r="KVE246"/>
      <c r="KVF246"/>
      <c r="KVG246"/>
      <c r="KVH246"/>
      <c r="KVI246"/>
      <c r="KVJ246"/>
      <c r="KVK246"/>
      <c r="KVL246"/>
      <c r="KVM246"/>
      <c r="KVN246"/>
      <c r="KVO246"/>
      <c r="KVP246"/>
      <c r="KVQ246"/>
      <c r="KVR246"/>
      <c r="KVS246"/>
      <c r="KVT246"/>
      <c r="KVU246"/>
      <c r="KVV246"/>
      <c r="KVW246"/>
      <c r="KVX246"/>
      <c r="KVY246"/>
      <c r="KVZ246"/>
      <c r="KWA246"/>
      <c r="KWB246"/>
      <c r="KWC246"/>
      <c r="KWD246"/>
      <c r="KWE246"/>
      <c r="KWF246"/>
      <c r="KWG246"/>
      <c r="KWH246"/>
      <c r="KWI246"/>
      <c r="KWJ246"/>
      <c r="KWK246"/>
      <c r="KWL246"/>
      <c r="KWM246"/>
      <c r="KWN246"/>
      <c r="KWO246"/>
      <c r="KWP246"/>
      <c r="KWQ246"/>
      <c r="KWR246"/>
      <c r="KWS246"/>
      <c r="KWT246"/>
      <c r="KWU246"/>
      <c r="KWV246"/>
      <c r="KWW246"/>
      <c r="KWX246"/>
      <c r="KWY246"/>
      <c r="KWZ246"/>
      <c r="KXA246"/>
      <c r="KXB246"/>
      <c r="KXC246"/>
      <c r="KXD246"/>
      <c r="KXE246"/>
      <c r="KXF246"/>
      <c r="KXG246"/>
      <c r="KXH246"/>
      <c r="KXI246"/>
      <c r="KXJ246"/>
      <c r="KXK246"/>
      <c r="KXL246"/>
      <c r="KXM246"/>
      <c r="KXN246"/>
      <c r="KXO246"/>
      <c r="KXP246"/>
      <c r="KXQ246"/>
      <c r="KXR246"/>
      <c r="KXS246"/>
      <c r="KXT246"/>
      <c r="KXU246"/>
      <c r="KXV246"/>
      <c r="KXW246"/>
      <c r="KXX246"/>
      <c r="KXY246"/>
      <c r="KXZ246"/>
      <c r="KYA246"/>
      <c r="KYB246"/>
      <c r="KYC246"/>
      <c r="KYD246"/>
      <c r="KYE246"/>
      <c r="KYF246"/>
      <c r="KYG246"/>
      <c r="KYH246"/>
      <c r="KYI246"/>
      <c r="KYJ246"/>
      <c r="KYK246"/>
      <c r="KYL246"/>
      <c r="KYM246"/>
      <c r="KYN246"/>
      <c r="KYO246"/>
      <c r="KYP246"/>
      <c r="KYQ246"/>
      <c r="KYR246"/>
      <c r="KYS246"/>
      <c r="KYT246"/>
      <c r="KYU246"/>
      <c r="KYV246"/>
      <c r="KYW246"/>
      <c r="KYX246"/>
      <c r="KYY246"/>
      <c r="KYZ246"/>
      <c r="KZA246"/>
      <c r="KZB246"/>
      <c r="KZC246"/>
      <c r="KZD246"/>
      <c r="KZE246"/>
      <c r="KZF246"/>
      <c r="KZG246"/>
      <c r="KZH246"/>
      <c r="KZI246"/>
      <c r="KZJ246"/>
      <c r="KZK246"/>
      <c r="KZL246"/>
      <c r="KZM246"/>
      <c r="KZN246"/>
      <c r="KZO246"/>
      <c r="KZP246"/>
      <c r="KZQ246"/>
      <c r="KZR246"/>
      <c r="KZS246"/>
      <c r="KZT246"/>
      <c r="KZU246"/>
      <c r="KZV246"/>
      <c r="KZW246"/>
      <c r="KZX246"/>
      <c r="KZY246"/>
      <c r="KZZ246"/>
      <c r="LAA246"/>
      <c r="LAB246"/>
      <c r="LAC246"/>
      <c r="LAD246"/>
      <c r="LAE246"/>
      <c r="LAF246"/>
      <c r="LAG246"/>
      <c r="LAH246"/>
      <c r="LAI246"/>
      <c r="LAJ246"/>
      <c r="LAK246"/>
      <c r="LAL246"/>
      <c r="LAM246"/>
      <c r="LAN246"/>
      <c r="LAO246"/>
      <c r="LAP246"/>
      <c r="LAQ246"/>
      <c r="LAR246"/>
      <c r="LAS246"/>
      <c r="LAT246"/>
      <c r="LAU246"/>
      <c r="LAV246"/>
      <c r="LAW246"/>
      <c r="LAX246"/>
      <c r="LAY246"/>
      <c r="LAZ246"/>
      <c r="LBA246"/>
      <c r="LBB246"/>
      <c r="LBC246"/>
      <c r="LBD246"/>
      <c r="LBE246"/>
      <c r="LBF246"/>
      <c r="LBG246"/>
      <c r="LBH246"/>
      <c r="LBI246"/>
      <c r="LBJ246"/>
      <c r="LBK246"/>
      <c r="LBL246"/>
      <c r="LBM246"/>
      <c r="LBN246"/>
      <c r="LBO246"/>
      <c r="LBP246"/>
      <c r="LBQ246"/>
      <c r="LBR246"/>
      <c r="LBS246"/>
      <c r="LBT246"/>
      <c r="LBU246"/>
      <c r="LBV246"/>
      <c r="LBW246"/>
      <c r="LBX246"/>
      <c r="LBY246"/>
      <c r="LBZ246"/>
      <c r="LCA246"/>
      <c r="LCB246"/>
      <c r="LCC246"/>
      <c r="LCD246"/>
      <c r="LCE246"/>
      <c r="LCF246"/>
      <c r="LCG246"/>
      <c r="LCH246"/>
      <c r="LCI246"/>
      <c r="LCJ246"/>
      <c r="LCK246"/>
      <c r="LCL246"/>
      <c r="LCM246"/>
      <c r="LCN246"/>
      <c r="LCO246"/>
      <c r="LCP246"/>
      <c r="LCQ246"/>
      <c r="LCR246"/>
      <c r="LCS246"/>
      <c r="LCT246"/>
      <c r="LCU246"/>
      <c r="LCV246"/>
      <c r="LCW246"/>
      <c r="LCX246"/>
      <c r="LCY246"/>
      <c r="LCZ246"/>
      <c r="LDA246"/>
      <c r="LDB246"/>
      <c r="LDC246"/>
      <c r="LDD246"/>
      <c r="LDE246"/>
      <c r="LDF246"/>
      <c r="LDG246"/>
      <c r="LDH246"/>
      <c r="LDI246"/>
      <c r="LDJ246"/>
      <c r="LDK246"/>
      <c r="LDL246"/>
      <c r="LDM246"/>
      <c r="LDN246"/>
      <c r="LDO246"/>
      <c r="LDP246"/>
      <c r="LDQ246"/>
      <c r="LDR246"/>
      <c r="LDS246"/>
      <c r="LDT246"/>
      <c r="LDU246"/>
      <c r="LDV246"/>
      <c r="LDW246"/>
      <c r="LDX246"/>
      <c r="LDY246"/>
      <c r="LDZ246"/>
      <c r="LEA246"/>
      <c r="LEB246"/>
      <c r="LEC246"/>
      <c r="LED246"/>
      <c r="LEE246"/>
      <c r="LEF246"/>
      <c r="LEG246"/>
      <c r="LEH246"/>
      <c r="LEI246"/>
      <c r="LEJ246"/>
      <c r="LEK246"/>
      <c r="LEL246"/>
      <c r="LEM246"/>
      <c r="LEN246"/>
      <c r="LEO246"/>
      <c r="LEP246"/>
      <c r="LEQ246"/>
      <c r="LER246"/>
      <c r="LES246"/>
      <c r="LET246"/>
      <c r="LEU246"/>
      <c r="LEV246"/>
      <c r="LEW246"/>
      <c r="LEX246"/>
      <c r="LEY246"/>
      <c r="LEZ246"/>
      <c r="LFA246"/>
      <c r="LFB246"/>
      <c r="LFC246"/>
      <c r="LFD246"/>
      <c r="LFE246"/>
      <c r="LFF246"/>
      <c r="LFG246"/>
      <c r="LFH246"/>
      <c r="LFI246"/>
      <c r="LFJ246"/>
      <c r="LFK246"/>
      <c r="LFL246"/>
      <c r="LFM246"/>
      <c r="LFN246"/>
      <c r="LFO246"/>
      <c r="LFP246"/>
      <c r="LFQ246"/>
      <c r="LFR246"/>
      <c r="LFS246"/>
      <c r="LFT246"/>
      <c r="LFU246"/>
      <c r="LFV246"/>
      <c r="LFW246"/>
      <c r="LFX246"/>
      <c r="LFY246"/>
      <c r="LFZ246"/>
      <c r="LGA246"/>
      <c r="LGB246"/>
      <c r="LGC246"/>
      <c r="LGD246"/>
      <c r="LGE246"/>
      <c r="LGF246"/>
      <c r="LGG246"/>
      <c r="LGH246"/>
      <c r="LGI246"/>
      <c r="LGJ246"/>
      <c r="LGK246"/>
      <c r="LGL246"/>
      <c r="LGM246"/>
      <c r="LGN246"/>
      <c r="LGO246"/>
      <c r="LGP246"/>
      <c r="LGQ246"/>
      <c r="LGR246"/>
      <c r="LGS246"/>
      <c r="LGT246"/>
      <c r="LGU246"/>
      <c r="LGV246"/>
      <c r="LGW246"/>
      <c r="LGX246"/>
      <c r="LGY246"/>
      <c r="LGZ246"/>
      <c r="LHA246"/>
      <c r="LHB246"/>
      <c r="LHC246"/>
      <c r="LHD246"/>
      <c r="LHE246"/>
      <c r="LHF246"/>
      <c r="LHG246"/>
      <c r="LHH246"/>
      <c r="LHI246"/>
      <c r="LHJ246"/>
      <c r="LHK246"/>
      <c r="LHL246"/>
      <c r="LHM246"/>
      <c r="LHN246"/>
      <c r="LHO246"/>
      <c r="LHP246"/>
      <c r="LHQ246"/>
      <c r="LHR246"/>
      <c r="LHS246"/>
      <c r="LHT246"/>
      <c r="LHU246"/>
      <c r="LHV246"/>
      <c r="LHW246"/>
      <c r="LHX246"/>
      <c r="LHY246"/>
      <c r="LHZ246"/>
      <c r="LIA246"/>
      <c r="LIB246"/>
      <c r="LIC246"/>
      <c r="LID246"/>
      <c r="LIE246"/>
      <c r="LIF246"/>
      <c r="LIG246"/>
      <c r="LIH246"/>
      <c r="LII246"/>
      <c r="LIJ246"/>
      <c r="LIK246"/>
      <c r="LIL246"/>
      <c r="LIM246"/>
      <c r="LIN246"/>
      <c r="LIO246"/>
      <c r="LIP246"/>
      <c r="LIQ246"/>
      <c r="LIR246"/>
      <c r="LIS246"/>
      <c r="LIT246"/>
      <c r="LIU246"/>
      <c r="LIV246"/>
      <c r="LIW246"/>
      <c r="LIX246"/>
      <c r="LIY246"/>
      <c r="LIZ246"/>
      <c r="LJA246"/>
      <c r="LJB246"/>
      <c r="LJC246"/>
      <c r="LJD246"/>
      <c r="LJE246"/>
      <c r="LJF246"/>
      <c r="LJG246"/>
      <c r="LJH246"/>
      <c r="LJI246"/>
      <c r="LJJ246"/>
      <c r="LJK246"/>
      <c r="LJL246"/>
      <c r="LJM246"/>
      <c r="LJN246"/>
      <c r="LJO246"/>
      <c r="LJP246"/>
      <c r="LJQ246"/>
      <c r="LJR246"/>
      <c r="LJS246"/>
      <c r="LJT246"/>
      <c r="LJU246"/>
      <c r="LJV246"/>
      <c r="LJW246"/>
      <c r="LJX246"/>
      <c r="LJY246"/>
      <c r="LJZ246"/>
      <c r="LKA246"/>
      <c r="LKB246"/>
      <c r="LKC246"/>
      <c r="LKD246"/>
      <c r="LKE246"/>
      <c r="LKF246"/>
      <c r="LKG246"/>
      <c r="LKH246"/>
      <c r="LKI246"/>
      <c r="LKJ246"/>
      <c r="LKK246"/>
      <c r="LKL246"/>
      <c r="LKM246"/>
      <c r="LKN246"/>
      <c r="LKO246"/>
      <c r="LKP246"/>
      <c r="LKQ246"/>
      <c r="LKR246"/>
      <c r="LKS246"/>
      <c r="LKT246"/>
      <c r="LKU246"/>
      <c r="LKV246"/>
      <c r="LKW246"/>
      <c r="LKX246"/>
      <c r="LKY246"/>
      <c r="LKZ246"/>
      <c r="LLA246"/>
      <c r="LLB246"/>
      <c r="LLC246"/>
      <c r="LLD246"/>
      <c r="LLE246"/>
      <c r="LLF246"/>
      <c r="LLG246"/>
      <c r="LLH246"/>
      <c r="LLI246"/>
      <c r="LLJ246"/>
      <c r="LLK246"/>
      <c r="LLL246"/>
      <c r="LLM246"/>
      <c r="LLN246"/>
      <c r="LLO246"/>
      <c r="LLP246"/>
      <c r="LLQ246"/>
      <c r="LLR246"/>
      <c r="LLS246"/>
      <c r="LLT246"/>
      <c r="LLU246"/>
      <c r="LLV246"/>
      <c r="LLW246"/>
      <c r="LLX246"/>
      <c r="LLY246"/>
      <c r="LLZ246"/>
      <c r="LMA246"/>
      <c r="LMB246"/>
      <c r="LMC246"/>
      <c r="LMD246"/>
      <c r="LME246"/>
      <c r="LMF246"/>
      <c r="LMG246"/>
      <c r="LMH246"/>
      <c r="LMI246"/>
      <c r="LMJ246"/>
      <c r="LMK246"/>
      <c r="LML246"/>
      <c r="LMM246"/>
      <c r="LMN246"/>
      <c r="LMO246"/>
      <c r="LMP246"/>
      <c r="LMQ246"/>
      <c r="LMR246"/>
      <c r="LMS246"/>
      <c r="LMT246"/>
      <c r="LMU246"/>
      <c r="LMV246"/>
      <c r="LMW246"/>
      <c r="LMX246"/>
      <c r="LMY246"/>
      <c r="LMZ246"/>
      <c r="LNA246"/>
      <c r="LNB246"/>
      <c r="LNC246"/>
      <c r="LND246"/>
      <c r="LNE246"/>
      <c r="LNF246"/>
      <c r="LNG246"/>
      <c r="LNH246"/>
      <c r="LNI246"/>
      <c r="LNJ246"/>
      <c r="LNK246"/>
      <c r="LNL246"/>
      <c r="LNM246"/>
      <c r="LNN246"/>
      <c r="LNO246"/>
      <c r="LNP246"/>
      <c r="LNQ246"/>
      <c r="LNR246"/>
      <c r="LNS246"/>
      <c r="LNT246"/>
      <c r="LNU246"/>
      <c r="LNV246"/>
      <c r="LNW246"/>
      <c r="LNX246"/>
      <c r="LNY246"/>
      <c r="LNZ246"/>
      <c r="LOA246"/>
      <c r="LOB246"/>
      <c r="LOC246"/>
      <c r="LOD246"/>
      <c r="LOE246"/>
      <c r="LOF246"/>
      <c r="LOG246"/>
      <c r="LOH246"/>
      <c r="LOI246"/>
      <c r="LOJ246"/>
      <c r="LOK246"/>
      <c r="LOL246"/>
      <c r="LOM246"/>
      <c r="LON246"/>
      <c r="LOO246"/>
      <c r="LOP246"/>
      <c r="LOQ246"/>
      <c r="LOR246"/>
      <c r="LOS246"/>
      <c r="LOT246"/>
      <c r="LOU246"/>
      <c r="LOV246"/>
      <c r="LOW246"/>
      <c r="LOX246"/>
      <c r="LOY246"/>
      <c r="LOZ246"/>
      <c r="LPA246"/>
      <c r="LPB246"/>
      <c r="LPC246"/>
      <c r="LPD246"/>
      <c r="LPE246"/>
      <c r="LPF246"/>
      <c r="LPG246"/>
      <c r="LPH246"/>
      <c r="LPI246"/>
      <c r="LPJ246"/>
      <c r="LPK246"/>
      <c r="LPL246"/>
      <c r="LPM246"/>
      <c r="LPN246"/>
      <c r="LPO246"/>
      <c r="LPP246"/>
      <c r="LPQ246"/>
      <c r="LPR246"/>
      <c r="LPS246"/>
      <c r="LPT246"/>
      <c r="LPU246"/>
      <c r="LPV246"/>
      <c r="LPW246"/>
      <c r="LPX246"/>
      <c r="LPY246"/>
      <c r="LPZ246"/>
      <c r="LQA246"/>
      <c r="LQB246"/>
      <c r="LQC246"/>
      <c r="LQD246"/>
      <c r="LQE246"/>
      <c r="LQF246"/>
      <c r="LQG246"/>
      <c r="LQH246"/>
      <c r="LQI246"/>
      <c r="LQJ246"/>
      <c r="LQK246"/>
      <c r="LQL246"/>
      <c r="LQM246"/>
      <c r="LQN246"/>
      <c r="LQO246"/>
      <c r="LQP246"/>
      <c r="LQQ246"/>
      <c r="LQR246"/>
      <c r="LQS246"/>
      <c r="LQT246"/>
      <c r="LQU246"/>
      <c r="LQV246"/>
      <c r="LQW246"/>
      <c r="LQX246"/>
      <c r="LQY246"/>
      <c r="LQZ246"/>
      <c r="LRA246"/>
      <c r="LRB246"/>
      <c r="LRC246"/>
      <c r="LRD246"/>
      <c r="LRE246"/>
      <c r="LRF246"/>
      <c r="LRG246"/>
      <c r="LRH246"/>
      <c r="LRI246"/>
      <c r="LRJ246"/>
      <c r="LRK246"/>
      <c r="LRL246"/>
      <c r="LRM246"/>
      <c r="LRN246"/>
      <c r="LRO246"/>
      <c r="LRP246"/>
      <c r="LRQ246"/>
      <c r="LRR246"/>
      <c r="LRS246"/>
      <c r="LRT246"/>
      <c r="LRU246"/>
      <c r="LRV246"/>
      <c r="LRW246"/>
      <c r="LRX246"/>
      <c r="LRY246"/>
      <c r="LRZ246"/>
      <c r="LSA246"/>
      <c r="LSB246"/>
      <c r="LSC246"/>
      <c r="LSD246"/>
      <c r="LSE246"/>
      <c r="LSF246"/>
      <c r="LSG246"/>
      <c r="LSH246"/>
      <c r="LSI246"/>
      <c r="LSJ246"/>
      <c r="LSK246"/>
      <c r="LSL246"/>
      <c r="LSM246"/>
      <c r="LSN246"/>
      <c r="LSO246"/>
      <c r="LSP246"/>
      <c r="LSQ246"/>
      <c r="LSR246"/>
      <c r="LSS246"/>
      <c r="LST246"/>
      <c r="LSU246"/>
      <c r="LSV246"/>
      <c r="LSW246"/>
      <c r="LSX246"/>
      <c r="LSY246"/>
      <c r="LSZ246"/>
      <c r="LTA246"/>
      <c r="LTB246"/>
      <c r="LTC246"/>
      <c r="LTD246"/>
      <c r="LTE246"/>
      <c r="LTF246"/>
      <c r="LTG246"/>
      <c r="LTH246"/>
      <c r="LTI246"/>
      <c r="LTJ246"/>
      <c r="LTK246"/>
      <c r="LTL246"/>
      <c r="LTM246"/>
      <c r="LTN246"/>
      <c r="LTO246"/>
      <c r="LTP246"/>
      <c r="LTQ246"/>
      <c r="LTR246"/>
      <c r="LTS246"/>
      <c r="LTT246"/>
      <c r="LTU246"/>
      <c r="LTV246"/>
      <c r="LTW246"/>
      <c r="LTX246"/>
      <c r="LTY246"/>
      <c r="LTZ246"/>
      <c r="LUA246"/>
      <c r="LUB246"/>
      <c r="LUC246"/>
      <c r="LUD246"/>
      <c r="LUE246"/>
      <c r="LUF246"/>
      <c r="LUG246"/>
      <c r="LUH246"/>
      <c r="LUI246"/>
      <c r="LUJ246"/>
      <c r="LUK246"/>
      <c r="LUL246"/>
      <c r="LUM246"/>
      <c r="LUN246"/>
      <c r="LUO246"/>
      <c r="LUP246"/>
      <c r="LUQ246"/>
      <c r="LUR246"/>
      <c r="LUS246"/>
      <c r="LUT246"/>
      <c r="LUU246"/>
      <c r="LUV246"/>
      <c r="LUW246"/>
      <c r="LUX246"/>
      <c r="LUY246"/>
      <c r="LUZ246"/>
      <c r="LVA246"/>
      <c r="LVB246"/>
      <c r="LVC246"/>
      <c r="LVD246"/>
      <c r="LVE246"/>
      <c r="LVF246"/>
      <c r="LVG246"/>
      <c r="LVH246"/>
      <c r="LVI246"/>
      <c r="LVJ246"/>
      <c r="LVK246"/>
      <c r="LVL246"/>
      <c r="LVM246"/>
      <c r="LVN246"/>
      <c r="LVO246"/>
      <c r="LVP246"/>
      <c r="LVQ246"/>
      <c r="LVR246"/>
      <c r="LVS246"/>
      <c r="LVT246"/>
      <c r="LVU246"/>
      <c r="LVV246"/>
      <c r="LVW246"/>
      <c r="LVX246"/>
      <c r="LVY246"/>
      <c r="LVZ246"/>
      <c r="LWA246"/>
      <c r="LWB246"/>
      <c r="LWC246"/>
      <c r="LWD246"/>
      <c r="LWE246"/>
      <c r="LWF246"/>
      <c r="LWG246"/>
      <c r="LWH246"/>
      <c r="LWI246"/>
      <c r="LWJ246"/>
      <c r="LWK246"/>
      <c r="LWL246"/>
      <c r="LWM246"/>
      <c r="LWN246"/>
      <c r="LWO246"/>
      <c r="LWP246"/>
      <c r="LWQ246"/>
      <c r="LWR246"/>
      <c r="LWS246"/>
      <c r="LWT246"/>
      <c r="LWU246"/>
      <c r="LWV246"/>
      <c r="LWW246"/>
      <c r="LWX246"/>
      <c r="LWY246"/>
      <c r="LWZ246"/>
      <c r="LXA246"/>
      <c r="LXB246"/>
      <c r="LXC246"/>
      <c r="LXD246"/>
      <c r="LXE246"/>
      <c r="LXF246"/>
      <c r="LXG246"/>
      <c r="LXH246"/>
      <c r="LXI246"/>
      <c r="LXJ246"/>
      <c r="LXK246"/>
      <c r="LXL246"/>
      <c r="LXM246"/>
      <c r="LXN246"/>
      <c r="LXO246"/>
      <c r="LXP246"/>
      <c r="LXQ246"/>
      <c r="LXR246"/>
      <c r="LXS246"/>
      <c r="LXT246"/>
      <c r="LXU246"/>
      <c r="LXV246"/>
      <c r="LXW246"/>
      <c r="LXX246"/>
      <c r="LXY246"/>
      <c r="LXZ246"/>
      <c r="LYA246"/>
      <c r="LYB246"/>
      <c r="LYC246"/>
      <c r="LYD246"/>
      <c r="LYE246"/>
      <c r="LYF246"/>
      <c r="LYG246"/>
      <c r="LYH246"/>
      <c r="LYI246"/>
      <c r="LYJ246"/>
      <c r="LYK246"/>
      <c r="LYL246"/>
      <c r="LYM246"/>
      <c r="LYN246"/>
      <c r="LYO246"/>
      <c r="LYP246"/>
      <c r="LYQ246"/>
      <c r="LYR246"/>
      <c r="LYS246"/>
      <c r="LYT246"/>
      <c r="LYU246"/>
      <c r="LYV246"/>
      <c r="LYW246"/>
      <c r="LYX246"/>
      <c r="LYY246"/>
      <c r="LYZ246"/>
      <c r="LZA246"/>
      <c r="LZB246"/>
      <c r="LZC246"/>
      <c r="LZD246"/>
      <c r="LZE246"/>
      <c r="LZF246"/>
      <c r="LZG246"/>
      <c r="LZH246"/>
      <c r="LZI246"/>
      <c r="LZJ246"/>
      <c r="LZK246"/>
      <c r="LZL246"/>
      <c r="LZM246"/>
      <c r="LZN246"/>
      <c r="LZO246"/>
      <c r="LZP246"/>
      <c r="LZQ246"/>
      <c r="LZR246"/>
      <c r="LZS246"/>
      <c r="LZT246"/>
      <c r="LZU246"/>
      <c r="LZV246"/>
      <c r="LZW246"/>
      <c r="LZX246"/>
      <c r="LZY246"/>
      <c r="LZZ246"/>
      <c r="MAA246"/>
      <c r="MAB246"/>
      <c r="MAC246"/>
      <c r="MAD246"/>
      <c r="MAE246"/>
      <c r="MAF246"/>
      <c r="MAG246"/>
      <c r="MAH246"/>
      <c r="MAI246"/>
      <c r="MAJ246"/>
      <c r="MAK246"/>
      <c r="MAL246"/>
      <c r="MAM246"/>
      <c r="MAN246"/>
      <c r="MAO246"/>
      <c r="MAP246"/>
      <c r="MAQ246"/>
      <c r="MAR246"/>
      <c r="MAS246"/>
      <c r="MAT246"/>
      <c r="MAU246"/>
      <c r="MAV246"/>
      <c r="MAW246"/>
      <c r="MAX246"/>
      <c r="MAY246"/>
      <c r="MAZ246"/>
      <c r="MBA246"/>
      <c r="MBB246"/>
      <c r="MBC246"/>
      <c r="MBD246"/>
      <c r="MBE246"/>
      <c r="MBF246"/>
      <c r="MBG246"/>
      <c r="MBH246"/>
      <c r="MBI246"/>
      <c r="MBJ246"/>
      <c r="MBK246"/>
      <c r="MBL246"/>
      <c r="MBM246"/>
      <c r="MBN246"/>
      <c r="MBO246"/>
      <c r="MBP246"/>
      <c r="MBQ246"/>
      <c r="MBR246"/>
      <c r="MBS246"/>
      <c r="MBT246"/>
      <c r="MBU246"/>
      <c r="MBV246"/>
      <c r="MBW246"/>
      <c r="MBX246"/>
      <c r="MBY246"/>
      <c r="MBZ246"/>
      <c r="MCA246"/>
      <c r="MCB246"/>
      <c r="MCC246"/>
      <c r="MCD246"/>
      <c r="MCE246"/>
      <c r="MCF246"/>
      <c r="MCG246"/>
      <c r="MCH246"/>
      <c r="MCI246"/>
      <c r="MCJ246"/>
      <c r="MCK246"/>
      <c r="MCL246"/>
      <c r="MCM246"/>
      <c r="MCN246"/>
      <c r="MCO246"/>
      <c r="MCP246"/>
      <c r="MCQ246"/>
      <c r="MCR246"/>
      <c r="MCS246"/>
      <c r="MCT246"/>
      <c r="MCU246"/>
      <c r="MCV246"/>
      <c r="MCW246"/>
      <c r="MCX246"/>
      <c r="MCY246"/>
      <c r="MCZ246"/>
      <c r="MDA246"/>
      <c r="MDB246"/>
      <c r="MDC246"/>
      <c r="MDD246"/>
      <c r="MDE246"/>
      <c r="MDF246"/>
      <c r="MDG246"/>
      <c r="MDH246"/>
      <c r="MDI246"/>
      <c r="MDJ246"/>
      <c r="MDK246"/>
      <c r="MDL246"/>
      <c r="MDM246"/>
      <c r="MDN246"/>
      <c r="MDO246"/>
      <c r="MDP246"/>
      <c r="MDQ246"/>
      <c r="MDR246"/>
      <c r="MDS246"/>
      <c r="MDT246"/>
      <c r="MDU246"/>
      <c r="MDV246"/>
      <c r="MDW246"/>
      <c r="MDX246"/>
      <c r="MDY246"/>
      <c r="MDZ246"/>
      <c r="MEA246"/>
      <c r="MEB246"/>
      <c r="MEC246"/>
      <c r="MED246"/>
      <c r="MEE246"/>
      <c r="MEF246"/>
      <c r="MEG246"/>
      <c r="MEH246"/>
      <c r="MEI246"/>
      <c r="MEJ246"/>
      <c r="MEK246"/>
      <c r="MEL246"/>
      <c r="MEM246"/>
      <c r="MEN246"/>
      <c r="MEO246"/>
      <c r="MEP246"/>
      <c r="MEQ246"/>
      <c r="MER246"/>
      <c r="MES246"/>
      <c r="MET246"/>
      <c r="MEU246"/>
      <c r="MEV246"/>
      <c r="MEW246"/>
      <c r="MEX246"/>
      <c r="MEY246"/>
      <c r="MEZ246"/>
      <c r="MFA246"/>
      <c r="MFB246"/>
      <c r="MFC246"/>
      <c r="MFD246"/>
      <c r="MFE246"/>
      <c r="MFF246"/>
      <c r="MFG246"/>
      <c r="MFH246"/>
      <c r="MFI246"/>
      <c r="MFJ246"/>
      <c r="MFK246"/>
      <c r="MFL246"/>
      <c r="MFM246"/>
      <c r="MFN246"/>
      <c r="MFO246"/>
      <c r="MFP246"/>
      <c r="MFQ246"/>
      <c r="MFR246"/>
      <c r="MFS246"/>
      <c r="MFT246"/>
      <c r="MFU246"/>
      <c r="MFV246"/>
      <c r="MFW246"/>
      <c r="MFX246"/>
      <c r="MFY246"/>
      <c r="MFZ246"/>
      <c r="MGA246"/>
      <c r="MGB246"/>
      <c r="MGC246"/>
      <c r="MGD246"/>
      <c r="MGE246"/>
      <c r="MGF246"/>
      <c r="MGG246"/>
      <c r="MGH246"/>
      <c r="MGI246"/>
      <c r="MGJ246"/>
      <c r="MGK246"/>
      <c r="MGL246"/>
      <c r="MGM246"/>
      <c r="MGN246"/>
      <c r="MGO246"/>
      <c r="MGP246"/>
      <c r="MGQ246"/>
      <c r="MGR246"/>
      <c r="MGS246"/>
      <c r="MGT246"/>
      <c r="MGU246"/>
      <c r="MGV246"/>
      <c r="MGW246"/>
      <c r="MGX246"/>
      <c r="MGY246"/>
      <c r="MGZ246"/>
      <c r="MHA246"/>
      <c r="MHB246"/>
      <c r="MHC246"/>
      <c r="MHD246"/>
      <c r="MHE246"/>
      <c r="MHF246"/>
      <c r="MHG246"/>
      <c r="MHH246"/>
      <c r="MHI246"/>
      <c r="MHJ246"/>
      <c r="MHK246"/>
      <c r="MHL246"/>
      <c r="MHM246"/>
      <c r="MHN246"/>
      <c r="MHO246"/>
      <c r="MHP246"/>
      <c r="MHQ246"/>
      <c r="MHR246"/>
      <c r="MHS246"/>
      <c r="MHT246"/>
      <c r="MHU246"/>
      <c r="MHV246"/>
      <c r="MHW246"/>
      <c r="MHX246"/>
      <c r="MHY246"/>
      <c r="MHZ246"/>
      <c r="MIA246"/>
      <c r="MIB246"/>
      <c r="MIC246"/>
      <c r="MID246"/>
      <c r="MIE246"/>
      <c r="MIF246"/>
      <c r="MIG246"/>
      <c r="MIH246"/>
      <c r="MII246"/>
      <c r="MIJ246"/>
      <c r="MIK246"/>
      <c r="MIL246"/>
      <c r="MIM246"/>
      <c r="MIN246"/>
      <c r="MIO246"/>
      <c r="MIP246"/>
      <c r="MIQ246"/>
      <c r="MIR246"/>
      <c r="MIS246"/>
      <c r="MIT246"/>
      <c r="MIU246"/>
      <c r="MIV246"/>
      <c r="MIW246"/>
      <c r="MIX246"/>
      <c r="MIY246"/>
      <c r="MIZ246"/>
      <c r="MJA246"/>
      <c r="MJB246"/>
      <c r="MJC246"/>
      <c r="MJD246"/>
      <c r="MJE246"/>
      <c r="MJF246"/>
      <c r="MJG246"/>
      <c r="MJH246"/>
      <c r="MJI246"/>
      <c r="MJJ246"/>
      <c r="MJK246"/>
      <c r="MJL246"/>
      <c r="MJM246"/>
      <c r="MJN246"/>
      <c r="MJO246"/>
      <c r="MJP246"/>
      <c r="MJQ246"/>
      <c r="MJR246"/>
      <c r="MJS246"/>
      <c r="MJT246"/>
      <c r="MJU246"/>
      <c r="MJV246"/>
      <c r="MJW246"/>
      <c r="MJX246"/>
      <c r="MJY246"/>
      <c r="MJZ246"/>
      <c r="MKA246"/>
      <c r="MKB246"/>
      <c r="MKC246"/>
      <c r="MKD246"/>
      <c r="MKE246"/>
      <c r="MKF246"/>
      <c r="MKG246"/>
      <c r="MKH246"/>
      <c r="MKI246"/>
      <c r="MKJ246"/>
      <c r="MKK246"/>
      <c r="MKL246"/>
      <c r="MKM246"/>
      <c r="MKN246"/>
      <c r="MKO246"/>
      <c r="MKP246"/>
      <c r="MKQ246"/>
      <c r="MKR246"/>
      <c r="MKS246"/>
      <c r="MKT246"/>
      <c r="MKU246"/>
      <c r="MKV246"/>
      <c r="MKW246"/>
      <c r="MKX246"/>
      <c r="MKY246"/>
      <c r="MKZ246"/>
      <c r="MLA246"/>
      <c r="MLB246"/>
      <c r="MLC246"/>
      <c r="MLD246"/>
      <c r="MLE246"/>
      <c r="MLF246"/>
      <c r="MLG246"/>
      <c r="MLH246"/>
      <c r="MLI246"/>
      <c r="MLJ246"/>
      <c r="MLK246"/>
      <c r="MLL246"/>
      <c r="MLM246"/>
      <c r="MLN246"/>
      <c r="MLO246"/>
      <c r="MLP246"/>
      <c r="MLQ246"/>
      <c r="MLR246"/>
      <c r="MLS246"/>
      <c r="MLT246"/>
      <c r="MLU246"/>
      <c r="MLV246"/>
      <c r="MLW246"/>
      <c r="MLX246"/>
      <c r="MLY246"/>
      <c r="MLZ246"/>
      <c r="MMA246"/>
      <c r="MMB246"/>
      <c r="MMC246"/>
      <c r="MMD246"/>
      <c r="MME246"/>
      <c r="MMF246"/>
      <c r="MMG246"/>
      <c r="MMH246"/>
      <c r="MMI246"/>
      <c r="MMJ246"/>
      <c r="MMK246"/>
      <c r="MML246"/>
      <c r="MMM246"/>
      <c r="MMN246"/>
      <c r="MMO246"/>
      <c r="MMP246"/>
      <c r="MMQ246"/>
      <c r="MMR246"/>
      <c r="MMS246"/>
      <c r="MMT246"/>
      <c r="MMU246"/>
      <c r="MMV246"/>
      <c r="MMW246"/>
      <c r="MMX246"/>
      <c r="MMY246"/>
      <c r="MMZ246"/>
      <c r="MNA246"/>
      <c r="MNB246"/>
      <c r="MNC246"/>
      <c r="MND246"/>
      <c r="MNE246"/>
      <c r="MNF246"/>
      <c r="MNG246"/>
      <c r="MNH246"/>
      <c r="MNI246"/>
      <c r="MNJ246"/>
      <c r="MNK246"/>
      <c r="MNL246"/>
      <c r="MNM246"/>
      <c r="MNN246"/>
      <c r="MNO246"/>
      <c r="MNP246"/>
      <c r="MNQ246"/>
      <c r="MNR246"/>
      <c r="MNS246"/>
      <c r="MNT246"/>
      <c r="MNU246"/>
      <c r="MNV246"/>
      <c r="MNW246"/>
      <c r="MNX246"/>
      <c r="MNY246"/>
      <c r="MNZ246"/>
      <c r="MOA246"/>
      <c r="MOB246"/>
      <c r="MOC246"/>
      <c r="MOD246"/>
      <c r="MOE246"/>
      <c r="MOF246"/>
      <c r="MOG246"/>
      <c r="MOH246"/>
      <c r="MOI246"/>
      <c r="MOJ246"/>
      <c r="MOK246"/>
      <c r="MOL246"/>
      <c r="MOM246"/>
      <c r="MON246"/>
      <c r="MOO246"/>
      <c r="MOP246"/>
      <c r="MOQ246"/>
      <c r="MOR246"/>
      <c r="MOS246"/>
      <c r="MOT246"/>
      <c r="MOU246"/>
      <c r="MOV246"/>
      <c r="MOW246"/>
      <c r="MOX246"/>
      <c r="MOY246"/>
      <c r="MOZ246"/>
      <c r="MPA246"/>
      <c r="MPB246"/>
      <c r="MPC246"/>
      <c r="MPD246"/>
      <c r="MPE246"/>
      <c r="MPF246"/>
      <c r="MPG246"/>
      <c r="MPH246"/>
      <c r="MPI246"/>
      <c r="MPJ246"/>
      <c r="MPK246"/>
      <c r="MPL246"/>
      <c r="MPM246"/>
      <c r="MPN246"/>
      <c r="MPO246"/>
      <c r="MPP246"/>
      <c r="MPQ246"/>
      <c r="MPR246"/>
      <c r="MPS246"/>
      <c r="MPT246"/>
      <c r="MPU246"/>
      <c r="MPV246"/>
      <c r="MPW246"/>
      <c r="MPX246"/>
      <c r="MPY246"/>
      <c r="MPZ246"/>
      <c r="MQA246"/>
      <c r="MQB246"/>
      <c r="MQC246"/>
      <c r="MQD246"/>
      <c r="MQE246"/>
      <c r="MQF246"/>
      <c r="MQG246"/>
      <c r="MQH246"/>
      <c r="MQI246"/>
      <c r="MQJ246"/>
      <c r="MQK246"/>
      <c r="MQL246"/>
      <c r="MQM246"/>
      <c r="MQN246"/>
      <c r="MQO246"/>
      <c r="MQP246"/>
      <c r="MQQ246"/>
      <c r="MQR246"/>
      <c r="MQS246"/>
      <c r="MQT246"/>
      <c r="MQU246"/>
      <c r="MQV246"/>
      <c r="MQW246"/>
      <c r="MQX246"/>
      <c r="MQY246"/>
      <c r="MQZ246"/>
      <c r="MRA246"/>
      <c r="MRB246"/>
      <c r="MRC246"/>
      <c r="MRD246"/>
      <c r="MRE246"/>
      <c r="MRF246"/>
      <c r="MRG246"/>
      <c r="MRH246"/>
      <c r="MRI246"/>
      <c r="MRJ246"/>
      <c r="MRK246"/>
      <c r="MRL246"/>
      <c r="MRM246"/>
      <c r="MRN246"/>
      <c r="MRO246"/>
      <c r="MRP246"/>
      <c r="MRQ246"/>
      <c r="MRR246"/>
      <c r="MRS246"/>
      <c r="MRT246"/>
      <c r="MRU246"/>
      <c r="MRV246"/>
      <c r="MRW246"/>
      <c r="MRX246"/>
      <c r="MRY246"/>
      <c r="MRZ246"/>
      <c r="MSA246"/>
      <c r="MSB246"/>
      <c r="MSC246"/>
      <c r="MSD246"/>
      <c r="MSE246"/>
      <c r="MSF246"/>
      <c r="MSG246"/>
      <c r="MSH246"/>
      <c r="MSI246"/>
      <c r="MSJ246"/>
      <c r="MSK246"/>
      <c r="MSL246"/>
      <c r="MSM246"/>
      <c r="MSN246"/>
      <c r="MSO246"/>
      <c r="MSP246"/>
      <c r="MSQ246"/>
      <c r="MSR246"/>
      <c r="MSS246"/>
      <c r="MST246"/>
      <c r="MSU246"/>
      <c r="MSV246"/>
      <c r="MSW246"/>
      <c r="MSX246"/>
      <c r="MSY246"/>
      <c r="MSZ246"/>
      <c r="MTA246"/>
      <c r="MTB246"/>
      <c r="MTC246"/>
      <c r="MTD246"/>
      <c r="MTE246"/>
      <c r="MTF246"/>
      <c r="MTG246"/>
      <c r="MTH246"/>
      <c r="MTI246"/>
      <c r="MTJ246"/>
      <c r="MTK246"/>
      <c r="MTL246"/>
      <c r="MTM246"/>
      <c r="MTN246"/>
      <c r="MTO246"/>
      <c r="MTP246"/>
      <c r="MTQ246"/>
      <c r="MTR246"/>
      <c r="MTS246"/>
      <c r="MTT246"/>
      <c r="MTU246"/>
      <c r="MTV246"/>
      <c r="MTW246"/>
      <c r="MTX246"/>
      <c r="MTY246"/>
      <c r="MTZ246"/>
      <c r="MUA246"/>
      <c r="MUB246"/>
      <c r="MUC246"/>
      <c r="MUD246"/>
      <c r="MUE246"/>
      <c r="MUF246"/>
      <c r="MUG246"/>
      <c r="MUH246"/>
      <c r="MUI246"/>
      <c r="MUJ246"/>
      <c r="MUK246"/>
      <c r="MUL246"/>
      <c r="MUM246"/>
      <c r="MUN246"/>
      <c r="MUO246"/>
      <c r="MUP246"/>
      <c r="MUQ246"/>
      <c r="MUR246"/>
      <c r="MUS246"/>
      <c r="MUT246"/>
      <c r="MUU246"/>
      <c r="MUV246"/>
      <c r="MUW246"/>
      <c r="MUX246"/>
      <c r="MUY246"/>
      <c r="MUZ246"/>
      <c r="MVA246"/>
      <c r="MVB246"/>
      <c r="MVC246"/>
      <c r="MVD246"/>
      <c r="MVE246"/>
      <c r="MVF246"/>
      <c r="MVG246"/>
      <c r="MVH246"/>
      <c r="MVI246"/>
      <c r="MVJ246"/>
      <c r="MVK246"/>
      <c r="MVL246"/>
      <c r="MVM246"/>
      <c r="MVN246"/>
      <c r="MVO246"/>
      <c r="MVP246"/>
      <c r="MVQ246"/>
      <c r="MVR246"/>
      <c r="MVS246"/>
      <c r="MVT246"/>
      <c r="MVU246"/>
      <c r="MVV246"/>
      <c r="MVW246"/>
      <c r="MVX246"/>
      <c r="MVY246"/>
      <c r="MVZ246"/>
      <c r="MWA246"/>
      <c r="MWB246"/>
      <c r="MWC246"/>
      <c r="MWD246"/>
      <c r="MWE246"/>
      <c r="MWF246"/>
      <c r="MWG246"/>
      <c r="MWH246"/>
      <c r="MWI246"/>
      <c r="MWJ246"/>
      <c r="MWK246"/>
      <c r="MWL246"/>
      <c r="MWM246"/>
      <c r="MWN246"/>
      <c r="MWO246"/>
      <c r="MWP246"/>
      <c r="MWQ246"/>
      <c r="MWR246"/>
      <c r="MWS246"/>
      <c r="MWT246"/>
      <c r="MWU246"/>
      <c r="MWV246"/>
      <c r="MWW246"/>
      <c r="MWX246"/>
      <c r="MWY246"/>
      <c r="MWZ246"/>
      <c r="MXA246"/>
      <c r="MXB246"/>
      <c r="MXC246"/>
      <c r="MXD246"/>
      <c r="MXE246"/>
      <c r="MXF246"/>
      <c r="MXG246"/>
      <c r="MXH246"/>
      <c r="MXI246"/>
      <c r="MXJ246"/>
      <c r="MXK246"/>
      <c r="MXL246"/>
      <c r="MXM246"/>
      <c r="MXN246"/>
      <c r="MXO246"/>
      <c r="MXP246"/>
      <c r="MXQ246"/>
      <c r="MXR246"/>
      <c r="MXS246"/>
      <c r="MXT246"/>
      <c r="MXU246"/>
      <c r="MXV246"/>
      <c r="MXW246"/>
      <c r="MXX246"/>
      <c r="MXY246"/>
      <c r="MXZ246"/>
      <c r="MYA246"/>
      <c r="MYB246"/>
      <c r="MYC246"/>
      <c r="MYD246"/>
      <c r="MYE246"/>
      <c r="MYF246"/>
      <c r="MYG246"/>
      <c r="MYH246"/>
      <c r="MYI246"/>
      <c r="MYJ246"/>
      <c r="MYK246"/>
      <c r="MYL246"/>
      <c r="MYM246"/>
      <c r="MYN246"/>
      <c r="MYO246"/>
      <c r="MYP246"/>
      <c r="MYQ246"/>
      <c r="MYR246"/>
      <c r="MYS246"/>
      <c r="MYT246"/>
      <c r="MYU246"/>
      <c r="MYV246"/>
      <c r="MYW246"/>
      <c r="MYX246"/>
      <c r="MYY246"/>
      <c r="MYZ246"/>
      <c r="MZA246"/>
      <c r="MZB246"/>
      <c r="MZC246"/>
      <c r="MZD246"/>
      <c r="MZE246"/>
      <c r="MZF246"/>
      <c r="MZG246"/>
      <c r="MZH246"/>
      <c r="MZI246"/>
      <c r="MZJ246"/>
      <c r="MZK246"/>
      <c r="MZL246"/>
      <c r="MZM246"/>
      <c r="MZN246"/>
      <c r="MZO246"/>
      <c r="MZP246"/>
      <c r="MZQ246"/>
      <c r="MZR246"/>
      <c r="MZS246"/>
      <c r="MZT246"/>
      <c r="MZU246"/>
      <c r="MZV246"/>
      <c r="MZW246"/>
      <c r="MZX246"/>
      <c r="MZY246"/>
      <c r="MZZ246"/>
      <c r="NAA246"/>
      <c r="NAB246"/>
      <c r="NAC246"/>
      <c r="NAD246"/>
      <c r="NAE246"/>
      <c r="NAF246"/>
      <c r="NAG246"/>
      <c r="NAH246"/>
      <c r="NAI246"/>
      <c r="NAJ246"/>
      <c r="NAK246"/>
      <c r="NAL246"/>
      <c r="NAM246"/>
      <c r="NAN246"/>
      <c r="NAO246"/>
      <c r="NAP246"/>
      <c r="NAQ246"/>
      <c r="NAR246"/>
      <c r="NAS246"/>
      <c r="NAT246"/>
      <c r="NAU246"/>
      <c r="NAV246"/>
      <c r="NAW246"/>
      <c r="NAX246"/>
      <c r="NAY246"/>
      <c r="NAZ246"/>
      <c r="NBA246"/>
      <c r="NBB246"/>
      <c r="NBC246"/>
      <c r="NBD246"/>
      <c r="NBE246"/>
      <c r="NBF246"/>
      <c r="NBG246"/>
      <c r="NBH246"/>
      <c r="NBI246"/>
      <c r="NBJ246"/>
      <c r="NBK246"/>
      <c r="NBL246"/>
      <c r="NBM246"/>
      <c r="NBN246"/>
      <c r="NBO246"/>
      <c r="NBP246"/>
      <c r="NBQ246"/>
      <c r="NBR246"/>
      <c r="NBS246"/>
      <c r="NBT246"/>
      <c r="NBU246"/>
      <c r="NBV246"/>
      <c r="NBW246"/>
      <c r="NBX246"/>
      <c r="NBY246"/>
      <c r="NBZ246"/>
      <c r="NCA246"/>
      <c r="NCB246"/>
      <c r="NCC246"/>
      <c r="NCD246"/>
      <c r="NCE246"/>
      <c r="NCF246"/>
      <c r="NCG246"/>
      <c r="NCH246"/>
      <c r="NCI246"/>
      <c r="NCJ246"/>
      <c r="NCK246"/>
      <c r="NCL246"/>
      <c r="NCM246"/>
      <c r="NCN246"/>
      <c r="NCO246"/>
      <c r="NCP246"/>
      <c r="NCQ246"/>
      <c r="NCR246"/>
      <c r="NCS246"/>
      <c r="NCT246"/>
      <c r="NCU246"/>
      <c r="NCV246"/>
      <c r="NCW246"/>
      <c r="NCX246"/>
      <c r="NCY246"/>
      <c r="NCZ246"/>
      <c r="NDA246"/>
      <c r="NDB246"/>
      <c r="NDC246"/>
      <c r="NDD246"/>
      <c r="NDE246"/>
      <c r="NDF246"/>
      <c r="NDG246"/>
      <c r="NDH246"/>
      <c r="NDI246"/>
      <c r="NDJ246"/>
      <c r="NDK246"/>
      <c r="NDL246"/>
      <c r="NDM246"/>
      <c r="NDN246"/>
      <c r="NDO246"/>
      <c r="NDP246"/>
      <c r="NDQ246"/>
      <c r="NDR246"/>
      <c r="NDS246"/>
      <c r="NDT246"/>
      <c r="NDU246"/>
      <c r="NDV246"/>
      <c r="NDW246"/>
      <c r="NDX246"/>
      <c r="NDY246"/>
      <c r="NDZ246"/>
      <c r="NEA246"/>
      <c r="NEB246"/>
      <c r="NEC246"/>
      <c r="NED246"/>
      <c r="NEE246"/>
      <c r="NEF246"/>
      <c r="NEG246"/>
      <c r="NEH246"/>
      <c r="NEI246"/>
      <c r="NEJ246"/>
      <c r="NEK246"/>
      <c r="NEL246"/>
      <c r="NEM246"/>
      <c r="NEN246"/>
      <c r="NEO246"/>
      <c r="NEP246"/>
      <c r="NEQ246"/>
      <c r="NER246"/>
      <c r="NES246"/>
      <c r="NET246"/>
      <c r="NEU246"/>
      <c r="NEV246"/>
      <c r="NEW246"/>
      <c r="NEX246"/>
      <c r="NEY246"/>
      <c r="NEZ246"/>
      <c r="NFA246"/>
      <c r="NFB246"/>
      <c r="NFC246"/>
      <c r="NFD246"/>
      <c r="NFE246"/>
      <c r="NFF246"/>
      <c r="NFG246"/>
      <c r="NFH246"/>
      <c r="NFI246"/>
      <c r="NFJ246"/>
      <c r="NFK246"/>
      <c r="NFL246"/>
      <c r="NFM246"/>
      <c r="NFN246"/>
      <c r="NFO246"/>
      <c r="NFP246"/>
      <c r="NFQ246"/>
      <c r="NFR246"/>
      <c r="NFS246"/>
      <c r="NFT246"/>
      <c r="NFU246"/>
      <c r="NFV246"/>
      <c r="NFW246"/>
      <c r="NFX246"/>
      <c r="NFY246"/>
      <c r="NFZ246"/>
      <c r="NGA246"/>
      <c r="NGB246"/>
      <c r="NGC246"/>
      <c r="NGD246"/>
      <c r="NGE246"/>
      <c r="NGF246"/>
      <c r="NGG246"/>
      <c r="NGH246"/>
      <c r="NGI246"/>
      <c r="NGJ246"/>
      <c r="NGK246"/>
      <c r="NGL246"/>
      <c r="NGM246"/>
      <c r="NGN246"/>
      <c r="NGO246"/>
      <c r="NGP246"/>
      <c r="NGQ246"/>
      <c r="NGR246"/>
      <c r="NGS246"/>
      <c r="NGT246"/>
      <c r="NGU246"/>
      <c r="NGV246"/>
      <c r="NGW246"/>
      <c r="NGX246"/>
      <c r="NGY246"/>
      <c r="NGZ246"/>
      <c r="NHA246"/>
      <c r="NHB246"/>
      <c r="NHC246"/>
      <c r="NHD246"/>
      <c r="NHE246"/>
      <c r="NHF246"/>
      <c r="NHG246"/>
      <c r="NHH246"/>
      <c r="NHI246"/>
      <c r="NHJ246"/>
      <c r="NHK246"/>
      <c r="NHL246"/>
      <c r="NHM246"/>
      <c r="NHN246"/>
      <c r="NHO246"/>
      <c r="NHP246"/>
      <c r="NHQ246"/>
      <c r="NHR246"/>
      <c r="NHS246"/>
      <c r="NHT246"/>
      <c r="NHU246"/>
      <c r="NHV246"/>
      <c r="NHW246"/>
      <c r="NHX246"/>
      <c r="NHY246"/>
      <c r="NHZ246"/>
      <c r="NIA246"/>
      <c r="NIB246"/>
      <c r="NIC246"/>
      <c r="NID246"/>
      <c r="NIE246"/>
      <c r="NIF246"/>
      <c r="NIG246"/>
      <c r="NIH246"/>
      <c r="NII246"/>
      <c r="NIJ246"/>
      <c r="NIK246"/>
      <c r="NIL246"/>
      <c r="NIM246"/>
      <c r="NIN246"/>
      <c r="NIO246"/>
      <c r="NIP246"/>
      <c r="NIQ246"/>
      <c r="NIR246"/>
      <c r="NIS246"/>
      <c r="NIT246"/>
      <c r="NIU246"/>
      <c r="NIV246"/>
      <c r="NIW246"/>
      <c r="NIX246"/>
      <c r="NIY246"/>
      <c r="NIZ246"/>
      <c r="NJA246"/>
      <c r="NJB246"/>
      <c r="NJC246"/>
      <c r="NJD246"/>
      <c r="NJE246"/>
      <c r="NJF246"/>
      <c r="NJG246"/>
      <c r="NJH246"/>
      <c r="NJI246"/>
      <c r="NJJ246"/>
      <c r="NJK246"/>
      <c r="NJL246"/>
      <c r="NJM246"/>
      <c r="NJN246"/>
      <c r="NJO246"/>
      <c r="NJP246"/>
      <c r="NJQ246"/>
      <c r="NJR246"/>
      <c r="NJS246"/>
      <c r="NJT246"/>
      <c r="NJU246"/>
      <c r="NJV246"/>
      <c r="NJW246"/>
      <c r="NJX246"/>
      <c r="NJY246"/>
      <c r="NJZ246"/>
      <c r="NKA246"/>
      <c r="NKB246"/>
      <c r="NKC246"/>
      <c r="NKD246"/>
      <c r="NKE246"/>
      <c r="NKF246"/>
      <c r="NKG246"/>
      <c r="NKH246"/>
      <c r="NKI246"/>
      <c r="NKJ246"/>
      <c r="NKK246"/>
      <c r="NKL246"/>
      <c r="NKM246"/>
      <c r="NKN246"/>
      <c r="NKO246"/>
      <c r="NKP246"/>
      <c r="NKQ246"/>
      <c r="NKR246"/>
      <c r="NKS246"/>
      <c r="NKT246"/>
      <c r="NKU246"/>
      <c r="NKV246"/>
      <c r="NKW246"/>
      <c r="NKX246"/>
      <c r="NKY246"/>
      <c r="NKZ246"/>
      <c r="NLA246"/>
      <c r="NLB246"/>
      <c r="NLC246"/>
      <c r="NLD246"/>
      <c r="NLE246"/>
      <c r="NLF246"/>
      <c r="NLG246"/>
      <c r="NLH246"/>
      <c r="NLI246"/>
      <c r="NLJ246"/>
      <c r="NLK246"/>
      <c r="NLL246"/>
      <c r="NLM246"/>
      <c r="NLN246"/>
      <c r="NLO246"/>
      <c r="NLP246"/>
      <c r="NLQ246"/>
      <c r="NLR246"/>
      <c r="NLS246"/>
      <c r="NLT246"/>
      <c r="NLU246"/>
      <c r="NLV246"/>
      <c r="NLW246"/>
      <c r="NLX246"/>
      <c r="NLY246"/>
      <c r="NLZ246"/>
      <c r="NMA246"/>
      <c r="NMB246"/>
      <c r="NMC246"/>
      <c r="NMD246"/>
      <c r="NME246"/>
      <c r="NMF246"/>
      <c r="NMG246"/>
      <c r="NMH246"/>
      <c r="NMI246"/>
      <c r="NMJ246"/>
      <c r="NMK246"/>
      <c r="NML246"/>
      <c r="NMM246"/>
      <c r="NMN246"/>
      <c r="NMO246"/>
      <c r="NMP246"/>
      <c r="NMQ246"/>
      <c r="NMR246"/>
      <c r="NMS246"/>
      <c r="NMT246"/>
      <c r="NMU246"/>
      <c r="NMV246"/>
      <c r="NMW246"/>
      <c r="NMX246"/>
      <c r="NMY246"/>
      <c r="NMZ246"/>
      <c r="NNA246"/>
      <c r="NNB246"/>
      <c r="NNC246"/>
      <c r="NND246"/>
      <c r="NNE246"/>
      <c r="NNF246"/>
      <c r="NNG246"/>
      <c r="NNH246"/>
      <c r="NNI246"/>
      <c r="NNJ246"/>
      <c r="NNK246"/>
      <c r="NNL246"/>
      <c r="NNM246"/>
      <c r="NNN246"/>
      <c r="NNO246"/>
      <c r="NNP246"/>
      <c r="NNQ246"/>
      <c r="NNR246"/>
      <c r="NNS246"/>
      <c r="NNT246"/>
      <c r="NNU246"/>
      <c r="NNV246"/>
      <c r="NNW246"/>
      <c r="NNX246"/>
      <c r="NNY246"/>
      <c r="NNZ246"/>
      <c r="NOA246"/>
      <c r="NOB246"/>
      <c r="NOC246"/>
      <c r="NOD246"/>
      <c r="NOE246"/>
      <c r="NOF246"/>
      <c r="NOG246"/>
      <c r="NOH246"/>
      <c r="NOI246"/>
      <c r="NOJ246"/>
      <c r="NOK246"/>
      <c r="NOL246"/>
      <c r="NOM246"/>
      <c r="NON246"/>
      <c r="NOO246"/>
      <c r="NOP246"/>
      <c r="NOQ246"/>
      <c r="NOR246"/>
      <c r="NOS246"/>
      <c r="NOT246"/>
      <c r="NOU246"/>
      <c r="NOV246"/>
      <c r="NOW246"/>
      <c r="NOX246"/>
      <c r="NOY246"/>
      <c r="NOZ246"/>
      <c r="NPA246"/>
      <c r="NPB246"/>
      <c r="NPC246"/>
      <c r="NPD246"/>
      <c r="NPE246"/>
      <c r="NPF246"/>
      <c r="NPG246"/>
      <c r="NPH246"/>
      <c r="NPI246"/>
      <c r="NPJ246"/>
      <c r="NPK246"/>
      <c r="NPL246"/>
      <c r="NPM246"/>
      <c r="NPN246"/>
      <c r="NPO246"/>
      <c r="NPP246"/>
      <c r="NPQ246"/>
      <c r="NPR246"/>
      <c r="NPS246"/>
      <c r="NPT246"/>
      <c r="NPU246"/>
      <c r="NPV246"/>
      <c r="NPW246"/>
      <c r="NPX246"/>
      <c r="NPY246"/>
      <c r="NPZ246"/>
      <c r="NQA246"/>
      <c r="NQB246"/>
      <c r="NQC246"/>
      <c r="NQD246"/>
      <c r="NQE246"/>
      <c r="NQF246"/>
      <c r="NQG246"/>
      <c r="NQH246"/>
      <c r="NQI246"/>
      <c r="NQJ246"/>
      <c r="NQK246"/>
      <c r="NQL246"/>
      <c r="NQM246"/>
      <c r="NQN246"/>
      <c r="NQO246"/>
      <c r="NQP246"/>
      <c r="NQQ246"/>
      <c r="NQR246"/>
      <c r="NQS246"/>
      <c r="NQT246"/>
      <c r="NQU246"/>
      <c r="NQV246"/>
      <c r="NQW246"/>
      <c r="NQX246"/>
      <c r="NQY246"/>
      <c r="NQZ246"/>
      <c r="NRA246"/>
      <c r="NRB246"/>
      <c r="NRC246"/>
      <c r="NRD246"/>
      <c r="NRE246"/>
      <c r="NRF246"/>
      <c r="NRG246"/>
      <c r="NRH246"/>
      <c r="NRI246"/>
      <c r="NRJ246"/>
      <c r="NRK246"/>
      <c r="NRL246"/>
      <c r="NRM246"/>
      <c r="NRN246"/>
      <c r="NRO246"/>
      <c r="NRP246"/>
      <c r="NRQ246"/>
      <c r="NRR246"/>
      <c r="NRS246"/>
      <c r="NRT246"/>
      <c r="NRU246"/>
      <c r="NRV246"/>
      <c r="NRW246"/>
      <c r="NRX246"/>
      <c r="NRY246"/>
      <c r="NRZ246"/>
      <c r="NSA246"/>
      <c r="NSB246"/>
      <c r="NSC246"/>
      <c r="NSD246"/>
      <c r="NSE246"/>
      <c r="NSF246"/>
      <c r="NSG246"/>
      <c r="NSH246"/>
      <c r="NSI246"/>
      <c r="NSJ246"/>
      <c r="NSK246"/>
      <c r="NSL246"/>
      <c r="NSM246"/>
      <c r="NSN246"/>
      <c r="NSO246"/>
      <c r="NSP246"/>
      <c r="NSQ246"/>
      <c r="NSR246"/>
      <c r="NSS246"/>
      <c r="NST246"/>
      <c r="NSU246"/>
      <c r="NSV246"/>
      <c r="NSW246"/>
      <c r="NSX246"/>
      <c r="NSY246"/>
      <c r="NSZ246"/>
      <c r="NTA246"/>
      <c r="NTB246"/>
      <c r="NTC246"/>
      <c r="NTD246"/>
      <c r="NTE246"/>
      <c r="NTF246"/>
      <c r="NTG246"/>
      <c r="NTH246"/>
      <c r="NTI246"/>
      <c r="NTJ246"/>
      <c r="NTK246"/>
      <c r="NTL246"/>
      <c r="NTM246"/>
      <c r="NTN246"/>
      <c r="NTO246"/>
      <c r="NTP246"/>
      <c r="NTQ246"/>
      <c r="NTR246"/>
      <c r="NTS246"/>
      <c r="NTT246"/>
      <c r="NTU246"/>
      <c r="NTV246"/>
      <c r="NTW246"/>
      <c r="NTX246"/>
      <c r="NTY246"/>
      <c r="NTZ246"/>
      <c r="NUA246"/>
      <c r="NUB246"/>
      <c r="NUC246"/>
      <c r="NUD246"/>
      <c r="NUE246"/>
      <c r="NUF246"/>
      <c r="NUG246"/>
      <c r="NUH246"/>
      <c r="NUI246"/>
      <c r="NUJ246"/>
      <c r="NUK246"/>
      <c r="NUL246"/>
      <c r="NUM246"/>
      <c r="NUN246"/>
      <c r="NUO246"/>
      <c r="NUP246"/>
      <c r="NUQ246"/>
      <c r="NUR246"/>
      <c r="NUS246"/>
      <c r="NUT246"/>
      <c r="NUU246"/>
      <c r="NUV246"/>
      <c r="NUW246"/>
      <c r="NUX246"/>
      <c r="NUY246"/>
      <c r="NUZ246"/>
      <c r="NVA246"/>
      <c r="NVB246"/>
      <c r="NVC246"/>
      <c r="NVD246"/>
      <c r="NVE246"/>
      <c r="NVF246"/>
      <c r="NVG246"/>
      <c r="NVH246"/>
      <c r="NVI246"/>
      <c r="NVJ246"/>
      <c r="NVK246"/>
      <c r="NVL246"/>
      <c r="NVM246"/>
      <c r="NVN246"/>
      <c r="NVO246"/>
      <c r="NVP246"/>
      <c r="NVQ246"/>
      <c r="NVR246"/>
      <c r="NVS246"/>
      <c r="NVT246"/>
      <c r="NVU246"/>
      <c r="NVV246"/>
      <c r="NVW246"/>
      <c r="NVX246"/>
      <c r="NVY246"/>
      <c r="NVZ246"/>
      <c r="NWA246"/>
      <c r="NWB246"/>
      <c r="NWC246"/>
      <c r="NWD246"/>
      <c r="NWE246"/>
      <c r="NWF246"/>
      <c r="NWG246"/>
      <c r="NWH246"/>
      <c r="NWI246"/>
      <c r="NWJ246"/>
      <c r="NWK246"/>
      <c r="NWL246"/>
      <c r="NWM246"/>
      <c r="NWN246"/>
      <c r="NWO246"/>
      <c r="NWP246"/>
      <c r="NWQ246"/>
      <c r="NWR246"/>
      <c r="NWS246"/>
      <c r="NWT246"/>
      <c r="NWU246"/>
      <c r="NWV246"/>
      <c r="NWW246"/>
      <c r="NWX246"/>
      <c r="NWY246"/>
      <c r="NWZ246"/>
      <c r="NXA246"/>
      <c r="NXB246"/>
      <c r="NXC246"/>
      <c r="NXD246"/>
      <c r="NXE246"/>
      <c r="NXF246"/>
      <c r="NXG246"/>
      <c r="NXH246"/>
      <c r="NXI246"/>
      <c r="NXJ246"/>
      <c r="NXK246"/>
      <c r="NXL246"/>
      <c r="NXM246"/>
      <c r="NXN246"/>
      <c r="NXO246"/>
      <c r="NXP246"/>
      <c r="NXQ246"/>
      <c r="NXR246"/>
      <c r="NXS246"/>
      <c r="NXT246"/>
      <c r="NXU246"/>
      <c r="NXV246"/>
      <c r="NXW246"/>
      <c r="NXX246"/>
      <c r="NXY246"/>
      <c r="NXZ246"/>
      <c r="NYA246"/>
      <c r="NYB246"/>
      <c r="NYC246"/>
      <c r="NYD246"/>
      <c r="NYE246"/>
      <c r="NYF246"/>
      <c r="NYG246"/>
      <c r="NYH246"/>
      <c r="NYI246"/>
      <c r="NYJ246"/>
      <c r="NYK246"/>
      <c r="NYL246"/>
      <c r="NYM246"/>
      <c r="NYN246"/>
      <c r="NYO246"/>
      <c r="NYP246"/>
      <c r="NYQ246"/>
      <c r="NYR246"/>
      <c r="NYS246"/>
      <c r="NYT246"/>
      <c r="NYU246"/>
      <c r="NYV246"/>
      <c r="NYW246"/>
      <c r="NYX246"/>
      <c r="NYY246"/>
      <c r="NYZ246"/>
      <c r="NZA246"/>
      <c r="NZB246"/>
      <c r="NZC246"/>
      <c r="NZD246"/>
      <c r="NZE246"/>
      <c r="NZF246"/>
      <c r="NZG246"/>
      <c r="NZH246"/>
      <c r="NZI246"/>
      <c r="NZJ246"/>
      <c r="NZK246"/>
      <c r="NZL246"/>
      <c r="NZM246"/>
      <c r="NZN246"/>
      <c r="NZO246"/>
      <c r="NZP246"/>
      <c r="NZQ246"/>
      <c r="NZR246"/>
      <c r="NZS246"/>
      <c r="NZT246"/>
      <c r="NZU246"/>
      <c r="NZV246"/>
      <c r="NZW246"/>
      <c r="NZX246"/>
      <c r="NZY246"/>
      <c r="NZZ246"/>
      <c r="OAA246"/>
      <c r="OAB246"/>
      <c r="OAC246"/>
      <c r="OAD246"/>
      <c r="OAE246"/>
      <c r="OAF246"/>
      <c r="OAG246"/>
      <c r="OAH246"/>
      <c r="OAI246"/>
      <c r="OAJ246"/>
      <c r="OAK246"/>
      <c r="OAL246"/>
      <c r="OAM246"/>
      <c r="OAN246"/>
      <c r="OAO246"/>
      <c r="OAP246"/>
      <c r="OAQ246"/>
      <c r="OAR246"/>
      <c r="OAS246"/>
      <c r="OAT246"/>
      <c r="OAU246"/>
      <c r="OAV246"/>
      <c r="OAW246"/>
      <c r="OAX246"/>
      <c r="OAY246"/>
      <c r="OAZ246"/>
      <c r="OBA246"/>
      <c r="OBB246"/>
      <c r="OBC246"/>
      <c r="OBD246"/>
      <c r="OBE246"/>
      <c r="OBF246"/>
      <c r="OBG246"/>
      <c r="OBH246"/>
      <c r="OBI246"/>
      <c r="OBJ246"/>
      <c r="OBK246"/>
      <c r="OBL246"/>
      <c r="OBM246"/>
      <c r="OBN246"/>
      <c r="OBO246"/>
      <c r="OBP246"/>
      <c r="OBQ246"/>
      <c r="OBR246"/>
      <c r="OBS246"/>
      <c r="OBT246"/>
      <c r="OBU246"/>
      <c r="OBV246"/>
      <c r="OBW246"/>
      <c r="OBX246"/>
      <c r="OBY246"/>
      <c r="OBZ246"/>
      <c r="OCA246"/>
      <c r="OCB246"/>
      <c r="OCC246"/>
      <c r="OCD246"/>
      <c r="OCE246"/>
      <c r="OCF246"/>
      <c r="OCG246"/>
      <c r="OCH246"/>
      <c r="OCI246"/>
      <c r="OCJ246"/>
      <c r="OCK246"/>
      <c r="OCL246"/>
      <c r="OCM246"/>
      <c r="OCN246"/>
      <c r="OCO246"/>
      <c r="OCP246"/>
      <c r="OCQ246"/>
      <c r="OCR246"/>
      <c r="OCS246"/>
      <c r="OCT246"/>
      <c r="OCU246"/>
      <c r="OCV246"/>
      <c r="OCW246"/>
      <c r="OCX246"/>
      <c r="OCY246"/>
      <c r="OCZ246"/>
      <c r="ODA246"/>
      <c r="ODB246"/>
      <c r="ODC246"/>
      <c r="ODD246"/>
      <c r="ODE246"/>
      <c r="ODF246"/>
      <c r="ODG246"/>
      <c r="ODH246"/>
      <c r="ODI246"/>
      <c r="ODJ246"/>
      <c r="ODK246"/>
      <c r="ODL246"/>
      <c r="ODM246"/>
      <c r="ODN246"/>
      <c r="ODO246"/>
      <c r="ODP246"/>
      <c r="ODQ246"/>
      <c r="ODR246"/>
      <c r="ODS246"/>
      <c r="ODT246"/>
      <c r="ODU246"/>
      <c r="ODV246"/>
      <c r="ODW246"/>
      <c r="ODX246"/>
      <c r="ODY246"/>
      <c r="ODZ246"/>
      <c r="OEA246"/>
      <c r="OEB246"/>
      <c r="OEC246"/>
      <c r="OED246"/>
      <c r="OEE246"/>
      <c r="OEF246"/>
      <c r="OEG246"/>
      <c r="OEH246"/>
      <c r="OEI246"/>
      <c r="OEJ246"/>
      <c r="OEK246"/>
      <c r="OEL246"/>
      <c r="OEM246"/>
      <c r="OEN246"/>
      <c r="OEO246"/>
      <c r="OEP246"/>
      <c r="OEQ246"/>
      <c r="OER246"/>
      <c r="OES246"/>
      <c r="OET246"/>
      <c r="OEU246"/>
      <c r="OEV246"/>
      <c r="OEW246"/>
      <c r="OEX246"/>
      <c r="OEY246"/>
      <c r="OEZ246"/>
      <c r="OFA246"/>
      <c r="OFB246"/>
      <c r="OFC246"/>
      <c r="OFD246"/>
      <c r="OFE246"/>
      <c r="OFF246"/>
      <c r="OFG246"/>
      <c r="OFH246"/>
      <c r="OFI246"/>
      <c r="OFJ246"/>
      <c r="OFK246"/>
      <c r="OFL246"/>
      <c r="OFM246"/>
      <c r="OFN246"/>
      <c r="OFO246"/>
      <c r="OFP246"/>
      <c r="OFQ246"/>
      <c r="OFR246"/>
      <c r="OFS246"/>
      <c r="OFT246"/>
      <c r="OFU246"/>
      <c r="OFV246"/>
      <c r="OFW246"/>
      <c r="OFX246"/>
      <c r="OFY246"/>
      <c r="OFZ246"/>
      <c r="OGA246"/>
      <c r="OGB246"/>
      <c r="OGC246"/>
      <c r="OGD246"/>
      <c r="OGE246"/>
      <c r="OGF246"/>
      <c r="OGG246"/>
      <c r="OGH246"/>
      <c r="OGI246"/>
      <c r="OGJ246"/>
      <c r="OGK246"/>
      <c r="OGL246"/>
      <c r="OGM246"/>
      <c r="OGN246"/>
      <c r="OGO246"/>
      <c r="OGP246"/>
      <c r="OGQ246"/>
      <c r="OGR246"/>
      <c r="OGS246"/>
      <c r="OGT246"/>
      <c r="OGU246"/>
      <c r="OGV246"/>
      <c r="OGW246"/>
      <c r="OGX246"/>
      <c r="OGY246"/>
      <c r="OGZ246"/>
      <c r="OHA246"/>
      <c r="OHB246"/>
      <c r="OHC246"/>
      <c r="OHD246"/>
      <c r="OHE246"/>
      <c r="OHF246"/>
      <c r="OHG246"/>
      <c r="OHH246"/>
      <c r="OHI246"/>
      <c r="OHJ246"/>
      <c r="OHK246"/>
      <c r="OHL246"/>
      <c r="OHM246"/>
      <c r="OHN246"/>
      <c r="OHO246"/>
      <c r="OHP246"/>
      <c r="OHQ246"/>
      <c r="OHR246"/>
      <c r="OHS246"/>
      <c r="OHT246"/>
      <c r="OHU246"/>
      <c r="OHV246"/>
      <c r="OHW246"/>
      <c r="OHX246"/>
      <c r="OHY246"/>
      <c r="OHZ246"/>
      <c r="OIA246"/>
      <c r="OIB246"/>
      <c r="OIC246"/>
      <c r="OID246"/>
      <c r="OIE246"/>
      <c r="OIF246"/>
      <c r="OIG246"/>
      <c r="OIH246"/>
      <c r="OII246"/>
      <c r="OIJ246"/>
      <c r="OIK246"/>
      <c r="OIL246"/>
      <c r="OIM246"/>
      <c r="OIN246"/>
      <c r="OIO246"/>
      <c r="OIP246"/>
      <c r="OIQ246"/>
      <c r="OIR246"/>
      <c r="OIS246"/>
      <c r="OIT246"/>
      <c r="OIU246"/>
      <c r="OIV246"/>
      <c r="OIW246"/>
      <c r="OIX246"/>
      <c r="OIY246"/>
      <c r="OIZ246"/>
      <c r="OJA246"/>
      <c r="OJB246"/>
      <c r="OJC246"/>
      <c r="OJD246"/>
      <c r="OJE246"/>
      <c r="OJF246"/>
      <c r="OJG246"/>
      <c r="OJH246"/>
      <c r="OJI246"/>
      <c r="OJJ246"/>
      <c r="OJK246"/>
      <c r="OJL246"/>
      <c r="OJM246"/>
      <c r="OJN246"/>
      <c r="OJO246"/>
      <c r="OJP246"/>
      <c r="OJQ246"/>
      <c r="OJR246"/>
      <c r="OJS246"/>
      <c r="OJT246"/>
      <c r="OJU246"/>
      <c r="OJV246"/>
      <c r="OJW246"/>
      <c r="OJX246"/>
      <c r="OJY246"/>
      <c r="OJZ246"/>
      <c r="OKA246"/>
      <c r="OKB246"/>
      <c r="OKC246"/>
      <c r="OKD246"/>
      <c r="OKE246"/>
      <c r="OKF246"/>
      <c r="OKG246"/>
      <c r="OKH246"/>
      <c r="OKI246"/>
      <c r="OKJ246"/>
      <c r="OKK246"/>
      <c r="OKL246"/>
      <c r="OKM246"/>
      <c r="OKN246"/>
      <c r="OKO246"/>
      <c r="OKP246"/>
      <c r="OKQ246"/>
      <c r="OKR246"/>
      <c r="OKS246"/>
      <c r="OKT246"/>
      <c r="OKU246"/>
      <c r="OKV246"/>
      <c r="OKW246"/>
      <c r="OKX246"/>
      <c r="OKY246"/>
      <c r="OKZ246"/>
      <c r="OLA246"/>
      <c r="OLB246"/>
      <c r="OLC246"/>
      <c r="OLD246"/>
      <c r="OLE246"/>
      <c r="OLF246"/>
      <c r="OLG246"/>
      <c r="OLH246"/>
      <c r="OLI246"/>
      <c r="OLJ246"/>
      <c r="OLK246"/>
      <c r="OLL246"/>
      <c r="OLM246"/>
      <c r="OLN246"/>
      <c r="OLO246"/>
      <c r="OLP246"/>
      <c r="OLQ246"/>
      <c r="OLR246"/>
      <c r="OLS246"/>
      <c r="OLT246"/>
      <c r="OLU246"/>
      <c r="OLV246"/>
      <c r="OLW246"/>
      <c r="OLX246"/>
      <c r="OLY246"/>
      <c r="OLZ246"/>
      <c r="OMA246"/>
      <c r="OMB246"/>
      <c r="OMC246"/>
      <c r="OMD246"/>
      <c r="OME246"/>
      <c r="OMF246"/>
      <c r="OMG246"/>
      <c r="OMH246"/>
      <c r="OMI246"/>
      <c r="OMJ246"/>
      <c r="OMK246"/>
      <c r="OML246"/>
      <c r="OMM246"/>
      <c r="OMN246"/>
      <c r="OMO246"/>
      <c r="OMP246"/>
      <c r="OMQ246"/>
      <c r="OMR246"/>
      <c r="OMS246"/>
      <c r="OMT246"/>
      <c r="OMU246"/>
      <c r="OMV246"/>
      <c r="OMW246"/>
      <c r="OMX246"/>
      <c r="OMY246"/>
      <c r="OMZ246"/>
      <c r="ONA246"/>
      <c r="ONB246"/>
      <c r="ONC246"/>
      <c r="OND246"/>
      <c r="ONE246"/>
      <c r="ONF246"/>
      <c r="ONG246"/>
      <c r="ONH246"/>
      <c r="ONI246"/>
      <c r="ONJ246"/>
      <c r="ONK246"/>
      <c r="ONL246"/>
      <c r="ONM246"/>
      <c r="ONN246"/>
      <c r="ONO246"/>
      <c r="ONP246"/>
      <c r="ONQ246"/>
      <c r="ONR246"/>
      <c r="ONS246"/>
      <c r="ONT246"/>
      <c r="ONU246"/>
      <c r="ONV246"/>
      <c r="ONW246"/>
      <c r="ONX246"/>
      <c r="ONY246"/>
      <c r="ONZ246"/>
      <c r="OOA246"/>
      <c r="OOB246"/>
      <c r="OOC246"/>
      <c r="OOD246"/>
      <c r="OOE246"/>
      <c r="OOF246"/>
      <c r="OOG246"/>
      <c r="OOH246"/>
      <c r="OOI246"/>
      <c r="OOJ246"/>
      <c r="OOK246"/>
      <c r="OOL246"/>
      <c r="OOM246"/>
      <c r="OON246"/>
      <c r="OOO246"/>
      <c r="OOP246"/>
      <c r="OOQ246"/>
      <c r="OOR246"/>
      <c r="OOS246"/>
      <c r="OOT246"/>
      <c r="OOU246"/>
      <c r="OOV246"/>
      <c r="OOW246"/>
      <c r="OOX246"/>
      <c r="OOY246"/>
      <c r="OOZ246"/>
      <c r="OPA246"/>
      <c r="OPB246"/>
      <c r="OPC246"/>
      <c r="OPD246"/>
      <c r="OPE246"/>
      <c r="OPF246"/>
      <c r="OPG246"/>
      <c r="OPH246"/>
      <c r="OPI246"/>
      <c r="OPJ246"/>
      <c r="OPK246"/>
      <c r="OPL246"/>
      <c r="OPM246"/>
      <c r="OPN246"/>
      <c r="OPO246"/>
      <c r="OPP246"/>
      <c r="OPQ246"/>
      <c r="OPR246"/>
      <c r="OPS246"/>
      <c r="OPT246"/>
      <c r="OPU246"/>
      <c r="OPV246"/>
      <c r="OPW246"/>
      <c r="OPX246"/>
      <c r="OPY246"/>
      <c r="OPZ246"/>
      <c r="OQA246"/>
      <c r="OQB246"/>
      <c r="OQC246"/>
      <c r="OQD246"/>
      <c r="OQE246"/>
      <c r="OQF246"/>
      <c r="OQG246"/>
      <c r="OQH246"/>
      <c r="OQI246"/>
      <c r="OQJ246"/>
      <c r="OQK246"/>
      <c r="OQL246"/>
      <c r="OQM246"/>
      <c r="OQN246"/>
      <c r="OQO246"/>
      <c r="OQP246"/>
      <c r="OQQ246"/>
      <c r="OQR246"/>
      <c r="OQS246"/>
      <c r="OQT246"/>
      <c r="OQU246"/>
      <c r="OQV246"/>
      <c r="OQW246"/>
      <c r="OQX246"/>
      <c r="OQY246"/>
      <c r="OQZ246"/>
      <c r="ORA246"/>
      <c r="ORB246"/>
      <c r="ORC246"/>
      <c r="ORD246"/>
      <c r="ORE246"/>
      <c r="ORF246"/>
      <c r="ORG246"/>
      <c r="ORH246"/>
      <c r="ORI246"/>
      <c r="ORJ246"/>
      <c r="ORK246"/>
      <c r="ORL246"/>
      <c r="ORM246"/>
      <c r="ORN246"/>
      <c r="ORO246"/>
      <c r="ORP246"/>
      <c r="ORQ246"/>
      <c r="ORR246"/>
      <c r="ORS246"/>
      <c r="ORT246"/>
      <c r="ORU246"/>
      <c r="ORV246"/>
      <c r="ORW246"/>
      <c r="ORX246"/>
      <c r="ORY246"/>
      <c r="ORZ246"/>
      <c r="OSA246"/>
      <c r="OSB246"/>
      <c r="OSC246"/>
      <c r="OSD246"/>
      <c r="OSE246"/>
      <c r="OSF246"/>
      <c r="OSG246"/>
      <c r="OSH246"/>
      <c r="OSI246"/>
      <c r="OSJ246"/>
      <c r="OSK246"/>
      <c r="OSL246"/>
      <c r="OSM246"/>
      <c r="OSN246"/>
      <c r="OSO246"/>
      <c r="OSP246"/>
      <c r="OSQ246"/>
      <c r="OSR246"/>
      <c r="OSS246"/>
      <c r="OST246"/>
      <c r="OSU246"/>
      <c r="OSV246"/>
      <c r="OSW246"/>
      <c r="OSX246"/>
      <c r="OSY246"/>
      <c r="OSZ246"/>
      <c r="OTA246"/>
      <c r="OTB246"/>
      <c r="OTC246"/>
      <c r="OTD246"/>
      <c r="OTE246"/>
      <c r="OTF246"/>
      <c r="OTG246"/>
      <c r="OTH246"/>
      <c r="OTI246"/>
      <c r="OTJ246"/>
      <c r="OTK246"/>
      <c r="OTL246"/>
      <c r="OTM246"/>
      <c r="OTN246"/>
      <c r="OTO246"/>
      <c r="OTP246"/>
      <c r="OTQ246"/>
      <c r="OTR246"/>
      <c r="OTS246"/>
      <c r="OTT246"/>
      <c r="OTU246"/>
      <c r="OTV246"/>
      <c r="OTW246"/>
      <c r="OTX246"/>
      <c r="OTY246"/>
      <c r="OTZ246"/>
      <c r="OUA246"/>
      <c r="OUB246"/>
      <c r="OUC246"/>
      <c r="OUD246"/>
      <c r="OUE246"/>
      <c r="OUF246"/>
      <c r="OUG246"/>
      <c r="OUH246"/>
      <c r="OUI246"/>
      <c r="OUJ246"/>
      <c r="OUK246"/>
      <c r="OUL246"/>
      <c r="OUM246"/>
      <c r="OUN246"/>
      <c r="OUO246"/>
      <c r="OUP246"/>
      <c r="OUQ246"/>
      <c r="OUR246"/>
      <c r="OUS246"/>
      <c r="OUT246"/>
      <c r="OUU246"/>
      <c r="OUV246"/>
      <c r="OUW246"/>
      <c r="OUX246"/>
      <c r="OUY246"/>
      <c r="OUZ246"/>
      <c r="OVA246"/>
      <c r="OVB246"/>
      <c r="OVC246"/>
      <c r="OVD246"/>
      <c r="OVE246"/>
      <c r="OVF246"/>
      <c r="OVG246"/>
      <c r="OVH246"/>
      <c r="OVI246"/>
      <c r="OVJ246"/>
      <c r="OVK246"/>
      <c r="OVL246"/>
      <c r="OVM246"/>
      <c r="OVN246"/>
      <c r="OVO246"/>
      <c r="OVP246"/>
      <c r="OVQ246"/>
      <c r="OVR246"/>
      <c r="OVS246"/>
      <c r="OVT246"/>
      <c r="OVU246"/>
      <c r="OVV246"/>
      <c r="OVW246"/>
      <c r="OVX246"/>
      <c r="OVY246"/>
      <c r="OVZ246"/>
      <c r="OWA246"/>
      <c r="OWB246"/>
      <c r="OWC246"/>
      <c r="OWD246"/>
      <c r="OWE246"/>
      <c r="OWF246"/>
      <c r="OWG246"/>
      <c r="OWH246"/>
      <c r="OWI246"/>
      <c r="OWJ246"/>
      <c r="OWK246"/>
      <c r="OWL246"/>
      <c r="OWM246"/>
      <c r="OWN246"/>
      <c r="OWO246"/>
      <c r="OWP246"/>
      <c r="OWQ246"/>
      <c r="OWR246"/>
      <c r="OWS246"/>
      <c r="OWT246"/>
      <c r="OWU246"/>
      <c r="OWV246"/>
      <c r="OWW246"/>
      <c r="OWX246"/>
      <c r="OWY246"/>
      <c r="OWZ246"/>
      <c r="OXA246"/>
      <c r="OXB246"/>
      <c r="OXC246"/>
      <c r="OXD246"/>
      <c r="OXE246"/>
      <c r="OXF246"/>
      <c r="OXG246"/>
      <c r="OXH246"/>
      <c r="OXI246"/>
      <c r="OXJ246"/>
      <c r="OXK246"/>
      <c r="OXL246"/>
      <c r="OXM246"/>
      <c r="OXN246"/>
      <c r="OXO246"/>
      <c r="OXP246"/>
      <c r="OXQ246"/>
      <c r="OXR246"/>
      <c r="OXS246"/>
      <c r="OXT246"/>
      <c r="OXU246"/>
      <c r="OXV246"/>
      <c r="OXW246"/>
      <c r="OXX246"/>
      <c r="OXY246"/>
      <c r="OXZ246"/>
      <c r="OYA246"/>
      <c r="OYB246"/>
      <c r="OYC246"/>
      <c r="OYD246"/>
      <c r="OYE246"/>
      <c r="OYF246"/>
      <c r="OYG246"/>
      <c r="OYH246"/>
      <c r="OYI246"/>
      <c r="OYJ246"/>
      <c r="OYK246"/>
      <c r="OYL246"/>
      <c r="OYM246"/>
      <c r="OYN246"/>
      <c r="OYO246"/>
      <c r="OYP246"/>
      <c r="OYQ246"/>
      <c r="OYR246"/>
      <c r="OYS246"/>
      <c r="OYT246"/>
      <c r="OYU246"/>
      <c r="OYV246"/>
      <c r="OYW246"/>
      <c r="OYX246"/>
      <c r="OYY246"/>
      <c r="OYZ246"/>
      <c r="OZA246"/>
      <c r="OZB246"/>
      <c r="OZC246"/>
      <c r="OZD246"/>
      <c r="OZE246"/>
      <c r="OZF246"/>
      <c r="OZG246"/>
      <c r="OZH246"/>
      <c r="OZI246"/>
      <c r="OZJ246"/>
      <c r="OZK246"/>
      <c r="OZL246"/>
      <c r="OZM246"/>
      <c r="OZN246"/>
      <c r="OZO246"/>
      <c r="OZP246"/>
      <c r="OZQ246"/>
      <c r="OZR246"/>
      <c r="OZS246"/>
      <c r="OZT246"/>
      <c r="OZU246"/>
      <c r="OZV246"/>
      <c r="OZW246"/>
      <c r="OZX246"/>
      <c r="OZY246"/>
      <c r="OZZ246"/>
      <c r="PAA246"/>
      <c r="PAB246"/>
      <c r="PAC246"/>
      <c r="PAD246"/>
      <c r="PAE246"/>
      <c r="PAF246"/>
      <c r="PAG246"/>
      <c r="PAH246"/>
      <c r="PAI246"/>
      <c r="PAJ246"/>
      <c r="PAK246"/>
      <c r="PAL246"/>
      <c r="PAM246"/>
      <c r="PAN246"/>
      <c r="PAO246"/>
      <c r="PAP246"/>
      <c r="PAQ246"/>
      <c r="PAR246"/>
      <c r="PAS246"/>
      <c r="PAT246"/>
      <c r="PAU246"/>
      <c r="PAV246"/>
      <c r="PAW246"/>
      <c r="PAX246"/>
      <c r="PAY246"/>
      <c r="PAZ246"/>
      <c r="PBA246"/>
      <c r="PBB246"/>
      <c r="PBC246"/>
      <c r="PBD246"/>
      <c r="PBE246"/>
      <c r="PBF246"/>
      <c r="PBG246"/>
      <c r="PBH246"/>
      <c r="PBI246"/>
      <c r="PBJ246"/>
      <c r="PBK246"/>
      <c r="PBL246"/>
      <c r="PBM246"/>
      <c r="PBN246"/>
      <c r="PBO246"/>
      <c r="PBP246"/>
      <c r="PBQ246"/>
      <c r="PBR246"/>
      <c r="PBS246"/>
      <c r="PBT246"/>
      <c r="PBU246"/>
      <c r="PBV246"/>
      <c r="PBW246"/>
      <c r="PBX246"/>
      <c r="PBY246"/>
      <c r="PBZ246"/>
      <c r="PCA246"/>
      <c r="PCB246"/>
      <c r="PCC246"/>
      <c r="PCD246"/>
      <c r="PCE246"/>
      <c r="PCF246"/>
      <c r="PCG246"/>
      <c r="PCH246"/>
      <c r="PCI246"/>
      <c r="PCJ246"/>
      <c r="PCK246"/>
      <c r="PCL246"/>
      <c r="PCM246"/>
      <c r="PCN246"/>
      <c r="PCO246"/>
      <c r="PCP246"/>
      <c r="PCQ246"/>
      <c r="PCR246"/>
      <c r="PCS246"/>
      <c r="PCT246"/>
      <c r="PCU246"/>
      <c r="PCV246"/>
      <c r="PCW246"/>
      <c r="PCX246"/>
      <c r="PCY246"/>
      <c r="PCZ246"/>
      <c r="PDA246"/>
      <c r="PDB246"/>
      <c r="PDC246"/>
      <c r="PDD246"/>
      <c r="PDE246"/>
      <c r="PDF246"/>
      <c r="PDG246"/>
      <c r="PDH246"/>
      <c r="PDI246"/>
      <c r="PDJ246"/>
      <c r="PDK246"/>
      <c r="PDL246"/>
      <c r="PDM246"/>
      <c r="PDN246"/>
      <c r="PDO246"/>
      <c r="PDP246"/>
      <c r="PDQ246"/>
      <c r="PDR246"/>
      <c r="PDS246"/>
      <c r="PDT246"/>
      <c r="PDU246"/>
      <c r="PDV246"/>
      <c r="PDW246"/>
      <c r="PDX246"/>
      <c r="PDY246"/>
      <c r="PDZ246"/>
      <c r="PEA246"/>
      <c r="PEB246"/>
      <c r="PEC246"/>
      <c r="PED246"/>
      <c r="PEE246"/>
      <c r="PEF246"/>
      <c r="PEG246"/>
      <c r="PEH246"/>
      <c r="PEI246"/>
      <c r="PEJ246"/>
      <c r="PEK246"/>
      <c r="PEL246"/>
      <c r="PEM246"/>
      <c r="PEN246"/>
      <c r="PEO246"/>
      <c r="PEP246"/>
      <c r="PEQ246"/>
      <c r="PER246"/>
      <c r="PES246"/>
      <c r="PET246"/>
      <c r="PEU246"/>
      <c r="PEV246"/>
      <c r="PEW246"/>
      <c r="PEX246"/>
      <c r="PEY246"/>
      <c r="PEZ246"/>
      <c r="PFA246"/>
      <c r="PFB246"/>
      <c r="PFC246"/>
      <c r="PFD246"/>
      <c r="PFE246"/>
      <c r="PFF246"/>
      <c r="PFG246"/>
      <c r="PFH246"/>
      <c r="PFI246"/>
      <c r="PFJ246"/>
      <c r="PFK246"/>
      <c r="PFL246"/>
      <c r="PFM246"/>
      <c r="PFN246"/>
      <c r="PFO246"/>
      <c r="PFP246"/>
      <c r="PFQ246"/>
      <c r="PFR246"/>
      <c r="PFS246"/>
      <c r="PFT246"/>
      <c r="PFU246"/>
      <c r="PFV246"/>
      <c r="PFW246"/>
      <c r="PFX246"/>
      <c r="PFY246"/>
      <c r="PFZ246"/>
      <c r="PGA246"/>
      <c r="PGB246"/>
      <c r="PGC246"/>
      <c r="PGD246"/>
      <c r="PGE246"/>
      <c r="PGF246"/>
      <c r="PGG246"/>
      <c r="PGH246"/>
      <c r="PGI246"/>
      <c r="PGJ246"/>
      <c r="PGK246"/>
      <c r="PGL246"/>
      <c r="PGM246"/>
      <c r="PGN246"/>
      <c r="PGO246"/>
      <c r="PGP246"/>
      <c r="PGQ246"/>
      <c r="PGR246"/>
      <c r="PGS246"/>
      <c r="PGT246"/>
      <c r="PGU246"/>
      <c r="PGV246"/>
      <c r="PGW246"/>
      <c r="PGX246"/>
      <c r="PGY246"/>
      <c r="PGZ246"/>
      <c r="PHA246"/>
      <c r="PHB246"/>
      <c r="PHC246"/>
      <c r="PHD246"/>
      <c r="PHE246"/>
      <c r="PHF246"/>
      <c r="PHG246"/>
      <c r="PHH246"/>
      <c r="PHI246"/>
      <c r="PHJ246"/>
      <c r="PHK246"/>
      <c r="PHL246"/>
      <c r="PHM246"/>
      <c r="PHN246"/>
      <c r="PHO246"/>
      <c r="PHP246"/>
      <c r="PHQ246"/>
      <c r="PHR246"/>
      <c r="PHS246"/>
      <c r="PHT246"/>
      <c r="PHU246"/>
      <c r="PHV246"/>
      <c r="PHW246"/>
      <c r="PHX246"/>
      <c r="PHY246"/>
      <c r="PHZ246"/>
      <c r="PIA246"/>
      <c r="PIB246"/>
      <c r="PIC246"/>
      <c r="PID246"/>
      <c r="PIE246"/>
      <c r="PIF246"/>
      <c r="PIG246"/>
      <c r="PIH246"/>
      <c r="PII246"/>
      <c r="PIJ246"/>
      <c r="PIK246"/>
      <c r="PIL246"/>
      <c r="PIM246"/>
      <c r="PIN246"/>
      <c r="PIO246"/>
      <c r="PIP246"/>
      <c r="PIQ246"/>
      <c r="PIR246"/>
      <c r="PIS246"/>
      <c r="PIT246"/>
      <c r="PIU246"/>
      <c r="PIV246"/>
      <c r="PIW246"/>
      <c r="PIX246"/>
      <c r="PIY246"/>
      <c r="PIZ246"/>
      <c r="PJA246"/>
      <c r="PJB246"/>
      <c r="PJC246"/>
      <c r="PJD246"/>
      <c r="PJE246"/>
      <c r="PJF246"/>
      <c r="PJG246"/>
      <c r="PJH246"/>
      <c r="PJI246"/>
      <c r="PJJ246"/>
      <c r="PJK246"/>
      <c r="PJL246"/>
      <c r="PJM246"/>
      <c r="PJN246"/>
      <c r="PJO246"/>
      <c r="PJP246"/>
      <c r="PJQ246"/>
      <c r="PJR246"/>
      <c r="PJS246"/>
      <c r="PJT246"/>
      <c r="PJU246"/>
      <c r="PJV246"/>
      <c r="PJW246"/>
      <c r="PJX246"/>
      <c r="PJY246"/>
      <c r="PJZ246"/>
      <c r="PKA246"/>
      <c r="PKB246"/>
      <c r="PKC246"/>
      <c r="PKD246"/>
      <c r="PKE246"/>
      <c r="PKF246"/>
      <c r="PKG246"/>
      <c r="PKH246"/>
      <c r="PKI246"/>
      <c r="PKJ246"/>
      <c r="PKK246"/>
      <c r="PKL246"/>
      <c r="PKM246"/>
      <c r="PKN246"/>
      <c r="PKO246"/>
      <c r="PKP246"/>
      <c r="PKQ246"/>
      <c r="PKR246"/>
      <c r="PKS246"/>
      <c r="PKT246"/>
      <c r="PKU246"/>
      <c r="PKV246"/>
      <c r="PKW246"/>
      <c r="PKX246"/>
      <c r="PKY246"/>
      <c r="PKZ246"/>
      <c r="PLA246"/>
      <c r="PLB246"/>
      <c r="PLC246"/>
      <c r="PLD246"/>
      <c r="PLE246"/>
      <c r="PLF246"/>
      <c r="PLG246"/>
      <c r="PLH246"/>
      <c r="PLI246"/>
      <c r="PLJ246"/>
      <c r="PLK246"/>
      <c r="PLL246"/>
      <c r="PLM246"/>
      <c r="PLN246"/>
      <c r="PLO246"/>
      <c r="PLP246"/>
      <c r="PLQ246"/>
      <c r="PLR246"/>
      <c r="PLS246"/>
      <c r="PLT246"/>
      <c r="PLU246"/>
      <c r="PLV246"/>
      <c r="PLW246"/>
      <c r="PLX246"/>
      <c r="PLY246"/>
      <c r="PLZ246"/>
      <c r="PMA246"/>
      <c r="PMB246"/>
      <c r="PMC246"/>
      <c r="PMD246"/>
      <c r="PME246"/>
      <c r="PMF246"/>
      <c r="PMG246"/>
      <c r="PMH246"/>
      <c r="PMI246"/>
      <c r="PMJ246"/>
      <c r="PMK246"/>
      <c r="PML246"/>
      <c r="PMM246"/>
      <c r="PMN246"/>
      <c r="PMO246"/>
      <c r="PMP246"/>
      <c r="PMQ246"/>
      <c r="PMR246"/>
      <c r="PMS246"/>
      <c r="PMT246"/>
      <c r="PMU246"/>
      <c r="PMV246"/>
      <c r="PMW246"/>
      <c r="PMX246"/>
      <c r="PMY246"/>
      <c r="PMZ246"/>
      <c r="PNA246"/>
      <c r="PNB246"/>
      <c r="PNC246"/>
      <c r="PND246"/>
      <c r="PNE246"/>
      <c r="PNF246"/>
      <c r="PNG246"/>
      <c r="PNH246"/>
      <c r="PNI246"/>
      <c r="PNJ246"/>
      <c r="PNK246"/>
      <c r="PNL246"/>
      <c r="PNM246"/>
      <c r="PNN246"/>
      <c r="PNO246"/>
      <c r="PNP246"/>
      <c r="PNQ246"/>
      <c r="PNR246"/>
      <c r="PNS246"/>
      <c r="PNT246"/>
      <c r="PNU246"/>
      <c r="PNV246"/>
      <c r="PNW246"/>
      <c r="PNX246"/>
      <c r="PNY246"/>
      <c r="PNZ246"/>
      <c r="POA246"/>
      <c r="POB246"/>
      <c r="POC246"/>
      <c r="POD246"/>
      <c r="POE246"/>
      <c r="POF246"/>
      <c r="POG246"/>
      <c r="POH246"/>
      <c r="POI246"/>
      <c r="POJ246"/>
      <c r="POK246"/>
      <c r="POL246"/>
      <c r="POM246"/>
      <c r="PON246"/>
      <c r="POO246"/>
      <c r="POP246"/>
      <c r="POQ246"/>
      <c r="POR246"/>
      <c r="POS246"/>
      <c r="POT246"/>
      <c r="POU246"/>
      <c r="POV246"/>
      <c r="POW246"/>
      <c r="POX246"/>
      <c r="POY246"/>
      <c r="POZ246"/>
      <c r="PPA246"/>
      <c r="PPB246"/>
      <c r="PPC246"/>
      <c r="PPD246"/>
      <c r="PPE246"/>
      <c r="PPF246"/>
      <c r="PPG246"/>
      <c r="PPH246"/>
      <c r="PPI246"/>
      <c r="PPJ246"/>
      <c r="PPK246"/>
      <c r="PPL246"/>
      <c r="PPM246"/>
      <c r="PPN246"/>
      <c r="PPO246"/>
      <c r="PPP246"/>
      <c r="PPQ246"/>
      <c r="PPR246"/>
      <c r="PPS246"/>
      <c r="PPT246"/>
      <c r="PPU246"/>
      <c r="PPV246"/>
      <c r="PPW246"/>
      <c r="PPX246"/>
      <c r="PPY246"/>
      <c r="PPZ246"/>
      <c r="PQA246"/>
      <c r="PQB246"/>
      <c r="PQC246"/>
      <c r="PQD246"/>
      <c r="PQE246"/>
      <c r="PQF246"/>
      <c r="PQG246"/>
      <c r="PQH246"/>
      <c r="PQI246"/>
      <c r="PQJ246"/>
      <c r="PQK246"/>
      <c r="PQL246"/>
      <c r="PQM246"/>
      <c r="PQN246"/>
      <c r="PQO246"/>
      <c r="PQP246"/>
      <c r="PQQ246"/>
      <c r="PQR246"/>
      <c r="PQS246"/>
      <c r="PQT246"/>
      <c r="PQU246"/>
      <c r="PQV246"/>
      <c r="PQW246"/>
      <c r="PQX246"/>
      <c r="PQY246"/>
      <c r="PQZ246"/>
      <c r="PRA246"/>
      <c r="PRB246"/>
      <c r="PRC246"/>
      <c r="PRD246"/>
      <c r="PRE246"/>
      <c r="PRF246"/>
      <c r="PRG246"/>
      <c r="PRH246"/>
      <c r="PRI246"/>
      <c r="PRJ246"/>
      <c r="PRK246"/>
      <c r="PRL246"/>
      <c r="PRM246"/>
      <c r="PRN246"/>
      <c r="PRO246"/>
      <c r="PRP246"/>
      <c r="PRQ246"/>
      <c r="PRR246"/>
      <c r="PRS246"/>
      <c r="PRT246"/>
      <c r="PRU246"/>
      <c r="PRV246"/>
      <c r="PRW246"/>
      <c r="PRX246"/>
      <c r="PRY246"/>
      <c r="PRZ246"/>
      <c r="PSA246"/>
      <c r="PSB246"/>
      <c r="PSC246"/>
      <c r="PSD246"/>
      <c r="PSE246"/>
      <c r="PSF246"/>
      <c r="PSG246"/>
      <c r="PSH246"/>
      <c r="PSI246"/>
      <c r="PSJ246"/>
      <c r="PSK246"/>
      <c r="PSL246"/>
      <c r="PSM246"/>
      <c r="PSN246"/>
      <c r="PSO246"/>
      <c r="PSP246"/>
      <c r="PSQ246"/>
      <c r="PSR246"/>
      <c r="PSS246"/>
      <c r="PST246"/>
      <c r="PSU246"/>
      <c r="PSV246"/>
      <c r="PSW246"/>
      <c r="PSX246"/>
      <c r="PSY246"/>
      <c r="PSZ246"/>
      <c r="PTA246"/>
      <c r="PTB246"/>
      <c r="PTC246"/>
      <c r="PTD246"/>
      <c r="PTE246"/>
      <c r="PTF246"/>
      <c r="PTG246"/>
      <c r="PTH246"/>
      <c r="PTI246"/>
      <c r="PTJ246"/>
      <c r="PTK246"/>
      <c r="PTL246"/>
      <c r="PTM246"/>
      <c r="PTN246"/>
      <c r="PTO246"/>
      <c r="PTP246"/>
      <c r="PTQ246"/>
      <c r="PTR246"/>
      <c r="PTS246"/>
      <c r="PTT246"/>
      <c r="PTU246"/>
      <c r="PTV246"/>
      <c r="PTW246"/>
      <c r="PTX246"/>
      <c r="PTY246"/>
      <c r="PTZ246"/>
      <c r="PUA246"/>
      <c r="PUB246"/>
      <c r="PUC246"/>
      <c r="PUD246"/>
      <c r="PUE246"/>
      <c r="PUF246"/>
      <c r="PUG246"/>
      <c r="PUH246"/>
      <c r="PUI246"/>
      <c r="PUJ246"/>
      <c r="PUK246"/>
      <c r="PUL246"/>
      <c r="PUM246"/>
      <c r="PUN246"/>
      <c r="PUO246"/>
      <c r="PUP246"/>
      <c r="PUQ246"/>
      <c r="PUR246"/>
      <c r="PUS246"/>
      <c r="PUT246"/>
      <c r="PUU246"/>
      <c r="PUV246"/>
      <c r="PUW246"/>
      <c r="PUX246"/>
      <c r="PUY246"/>
      <c r="PUZ246"/>
      <c r="PVA246"/>
      <c r="PVB246"/>
      <c r="PVC246"/>
      <c r="PVD246"/>
      <c r="PVE246"/>
      <c r="PVF246"/>
      <c r="PVG246"/>
      <c r="PVH246"/>
      <c r="PVI246"/>
      <c r="PVJ246"/>
      <c r="PVK246"/>
      <c r="PVL246"/>
      <c r="PVM246"/>
      <c r="PVN246"/>
      <c r="PVO246"/>
      <c r="PVP246"/>
      <c r="PVQ246"/>
      <c r="PVR246"/>
      <c r="PVS246"/>
      <c r="PVT246"/>
      <c r="PVU246"/>
      <c r="PVV246"/>
      <c r="PVW246"/>
      <c r="PVX246"/>
      <c r="PVY246"/>
      <c r="PVZ246"/>
      <c r="PWA246"/>
      <c r="PWB246"/>
      <c r="PWC246"/>
      <c r="PWD246"/>
      <c r="PWE246"/>
      <c r="PWF246"/>
      <c r="PWG246"/>
      <c r="PWH246"/>
      <c r="PWI246"/>
      <c r="PWJ246"/>
      <c r="PWK246"/>
      <c r="PWL246"/>
      <c r="PWM246"/>
      <c r="PWN246"/>
      <c r="PWO246"/>
      <c r="PWP246"/>
      <c r="PWQ246"/>
      <c r="PWR246"/>
      <c r="PWS246"/>
      <c r="PWT246"/>
      <c r="PWU246"/>
      <c r="PWV246"/>
      <c r="PWW246"/>
      <c r="PWX246"/>
      <c r="PWY246"/>
      <c r="PWZ246"/>
      <c r="PXA246"/>
      <c r="PXB246"/>
      <c r="PXC246"/>
      <c r="PXD246"/>
      <c r="PXE246"/>
      <c r="PXF246"/>
      <c r="PXG246"/>
      <c r="PXH246"/>
      <c r="PXI246"/>
      <c r="PXJ246"/>
      <c r="PXK246"/>
      <c r="PXL246"/>
      <c r="PXM246"/>
      <c r="PXN246"/>
      <c r="PXO246"/>
      <c r="PXP246"/>
      <c r="PXQ246"/>
      <c r="PXR246"/>
      <c r="PXS246"/>
      <c r="PXT246"/>
      <c r="PXU246"/>
      <c r="PXV246"/>
      <c r="PXW246"/>
      <c r="PXX246"/>
      <c r="PXY246"/>
      <c r="PXZ246"/>
      <c r="PYA246"/>
      <c r="PYB246"/>
      <c r="PYC246"/>
      <c r="PYD246"/>
      <c r="PYE246"/>
      <c r="PYF246"/>
      <c r="PYG246"/>
      <c r="PYH246"/>
      <c r="PYI246"/>
      <c r="PYJ246"/>
      <c r="PYK246"/>
      <c r="PYL246"/>
      <c r="PYM246"/>
      <c r="PYN246"/>
      <c r="PYO246"/>
      <c r="PYP246"/>
      <c r="PYQ246"/>
      <c r="PYR246"/>
      <c r="PYS246"/>
      <c r="PYT246"/>
      <c r="PYU246"/>
      <c r="PYV246"/>
      <c r="PYW246"/>
      <c r="PYX246"/>
      <c r="PYY246"/>
      <c r="PYZ246"/>
      <c r="PZA246"/>
      <c r="PZB246"/>
      <c r="PZC246"/>
      <c r="PZD246"/>
      <c r="PZE246"/>
      <c r="PZF246"/>
      <c r="PZG246"/>
      <c r="PZH246"/>
      <c r="PZI246"/>
      <c r="PZJ246"/>
      <c r="PZK246"/>
      <c r="PZL246"/>
      <c r="PZM246"/>
      <c r="PZN246"/>
      <c r="PZO246"/>
      <c r="PZP246"/>
      <c r="PZQ246"/>
      <c r="PZR246"/>
      <c r="PZS246"/>
      <c r="PZT246"/>
      <c r="PZU246"/>
      <c r="PZV246"/>
      <c r="PZW246"/>
      <c r="PZX246"/>
      <c r="PZY246"/>
      <c r="PZZ246"/>
      <c r="QAA246"/>
      <c r="QAB246"/>
      <c r="QAC246"/>
      <c r="QAD246"/>
      <c r="QAE246"/>
      <c r="QAF246"/>
      <c r="QAG246"/>
      <c r="QAH246"/>
      <c r="QAI246"/>
      <c r="QAJ246"/>
      <c r="QAK246"/>
      <c r="QAL246"/>
      <c r="QAM246"/>
      <c r="QAN246"/>
      <c r="QAO246"/>
      <c r="QAP246"/>
      <c r="QAQ246"/>
      <c r="QAR246"/>
      <c r="QAS246"/>
      <c r="QAT246"/>
      <c r="QAU246"/>
      <c r="QAV246"/>
      <c r="QAW246"/>
      <c r="QAX246"/>
      <c r="QAY246"/>
      <c r="QAZ246"/>
      <c r="QBA246"/>
      <c r="QBB246"/>
      <c r="QBC246"/>
      <c r="QBD246"/>
      <c r="QBE246"/>
      <c r="QBF246"/>
      <c r="QBG246"/>
      <c r="QBH246"/>
      <c r="QBI246"/>
      <c r="QBJ246"/>
      <c r="QBK246"/>
      <c r="QBL246"/>
      <c r="QBM246"/>
      <c r="QBN246"/>
      <c r="QBO246"/>
      <c r="QBP246"/>
      <c r="QBQ246"/>
      <c r="QBR246"/>
      <c r="QBS246"/>
      <c r="QBT246"/>
      <c r="QBU246"/>
      <c r="QBV246"/>
      <c r="QBW246"/>
      <c r="QBX246"/>
      <c r="QBY246"/>
      <c r="QBZ246"/>
      <c r="QCA246"/>
      <c r="QCB246"/>
      <c r="QCC246"/>
      <c r="QCD246"/>
      <c r="QCE246"/>
      <c r="QCF246"/>
      <c r="QCG246"/>
      <c r="QCH246"/>
      <c r="QCI246"/>
      <c r="QCJ246"/>
      <c r="QCK246"/>
      <c r="QCL246"/>
      <c r="QCM246"/>
      <c r="QCN246"/>
      <c r="QCO246"/>
      <c r="QCP246"/>
      <c r="QCQ246"/>
      <c r="QCR246"/>
      <c r="QCS246"/>
      <c r="QCT246"/>
      <c r="QCU246"/>
      <c r="QCV246"/>
      <c r="QCW246"/>
      <c r="QCX246"/>
      <c r="QCY246"/>
      <c r="QCZ246"/>
      <c r="QDA246"/>
      <c r="QDB246"/>
      <c r="QDC246"/>
      <c r="QDD246"/>
      <c r="QDE246"/>
      <c r="QDF246"/>
      <c r="QDG246"/>
      <c r="QDH246"/>
      <c r="QDI246"/>
      <c r="QDJ246"/>
      <c r="QDK246"/>
      <c r="QDL246"/>
      <c r="QDM246"/>
      <c r="QDN246"/>
      <c r="QDO246"/>
      <c r="QDP246"/>
      <c r="QDQ246"/>
      <c r="QDR246"/>
      <c r="QDS246"/>
      <c r="QDT246"/>
      <c r="QDU246"/>
      <c r="QDV246"/>
      <c r="QDW246"/>
      <c r="QDX246"/>
      <c r="QDY246"/>
      <c r="QDZ246"/>
      <c r="QEA246"/>
      <c r="QEB246"/>
      <c r="QEC246"/>
      <c r="QED246"/>
      <c r="QEE246"/>
      <c r="QEF246"/>
      <c r="QEG246"/>
      <c r="QEH246"/>
      <c r="QEI246"/>
      <c r="QEJ246"/>
      <c r="QEK246"/>
      <c r="QEL246"/>
      <c r="QEM246"/>
      <c r="QEN246"/>
      <c r="QEO246"/>
      <c r="QEP246"/>
      <c r="QEQ246"/>
      <c r="QER246"/>
      <c r="QES246"/>
      <c r="QET246"/>
      <c r="QEU246"/>
      <c r="QEV246"/>
      <c r="QEW246"/>
      <c r="QEX246"/>
      <c r="QEY246"/>
      <c r="QEZ246"/>
      <c r="QFA246"/>
      <c r="QFB246"/>
      <c r="QFC246"/>
      <c r="QFD246"/>
      <c r="QFE246"/>
      <c r="QFF246"/>
      <c r="QFG246"/>
      <c r="QFH246"/>
      <c r="QFI246"/>
      <c r="QFJ246"/>
      <c r="QFK246"/>
      <c r="QFL246"/>
      <c r="QFM246"/>
      <c r="QFN246"/>
      <c r="QFO246"/>
      <c r="QFP246"/>
      <c r="QFQ246"/>
      <c r="QFR246"/>
      <c r="QFS246"/>
      <c r="QFT246"/>
      <c r="QFU246"/>
      <c r="QFV246"/>
      <c r="QFW246"/>
      <c r="QFX246"/>
      <c r="QFY246"/>
      <c r="QFZ246"/>
      <c r="QGA246"/>
      <c r="QGB246"/>
      <c r="QGC246"/>
      <c r="QGD246"/>
      <c r="QGE246"/>
      <c r="QGF246"/>
      <c r="QGG246"/>
      <c r="QGH246"/>
      <c r="QGI246"/>
      <c r="QGJ246"/>
      <c r="QGK246"/>
      <c r="QGL246"/>
      <c r="QGM246"/>
      <c r="QGN246"/>
      <c r="QGO246"/>
      <c r="QGP246"/>
      <c r="QGQ246"/>
      <c r="QGR246"/>
      <c r="QGS246"/>
      <c r="QGT246"/>
      <c r="QGU246"/>
      <c r="QGV246"/>
      <c r="QGW246"/>
      <c r="QGX246"/>
      <c r="QGY246"/>
      <c r="QGZ246"/>
      <c r="QHA246"/>
      <c r="QHB246"/>
      <c r="QHC246"/>
      <c r="QHD246"/>
      <c r="QHE246"/>
      <c r="QHF246"/>
      <c r="QHG246"/>
      <c r="QHH246"/>
      <c r="QHI246"/>
      <c r="QHJ246"/>
      <c r="QHK246"/>
      <c r="QHL246"/>
      <c r="QHM246"/>
      <c r="QHN246"/>
      <c r="QHO246"/>
      <c r="QHP246"/>
      <c r="QHQ246"/>
      <c r="QHR246"/>
      <c r="QHS246"/>
      <c r="QHT246"/>
      <c r="QHU246"/>
      <c r="QHV246"/>
      <c r="QHW246"/>
      <c r="QHX246"/>
      <c r="QHY246"/>
      <c r="QHZ246"/>
      <c r="QIA246"/>
      <c r="QIB246"/>
      <c r="QIC246"/>
      <c r="QID246"/>
      <c r="QIE246"/>
      <c r="QIF246"/>
      <c r="QIG246"/>
      <c r="QIH246"/>
      <c r="QII246"/>
      <c r="QIJ246"/>
      <c r="QIK246"/>
      <c r="QIL246"/>
      <c r="QIM246"/>
      <c r="QIN246"/>
      <c r="QIO246"/>
      <c r="QIP246"/>
      <c r="QIQ246"/>
      <c r="QIR246"/>
      <c r="QIS246"/>
      <c r="QIT246"/>
      <c r="QIU246"/>
      <c r="QIV246"/>
      <c r="QIW246"/>
      <c r="QIX246"/>
      <c r="QIY246"/>
      <c r="QIZ246"/>
      <c r="QJA246"/>
      <c r="QJB246"/>
      <c r="QJC246"/>
      <c r="QJD246"/>
      <c r="QJE246"/>
      <c r="QJF246"/>
      <c r="QJG246"/>
      <c r="QJH246"/>
      <c r="QJI246"/>
      <c r="QJJ246"/>
      <c r="QJK246"/>
      <c r="QJL246"/>
      <c r="QJM246"/>
      <c r="QJN246"/>
      <c r="QJO246"/>
      <c r="QJP246"/>
      <c r="QJQ246"/>
      <c r="QJR246"/>
      <c r="QJS246"/>
      <c r="QJT246"/>
      <c r="QJU246"/>
      <c r="QJV246"/>
      <c r="QJW246"/>
      <c r="QJX246"/>
      <c r="QJY246"/>
      <c r="QJZ246"/>
      <c r="QKA246"/>
      <c r="QKB246"/>
      <c r="QKC246"/>
      <c r="QKD246"/>
      <c r="QKE246"/>
      <c r="QKF246"/>
      <c r="QKG246"/>
      <c r="QKH246"/>
      <c r="QKI246"/>
      <c r="QKJ246"/>
      <c r="QKK246"/>
      <c r="QKL246"/>
      <c r="QKM246"/>
      <c r="QKN246"/>
      <c r="QKO246"/>
      <c r="QKP246"/>
      <c r="QKQ246"/>
      <c r="QKR246"/>
      <c r="QKS246"/>
      <c r="QKT246"/>
      <c r="QKU246"/>
      <c r="QKV246"/>
      <c r="QKW246"/>
      <c r="QKX246"/>
      <c r="QKY246"/>
      <c r="QKZ246"/>
      <c r="QLA246"/>
      <c r="QLB246"/>
      <c r="QLC246"/>
      <c r="QLD246"/>
      <c r="QLE246"/>
      <c r="QLF246"/>
      <c r="QLG246"/>
      <c r="QLH246"/>
      <c r="QLI246"/>
      <c r="QLJ246"/>
      <c r="QLK246"/>
      <c r="QLL246"/>
      <c r="QLM246"/>
      <c r="QLN246"/>
      <c r="QLO246"/>
      <c r="QLP246"/>
      <c r="QLQ246"/>
      <c r="QLR246"/>
      <c r="QLS246"/>
      <c r="QLT246"/>
      <c r="QLU246"/>
      <c r="QLV246"/>
      <c r="QLW246"/>
      <c r="QLX246"/>
      <c r="QLY246"/>
      <c r="QLZ246"/>
      <c r="QMA246"/>
      <c r="QMB246"/>
      <c r="QMC246"/>
      <c r="QMD246"/>
      <c r="QME246"/>
      <c r="QMF246"/>
      <c r="QMG246"/>
      <c r="QMH246"/>
      <c r="QMI246"/>
      <c r="QMJ246"/>
      <c r="QMK246"/>
      <c r="QML246"/>
      <c r="QMM246"/>
      <c r="QMN246"/>
      <c r="QMO246"/>
      <c r="QMP246"/>
      <c r="QMQ246"/>
      <c r="QMR246"/>
      <c r="QMS246"/>
      <c r="QMT246"/>
      <c r="QMU246"/>
      <c r="QMV246"/>
      <c r="QMW246"/>
      <c r="QMX246"/>
      <c r="QMY246"/>
      <c r="QMZ246"/>
      <c r="QNA246"/>
      <c r="QNB246"/>
      <c r="QNC246"/>
      <c r="QND246"/>
      <c r="QNE246"/>
      <c r="QNF246"/>
      <c r="QNG246"/>
      <c r="QNH246"/>
      <c r="QNI246"/>
      <c r="QNJ246"/>
      <c r="QNK246"/>
      <c r="QNL246"/>
      <c r="QNM246"/>
      <c r="QNN246"/>
      <c r="QNO246"/>
      <c r="QNP246"/>
      <c r="QNQ246"/>
      <c r="QNR246"/>
      <c r="QNS246"/>
      <c r="QNT246"/>
      <c r="QNU246"/>
      <c r="QNV246"/>
      <c r="QNW246"/>
      <c r="QNX246"/>
      <c r="QNY246"/>
      <c r="QNZ246"/>
      <c r="QOA246"/>
      <c r="QOB246"/>
      <c r="QOC246"/>
      <c r="QOD246"/>
      <c r="QOE246"/>
      <c r="QOF246"/>
      <c r="QOG246"/>
      <c r="QOH246"/>
      <c r="QOI246"/>
      <c r="QOJ246"/>
      <c r="QOK246"/>
      <c r="QOL246"/>
      <c r="QOM246"/>
      <c r="QON246"/>
      <c r="QOO246"/>
      <c r="QOP246"/>
      <c r="QOQ246"/>
      <c r="QOR246"/>
      <c r="QOS246"/>
      <c r="QOT246"/>
      <c r="QOU246"/>
      <c r="QOV246"/>
      <c r="QOW246"/>
      <c r="QOX246"/>
      <c r="QOY246"/>
      <c r="QOZ246"/>
      <c r="QPA246"/>
      <c r="QPB246"/>
      <c r="QPC246"/>
      <c r="QPD246"/>
      <c r="QPE246"/>
      <c r="QPF246"/>
      <c r="QPG246"/>
      <c r="QPH246"/>
      <c r="QPI246"/>
      <c r="QPJ246"/>
      <c r="QPK246"/>
      <c r="QPL246"/>
      <c r="QPM246"/>
      <c r="QPN246"/>
      <c r="QPO246"/>
      <c r="QPP246"/>
      <c r="QPQ246"/>
      <c r="QPR246"/>
      <c r="QPS246"/>
      <c r="QPT246"/>
      <c r="QPU246"/>
      <c r="QPV246"/>
      <c r="QPW246"/>
      <c r="QPX246"/>
      <c r="QPY246"/>
      <c r="QPZ246"/>
      <c r="QQA246"/>
      <c r="QQB246"/>
      <c r="QQC246"/>
      <c r="QQD246"/>
      <c r="QQE246"/>
      <c r="QQF246"/>
      <c r="QQG246"/>
      <c r="QQH246"/>
      <c r="QQI246"/>
      <c r="QQJ246"/>
      <c r="QQK246"/>
      <c r="QQL246"/>
      <c r="QQM246"/>
      <c r="QQN246"/>
      <c r="QQO246"/>
      <c r="QQP246"/>
      <c r="QQQ246"/>
      <c r="QQR246"/>
      <c r="QQS246"/>
      <c r="QQT246"/>
      <c r="QQU246"/>
      <c r="QQV246"/>
      <c r="QQW246"/>
      <c r="QQX246"/>
      <c r="QQY246"/>
      <c r="QQZ246"/>
      <c r="QRA246"/>
      <c r="QRB246"/>
      <c r="QRC246"/>
      <c r="QRD246"/>
      <c r="QRE246"/>
      <c r="QRF246"/>
      <c r="QRG246"/>
      <c r="QRH246"/>
      <c r="QRI246"/>
      <c r="QRJ246"/>
      <c r="QRK246"/>
      <c r="QRL246"/>
      <c r="QRM246"/>
      <c r="QRN246"/>
      <c r="QRO246"/>
      <c r="QRP246"/>
      <c r="QRQ246"/>
      <c r="QRR246"/>
      <c r="QRS246"/>
      <c r="QRT246"/>
      <c r="QRU246"/>
      <c r="QRV246"/>
      <c r="QRW246"/>
      <c r="QRX246"/>
      <c r="QRY246"/>
      <c r="QRZ246"/>
      <c r="QSA246"/>
      <c r="QSB246"/>
      <c r="QSC246"/>
      <c r="QSD246"/>
      <c r="QSE246"/>
      <c r="QSF246"/>
      <c r="QSG246"/>
      <c r="QSH246"/>
      <c r="QSI246"/>
      <c r="QSJ246"/>
      <c r="QSK246"/>
      <c r="QSL246"/>
      <c r="QSM246"/>
      <c r="QSN246"/>
      <c r="QSO246"/>
      <c r="QSP246"/>
      <c r="QSQ246"/>
      <c r="QSR246"/>
      <c r="QSS246"/>
      <c r="QST246"/>
      <c r="QSU246"/>
      <c r="QSV246"/>
      <c r="QSW246"/>
      <c r="QSX246"/>
      <c r="QSY246"/>
      <c r="QSZ246"/>
      <c r="QTA246"/>
      <c r="QTB246"/>
      <c r="QTC246"/>
      <c r="QTD246"/>
      <c r="QTE246"/>
      <c r="QTF246"/>
      <c r="QTG246"/>
      <c r="QTH246"/>
      <c r="QTI246"/>
      <c r="QTJ246"/>
      <c r="QTK246"/>
      <c r="QTL246"/>
      <c r="QTM246"/>
      <c r="QTN246"/>
      <c r="QTO246"/>
      <c r="QTP246"/>
      <c r="QTQ246"/>
      <c r="QTR246"/>
      <c r="QTS246"/>
      <c r="QTT246"/>
      <c r="QTU246"/>
      <c r="QTV246"/>
      <c r="QTW246"/>
      <c r="QTX246"/>
      <c r="QTY246"/>
      <c r="QTZ246"/>
      <c r="QUA246"/>
      <c r="QUB246"/>
      <c r="QUC246"/>
      <c r="QUD246"/>
      <c r="QUE246"/>
      <c r="QUF246"/>
      <c r="QUG246"/>
      <c r="QUH246"/>
      <c r="QUI246"/>
      <c r="QUJ246"/>
      <c r="QUK246"/>
      <c r="QUL246"/>
      <c r="QUM246"/>
      <c r="QUN246"/>
      <c r="QUO246"/>
      <c r="QUP246"/>
      <c r="QUQ246"/>
      <c r="QUR246"/>
      <c r="QUS246"/>
      <c r="QUT246"/>
      <c r="QUU246"/>
      <c r="QUV246"/>
      <c r="QUW246"/>
      <c r="QUX246"/>
      <c r="QUY246"/>
      <c r="QUZ246"/>
      <c r="QVA246"/>
      <c r="QVB246"/>
      <c r="QVC246"/>
      <c r="QVD246"/>
      <c r="QVE246"/>
      <c r="QVF246"/>
      <c r="QVG246"/>
      <c r="QVH246"/>
      <c r="QVI246"/>
      <c r="QVJ246"/>
      <c r="QVK246"/>
      <c r="QVL246"/>
      <c r="QVM246"/>
      <c r="QVN246"/>
      <c r="QVO246"/>
      <c r="QVP246"/>
      <c r="QVQ246"/>
      <c r="QVR246"/>
      <c r="QVS246"/>
      <c r="QVT246"/>
      <c r="QVU246"/>
      <c r="QVV246"/>
      <c r="QVW246"/>
      <c r="QVX246"/>
      <c r="QVY246"/>
      <c r="QVZ246"/>
      <c r="QWA246"/>
      <c r="QWB246"/>
      <c r="QWC246"/>
      <c r="QWD246"/>
      <c r="QWE246"/>
      <c r="QWF246"/>
      <c r="QWG246"/>
      <c r="QWH246"/>
      <c r="QWI246"/>
      <c r="QWJ246"/>
      <c r="QWK246"/>
      <c r="QWL246"/>
      <c r="QWM246"/>
      <c r="QWN246"/>
      <c r="QWO246"/>
      <c r="QWP246"/>
      <c r="QWQ246"/>
      <c r="QWR246"/>
      <c r="QWS246"/>
      <c r="QWT246"/>
      <c r="QWU246"/>
      <c r="QWV246"/>
      <c r="QWW246"/>
      <c r="QWX246"/>
      <c r="QWY246"/>
      <c r="QWZ246"/>
      <c r="QXA246"/>
      <c r="QXB246"/>
      <c r="QXC246"/>
      <c r="QXD246"/>
      <c r="QXE246"/>
      <c r="QXF246"/>
      <c r="QXG246"/>
      <c r="QXH246"/>
      <c r="QXI246"/>
      <c r="QXJ246"/>
      <c r="QXK246"/>
      <c r="QXL246"/>
      <c r="QXM246"/>
      <c r="QXN246"/>
      <c r="QXO246"/>
      <c r="QXP246"/>
      <c r="QXQ246"/>
      <c r="QXR246"/>
      <c r="QXS246"/>
      <c r="QXT246"/>
      <c r="QXU246"/>
      <c r="QXV246"/>
      <c r="QXW246"/>
      <c r="QXX246"/>
      <c r="QXY246"/>
      <c r="QXZ246"/>
      <c r="QYA246"/>
      <c r="QYB246"/>
      <c r="QYC246"/>
      <c r="QYD246"/>
      <c r="QYE246"/>
      <c r="QYF246"/>
      <c r="QYG246"/>
      <c r="QYH246"/>
      <c r="QYI246"/>
      <c r="QYJ246"/>
      <c r="QYK246"/>
      <c r="QYL246"/>
      <c r="QYM246"/>
      <c r="QYN246"/>
      <c r="QYO246"/>
      <c r="QYP246"/>
      <c r="QYQ246"/>
      <c r="QYR246"/>
      <c r="QYS246"/>
      <c r="QYT246"/>
      <c r="QYU246"/>
      <c r="QYV246"/>
      <c r="QYW246"/>
      <c r="QYX246"/>
      <c r="QYY246"/>
      <c r="QYZ246"/>
      <c r="QZA246"/>
      <c r="QZB246"/>
      <c r="QZC246"/>
      <c r="QZD246"/>
      <c r="QZE246"/>
      <c r="QZF246"/>
      <c r="QZG246"/>
      <c r="QZH246"/>
      <c r="QZI246"/>
      <c r="QZJ246"/>
      <c r="QZK246"/>
      <c r="QZL246"/>
      <c r="QZM246"/>
      <c r="QZN246"/>
      <c r="QZO246"/>
      <c r="QZP246"/>
      <c r="QZQ246"/>
      <c r="QZR246"/>
      <c r="QZS246"/>
      <c r="QZT246"/>
      <c r="QZU246"/>
      <c r="QZV246"/>
      <c r="QZW246"/>
      <c r="QZX246"/>
      <c r="QZY246"/>
      <c r="QZZ246"/>
      <c r="RAA246"/>
      <c r="RAB246"/>
      <c r="RAC246"/>
      <c r="RAD246"/>
      <c r="RAE246"/>
      <c r="RAF246"/>
      <c r="RAG246"/>
      <c r="RAH246"/>
      <c r="RAI246"/>
      <c r="RAJ246"/>
      <c r="RAK246"/>
      <c r="RAL246"/>
      <c r="RAM246"/>
      <c r="RAN246"/>
      <c r="RAO246"/>
      <c r="RAP246"/>
      <c r="RAQ246"/>
      <c r="RAR246"/>
      <c r="RAS246"/>
      <c r="RAT246"/>
      <c r="RAU246"/>
      <c r="RAV246"/>
      <c r="RAW246"/>
      <c r="RAX246"/>
      <c r="RAY246"/>
      <c r="RAZ246"/>
      <c r="RBA246"/>
      <c r="RBB246"/>
      <c r="RBC246"/>
      <c r="RBD246"/>
      <c r="RBE246"/>
      <c r="RBF246"/>
      <c r="RBG246"/>
      <c r="RBH246"/>
      <c r="RBI246"/>
      <c r="RBJ246"/>
      <c r="RBK246"/>
      <c r="RBL246"/>
      <c r="RBM246"/>
      <c r="RBN246"/>
      <c r="RBO246"/>
      <c r="RBP246"/>
      <c r="RBQ246"/>
      <c r="RBR246"/>
      <c r="RBS246"/>
      <c r="RBT246"/>
      <c r="RBU246"/>
      <c r="RBV246"/>
      <c r="RBW246"/>
      <c r="RBX246"/>
      <c r="RBY246"/>
      <c r="RBZ246"/>
      <c r="RCA246"/>
      <c r="RCB246"/>
      <c r="RCC246"/>
      <c r="RCD246"/>
      <c r="RCE246"/>
      <c r="RCF246"/>
      <c r="RCG246"/>
      <c r="RCH246"/>
      <c r="RCI246"/>
      <c r="RCJ246"/>
      <c r="RCK246"/>
      <c r="RCL246"/>
      <c r="RCM246"/>
      <c r="RCN246"/>
      <c r="RCO246"/>
      <c r="RCP246"/>
      <c r="RCQ246"/>
      <c r="RCR246"/>
      <c r="RCS246"/>
      <c r="RCT246"/>
      <c r="RCU246"/>
      <c r="RCV246"/>
      <c r="RCW246"/>
      <c r="RCX246"/>
      <c r="RCY246"/>
      <c r="RCZ246"/>
      <c r="RDA246"/>
      <c r="RDB246"/>
      <c r="RDC246"/>
      <c r="RDD246"/>
      <c r="RDE246"/>
      <c r="RDF246"/>
      <c r="RDG246"/>
      <c r="RDH246"/>
      <c r="RDI246"/>
      <c r="RDJ246"/>
      <c r="RDK246"/>
      <c r="RDL246"/>
      <c r="RDM246"/>
      <c r="RDN246"/>
      <c r="RDO246"/>
      <c r="RDP246"/>
      <c r="RDQ246"/>
      <c r="RDR246"/>
      <c r="RDS246"/>
      <c r="RDT246"/>
      <c r="RDU246"/>
      <c r="RDV246"/>
      <c r="RDW246"/>
      <c r="RDX246"/>
      <c r="RDY246"/>
      <c r="RDZ246"/>
      <c r="REA246"/>
      <c r="REB246"/>
      <c r="REC246"/>
      <c r="RED246"/>
      <c r="REE246"/>
      <c r="REF246"/>
      <c r="REG246"/>
      <c r="REH246"/>
      <c r="REI246"/>
      <c r="REJ246"/>
      <c r="REK246"/>
      <c r="REL246"/>
      <c r="REM246"/>
      <c r="REN246"/>
      <c r="REO246"/>
      <c r="REP246"/>
      <c r="REQ246"/>
      <c r="RER246"/>
      <c r="RES246"/>
      <c r="RET246"/>
      <c r="REU246"/>
      <c r="REV246"/>
      <c r="REW246"/>
      <c r="REX246"/>
      <c r="REY246"/>
      <c r="REZ246"/>
      <c r="RFA246"/>
      <c r="RFB246"/>
      <c r="RFC246"/>
      <c r="RFD246"/>
      <c r="RFE246"/>
      <c r="RFF246"/>
      <c r="RFG246"/>
      <c r="RFH246"/>
      <c r="RFI246"/>
      <c r="RFJ246"/>
      <c r="RFK246"/>
      <c r="RFL246"/>
      <c r="RFM246"/>
      <c r="RFN246"/>
      <c r="RFO246"/>
      <c r="RFP246"/>
      <c r="RFQ246"/>
      <c r="RFR246"/>
      <c r="RFS246"/>
      <c r="RFT246"/>
      <c r="RFU246"/>
      <c r="RFV246"/>
      <c r="RFW246"/>
      <c r="RFX246"/>
      <c r="RFY246"/>
      <c r="RFZ246"/>
      <c r="RGA246"/>
      <c r="RGB246"/>
      <c r="RGC246"/>
      <c r="RGD246"/>
      <c r="RGE246"/>
      <c r="RGF246"/>
      <c r="RGG246"/>
      <c r="RGH246"/>
      <c r="RGI246"/>
      <c r="RGJ246"/>
      <c r="RGK246"/>
      <c r="RGL246"/>
      <c r="RGM246"/>
      <c r="RGN246"/>
      <c r="RGO246"/>
      <c r="RGP246"/>
      <c r="RGQ246"/>
      <c r="RGR246"/>
      <c r="RGS246"/>
      <c r="RGT246"/>
      <c r="RGU246"/>
      <c r="RGV246"/>
      <c r="RGW246"/>
      <c r="RGX246"/>
      <c r="RGY246"/>
      <c r="RGZ246"/>
      <c r="RHA246"/>
      <c r="RHB246"/>
      <c r="RHC246"/>
      <c r="RHD246"/>
      <c r="RHE246"/>
      <c r="RHF246"/>
      <c r="RHG246"/>
      <c r="RHH246"/>
      <c r="RHI246"/>
      <c r="RHJ246"/>
      <c r="RHK246"/>
      <c r="RHL246"/>
      <c r="RHM246"/>
      <c r="RHN246"/>
      <c r="RHO246"/>
      <c r="RHP246"/>
      <c r="RHQ246"/>
      <c r="RHR246"/>
      <c r="RHS246"/>
      <c r="RHT246"/>
      <c r="RHU246"/>
      <c r="RHV246"/>
      <c r="RHW246"/>
      <c r="RHX246"/>
      <c r="RHY246"/>
      <c r="RHZ246"/>
      <c r="RIA246"/>
      <c r="RIB246"/>
      <c r="RIC246"/>
      <c r="RID246"/>
      <c r="RIE246"/>
      <c r="RIF246"/>
      <c r="RIG246"/>
      <c r="RIH246"/>
      <c r="RII246"/>
      <c r="RIJ246"/>
      <c r="RIK246"/>
      <c r="RIL246"/>
      <c r="RIM246"/>
      <c r="RIN246"/>
      <c r="RIO246"/>
      <c r="RIP246"/>
      <c r="RIQ246"/>
      <c r="RIR246"/>
      <c r="RIS246"/>
      <c r="RIT246"/>
      <c r="RIU246"/>
      <c r="RIV246"/>
      <c r="RIW246"/>
      <c r="RIX246"/>
      <c r="RIY246"/>
      <c r="RIZ246"/>
      <c r="RJA246"/>
      <c r="RJB246"/>
      <c r="RJC246"/>
      <c r="RJD246"/>
      <c r="RJE246"/>
      <c r="RJF246"/>
      <c r="RJG246"/>
      <c r="RJH246"/>
      <c r="RJI246"/>
      <c r="RJJ246"/>
      <c r="RJK246"/>
      <c r="RJL246"/>
      <c r="RJM246"/>
      <c r="RJN246"/>
      <c r="RJO246"/>
      <c r="RJP246"/>
      <c r="RJQ246"/>
      <c r="RJR246"/>
      <c r="RJS246"/>
      <c r="RJT246"/>
      <c r="RJU246"/>
      <c r="RJV246"/>
      <c r="RJW246"/>
      <c r="RJX246"/>
      <c r="RJY246"/>
      <c r="RJZ246"/>
      <c r="RKA246"/>
      <c r="RKB246"/>
      <c r="RKC246"/>
      <c r="RKD246"/>
      <c r="RKE246"/>
      <c r="RKF246"/>
      <c r="RKG246"/>
      <c r="RKH246"/>
      <c r="RKI246"/>
      <c r="RKJ246"/>
      <c r="RKK246"/>
      <c r="RKL246"/>
      <c r="RKM246"/>
      <c r="RKN246"/>
      <c r="RKO246"/>
      <c r="RKP246"/>
      <c r="RKQ246"/>
      <c r="RKR246"/>
      <c r="RKS246"/>
      <c r="RKT246"/>
      <c r="RKU246"/>
      <c r="RKV246"/>
      <c r="RKW246"/>
      <c r="RKX246"/>
      <c r="RKY246"/>
      <c r="RKZ246"/>
      <c r="RLA246"/>
      <c r="RLB246"/>
      <c r="RLC246"/>
      <c r="RLD246"/>
      <c r="RLE246"/>
      <c r="RLF246"/>
      <c r="RLG246"/>
      <c r="RLH246"/>
      <c r="RLI246"/>
      <c r="RLJ246"/>
      <c r="RLK246"/>
      <c r="RLL246"/>
      <c r="RLM246"/>
      <c r="RLN246"/>
      <c r="RLO246"/>
      <c r="RLP246"/>
      <c r="RLQ246"/>
      <c r="RLR246"/>
      <c r="RLS246"/>
      <c r="RLT246"/>
      <c r="RLU246"/>
      <c r="RLV246"/>
      <c r="RLW246"/>
      <c r="RLX246"/>
      <c r="RLY246"/>
      <c r="RLZ246"/>
      <c r="RMA246"/>
      <c r="RMB246"/>
      <c r="RMC246"/>
      <c r="RMD246"/>
      <c r="RME246"/>
      <c r="RMF246"/>
      <c r="RMG246"/>
      <c r="RMH246"/>
      <c r="RMI246"/>
      <c r="RMJ246"/>
      <c r="RMK246"/>
      <c r="RML246"/>
      <c r="RMM246"/>
      <c r="RMN246"/>
      <c r="RMO246"/>
      <c r="RMP246"/>
      <c r="RMQ246"/>
      <c r="RMR246"/>
      <c r="RMS246"/>
      <c r="RMT246"/>
      <c r="RMU246"/>
      <c r="RMV246"/>
      <c r="RMW246"/>
      <c r="RMX246"/>
      <c r="RMY246"/>
      <c r="RMZ246"/>
      <c r="RNA246"/>
      <c r="RNB246"/>
      <c r="RNC246"/>
      <c r="RND246"/>
      <c r="RNE246"/>
      <c r="RNF246"/>
      <c r="RNG246"/>
      <c r="RNH246"/>
      <c r="RNI246"/>
      <c r="RNJ246"/>
      <c r="RNK246"/>
      <c r="RNL246"/>
      <c r="RNM246"/>
      <c r="RNN246"/>
      <c r="RNO246"/>
      <c r="RNP246"/>
      <c r="RNQ246"/>
      <c r="RNR246"/>
      <c r="RNS246"/>
      <c r="RNT246"/>
      <c r="RNU246"/>
      <c r="RNV246"/>
      <c r="RNW246"/>
      <c r="RNX246"/>
      <c r="RNY246"/>
      <c r="RNZ246"/>
      <c r="ROA246"/>
      <c r="ROB246"/>
      <c r="ROC246"/>
      <c r="ROD246"/>
      <c r="ROE246"/>
      <c r="ROF246"/>
      <c r="ROG246"/>
      <c r="ROH246"/>
      <c r="ROI246"/>
      <c r="ROJ246"/>
      <c r="ROK246"/>
      <c r="ROL246"/>
      <c r="ROM246"/>
      <c r="RON246"/>
      <c r="ROO246"/>
      <c r="ROP246"/>
      <c r="ROQ246"/>
      <c r="ROR246"/>
      <c r="ROS246"/>
      <c r="ROT246"/>
      <c r="ROU246"/>
      <c r="ROV246"/>
      <c r="ROW246"/>
      <c r="ROX246"/>
      <c r="ROY246"/>
      <c r="ROZ246"/>
      <c r="RPA246"/>
      <c r="RPB246"/>
      <c r="RPC246"/>
      <c r="RPD246"/>
      <c r="RPE246"/>
      <c r="RPF246"/>
      <c r="RPG246"/>
      <c r="RPH246"/>
      <c r="RPI246"/>
      <c r="RPJ246"/>
      <c r="RPK246"/>
      <c r="RPL246"/>
      <c r="RPM246"/>
      <c r="RPN246"/>
      <c r="RPO246"/>
      <c r="RPP246"/>
      <c r="RPQ246"/>
      <c r="RPR246"/>
      <c r="RPS246"/>
      <c r="RPT246"/>
      <c r="RPU246"/>
      <c r="RPV246"/>
      <c r="RPW246"/>
      <c r="RPX246"/>
      <c r="RPY246"/>
      <c r="RPZ246"/>
      <c r="RQA246"/>
      <c r="RQB246"/>
      <c r="RQC246"/>
      <c r="RQD246"/>
      <c r="RQE246"/>
      <c r="RQF246"/>
      <c r="RQG246"/>
      <c r="RQH246"/>
      <c r="RQI246"/>
      <c r="RQJ246"/>
      <c r="RQK246"/>
      <c r="RQL246"/>
      <c r="RQM246"/>
      <c r="RQN246"/>
      <c r="RQO246"/>
      <c r="RQP246"/>
      <c r="RQQ246"/>
      <c r="RQR246"/>
      <c r="RQS246"/>
      <c r="RQT246"/>
      <c r="RQU246"/>
      <c r="RQV246"/>
      <c r="RQW246"/>
      <c r="RQX246"/>
      <c r="RQY246"/>
      <c r="RQZ246"/>
      <c r="RRA246"/>
      <c r="RRB246"/>
      <c r="RRC246"/>
      <c r="RRD246"/>
      <c r="RRE246"/>
      <c r="RRF246"/>
      <c r="RRG246"/>
      <c r="RRH246"/>
      <c r="RRI246"/>
      <c r="RRJ246"/>
      <c r="RRK246"/>
      <c r="RRL246"/>
      <c r="RRM246"/>
      <c r="RRN246"/>
      <c r="RRO246"/>
      <c r="RRP246"/>
      <c r="RRQ246"/>
      <c r="RRR246"/>
      <c r="RRS246"/>
      <c r="RRT246"/>
      <c r="RRU246"/>
      <c r="RRV246"/>
      <c r="RRW246"/>
      <c r="RRX246"/>
      <c r="RRY246"/>
      <c r="RRZ246"/>
      <c r="RSA246"/>
      <c r="RSB246"/>
      <c r="RSC246"/>
      <c r="RSD246"/>
      <c r="RSE246"/>
      <c r="RSF246"/>
      <c r="RSG246"/>
      <c r="RSH246"/>
      <c r="RSI246"/>
      <c r="RSJ246"/>
      <c r="RSK246"/>
      <c r="RSL246"/>
      <c r="RSM246"/>
      <c r="RSN246"/>
      <c r="RSO246"/>
      <c r="RSP246"/>
      <c r="RSQ246"/>
      <c r="RSR246"/>
      <c r="RSS246"/>
      <c r="RST246"/>
      <c r="RSU246"/>
      <c r="RSV246"/>
      <c r="RSW246"/>
      <c r="RSX246"/>
      <c r="RSY246"/>
      <c r="RSZ246"/>
      <c r="RTA246"/>
      <c r="RTB246"/>
      <c r="RTC246"/>
      <c r="RTD246"/>
      <c r="RTE246"/>
      <c r="RTF246"/>
      <c r="RTG246"/>
      <c r="RTH246"/>
      <c r="RTI246"/>
      <c r="RTJ246"/>
      <c r="RTK246"/>
      <c r="RTL246"/>
      <c r="RTM246"/>
      <c r="RTN246"/>
      <c r="RTO246"/>
      <c r="RTP246"/>
      <c r="RTQ246"/>
      <c r="RTR246"/>
      <c r="RTS246"/>
      <c r="RTT246"/>
      <c r="RTU246"/>
      <c r="RTV246"/>
      <c r="RTW246"/>
      <c r="RTX246"/>
      <c r="RTY246"/>
      <c r="RTZ246"/>
      <c r="RUA246"/>
      <c r="RUB246"/>
      <c r="RUC246"/>
      <c r="RUD246"/>
      <c r="RUE246"/>
      <c r="RUF246"/>
      <c r="RUG246"/>
      <c r="RUH246"/>
      <c r="RUI246"/>
      <c r="RUJ246"/>
      <c r="RUK246"/>
      <c r="RUL246"/>
      <c r="RUM246"/>
      <c r="RUN246"/>
      <c r="RUO246"/>
      <c r="RUP246"/>
      <c r="RUQ246"/>
      <c r="RUR246"/>
      <c r="RUS246"/>
      <c r="RUT246"/>
      <c r="RUU246"/>
      <c r="RUV246"/>
      <c r="RUW246"/>
      <c r="RUX246"/>
      <c r="RUY246"/>
      <c r="RUZ246"/>
      <c r="RVA246"/>
      <c r="RVB246"/>
      <c r="RVC246"/>
      <c r="RVD246"/>
      <c r="RVE246"/>
      <c r="RVF246"/>
      <c r="RVG246"/>
      <c r="RVH246"/>
      <c r="RVI246"/>
      <c r="RVJ246"/>
      <c r="RVK246"/>
      <c r="RVL246"/>
      <c r="RVM246"/>
      <c r="RVN246"/>
      <c r="RVO246"/>
      <c r="RVP246"/>
      <c r="RVQ246"/>
      <c r="RVR246"/>
      <c r="RVS246"/>
      <c r="RVT246"/>
      <c r="RVU246"/>
      <c r="RVV246"/>
      <c r="RVW246"/>
      <c r="RVX246"/>
      <c r="RVY246"/>
      <c r="RVZ246"/>
      <c r="RWA246"/>
      <c r="RWB246"/>
      <c r="RWC246"/>
      <c r="RWD246"/>
      <c r="RWE246"/>
      <c r="RWF246"/>
      <c r="RWG246"/>
      <c r="RWH246"/>
      <c r="RWI246"/>
      <c r="RWJ246"/>
      <c r="RWK246"/>
      <c r="RWL246"/>
      <c r="RWM246"/>
      <c r="RWN246"/>
      <c r="RWO246"/>
      <c r="RWP246"/>
      <c r="RWQ246"/>
      <c r="RWR246"/>
      <c r="RWS246"/>
      <c r="RWT246"/>
      <c r="RWU246"/>
      <c r="RWV246"/>
      <c r="RWW246"/>
      <c r="RWX246"/>
      <c r="RWY246"/>
      <c r="RWZ246"/>
      <c r="RXA246"/>
      <c r="RXB246"/>
      <c r="RXC246"/>
      <c r="RXD246"/>
      <c r="RXE246"/>
      <c r="RXF246"/>
      <c r="RXG246"/>
      <c r="RXH246"/>
      <c r="RXI246"/>
      <c r="RXJ246"/>
      <c r="RXK246"/>
      <c r="RXL246"/>
      <c r="RXM246"/>
      <c r="RXN246"/>
      <c r="RXO246"/>
      <c r="RXP246"/>
      <c r="RXQ246"/>
      <c r="RXR246"/>
      <c r="RXS246"/>
      <c r="RXT246"/>
      <c r="RXU246"/>
      <c r="RXV246"/>
      <c r="RXW246"/>
      <c r="RXX246"/>
      <c r="RXY246"/>
      <c r="RXZ246"/>
      <c r="RYA246"/>
      <c r="RYB246"/>
      <c r="RYC246"/>
      <c r="RYD246"/>
      <c r="RYE246"/>
      <c r="RYF246"/>
      <c r="RYG246"/>
      <c r="RYH246"/>
      <c r="RYI246"/>
      <c r="RYJ246"/>
      <c r="RYK246"/>
      <c r="RYL246"/>
      <c r="RYM246"/>
      <c r="RYN246"/>
      <c r="RYO246"/>
      <c r="RYP246"/>
      <c r="RYQ246"/>
      <c r="RYR246"/>
      <c r="RYS246"/>
      <c r="RYT246"/>
      <c r="RYU246"/>
      <c r="RYV246"/>
      <c r="RYW246"/>
      <c r="RYX246"/>
      <c r="RYY246"/>
      <c r="RYZ246"/>
      <c r="RZA246"/>
      <c r="RZB246"/>
      <c r="RZC246"/>
      <c r="RZD246"/>
      <c r="RZE246"/>
      <c r="RZF246"/>
      <c r="RZG246"/>
      <c r="RZH246"/>
      <c r="RZI246"/>
      <c r="RZJ246"/>
      <c r="RZK246"/>
      <c r="RZL246"/>
      <c r="RZM246"/>
      <c r="RZN246"/>
      <c r="RZO246"/>
      <c r="RZP246"/>
      <c r="RZQ246"/>
      <c r="RZR246"/>
      <c r="RZS246"/>
      <c r="RZT246"/>
      <c r="RZU246"/>
      <c r="RZV246"/>
      <c r="RZW246"/>
      <c r="RZX246"/>
      <c r="RZY246"/>
      <c r="RZZ246"/>
      <c r="SAA246"/>
      <c r="SAB246"/>
      <c r="SAC246"/>
      <c r="SAD246"/>
      <c r="SAE246"/>
      <c r="SAF246"/>
      <c r="SAG246"/>
      <c r="SAH246"/>
      <c r="SAI246"/>
      <c r="SAJ246"/>
      <c r="SAK246"/>
      <c r="SAL246"/>
      <c r="SAM246"/>
      <c r="SAN246"/>
      <c r="SAO246"/>
      <c r="SAP246"/>
      <c r="SAQ246"/>
      <c r="SAR246"/>
      <c r="SAS246"/>
      <c r="SAT246"/>
      <c r="SAU246"/>
      <c r="SAV246"/>
      <c r="SAW246"/>
      <c r="SAX246"/>
      <c r="SAY246"/>
      <c r="SAZ246"/>
      <c r="SBA246"/>
      <c r="SBB246"/>
      <c r="SBC246"/>
      <c r="SBD246"/>
      <c r="SBE246"/>
      <c r="SBF246"/>
      <c r="SBG246"/>
      <c r="SBH246"/>
      <c r="SBI246"/>
      <c r="SBJ246"/>
      <c r="SBK246"/>
      <c r="SBL246"/>
      <c r="SBM246"/>
      <c r="SBN246"/>
      <c r="SBO246"/>
      <c r="SBP246"/>
      <c r="SBQ246"/>
      <c r="SBR246"/>
      <c r="SBS246"/>
      <c r="SBT246"/>
      <c r="SBU246"/>
      <c r="SBV246"/>
      <c r="SBW246"/>
      <c r="SBX246"/>
      <c r="SBY246"/>
      <c r="SBZ246"/>
      <c r="SCA246"/>
      <c r="SCB246"/>
      <c r="SCC246"/>
      <c r="SCD246"/>
      <c r="SCE246"/>
      <c r="SCF246"/>
      <c r="SCG246"/>
      <c r="SCH246"/>
      <c r="SCI246"/>
      <c r="SCJ246"/>
      <c r="SCK246"/>
      <c r="SCL246"/>
      <c r="SCM246"/>
      <c r="SCN246"/>
      <c r="SCO246"/>
      <c r="SCP246"/>
      <c r="SCQ246"/>
      <c r="SCR246"/>
      <c r="SCS246"/>
      <c r="SCT246"/>
      <c r="SCU246"/>
      <c r="SCV246"/>
      <c r="SCW246"/>
      <c r="SCX246"/>
      <c r="SCY246"/>
      <c r="SCZ246"/>
      <c r="SDA246"/>
      <c r="SDB246"/>
      <c r="SDC246"/>
      <c r="SDD246"/>
      <c r="SDE246"/>
      <c r="SDF246"/>
      <c r="SDG246"/>
      <c r="SDH246"/>
      <c r="SDI246"/>
      <c r="SDJ246"/>
      <c r="SDK246"/>
      <c r="SDL246"/>
      <c r="SDM246"/>
      <c r="SDN246"/>
      <c r="SDO246"/>
      <c r="SDP246"/>
      <c r="SDQ246"/>
      <c r="SDR246"/>
      <c r="SDS246"/>
      <c r="SDT246"/>
      <c r="SDU246"/>
      <c r="SDV246"/>
      <c r="SDW246"/>
      <c r="SDX246"/>
      <c r="SDY246"/>
      <c r="SDZ246"/>
      <c r="SEA246"/>
      <c r="SEB246"/>
      <c r="SEC246"/>
      <c r="SED246"/>
      <c r="SEE246"/>
      <c r="SEF246"/>
      <c r="SEG246"/>
      <c r="SEH246"/>
      <c r="SEI246"/>
      <c r="SEJ246"/>
      <c r="SEK246"/>
      <c r="SEL246"/>
      <c r="SEM246"/>
      <c r="SEN246"/>
      <c r="SEO246"/>
      <c r="SEP246"/>
      <c r="SEQ246"/>
      <c r="SER246"/>
      <c r="SES246"/>
      <c r="SET246"/>
      <c r="SEU246"/>
      <c r="SEV246"/>
      <c r="SEW246"/>
      <c r="SEX246"/>
      <c r="SEY246"/>
      <c r="SEZ246"/>
      <c r="SFA246"/>
      <c r="SFB246"/>
      <c r="SFC246"/>
      <c r="SFD246"/>
      <c r="SFE246"/>
      <c r="SFF246"/>
      <c r="SFG246"/>
      <c r="SFH246"/>
      <c r="SFI246"/>
      <c r="SFJ246"/>
      <c r="SFK246"/>
      <c r="SFL246"/>
      <c r="SFM246"/>
      <c r="SFN246"/>
      <c r="SFO246"/>
      <c r="SFP246"/>
      <c r="SFQ246"/>
      <c r="SFR246"/>
      <c r="SFS246"/>
      <c r="SFT246"/>
      <c r="SFU246"/>
      <c r="SFV246"/>
      <c r="SFW246"/>
      <c r="SFX246"/>
      <c r="SFY246"/>
      <c r="SFZ246"/>
      <c r="SGA246"/>
      <c r="SGB246"/>
      <c r="SGC246"/>
      <c r="SGD246"/>
      <c r="SGE246"/>
      <c r="SGF246"/>
      <c r="SGG246"/>
      <c r="SGH246"/>
      <c r="SGI246"/>
      <c r="SGJ246"/>
      <c r="SGK246"/>
      <c r="SGL246"/>
      <c r="SGM246"/>
      <c r="SGN246"/>
      <c r="SGO246"/>
      <c r="SGP246"/>
      <c r="SGQ246"/>
      <c r="SGR246"/>
      <c r="SGS246"/>
      <c r="SGT246"/>
      <c r="SGU246"/>
      <c r="SGV246"/>
      <c r="SGW246"/>
      <c r="SGX246"/>
      <c r="SGY246"/>
      <c r="SGZ246"/>
      <c r="SHA246"/>
      <c r="SHB246"/>
      <c r="SHC246"/>
      <c r="SHD246"/>
      <c r="SHE246"/>
      <c r="SHF246"/>
      <c r="SHG246"/>
      <c r="SHH246"/>
      <c r="SHI246"/>
      <c r="SHJ246"/>
      <c r="SHK246"/>
      <c r="SHL246"/>
      <c r="SHM246"/>
      <c r="SHN246"/>
      <c r="SHO246"/>
      <c r="SHP246"/>
      <c r="SHQ246"/>
      <c r="SHR246"/>
      <c r="SHS246"/>
      <c r="SHT246"/>
      <c r="SHU246"/>
      <c r="SHV246"/>
      <c r="SHW246"/>
      <c r="SHX246"/>
      <c r="SHY246"/>
      <c r="SHZ246"/>
      <c r="SIA246"/>
      <c r="SIB246"/>
      <c r="SIC246"/>
      <c r="SID246"/>
      <c r="SIE246"/>
      <c r="SIF246"/>
      <c r="SIG246"/>
      <c r="SIH246"/>
      <c r="SII246"/>
      <c r="SIJ246"/>
      <c r="SIK246"/>
      <c r="SIL246"/>
      <c r="SIM246"/>
      <c r="SIN246"/>
      <c r="SIO246"/>
      <c r="SIP246"/>
      <c r="SIQ246"/>
      <c r="SIR246"/>
      <c r="SIS246"/>
      <c r="SIT246"/>
      <c r="SIU246"/>
      <c r="SIV246"/>
      <c r="SIW246"/>
      <c r="SIX246"/>
      <c r="SIY246"/>
      <c r="SIZ246"/>
      <c r="SJA246"/>
      <c r="SJB246"/>
      <c r="SJC246"/>
      <c r="SJD246"/>
      <c r="SJE246"/>
      <c r="SJF246"/>
      <c r="SJG246"/>
      <c r="SJH246"/>
      <c r="SJI246"/>
      <c r="SJJ246"/>
      <c r="SJK246"/>
      <c r="SJL246"/>
      <c r="SJM246"/>
      <c r="SJN246"/>
      <c r="SJO246"/>
      <c r="SJP246"/>
      <c r="SJQ246"/>
      <c r="SJR246"/>
      <c r="SJS246"/>
      <c r="SJT246"/>
      <c r="SJU246"/>
      <c r="SJV246"/>
      <c r="SJW246"/>
      <c r="SJX246"/>
      <c r="SJY246"/>
      <c r="SJZ246"/>
      <c r="SKA246"/>
      <c r="SKB246"/>
      <c r="SKC246"/>
      <c r="SKD246"/>
      <c r="SKE246"/>
      <c r="SKF246"/>
      <c r="SKG246"/>
      <c r="SKH246"/>
      <c r="SKI246"/>
      <c r="SKJ246"/>
      <c r="SKK246"/>
      <c r="SKL246"/>
      <c r="SKM246"/>
      <c r="SKN246"/>
      <c r="SKO246"/>
      <c r="SKP246"/>
      <c r="SKQ246"/>
      <c r="SKR246"/>
      <c r="SKS246"/>
      <c r="SKT246"/>
      <c r="SKU246"/>
      <c r="SKV246"/>
      <c r="SKW246"/>
      <c r="SKX246"/>
      <c r="SKY246"/>
      <c r="SKZ246"/>
      <c r="SLA246"/>
      <c r="SLB246"/>
      <c r="SLC246"/>
      <c r="SLD246"/>
      <c r="SLE246"/>
      <c r="SLF246"/>
      <c r="SLG246"/>
      <c r="SLH246"/>
      <c r="SLI246"/>
      <c r="SLJ246"/>
      <c r="SLK246"/>
      <c r="SLL246"/>
      <c r="SLM246"/>
      <c r="SLN246"/>
      <c r="SLO246"/>
      <c r="SLP246"/>
      <c r="SLQ246"/>
      <c r="SLR246"/>
      <c r="SLS246"/>
      <c r="SLT246"/>
      <c r="SLU246"/>
      <c r="SLV246"/>
      <c r="SLW246"/>
      <c r="SLX246"/>
      <c r="SLY246"/>
      <c r="SLZ246"/>
      <c r="SMA246"/>
      <c r="SMB246"/>
      <c r="SMC246"/>
      <c r="SMD246"/>
      <c r="SME246"/>
      <c r="SMF246"/>
      <c r="SMG246"/>
      <c r="SMH246"/>
      <c r="SMI246"/>
      <c r="SMJ246"/>
      <c r="SMK246"/>
      <c r="SML246"/>
      <c r="SMM246"/>
      <c r="SMN246"/>
      <c r="SMO246"/>
      <c r="SMP246"/>
      <c r="SMQ246"/>
      <c r="SMR246"/>
      <c r="SMS246"/>
      <c r="SMT246"/>
      <c r="SMU246"/>
      <c r="SMV246"/>
      <c r="SMW246"/>
      <c r="SMX246"/>
      <c r="SMY246"/>
      <c r="SMZ246"/>
      <c r="SNA246"/>
      <c r="SNB246"/>
      <c r="SNC246"/>
      <c r="SND246"/>
      <c r="SNE246"/>
      <c r="SNF246"/>
      <c r="SNG246"/>
      <c r="SNH246"/>
      <c r="SNI246"/>
      <c r="SNJ246"/>
      <c r="SNK246"/>
      <c r="SNL246"/>
      <c r="SNM246"/>
      <c r="SNN246"/>
      <c r="SNO246"/>
      <c r="SNP246"/>
      <c r="SNQ246"/>
      <c r="SNR246"/>
      <c r="SNS246"/>
      <c r="SNT246"/>
      <c r="SNU246"/>
      <c r="SNV246"/>
      <c r="SNW246"/>
      <c r="SNX246"/>
      <c r="SNY246"/>
      <c r="SNZ246"/>
      <c r="SOA246"/>
      <c r="SOB246"/>
      <c r="SOC246"/>
      <c r="SOD246"/>
      <c r="SOE246"/>
      <c r="SOF246"/>
      <c r="SOG246"/>
      <c r="SOH246"/>
      <c r="SOI246"/>
      <c r="SOJ246"/>
      <c r="SOK246"/>
      <c r="SOL246"/>
      <c r="SOM246"/>
      <c r="SON246"/>
      <c r="SOO246"/>
      <c r="SOP246"/>
      <c r="SOQ246"/>
      <c r="SOR246"/>
      <c r="SOS246"/>
      <c r="SOT246"/>
      <c r="SOU246"/>
      <c r="SOV246"/>
      <c r="SOW246"/>
      <c r="SOX246"/>
      <c r="SOY246"/>
      <c r="SOZ246"/>
      <c r="SPA246"/>
      <c r="SPB246"/>
      <c r="SPC246"/>
      <c r="SPD246"/>
      <c r="SPE246"/>
      <c r="SPF246"/>
      <c r="SPG246"/>
      <c r="SPH246"/>
      <c r="SPI246"/>
      <c r="SPJ246"/>
      <c r="SPK246"/>
      <c r="SPL246"/>
      <c r="SPM246"/>
      <c r="SPN246"/>
      <c r="SPO246"/>
      <c r="SPP246"/>
      <c r="SPQ246"/>
      <c r="SPR246"/>
      <c r="SPS246"/>
      <c r="SPT246"/>
      <c r="SPU246"/>
      <c r="SPV246"/>
      <c r="SPW246"/>
      <c r="SPX246"/>
      <c r="SPY246"/>
      <c r="SPZ246"/>
      <c r="SQA246"/>
      <c r="SQB246"/>
      <c r="SQC246"/>
      <c r="SQD246"/>
      <c r="SQE246"/>
      <c r="SQF246"/>
      <c r="SQG246"/>
      <c r="SQH246"/>
      <c r="SQI246"/>
      <c r="SQJ246"/>
      <c r="SQK246"/>
      <c r="SQL246"/>
      <c r="SQM246"/>
      <c r="SQN246"/>
      <c r="SQO246"/>
      <c r="SQP246"/>
      <c r="SQQ246"/>
      <c r="SQR246"/>
      <c r="SQS246"/>
      <c r="SQT246"/>
      <c r="SQU246"/>
      <c r="SQV246"/>
      <c r="SQW246"/>
      <c r="SQX246"/>
      <c r="SQY246"/>
      <c r="SQZ246"/>
      <c r="SRA246"/>
      <c r="SRB246"/>
      <c r="SRC246"/>
      <c r="SRD246"/>
      <c r="SRE246"/>
      <c r="SRF246"/>
      <c r="SRG246"/>
      <c r="SRH246"/>
      <c r="SRI246"/>
      <c r="SRJ246"/>
      <c r="SRK246"/>
      <c r="SRL246"/>
      <c r="SRM246"/>
      <c r="SRN246"/>
      <c r="SRO246"/>
      <c r="SRP246"/>
      <c r="SRQ246"/>
      <c r="SRR246"/>
      <c r="SRS246"/>
      <c r="SRT246"/>
      <c r="SRU246"/>
      <c r="SRV246"/>
      <c r="SRW246"/>
      <c r="SRX246"/>
      <c r="SRY246"/>
      <c r="SRZ246"/>
      <c r="SSA246"/>
      <c r="SSB246"/>
      <c r="SSC246"/>
      <c r="SSD246"/>
      <c r="SSE246"/>
      <c r="SSF246"/>
      <c r="SSG246"/>
      <c r="SSH246"/>
      <c r="SSI246"/>
      <c r="SSJ246"/>
      <c r="SSK246"/>
      <c r="SSL246"/>
      <c r="SSM246"/>
      <c r="SSN246"/>
      <c r="SSO246"/>
      <c r="SSP246"/>
      <c r="SSQ246"/>
      <c r="SSR246"/>
      <c r="SSS246"/>
      <c r="SST246"/>
      <c r="SSU246"/>
      <c r="SSV246"/>
      <c r="SSW246"/>
      <c r="SSX246"/>
      <c r="SSY246"/>
      <c r="SSZ246"/>
      <c r="STA246"/>
      <c r="STB246"/>
      <c r="STC246"/>
      <c r="STD246"/>
      <c r="STE246"/>
      <c r="STF246"/>
      <c r="STG246"/>
      <c r="STH246"/>
      <c r="STI246"/>
      <c r="STJ246"/>
      <c r="STK246"/>
      <c r="STL246"/>
      <c r="STM246"/>
      <c r="STN246"/>
      <c r="STO246"/>
      <c r="STP246"/>
      <c r="STQ246"/>
      <c r="STR246"/>
      <c r="STS246"/>
      <c r="STT246"/>
      <c r="STU246"/>
      <c r="STV246"/>
      <c r="STW246"/>
      <c r="STX246"/>
      <c r="STY246"/>
      <c r="STZ246"/>
      <c r="SUA246"/>
      <c r="SUB246"/>
      <c r="SUC246"/>
      <c r="SUD246"/>
      <c r="SUE246"/>
      <c r="SUF246"/>
      <c r="SUG246"/>
      <c r="SUH246"/>
      <c r="SUI246"/>
      <c r="SUJ246"/>
      <c r="SUK246"/>
      <c r="SUL246"/>
      <c r="SUM246"/>
      <c r="SUN246"/>
      <c r="SUO246"/>
      <c r="SUP246"/>
      <c r="SUQ246"/>
      <c r="SUR246"/>
      <c r="SUS246"/>
      <c r="SUT246"/>
      <c r="SUU246"/>
      <c r="SUV246"/>
      <c r="SUW246"/>
      <c r="SUX246"/>
      <c r="SUY246"/>
      <c r="SUZ246"/>
      <c r="SVA246"/>
      <c r="SVB246"/>
      <c r="SVC246"/>
      <c r="SVD246"/>
      <c r="SVE246"/>
      <c r="SVF246"/>
      <c r="SVG246"/>
      <c r="SVH246"/>
      <c r="SVI246"/>
      <c r="SVJ246"/>
      <c r="SVK246"/>
      <c r="SVL246"/>
      <c r="SVM246"/>
      <c r="SVN246"/>
      <c r="SVO246"/>
      <c r="SVP246"/>
      <c r="SVQ246"/>
      <c r="SVR246"/>
      <c r="SVS246"/>
      <c r="SVT246"/>
      <c r="SVU246"/>
      <c r="SVV246"/>
      <c r="SVW246"/>
      <c r="SVX246"/>
      <c r="SVY246"/>
      <c r="SVZ246"/>
      <c r="SWA246"/>
      <c r="SWB246"/>
      <c r="SWC246"/>
      <c r="SWD246"/>
      <c r="SWE246"/>
      <c r="SWF246"/>
      <c r="SWG246"/>
      <c r="SWH246"/>
      <c r="SWI246"/>
      <c r="SWJ246"/>
      <c r="SWK246"/>
      <c r="SWL246"/>
      <c r="SWM246"/>
      <c r="SWN246"/>
      <c r="SWO246"/>
      <c r="SWP246"/>
      <c r="SWQ246"/>
      <c r="SWR246"/>
      <c r="SWS246"/>
      <c r="SWT246"/>
      <c r="SWU246"/>
      <c r="SWV246"/>
      <c r="SWW246"/>
      <c r="SWX246"/>
      <c r="SWY246"/>
      <c r="SWZ246"/>
      <c r="SXA246"/>
      <c r="SXB246"/>
      <c r="SXC246"/>
      <c r="SXD246"/>
      <c r="SXE246"/>
      <c r="SXF246"/>
      <c r="SXG246"/>
      <c r="SXH246"/>
      <c r="SXI246"/>
      <c r="SXJ246"/>
      <c r="SXK246"/>
      <c r="SXL246"/>
      <c r="SXM246"/>
      <c r="SXN246"/>
      <c r="SXO246"/>
      <c r="SXP246"/>
      <c r="SXQ246"/>
      <c r="SXR246"/>
      <c r="SXS246"/>
      <c r="SXT246"/>
      <c r="SXU246"/>
      <c r="SXV246"/>
      <c r="SXW246"/>
      <c r="SXX246"/>
      <c r="SXY246"/>
      <c r="SXZ246"/>
      <c r="SYA246"/>
      <c r="SYB246"/>
      <c r="SYC246"/>
      <c r="SYD246"/>
      <c r="SYE246"/>
      <c r="SYF246"/>
      <c r="SYG246"/>
      <c r="SYH246"/>
      <c r="SYI246"/>
      <c r="SYJ246"/>
      <c r="SYK246"/>
      <c r="SYL246"/>
      <c r="SYM246"/>
      <c r="SYN246"/>
      <c r="SYO246"/>
      <c r="SYP246"/>
      <c r="SYQ246"/>
      <c r="SYR246"/>
      <c r="SYS246"/>
      <c r="SYT246"/>
      <c r="SYU246"/>
      <c r="SYV246"/>
      <c r="SYW246"/>
      <c r="SYX246"/>
      <c r="SYY246"/>
      <c r="SYZ246"/>
      <c r="SZA246"/>
      <c r="SZB246"/>
      <c r="SZC246"/>
      <c r="SZD246"/>
      <c r="SZE246"/>
      <c r="SZF246"/>
      <c r="SZG246"/>
      <c r="SZH246"/>
      <c r="SZI246"/>
      <c r="SZJ246"/>
      <c r="SZK246"/>
      <c r="SZL246"/>
      <c r="SZM246"/>
      <c r="SZN246"/>
      <c r="SZO246"/>
      <c r="SZP246"/>
      <c r="SZQ246"/>
      <c r="SZR246"/>
      <c r="SZS246"/>
      <c r="SZT246"/>
      <c r="SZU246"/>
      <c r="SZV246"/>
      <c r="SZW246"/>
      <c r="SZX246"/>
      <c r="SZY246"/>
      <c r="SZZ246"/>
      <c r="TAA246"/>
      <c r="TAB246"/>
      <c r="TAC246"/>
      <c r="TAD246"/>
      <c r="TAE246"/>
      <c r="TAF246"/>
      <c r="TAG246"/>
      <c r="TAH246"/>
      <c r="TAI246"/>
      <c r="TAJ246"/>
      <c r="TAK246"/>
      <c r="TAL246"/>
      <c r="TAM246"/>
      <c r="TAN246"/>
      <c r="TAO246"/>
      <c r="TAP246"/>
      <c r="TAQ246"/>
      <c r="TAR246"/>
      <c r="TAS246"/>
      <c r="TAT246"/>
      <c r="TAU246"/>
      <c r="TAV246"/>
      <c r="TAW246"/>
      <c r="TAX246"/>
      <c r="TAY246"/>
      <c r="TAZ246"/>
      <c r="TBA246"/>
      <c r="TBB246"/>
      <c r="TBC246"/>
      <c r="TBD246"/>
      <c r="TBE246"/>
      <c r="TBF246"/>
      <c r="TBG246"/>
      <c r="TBH246"/>
      <c r="TBI246"/>
      <c r="TBJ246"/>
      <c r="TBK246"/>
      <c r="TBL246"/>
      <c r="TBM246"/>
      <c r="TBN246"/>
      <c r="TBO246"/>
      <c r="TBP246"/>
      <c r="TBQ246"/>
      <c r="TBR246"/>
      <c r="TBS246"/>
      <c r="TBT246"/>
      <c r="TBU246"/>
      <c r="TBV246"/>
      <c r="TBW246"/>
      <c r="TBX246"/>
      <c r="TBY246"/>
      <c r="TBZ246"/>
      <c r="TCA246"/>
      <c r="TCB246"/>
      <c r="TCC246"/>
      <c r="TCD246"/>
      <c r="TCE246"/>
      <c r="TCF246"/>
      <c r="TCG246"/>
      <c r="TCH246"/>
      <c r="TCI246"/>
      <c r="TCJ246"/>
      <c r="TCK246"/>
      <c r="TCL246"/>
      <c r="TCM246"/>
      <c r="TCN246"/>
      <c r="TCO246"/>
      <c r="TCP246"/>
      <c r="TCQ246"/>
      <c r="TCR246"/>
      <c r="TCS246"/>
      <c r="TCT246"/>
      <c r="TCU246"/>
      <c r="TCV246"/>
      <c r="TCW246"/>
      <c r="TCX246"/>
      <c r="TCY246"/>
      <c r="TCZ246"/>
      <c r="TDA246"/>
      <c r="TDB246"/>
      <c r="TDC246"/>
      <c r="TDD246"/>
      <c r="TDE246"/>
      <c r="TDF246"/>
      <c r="TDG246"/>
      <c r="TDH246"/>
      <c r="TDI246"/>
      <c r="TDJ246"/>
      <c r="TDK246"/>
      <c r="TDL246"/>
      <c r="TDM246"/>
      <c r="TDN246"/>
      <c r="TDO246"/>
      <c r="TDP246"/>
      <c r="TDQ246"/>
      <c r="TDR246"/>
      <c r="TDS246"/>
      <c r="TDT246"/>
      <c r="TDU246"/>
      <c r="TDV246"/>
      <c r="TDW246"/>
      <c r="TDX246"/>
      <c r="TDY246"/>
      <c r="TDZ246"/>
      <c r="TEA246"/>
      <c r="TEB246"/>
      <c r="TEC246"/>
      <c r="TED246"/>
      <c r="TEE246"/>
      <c r="TEF246"/>
      <c r="TEG246"/>
      <c r="TEH246"/>
      <c r="TEI246"/>
      <c r="TEJ246"/>
      <c r="TEK246"/>
      <c r="TEL246"/>
      <c r="TEM246"/>
      <c r="TEN246"/>
      <c r="TEO246"/>
      <c r="TEP246"/>
      <c r="TEQ246"/>
      <c r="TER246"/>
      <c r="TES246"/>
      <c r="TET246"/>
      <c r="TEU246"/>
      <c r="TEV246"/>
      <c r="TEW246"/>
      <c r="TEX246"/>
      <c r="TEY246"/>
      <c r="TEZ246"/>
      <c r="TFA246"/>
      <c r="TFB246"/>
      <c r="TFC246"/>
      <c r="TFD246"/>
      <c r="TFE246"/>
      <c r="TFF246"/>
      <c r="TFG246"/>
      <c r="TFH246"/>
      <c r="TFI246"/>
      <c r="TFJ246"/>
      <c r="TFK246"/>
      <c r="TFL246"/>
      <c r="TFM246"/>
      <c r="TFN246"/>
      <c r="TFO246"/>
      <c r="TFP246"/>
      <c r="TFQ246"/>
      <c r="TFR246"/>
      <c r="TFS246"/>
      <c r="TFT246"/>
      <c r="TFU246"/>
      <c r="TFV246"/>
      <c r="TFW246"/>
      <c r="TFX246"/>
      <c r="TFY246"/>
      <c r="TFZ246"/>
      <c r="TGA246"/>
      <c r="TGB246"/>
      <c r="TGC246"/>
      <c r="TGD246"/>
      <c r="TGE246"/>
      <c r="TGF246"/>
      <c r="TGG246"/>
      <c r="TGH246"/>
      <c r="TGI246"/>
      <c r="TGJ246"/>
      <c r="TGK246"/>
      <c r="TGL246"/>
      <c r="TGM246"/>
      <c r="TGN246"/>
      <c r="TGO246"/>
      <c r="TGP246"/>
      <c r="TGQ246"/>
      <c r="TGR246"/>
      <c r="TGS246"/>
      <c r="TGT246"/>
      <c r="TGU246"/>
      <c r="TGV246"/>
      <c r="TGW246"/>
      <c r="TGX246"/>
      <c r="TGY246"/>
      <c r="TGZ246"/>
      <c r="THA246"/>
      <c r="THB246"/>
      <c r="THC246"/>
      <c r="THD246"/>
      <c r="THE246"/>
      <c r="THF246"/>
      <c r="THG246"/>
      <c r="THH246"/>
      <c r="THI246"/>
      <c r="THJ246"/>
      <c r="THK246"/>
      <c r="THL246"/>
      <c r="THM246"/>
      <c r="THN246"/>
      <c r="THO246"/>
      <c r="THP246"/>
      <c r="THQ246"/>
      <c r="THR246"/>
      <c r="THS246"/>
      <c r="THT246"/>
      <c r="THU246"/>
      <c r="THV246"/>
      <c r="THW246"/>
      <c r="THX246"/>
      <c r="THY246"/>
      <c r="THZ246"/>
      <c r="TIA246"/>
      <c r="TIB246"/>
      <c r="TIC246"/>
      <c r="TID246"/>
      <c r="TIE246"/>
      <c r="TIF246"/>
      <c r="TIG246"/>
      <c r="TIH246"/>
      <c r="TII246"/>
      <c r="TIJ246"/>
      <c r="TIK246"/>
      <c r="TIL246"/>
      <c r="TIM246"/>
      <c r="TIN246"/>
      <c r="TIO246"/>
      <c r="TIP246"/>
      <c r="TIQ246"/>
      <c r="TIR246"/>
      <c r="TIS246"/>
      <c r="TIT246"/>
      <c r="TIU246"/>
      <c r="TIV246"/>
      <c r="TIW246"/>
      <c r="TIX246"/>
      <c r="TIY246"/>
      <c r="TIZ246"/>
      <c r="TJA246"/>
      <c r="TJB246"/>
      <c r="TJC246"/>
      <c r="TJD246"/>
      <c r="TJE246"/>
      <c r="TJF246"/>
      <c r="TJG246"/>
      <c r="TJH246"/>
      <c r="TJI246"/>
      <c r="TJJ246"/>
      <c r="TJK246"/>
      <c r="TJL246"/>
      <c r="TJM246"/>
      <c r="TJN246"/>
      <c r="TJO246"/>
      <c r="TJP246"/>
      <c r="TJQ246"/>
      <c r="TJR246"/>
      <c r="TJS246"/>
      <c r="TJT246"/>
      <c r="TJU246"/>
      <c r="TJV246"/>
      <c r="TJW246"/>
      <c r="TJX246"/>
      <c r="TJY246"/>
      <c r="TJZ246"/>
      <c r="TKA246"/>
      <c r="TKB246"/>
      <c r="TKC246"/>
      <c r="TKD246"/>
      <c r="TKE246"/>
      <c r="TKF246"/>
      <c r="TKG246"/>
      <c r="TKH246"/>
      <c r="TKI246"/>
      <c r="TKJ246"/>
      <c r="TKK246"/>
      <c r="TKL246"/>
      <c r="TKM246"/>
      <c r="TKN246"/>
      <c r="TKO246"/>
      <c r="TKP246"/>
      <c r="TKQ246"/>
      <c r="TKR246"/>
      <c r="TKS246"/>
      <c r="TKT246"/>
      <c r="TKU246"/>
      <c r="TKV246"/>
      <c r="TKW246"/>
      <c r="TKX246"/>
      <c r="TKY246"/>
      <c r="TKZ246"/>
      <c r="TLA246"/>
      <c r="TLB246"/>
      <c r="TLC246"/>
      <c r="TLD246"/>
      <c r="TLE246"/>
      <c r="TLF246"/>
      <c r="TLG246"/>
      <c r="TLH246"/>
      <c r="TLI246"/>
      <c r="TLJ246"/>
      <c r="TLK246"/>
      <c r="TLL246"/>
      <c r="TLM246"/>
      <c r="TLN246"/>
      <c r="TLO246"/>
      <c r="TLP246"/>
      <c r="TLQ246"/>
      <c r="TLR246"/>
      <c r="TLS246"/>
      <c r="TLT246"/>
      <c r="TLU246"/>
      <c r="TLV246"/>
      <c r="TLW246"/>
      <c r="TLX246"/>
      <c r="TLY246"/>
      <c r="TLZ246"/>
      <c r="TMA246"/>
      <c r="TMB246"/>
      <c r="TMC246"/>
      <c r="TMD246"/>
      <c r="TME246"/>
      <c r="TMF246"/>
      <c r="TMG246"/>
      <c r="TMH246"/>
      <c r="TMI246"/>
      <c r="TMJ246"/>
      <c r="TMK246"/>
      <c r="TML246"/>
      <c r="TMM246"/>
      <c r="TMN246"/>
      <c r="TMO246"/>
      <c r="TMP246"/>
      <c r="TMQ246"/>
      <c r="TMR246"/>
      <c r="TMS246"/>
      <c r="TMT246"/>
      <c r="TMU246"/>
      <c r="TMV246"/>
      <c r="TMW246"/>
      <c r="TMX246"/>
      <c r="TMY246"/>
      <c r="TMZ246"/>
      <c r="TNA246"/>
      <c r="TNB246"/>
      <c r="TNC246"/>
      <c r="TND246"/>
      <c r="TNE246"/>
      <c r="TNF246"/>
      <c r="TNG246"/>
      <c r="TNH246"/>
      <c r="TNI246"/>
      <c r="TNJ246"/>
      <c r="TNK246"/>
      <c r="TNL246"/>
      <c r="TNM246"/>
      <c r="TNN246"/>
      <c r="TNO246"/>
      <c r="TNP246"/>
      <c r="TNQ246"/>
      <c r="TNR246"/>
      <c r="TNS246"/>
      <c r="TNT246"/>
      <c r="TNU246"/>
      <c r="TNV246"/>
      <c r="TNW246"/>
      <c r="TNX246"/>
      <c r="TNY246"/>
      <c r="TNZ246"/>
      <c r="TOA246"/>
      <c r="TOB246"/>
      <c r="TOC246"/>
      <c r="TOD246"/>
      <c r="TOE246"/>
      <c r="TOF246"/>
      <c r="TOG246"/>
      <c r="TOH246"/>
      <c r="TOI246"/>
      <c r="TOJ246"/>
      <c r="TOK246"/>
      <c r="TOL246"/>
      <c r="TOM246"/>
      <c r="TON246"/>
      <c r="TOO246"/>
      <c r="TOP246"/>
      <c r="TOQ246"/>
      <c r="TOR246"/>
      <c r="TOS246"/>
      <c r="TOT246"/>
      <c r="TOU246"/>
      <c r="TOV246"/>
      <c r="TOW246"/>
      <c r="TOX246"/>
      <c r="TOY246"/>
      <c r="TOZ246"/>
      <c r="TPA246"/>
      <c r="TPB246"/>
      <c r="TPC246"/>
      <c r="TPD246"/>
      <c r="TPE246"/>
      <c r="TPF246"/>
      <c r="TPG246"/>
      <c r="TPH246"/>
      <c r="TPI246"/>
      <c r="TPJ246"/>
      <c r="TPK246"/>
      <c r="TPL246"/>
      <c r="TPM246"/>
      <c r="TPN246"/>
      <c r="TPO246"/>
      <c r="TPP246"/>
      <c r="TPQ246"/>
      <c r="TPR246"/>
      <c r="TPS246"/>
      <c r="TPT246"/>
      <c r="TPU246"/>
      <c r="TPV246"/>
      <c r="TPW246"/>
      <c r="TPX246"/>
      <c r="TPY246"/>
      <c r="TPZ246"/>
      <c r="TQA246"/>
      <c r="TQB246"/>
      <c r="TQC246"/>
      <c r="TQD246"/>
      <c r="TQE246"/>
      <c r="TQF246"/>
      <c r="TQG246"/>
      <c r="TQH246"/>
      <c r="TQI246"/>
      <c r="TQJ246"/>
      <c r="TQK246"/>
      <c r="TQL246"/>
      <c r="TQM246"/>
      <c r="TQN246"/>
      <c r="TQO246"/>
      <c r="TQP246"/>
      <c r="TQQ246"/>
      <c r="TQR246"/>
      <c r="TQS246"/>
      <c r="TQT246"/>
      <c r="TQU246"/>
      <c r="TQV246"/>
      <c r="TQW246"/>
      <c r="TQX246"/>
      <c r="TQY246"/>
      <c r="TQZ246"/>
      <c r="TRA246"/>
      <c r="TRB246"/>
      <c r="TRC246"/>
      <c r="TRD246"/>
      <c r="TRE246"/>
      <c r="TRF246"/>
      <c r="TRG246"/>
      <c r="TRH246"/>
      <c r="TRI246"/>
      <c r="TRJ246"/>
      <c r="TRK246"/>
      <c r="TRL246"/>
      <c r="TRM246"/>
      <c r="TRN246"/>
      <c r="TRO246"/>
      <c r="TRP246"/>
      <c r="TRQ246"/>
      <c r="TRR246"/>
      <c r="TRS246"/>
      <c r="TRT246"/>
      <c r="TRU246"/>
      <c r="TRV246"/>
      <c r="TRW246"/>
      <c r="TRX246"/>
      <c r="TRY246"/>
      <c r="TRZ246"/>
      <c r="TSA246"/>
      <c r="TSB246"/>
      <c r="TSC246"/>
      <c r="TSD246"/>
      <c r="TSE246"/>
      <c r="TSF246"/>
      <c r="TSG246"/>
      <c r="TSH246"/>
      <c r="TSI246"/>
      <c r="TSJ246"/>
      <c r="TSK246"/>
      <c r="TSL246"/>
      <c r="TSM246"/>
      <c r="TSN246"/>
      <c r="TSO246"/>
      <c r="TSP246"/>
      <c r="TSQ246"/>
      <c r="TSR246"/>
      <c r="TSS246"/>
      <c r="TST246"/>
      <c r="TSU246"/>
      <c r="TSV246"/>
      <c r="TSW246"/>
      <c r="TSX246"/>
      <c r="TSY246"/>
      <c r="TSZ246"/>
      <c r="TTA246"/>
      <c r="TTB246"/>
      <c r="TTC246"/>
      <c r="TTD246"/>
      <c r="TTE246"/>
      <c r="TTF246"/>
      <c r="TTG246"/>
      <c r="TTH246"/>
      <c r="TTI246"/>
      <c r="TTJ246"/>
      <c r="TTK246"/>
      <c r="TTL246"/>
      <c r="TTM246"/>
      <c r="TTN246"/>
      <c r="TTO246"/>
      <c r="TTP246"/>
      <c r="TTQ246"/>
      <c r="TTR246"/>
      <c r="TTS246"/>
      <c r="TTT246"/>
      <c r="TTU246"/>
      <c r="TTV246"/>
      <c r="TTW246"/>
      <c r="TTX246"/>
      <c r="TTY246"/>
      <c r="TTZ246"/>
      <c r="TUA246"/>
      <c r="TUB246"/>
      <c r="TUC246"/>
      <c r="TUD246"/>
      <c r="TUE246"/>
      <c r="TUF246"/>
      <c r="TUG246"/>
      <c r="TUH246"/>
      <c r="TUI246"/>
      <c r="TUJ246"/>
      <c r="TUK246"/>
      <c r="TUL246"/>
      <c r="TUM246"/>
      <c r="TUN246"/>
      <c r="TUO246"/>
      <c r="TUP246"/>
      <c r="TUQ246"/>
      <c r="TUR246"/>
      <c r="TUS246"/>
      <c r="TUT246"/>
      <c r="TUU246"/>
      <c r="TUV246"/>
      <c r="TUW246"/>
      <c r="TUX246"/>
      <c r="TUY246"/>
      <c r="TUZ246"/>
      <c r="TVA246"/>
      <c r="TVB246"/>
      <c r="TVC246"/>
      <c r="TVD246"/>
      <c r="TVE246"/>
      <c r="TVF246"/>
      <c r="TVG246"/>
      <c r="TVH246"/>
      <c r="TVI246"/>
      <c r="TVJ246"/>
      <c r="TVK246"/>
      <c r="TVL246"/>
      <c r="TVM246"/>
      <c r="TVN246"/>
      <c r="TVO246"/>
      <c r="TVP246"/>
      <c r="TVQ246"/>
      <c r="TVR246"/>
      <c r="TVS246"/>
      <c r="TVT246"/>
      <c r="TVU246"/>
      <c r="TVV246"/>
      <c r="TVW246"/>
      <c r="TVX246"/>
      <c r="TVY246"/>
      <c r="TVZ246"/>
      <c r="TWA246"/>
      <c r="TWB246"/>
      <c r="TWC246"/>
      <c r="TWD246"/>
      <c r="TWE246"/>
      <c r="TWF246"/>
      <c r="TWG246"/>
      <c r="TWH246"/>
      <c r="TWI246"/>
      <c r="TWJ246"/>
      <c r="TWK246"/>
      <c r="TWL246"/>
      <c r="TWM246"/>
      <c r="TWN246"/>
      <c r="TWO246"/>
      <c r="TWP246"/>
      <c r="TWQ246"/>
      <c r="TWR246"/>
      <c r="TWS246"/>
      <c r="TWT246"/>
      <c r="TWU246"/>
      <c r="TWV246"/>
      <c r="TWW246"/>
      <c r="TWX246"/>
      <c r="TWY246"/>
      <c r="TWZ246"/>
      <c r="TXA246"/>
      <c r="TXB246"/>
      <c r="TXC246"/>
      <c r="TXD246"/>
      <c r="TXE246"/>
      <c r="TXF246"/>
      <c r="TXG246"/>
      <c r="TXH246"/>
      <c r="TXI246"/>
      <c r="TXJ246"/>
      <c r="TXK246"/>
      <c r="TXL246"/>
      <c r="TXM246"/>
      <c r="TXN246"/>
      <c r="TXO246"/>
      <c r="TXP246"/>
      <c r="TXQ246"/>
      <c r="TXR246"/>
      <c r="TXS246"/>
      <c r="TXT246"/>
      <c r="TXU246"/>
      <c r="TXV246"/>
      <c r="TXW246"/>
      <c r="TXX246"/>
      <c r="TXY246"/>
      <c r="TXZ246"/>
      <c r="TYA246"/>
      <c r="TYB246"/>
      <c r="TYC246"/>
      <c r="TYD246"/>
      <c r="TYE246"/>
      <c r="TYF246"/>
      <c r="TYG246"/>
      <c r="TYH246"/>
      <c r="TYI246"/>
      <c r="TYJ246"/>
      <c r="TYK246"/>
      <c r="TYL246"/>
      <c r="TYM246"/>
      <c r="TYN246"/>
      <c r="TYO246"/>
      <c r="TYP246"/>
      <c r="TYQ246"/>
      <c r="TYR246"/>
      <c r="TYS246"/>
      <c r="TYT246"/>
      <c r="TYU246"/>
      <c r="TYV246"/>
      <c r="TYW246"/>
      <c r="TYX246"/>
      <c r="TYY246"/>
      <c r="TYZ246"/>
      <c r="TZA246"/>
      <c r="TZB246"/>
      <c r="TZC246"/>
      <c r="TZD246"/>
      <c r="TZE246"/>
      <c r="TZF246"/>
      <c r="TZG246"/>
      <c r="TZH246"/>
      <c r="TZI246"/>
      <c r="TZJ246"/>
      <c r="TZK246"/>
      <c r="TZL246"/>
      <c r="TZM246"/>
      <c r="TZN246"/>
      <c r="TZO246"/>
      <c r="TZP246"/>
      <c r="TZQ246"/>
      <c r="TZR246"/>
      <c r="TZS246"/>
      <c r="TZT246"/>
      <c r="TZU246"/>
      <c r="TZV246"/>
      <c r="TZW246"/>
      <c r="TZX246"/>
      <c r="TZY246"/>
      <c r="TZZ246"/>
      <c r="UAA246"/>
      <c r="UAB246"/>
      <c r="UAC246"/>
      <c r="UAD246"/>
      <c r="UAE246"/>
      <c r="UAF246"/>
      <c r="UAG246"/>
      <c r="UAH246"/>
      <c r="UAI246"/>
      <c r="UAJ246"/>
      <c r="UAK246"/>
      <c r="UAL246"/>
      <c r="UAM246"/>
      <c r="UAN246"/>
      <c r="UAO246"/>
      <c r="UAP246"/>
      <c r="UAQ246"/>
      <c r="UAR246"/>
      <c r="UAS246"/>
      <c r="UAT246"/>
      <c r="UAU246"/>
      <c r="UAV246"/>
      <c r="UAW246"/>
      <c r="UAX246"/>
      <c r="UAY246"/>
      <c r="UAZ246"/>
      <c r="UBA246"/>
      <c r="UBB246"/>
      <c r="UBC246"/>
      <c r="UBD246"/>
      <c r="UBE246"/>
      <c r="UBF246"/>
      <c r="UBG246"/>
      <c r="UBH246"/>
      <c r="UBI246"/>
      <c r="UBJ246"/>
      <c r="UBK246"/>
      <c r="UBL246"/>
      <c r="UBM246"/>
      <c r="UBN246"/>
      <c r="UBO246"/>
      <c r="UBP246"/>
      <c r="UBQ246"/>
      <c r="UBR246"/>
      <c r="UBS246"/>
      <c r="UBT246"/>
      <c r="UBU246"/>
      <c r="UBV246"/>
      <c r="UBW246"/>
      <c r="UBX246"/>
      <c r="UBY246"/>
      <c r="UBZ246"/>
      <c r="UCA246"/>
      <c r="UCB246"/>
      <c r="UCC246"/>
      <c r="UCD246"/>
      <c r="UCE246"/>
      <c r="UCF246"/>
      <c r="UCG246"/>
      <c r="UCH246"/>
      <c r="UCI246"/>
      <c r="UCJ246"/>
      <c r="UCK246"/>
      <c r="UCL246"/>
      <c r="UCM246"/>
      <c r="UCN246"/>
      <c r="UCO246"/>
      <c r="UCP246"/>
      <c r="UCQ246"/>
      <c r="UCR246"/>
      <c r="UCS246"/>
      <c r="UCT246"/>
      <c r="UCU246"/>
      <c r="UCV246"/>
      <c r="UCW246"/>
      <c r="UCX246"/>
      <c r="UCY246"/>
      <c r="UCZ246"/>
      <c r="UDA246"/>
      <c r="UDB246"/>
      <c r="UDC246"/>
      <c r="UDD246"/>
      <c r="UDE246"/>
      <c r="UDF246"/>
      <c r="UDG246"/>
      <c r="UDH246"/>
      <c r="UDI246"/>
      <c r="UDJ246"/>
      <c r="UDK246"/>
      <c r="UDL246"/>
      <c r="UDM246"/>
      <c r="UDN246"/>
      <c r="UDO246"/>
      <c r="UDP246"/>
      <c r="UDQ246"/>
      <c r="UDR246"/>
      <c r="UDS246"/>
      <c r="UDT246"/>
      <c r="UDU246"/>
      <c r="UDV246"/>
      <c r="UDW246"/>
      <c r="UDX246"/>
      <c r="UDY246"/>
      <c r="UDZ246"/>
      <c r="UEA246"/>
      <c r="UEB246"/>
      <c r="UEC246"/>
      <c r="UED246"/>
      <c r="UEE246"/>
      <c r="UEF246"/>
      <c r="UEG246"/>
      <c r="UEH246"/>
      <c r="UEI246"/>
      <c r="UEJ246"/>
      <c r="UEK246"/>
      <c r="UEL246"/>
      <c r="UEM246"/>
      <c r="UEN246"/>
      <c r="UEO246"/>
      <c r="UEP246"/>
      <c r="UEQ246"/>
      <c r="UER246"/>
      <c r="UES246"/>
      <c r="UET246"/>
      <c r="UEU246"/>
      <c r="UEV246"/>
      <c r="UEW246"/>
      <c r="UEX246"/>
      <c r="UEY246"/>
      <c r="UEZ246"/>
      <c r="UFA246"/>
      <c r="UFB246"/>
      <c r="UFC246"/>
      <c r="UFD246"/>
      <c r="UFE246"/>
      <c r="UFF246"/>
      <c r="UFG246"/>
      <c r="UFH246"/>
      <c r="UFI246"/>
      <c r="UFJ246"/>
      <c r="UFK246"/>
      <c r="UFL246"/>
      <c r="UFM246"/>
      <c r="UFN246"/>
      <c r="UFO246"/>
      <c r="UFP246"/>
      <c r="UFQ246"/>
      <c r="UFR246"/>
      <c r="UFS246"/>
      <c r="UFT246"/>
      <c r="UFU246"/>
      <c r="UFV246"/>
      <c r="UFW246"/>
      <c r="UFX246"/>
      <c r="UFY246"/>
      <c r="UFZ246"/>
      <c r="UGA246"/>
      <c r="UGB246"/>
      <c r="UGC246"/>
      <c r="UGD246"/>
      <c r="UGE246"/>
      <c r="UGF246"/>
      <c r="UGG246"/>
      <c r="UGH246"/>
      <c r="UGI246"/>
      <c r="UGJ246"/>
      <c r="UGK246"/>
      <c r="UGL246"/>
      <c r="UGM246"/>
      <c r="UGN246"/>
      <c r="UGO246"/>
      <c r="UGP246"/>
      <c r="UGQ246"/>
      <c r="UGR246"/>
      <c r="UGS246"/>
      <c r="UGT246"/>
      <c r="UGU246"/>
      <c r="UGV246"/>
      <c r="UGW246"/>
      <c r="UGX246"/>
      <c r="UGY246"/>
      <c r="UGZ246"/>
      <c r="UHA246"/>
      <c r="UHB246"/>
      <c r="UHC246"/>
      <c r="UHD246"/>
      <c r="UHE246"/>
      <c r="UHF246"/>
      <c r="UHG246"/>
      <c r="UHH246"/>
      <c r="UHI246"/>
      <c r="UHJ246"/>
      <c r="UHK246"/>
      <c r="UHL246"/>
      <c r="UHM246"/>
      <c r="UHN246"/>
      <c r="UHO246"/>
      <c r="UHP246"/>
      <c r="UHQ246"/>
      <c r="UHR246"/>
      <c r="UHS246"/>
      <c r="UHT246"/>
      <c r="UHU246"/>
      <c r="UHV246"/>
      <c r="UHW246"/>
      <c r="UHX246"/>
      <c r="UHY246"/>
      <c r="UHZ246"/>
      <c r="UIA246"/>
      <c r="UIB246"/>
      <c r="UIC246"/>
      <c r="UID246"/>
      <c r="UIE246"/>
      <c r="UIF246"/>
      <c r="UIG246"/>
      <c r="UIH246"/>
      <c r="UII246"/>
      <c r="UIJ246"/>
      <c r="UIK246"/>
      <c r="UIL246"/>
      <c r="UIM246"/>
      <c r="UIN246"/>
      <c r="UIO246"/>
      <c r="UIP246"/>
      <c r="UIQ246"/>
      <c r="UIR246"/>
      <c r="UIS246"/>
      <c r="UIT246"/>
      <c r="UIU246"/>
      <c r="UIV246"/>
      <c r="UIW246"/>
      <c r="UIX246"/>
      <c r="UIY246"/>
      <c r="UIZ246"/>
      <c r="UJA246"/>
      <c r="UJB246"/>
      <c r="UJC246"/>
      <c r="UJD246"/>
      <c r="UJE246"/>
      <c r="UJF246"/>
      <c r="UJG246"/>
      <c r="UJH246"/>
      <c r="UJI246"/>
      <c r="UJJ246"/>
      <c r="UJK246"/>
      <c r="UJL246"/>
      <c r="UJM246"/>
      <c r="UJN246"/>
      <c r="UJO246"/>
      <c r="UJP246"/>
      <c r="UJQ246"/>
      <c r="UJR246"/>
      <c r="UJS246"/>
      <c r="UJT246"/>
      <c r="UJU246"/>
      <c r="UJV246"/>
      <c r="UJW246"/>
      <c r="UJX246"/>
      <c r="UJY246"/>
      <c r="UJZ246"/>
      <c r="UKA246"/>
      <c r="UKB246"/>
      <c r="UKC246"/>
      <c r="UKD246"/>
      <c r="UKE246"/>
      <c r="UKF246"/>
      <c r="UKG246"/>
      <c r="UKH246"/>
      <c r="UKI246"/>
      <c r="UKJ246"/>
      <c r="UKK246"/>
      <c r="UKL246"/>
      <c r="UKM246"/>
      <c r="UKN246"/>
      <c r="UKO246"/>
      <c r="UKP246"/>
      <c r="UKQ246"/>
      <c r="UKR246"/>
      <c r="UKS246"/>
      <c r="UKT246"/>
      <c r="UKU246"/>
      <c r="UKV246"/>
      <c r="UKW246"/>
      <c r="UKX246"/>
      <c r="UKY246"/>
      <c r="UKZ246"/>
      <c r="ULA246"/>
      <c r="ULB246"/>
      <c r="ULC246"/>
      <c r="ULD246"/>
      <c r="ULE246"/>
      <c r="ULF246"/>
      <c r="ULG246"/>
      <c r="ULH246"/>
      <c r="ULI246"/>
      <c r="ULJ246"/>
      <c r="ULK246"/>
      <c r="ULL246"/>
      <c r="ULM246"/>
      <c r="ULN246"/>
      <c r="ULO246"/>
      <c r="ULP246"/>
      <c r="ULQ246"/>
      <c r="ULR246"/>
      <c r="ULS246"/>
      <c r="ULT246"/>
      <c r="ULU246"/>
      <c r="ULV246"/>
      <c r="ULW246"/>
      <c r="ULX246"/>
      <c r="ULY246"/>
      <c r="ULZ246"/>
      <c r="UMA246"/>
      <c r="UMB246"/>
      <c r="UMC246"/>
      <c r="UMD246"/>
      <c r="UME246"/>
      <c r="UMF246"/>
      <c r="UMG246"/>
      <c r="UMH246"/>
      <c r="UMI246"/>
      <c r="UMJ246"/>
      <c r="UMK246"/>
      <c r="UML246"/>
      <c r="UMM246"/>
      <c r="UMN246"/>
      <c r="UMO246"/>
      <c r="UMP246"/>
      <c r="UMQ246"/>
      <c r="UMR246"/>
      <c r="UMS246"/>
      <c r="UMT246"/>
      <c r="UMU246"/>
      <c r="UMV246"/>
      <c r="UMW246"/>
      <c r="UMX246"/>
      <c r="UMY246"/>
      <c r="UMZ246"/>
      <c r="UNA246"/>
      <c r="UNB246"/>
      <c r="UNC246"/>
      <c r="UND246"/>
      <c r="UNE246"/>
      <c r="UNF246"/>
      <c r="UNG246"/>
      <c r="UNH246"/>
      <c r="UNI246"/>
      <c r="UNJ246"/>
      <c r="UNK246"/>
      <c r="UNL246"/>
      <c r="UNM246"/>
      <c r="UNN246"/>
      <c r="UNO246"/>
      <c r="UNP246"/>
      <c r="UNQ246"/>
      <c r="UNR246"/>
      <c r="UNS246"/>
      <c r="UNT246"/>
      <c r="UNU246"/>
      <c r="UNV246"/>
      <c r="UNW246"/>
      <c r="UNX246"/>
      <c r="UNY246"/>
      <c r="UNZ246"/>
      <c r="UOA246"/>
      <c r="UOB246"/>
      <c r="UOC246"/>
      <c r="UOD246"/>
      <c r="UOE246"/>
      <c r="UOF246"/>
      <c r="UOG246"/>
      <c r="UOH246"/>
      <c r="UOI246"/>
      <c r="UOJ246"/>
      <c r="UOK246"/>
      <c r="UOL246"/>
      <c r="UOM246"/>
      <c r="UON246"/>
      <c r="UOO246"/>
      <c r="UOP246"/>
      <c r="UOQ246"/>
      <c r="UOR246"/>
      <c r="UOS246"/>
      <c r="UOT246"/>
      <c r="UOU246"/>
      <c r="UOV246"/>
      <c r="UOW246"/>
      <c r="UOX246"/>
      <c r="UOY246"/>
      <c r="UOZ246"/>
      <c r="UPA246"/>
      <c r="UPB246"/>
      <c r="UPC246"/>
      <c r="UPD246"/>
      <c r="UPE246"/>
      <c r="UPF246"/>
      <c r="UPG246"/>
      <c r="UPH246"/>
      <c r="UPI246"/>
      <c r="UPJ246"/>
      <c r="UPK246"/>
      <c r="UPL246"/>
      <c r="UPM246"/>
      <c r="UPN246"/>
      <c r="UPO246"/>
      <c r="UPP246"/>
      <c r="UPQ246"/>
      <c r="UPR246"/>
      <c r="UPS246"/>
      <c r="UPT246"/>
      <c r="UPU246"/>
      <c r="UPV246"/>
      <c r="UPW246"/>
      <c r="UPX246"/>
      <c r="UPY246"/>
      <c r="UPZ246"/>
      <c r="UQA246"/>
      <c r="UQB246"/>
      <c r="UQC246"/>
      <c r="UQD246"/>
      <c r="UQE246"/>
      <c r="UQF246"/>
      <c r="UQG246"/>
      <c r="UQH246"/>
      <c r="UQI246"/>
      <c r="UQJ246"/>
      <c r="UQK246"/>
      <c r="UQL246"/>
      <c r="UQM246"/>
      <c r="UQN246"/>
      <c r="UQO246"/>
      <c r="UQP246"/>
      <c r="UQQ246"/>
      <c r="UQR246"/>
      <c r="UQS246"/>
      <c r="UQT246"/>
      <c r="UQU246"/>
      <c r="UQV246"/>
      <c r="UQW246"/>
      <c r="UQX246"/>
      <c r="UQY246"/>
      <c r="UQZ246"/>
      <c r="URA246"/>
      <c r="URB246"/>
      <c r="URC246"/>
      <c r="URD246"/>
      <c r="URE246"/>
      <c r="URF246"/>
      <c r="URG246"/>
      <c r="URH246"/>
      <c r="URI246"/>
      <c r="URJ246"/>
      <c r="URK246"/>
      <c r="URL246"/>
      <c r="URM246"/>
      <c r="URN246"/>
      <c r="URO246"/>
      <c r="URP246"/>
      <c r="URQ246"/>
      <c r="URR246"/>
      <c r="URS246"/>
      <c r="URT246"/>
      <c r="URU246"/>
      <c r="URV246"/>
      <c r="URW246"/>
      <c r="URX246"/>
      <c r="URY246"/>
      <c r="URZ246"/>
      <c r="USA246"/>
      <c r="USB246"/>
      <c r="USC246"/>
      <c r="USD246"/>
      <c r="USE246"/>
      <c r="USF246"/>
      <c r="USG246"/>
      <c r="USH246"/>
      <c r="USI246"/>
      <c r="USJ246"/>
      <c r="USK246"/>
      <c r="USL246"/>
      <c r="USM246"/>
      <c r="USN246"/>
      <c r="USO246"/>
      <c r="USP246"/>
      <c r="USQ246"/>
      <c r="USR246"/>
      <c r="USS246"/>
      <c r="UST246"/>
      <c r="USU246"/>
      <c r="USV246"/>
      <c r="USW246"/>
      <c r="USX246"/>
      <c r="USY246"/>
      <c r="USZ246"/>
      <c r="UTA246"/>
      <c r="UTB246"/>
      <c r="UTC246"/>
      <c r="UTD246"/>
      <c r="UTE246"/>
      <c r="UTF246"/>
      <c r="UTG246"/>
      <c r="UTH246"/>
      <c r="UTI246"/>
      <c r="UTJ246"/>
      <c r="UTK246"/>
      <c r="UTL246"/>
      <c r="UTM246"/>
      <c r="UTN246"/>
      <c r="UTO246"/>
      <c r="UTP246"/>
      <c r="UTQ246"/>
      <c r="UTR246"/>
      <c r="UTS246"/>
      <c r="UTT246"/>
      <c r="UTU246"/>
      <c r="UTV246"/>
      <c r="UTW246"/>
      <c r="UTX246"/>
      <c r="UTY246"/>
      <c r="UTZ246"/>
      <c r="UUA246"/>
      <c r="UUB246"/>
      <c r="UUC246"/>
      <c r="UUD246"/>
      <c r="UUE246"/>
      <c r="UUF246"/>
      <c r="UUG246"/>
      <c r="UUH246"/>
      <c r="UUI246"/>
      <c r="UUJ246"/>
      <c r="UUK246"/>
      <c r="UUL246"/>
      <c r="UUM246"/>
      <c r="UUN246"/>
      <c r="UUO246"/>
      <c r="UUP246"/>
      <c r="UUQ246"/>
      <c r="UUR246"/>
      <c r="UUS246"/>
      <c r="UUT246"/>
      <c r="UUU246"/>
      <c r="UUV246"/>
      <c r="UUW246"/>
      <c r="UUX246"/>
      <c r="UUY246"/>
      <c r="UUZ246"/>
      <c r="UVA246"/>
      <c r="UVB246"/>
      <c r="UVC246"/>
      <c r="UVD246"/>
      <c r="UVE246"/>
      <c r="UVF246"/>
      <c r="UVG246"/>
      <c r="UVH246"/>
      <c r="UVI246"/>
      <c r="UVJ246"/>
      <c r="UVK246"/>
      <c r="UVL246"/>
      <c r="UVM246"/>
      <c r="UVN246"/>
      <c r="UVO246"/>
      <c r="UVP246"/>
      <c r="UVQ246"/>
      <c r="UVR246"/>
      <c r="UVS246"/>
      <c r="UVT246"/>
      <c r="UVU246"/>
      <c r="UVV246"/>
      <c r="UVW246"/>
      <c r="UVX246"/>
      <c r="UVY246"/>
      <c r="UVZ246"/>
      <c r="UWA246"/>
      <c r="UWB246"/>
      <c r="UWC246"/>
      <c r="UWD246"/>
      <c r="UWE246"/>
      <c r="UWF246"/>
      <c r="UWG246"/>
      <c r="UWH246"/>
      <c r="UWI246"/>
      <c r="UWJ246"/>
      <c r="UWK246"/>
      <c r="UWL246"/>
      <c r="UWM246"/>
      <c r="UWN246"/>
      <c r="UWO246"/>
      <c r="UWP246"/>
      <c r="UWQ246"/>
      <c r="UWR246"/>
      <c r="UWS246"/>
      <c r="UWT246"/>
      <c r="UWU246"/>
      <c r="UWV246"/>
      <c r="UWW246"/>
      <c r="UWX246"/>
      <c r="UWY246"/>
      <c r="UWZ246"/>
      <c r="UXA246"/>
      <c r="UXB246"/>
      <c r="UXC246"/>
      <c r="UXD246"/>
      <c r="UXE246"/>
      <c r="UXF246"/>
      <c r="UXG246"/>
      <c r="UXH246"/>
      <c r="UXI246"/>
      <c r="UXJ246"/>
      <c r="UXK246"/>
      <c r="UXL246"/>
      <c r="UXM246"/>
      <c r="UXN246"/>
      <c r="UXO246"/>
      <c r="UXP246"/>
      <c r="UXQ246"/>
      <c r="UXR246"/>
      <c r="UXS246"/>
      <c r="UXT246"/>
      <c r="UXU246"/>
      <c r="UXV246"/>
      <c r="UXW246"/>
      <c r="UXX246"/>
      <c r="UXY246"/>
      <c r="UXZ246"/>
      <c r="UYA246"/>
      <c r="UYB246"/>
      <c r="UYC246"/>
      <c r="UYD246"/>
      <c r="UYE246"/>
      <c r="UYF246"/>
      <c r="UYG246"/>
      <c r="UYH246"/>
      <c r="UYI246"/>
      <c r="UYJ246"/>
      <c r="UYK246"/>
      <c r="UYL246"/>
      <c r="UYM246"/>
      <c r="UYN246"/>
      <c r="UYO246"/>
      <c r="UYP246"/>
      <c r="UYQ246"/>
      <c r="UYR246"/>
      <c r="UYS246"/>
      <c r="UYT246"/>
      <c r="UYU246"/>
      <c r="UYV246"/>
      <c r="UYW246"/>
      <c r="UYX246"/>
      <c r="UYY246"/>
      <c r="UYZ246"/>
      <c r="UZA246"/>
      <c r="UZB246"/>
      <c r="UZC246"/>
      <c r="UZD246"/>
      <c r="UZE246"/>
      <c r="UZF246"/>
      <c r="UZG246"/>
      <c r="UZH246"/>
      <c r="UZI246"/>
      <c r="UZJ246"/>
      <c r="UZK246"/>
      <c r="UZL246"/>
      <c r="UZM246"/>
      <c r="UZN246"/>
      <c r="UZO246"/>
      <c r="UZP246"/>
      <c r="UZQ246"/>
      <c r="UZR246"/>
      <c r="UZS246"/>
      <c r="UZT246"/>
      <c r="UZU246"/>
      <c r="UZV246"/>
      <c r="UZW246"/>
      <c r="UZX246"/>
      <c r="UZY246"/>
      <c r="UZZ246"/>
      <c r="VAA246"/>
      <c r="VAB246"/>
      <c r="VAC246"/>
      <c r="VAD246"/>
      <c r="VAE246"/>
      <c r="VAF246"/>
      <c r="VAG246"/>
      <c r="VAH246"/>
      <c r="VAI246"/>
      <c r="VAJ246"/>
      <c r="VAK246"/>
      <c r="VAL246"/>
      <c r="VAM246"/>
      <c r="VAN246"/>
      <c r="VAO246"/>
      <c r="VAP246"/>
      <c r="VAQ246"/>
      <c r="VAR246"/>
      <c r="VAS246"/>
      <c r="VAT246"/>
      <c r="VAU246"/>
      <c r="VAV246"/>
      <c r="VAW246"/>
      <c r="VAX246"/>
      <c r="VAY246"/>
      <c r="VAZ246"/>
      <c r="VBA246"/>
      <c r="VBB246"/>
      <c r="VBC246"/>
      <c r="VBD246"/>
      <c r="VBE246"/>
      <c r="VBF246"/>
      <c r="VBG246"/>
      <c r="VBH246"/>
      <c r="VBI246"/>
      <c r="VBJ246"/>
      <c r="VBK246"/>
      <c r="VBL246"/>
      <c r="VBM246"/>
      <c r="VBN246"/>
      <c r="VBO246"/>
      <c r="VBP246"/>
      <c r="VBQ246"/>
      <c r="VBR246"/>
      <c r="VBS246"/>
      <c r="VBT246"/>
      <c r="VBU246"/>
      <c r="VBV246"/>
      <c r="VBW246"/>
      <c r="VBX246"/>
      <c r="VBY246"/>
      <c r="VBZ246"/>
      <c r="VCA246"/>
      <c r="VCB246"/>
      <c r="VCC246"/>
      <c r="VCD246"/>
      <c r="VCE246"/>
      <c r="VCF246"/>
      <c r="VCG246"/>
      <c r="VCH246"/>
      <c r="VCI246"/>
      <c r="VCJ246"/>
      <c r="VCK246"/>
      <c r="VCL246"/>
      <c r="VCM246"/>
      <c r="VCN246"/>
      <c r="VCO246"/>
      <c r="VCP246"/>
      <c r="VCQ246"/>
      <c r="VCR246"/>
      <c r="VCS246"/>
      <c r="VCT246"/>
      <c r="VCU246"/>
      <c r="VCV246"/>
      <c r="VCW246"/>
      <c r="VCX246"/>
      <c r="VCY246"/>
      <c r="VCZ246"/>
      <c r="VDA246"/>
      <c r="VDB246"/>
      <c r="VDC246"/>
      <c r="VDD246"/>
      <c r="VDE246"/>
      <c r="VDF246"/>
      <c r="VDG246"/>
      <c r="VDH246"/>
      <c r="VDI246"/>
      <c r="VDJ246"/>
      <c r="VDK246"/>
      <c r="VDL246"/>
      <c r="VDM246"/>
      <c r="VDN246"/>
      <c r="VDO246"/>
      <c r="VDP246"/>
      <c r="VDQ246"/>
      <c r="VDR246"/>
      <c r="VDS246"/>
      <c r="VDT246"/>
      <c r="VDU246"/>
      <c r="VDV246"/>
      <c r="VDW246"/>
      <c r="VDX246"/>
      <c r="VDY246"/>
      <c r="VDZ246"/>
      <c r="VEA246"/>
      <c r="VEB246"/>
      <c r="VEC246"/>
      <c r="VED246"/>
      <c r="VEE246"/>
      <c r="VEF246"/>
      <c r="VEG246"/>
      <c r="VEH246"/>
      <c r="VEI246"/>
      <c r="VEJ246"/>
      <c r="VEK246"/>
      <c r="VEL246"/>
      <c r="VEM246"/>
      <c r="VEN246"/>
      <c r="VEO246"/>
      <c r="VEP246"/>
      <c r="VEQ246"/>
      <c r="VER246"/>
      <c r="VES246"/>
      <c r="VET246"/>
      <c r="VEU246"/>
      <c r="VEV246"/>
      <c r="VEW246"/>
      <c r="VEX246"/>
      <c r="VEY246"/>
      <c r="VEZ246"/>
      <c r="VFA246"/>
      <c r="VFB246"/>
      <c r="VFC246"/>
      <c r="VFD246"/>
      <c r="VFE246"/>
      <c r="VFF246"/>
      <c r="VFG246"/>
      <c r="VFH246"/>
      <c r="VFI246"/>
      <c r="VFJ246"/>
      <c r="VFK246"/>
      <c r="VFL246"/>
      <c r="VFM246"/>
      <c r="VFN246"/>
      <c r="VFO246"/>
      <c r="VFP246"/>
      <c r="VFQ246"/>
      <c r="VFR246"/>
      <c r="VFS246"/>
      <c r="VFT246"/>
      <c r="VFU246"/>
      <c r="VFV246"/>
      <c r="VFW246"/>
      <c r="VFX246"/>
      <c r="VFY246"/>
      <c r="VFZ246"/>
      <c r="VGA246"/>
      <c r="VGB246"/>
      <c r="VGC246"/>
      <c r="VGD246"/>
      <c r="VGE246"/>
      <c r="VGF246"/>
      <c r="VGG246"/>
      <c r="VGH246"/>
      <c r="VGI246"/>
      <c r="VGJ246"/>
      <c r="VGK246"/>
      <c r="VGL246"/>
      <c r="VGM246"/>
      <c r="VGN246"/>
      <c r="VGO246"/>
      <c r="VGP246"/>
      <c r="VGQ246"/>
      <c r="VGR246"/>
      <c r="VGS246"/>
      <c r="VGT246"/>
      <c r="VGU246"/>
      <c r="VGV246"/>
      <c r="VGW246"/>
      <c r="VGX246"/>
      <c r="VGY246"/>
      <c r="VGZ246"/>
      <c r="VHA246"/>
      <c r="VHB246"/>
      <c r="VHC246"/>
      <c r="VHD246"/>
      <c r="VHE246"/>
      <c r="VHF246"/>
      <c r="VHG246"/>
      <c r="VHH246"/>
      <c r="VHI246"/>
      <c r="VHJ246"/>
      <c r="VHK246"/>
      <c r="VHL246"/>
      <c r="VHM246"/>
      <c r="VHN246"/>
      <c r="VHO246"/>
      <c r="VHP246"/>
      <c r="VHQ246"/>
      <c r="VHR246"/>
      <c r="VHS246"/>
      <c r="VHT246"/>
      <c r="VHU246"/>
      <c r="VHV246"/>
      <c r="VHW246"/>
      <c r="VHX246"/>
      <c r="VHY246"/>
      <c r="VHZ246"/>
      <c r="VIA246"/>
      <c r="VIB246"/>
      <c r="VIC246"/>
      <c r="VID246"/>
      <c r="VIE246"/>
      <c r="VIF246"/>
      <c r="VIG246"/>
      <c r="VIH246"/>
      <c r="VII246"/>
      <c r="VIJ246"/>
      <c r="VIK246"/>
      <c r="VIL246"/>
      <c r="VIM246"/>
      <c r="VIN246"/>
      <c r="VIO246"/>
      <c r="VIP246"/>
      <c r="VIQ246"/>
      <c r="VIR246"/>
      <c r="VIS246"/>
      <c r="VIT246"/>
      <c r="VIU246"/>
      <c r="VIV246"/>
      <c r="VIW246"/>
      <c r="VIX246"/>
      <c r="VIY246"/>
      <c r="VIZ246"/>
      <c r="VJA246"/>
      <c r="VJB246"/>
      <c r="VJC246"/>
      <c r="VJD246"/>
      <c r="VJE246"/>
      <c r="VJF246"/>
      <c r="VJG246"/>
      <c r="VJH246"/>
      <c r="VJI246"/>
      <c r="VJJ246"/>
      <c r="VJK246"/>
      <c r="VJL246"/>
      <c r="VJM246"/>
      <c r="VJN246"/>
      <c r="VJO246"/>
      <c r="VJP246"/>
      <c r="VJQ246"/>
      <c r="VJR246"/>
      <c r="VJS246"/>
      <c r="VJT246"/>
      <c r="VJU246"/>
      <c r="VJV246"/>
      <c r="VJW246"/>
      <c r="VJX246"/>
      <c r="VJY246"/>
      <c r="VJZ246"/>
      <c r="VKA246"/>
      <c r="VKB246"/>
      <c r="VKC246"/>
      <c r="VKD246"/>
      <c r="VKE246"/>
      <c r="VKF246"/>
      <c r="VKG246"/>
      <c r="VKH246"/>
      <c r="VKI246"/>
      <c r="VKJ246"/>
      <c r="VKK246"/>
      <c r="VKL246"/>
      <c r="VKM246"/>
      <c r="VKN246"/>
      <c r="VKO246"/>
      <c r="VKP246"/>
      <c r="VKQ246"/>
      <c r="VKR246"/>
      <c r="VKS246"/>
      <c r="VKT246"/>
      <c r="VKU246"/>
      <c r="VKV246"/>
      <c r="VKW246"/>
      <c r="VKX246"/>
      <c r="VKY246"/>
      <c r="VKZ246"/>
      <c r="VLA246"/>
      <c r="VLB246"/>
      <c r="VLC246"/>
      <c r="VLD246"/>
      <c r="VLE246"/>
      <c r="VLF246"/>
      <c r="VLG246"/>
      <c r="VLH246"/>
      <c r="VLI246"/>
      <c r="VLJ246"/>
      <c r="VLK246"/>
      <c r="VLL246"/>
      <c r="VLM246"/>
      <c r="VLN246"/>
      <c r="VLO246"/>
      <c r="VLP246"/>
      <c r="VLQ246"/>
      <c r="VLR246"/>
      <c r="VLS246"/>
      <c r="VLT246"/>
      <c r="VLU246"/>
      <c r="VLV246"/>
      <c r="VLW246"/>
      <c r="VLX246"/>
      <c r="VLY246"/>
      <c r="VLZ246"/>
      <c r="VMA246"/>
      <c r="VMB246"/>
      <c r="VMC246"/>
      <c r="VMD246"/>
      <c r="VME246"/>
      <c r="VMF246"/>
      <c r="VMG246"/>
      <c r="VMH246"/>
      <c r="VMI246"/>
      <c r="VMJ246"/>
      <c r="VMK246"/>
      <c r="VML246"/>
      <c r="VMM246"/>
      <c r="VMN246"/>
      <c r="VMO246"/>
      <c r="VMP246"/>
      <c r="VMQ246"/>
      <c r="VMR246"/>
      <c r="VMS246"/>
      <c r="VMT246"/>
      <c r="VMU246"/>
      <c r="VMV246"/>
      <c r="VMW246"/>
      <c r="VMX246"/>
      <c r="VMY246"/>
      <c r="VMZ246"/>
      <c r="VNA246"/>
      <c r="VNB246"/>
      <c r="VNC246"/>
      <c r="VND246"/>
      <c r="VNE246"/>
      <c r="VNF246"/>
      <c r="VNG246"/>
      <c r="VNH246"/>
      <c r="VNI246"/>
      <c r="VNJ246"/>
      <c r="VNK246"/>
      <c r="VNL246"/>
      <c r="VNM246"/>
      <c r="VNN246"/>
      <c r="VNO246"/>
      <c r="VNP246"/>
      <c r="VNQ246"/>
      <c r="VNR246"/>
      <c r="VNS246"/>
      <c r="VNT246"/>
      <c r="VNU246"/>
      <c r="VNV246"/>
      <c r="VNW246"/>
      <c r="VNX246"/>
      <c r="VNY246"/>
      <c r="VNZ246"/>
      <c r="VOA246"/>
      <c r="VOB246"/>
      <c r="VOC246"/>
      <c r="VOD246"/>
      <c r="VOE246"/>
      <c r="VOF246"/>
      <c r="VOG246"/>
      <c r="VOH246"/>
      <c r="VOI246"/>
      <c r="VOJ246"/>
      <c r="VOK246"/>
      <c r="VOL246"/>
      <c r="VOM246"/>
      <c r="VON246"/>
      <c r="VOO246"/>
      <c r="VOP246"/>
      <c r="VOQ246"/>
      <c r="VOR246"/>
      <c r="VOS246"/>
      <c r="VOT246"/>
      <c r="VOU246"/>
      <c r="VOV246"/>
      <c r="VOW246"/>
      <c r="VOX246"/>
      <c r="VOY246"/>
      <c r="VOZ246"/>
      <c r="VPA246"/>
      <c r="VPB246"/>
      <c r="VPC246"/>
      <c r="VPD246"/>
      <c r="VPE246"/>
      <c r="VPF246"/>
      <c r="VPG246"/>
      <c r="VPH246"/>
      <c r="VPI246"/>
      <c r="VPJ246"/>
      <c r="VPK246"/>
      <c r="VPL246"/>
      <c r="VPM246"/>
      <c r="VPN246"/>
      <c r="VPO246"/>
      <c r="VPP246"/>
      <c r="VPQ246"/>
      <c r="VPR246"/>
      <c r="VPS246"/>
      <c r="VPT246"/>
      <c r="VPU246"/>
      <c r="VPV246"/>
      <c r="VPW246"/>
      <c r="VPX246"/>
      <c r="VPY246"/>
      <c r="VPZ246"/>
      <c r="VQA246"/>
      <c r="VQB246"/>
      <c r="VQC246"/>
      <c r="VQD246"/>
      <c r="VQE246"/>
      <c r="VQF246"/>
      <c r="VQG246"/>
      <c r="VQH246"/>
      <c r="VQI246"/>
      <c r="VQJ246"/>
      <c r="VQK246"/>
      <c r="VQL246"/>
      <c r="VQM246"/>
      <c r="VQN246"/>
      <c r="VQO246"/>
      <c r="VQP246"/>
      <c r="VQQ246"/>
      <c r="VQR246"/>
      <c r="VQS246"/>
      <c r="VQT246"/>
      <c r="VQU246"/>
      <c r="VQV246"/>
      <c r="VQW246"/>
      <c r="VQX246"/>
      <c r="VQY246"/>
      <c r="VQZ246"/>
      <c r="VRA246"/>
      <c r="VRB246"/>
      <c r="VRC246"/>
      <c r="VRD246"/>
      <c r="VRE246"/>
      <c r="VRF246"/>
      <c r="VRG246"/>
      <c r="VRH246"/>
      <c r="VRI246"/>
      <c r="VRJ246"/>
      <c r="VRK246"/>
      <c r="VRL246"/>
      <c r="VRM246"/>
      <c r="VRN246"/>
      <c r="VRO246"/>
      <c r="VRP246"/>
      <c r="VRQ246"/>
      <c r="VRR246"/>
      <c r="VRS246"/>
      <c r="VRT246"/>
      <c r="VRU246"/>
      <c r="VRV246"/>
      <c r="VRW246"/>
      <c r="VRX246"/>
      <c r="VRY246"/>
      <c r="VRZ246"/>
      <c r="VSA246"/>
      <c r="VSB246"/>
      <c r="VSC246"/>
      <c r="VSD246"/>
      <c r="VSE246"/>
      <c r="VSF246"/>
      <c r="VSG246"/>
      <c r="VSH246"/>
      <c r="VSI246"/>
      <c r="VSJ246"/>
      <c r="VSK246"/>
      <c r="VSL246"/>
      <c r="VSM246"/>
      <c r="VSN246"/>
      <c r="VSO246"/>
      <c r="VSP246"/>
      <c r="VSQ246"/>
      <c r="VSR246"/>
      <c r="VSS246"/>
      <c r="VST246"/>
      <c r="VSU246"/>
      <c r="VSV246"/>
      <c r="VSW246"/>
      <c r="VSX246"/>
      <c r="VSY246"/>
      <c r="VSZ246"/>
      <c r="VTA246"/>
      <c r="VTB246"/>
      <c r="VTC246"/>
      <c r="VTD246"/>
      <c r="VTE246"/>
      <c r="VTF246"/>
      <c r="VTG246"/>
      <c r="VTH246"/>
      <c r="VTI246"/>
      <c r="VTJ246"/>
      <c r="VTK246"/>
      <c r="VTL246"/>
      <c r="VTM246"/>
      <c r="VTN246"/>
      <c r="VTO246"/>
      <c r="VTP246"/>
      <c r="VTQ246"/>
      <c r="VTR246"/>
      <c r="VTS246"/>
      <c r="VTT246"/>
      <c r="VTU246"/>
      <c r="VTV246"/>
      <c r="VTW246"/>
      <c r="VTX246"/>
      <c r="VTY246"/>
      <c r="VTZ246"/>
      <c r="VUA246"/>
      <c r="VUB246"/>
      <c r="VUC246"/>
      <c r="VUD246"/>
      <c r="VUE246"/>
      <c r="VUF246"/>
      <c r="VUG246"/>
      <c r="VUH246"/>
      <c r="VUI246"/>
      <c r="VUJ246"/>
      <c r="VUK246"/>
      <c r="VUL246"/>
      <c r="VUM246"/>
      <c r="VUN246"/>
      <c r="VUO246"/>
      <c r="VUP246"/>
      <c r="VUQ246"/>
      <c r="VUR246"/>
      <c r="VUS246"/>
      <c r="VUT246"/>
      <c r="VUU246"/>
      <c r="VUV246"/>
      <c r="VUW246"/>
      <c r="VUX246"/>
      <c r="VUY246"/>
      <c r="VUZ246"/>
      <c r="VVA246"/>
      <c r="VVB246"/>
      <c r="VVC246"/>
      <c r="VVD246"/>
      <c r="VVE246"/>
      <c r="VVF246"/>
      <c r="VVG246"/>
      <c r="VVH246"/>
      <c r="VVI246"/>
      <c r="VVJ246"/>
      <c r="VVK246"/>
      <c r="VVL246"/>
      <c r="VVM246"/>
      <c r="VVN246"/>
      <c r="VVO246"/>
      <c r="VVP246"/>
      <c r="VVQ246"/>
      <c r="VVR246"/>
      <c r="VVS246"/>
      <c r="VVT246"/>
      <c r="VVU246"/>
      <c r="VVV246"/>
      <c r="VVW246"/>
      <c r="VVX246"/>
      <c r="VVY246"/>
      <c r="VVZ246"/>
      <c r="VWA246"/>
      <c r="VWB246"/>
      <c r="VWC246"/>
      <c r="VWD246"/>
      <c r="VWE246"/>
      <c r="VWF246"/>
      <c r="VWG246"/>
      <c r="VWH246"/>
      <c r="VWI246"/>
      <c r="VWJ246"/>
      <c r="VWK246"/>
      <c r="VWL246"/>
      <c r="VWM246"/>
      <c r="VWN246"/>
      <c r="VWO246"/>
      <c r="VWP246"/>
      <c r="VWQ246"/>
      <c r="VWR246"/>
      <c r="VWS246"/>
      <c r="VWT246"/>
      <c r="VWU246"/>
      <c r="VWV246"/>
      <c r="VWW246"/>
      <c r="VWX246"/>
      <c r="VWY246"/>
      <c r="VWZ246"/>
      <c r="VXA246"/>
      <c r="VXB246"/>
      <c r="VXC246"/>
      <c r="VXD246"/>
      <c r="VXE246"/>
      <c r="VXF246"/>
      <c r="VXG246"/>
      <c r="VXH246"/>
      <c r="VXI246"/>
      <c r="VXJ246"/>
      <c r="VXK246"/>
      <c r="VXL246"/>
      <c r="VXM246"/>
      <c r="VXN246"/>
      <c r="VXO246"/>
      <c r="VXP246"/>
      <c r="VXQ246"/>
      <c r="VXR246"/>
      <c r="VXS246"/>
      <c r="VXT246"/>
      <c r="VXU246"/>
      <c r="VXV246"/>
      <c r="VXW246"/>
      <c r="VXX246"/>
      <c r="VXY246"/>
      <c r="VXZ246"/>
      <c r="VYA246"/>
      <c r="VYB246"/>
      <c r="VYC246"/>
      <c r="VYD246"/>
      <c r="VYE246"/>
      <c r="VYF246"/>
      <c r="VYG246"/>
      <c r="VYH246"/>
      <c r="VYI246"/>
      <c r="VYJ246"/>
      <c r="VYK246"/>
      <c r="VYL246"/>
      <c r="VYM246"/>
      <c r="VYN246"/>
      <c r="VYO246"/>
      <c r="VYP246"/>
      <c r="VYQ246"/>
      <c r="VYR246"/>
      <c r="VYS246"/>
      <c r="VYT246"/>
      <c r="VYU246"/>
      <c r="VYV246"/>
      <c r="VYW246"/>
      <c r="VYX246"/>
      <c r="VYY246"/>
      <c r="VYZ246"/>
      <c r="VZA246"/>
      <c r="VZB246"/>
      <c r="VZC246"/>
      <c r="VZD246"/>
      <c r="VZE246"/>
      <c r="VZF246"/>
      <c r="VZG246"/>
      <c r="VZH246"/>
      <c r="VZI246"/>
      <c r="VZJ246"/>
      <c r="VZK246"/>
      <c r="VZL246"/>
      <c r="VZM246"/>
      <c r="VZN246"/>
      <c r="VZO246"/>
      <c r="VZP246"/>
      <c r="VZQ246"/>
      <c r="VZR246"/>
      <c r="VZS246"/>
      <c r="VZT246"/>
      <c r="VZU246"/>
      <c r="VZV246"/>
      <c r="VZW246"/>
      <c r="VZX246"/>
      <c r="VZY246"/>
      <c r="VZZ246"/>
      <c r="WAA246"/>
      <c r="WAB246"/>
      <c r="WAC246"/>
      <c r="WAD246"/>
      <c r="WAE246"/>
      <c r="WAF246"/>
      <c r="WAG246"/>
      <c r="WAH246"/>
      <c r="WAI246"/>
      <c r="WAJ246"/>
      <c r="WAK246"/>
      <c r="WAL246"/>
      <c r="WAM246"/>
      <c r="WAN246"/>
      <c r="WAO246"/>
      <c r="WAP246"/>
      <c r="WAQ246"/>
      <c r="WAR246"/>
      <c r="WAS246"/>
      <c r="WAT246"/>
      <c r="WAU246"/>
      <c r="WAV246"/>
      <c r="WAW246"/>
      <c r="WAX246"/>
      <c r="WAY246"/>
      <c r="WAZ246"/>
      <c r="WBA246"/>
      <c r="WBB246"/>
      <c r="WBC246"/>
      <c r="WBD246"/>
      <c r="WBE246"/>
      <c r="WBF246"/>
      <c r="WBG246"/>
      <c r="WBH246"/>
      <c r="WBI246"/>
      <c r="WBJ246"/>
      <c r="WBK246"/>
      <c r="WBL246"/>
      <c r="WBM246"/>
      <c r="WBN246"/>
      <c r="WBO246"/>
      <c r="WBP246"/>
      <c r="WBQ246"/>
      <c r="WBR246"/>
      <c r="WBS246"/>
      <c r="WBT246"/>
      <c r="WBU246"/>
      <c r="WBV246"/>
      <c r="WBW246"/>
      <c r="WBX246"/>
      <c r="WBY246"/>
      <c r="WBZ246"/>
      <c r="WCA246"/>
      <c r="WCB246"/>
      <c r="WCC246"/>
      <c r="WCD246"/>
      <c r="WCE246"/>
      <c r="WCF246"/>
      <c r="WCG246"/>
      <c r="WCH246"/>
      <c r="WCI246"/>
      <c r="WCJ246"/>
      <c r="WCK246"/>
      <c r="WCL246"/>
      <c r="WCM246"/>
      <c r="WCN246"/>
      <c r="WCO246"/>
      <c r="WCP246"/>
      <c r="WCQ246"/>
      <c r="WCR246"/>
      <c r="WCS246"/>
      <c r="WCT246"/>
      <c r="WCU246"/>
      <c r="WCV246"/>
      <c r="WCW246"/>
      <c r="WCX246"/>
      <c r="WCY246"/>
      <c r="WCZ246"/>
      <c r="WDA246"/>
      <c r="WDB246"/>
      <c r="WDC246"/>
      <c r="WDD246"/>
      <c r="WDE246"/>
      <c r="WDF246"/>
      <c r="WDG246"/>
      <c r="WDH246"/>
      <c r="WDI246"/>
      <c r="WDJ246"/>
      <c r="WDK246"/>
      <c r="WDL246"/>
      <c r="WDM246"/>
      <c r="WDN246"/>
      <c r="WDO246"/>
      <c r="WDP246"/>
      <c r="WDQ246"/>
      <c r="WDR246"/>
      <c r="WDS246"/>
      <c r="WDT246"/>
      <c r="WDU246"/>
      <c r="WDV246"/>
      <c r="WDW246"/>
      <c r="WDX246"/>
      <c r="WDY246"/>
      <c r="WDZ246"/>
      <c r="WEA246"/>
      <c r="WEB246"/>
      <c r="WEC246"/>
      <c r="WED246"/>
      <c r="WEE246"/>
      <c r="WEF246"/>
      <c r="WEG246"/>
      <c r="WEH246"/>
      <c r="WEI246"/>
      <c r="WEJ246"/>
      <c r="WEK246"/>
      <c r="WEL246"/>
      <c r="WEM246"/>
      <c r="WEN246"/>
      <c r="WEO246"/>
      <c r="WEP246"/>
      <c r="WEQ246"/>
      <c r="WER246"/>
      <c r="WES246"/>
      <c r="WET246"/>
      <c r="WEU246"/>
      <c r="WEV246"/>
      <c r="WEW246"/>
      <c r="WEX246"/>
      <c r="WEY246"/>
      <c r="WEZ246"/>
      <c r="WFA246"/>
      <c r="WFB246"/>
      <c r="WFC246"/>
      <c r="WFD246"/>
      <c r="WFE246"/>
      <c r="WFF246"/>
      <c r="WFG246"/>
      <c r="WFH246"/>
      <c r="WFI246"/>
      <c r="WFJ246"/>
      <c r="WFK246"/>
      <c r="WFL246"/>
      <c r="WFM246"/>
      <c r="WFN246"/>
      <c r="WFO246"/>
      <c r="WFP246"/>
      <c r="WFQ246"/>
      <c r="WFR246"/>
      <c r="WFS246"/>
      <c r="WFT246"/>
      <c r="WFU246"/>
      <c r="WFV246"/>
      <c r="WFW246"/>
      <c r="WFX246"/>
      <c r="WFY246"/>
      <c r="WFZ246"/>
      <c r="WGA246"/>
      <c r="WGB246"/>
      <c r="WGC246"/>
      <c r="WGD246"/>
      <c r="WGE246"/>
      <c r="WGF246"/>
      <c r="WGG246"/>
      <c r="WGH246"/>
      <c r="WGI246"/>
      <c r="WGJ246"/>
      <c r="WGK246"/>
      <c r="WGL246"/>
      <c r="WGM246"/>
      <c r="WGN246"/>
      <c r="WGO246"/>
      <c r="WGP246"/>
      <c r="WGQ246"/>
      <c r="WGR246"/>
      <c r="WGS246"/>
      <c r="WGT246"/>
      <c r="WGU246"/>
      <c r="WGV246"/>
      <c r="WGW246"/>
      <c r="WGX246"/>
      <c r="WGY246"/>
      <c r="WGZ246"/>
      <c r="WHA246"/>
      <c r="WHB246"/>
      <c r="WHC246"/>
      <c r="WHD246"/>
      <c r="WHE246"/>
      <c r="WHF246"/>
      <c r="WHG246"/>
      <c r="WHH246"/>
      <c r="WHI246"/>
      <c r="WHJ246"/>
      <c r="WHK246"/>
      <c r="WHL246"/>
      <c r="WHM246"/>
      <c r="WHN246"/>
      <c r="WHO246"/>
      <c r="WHP246"/>
      <c r="WHQ246"/>
      <c r="WHR246"/>
      <c r="WHS246"/>
      <c r="WHT246"/>
      <c r="WHU246"/>
      <c r="WHV246"/>
      <c r="WHW246"/>
      <c r="WHX246"/>
      <c r="WHY246"/>
      <c r="WHZ246"/>
      <c r="WIA246"/>
      <c r="WIB246"/>
      <c r="WIC246"/>
      <c r="WID246"/>
      <c r="WIE246"/>
      <c r="WIF246"/>
      <c r="WIG246"/>
      <c r="WIH246"/>
      <c r="WII246"/>
      <c r="WIJ246"/>
      <c r="WIK246"/>
      <c r="WIL246"/>
      <c r="WIM246"/>
      <c r="WIN246"/>
      <c r="WIO246"/>
      <c r="WIP246"/>
      <c r="WIQ246"/>
      <c r="WIR246"/>
      <c r="WIS246"/>
      <c r="WIT246"/>
      <c r="WIU246"/>
      <c r="WIV246"/>
      <c r="WIW246"/>
      <c r="WIX246"/>
      <c r="WIY246"/>
      <c r="WIZ246"/>
      <c r="WJA246"/>
      <c r="WJB246"/>
      <c r="WJC246"/>
      <c r="WJD246"/>
      <c r="WJE246"/>
      <c r="WJF246"/>
      <c r="WJG246"/>
      <c r="WJH246"/>
      <c r="WJI246"/>
      <c r="WJJ246"/>
      <c r="WJK246"/>
      <c r="WJL246"/>
      <c r="WJM246"/>
      <c r="WJN246"/>
      <c r="WJO246"/>
      <c r="WJP246"/>
      <c r="WJQ246"/>
      <c r="WJR246"/>
      <c r="WJS246"/>
      <c r="WJT246"/>
      <c r="WJU246"/>
      <c r="WJV246"/>
      <c r="WJW246"/>
      <c r="WJX246"/>
      <c r="WJY246"/>
      <c r="WJZ246"/>
      <c r="WKA246"/>
      <c r="WKB246"/>
      <c r="WKC246"/>
      <c r="WKD246"/>
      <c r="WKE246"/>
      <c r="WKF246"/>
      <c r="WKG246"/>
      <c r="WKH246"/>
      <c r="WKI246"/>
      <c r="WKJ246"/>
      <c r="WKK246"/>
      <c r="WKL246"/>
      <c r="WKM246"/>
      <c r="WKN246"/>
      <c r="WKO246"/>
      <c r="WKP246"/>
      <c r="WKQ246"/>
      <c r="WKR246"/>
      <c r="WKS246"/>
      <c r="WKT246"/>
      <c r="WKU246"/>
      <c r="WKV246"/>
      <c r="WKW246"/>
      <c r="WKX246"/>
      <c r="WKY246"/>
      <c r="WKZ246"/>
      <c r="WLA246"/>
      <c r="WLB246"/>
      <c r="WLC246"/>
      <c r="WLD246"/>
      <c r="WLE246"/>
      <c r="WLF246"/>
      <c r="WLG246"/>
      <c r="WLH246"/>
      <c r="WLI246"/>
      <c r="WLJ246"/>
      <c r="WLK246"/>
      <c r="WLL246"/>
      <c r="WLM246"/>
      <c r="WLN246"/>
      <c r="WLO246"/>
      <c r="WLP246"/>
      <c r="WLQ246"/>
      <c r="WLR246"/>
      <c r="WLS246"/>
      <c r="WLT246"/>
      <c r="WLU246"/>
      <c r="WLV246"/>
      <c r="WLW246"/>
      <c r="WLX246"/>
      <c r="WLY246"/>
      <c r="WLZ246"/>
      <c r="WMA246"/>
      <c r="WMB246"/>
      <c r="WMC246"/>
      <c r="WMD246"/>
      <c r="WME246"/>
      <c r="WMF246"/>
      <c r="WMG246"/>
      <c r="WMH246"/>
      <c r="WMI246"/>
      <c r="WMJ246"/>
      <c r="WMK246"/>
      <c r="WML246"/>
      <c r="WMM246"/>
      <c r="WMN246"/>
      <c r="WMO246"/>
      <c r="WMP246"/>
      <c r="WMQ246"/>
      <c r="WMR246"/>
      <c r="WMS246"/>
      <c r="WMT246"/>
      <c r="WMU246"/>
      <c r="WMV246"/>
      <c r="WMW246"/>
      <c r="WMX246"/>
      <c r="WMY246"/>
      <c r="WMZ246"/>
      <c r="WNA246"/>
      <c r="WNB246"/>
      <c r="WNC246"/>
      <c r="WND246"/>
      <c r="WNE246"/>
      <c r="WNF246"/>
      <c r="WNG246"/>
      <c r="WNH246"/>
      <c r="WNI246"/>
      <c r="WNJ246"/>
      <c r="WNK246"/>
      <c r="WNL246"/>
      <c r="WNM246"/>
      <c r="WNN246"/>
      <c r="WNO246"/>
      <c r="WNP246"/>
      <c r="WNQ246"/>
      <c r="WNR246"/>
      <c r="WNS246"/>
      <c r="WNT246"/>
      <c r="WNU246"/>
      <c r="WNV246"/>
      <c r="WNW246"/>
      <c r="WNX246"/>
      <c r="WNY246"/>
      <c r="WNZ246"/>
      <c r="WOA246"/>
      <c r="WOB246"/>
      <c r="WOC246"/>
      <c r="WOD246"/>
      <c r="WOE246"/>
      <c r="WOF246"/>
      <c r="WOG246"/>
      <c r="WOH246"/>
      <c r="WOI246"/>
      <c r="WOJ246"/>
      <c r="WOK246"/>
      <c r="WOL246"/>
      <c r="WOM246"/>
      <c r="WON246"/>
      <c r="WOO246"/>
      <c r="WOP246"/>
      <c r="WOQ246"/>
      <c r="WOR246"/>
      <c r="WOS246"/>
      <c r="WOT246"/>
      <c r="WOU246"/>
      <c r="WOV246"/>
      <c r="WOW246"/>
      <c r="WOX246"/>
      <c r="WOY246"/>
      <c r="WOZ246"/>
      <c r="WPA246"/>
      <c r="WPB246"/>
      <c r="WPC246"/>
      <c r="WPD246"/>
      <c r="WPE246"/>
      <c r="WPF246"/>
      <c r="WPG246"/>
      <c r="WPH246"/>
      <c r="WPI246"/>
      <c r="WPJ246"/>
      <c r="WPK246"/>
      <c r="WPL246"/>
      <c r="WPM246"/>
      <c r="WPN246"/>
      <c r="WPO246"/>
      <c r="WPP246"/>
      <c r="WPQ246"/>
      <c r="WPR246"/>
      <c r="WPS246"/>
      <c r="WPT246"/>
      <c r="WPU246"/>
      <c r="WPV246"/>
      <c r="WPW246"/>
      <c r="WPX246"/>
      <c r="WPY246"/>
      <c r="WPZ246"/>
      <c r="WQA246"/>
      <c r="WQB246"/>
      <c r="WQC246"/>
      <c r="WQD246"/>
      <c r="WQE246"/>
      <c r="WQF246"/>
      <c r="WQG246"/>
      <c r="WQH246"/>
      <c r="WQI246"/>
      <c r="WQJ246"/>
      <c r="WQK246"/>
      <c r="WQL246"/>
      <c r="WQM246"/>
      <c r="WQN246"/>
      <c r="WQO246"/>
      <c r="WQP246"/>
      <c r="WQQ246"/>
      <c r="WQR246"/>
      <c r="WQS246"/>
      <c r="WQT246"/>
      <c r="WQU246"/>
      <c r="WQV246"/>
      <c r="WQW246"/>
      <c r="WQX246"/>
      <c r="WQY246"/>
      <c r="WQZ246"/>
      <c r="WRA246"/>
      <c r="WRB246"/>
      <c r="WRC246"/>
      <c r="WRD246"/>
      <c r="WRE246"/>
      <c r="WRF246"/>
      <c r="WRG246"/>
      <c r="WRH246"/>
      <c r="WRI246"/>
      <c r="WRJ246"/>
      <c r="WRK246"/>
      <c r="WRL246"/>
      <c r="WRM246"/>
      <c r="WRN246"/>
      <c r="WRO246"/>
      <c r="WRP246"/>
      <c r="WRQ246"/>
      <c r="WRR246"/>
      <c r="WRS246"/>
      <c r="WRT246"/>
      <c r="WRU246"/>
      <c r="WRV246"/>
      <c r="WRW246"/>
      <c r="WRX246"/>
      <c r="WRY246"/>
      <c r="WRZ246"/>
      <c r="WSA246"/>
      <c r="WSB246"/>
      <c r="WSC246"/>
      <c r="WSD246"/>
      <c r="WSE246"/>
      <c r="WSF246"/>
      <c r="WSG246"/>
      <c r="WSH246"/>
      <c r="WSI246"/>
      <c r="WSJ246"/>
      <c r="WSK246"/>
      <c r="WSL246"/>
      <c r="WSM246"/>
      <c r="WSN246"/>
      <c r="WSO246"/>
      <c r="WSP246"/>
      <c r="WSQ246"/>
      <c r="WSR246"/>
      <c r="WSS246"/>
      <c r="WST246"/>
      <c r="WSU246"/>
      <c r="WSV246"/>
      <c r="WSW246"/>
      <c r="WSX246"/>
      <c r="WSY246"/>
      <c r="WSZ246"/>
      <c r="WTA246"/>
      <c r="WTB246"/>
      <c r="WTC246"/>
      <c r="WTD246"/>
      <c r="WTE246"/>
      <c r="WTF246"/>
      <c r="WTG246"/>
      <c r="WTH246"/>
      <c r="WTI246"/>
      <c r="WTJ246"/>
      <c r="WTK246"/>
      <c r="WTL246"/>
      <c r="WTM246"/>
      <c r="WTN246"/>
      <c r="WTO246"/>
      <c r="WTP246"/>
      <c r="WTQ246"/>
      <c r="WTR246"/>
      <c r="WTS246"/>
      <c r="WTT246"/>
      <c r="WTU246"/>
      <c r="WTV246"/>
      <c r="WTW246"/>
      <c r="WTX246"/>
      <c r="WTY246"/>
      <c r="WTZ246"/>
      <c r="WUA246"/>
      <c r="WUB246"/>
      <c r="WUC246"/>
      <c r="WUD246"/>
      <c r="WUE246"/>
      <c r="WUF246"/>
      <c r="WUG246"/>
      <c r="WUH246"/>
      <c r="WUI246"/>
      <c r="WUJ246"/>
      <c r="WUK246"/>
      <c r="WUL246"/>
      <c r="WUM246"/>
      <c r="WUN246"/>
      <c r="WUO246"/>
      <c r="WUP246"/>
      <c r="WUQ246"/>
      <c r="WUR246"/>
      <c r="WUS246"/>
      <c r="WUT246"/>
      <c r="WUU246"/>
      <c r="WUV246"/>
      <c r="WUW246"/>
      <c r="WUX246"/>
      <c r="WUY246"/>
      <c r="WUZ246"/>
      <c r="WVA246"/>
      <c r="WVB246"/>
      <c r="WVC246"/>
      <c r="WVD246"/>
      <c r="WVE246"/>
      <c r="WVF246"/>
      <c r="WVG246"/>
      <c r="WVH246"/>
      <c r="WVI246"/>
      <c r="WVJ246"/>
      <c r="WVK246"/>
      <c r="WVL246"/>
      <c r="WVM246"/>
      <c r="WVN246"/>
      <c r="WVO246"/>
      <c r="WVP246"/>
      <c r="WVQ246"/>
      <c r="WVR246"/>
      <c r="WVS246"/>
      <c r="WVT246"/>
      <c r="WVU246"/>
      <c r="WVV246"/>
      <c r="WVW246"/>
      <c r="WVX246"/>
      <c r="WVY246"/>
      <c r="WVZ246"/>
      <c r="WWA246"/>
      <c r="WWB246"/>
      <c r="WWC246"/>
      <c r="WWD246"/>
      <c r="WWE246"/>
      <c r="WWF246"/>
      <c r="WWG246"/>
      <c r="WWH246"/>
      <c r="WWI246"/>
      <c r="WWJ246"/>
      <c r="WWK246"/>
      <c r="WWL246"/>
      <c r="WWM246"/>
      <c r="WWN246"/>
      <c r="WWO246"/>
      <c r="WWP246"/>
      <c r="WWQ246"/>
      <c r="WWR246"/>
      <c r="WWS246"/>
      <c r="WWT246"/>
      <c r="WWU246"/>
      <c r="WWV246"/>
      <c r="WWW246"/>
      <c r="WWX246"/>
      <c r="WWY246"/>
      <c r="WWZ246"/>
      <c r="WXA246"/>
      <c r="WXB246"/>
      <c r="WXC246"/>
      <c r="WXD246"/>
      <c r="WXE246"/>
      <c r="WXF246"/>
      <c r="WXG246"/>
      <c r="WXH246"/>
      <c r="WXI246"/>
      <c r="WXJ246"/>
      <c r="WXK246"/>
      <c r="WXL246"/>
      <c r="WXM246"/>
      <c r="WXN246"/>
      <c r="WXO246"/>
      <c r="WXP246"/>
      <c r="WXQ246"/>
      <c r="WXR246"/>
      <c r="WXS246"/>
      <c r="WXT246"/>
      <c r="WXU246"/>
      <c r="WXV246"/>
      <c r="WXW246"/>
      <c r="WXX246"/>
      <c r="WXY246"/>
      <c r="WXZ246"/>
      <c r="WYA246"/>
      <c r="WYB246"/>
      <c r="WYC246"/>
      <c r="WYD246"/>
      <c r="WYE246"/>
      <c r="WYF246"/>
      <c r="WYG246"/>
      <c r="WYH246"/>
      <c r="WYI246"/>
      <c r="WYJ246"/>
      <c r="WYK246"/>
      <c r="WYL246"/>
      <c r="WYM246"/>
      <c r="WYN246"/>
      <c r="WYO246"/>
      <c r="WYP246"/>
      <c r="WYQ246"/>
      <c r="WYR246"/>
      <c r="WYS246"/>
      <c r="WYT246"/>
      <c r="WYU246"/>
      <c r="WYV246"/>
      <c r="WYW246"/>
      <c r="WYX246"/>
      <c r="WYY246"/>
      <c r="WYZ246"/>
      <c r="WZA246"/>
      <c r="WZB246"/>
      <c r="WZC246"/>
      <c r="WZD246"/>
      <c r="WZE246"/>
      <c r="WZF246"/>
      <c r="WZG246"/>
      <c r="WZH246"/>
      <c r="WZI246"/>
      <c r="WZJ246"/>
      <c r="WZK246"/>
      <c r="WZL246"/>
      <c r="WZM246"/>
      <c r="WZN246"/>
      <c r="WZO246"/>
      <c r="WZP246"/>
      <c r="WZQ246"/>
      <c r="WZR246"/>
      <c r="WZS246"/>
      <c r="WZT246"/>
      <c r="WZU246"/>
      <c r="WZV246"/>
      <c r="WZW246"/>
      <c r="WZX246"/>
      <c r="WZY246"/>
      <c r="WZZ246"/>
      <c r="XAA246"/>
      <c r="XAB246"/>
      <c r="XAC246"/>
      <c r="XAD246"/>
      <c r="XAE246"/>
      <c r="XAF246"/>
      <c r="XAG246"/>
      <c r="XAH246"/>
      <c r="XAI246"/>
      <c r="XAJ246"/>
      <c r="XAK246"/>
      <c r="XAL246"/>
      <c r="XAM246"/>
      <c r="XAN246"/>
      <c r="XAO246"/>
      <c r="XAP246"/>
      <c r="XAQ246"/>
      <c r="XAR246"/>
      <c r="XAS246"/>
      <c r="XAT246"/>
      <c r="XAU246"/>
      <c r="XAV246"/>
      <c r="XAW246"/>
      <c r="XAX246"/>
      <c r="XAY246"/>
      <c r="XAZ246"/>
      <c r="XBA246"/>
      <c r="XBB246"/>
      <c r="XBC246"/>
      <c r="XBD246"/>
      <c r="XBE246"/>
      <c r="XBF246"/>
      <c r="XBG246"/>
      <c r="XBH246"/>
      <c r="XBI246"/>
      <c r="XBJ246"/>
      <c r="XBK246"/>
      <c r="XBL246"/>
      <c r="XBM246"/>
      <c r="XBN246"/>
      <c r="XBO246"/>
      <c r="XBP246"/>
      <c r="XBQ246"/>
      <c r="XBR246"/>
      <c r="XBS246"/>
      <c r="XBT246"/>
      <c r="XBU246"/>
      <c r="XBV246"/>
      <c r="XBW246"/>
      <c r="XBX246"/>
      <c r="XBY246"/>
      <c r="XBZ246"/>
      <c r="XCA246"/>
      <c r="XCB246"/>
      <c r="XCC246"/>
      <c r="XCD246"/>
      <c r="XCE246"/>
      <c r="XCF246"/>
      <c r="XCG246"/>
      <c r="XCH246"/>
      <c r="XCI246"/>
      <c r="XCJ246"/>
      <c r="XCK246"/>
      <c r="XCL246"/>
      <c r="XCM246"/>
      <c r="XCN246"/>
      <c r="XCO246"/>
      <c r="XCP246"/>
      <c r="XCQ246"/>
      <c r="XCR246"/>
      <c r="XCS246"/>
      <c r="XCT246"/>
      <c r="XCU246"/>
      <c r="XCV246"/>
      <c r="XCW246"/>
      <c r="XCX246"/>
      <c r="XCY246"/>
      <c r="XCZ246"/>
      <c r="XDA246"/>
      <c r="XDB246"/>
      <c r="XDC246"/>
      <c r="XDD246"/>
      <c r="XDE246"/>
      <c r="XDF246"/>
      <c r="XDG246"/>
      <c r="XDH246"/>
      <c r="XDI246"/>
      <c r="XDJ246"/>
      <c r="XDK246"/>
      <c r="XDL246"/>
      <c r="XDM246"/>
      <c r="XDN246"/>
      <c r="XDO246"/>
      <c r="XDP246"/>
      <c r="XDQ246"/>
      <c r="XDR246"/>
      <c r="XDS246"/>
      <c r="XDT246"/>
      <c r="XDU246"/>
      <c r="XDV246"/>
      <c r="XDW246"/>
      <c r="XDX246"/>
      <c r="XDY246"/>
      <c r="XDZ246"/>
      <c r="XEA246"/>
      <c r="XEB246"/>
      <c r="XEC246"/>
      <c r="XED246"/>
      <c r="XEE246"/>
      <c r="XEF246"/>
      <c r="XEG246"/>
      <c r="XEH246"/>
      <c r="XEI246"/>
      <c r="XEJ246"/>
      <c r="XEK246"/>
      <c r="XEL246"/>
      <c r="XEM246"/>
      <c r="XEN246"/>
      <c r="XEO246"/>
      <c r="XEP246"/>
      <c r="XEQ246"/>
      <c r="XER246"/>
      <c r="XES246"/>
      <c r="XET246"/>
      <c r="XEU246"/>
      <c r="XEV246"/>
      <c r="XEW246"/>
      <c r="XEX246"/>
      <c r="XEY246"/>
      <c r="XEZ246"/>
      <c r="XFA246"/>
      <c r="XFB246"/>
      <c r="XFC246"/>
      <c r="XFD246"/>
    </row>
    <row r="247" spans="1:16384" s="12" customFormat="1" x14ac:dyDescent="0.3">
      <c r="A247"/>
      <c r="B247"/>
      <c r="C247"/>
      <c r="D247"/>
      <c r="E247"/>
      <c r="F247"/>
      <c r="G247"/>
      <c r="H247"/>
      <c r="I247" s="299"/>
      <c r="J247"/>
      <c r="K247" s="300"/>
      <c r="L247" s="300"/>
      <c r="M247"/>
      <c r="N247"/>
      <c r="Y247"/>
      <c r="Z247"/>
    </row>
    <row r="248" spans="1:16384" s="12" customFormat="1" x14ac:dyDescent="0.3">
      <c r="A248"/>
      <c r="B248"/>
      <c r="C248"/>
      <c r="D248"/>
      <c r="E248"/>
      <c r="F248"/>
      <c r="G248"/>
      <c r="H248"/>
      <c r="I248" s="299"/>
      <c r="J248"/>
      <c r="K248" s="300"/>
      <c r="L248" s="300"/>
      <c r="M248"/>
      <c r="N248"/>
      <c r="Y248"/>
      <c r="Z248"/>
    </row>
    <row r="249" spans="1:16384" x14ac:dyDescent="0.3">
      <c r="A249"/>
      <c r="C249"/>
      <c r="D249"/>
      <c r="F249"/>
      <c r="G249"/>
      <c r="I249" s="299"/>
      <c r="K249" s="300"/>
      <c r="L249" s="300"/>
    </row>
    <row r="250" spans="1:16384" s="12" customFormat="1" x14ac:dyDescent="0.3">
      <c r="A250"/>
      <c r="B250"/>
      <c r="C250"/>
      <c r="D250"/>
      <c r="E250"/>
      <c r="F250"/>
      <c r="G250"/>
      <c r="H250"/>
      <c r="I250" s="299"/>
      <c r="J250"/>
      <c r="K250" s="300"/>
      <c r="L250" s="300"/>
      <c r="M250"/>
      <c r="N250"/>
      <c r="Y250"/>
      <c r="Z250"/>
    </row>
    <row r="251" spans="1:16384" s="12" customFormat="1" x14ac:dyDescent="0.3">
      <c r="A251"/>
      <c r="B251"/>
      <c r="C251"/>
      <c r="D251"/>
      <c r="E251"/>
      <c r="F251"/>
      <c r="G251"/>
      <c r="H251"/>
      <c r="I251" s="299"/>
      <c r="J251"/>
      <c r="K251" s="300"/>
      <c r="L251" s="300"/>
      <c r="M251"/>
      <c r="N251"/>
      <c r="Y251"/>
      <c r="Z251"/>
    </row>
    <row r="252" spans="1:16384" s="12" customFormat="1" x14ac:dyDescent="0.3">
      <c r="A252"/>
      <c r="B252"/>
      <c r="C252"/>
      <c r="D252"/>
      <c r="E252"/>
      <c r="F252"/>
      <c r="G252"/>
      <c r="H252"/>
      <c r="I252" s="299"/>
      <c r="J252"/>
      <c r="K252" s="300"/>
      <c r="L252" s="300"/>
      <c r="M252"/>
      <c r="N252"/>
      <c r="Y252"/>
      <c r="Z252"/>
    </row>
    <row r="253" spans="1:16384" s="12" customFormat="1" x14ac:dyDescent="0.3">
      <c r="A253"/>
      <c r="B253"/>
      <c r="C253"/>
      <c r="D253"/>
      <c r="E253"/>
      <c r="F253"/>
      <c r="G253"/>
      <c r="H253"/>
      <c r="I253" s="299"/>
      <c r="J253"/>
      <c r="K253" s="300"/>
      <c r="L253" s="300"/>
      <c r="M253"/>
      <c r="N253"/>
      <c r="Y253"/>
      <c r="Z253"/>
    </row>
    <row r="254" spans="1:16384" s="12" customFormat="1" x14ac:dyDescent="0.3">
      <c r="A254"/>
      <c r="B254"/>
      <c r="C254"/>
      <c r="D254"/>
      <c r="E254"/>
      <c r="F254"/>
      <c r="G254"/>
      <c r="H254"/>
      <c r="I254" s="299"/>
      <c r="J254"/>
      <c r="K254" s="300"/>
      <c r="L254" s="300"/>
      <c r="M254"/>
      <c r="N254"/>
      <c r="Y254"/>
      <c r="Z254"/>
    </row>
    <row r="255" spans="1:16384" s="12" customFormat="1" x14ac:dyDescent="0.3">
      <c r="A255"/>
      <c r="B255"/>
      <c r="C255"/>
      <c r="D255"/>
      <c r="E255"/>
      <c r="F255"/>
      <c r="G255"/>
      <c r="H255"/>
      <c r="I255" s="299"/>
      <c r="J255"/>
      <c r="K255" s="300"/>
      <c r="L255" s="300"/>
      <c r="M255"/>
      <c r="N255"/>
      <c r="Y255"/>
      <c r="Z255"/>
    </row>
    <row r="256" spans="1:16384" x14ac:dyDescent="0.3">
      <c r="A256"/>
      <c r="C256"/>
      <c r="D256"/>
      <c r="F256"/>
      <c r="G256"/>
      <c r="I256" s="299"/>
      <c r="K256" s="300"/>
      <c r="L256" s="300"/>
    </row>
    <row r="257" spans="1:26" s="12" customFormat="1" x14ac:dyDescent="0.3">
      <c r="A257"/>
      <c r="B257"/>
      <c r="C257"/>
      <c r="D257"/>
      <c r="E257"/>
      <c r="F257"/>
      <c r="G257"/>
      <c r="H257"/>
      <c r="I257" s="299"/>
      <c r="J257"/>
      <c r="K257" s="300"/>
      <c r="L257" s="300"/>
      <c r="M257"/>
      <c r="N257"/>
      <c r="Y257"/>
      <c r="Z257"/>
    </row>
    <row r="258" spans="1:26" s="12" customFormat="1" x14ac:dyDescent="0.3">
      <c r="A258"/>
      <c r="B258"/>
      <c r="C258"/>
      <c r="D258"/>
      <c r="E258"/>
      <c r="F258"/>
      <c r="G258"/>
      <c r="H258"/>
      <c r="I258" s="299"/>
      <c r="J258"/>
      <c r="K258" s="300"/>
      <c r="L258" s="300"/>
      <c r="M258"/>
      <c r="N258"/>
      <c r="Y258"/>
      <c r="Z258"/>
    </row>
    <row r="259" spans="1:26" s="12" customFormat="1" x14ac:dyDescent="0.3">
      <c r="A259"/>
      <c r="B259"/>
      <c r="C259"/>
      <c r="D259"/>
      <c r="E259"/>
      <c r="F259"/>
      <c r="G259"/>
      <c r="H259"/>
      <c r="I259" s="299"/>
      <c r="J259"/>
      <c r="K259" s="300"/>
      <c r="L259" s="300"/>
      <c r="M259"/>
      <c r="N259"/>
      <c r="Y259"/>
      <c r="Z259"/>
    </row>
    <row r="260" spans="1:26" s="12" customFormat="1" x14ac:dyDescent="0.3">
      <c r="A260"/>
      <c r="B260"/>
      <c r="C260"/>
      <c r="D260"/>
      <c r="E260"/>
      <c r="F260"/>
      <c r="G260"/>
      <c r="H260"/>
      <c r="I260" s="299"/>
      <c r="J260"/>
      <c r="K260" s="300"/>
      <c r="L260" s="300"/>
      <c r="M260"/>
      <c r="N260"/>
      <c r="Y260"/>
      <c r="Z260"/>
    </row>
    <row r="261" spans="1:26" s="12" customFormat="1" x14ac:dyDescent="0.3">
      <c r="A261"/>
      <c r="B261"/>
      <c r="C261"/>
      <c r="D261"/>
      <c r="E261"/>
      <c r="F261"/>
      <c r="G261"/>
      <c r="H261"/>
      <c r="I261" s="299"/>
      <c r="J261"/>
      <c r="K261" s="300"/>
      <c r="L261" s="300"/>
      <c r="M261"/>
      <c r="N261"/>
      <c r="Y261"/>
      <c r="Z261"/>
    </row>
    <row r="262" spans="1:26" s="12" customFormat="1" x14ac:dyDescent="0.3">
      <c r="A262"/>
      <c r="B262"/>
      <c r="C262"/>
      <c r="D262"/>
      <c r="E262"/>
      <c r="F262"/>
      <c r="G262"/>
      <c r="H262"/>
      <c r="I262" s="299"/>
      <c r="J262"/>
      <c r="K262" s="300"/>
      <c r="L262" s="300"/>
      <c r="M262"/>
      <c r="N262"/>
      <c r="Y262"/>
      <c r="Z262"/>
    </row>
    <row r="263" spans="1:26" s="12" customFormat="1" x14ac:dyDescent="0.3">
      <c r="A263"/>
      <c r="B263"/>
      <c r="C263"/>
      <c r="D263"/>
      <c r="E263"/>
      <c r="F263"/>
      <c r="G263"/>
      <c r="H263"/>
      <c r="I263" s="299"/>
      <c r="J263"/>
      <c r="K263" s="300"/>
      <c r="L263" s="300"/>
      <c r="M263"/>
      <c r="N263"/>
      <c r="Y263"/>
      <c r="Z263"/>
    </row>
    <row r="264" spans="1:26" s="12" customFormat="1" x14ac:dyDescent="0.3">
      <c r="A264"/>
      <c r="B264"/>
      <c r="C264"/>
      <c r="D264"/>
      <c r="E264"/>
      <c r="F264"/>
      <c r="G264"/>
      <c r="H264"/>
      <c r="I264" s="299"/>
      <c r="J264"/>
      <c r="K264" s="300"/>
      <c r="L264" s="300"/>
      <c r="M264"/>
      <c r="N264"/>
      <c r="Y264"/>
      <c r="Z264"/>
    </row>
    <row r="265" spans="1:26" s="12" customFormat="1" x14ac:dyDescent="0.3">
      <c r="A265"/>
      <c r="B265"/>
      <c r="C265"/>
      <c r="D265"/>
      <c r="E265"/>
      <c r="F265"/>
      <c r="G265"/>
      <c r="H265"/>
      <c r="I265" s="299"/>
      <c r="J265"/>
      <c r="K265" s="300"/>
      <c r="L265" s="300"/>
      <c r="M265"/>
      <c r="N265"/>
      <c r="Y265"/>
      <c r="Z265"/>
    </row>
    <row r="266" spans="1:26" s="12" customFormat="1" x14ac:dyDescent="0.3">
      <c r="A266"/>
      <c r="B266"/>
      <c r="C266"/>
      <c r="D266"/>
      <c r="E266"/>
      <c r="F266"/>
      <c r="G266"/>
      <c r="H266"/>
      <c r="I266" s="299"/>
      <c r="J266"/>
      <c r="K266" s="300"/>
      <c r="L266" s="300"/>
      <c r="M266"/>
      <c r="N266"/>
      <c r="Y266"/>
      <c r="Z266"/>
    </row>
    <row r="267" spans="1:26" s="12" customFormat="1" x14ac:dyDescent="0.3">
      <c r="A267"/>
      <c r="B267"/>
      <c r="C267"/>
      <c r="D267"/>
      <c r="E267"/>
      <c r="F267"/>
      <c r="G267"/>
      <c r="H267"/>
      <c r="I267" s="299"/>
      <c r="J267"/>
      <c r="K267" s="300"/>
      <c r="L267" s="300"/>
      <c r="M267"/>
      <c r="N267"/>
      <c r="Y267"/>
      <c r="Z267"/>
    </row>
    <row r="268" spans="1:26" x14ac:dyDescent="0.3">
      <c r="A268"/>
      <c r="C268"/>
      <c r="D268"/>
      <c r="F268"/>
      <c r="G268"/>
      <c r="I268" s="299"/>
      <c r="K268" s="300"/>
      <c r="L268" s="300"/>
    </row>
    <row r="269" spans="1:26" s="12" customFormat="1" x14ac:dyDescent="0.3">
      <c r="A269"/>
      <c r="B269"/>
      <c r="C269"/>
      <c r="D269"/>
      <c r="E269"/>
      <c r="F269"/>
      <c r="G269"/>
      <c r="H269"/>
      <c r="I269" s="299"/>
      <c r="J269"/>
      <c r="K269" s="300"/>
      <c r="L269" s="300"/>
      <c r="M269"/>
      <c r="N269"/>
      <c r="Y269"/>
      <c r="Z269"/>
    </row>
    <row r="270" spans="1:26" s="12" customFormat="1" x14ac:dyDescent="0.3">
      <c r="A270"/>
      <c r="B270"/>
      <c r="C270"/>
      <c r="D270"/>
      <c r="E270"/>
      <c r="F270"/>
      <c r="G270"/>
      <c r="H270"/>
      <c r="I270" s="299"/>
      <c r="J270"/>
      <c r="K270" s="300"/>
      <c r="L270" s="300"/>
      <c r="M270"/>
      <c r="N270"/>
      <c r="Y270"/>
      <c r="Z270"/>
    </row>
    <row r="271" spans="1:26" s="12" customFormat="1" x14ac:dyDescent="0.3">
      <c r="A271"/>
      <c r="B271"/>
      <c r="C271"/>
      <c r="D271"/>
      <c r="E271"/>
      <c r="F271"/>
      <c r="G271"/>
      <c r="H271"/>
      <c r="I271" s="299"/>
      <c r="J271"/>
      <c r="K271" s="300"/>
      <c r="L271" s="300"/>
      <c r="M271"/>
      <c r="N271"/>
      <c r="Y271"/>
      <c r="Z271"/>
    </row>
    <row r="272" spans="1:26" s="12" customFormat="1" x14ac:dyDescent="0.3">
      <c r="A272"/>
      <c r="B272"/>
      <c r="C272"/>
      <c r="D272"/>
      <c r="E272"/>
      <c r="F272"/>
      <c r="G272"/>
      <c r="H272"/>
      <c r="I272" s="299"/>
      <c r="J272"/>
      <c r="K272" s="300"/>
      <c r="L272" s="300"/>
      <c r="M272"/>
      <c r="N272"/>
      <c r="Y272"/>
      <c r="Z272"/>
    </row>
    <row r="273" spans="1:26" s="12" customFormat="1" x14ac:dyDescent="0.3">
      <c r="A273"/>
      <c r="B273"/>
      <c r="C273"/>
      <c r="D273"/>
      <c r="E273"/>
      <c r="F273"/>
      <c r="G273"/>
      <c r="H273"/>
      <c r="I273" s="299"/>
      <c r="J273"/>
      <c r="K273" s="300"/>
      <c r="L273" s="300"/>
      <c r="M273"/>
      <c r="N273"/>
      <c r="Y273"/>
      <c r="Z273"/>
    </row>
    <row r="274" spans="1:26" s="12" customFormat="1" x14ac:dyDescent="0.3">
      <c r="A274"/>
      <c r="B274"/>
      <c r="C274"/>
      <c r="D274"/>
      <c r="E274"/>
      <c r="F274"/>
      <c r="G274"/>
      <c r="H274"/>
      <c r="I274" s="299"/>
      <c r="J274"/>
      <c r="K274" s="300"/>
      <c r="L274" s="300"/>
      <c r="M274"/>
      <c r="N274"/>
      <c r="Y274"/>
      <c r="Z274"/>
    </row>
    <row r="275" spans="1:26" x14ac:dyDescent="0.3">
      <c r="A275"/>
      <c r="C275"/>
      <c r="D275"/>
      <c r="F275"/>
      <c r="G275"/>
      <c r="I275" s="299"/>
      <c r="K275" s="300"/>
      <c r="L275" s="300"/>
    </row>
    <row r="276" spans="1:26" s="12" customFormat="1" x14ac:dyDescent="0.3">
      <c r="A276"/>
      <c r="B276"/>
      <c r="C276"/>
      <c r="D276"/>
      <c r="E276"/>
      <c r="F276"/>
      <c r="G276"/>
      <c r="H276"/>
      <c r="I276" s="299"/>
      <c r="J276"/>
      <c r="K276" s="300"/>
      <c r="L276" s="300"/>
      <c r="M276"/>
      <c r="N276"/>
      <c r="Y276"/>
      <c r="Z276"/>
    </row>
    <row r="277" spans="1:26" s="12" customFormat="1" x14ac:dyDescent="0.3">
      <c r="A277"/>
      <c r="B277"/>
      <c r="C277"/>
      <c r="D277"/>
      <c r="E277"/>
      <c r="F277"/>
      <c r="G277"/>
      <c r="H277"/>
      <c r="I277" s="299"/>
      <c r="J277"/>
      <c r="K277" s="300"/>
      <c r="L277" s="300"/>
      <c r="M277"/>
      <c r="N277"/>
      <c r="Y277"/>
      <c r="Z277"/>
    </row>
    <row r="278" spans="1:26" s="12" customFormat="1" x14ac:dyDescent="0.3">
      <c r="A278"/>
      <c r="B278"/>
      <c r="C278"/>
      <c r="D278"/>
      <c r="E278"/>
      <c r="F278"/>
      <c r="G278"/>
      <c r="H278"/>
      <c r="I278" s="299"/>
      <c r="J278"/>
      <c r="K278" s="300"/>
      <c r="L278" s="300"/>
      <c r="M278"/>
      <c r="N278"/>
      <c r="Y278"/>
      <c r="Z278"/>
    </row>
    <row r="279" spans="1:26" s="12" customFormat="1" x14ac:dyDescent="0.3">
      <c r="A279"/>
      <c r="B279"/>
      <c r="C279"/>
      <c r="D279"/>
      <c r="E279"/>
      <c r="F279"/>
      <c r="G279"/>
      <c r="H279"/>
      <c r="I279" s="299"/>
      <c r="J279"/>
      <c r="K279" s="300"/>
      <c r="L279" s="300"/>
      <c r="M279"/>
      <c r="N279"/>
      <c r="Y279"/>
      <c r="Z279"/>
    </row>
    <row r="280" spans="1:26" s="12" customFormat="1" x14ac:dyDescent="0.3">
      <c r="A280"/>
      <c r="B280"/>
      <c r="C280"/>
      <c r="D280"/>
      <c r="E280"/>
      <c r="F280"/>
      <c r="G280"/>
      <c r="H280"/>
      <c r="I280" s="299"/>
      <c r="J280"/>
      <c r="K280" s="300"/>
      <c r="L280" s="300"/>
      <c r="M280"/>
      <c r="N280"/>
      <c r="Y280"/>
      <c r="Z280"/>
    </row>
    <row r="281" spans="1:26" s="12" customFormat="1" x14ac:dyDescent="0.3">
      <c r="A281"/>
      <c r="B281"/>
      <c r="C281"/>
      <c r="D281"/>
      <c r="E281"/>
      <c r="F281"/>
      <c r="G281"/>
      <c r="H281"/>
      <c r="I281" s="299"/>
      <c r="J281"/>
      <c r="K281" s="300"/>
      <c r="L281" s="300"/>
      <c r="M281"/>
      <c r="N281"/>
      <c r="Y281"/>
      <c r="Z281"/>
    </row>
    <row r="282" spans="1:26" s="12" customFormat="1" x14ac:dyDescent="0.3">
      <c r="A282"/>
      <c r="B282"/>
      <c r="C282"/>
      <c r="D282"/>
      <c r="E282"/>
      <c r="F282"/>
      <c r="G282"/>
      <c r="H282"/>
      <c r="I282" s="299"/>
      <c r="J282"/>
      <c r="K282" s="300"/>
      <c r="L282" s="300"/>
      <c r="M282"/>
      <c r="N282"/>
      <c r="Y282"/>
      <c r="Z282"/>
    </row>
    <row r="283" spans="1:26" s="12" customFormat="1" x14ac:dyDescent="0.3">
      <c r="A283"/>
      <c r="B283"/>
      <c r="C283"/>
      <c r="D283"/>
      <c r="E283"/>
      <c r="F283"/>
      <c r="G283"/>
      <c r="H283"/>
      <c r="I283" s="299"/>
      <c r="J283"/>
      <c r="K283" s="300"/>
      <c r="L283" s="300"/>
      <c r="M283"/>
      <c r="N283"/>
      <c r="Y283"/>
      <c r="Z283"/>
    </row>
    <row r="284" spans="1:26" s="12" customFormat="1" x14ac:dyDescent="0.3">
      <c r="A284"/>
      <c r="B284"/>
      <c r="C284"/>
      <c r="D284"/>
      <c r="E284"/>
      <c r="F284"/>
      <c r="G284"/>
      <c r="H284"/>
      <c r="I284" s="299"/>
      <c r="J284"/>
      <c r="K284" s="300"/>
      <c r="L284" s="300"/>
      <c r="M284"/>
      <c r="N284"/>
      <c r="Y284"/>
      <c r="Z284"/>
    </row>
    <row r="285" spans="1:26" s="12" customFormat="1" x14ac:dyDescent="0.3">
      <c r="A285"/>
      <c r="B285"/>
      <c r="C285"/>
      <c r="D285"/>
      <c r="E285"/>
      <c r="F285"/>
      <c r="G285"/>
      <c r="H285"/>
      <c r="I285" s="299"/>
      <c r="J285"/>
      <c r="K285" s="300"/>
      <c r="L285" s="300"/>
      <c r="M285"/>
      <c r="N285"/>
      <c r="Y285"/>
      <c r="Z285"/>
    </row>
    <row r="286" spans="1:26" s="12" customFormat="1" x14ac:dyDescent="0.3">
      <c r="A286"/>
      <c r="B286"/>
      <c r="C286"/>
      <c r="D286"/>
      <c r="E286"/>
      <c r="F286"/>
      <c r="G286"/>
      <c r="H286"/>
      <c r="I286" s="299"/>
      <c r="J286"/>
      <c r="K286" s="300"/>
      <c r="L286" s="300"/>
      <c r="M286"/>
      <c r="N286"/>
      <c r="Y286"/>
      <c r="Z286"/>
    </row>
    <row r="287" spans="1:26" x14ac:dyDescent="0.3">
      <c r="A287"/>
      <c r="C287"/>
      <c r="D287"/>
      <c r="F287"/>
      <c r="G287"/>
      <c r="I287" s="299"/>
      <c r="K287" s="300"/>
      <c r="L287" s="300"/>
    </row>
    <row r="288" spans="1:26" x14ac:dyDescent="0.3">
      <c r="A288"/>
      <c r="C288"/>
      <c r="D288"/>
      <c r="F288"/>
      <c r="G288"/>
      <c r="I288" s="299"/>
      <c r="K288" s="300"/>
      <c r="L288" s="300"/>
    </row>
    <row r="289" spans="1:12" x14ac:dyDescent="0.3">
      <c r="A289"/>
      <c r="C289"/>
      <c r="D289"/>
      <c r="F289"/>
      <c r="G289"/>
      <c r="I289" s="299"/>
      <c r="K289" s="300"/>
      <c r="L289" s="300"/>
    </row>
    <row r="290" spans="1:12" x14ac:dyDescent="0.3">
      <c r="A290"/>
      <c r="C290"/>
      <c r="D290"/>
      <c r="F290"/>
      <c r="G290"/>
      <c r="I290" s="299"/>
      <c r="K290" s="300"/>
      <c r="L290" s="300"/>
    </row>
    <row r="291" spans="1:12" x14ac:dyDescent="0.3">
      <c r="A291"/>
      <c r="C291"/>
      <c r="D291"/>
      <c r="F291"/>
      <c r="G291"/>
      <c r="I291" s="299"/>
      <c r="K291" s="300"/>
      <c r="L291" s="300"/>
    </row>
    <row r="292" spans="1:12" x14ac:dyDescent="0.3">
      <c r="A292"/>
      <c r="C292"/>
      <c r="D292"/>
      <c r="F292"/>
      <c r="G292"/>
      <c r="I292" s="299"/>
      <c r="K292" s="300"/>
      <c r="L292" s="300"/>
    </row>
    <row r="293" spans="1:12" x14ac:dyDescent="0.3">
      <c r="A293"/>
      <c r="C293"/>
      <c r="D293"/>
      <c r="F293"/>
      <c r="G293"/>
      <c r="I293" s="299"/>
      <c r="K293" s="300"/>
      <c r="L293" s="300"/>
    </row>
    <row r="294" spans="1:12" x14ac:dyDescent="0.3">
      <c r="A294"/>
      <c r="C294"/>
      <c r="D294"/>
      <c r="F294"/>
      <c r="G294"/>
      <c r="I294" s="299"/>
      <c r="K294" s="300"/>
      <c r="L294" s="300"/>
    </row>
    <row r="295" spans="1:12" x14ac:dyDescent="0.3">
      <c r="A295"/>
      <c r="C295"/>
      <c r="D295"/>
      <c r="F295"/>
      <c r="G295"/>
      <c r="I295" s="299"/>
      <c r="K295" s="300"/>
      <c r="L295" s="300"/>
    </row>
    <row r="296" spans="1:12" x14ac:dyDescent="0.3">
      <c r="A296"/>
      <c r="C296"/>
      <c r="D296"/>
      <c r="F296"/>
      <c r="G296"/>
      <c r="I296" s="299"/>
      <c r="K296" s="300"/>
      <c r="L296" s="300"/>
    </row>
    <row r="297" spans="1:12" x14ac:dyDescent="0.3">
      <c r="A297"/>
      <c r="C297"/>
      <c r="D297"/>
      <c r="F297"/>
      <c r="G297"/>
      <c r="I297" s="299"/>
      <c r="K297" s="300"/>
      <c r="L297" s="300"/>
    </row>
    <row r="298" spans="1:12" x14ac:dyDescent="0.3">
      <c r="A298"/>
      <c r="C298"/>
      <c r="D298"/>
      <c r="F298"/>
      <c r="G298"/>
      <c r="I298" s="299"/>
      <c r="K298" s="300"/>
      <c r="L298" s="300"/>
    </row>
    <row r="299" spans="1:12" x14ac:dyDescent="0.3">
      <c r="A299"/>
      <c r="C299"/>
      <c r="D299"/>
      <c r="F299"/>
      <c r="G299"/>
      <c r="I299" s="299"/>
      <c r="K299" s="300"/>
      <c r="L299" s="300"/>
    </row>
    <row r="300" spans="1:12" x14ac:dyDescent="0.3">
      <c r="A300"/>
      <c r="C300"/>
      <c r="D300"/>
      <c r="F300"/>
      <c r="G300"/>
      <c r="I300" s="299"/>
      <c r="K300" s="300"/>
      <c r="L300" s="300"/>
    </row>
    <row r="301" spans="1:12" x14ac:dyDescent="0.3">
      <c r="A301"/>
      <c r="C301"/>
      <c r="D301"/>
      <c r="F301"/>
      <c r="G301"/>
      <c r="I301" s="299"/>
      <c r="K301" s="300"/>
      <c r="L301" s="300"/>
    </row>
    <row r="302" spans="1:12" x14ac:dyDescent="0.3">
      <c r="A302"/>
      <c r="C302"/>
      <c r="D302"/>
      <c r="F302"/>
      <c r="G302"/>
      <c r="I302" s="299"/>
      <c r="K302" s="300"/>
      <c r="L302" s="300"/>
    </row>
    <row r="303" spans="1:12" x14ac:dyDescent="0.3">
      <c r="A303"/>
      <c r="C303"/>
      <c r="D303"/>
      <c r="F303"/>
      <c r="G303"/>
      <c r="I303" s="299"/>
      <c r="K303" s="300"/>
      <c r="L303" s="300"/>
    </row>
    <row r="304" spans="1:12" x14ac:dyDescent="0.3">
      <c r="A304"/>
      <c r="C304"/>
      <c r="D304"/>
      <c r="F304"/>
      <c r="G304"/>
      <c r="I304" s="299"/>
      <c r="K304" s="300"/>
      <c r="L304" s="300"/>
    </row>
    <row r="305" spans="1:12" x14ac:dyDescent="0.3">
      <c r="A305"/>
      <c r="C305"/>
      <c r="D305"/>
      <c r="F305"/>
      <c r="G305"/>
      <c r="I305" s="299"/>
      <c r="K305" s="300"/>
      <c r="L305" s="300"/>
    </row>
    <row r="306" spans="1:12" x14ac:dyDescent="0.3">
      <c r="A306"/>
      <c r="C306"/>
      <c r="D306"/>
      <c r="F306"/>
      <c r="G306"/>
      <c r="I306" s="299"/>
      <c r="K306" s="300"/>
      <c r="L306" s="300"/>
    </row>
    <row r="307" spans="1:12" x14ac:dyDescent="0.3">
      <c r="A307"/>
      <c r="C307"/>
      <c r="D307"/>
      <c r="F307"/>
      <c r="G307"/>
      <c r="I307" s="299"/>
      <c r="K307" s="300"/>
      <c r="L307" s="300"/>
    </row>
    <row r="308" spans="1:12" x14ac:dyDescent="0.3">
      <c r="A308"/>
      <c r="C308"/>
      <c r="D308"/>
      <c r="F308"/>
      <c r="G308"/>
      <c r="I308" s="299"/>
      <c r="K308" s="300"/>
      <c r="L308" s="300"/>
    </row>
    <row r="309" spans="1:12" x14ac:dyDescent="0.3">
      <c r="A309"/>
      <c r="C309"/>
      <c r="D309"/>
      <c r="F309"/>
      <c r="G309"/>
      <c r="I309" s="299"/>
      <c r="K309" s="300"/>
      <c r="L309" s="300"/>
    </row>
    <row r="310" spans="1:12" x14ac:dyDescent="0.3">
      <c r="A310"/>
      <c r="C310"/>
      <c r="D310"/>
      <c r="F310"/>
      <c r="G310"/>
      <c r="I310" s="299"/>
      <c r="K310" s="300"/>
      <c r="L310" s="300"/>
    </row>
    <row r="311" spans="1:12" x14ac:dyDescent="0.3">
      <c r="A311"/>
      <c r="C311"/>
      <c r="D311"/>
      <c r="F311"/>
      <c r="G311"/>
      <c r="I311" s="299"/>
      <c r="K311" s="300"/>
      <c r="L311" s="300"/>
    </row>
    <row r="312" spans="1:12" x14ac:dyDescent="0.3">
      <c r="A312"/>
      <c r="C312"/>
      <c r="D312"/>
      <c r="F312"/>
      <c r="G312"/>
      <c r="I312" s="299"/>
      <c r="K312" s="300"/>
      <c r="L312" s="300"/>
    </row>
    <row r="313" spans="1:12" x14ac:dyDescent="0.3">
      <c r="A313"/>
      <c r="C313"/>
      <c r="D313"/>
      <c r="F313"/>
      <c r="G313"/>
      <c r="I313" s="299"/>
      <c r="K313" s="300"/>
      <c r="L313" s="300"/>
    </row>
    <row r="314" spans="1:12" x14ac:dyDescent="0.3">
      <c r="A314"/>
      <c r="C314"/>
      <c r="D314"/>
      <c r="F314"/>
      <c r="G314"/>
      <c r="I314" s="299"/>
      <c r="K314" s="300"/>
      <c r="L314" s="300"/>
    </row>
    <row r="315" spans="1:12" x14ac:dyDescent="0.3">
      <c r="A315"/>
      <c r="C315"/>
      <c r="D315"/>
      <c r="F315"/>
      <c r="G315"/>
      <c r="I315" s="299"/>
      <c r="K315" s="300"/>
      <c r="L315" s="300"/>
    </row>
    <row r="316" spans="1:12" x14ac:dyDescent="0.3">
      <c r="A316"/>
      <c r="C316"/>
      <c r="D316"/>
      <c r="F316"/>
      <c r="G316"/>
      <c r="I316" s="299"/>
      <c r="K316" s="300"/>
      <c r="L316" s="300"/>
    </row>
    <row r="317" spans="1:12" x14ac:dyDescent="0.3">
      <c r="A317"/>
      <c r="C317"/>
      <c r="D317"/>
      <c r="F317"/>
      <c r="G317"/>
      <c r="I317" s="299"/>
      <c r="K317" s="300"/>
      <c r="L317" s="300"/>
    </row>
    <row r="318" spans="1:12" x14ac:dyDescent="0.3">
      <c r="A318"/>
      <c r="C318"/>
      <c r="D318"/>
      <c r="F318"/>
      <c r="G318"/>
      <c r="I318" s="299"/>
      <c r="K318" s="300"/>
      <c r="L318" s="300"/>
    </row>
    <row r="319" spans="1:12" x14ac:dyDescent="0.3">
      <c r="A319"/>
      <c r="C319"/>
      <c r="D319"/>
      <c r="F319"/>
      <c r="G319"/>
      <c r="I319" s="299"/>
      <c r="K319" s="300"/>
      <c r="L319" s="300"/>
    </row>
    <row r="320" spans="1:12" x14ac:dyDescent="0.3">
      <c r="A320"/>
      <c r="C320"/>
      <c r="D320"/>
      <c r="F320"/>
      <c r="G320"/>
      <c r="I320" s="299"/>
      <c r="K320" s="300"/>
      <c r="L320" s="300"/>
    </row>
    <row r="321" spans="1:12" x14ac:dyDescent="0.3">
      <c r="A321"/>
      <c r="C321"/>
      <c r="D321"/>
      <c r="F321"/>
      <c r="G321"/>
      <c r="I321" s="299"/>
      <c r="K321" s="300"/>
      <c r="L321" s="300"/>
    </row>
    <row r="322" spans="1:12" x14ac:dyDescent="0.3">
      <c r="A322"/>
      <c r="C322"/>
      <c r="D322"/>
      <c r="F322"/>
      <c r="G322"/>
      <c r="I322" s="299"/>
      <c r="K322" s="300"/>
      <c r="L322" s="300"/>
    </row>
    <row r="323" spans="1:12" x14ac:dyDescent="0.3">
      <c r="A323"/>
      <c r="C323"/>
      <c r="D323"/>
      <c r="F323"/>
      <c r="G323"/>
      <c r="I323" s="299"/>
      <c r="K323" s="300"/>
      <c r="L323" s="300"/>
    </row>
    <row r="324" spans="1:12" x14ac:dyDescent="0.3">
      <c r="A324"/>
      <c r="C324"/>
      <c r="D324"/>
      <c r="F324"/>
      <c r="G324"/>
      <c r="I324" s="299"/>
      <c r="K324" s="300"/>
      <c r="L324" s="300"/>
    </row>
    <row r="325" spans="1:12" x14ac:dyDescent="0.3">
      <c r="A325"/>
      <c r="C325"/>
      <c r="D325"/>
      <c r="F325"/>
      <c r="G325"/>
      <c r="I325" s="299"/>
      <c r="K325" s="300"/>
      <c r="L325" s="300"/>
    </row>
    <row r="326" spans="1:12" x14ac:dyDescent="0.3">
      <c r="A326"/>
      <c r="C326"/>
      <c r="D326"/>
      <c r="F326"/>
      <c r="G326"/>
      <c r="I326" s="299"/>
      <c r="K326" s="300"/>
      <c r="L326" s="300"/>
    </row>
    <row r="327" spans="1:12" x14ac:dyDescent="0.3">
      <c r="A327"/>
      <c r="C327"/>
      <c r="D327"/>
      <c r="F327"/>
      <c r="G327"/>
      <c r="I327" s="299"/>
      <c r="K327" s="300"/>
      <c r="L327" s="300"/>
    </row>
    <row r="328" spans="1:12" x14ac:dyDescent="0.3">
      <c r="A328"/>
      <c r="C328"/>
      <c r="D328"/>
      <c r="F328"/>
      <c r="G328"/>
      <c r="I328" s="299"/>
      <c r="K328" s="300"/>
      <c r="L328" s="300"/>
    </row>
    <row r="329" spans="1:12" x14ac:dyDescent="0.3">
      <c r="A329"/>
      <c r="C329"/>
      <c r="D329"/>
      <c r="F329"/>
      <c r="G329"/>
      <c r="I329" s="299"/>
      <c r="K329" s="300"/>
      <c r="L329" s="300"/>
    </row>
    <row r="330" spans="1:12" x14ac:dyDescent="0.3">
      <c r="A330"/>
      <c r="C330"/>
      <c r="D330"/>
      <c r="F330"/>
      <c r="G330"/>
      <c r="I330" s="299"/>
      <c r="K330" s="300"/>
      <c r="L330" s="300"/>
    </row>
    <row r="331" spans="1:12" x14ac:dyDescent="0.3">
      <c r="A331"/>
      <c r="C331"/>
      <c r="D331"/>
      <c r="F331"/>
      <c r="G331"/>
      <c r="I331" s="299"/>
      <c r="K331" s="300"/>
      <c r="L331" s="300"/>
    </row>
    <row r="332" spans="1:12" x14ac:dyDescent="0.3">
      <c r="A332"/>
      <c r="C332"/>
      <c r="D332"/>
      <c r="F332"/>
      <c r="G332"/>
      <c r="I332" s="299"/>
      <c r="K332" s="300"/>
      <c r="L332" s="300"/>
    </row>
    <row r="333" spans="1:12" x14ac:dyDescent="0.3">
      <c r="A333"/>
      <c r="C333"/>
      <c r="D333"/>
      <c r="F333"/>
      <c r="G333"/>
      <c r="I333" s="299"/>
      <c r="K333" s="300"/>
      <c r="L333" s="300"/>
    </row>
    <row r="334" spans="1:12" x14ac:dyDescent="0.3">
      <c r="A334"/>
      <c r="C334"/>
      <c r="D334"/>
      <c r="F334"/>
      <c r="G334"/>
      <c r="I334" s="299"/>
      <c r="K334" s="300"/>
      <c r="L334" s="300"/>
    </row>
    <row r="335" spans="1:12" x14ac:dyDescent="0.3">
      <c r="A335"/>
      <c r="C335"/>
      <c r="D335"/>
      <c r="F335"/>
      <c r="G335"/>
      <c r="I335" s="299"/>
      <c r="K335" s="300"/>
      <c r="L335" s="300"/>
    </row>
    <row r="336" spans="1:12" x14ac:dyDescent="0.3">
      <c r="A336"/>
      <c r="C336"/>
      <c r="D336"/>
      <c r="F336"/>
      <c r="G336"/>
      <c r="I336" s="299"/>
      <c r="K336" s="300"/>
      <c r="L336" s="300"/>
    </row>
    <row r="337" spans="1:12" x14ac:dyDescent="0.3">
      <c r="A337"/>
      <c r="C337"/>
      <c r="D337"/>
      <c r="F337"/>
      <c r="G337"/>
      <c r="I337" s="299"/>
      <c r="K337" s="300"/>
      <c r="L337" s="300"/>
    </row>
    <row r="338" spans="1:12" x14ac:dyDescent="0.3">
      <c r="A338"/>
      <c r="C338"/>
      <c r="D338"/>
      <c r="F338"/>
      <c r="G338"/>
      <c r="I338" s="299"/>
      <c r="K338" s="300"/>
      <c r="L338" s="300"/>
    </row>
    <row r="339" spans="1:12" x14ac:dyDescent="0.3">
      <c r="A339"/>
      <c r="C339"/>
      <c r="D339"/>
      <c r="F339"/>
      <c r="G339"/>
      <c r="I339" s="299"/>
      <c r="K339" s="300"/>
      <c r="L339" s="300"/>
    </row>
    <row r="340" spans="1:12" x14ac:dyDescent="0.3">
      <c r="A340"/>
      <c r="C340"/>
      <c r="D340"/>
      <c r="F340"/>
      <c r="G340"/>
      <c r="I340" s="299"/>
      <c r="K340" s="300"/>
      <c r="L340" s="300"/>
    </row>
    <row r="341" spans="1:12" x14ac:dyDescent="0.3">
      <c r="A341"/>
      <c r="C341"/>
      <c r="D341"/>
      <c r="F341"/>
      <c r="G341"/>
      <c r="I341" s="299"/>
      <c r="K341" s="300"/>
      <c r="L341" s="300"/>
    </row>
    <row r="342" spans="1:12" x14ac:dyDescent="0.3">
      <c r="A342"/>
      <c r="C342"/>
      <c r="D342"/>
      <c r="F342"/>
      <c r="G342"/>
      <c r="I342" s="299"/>
      <c r="K342" s="300"/>
      <c r="L342" s="300"/>
    </row>
    <row r="343" spans="1:12" x14ac:dyDescent="0.3">
      <c r="A343"/>
      <c r="C343"/>
      <c r="D343"/>
      <c r="F343"/>
      <c r="G343"/>
      <c r="I343" s="299"/>
      <c r="K343" s="300"/>
      <c r="L343" s="300"/>
    </row>
    <row r="344" spans="1:12" x14ac:dyDescent="0.3">
      <c r="A344"/>
      <c r="C344"/>
      <c r="D344"/>
      <c r="F344"/>
      <c r="G344"/>
      <c r="I344" s="299"/>
      <c r="K344" s="300"/>
      <c r="L344" s="300"/>
    </row>
    <row r="345" spans="1:12" x14ac:dyDescent="0.3">
      <c r="A345"/>
      <c r="C345"/>
      <c r="D345"/>
      <c r="F345"/>
      <c r="G345"/>
      <c r="I345" s="299"/>
      <c r="K345" s="300"/>
      <c r="L345" s="300"/>
    </row>
    <row r="346" spans="1:12" x14ac:dyDescent="0.3">
      <c r="A346"/>
      <c r="C346"/>
      <c r="D346"/>
      <c r="F346"/>
      <c r="G346"/>
      <c r="I346" s="299"/>
      <c r="K346" s="300"/>
      <c r="L346" s="300"/>
    </row>
    <row r="347" spans="1:12" x14ac:dyDescent="0.3">
      <c r="A347"/>
      <c r="C347"/>
      <c r="D347"/>
      <c r="F347"/>
      <c r="G347"/>
      <c r="I347" s="299"/>
      <c r="K347" s="300"/>
      <c r="L347" s="300"/>
    </row>
    <row r="348" spans="1:12" x14ac:dyDescent="0.3">
      <c r="A348"/>
      <c r="C348"/>
      <c r="D348"/>
      <c r="F348"/>
      <c r="G348"/>
      <c r="I348" s="299"/>
      <c r="K348" s="300"/>
      <c r="L348" s="300"/>
    </row>
    <row r="349" spans="1:12" x14ac:dyDescent="0.3">
      <c r="A349"/>
      <c r="C349"/>
      <c r="D349"/>
      <c r="F349"/>
      <c r="G349"/>
      <c r="I349" s="299"/>
      <c r="K349" s="300"/>
      <c r="L349" s="300"/>
    </row>
    <row r="350" spans="1:12" x14ac:dyDescent="0.3">
      <c r="A350"/>
      <c r="C350"/>
      <c r="D350"/>
      <c r="F350"/>
      <c r="G350"/>
      <c r="I350" s="299"/>
      <c r="K350" s="300"/>
      <c r="L350" s="300"/>
    </row>
    <row r="351" spans="1:12" x14ac:dyDescent="0.3">
      <c r="A351"/>
      <c r="C351"/>
      <c r="D351"/>
      <c r="F351"/>
      <c r="G351"/>
      <c r="I351" s="299"/>
      <c r="K351" s="300"/>
      <c r="L351" s="300"/>
    </row>
    <row r="352" spans="1:12" x14ac:dyDescent="0.3">
      <c r="A352"/>
      <c r="C352"/>
      <c r="D352"/>
      <c r="F352"/>
      <c r="G352"/>
      <c r="I352" s="299"/>
      <c r="K352" s="300"/>
      <c r="L352" s="300"/>
    </row>
    <row r="353" spans="1:12" x14ac:dyDescent="0.3">
      <c r="A353"/>
      <c r="C353"/>
      <c r="D353"/>
      <c r="F353"/>
      <c r="G353"/>
      <c r="I353" s="299"/>
      <c r="K353" s="300"/>
      <c r="L353" s="300"/>
    </row>
    <row r="354" spans="1:12" x14ac:dyDescent="0.3">
      <c r="A354"/>
      <c r="C354"/>
      <c r="D354"/>
      <c r="F354"/>
      <c r="G354"/>
      <c r="I354" s="299"/>
      <c r="K354" s="300"/>
      <c r="L354" s="300"/>
    </row>
    <row r="355" spans="1:12" x14ac:dyDescent="0.3">
      <c r="A355"/>
      <c r="C355"/>
      <c r="D355"/>
      <c r="F355"/>
      <c r="G355"/>
      <c r="I355" s="299"/>
      <c r="K355" s="300"/>
      <c r="L355" s="300"/>
    </row>
    <row r="356" spans="1:12" x14ac:dyDescent="0.3">
      <c r="A356"/>
      <c r="C356"/>
      <c r="D356"/>
      <c r="F356"/>
      <c r="G356"/>
      <c r="I356" s="299"/>
      <c r="K356" s="300"/>
      <c r="L356" s="300"/>
    </row>
    <row r="357" spans="1:12" x14ac:dyDescent="0.3">
      <c r="A357"/>
      <c r="C357"/>
      <c r="D357"/>
      <c r="F357"/>
      <c r="G357"/>
      <c r="I357" s="299"/>
      <c r="K357" s="300"/>
      <c r="L357" s="300"/>
    </row>
    <row r="358" spans="1:12" x14ac:dyDescent="0.3">
      <c r="A358"/>
      <c r="C358"/>
      <c r="D358"/>
      <c r="F358"/>
      <c r="G358"/>
      <c r="I358" s="299"/>
      <c r="K358" s="300"/>
      <c r="L358" s="300"/>
    </row>
    <row r="359" spans="1:12" x14ac:dyDescent="0.3">
      <c r="A359"/>
      <c r="C359"/>
      <c r="D359"/>
      <c r="F359"/>
      <c r="G359"/>
      <c r="I359" s="299"/>
      <c r="K359" s="300"/>
      <c r="L359" s="300"/>
    </row>
    <row r="360" spans="1:12" x14ac:dyDescent="0.3">
      <c r="A360"/>
      <c r="C360"/>
      <c r="D360"/>
      <c r="F360"/>
      <c r="G360"/>
      <c r="I360" s="299"/>
      <c r="K360" s="300"/>
      <c r="L360" s="300"/>
    </row>
    <row r="361" spans="1:12" x14ac:dyDescent="0.3">
      <c r="A361"/>
      <c r="C361"/>
      <c r="D361"/>
      <c r="F361"/>
      <c r="G361"/>
      <c r="I361" s="299"/>
      <c r="K361" s="300"/>
      <c r="L361" s="300"/>
    </row>
    <row r="362" spans="1:12" x14ac:dyDescent="0.3">
      <c r="A362"/>
      <c r="C362"/>
      <c r="D362"/>
      <c r="F362"/>
      <c r="G362"/>
      <c r="I362" s="299"/>
      <c r="K362" s="300"/>
      <c r="L362" s="300"/>
    </row>
    <row r="363" spans="1:12" x14ac:dyDescent="0.3">
      <c r="A363"/>
      <c r="C363"/>
      <c r="D363"/>
      <c r="F363"/>
      <c r="G363"/>
      <c r="I363" s="299"/>
      <c r="K363" s="300"/>
      <c r="L363" s="300"/>
    </row>
    <row r="364" spans="1:12" x14ac:dyDescent="0.3">
      <c r="A364"/>
      <c r="C364"/>
      <c r="D364"/>
      <c r="F364"/>
      <c r="G364"/>
      <c r="I364" s="299"/>
      <c r="K364" s="300"/>
      <c r="L364" s="300"/>
    </row>
    <row r="365" spans="1:12" x14ac:dyDescent="0.3">
      <c r="A365"/>
      <c r="C365"/>
      <c r="D365"/>
      <c r="F365"/>
      <c r="G365"/>
      <c r="I365" s="299"/>
      <c r="K365" s="300"/>
      <c r="L365" s="300"/>
    </row>
    <row r="366" spans="1:12" x14ac:dyDescent="0.3">
      <c r="A366"/>
      <c r="C366"/>
      <c r="D366"/>
      <c r="F366"/>
      <c r="G366"/>
      <c r="I366" s="299"/>
      <c r="K366" s="300"/>
      <c r="L366" s="300"/>
    </row>
    <row r="367" spans="1:12" x14ac:dyDescent="0.3">
      <c r="A367"/>
      <c r="C367"/>
      <c r="D367"/>
      <c r="F367"/>
      <c r="G367"/>
      <c r="I367" s="299"/>
      <c r="K367" s="300"/>
      <c r="L367" s="300"/>
    </row>
    <row r="368" spans="1:12" x14ac:dyDescent="0.3">
      <c r="A368"/>
      <c r="C368"/>
      <c r="D368"/>
      <c r="F368"/>
      <c r="G368"/>
      <c r="I368" s="299"/>
      <c r="K368" s="300"/>
      <c r="L368" s="300"/>
    </row>
    <row r="369" spans="1:12" x14ac:dyDescent="0.3">
      <c r="A369"/>
      <c r="C369"/>
      <c r="D369"/>
      <c r="F369"/>
      <c r="G369"/>
      <c r="I369" s="299"/>
      <c r="K369" s="300"/>
      <c r="L369" s="300"/>
    </row>
    <row r="370" spans="1:12" x14ac:dyDescent="0.3">
      <c r="A370"/>
      <c r="C370"/>
      <c r="D370"/>
      <c r="F370"/>
      <c r="G370"/>
      <c r="I370" s="299"/>
      <c r="K370" s="300"/>
      <c r="L370" s="300"/>
    </row>
    <row r="371" spans="1:12" x14ac:dyDescent="0.3">
      <c r="A371"/>
      <c r="C371"/>
      <c r="D371"/>
      <c r="F371"/>
      <c r="G371"/>
      <c r="I371" s="299"/>
      <c r="K371" s="300"/>
      <c r="L371" s="300"/>
    </row>
    <row r="372" spans="1:12" x14ac:dyDescent="0.3">
      <c r="A372"/>
      <c r="C372"/>
      <c r="D372"/>
      <c r="F372"/>
      <c r="G372"/>
      <c r="I372" s="299"/>
      <c r="K372" s="300"/>
      <c r="L372" s="300"/>
    </row>
    <row r="373" spans="1:12" x14ac:dyDescent="0.3">
      <c r="A373"/>
      <c r="C373"/>
      <c r="D373"/>
      <c r="F373"/>
      <c r="G373"/>
      <c r="I373" s="299"/>
      <c r="K373" s="300"/>
      <c r="L373" s="300"/>
    </row>
    <row r="374" spans="1:12" x14ac:dyDescent="0.3">
      <c r="A374"/>
      <c r="C374"/>
      <c r="D374"/>
      <c r="F374"/>
      <c r="G374"/>
      <c r="I374" s="299"/>
      <c r="K374" s="300"/>
      <c r="L374" s="300"/>
    </row>
    <row r="375" spans="1:12" x14ac:dyDescent="0.3">
      <c r="A375"/>
      <c r="C375"/>
      <c r="D375"/>
      <c r="F375"/>
      <c r="G375"/>
      <c r="I375" s="299"/>
      <c r="K375" s="300"/>
      <c r="L375" s="300"/>
    </row>
    <row r="376" spans="1:12" x14ac:dyDescent="0.3">
      <c r="A376"/>
      <c r="C376"/>
      <c r="D376"/>
      <c r="F376"/>
      <c r="G376"/>
      <c r="I376" s="299"/>
      <c r="K376" s="300"/>
      <c r="L376" s="300"/>
    </row>
    <row r="377" spans="1:12" x14ac:dyDescent="0.3">
      <c r="A377"/>
      <c r="C377"/>
      <c r="D377"/>
      <c r="F377"/>
      <c r="G377"/>
      <c r="I377" s="299"/>
      <c r="K377" s="300"/>
      <c r="L377" s="300"/>
    </row>
    <row r="378" spans="1:12" x14ac:dyDescent="0.3">
      <c r="A378"/>
      <c r="C378"/>
      <c r="D378"/>
      <c r="F378"/>
      <c r="G378"/>
      <c r="I378" s="299"/>
      <c r="K378" s="300"/>
      <c r="L378" s="300"/>
    </row>
    <row r="379" spans="1:12" x14ac:dyDescent="0.3">
      <c r="A379"/>
      <c r="C379"/>
      <c r="D379"/>
      <c r="F379"/>
      <c r="G379"/>
      <c r="I379" s="299"/>
      <c r="K379" s="300"/>
      <c r="L379" s="300"/>
    </row>
    <row r="380" spans="1:12" x14ac:dyDescent="0.3">
      <c r="A380"/>
      <c r="C380"/>
      <c r="D380"/>
      <c r="F380"/>
      <c r="G380"/>
      <c r="I380" s="299"/>
      <c r="K380" s="300"/>
      <c r="L380" s="300"/>
    </row>
    <row r="381" spans="1:12" x14ac:dyDescent="0.3">
      <c r="A381"/>
      <c r="C381"/>
      <c r="D381"/>
      <c r="F381"/>
      <c r="G381"/>
      <c r="I381" s="299"/>
      <c r="K381" s="300"/>
      <c r="L381" s="300"/>
    </row>
    <row r="382" spans="1:12" x14ac:dyDescent="0.3">
      <c r="A382"/>
      <c r="C382"/>
      <c r="D382"/>
      <c r="F382"/>
      <c r="G382"/>
      <c r="I382" s="299"/>
      <c r="K382" s="300"/>
      <c r="L382" s="300"/>
    </row>
    <row r="383" spans="1:12" x14ac:dyDescent="0.3">
      <c r="A383"/>
      <c r="C383"/>
      <c r="D383"/>
      <c r="F383"/>
      <c r="G383"/>
      <c r="I383" s="299"/>
      <c r="K383" s="300"/>
      <c r="L383" s="300"/>
    </row>
    <row r="384" spans="1:12" x14ac:dyDescent="0.3">
      <c r="A384"/>
      <c r="C384"/>
      <c r="D384"/>
      <c r="F384"/>
      <c r="G384"/>
      <c r="I384" s="299"/>
      <c r="K384" s="300"/>
      <c r="L384" s="300"/>
    </row>
    <row r="385" spans="1:12" x14ac:dyDescent="0.3">
      <c r="A385"/>
      <c r="C385"/>
      <c r="D385"/>
      <c r="F385"/>
      <c r="G385"/>
      <c r="I385" s="299"/>
      <c r="K385" s="300"/>
      <c r="L385" s="300"/>
    </row>
    <row r="386" spans="1:12" x14ac:dyDescent="0.3">
      <c r="A386"/>
      <c r="C386"/>
      <c r="D386"/>
      <c r="F386"/>
      <c r="G386"/>
      <c r="I386" s="299"/>
      <c r="K386" s="300"/>
      <c r="L386" s="300"/>
    </row>
    <row r="387" spans="1:12" x14ac:dyDescent="0.3">
      <c r="A387"/>
      <c r="C387"/>
      <c r="D387"/>
      <c r="F387"/>
      <c r="G387"/>
      <c r="I387" s="299"/>
      <c r="K387" s="300"/>
      <c r="L387" s="300"/>
    </row>
    <row r="388" spans="1:12" x14ac:dyDescent="0.3">
      <c r="A388"/>
      <c r="C388"/>
      <c r="D388"/>
      <c r="F388"/>
      <c r="G388"/>
      <c r="I388" s="299"/>
      <c r="K388" s="300"/>
      <c r="L388" s="300"/>
    </row>
    <row r="389" spans="1:12" x14ac:dyDescent="0.3">
      <c r="A389"/>
      <c r="C389"/>
      <c r="D389"/>
      <c r="F389"/>
      <c r="G389"/>
      <c r="I389" s="299"/>
      <c r="K389" s="300"/>
      <c r="L389" s="300"/>
    </row>
    <row r="390" spans="1:12" x14ac:dyDescent="0.3">
      <c r="A390"/>
      <c r="C390"/>
      <c r="D390"/>
      <c r="F390"/>
      <c r="G390"/>
      <c r="I390" s="299"/>
      <c r="K390" s="300"/>
      <c r="L390" s="300"/>
    </row>
    <row r="391" spans="1:12" x14ac:dyDescent="0.3">
      <c r="A391"/>
      <c r="C391"/>
      <c r="D391"/>
      <c r="F391"/>
      <c r="G391"/>
      <c r="I391" s="299"/>
      <c r="K391" s="300"/>
      <c r="L391" s="300"/>
    </row>
    <row r="392" spans="1:12" x14ac:dyDescent="0.3">
      <c r="A392"/>
      <c r="C392"/>
      <c r="D392"/>
      <c r="F392"/>
      <c r="G392"/>
      <c r="I392" s="299"/>
      <c r="K392" s="300"/>
      <c r="L392" s="300"/>
    </row>
    <row r="393" spans="1:12" x14ac:dyDescent="0.3">
      <c r="A393"/>
      <c r="C393"/>
      <c r="D393"/>
      <c r="F393"/>
      <c r="G393"/>
      <c r="I393" s="299"/>
      <c r="K393" s="300"/>
      <c r="L393" s="300"/>
    </row>
    <row r="394" spans="1:12" x14ac:dyDescent="0.3">
      <c r="A394"/>
      <c r="C394"/>
      <c r="D394"/>
      <c r="F394"/>
      <c r="G394"/>
      <c r="I394" s="299"/>
      <c r="K394" s="300"/>
      <c r="L394" s="300"/>
    </row>
    <row r="395" spans="1:12" x14ac:dyDescent="0.3">
      <c r="A395"/>
      <c r="C395"/>
      <c r="D395"/>
      <c r="F395"/>
      <c r="G395"/>
      <c r="I395" s="299"/>
      <c r="K395" s="300"/>
      <c r="L395" s="300"/>
    </row>
    <row r="396" spans="1:12" x14ac:dyDescent="0.3">
      <c r="A396"/>
      <c r="C396"/>
      <c r="D396"/>
      <c r="F396"/>
      <c r="G396"/>
      <c r="I396" s="299"/>
      <c r="K396" s="300"/>
      <c r="L396" s="300"/>
    </row>
    <row r="397" spans="1:12" x14ac:dyDescent="0.3">
      <c r="A397"/>
      <c r="C397"/>
      <c r="D397"/>
      <c r="F397"/>
      <c r="G397"/>
      <c r="I397" s="299"/>
      <c r="K397" s="300"/>
      <c r="L397" s="300"/>
    </row>
    <row r="398" spans="1:12" x14ac:dyDescent="0.3">
      <c r="A398"/>
      <c r="C398"/>
      <c r="D398"/>
      <c r="F398"/>
      <c r="G398"/>
      <c r="I398" s="299"/>
      <c r="K398" s="300"/>
      <c r="L398" s="300"/>
    </row>
    <row r="399" spans="1:12" x14ac:dyDescent="0.3">
      <c r="A399"/>
      <c r="C399"/>
      <c r="D399"/>
      <c r="F399"/>
      <c r="G399"/>
      <c r="I399" s="299"/>
      <c r="K399" s="300"/>
      <c r="L399" s="300"/>
    </row>
    <row r="400" spans="1:12" x14ac:dyDescent="0.3">
      <c r="A400"/>
      <c r="C400"/>
      <c r="D400"/>
      <c r="F400"/>
      <c r="G400"/>
      <c r="I400" s="299"/>
      <c r="K400" s="300"/>
      <c r="L400" s="300"/>
    </row>
    <row r="401" spans="1:12" x14ac:dyDescent="0.3">
      <c r="A401"/>
      <c r="C401"/>
      <c r="D401"/>
      <c r="F401"/>
      <c r="G401"/>
      <c r="I401" s="299"/>
      <c r="K401" s="300"/>
      <c r="L401" s="300"/>
    </row>
    <row r="402" spans="1:12" x14ac:dyDescent="0.3">
      <c r="A402"/>
      <c r="C402"/>
      <c r="D402"/>
      <c r="F402"/>
      <c r="G402"/>
      <c r="I402" s="299"/>
      <c r="K402" s="300"/>
      <c r="L402" s="300"/>
    </row>
    <row r="403" spans="1:12" x14ac:dyDescent="0.3">
      <c r="A403"/>
      <c r="C403"/>
      <c r="D403"/>
      <c r="F403"/>
      <c r="G403"/>
      <c r="I403" s="299"/>
      <c r="K403" s="300"/>
      <c r="L403" s="300"/>
    </row>
    <row r="404" spans="1:12" x14ac:dyDescent="0.3">
      <c r="A404"/>
      <c r="C404"/>
      <c r="D404"/>
      <c r="F404"/>
      <c r="G404"/>
      <c r="I404" s="299"/>
      <c r="K404" s="300"/>
      <c r="L404" s="300"/>
    </row>
    <row r="405" spans="1:12" x14ac:dyDescent="0.3">
      <c r="A405"/>
      <c r="C405"/>
      <c r="D405"/>
      <c r="F405"/>
      <c r="G405"/>
      <c r="I405" s="299"/>
      <c r="K405" s="300"/>
      <c r="L405" s="300"/>
    </row>
    <row r="406" spans="1:12" x14ac:dyDescent="0.3">
      <c r="A406"/>
      <c r="C406"/>
      <c r="D406"/>
      <c r="F406"/>
      <c r="G406"/>
      <c r="I406" s="299"/>
      <c r="K406" s="300"/>
      <c r="L406" s="300"/>
    </row>
    <row r="407" spans="1:12" x14ac:dyDescent="0.3">
      <c r="A407"/>
      <c r="C407"/>
      <c r="D407"/>
      <c r="F407"/>
      <c r="G407"/>
      <c r="I407" s="299"/>
      <c r="K407" s="300"/>
      <c r="L407" s="300"/>
    </row>
    <row r="408" spans="1:12" x14ac:dyDescent="0.3">
      <c r="A408"/>
      <c r="C408"/>
      <c r="D408"/>
      <c r="F408"/>
      <c r="G408"/>
      <c r="I408" s="299"/>
      <c r="K408" s="300"/>
      <c r="L408" s="300"/>
    </row>
    <row r="409" spans="1:12" x14ac:dyDescent="0.3">
      <c r="A409"/>
      <c r="C409"/>
      <c r="D409"/>
      <c r="F409"/>
      <c r="G409"/>
      <c r="I409" s="299"/>
      <c r="K409" s="300"/>
      <c r="L409" s="300"/>
    </row>
    <row r="410" spans="1:12" x14ac:dyDescent="0.3">
      <c r="A410"/>
      <c r="C410"/>
      <c r="D410"/>
      <c r="F410"/>
      <c r="G410"/>
      <c r="I410" s="299"/>
      <c r="K410" s="300"/>
      <c r="L410" s="300"/>
    </row>
    <row r="411" spans="1:12" x14ac:dyDescent="0.3">
      <c r="A411"/>
      <c r="C411"/>
      <c r="D411"/>
      <c r="F411"/>
      <c r="G411"/>
      <c r="I411" s="299"/>
      <c r="K411" s="300"/>
      <c r="L411" s="300"/>
    </row>
    <row r="412" spans="1:12" x14ac:dyDescent="0.3">
      <c r="A412"/>
      <c r="C412"/>
      <c r="D412"/>
      <c r="F412"/>
      <c r="G412"/>
      <c r="I412" s="299"/>
      <c r="K412" s="300"/>
      <c r="L412" s="300"/>
    </row>
    <row r="413" spans="1:12" x14ac:dyDescent="0.3">
      <c r="A413"/>
      <c r="C413"/>
      <c r="D413"/>
      <c r="F413"/>
      <c r="G413"/>
      <c r="I413" s="299"/>
      <c r="K413" s="300"/>
      <c r="L413" s="300"/>
    </row>
    <row r="414" spans="1:12" x14ac:dyDescent="0.3">
      <c r="A414"/>
      <c r="C414"/>
      <c r="D414"/>
      <c r="F414"/>
      <c r="G414"/>
      <c r="I414" s="299"/>
      <c r="K414" s="300"/>
      <c r="L414" s="300"/>
    </row>
    <row r="415" spans="1:12" x14ac:dyDescent="0.3">
      <c r="A415"/>
      <c r="C415"/>
      <c r="D415"/>
      <c r="F415"/>
      <c r="G415"/>
      <c r="I415" s="299"/>
      <c r="K415" s="300"/>
      <c r="L415" s="300"/>
    </row>
    <row r="416" spans="1:12" x14ac:dyDescent="0.3">
      <c r="A416"/>
      <c r="C416"/>
      <c r="D416"/>
      <c r="F416"/>
      <c r="G416"/>
      <c r="I416" s="299"/>
      <c r="K416" s="300"/>
      <c r="L416" s="300"/>
    </row>
    <row r="417" spans="1:12" x14ac:dyDescent="0.3">
      <c r="A417"/>
      <c r="C417"/>
      <c r="D417"/>
      <c r="F417"/>
      <c r="G417"/>
      <c r="I417" s="299"/>
      <c r="K417" s="300"/>
      <c r="L417" s="300"/>
    </row>
    <row r="418" spans="1:12" x14ac:dyDescent="0.3">
      <c r="A418"/>
      <c r="C418"/>
      <c r="D418"/>
      <c r="F418"/>
      <c r="G418"/>
      <c r="I418" s="299"/>
      <c r="K418" s="300"/>
      <c r="L418" s="300"/>
    </row>
    <row r="419" spans="1:12" x14ac:dyDescent="0.3">
      <c r="A419"/>
      <c r="C419"/>
      <c r="D419"/>
      <c r="F419"/>
      <c r="G419"/>
      <c r="I419" s="299"/>
      <c r="K419" s="300"/>
      <c r="L419" s="300"/>
    </row>
    <row r="420" spans="1:12" x14ac:dyDescent="0.3">
      <c r="A420"/>
      <c r="C420"/>
      <c r="D420"/>
      <c r="F420"/>
      <c r="G420"/>
      <c r="I420" s="299"/>
      <c r="K420" s="300"/>
      <c r="L420" s="300"/>
    </row>
    <row r="421" spans="1:12" x14ac:dyDescent="0.3">
      <c r="A421"/>
      <c r="C421"/>
      <c r="D421"/>
      <c r="F421"/>
      <c r="G421"/>
      <c r="I421" s="299"/>
      <c r="K421" s="300"/>
      <c r="L421" s="300"/>
    </row>
    <row r="422" spans="1:12" x14ac:dyDescent="0.3">
      <c r="A422"/>
      <c r="C422"/>
      <c r="D422"/>
      <c r="F422"/>
      <c r="G422"/>
      <c r="I422" s="299"/>
      <c r="K422" s="300"/>
      <c r="L422" s="300"/>
    </row>
    <row r="423" spans="1:12" x14ac:dyDescent="0.3">
      <c r="A423"/>
      <c r="C423"/>
      <c r="D423"/>
      <c r="F423"/>
      <c r="G423"/>
      <c r="I423" s="299"/>
      <c r="K423" s="300"/>
      <c r="L423" s="300"/>
    </row>
    <row r="424" spans="1:12" x14ac:dyDescent="0.3">
      <c r="A424"/>
      <c r="C424"/>
      <c r="D424"/>
      <c r="F424"/>
      <c r="G424"/>
      <c r="I424" s="299"/>
      <c r="K424" s="300"/>
      <c r="L424" s="300"/>
    </row>
    <row r="425" spans="1:12" x14ac:dyDescent="0.3">
      <c r="A425"/>
      <c r="C425"/>
      <c r="D425"/>
      <c r="F425"/>
      <c r="G425"/>
      <c r="I425" s="299"/>
      <c r="K425" s="300"/>
      <c r="L425" s="300"/>
    </row>
    <row r="426" spans="1:12" x14ac:dyDescent="0.3">
      <c r="A426"/>
      <c r="C426"/>
      <c r="D426"/>
      <c r="F426"/>
      <c r="G426"/>
      <c r="I426" s="299"/>
      <c r="K426" s="300"/>
      <c r="L426" s="300"/>
    </row>
    <row r="427" spans="1:12" x14ac:dyDescent="0.3">
      <c r="A427"/>
      <c r="C427"/>
      <c r="D427"/>
      <c r="F427"/>
      <c r="G427"/>
      <c r="I427" s="299"/>
      <c r="K427" s="300"/>
      <c r="L427" s="300"/>
    </row>
    <row r="428" spans="1:12" x14ac:dyDescent="0.3">
      <c r="A428"/>
      <c r="C428"/>
      <c r="D428"/>
      <c r="F428"/>
      <c r="G428"/>
      <c r="I428" s="299"/>
      <c r="K428" s="300"/>
      <c r="L428" s="300"/>
    </row>
    <row r="429" spans="1:12" x14ac:dyDescent="0.3">
      <c r="A429"/>
      <c r="C429"/>
      <c r="D429"/>
      <c r="F429"/>
      <c r="G429"/>
      <c r="I429" s="299"/>
      <c r="K429" s="300"/>
      <c r="L429" s="300"/>
    </row>
    <row r="430" spans="1:12" x14ac:dyDescent="0.3">
      <c r="A430"/>
      <c r="C430"/>
      <c r="D430"/>
      <c r="F430"/>
      <c r="G430"/>
      <c r="I430" s="299"/>
      <c r="K430" s="300"/>
      <c r="L430" s="300"/>
    </row>
    <row r="431" spans="1:12" x14ac:dyDescent="0.3">
      <c r="A431"/>
      <c r="C431"/>
      <c r="D431"/>
      <c r="F431"/>
      <c r="G431"/>
      <c r="I431" s="299"/>
      <c r="K431" s="300"/>
      <c r="L431" s="300"/>
    </row>
    <row r="432" spans="1:12" x14ac:dyDescent="0.3">
      <c r="A432"/>
      <c r="C432"/>
      <c r="D432"/>
      <c r="F432"/>
      <c r="G432"/>
      <c r="I432" s="299"/>
      <c r="K432" s="300"/>
      <c r="L432" s="300"/>
    </row>
    <row r="433" spans="1:12" x14ac:dyDescent="0.3">
      <c r="A433"/>
      <c r="C433"/>
      <c r="D433"/>
      <c r="F433"/>
      <c r="G433"/>
      <c r="I433" s="299"/>
      <c r="K433" s="300"/>
      <c r="L433" s="300"/>
    </row>
    <row r="434" spans="1:12" x14ac:dyDescent="0.3">
      <c r="A434"/>
      <c r="C434"/>
      <c r="D434"/>
      <c r="F434"/>
      <c r="G434"/>
      <c r="I434" s="299"/>
      <c r="K434" s="300"/>
      <c r="L434" s="300"/>
    </row>
    <row r="435" spans="1:12" x14ac:dyDescent="0.3">
      <c r="A435"/>
      <c r="C435"/>
      <c r="D435"/>
      <c r="F435"/>
      <c r="G435"/>
      <c r="I435" s="299"/>
      <c r="K435" s="300"/>
      <c r="L435" s="300"/>
    </row>
    <row r="436" spans="1:12" x14ac:dyDescent="0.3">
      <c r="A436"/>
      <c r="C436"/>
      <c r="D436"/>
      <c r="F436"/>
      <c r="G436"/>
      <c r="I436" s="299"/>
      <c r="K436" s="300"/>
      <c r="L436" s="300"/>
    </row>
    <row r="437" spans="1:12" x14ac:dyDescent="0.3">
      <c r="A437"/>
      <c r="C437"/>
      <c r="D437"/>
      <c r="F437"/>
      <c r="G437"/>
      <c r="I437" s="299"/>
      <c r="K437" s="300"/>
      <c r="L437" s="300"/>
    </row>
    <row r="438" spans="1:12" x14ac:dyDescent="0.3">
      <c r="A438"/>
      <c r="C438"/>
      <c r="D438"/>
      <c r="F438"/>
      <c r="G438"/>
      <c r="I438" s="299"/>
      <c r="K438" s="300"/>
      <c r="L438" s="300"/>
    </row>
    <row r="439" spans="1:12" x14ac:dyDescent="0.3">
      <c r="A439"/>
      <c r="C439"/>
      <c r="D439"/>
      <c r="F439"/>
      <c r="G439"/>
      <c r="I439" s="299"/>
      <c r="K439" s="300"/>
      <c r="L439" s="300"/>
    </row>
    <row r="440" spans="1:12" x14ac:dyDescent="0.3">
      <c r="A440"/>
      <c r="C440"/>
      <c r="D440"/>
      <c r="F440"/>
      <c r="G440"/>
      <c r="I440" s="299"/>
      <c r="K440" s="300"/>
      <c r="L440" s="300"/>
    </row>
    <row r="441" spans="1:12" x14ac:dyDescent="0.3">
      <c r="A441"/>
      <c r="C441"/>
      <c r="D441"/>
      <c r="F441"/>
      <c r="G441"/>
      <c r="I441" s="299"/>
      <c r="K441" s="300"/>
      <c r="L441" s="300"/>
    </row>
    <row r="442" spans="1:12" x14ac:dyDescent="0.3">
      <c r="A442"/>
      <c r="C442"/>
      <c r="D442"/>
      <c r="F442"/>
      <c r="G442"/>
      <c r="I442" s="299"/>
      <c r="K442" s="300"/>
      <c r="L442" s="300"/>
    </row>
    <row r="443" spans="1:12" x14ac:dyDescent="0.3">
      <c r="A443"/>
      <c r="C443"/>
      <c r="D443"/>
      <c r="F443"/>
      <c r="G443"/>
      <c r="I443" s="299"/>
      <c r="K443" s="300"/>
      <c r="L443" s="300"/>
    </row>
    <row r="444" spans="1:12" x14ac:dyDescent="0.3">
      <c r="A444"/>
      <c r="C444"/>
      <c r="D444"/>
      <c r="F444"/>
      <c r="G444"/>
      <c r="I444" s="299"/>
      <c r="K444" s="300"/>
      <c r="L444" s="300"/>
    </row>
    <row r="445" spans="1:12" x14ac:dyDescent="0.3">
      <c r="A445"/>
      <c r="C445"/>
      <c r="D445"/>
      <c r="F445"/>
      <c r="G445"/>
      <c r="I445" s="299"/>
      <c r="K445" s="300"/>
      <c r="L445" s="300"/>
    </row>
    <row r="446" spans="1:12" x14ac:dyDescent="0.3">
      <c r="A446"/>
      <c r="C446"/>
      <c r="D446"/>
      <c r="F446"/>
      <c r="G446"/>
      <c r="I446" s="299"/>
      <c r="K446" s="300"/>
      <c r="L446" s="300"/>
    </row>
    <row r="447" spans="1:12" x14ac:dyDescent="0.3">
      <c r="A447"/>
      <c r="C447"/>
      <c r="D447"/>
      <c r="F447"/>
      <c r="G447"/>
      <c r="I447" s="299"/>
      <c r="K447" s="300"/>
      <c r="L447" s="300"/>
    </row>
    <row r="448" spans="1:12" x14ac:dyDescent="0.3">
      <c r="A448"/>
      <c r="C448"/>
      <c r="D448"/>
      <c r="F448"/>
      <c r="G448"/>
      <c r="I448" s="299"/>
      <c r="K448" s="300"/>
      <c r="L448" s="300"/>
    </row>
    <row r="449" spans="1:12" x14ac:dyDescent="0.3">
      <c r="A449"/>
      <c r="C449"/>
      <c r="D449"/>
      <c r="F449"/>
      <c r="G449"/>
      <c r="I449" s="299"/>
      <c r="K449" s="300"/>
      <c r="L449" s="300"/>
    </row>
    <row r="450" spans="1:12" x14ac:dyDescent="0.3">
      <c r="A450"/>
      <c r="C450"/>
      <c r="D450"/>
      <c r="F450"/>
      <c r="G450"/>
      <c r="I450" s="299"/>
      <c r="K450" s="300"/>
      <c r="L450" s="300"/>
    </row>
    <row r="451" spans="1:12" x14ac:dyDescent="0.3">
      <c r="A451"/>
      <c r="C451"/>
      <c r="D451"/>
      <c r="F451"/>
      <c r="G451"/>
      <c r="I451" s="299"/>
      <c r="K451" s="300"/>
      <c r="L451" s="300"/>
    </row>
    <row r="452" spans="1:12" x14ac:dyDescent="0.3">
      <c r="A452"/>
      <c r="C452"/>
      <c r="D452"/>
      <c r="F452"/>
      <c r="G452"/>
      <c r="I452" s="299"/>
      <c r="K452" s="300"/>
      <c r="L452" s="300"/>
    </row>
    <row r="453" spans="1:12" x14ac:dyDescent="0.3">
      <c r="A453"/>
      <c r="C453"/>
      <c r="D453"/>
      <c r="F453"/>
      <c r="G453"/>
      <c r="I453" s="299"/>
      <c r="K453" s="300"/>
      <c r="L453" s="300"/>
    </row>
    <row r="454" spans="1:12" x14ac:dyDescent="0.3">
      <c r="A454"/>
      <c r="C454"/>
      <c r="D454"/>
      <c r="F454"/>
      <c r="G454"/>
      <c r="I454" s="299"/>
      <c r="K454" s="300"/>
      <c r="L454" s="300"/>
    </row>
    <row r="455" spans="1:12" x14ac:dyDescent="0.3">
      <c r="A455"/>
      <c r="C455"/>
      <c r="D455"/>
      <c r="F455"/>
      <c r="G455"/>
      <c r="I455" s="299"/>
      <c r="K455" s="300"/>
      <c r="L455" s="300"/>
    </row>
    <row r="456" spans="1:12" x14ac:dyDescent="0.3">
      <c r="A456"/>
      <c r="C456"/>
      <c r="D456"/>
      <c r="F456"/>
      <c r="G456"/>
      <c r="I456" s="299"/>
      <c r="K456" s="300"/>
      <c r="L456" s="300"/>
    </row>
    <row r="457" spans="1:12" x14ac:dyDescent="0.3">
      <c r="A457"/>
      <c r="C457"/>
      <c r="D457"/>
      <c r="F457"/>
      <c r="G457"/>
      <c r="I457" s="299"/>
      <c r="K457" s="300"/>
      <c r="L457" s="300"/>
    </row>
    <row r="458" spans="1:12" x14ac:dyDescent="0.3">
      <c r="A458"/>
      <c r="C458"/>
      <c r="D458"/>
      <c r="F458"/>
      <c r="G458"/>
      <c r="I458" s="299"/>
      <c r="K458" s="300"/>
      <c r="L458" s="300"/>
    </row>
    <row r="459" spans="1:12" x14ac:dyDescent="0.3">
      <c r="A459"/>
      <c r="C459"/>
      <c r="D459"/>
      <c r="F459"/>
      <c r="G459"/>
      <c r="I459" s="299"/>
      <c r="K459" s="300"/>
      <c r="L459" s="300"/>
    </row>
    <row r="460" spans="1:12" x14ac:dyDescent="0.3">
      <c r="A460"/>
      <c r="C460"/>
      <c r="D460"/>
      <c r="F460"/>
      <c r="G460"/>
      <c r="I460" s="299"/>
      <c r="K460" s="300"/>
      <c r="L460" s="300"/>
    </row>
    <row r="461" spans="1:12" x14ac:dyDescent="0.3">
      <c r="A461"/>
      <c r="C461"/>
      <c r="D461"/>
      <c r="F461"/>
      <c r="G461"/>
      <c r="I461" s="299"/>
      <c r="K461" s="300"/>
      <c r="L461" s="300"/>
    </row>
    <row r="462" spans="1:12" x14ac:dyDescent="0.3">
      <c r="A462"/>
      <c r="C462"/>
      <c r="D462"/>
      <c r="F462"/>
      <c r="G462"/>
      <c r="I462" s="299"/>
      <c r="K462" s="300"/>
      <c r="L462" s="300"/>
    </row>
    <row r="463" spans="1:12" x14ac:dyDescent="0.3">
      <c r="A463"/>
      <c r="C463"/>
      <c r="D463"/>
      <c r="F463"/>
      <c r="G463"/>
      <c r="I463" s="299"/>
      <c r="K463" s="300"/>
      <c r="L463" s="300"/>
    </row>
    <row r="464" spans="1:12" x14ac:dyDescent="0.3">
      <c r="A464"/>
      <c r="C464"/>
      <c r="D464"/>
      <c r="F464"/>
      <c r="G464"/>
      <c r="I464" s="299"/>
      <c r="K464" s="300"/>
      <c r="L464" s="300"/>
    </row>
    <row r="465" spans="1:12" x14ac:dyDescent="0.3">
      <c r="A465"/>
      <c r="C465"/>
      <c r="D465"/>
      <c r="F465"/>
      <c r="G465"/>
      <c r="I465" s="299"/>
      <c r="K465" s="300"/>
      <c r="L465" s="300"/>
    </row>
    <row r="466" spans="1:12" x14ac:dyDescent="0.3">
      <c r="A466"/>
      <c r="C466"/>
      <c r="D466"/>
      <c r="F466"/>
      <c r="G466"/>
      <c r="I466" s="299"/>
      <c r="K466" s="300"/>
      <c r="L466" s="300"/>
    </row>
    <row r="467" spans="1:12" x14ac:dyDescent="0.3">
      <c r="A467"/>
      <c r="C467"/>
      <c r="D467"/>
      <c r="F467"/>
      <c r="G467"/>
      <c r="I467" s="299"/>
      <c r="K467" s="300"/>
      <c r="L467" s="300"/>
    </row>
    <row r="468" spans="1:12" x14ac:dyDescent="0.3">
      <c r="A468"/>
      <c r="C468"/>
      <c r="D468"/>
      <c r="F468"/>
      <c r="G468"/>
      <c r="I468" s="299"/>
      <c r="K468" s="300"/>
      <c r="L468" s="300"/>
    </row>
    <row r="469" spans="1:12" x14ac:dyDescent="0.3">
      <c r="A469"/>
      <c r="C469"/>
      <c r="D469"/>
      <c r="F469"/>
      <c r="G469"/>
      <c r="I469" s="299"/>
      <c r="K469" s="300"/>
      <c r="L469" s="300"/>
    </row>
    <row r="470" spans="1:12" x14ac:dyDescent="0.3">
      <c r="A470"/>
      <c r="C470"/>
      <c r="D470"/>
      <c r="F470"/>
      <c r="G470"/>
      <c r="I470" s="299"/>
      <c r="K470" s="300"/>
      <c r="L470" s="300"/>
    </row>
    <row r="471" spans="1:12" x14ac:dyDescent="0.3">
      <c r="A471"/>
      <c r="C471"/>
      <c r="D471"/>
      <c r="F471"/>
      <c r="G471"/>
      <c r="I471" s="299"/>
      <c r="K471" s="300"/>
      <c r="L471" s="300"/>
    </row>
    <row r="472" spans="1:12" x14ac:dyDescent="0.3">
      <c r="A472"/>
      <c r="C472"/>
      <c r="D472"/>
      <c r="F472"/>
      <c r="G472"/>
      <c r="I472" s="299"/>
      <c r="K472" s="300"/>
      <c r="L472" s="300"/>
    </row>
    <row r="473" spans="1:12" x14ac:dyDescent="0.3">
      <c r="A473"/>
      <c r="C473"/>
      <c r="D473"/>
      <c r="F473"/>
      <c r="G473"/>
      <c r="I473" s="299"/>
      <c r="K473" s="300"/>
      <c r="L473" s="300"/>
    </row>
    <row r="474" spans="1:12" x14ac:dyDescent="0.3">
      <c r="A474"/>
      <c r="C474"/>
      <c r="D474"/>
      <c r="F474"/>
      <c r="G474"/>
      <c r="I474" s="299"/>
      <c r="K474" s="300"/>
      <c r="L474" s="300"/>
    </row>
    <row r="475" spans="1:12" x14ac:dyDescent="0.3">
      <c r="A475"/>
      <c r="C475"/>
      <c r="D475"/>
      <c r="F475"/>
      <c r="G475"/>
      <c r="I475" s="299"/>
      <c r="K475" s="300"/>
      <c r="L475" s="300"/>
    </row>
    <row r="476" spans="1:12" x14ac:dyDescent="0.3">
      <c r="A476"/>
      <c r="C476"/>
      <c r="D476"/>
      <c r="F476"/>
      <c r="G476"/>
      <c r="I476" s="299"/>
      <c r="K476" s="300"/>
      <c r="L476" s="300"/>
    </row>
    <row r="477" spans="1:12" x14ac:dyDescent="0.3">
      <c r="A477"/>
      <c r="C477"/>
      <c r="D477"/>
      <c r="F477"/>
      <c r="G477"/>
      <c r="I477" s="299"/>
      <c r="K477" s="300"/>
      <c r="L477" s="300"/>
    </row>
    <row r="478" spans="1:12" x14ac:dyDescent="0.3">
      <c r="A478"/>
      <c r="C478"/>
      <c r="D478"/>
      <c r="F478"/>
      <c r="G478"/>
      <c r="I478" s="299"/>
      <c r="K478" s="300"/>
      <c r="L478" s="300"/>
    </row>
    <row r="479" spans="1:12" x14ac:dyDescent="0.3">
      <c r="A479"/>
      <c r="C479"/>
      <c r="D479"/>
      <c r="F479"/>
      <c r="G479"/>
      <c r="I479" s="299"/>
      <c r="K479" s="300"/>
      <c r="L479" s="300"/>
    </row>
    <row r="480" spans="1:12" x14ac:dyDescent="0.3">
      <c r="A480"/>
      <c r="C480"/>
      <c r="D480"/>
      <c r="F480"/>
      <c r="G480"/>
      <c r="I480" s="299"/>
      <c r="K480" s="300"/>
      <c r="L480" s="300"/>
    </row>
    <row r="481" spans="1:12" x14ac:dyDescent="0.3">
      <c r="A481"/>
      <c r="C481"/>
      <c r="D481"/>
      <c r="F481"/>
      <c r="G481"/>
      <c r="I481" s="299"/>
      <c r="K481" s="300"/>
      <c r="L481" s="300"/>
    </row>
    <row r="482" spans="1:12" x14ac:dyDescent="0.3">
      <c r="A482"/>
      <c r="C482"/>
      <c r="D482"/>
      <c r="F482"/>
      <c r="G482"/>
      <c r="I482" s="299"/>
      <c r="K482" s="300"/>
      <c r="L482" s="300"/>
    </row>
    <row r="483" spans="1:12" x14ac:dyDescent="0.3">
      <c r="A483"/>
      <c r="C483"/>
      <c r="D483"/>
      <c r="F483"/>
      <c r="G483"/>
      <c r="I483" s="299"/>
      <c r="K483" s="300"/>
      <c r="L483" s="300"/>
    </row>
    <row r="484" spans="1:12" x14ac:dyDescent="0.3">
      <c r="A484"/>
      <c r="C484"/>
      <c r="D484"/>
      <c r="F484"/>
      <c r="G484"/>
      <c r="I484" s="299"/>
      <c r="K484" s="300"/>
      <c r="L484" s="300"/>
    </row>
    <row r="485" spans="1:12" x14ac:dyDescent="0.3">
      <c r="A485"/>
      <c r="C485"/>
      <c r="D485"/>
      <c r="F485"/>
      <c r="G485"/>
      <c r="I485" s="299"/>
      <c r="K485" s="300"/>
      <c r="L485" s="300"/>
    </row>
    <row r="486" spans="1:12" x14ac:dyDescent="0.3">
      <c r="A486"/>
      <c r="C486"/>
      <c r="D486"/>
      <c r="F486"/>
      <c r="G486"/>
      <c r="I486" s="299"/>
      <c r="K486" s="300"/>
      <c r="L486" s="300"/>
    </row>
    <row r="487" spans="1:12" x14ac:dyDescent="0.3">
      <c r="A487"/>
      <c r="C487"/>
      <c r="D487"/>
      <c r="F487"/>
      <c r="G487"/>
      <c r="I487" s="299"/>
      <c r="K487" s="300"/>
      <c r="L487" s="300"/>
    </row>
    <row r="488" spans="1:12" x14ac:dyDescent="0.3">
      <c r="A488"/>
      <c r="C488"/>
      <c r="D488"/>
      <c r="F488"/>
      <c r="G488"/>
      <c r="I488" s="299"/>
      <c r="K488" s="300"/>
      <c r="L488" s="300"/>
    </row>
    <row r="489" spans="1:12" x14ac:dyDescent="0.3">
      <c r="A489"/>
      <c r="C489"/>
      <c r="D489"/>
      <c r="F489"/>
      <c r="G489"/>
      <c r="I489" s="299"/>
      <c r="K489" s="300"/>
      <c r="L489" s="300"/>
    </row>
    <row r="490" spans="1:12" x14ac:dyDescent="0.3">
      <c r="A490"/>
      <c r="C490"/>
      <c r="D490"/>
      <c r="F490"/>
      <c r="G490"/>
      <c r="I490" s="299"/>
      <c r="K490" s="300"/>
      <c r="L490" s="300"/>
    </row>
    <row r="491" spans="1:12" x14ac:dyDescent="0.3">
      <c r="A491"/>
      <c r="C491"/>
      <c r="D491"/>
      <c r="F491"/>
      <c r="G491"/>
      <c r="I491" s="299"/>
      <c r="K491" s="300"/>
      <c r="L491" s="300"/>
    </row>
    <row r="492" spans="1:12" x14ac:dyDescent="0.3">
      <c r="A492"/>
      <c r="C492"/>
      <c r="D492"/>
      <c r="F492"/>
      <c r="G492"/>
      <c r="I492" s="299"/>
      <c r="K492" s="300"/>
      <c r="L492" s="300"/>
    </row>
    <row r="493" spans="1:12" x14ac:dyDescent="0.3">
      <c r="A493"/>
      <c r="C493"/>
      <c r="D493"/>
      <c r="F493"/>
      <c r="G493"/>
      <c r="I493" s="299"/>
      <c r="K493" s="300"/>
      <c r="L493" s="300"/>
    </row>
    <row r="494" spans="1:12" x14ac:dyDescent="0.3">
      <c r="A494"/>
      <c r="C494"/>
      <c r="D494"/>
      <c r="F494"/>
      <c r="G494"/>
      <c r="I494" s="299"/>
      <c r="K494" s="300"/>
      <c r="L494" s="300"/>
    </row>
    <row r="495" spans="1:12" x14ac:dyDescent="0.3">
      <c r="A495"/>
      <c r="C495"/>
      <c r="D495"/>
      <c r="F495"/>
      <c r="G495"/>
      <c r="I495" s="299"/>
      <c r="K495" s="300"/>
      <c r="L495" s="300"/>
    </row>
    <row r="496" spans="1:12" x14ac:dyDescent="0.3">
      <c r="A496"/>
      <c r="C496"/>
      <c r="D496"/>
      <c r="F496"/>
      <c r="G496"/>
      <c r="I496" s="299"/>
      <c r="K496" s="300"/>
      <c r="L496" s="300"/>
    </row>
    <row r="497" spans="1:12" x14ac:dyDescent="0.3">
      <c r="A497"/>
      <c r="C497"/>
      <c r="D497"/>
      <c r="F497"/>
      <c r="G497"/>
      <c r="I497" s="299"/>
      <c r="K497" s="300"/>
      <c r="L497" s="300"/>
    </row>
    <row r="498" spans="1:12" x14ac:dyDescent="0.3">
      <c r="A498"/>
      <c r="C498"/>
      <c r="D498"/>
      <c r="F498"/>
      <c r="G498"/>
      <c r="I498" s="299"/>
      <c r="K498" s="300"/>
      <c r="L498" s="300"/>
    </row>
    <row r="499" spans="1:12" x14ac:dyDescent="0.3">
      <c r="A499"/>
      <c r="C499"/>
      <c r="D499"/>
      <c r="F499"/>
      <c r="G499"/>
      <c r="I499" s="299"/>
      <c r="K499" s="300"/>
      <c r="L499" s="300"/>
    </row>
    <row r="500" spans="1:12" x14ac:dyDescent="0.3">
      <c r="A500"/>
      <c r="C500"/>
      <c r="D500"/>
      <c r="F500"/>
      <c r="G500"/>
      <c r="I500" s="299"/>
      <c r="K500" s="300"/>
      <c r="L500" s="300"/>
    </row>
    <row r="501" spans="1:12" x14ac:dyDescent="0.3">
      <c r="A501"/>
      <c r="C501"/>
      <c r="D501"/>
      <c r="F501"/>
      <c r="G501"/>
      <c r="I501" s="299"/>
      <c r="K501" s="300"/>
      <c r="L501" s="300"/>
    </row>
    <row r="502" spans="1:12" x14ac:dyDescent="0.3">
      <c r="A502"/>
      <c r="C502"/>
      <c r="D502"/>
      <c r="F502"/>
      <c r="G502"/>
      <c r="I502" s="299"/>
      <c r="K502" s="300"/>
      <c r="L502" s="300"/>
    </row>
    <row r="503" spans="1:12" x14ac:dyDescent="0.3">
      <c r="A503"/>
      <c r="C503"/>
      <c r="D503"/>
      <c r="F503"/>
      <c r="G503"/>
      <c r="I503" s="299"/>
      <c r="K503" s="300"/>
      <c r="L503" s="300"/>
    </row>
    <row r="504" spans="1:12" x14ac:dyDescent="0.3">
      <c r="A504"/>
      <c r="C504"/>
      <c r="D504"/>
      <c r="F504"/>
      <c r="G504"/>
      <c r="I504" s="299"/>
      <c r="K504" s="300"/>
      <c r="L504" s="300"/>
    </row>
    <row r="505" spans="1:12" x14ac:dyDescent="0.3">
      <c r="A505"/>
      <c r="C505"/>
      <c r="D505"/>
      <c r="F505"/>
      <c r="G505"/>
      <c r="I505" s="299"/>
      <c r="K505" s="300"/>
      <c r="L505" s="300"/>
    </row>
    <row r="506" spans="1:12" x14ac:dyDescent="0.3">
      <c r="A506"/>
      <c r="C506"/>
      <c r="D506"/>
      <c r="F506"/>
      <c r="G506"/>
      <c r="I506" s="299"/>
      <c r="K506" s="300"/>
      <c r="L506" s="300"/>
    </row>
    <row r="507" spans="1:12" x14ac:dyDescent="0.3">
      <c r="A507"/>
      <c r="C507"/>
      <c r="D507"/>
      <c r="F507"/>
      <c r="G507"/>
      <c r="I507" s="299"/>
      <c r="K507" s="300"/>
      <c r="L507" s="300"/>
    </row>
    <row r="508" spans="1:12" x14ac:dyDescent="0.3">
      <c r="A508"/>
      <c r="C508"/>
      <c r="D508"/>
      <c r="F508"/>
      <c r="G508"/>
      <c r="I508" s="299"/>
      <c r="K508" s="300"/>
      <c r="L508" s="300"/>
    </row>
    <row r="509" spans="1:12" x14ac:dyDescent="0.3">
      <c r="A509"/>
      <c r="C509"/>
      <c r="D509"/>
      <c r="F509"/>
      <c r="G509"/>
      <c r="I509" s="299"/>
      <c r="K509" s="300"/>
      <c r="L509" s="300"/>
    </row>
    <row r="510" spans="1:12" x14ac:dyDescent="0.3">
      <c r="A510"/>
      <c r="C510"/>
      <c r="D510"/>
      <c r="F510"/>
      <c r="G510"/>
      <c r="I510" s="299"/>
      <c r="K510" s="300"/>
      <c r="L510" s="300"/>
    </row>
    <row r="511" spans="1:12" x14ac:dyDescent="0.3">
      <c r="A511"/>
      <c r="C511"/>
      <c r="D511"/>
      <c r="F511"/>
      <c r="G511"/>
      <c r="I511" s="299"/>
      <c r="K511" s="300"/>
      <c r="L511" s="300"/>
    </row>
    <row r="512" spans="1:12" x14ac:dyDescent="0.3">
      <c r="A512"/>
      <c r="C512"/>
      <c r="D512"/>
      <c r="F512"/>
      <c r="G512"/>
      <c r="I512" s="299"/>
      <c r="K512" s="300"/>
      <c r="L512" s="300"/>
    </row>
    <row r="513" spans="1:12" x14ac:dyDescent="0.3">
      <c r="A513"/>
      <c r="C513"/>
      <c r="D513"/>
      <c r="F513"/>
      <c r="G513"/>
      <c r="I513" s="299"/>
      <c r="K513" s="300"/>
      <c r="L513" s="300"/>
    </row>
    <row r="514" spans="1:12" x14ac:dyDescent="0.3">
      <c r="A514"/>
      <c r="C514"/>
      <c r="D514"/>
      <c r="F514"/>
      <c r="G514"/>
      <c r="I514" s="299"/>
      <c r="K514" s="300"/>
      <c r="L514" s="300"/>
    </row>
    <row r="515" spans="1:12" x14ac:dyDescent="0.3">
      <c r="A515"/>
      <c r="C515"/>
      <c r="D515"/>
      <c r="F515"/>
      <c r="G515"/>
      <c r="I515" s="299"/>
      <c r="K515" s="300"/>
      <c r="L515" s="300"/>
    </row>
    <row r="516" spans="1:12" x14ac:dyDescent="0.3">
      <c r="A516"/>
      <c r="C516"/>
      <c r="D516"/>
      <c r="F516"/>
      <c r="G516"/>
      <c r="I516" s="299"/>
      <c r="K516" s="300"/>
      <c r="L516" s="300"/>
    </row>
    <row r="517" spans="1:12" x14ac:dyDescent="0.3">
      <c r="A517"/>
      <c r="C517"/>
      <c r="D517"/>
      <c r="F517"/>
      <c r="G517"/>
      <c r="I517" s="299"/>
      <c r="K517" s="300"/>
      <c r="L517" s="300"/>
    </row>
    <row r="518" spans="1:12" x14ac:dyDescent="0.3">
      <c r="A518"/>
      <c r="C518"/>
      <c r="D518"/>
      <c r="F518"/>
      <c r="G518"/>
      <c r="I518" s="299"/>
      <c r="K518" s="300"/>
      <c r="L518" s="300"/>
    </row>
    <row r="519" spans="1:12" x14ac:dyDescent="0.3">
      <c r="A519"/>
      <c r="C519"/>
      <c r="D519"/>
      <c r="F519"/>
      <c r="G519"/>
      <c r="I519" s="299"/>
      <c r="K519" s="300"/>
      <c r="L519" s="300"/>
    </row>
    <row r="520" spans="1:12" x14ac:dyDescent="0.3">
      <c r="A520"/>
      <c r="C520"/>
      <c r="D520"/>
      <c r="F520"/>
      <c r="G520"/>
      <c r="I520" s="299"/>
      <c r="K520" s="300"/>
      <c r="L520" s="300"/>
    </row>
    <row r="521" spans="1:12" x14ac:dyDescent="0.3">
      <c r="A521"/>
      <c r="C521"/>
      <c r="D521"/>
      <c r="F521"/>
      <c r="G521"/>
      <c r="I521" s="299"/>
      <c r="K521" s="300"/>
      <c r="L521" s="300"/>
    </row>
    <row r="522" spans="1:12" x14ac:dyDescent="0.3">
      <c r="A522"/>
      <c r="C522"/>
      <c r="D522"/>
      <c r="F522"/>
      <c r="G522"/>
      <c r="I522" s="299"/>
      <c r="K522" s="300"/>
      <c r="L522" s="300"/>
    </row>
    <row r="523" spans="1:12" x14ac:dyDescent="0.3">
      <c r="A523"/>
      <c r="C523"/>
      <c r="D523"/>
      <c r="F523"/>
      <c r="G523"/>
      <c r="I523" s="299"/>
      <c r="K523" s="300"/>
      <c r="L523" s="300"/>
    </row>
    <row r="524" spans="1:12" x14ac:dyDescent="0.3">
      <c r="A524"/>
      <c r="C524"/>
      <c r="D524"/>
      <c r="F524"/>
      <c r="G524"/>
      <c r="I524" s="299"/>
      <c r="K524" s="300"/>
      <c r="L524" s="300"/>
    </row>
    <row r="525" spans="1:12" x14ac:dyDescent="0.3">
      <c r="A525"/>
      <c r="C525"/>
      <c r="D525"/>
      <c r="F525"/>
      <c r="G525"/>
      <c r="I525" s="299"/>
      <c r="K525" s="300"/>
      <c r="L525" s="300"/>
    </row>
    <row r="526" spans="1:12" x14ac:dyDescent="0.3">
      <c r="A526"/>
      <c r="C526"/>
      <c r="D526"/>
      <c r="F526"/>
      <c r="G526"/>
      <c r="I526" s="299"/>
      <c r="K526" s="300"/>
      <c r="L526" s="300"/>
    </row>
    <row r="527" spans="1:12" x14ac:dyDescent="0.3">
      <c r="A527"/>
      <c r="C527"/>
      <c r="D527"/>
      <c r="F527"/>
      <c r="G527"/>
      <c r="I527" s="299"/>
      <c r="K527" s="300"/>
      <c r="L527" s="300"/>
    </row>
    <row r="528" spans="1:12" x14ac:dyDescent="0.3">
      <c r="A528"/>
      <c r="C528"/>
      <c r="D528"/>
      <c r="F528"/>
      <c r="G528"/>
      <c r="I528" s="299"/>
      <c r="K528" s="300"/>
      <c r="L528" s="300"/>
    </row>
    <row r="529" spans="1:12" x14ac:dyDescent="0.3">
      <c r="A529"/>
      <c r="C529"/>
      <c r="D529"/>
      <c r="F529"/>
      <c r="G529"/>
      <c r="I529" s="299"/>
      <c r="K529" s="300"/>
      <c r="L529" s="300"/>
    </row>
    <row r="530" spans="1:12" x14ac:dyDescent="0.3">
      <c r="A530"/>
      <c r="C530"/>
      <c r="D530"/>
      <c r="F530"/>
      <c r="G530"/>
      <c r="I530" s="299"/>
      <c r="K530" s="300"/>
      <c r="L530" s="300"/>
    </row>
    <row r="531" spans="1:12" x14ac:dyDescent="0.3">
      <c r="A531"/>
      <c r="C531"/>
      <c r="D531"/>
      <c r="F531"/>
      <c r="G531"/>
      <c r="I531" s="299"/>
      <c r="K531" s="300"/>
      <c r="L531" s="300"/>
    </row>
    <row r="532" spans="1:12" x14ac:dyDescent="0.3">
      <c r="A532"/>
      <c r="C532"/>
      <c r="D532"/>
      <c r="F532"/>
      <c r="G532"/>
      <c r="I532" s="299"/>
      <c r="K532" s="300"/>
      <c r="L532" s="300"/>
    </row>
    <row r="533" spans="1:12" x14ac:dyDescent="0.3">
      <c r="A533"/>
      <c r="C533"/>
      <c r="D533"/>
      <c r="F533"/>
      <c r="G533"/>
      <c r="I533" s="299"/>
      <c r="K533" s="300"/>
      <c r="L533" s="300"/>
    </row>
    <row r="534" spans="1:12" x14ac:dyDescent="0.3">
      <c r="A534"/>
      <c r="C534"/>
      <c r="D534"/>
      <c r="F534"/>
      <c r="G534"/>
      <c r="I534" s="299"/>
      <c r="K534" s="300"/>
      <c r="L534" s="300"/>
    </row>
    <row r="535" spans="1:12" x14ac:dyDescent="0.3">
      <c r="A535"/>
      <c r="C535"/>
      <c r="D535"/>
      <c r="F535"/>
      <c r="G535"/>
      <c r="I535" s="299"/>
      <c r="K535" s="300"/>
      <c r="L535" s="300"/>
    </row>
    <row r="536" spans="1:12" x14ac:dyDescent="0.3">
      <c r="A536"/>
      <c r="C536"/>
      <c r="D536"/>
      <c r="F536"/>
      <c r="G536"/>
      <c r="I536" s="299"/>
      <c r="K536" s="300"/>
      <c r="L536" s="300"/>
    </row>
    <row r="537" spans="1:12" x14ac:dyDescent="0.3">
      <c r="A537"/>
      <c r="C537"/>
      <c r="D537"/>
      <c r="F537"/>
      <c r="G537"/>
      <c r="I537" s="299"/>
      <c r="K537" s="300"/>
      <c r="L537" s="300"/>
    </row>
    <row r="538" spans="1:12" x14ac:dyDescent="0.3">
      <c r="A538"/>
      <c r="C538"/>
      <c r="D538"/>
      <c r="F538"/>
      <c r="G538"/>
      <c r="I538" s="299"/>
      <c r="K538" s="300"/>
      <c r="L538" s="300"/>
    </row>
    <row r="539" spans="1:12" x14ac:dyDescent="0.3">
      <c r="A539"/>
      <c r="C539"/>
      <c r="D539"/>
      <c r="F539"/>
      <c r="G539"/>
      <c r="I539" s="299"/>
      <c r="K539" s="300"/>
      <c r="L539" s="300"/>
    </row>
    <row r="540" spans="1:12" x14ac:dyDescent="0.3">
      <c r="A540"/>
      <c r="C540"/>
      <c r="D540"/>
      <c r="F540"/>
      <c r="G540"/>
      <c r="I540" s="299"/>
      <c r="K540" s="300"/>
      <c r="L540" s="300"/>
    </row>
    <row r="541" spans="1:12" x14ac:dyDescent="0.3">
      <c r="A541"/>
      <c r="C541"/>
      <c r="D541"/>
      <c r="F541"/>
      <c r="G541"/>
      <c r="I541" s="299"/>
      <c r="K541" s="300"/>
      <c r="L541" s="300"/>
    </row>
    <row r="542" spans="1:12" x14ac:dyDescent="0.3">
      <c r="A542"/>
      <c r="C542"/>
      <c r="D542"/>
      <c r="F542"/>
      <c r="G542"/>
      <c r="I542" s="299"/>
      <c r="K542" s="300"/>
      <c r="L542" s="300"/>
    </row>
    <row r="543" spans="1:12" x14ac:dyDescent="0.3">
      <c r="A543"/>
      <c r="C543"/>
      <c r="D543"/>
      <c r="F543"/>
      <c r="G543"/>
      <c r="I543" s="299"/>
      <c r="K543" s="300"/>
      <c r="L543" s="300"/>
    </row>
    <row r="544" spans="1:12" x14ac:dyDescent="0.3">
      <c r="A544"/>
      <c r="C544"/>
      <c r="D544"/>
      <c r="F544"/>
      <c r="G544"/>
      <c r="I544" s="299"/>
      <c r="K544" s="300"/>
      <c r="L544" s="300"/>
    </row>
    <row r="545" spans="1:12" x14ac:dyDescent="0.3">
      <c r="A545"/>
      <c r="C545"/>
      <c r="D545"/>
      <c r="F545"/>
      <c r="G545"/>
      <c r="I545" s="299"/>
      <c r="K545" s="300"/>
      <c r="L545" s="300"/>
    </row>
    <row r="546" spans="1:12" x14ac:dyDescent="0.3">
      <c r="A546"/>
      <c r="C546"/>
      <c r="D546"/>
      <c r="F546"/>
      <c r="G546"/>
      <c r="I546" s="299"/>
      <c r="K546" s="300"/>
      <c r="L546" s="300"/>
    </row>
    <row r="547" spans="1:12" x14ac:dyDescent="0.3">
      <c r="A547"/>
      <c r="C547"/>
      <c r="D547"/>
      <c r="F547"/>
      <c r="G547"/>
      <c r="I547" s="299"/>
      <c r="K547" s="300"/>
      <c r="L547" s="300"/>
    </row>
    <row r="548" spans="1:12" x14ac:dyDescent="0.3">
      <c r="A548"/>
      <c r="C548"/>
      <c r="D548"/>
      <c r="F548"/>
      <c r="G548"/>
      <c r="I548" s="299"/>
      <c r="K548" s="300"/>
      <c r="L548" s="300"/>
    </row>
    <row r="549" spans="1:12" x14ac:dyDescent="0.3">
      <c r="A549"/>
      <c r="C549"/>
      <c r="D549"/>
      <c r="F549"/>
      <c r="G549"/>
      <c r="I549" s="299"/>
      <c r="K549" s="300"/>
      <c r="L549" s="300"/>
    </row>
    <row r="550" spans="1:12" x14ac:dyDescent="0.3">
      <c r="A550"/>
      <c r="C550"/>
      <c r="D550"/>
      <c r="F550"/>
      <c r="G550"/>
      <c r="I550" s="299"/>
      <c r="K550" s="300"/>
      <c r="L550" s="300"/>
    </row>
    <row r="551" spans="1:12" x14ac:dyDescent="0.3">
      <c r="A551"/>
      <c r="C551"/>
      <c r="D551"/>
      <c r="F551"/>
      <c r="G551"/>
      <c r="I551" s="299"/>
      <c r="K551" s="300"/>
      <c r="L551" s="300"/>
    </row>
    <row r="552" spans="1:12" x14ac:dyDescent="0.3">
      <c r="A552"/>
      <c r="C552"/>
      <c r="D552"/>
      <c r="F552"/>
      <c r="G552"/>
      <c r="I552" s="299"/>
      <c r="K552" s="300"/>
      <c r="L552" s="300"/>
    </row>
    <row r="553" spans="1:12" x14ac:dyDescent="0.3">
      <c r="A553"/>
      <c r="C553"/>
      <c r="D553"/>
      <c r="F553"/>
      <c r="G553"/>
      <c r="I553" s="299"/>
      <c r="K553" s="300"/>
      <c r="L553" s="300"/>
    </row>
    <row r="554" spans="1:12" x14ac:dyDescent="0.3">
      <c r="A554"/>
      <c r="C554"/>
      <c r="D554"/>
      <c r="F554"/>
      <c r="G554"/>
      <c r="I554" s="299"/>
      <c r="K554" s="300"/>
      <c r="L554" s="300"/>
    </row>
    <row r="555" spans="1:12" x14ac:dyDescent="0.3">
      <c r="A555"/>
      <c r="C555"/>
      <c r="D555"/>
      <c r="F555"/>
      <c r="G555"/>
      <c r="I555" s="299"/>
      <c r="K555" s="300"/>
      <c r="L555" s="300"/>
    </row>
    <row r="556" spans="1:12" x14ac:dyDescent="0.3">
      <c r="A556"/>
      <c r="C556"/>
      <c r="D556"/>
      <c r="F556"/>
      <c r="G556"/>
      <c r="I556" s="299"/>
      <c r="K556" s="300"/>
      <c r="L556" s="300"/>
    </row>
    <row r="557" spans="1:12" x14ac:dyDescent="0.3">
      <c r="A557"/>
      <c r="C557"/>
      <c r="D557"/>
      <c r="F557"/>
      <c r="G557"/>
      <c r="I557" s="299"/>
      <c r="K557" s="300"/>
      <c r="L557" s="300"/>
    </row>
    <row r="558" spans="1:12" x14ac:dyDescent="0.3">
      <c r="A558"/>
      <c r="C558"/>
      <c r="D558"/>
      <c r="F558"/>
      <c r="G558"/>
      <c r="I558" s="299"/>
      <c r="K558" s="300"/>
      <c r="L558" s="300"/>
    </row>
    <row r="559" spans="1:12" x14ac:dyDescent="0.3">
      <c r="A559"/>
      <c r="C559"/>
      <c r="D559"/>
      <c r="F559"/>
      <c r="G559"/>
      <c r="I559" s="299"/>
      <c r="K559" s="300"/>
      <c r="L559" s="300"/>
    </row>
    <row r="560" spans="1:12" x14ac:dyDescent="0.3">
      <c r="A560"/>
      <c r="C560"/>
      <c r="D560"/>
      <c r="F560"/>
      <c r="G560"/>
      <c r="I560" s="299"/>
      <c r="K560" s="300"/>
      <c r="L560" s="300"/>
    </row>
    <row r="561" spans="1:12" x14ac:dyDescent="0.3">
      <c r="A561"/>
      <c r="C561"/>
      <c r="D561"/>
      <c r="F561"/>
      <c r="G561"/>
      <c r="I561" s="299"/>
      <c r="K561" s="300"/>
      <c r="L561" s="300"/>
    </row>
    <row r="562" spans="1:12" x14ac:dyDescent="0.3">
      <c r="A562"/>
      <c r="C562"/>
      <c r="D562"/>
      <c r="F562"/>
      <c r="G562"/>
      <c r="I562" s="299"/>
      <c r="K562" s="300"/>
      <c r="L562" s="300"/>
    </row>
    <row r="563" spans="1:12" x14ac:dyDescent="0.3">
      <c r="A563"/>
      <c r="C563"/>
      <c r="D563"/>
      <c r="F563"/>
      <c r="G563"/>
      <c r="I563" s="299"/>
      <c r="K563" s="300"/>
      <c r="L563" s="300"/>
    </row>
    <row r="564" spans="1:12" x14ac:dyDescent="0.3">
      <c r="A564"/>
      <c r="C564"/>
      <c r="D564"/>
      <c r="F564"/>
      <c r="G564"/>
      <c r="I564" s="299"/>
      <c r="K564" s="300"/>
      <c r="L564" s="300"/>
    </row>
    <row r="565" spans="1:12" x14ac:dyDescent="0.3">
      <c r="A565"/>
      <c r="C565"/>
      <c r="D565"/>
      <c r="F565"/>
      <c r="G565"/>
      <c r="I565" s="299"/>
      <c r="K565" s="300"/>
      <c r="L565" s="300"/>
    </row>
    <row r="566" spans="1:12" x14ac:dyDescent="0.3">
      <c r="A566"/>
      <c r="C566"/>
      <c r="D566"/>
      <c r="F566"/>
      <c r="G566"/>
      <c r="I566" s="299"/>
      <c r="K566" s="300"/>
      <c r="L566" s="300"/>
    </row>
    <row r="567" spans="1:12" x14ac:dyDescent="0.3">
      <c r="A567"/>
      <c r="C567"/>
      <c r="D567"/>
      <c r="F567"/>
      <c r="G567"/>
      <c r="I567" s="299"/>
      <c r="K567" s="300"/>
      <c r="L567" s="300"/>
    </row>
    <row r="568" spans="1:12" x14ac:dyDescent="0.3">
      <c r="A568"/>
      <c r="C568"/>
      <c r="D568"/>
      <c r="F568"/>
      <c r="G568"/>
      <c r="I568" s="299"/>
      <c r="K568" s="300"/>
      <c r="L568" s="300"/>
    </row>
    <row r="569" spans="1:12" x14ac:dyDescent="0.3">
      <c r="A569"/>
      <c r="C569"/>
      <c r="D569"/>
      <c r="F569"/>
      <c r="G569"/>
      <c r="I569" s="299"/>
      <c r="K569" s="300"/>
      <c r="L569" s="300"/>
    </row>
    <row r="570" spans="1:12" x14ac:dyDescent="0.3">
      <c r="A570"/>
      <c r="C570"/>
      <c r="D570"/>
      <c r="F570"/>
      <c r="G570"/>
      <c r="I570" s="299"/>
      <c r="K570" s="300"/>
      <c r="L570" s="300"/>
    </row>
    <row r="571" spans="1:12" x14ac:dyDescent="0.3">
      <c r="A571"/>
      <c r="C571"/>
      <c r="D571"/>
      <c r="F571"/>
      <c r="G571"/>
      <c r="I571" s="299"/>
      <c r="K571" s="300"/>
      <c r="L571" s="300"/>
    </row>
    <row r="572" spans="1:12" x14ac:dyDescent="0.3">
      <c r="A572"/>
      <c r="C572"/>
      <c r="D572"/>
      <c r="F572"/>
      <c r="G572"/>
      <c r="I572" s="299"/>
      <c r="K572" s="300"/>
      <c r="L572" s="300"/>
    </row>
    <row r="573" spans="1:12" x14ac:dyDescent="0.3">
      <c r="A573"/>
      <c r="C573"/>
      <c r="D573"/>
      <c r="F573"/>
      <c r="G573"/>
      <c r="I573" s="299"/>
      <c r="K573" s="300"/>
      <c r="L573" s="300"/>
    </row>
    <row r="574" spans="1:12" x14ac:dyDescent="0.3">
      <c r="A574"/>
      <c r="C574"/>
      <c r="D574"/>
      <c r="F574"/>
      <c r="G574"/>
      <c r="I574" s="299"/>
      <c r="K574" s="300"/>
      <c r="L574" s="300"/>
    </row>
    <row r="575" spans="1:12" x14ac:dyDescent="0.3">
      <c r="A575"/>
      <c r="C575"/>
      <c r="D575"/>
      <c r="F575"/>
      <c r="G575"/>
      <c r="I575" s="299"/>
      <c r="K575" s="300"/>
      <c r="L575" s="300"/>
    </row>
    <row r="576" spans="1:12" x14ac:dyDescent="0.3">
      <c r="A576"/>
      <c r="C576"/>
      <c r="D576"/>
      <c r="F576"/>
      <c r="G576"/>
      <c r="I576" s="299"/>
      <c r="K576" s="300"/>
      <c r="L576" s="300"/>
    </row>
    <row r="577" spans="1:12" x14ac:dyDescent="0.3">
      <c r="A577"/>
      <c r="C577"/>
      <c r="D577"/>
      <c r="F577"/>
      <c r="G577"/>
      <c r="I577" s="299"/>
      <c r="K577" s="300"/>
      <c r="L577" s="300"/>
    </row>
    <row r="578" spans="1:12" x14ac:dyDescent="0.3">
      <c r="A578"/>
      <c r="C578"/>
      <c r="D578"/>
      <c r="F578"/>
      <c r="G578"/>
      <c r="I578" s="299"/>
      <c r="K578" s="300"/>
      <c r="L578" s="300"/>
    </row>
    <row r="579" spans="1:12" x14ac:dyDescent="0.3">
      <c r="A579"/>
      <c r="C579"/>
      <c r="D579"/>
      <c r="F579"/>
      <c r="G579"/>
      <c r="I579" s="299"/>
      <c r="K579" s="300"/>
      <c r="L579" s="300"/>
    </row>
    <row r="580" spans="1:12" x14ac:dyDescent="0.3">
      <c r="A580"/>
      <c r="C580"/>
      <c r="D580"/>
      <c r="F580"/>
      <c r="G580"/>
      <c r="I580" s="299"/>
      <c r="K580" s="300"/>
      <c r="L580" s="300"/>
    </row>
    <row r="581" spans="1:12" x14ac:dyDescent="0.3">
      <c r="A581"/>
      <c r="C581"/>
      <c r="D581"/>
      <c r="F581"/>
      <c r="G581"/>
      <c r="I581" s="299"/>
      <c r="K581" s="300"/>
      <c r="L581" s="300"/>
    </row>
    <row r="582" spans="1:12" x14ac:dyDescent="0.3">
      <c r="A582"/>
      <c r="C582"/>
      <c r="D582"/>
      <c r="F582"/>
      <c r="G582"/>
      <c r="I582" s="299"/>
      <c r="K582" s="300"/>
      <c r="L582" s="300"/>
    </row>
    <row r="583" spans="1:12" x14ac:dyDescent="0.3">
      <c r="A583"/>
      <c r="C583"/>
      <c r="D583"/>
      <c r="F583"/>
      <c r="G583"/>
      <c r="I583" s="299"/>
      <c r="K583" s="300"/>
      <c r="L583" s="300"/>
    </row>
    <row r="584" spans="1:12" x14ac:dyDescent="0.3">
      <c r="A584"/>
      <c r="C584"/>
      <c r="D584"/>
      <c r="F584"/>
      <c r="G584"/>
      <c r="I584" s="299"/>
      <c r="K584" s="300"/>
      <c r="L584" s="300"/>
    </row>
    <row r="585" spans="1:12" x14ac:dyDescent="0.3">
      <c r="A585"/>
      <c r="C585"/>
      <c r="D585"/>
      <c r="F585"/>
      <c r="G585"/>
      <c r="I585" s="299"/>
      <c r="K585" s="300"/>
      <c r="L585" s="300"/>
    </row>
    <row r="586" spans="1:12" x14ac:dyDescent="0.3">
      <c r="A586"/>
      <c r="C586"/>
      <c r="D586"/>
      <c r="F586"/>
      <c r="G586"/>
      <c r="I586" s="299"/>
      <c r="K586" s="300"/>
      <c r="L586" s="300"/>
    </row>
    <row r="587" spans="1:12" x14ac:dyDescent="0.3">
      <c r="A587"/>
      <c r="C587"/>
      <c r="D587"/>
      <c r="F587"/>
      <c r="G587"/>
      <c r="I587" s="299"/>
      <c r="K587" s="300"/>
      <c r="L587" s="300"/>
    </row>
    <row r="588" spans="1:12" x14ac:dyDescent="0.3">
      <c r="A588"/>
      <c r="C588"/>
      <c r="D588"/>
      <c r="F588"/>
      <c r="G588"/>
      <c r="I588" s="299"/>
      <c r="K588" s="300"/>
      <c r="L588" s="300"/>
    </row>
    <row r="589" spans="1:12" x14ac:dyDescent="0.3">
      <c r="A589"/>
      <c r="C589"/>
      <c r="D589"/>
      <c r="F589"/>
      <c r="G589"/>
      <c r="I589" s="299"/>
      <c r="K589" s="300"/>
      <c r="L589" s="300"/>
    </row>
    <row r="590" spans="1:12" x14ac:dyDescent="0.3">
      <c r="A590"/>
      <c r="C590"/>
      <c r="D590"/>
      <c r="F590"/>
      <c r="G590"/>
      <c r="I590" s="299"/>
      <c r="K590" s="300"/>
      <c r="L590" s="300"/>
    </row>
    <row r="591" spans="1:12" x14ac:dyDescent="0.3">
      <c r="A591"/>
      <c r="C591"/>
      <c r="D591"/>
      <c r="F591"/>
      <c r="G591"/>
      <c r="I591" s="299"/>
      <c r="K591" s="300"/>
      <c r="L591" s="300"/>
    </row>
    <row r="592" spans="1:12" x14ac:dyDescent="0.3">
      <c r="A592"/>
      <c r="C592"/>
      <c r="D592"/>
      <c r="F592"/>
      <c r="G592"/>
      <c r="I592" s="299"/>
      <c r="K592" s="300"/>
      <c r="L592" s="300"/>
    </row>
    <row r="593" spans="1:12" x14ac:dyDescent="0.3">
      <c r="A593"/>
      <c r="C593"/>
      <c r="D593"/>
      <c r="F593"/>
      <c r="G593"/>
      <c r="I593" s="299"/>
      <c r="K593" s="300"/>
      <c r="L593" s="300"/>
    </row>
    <row r="594" spans="1:12" x14ac:dyDescent="0.3">
      <c r="A594"/>
      <c r="C594"/>
      <c r="D594"/>
      <c r="F594"/>
      <c r="G594"/>
      <c r="I594" s="299"/>
      <c r="K594" s="300"/>
      <c r="L594" s="300"/>
    </row>
    <row r="595" spans="1:12" x14ac:dyDescent="0.3">
      <c r="A595"/>
      <c r="C595"/>
      <c r="D595"/>
      <c r="F595"/>
      <c r="G595"/>
      <c r="I595" s="299"/>
      <c r="K595" s="300"/>
      <c r="L595" s="300"/>
    </row>
    <row r="596" spans="1:12" x14ac:dyDescent="0.3">
      <c r="A596"/>
      <c r="C596"/>
      <c r="D596"/>
      <c r="F596"/>
      <c r="G596"/>
      <c r="I596" s="299"/>
      <c r="K596" s="300"/>
      <c r="L596" s="300"/>
    </row>
    <row r="597" spans="1:12" x14ac:dyDescent="0.3">
      <c r="A597"/>
      <c r="C597"/>
      <c r="D597"/>
      <c r="F597"/>
      <c r="G597"/>
      <c r="I597" s="299"/>
      <c r="K597" s="300"/>
      <c r="L597" s="300"/>
    </row>
    <row r="598" spans="1:12" x14ac:dyDescent="0.3">
      <c r="A598"/>
      <c r="C598"/>
      <c r="D598"/>
      <c r="F598"/>
      <c r="G598"/>
      <c r="I598" s="299"/>
      <c r="K598" s="300"/>
      <c r="L598" s="300"/>
    </row>
    <row r="599" spans="1:12" x14ac:dyDescent="0.3">
      <c r="A599"/>
      <c r="C599"/>
      <c r="D599"/>
      <c r="F599"/>
      <c r="G599"/>
      <c r="I599" s="299"/>
      <c r="K599" s="300"/>
      <c r="L599" s="300"/>
    </row>
    <row r="600" spans="1:12" x14ac:dyDescent="0.3">
      <c r="A600"/>
      <c r="C600"/>
      <c r="D600"/>
      <c r="F600"/>
      <c r="G600"/>
      <c r="I600" s="299"/>
      <c r="K600" s="300"/>
      <c r="L600" s="300"/>
    </row>
    <row r="601" spans="1:12" x14ac:dyDescent="0.3">
      <c r="A601"/>
      <c r="C601"/>
      <c r="D601"/>
      <c r="F601"/>
      <c r="G601"/>
      <c r="I601" s="299"/>
      <c r="K601" s="300"/>
      <c r="L601" s="300"/>
    </row>
    <row r="602" spans="1:12" x14ac:dyDescent="0.3">
      <c r="A602"/>
      <c r="C602"/>
      <c r="D602"/>
      <c r="F602"/>
      <c r="G602"/>
      <c r="I602" s="299"/>
      <c r="K602" s="300"/>
      <c r="L602" s="300"/>
    </row>
    <row r="603" spans="1:12" x14ac:dyDescent="0.3">
      <c r="A603"/>
      <c r="C603"/>
      <c r="D603"/>
      <c r="F603"/>
      <c r="G603"/>
      <c r="I603" s="299"/>
      <c r="K603" s="300"/>
      <c r="L603" s="300"/>
    </row>
    <row r="604" spans="1:12" x14ac:dyDescent="0.3">
      <c r="A604"/>
      <c r="C604"/>
      <c r="D604"/>
      <c r="F604"/>
      <c r="G604"/>
      <c r="I604" s="299"/>
      <c r="K604" s="300"/>
      <c r="L604" s="300"/>
    </row>
    <row r="605" spans="1:12" x14ac:dyDescent="0.3">
      <c r="A605"/>
      <c r="C605"/>
      <c r="D605"/>
      <c r="F605"/>
      <c r="G605"/>
      <c r="I605" s="299"/>
      <c r="K605" s="300"/>
      <c r="L605" s="300"/>
    </row>
    <row r="606" spans="1:12" x14ac:dyDescent="0.3">
      <c r="A606"/>
      <c r="C606"/>
      <c r="D606"/>
      <c r="F606"/>
      <c r="G606"/>
      <c r="I606" s="299"/>
      <c r="K606" s="300"/>
      <c r="L606" s="300"/>
    </row>
    <row r="607" spans="1:12" x14ac:dyDescent="0.3">
      <c r="A607"/>
      <c r="C607"/>
      <c r="D607"/>
      <c r="F607"/>
      <c r="G607"/>
      <c r="I607" s="299"/>
      <c r="K607" s="300"/>
      <c r="L607" s="300"/>
    </row>
    <row r="608" spans="1:12" x14ac:dyDescent="0.3">
      <c r="A608"/>
      <c r="C608"/>
      <c r="D608"/>
      <c r="F608"/>
      <c r="G608"/>
      <c r="I608" s="299"/>
      <c r="K608" s="300"/>
      <c r="L608" s="300"/>
    </row>
    <row r="609" spans="1:12" x14ac:dyDescent="0.3">
      <c r="A609"/>
      <c r="C609"/>
      <c r="D609"/>
      <c r="F609"/>
      <c r="G609"/>
      <c r="I609" s="299"/>
      <c r="K609" s="300"/>
      <c r="L609" s="300"/>
    </row>
    <row r="610" spans="1:12" x14ac:dyDescent="0.3">
      <c r="A610"/>
      <c r="C610"/>
      <c r="D610"/>
      <c r="F610"/>
      <c r="G610"/>
      <c r="I610" s="299"/>
      <c r="K610" s="300"/>
      <c r="L610" s="300"/>
    </row>
    <row r="611" spans="1:12" x14ac:dyDescent="0.3">
      <c r="A611"/>
      <c r="C611"/>
      <c r="D611"/>
      <c r="F611"/>
      <c r="G611"/>
      <c r="I611" s="299"/>
      <c r="K611" s="300"/>
      <c r="L611" s="300"/>
    </row>
    <row r="612" spans="1:12" x14ac:dyDescent="0.3">
      <c r="A612"/>
      <c r="C612"/>
      <c r="D612"/>
      <c r="F612"/>
      <c r="G612"/>
      <c r="I612" s="299"/>
      <c r="K612" s="300"/>
      <c r="L612" s="300"/>
    </row>
    <row r="613" spans="1:12" x14ac:dyDescent="0.3">
      <c r="A613"/>
      <c r="C613"/>
      <c r="D613"/>
      <c r="F613"/>
      <c r="G613"/>
      <c r="I613" s="299"/>
      <c r="K613" s="300"/>
      <c r="L613" s="300"/>
    </row>
    <row r="614" spans="1:12" x14ac:dyDescent="0.3">
      <c r="A614"/>
      <c r="C614"/>
      <c r="D614"/>
      <c r="F614"/>
      <c r="G614"/>
      <c r="I614" s="299"/>
      <c r="K614" s="300"/>
      <c r="L614" s="300"/>
    </row>
    <row r="615" spans="1:12" x14ac:dyDescent="0.3">
      <c r="A615"/>
      <c r="C615"/>
      <c r="D615"/>
      <c r="F615"/>
      <c r="G615"/>
      <c r="I615" s="299"/>
      <c r="K615" s="300"/>
      <c r="L615" s="300"/>
    </row>
    <row r="616" spans="1:12" x14ac:dyDescent="0.3">
      <c r="A616"/>
      <c r="C616"/>
      <c r="D616"/>
      <c r="F616"/>
      <c r="G616"/>
      <c r="I616" s="299"/>
      <c r="K616" s="300"/>
      <c r="L616" s="300"/>
    </row>
    <row r="617" spans="1:12" x14ac:dyDescent="0.3">
      <c r="A617"/>
      <c r="C617"/>
      <c r="D617"/>
      <c r="F617"/>
      <c r="G617"/>
      <c r="I617" s="299"/>
      <c r="K617" s="300"/>
      <c r="L617" s="300"/>
    </row>
    <row r="618" spans="1:12" x14ac:dyDescent="0.3">
      <c r="A618"/>
      <c r="C618"/>
      <c r="D618"/>
      <c r="F618"/>
      <c r="G618"/>
      <c r="I618" s="299"/>
      <c r="K618" s="300"/>
      <c r="L618" s="300"/>
    </row>
    <row r="619" spans="1:12" x14ac:dyDescent="0.3">
      <c r="A619"/>
      <c r="C619"/>
      <c r="D619"/>
      <c r="F619"/>
      <c r="G619"/>
      <c r="I619" s="299"/>
      <c r="K619" s="300"/>
      <c r="L619" s="300"/>
    </row>
    <row r="620" spans="1:12" x14ac:dyDescent="0.3">
      <c r="A620"/>
      <c r="C620"/>
      <c r="D620"/>
      <c r="F620"/>
      <c r="G620"/>
      <c r="I620" s="299"/>
      <c r="K620" s="300"/>
      <c r="L620" s="300"/>
    </row>
    <row r="621" spans="1:12" x14ac:dyDescent="0.3">
      <c r="A621"/>
      <c r="C621"/>
      <c r="D621"/>
      <c r="F621"/>
      <c r="G621"/>
      <c r="I621" s="299"/>
      <c r="K621" s="300"/>
      <c r="L621" s="300"/>
    </row>
    <row r="622" spans="1:12" x14ac:dyDescent="0.3">
      <c r="A622"/>
      <c r="C622"/>
      <c r="D622"/>
      <c r="F622"/>
      <c r="G622"/>
      <c r="I622" s="299"/>
      <c r="K622" s="300"/>
      <c r="L622" s="300"/>
    </row>
    <row r="623" spans="1:12" x14ac:dyDescent="0.3">
      <c r="A623"/>
      <c r="C623"/>
      <c r="D623"/>
      <c r="F623"/>
      <c r="G623"/>
      <c r="I623" s="299"/>
      <c r="K623" s="300"/>
      <c r="L623" s="300"/>
    </row>
    <row r="624" spans="1:12" x14ac:dyDescent="0.3">
      <c r="A624"/>
      <c r="C624"/>
      <c r="D624"/>
      <c r="F624"/>
      <c r="G624"/>
      <c r="I624" s="299"/>
      <c r="K624" s="300"/>
      <c r="L624" s="300"/>
    </row>
    <row r="625" spans="1:12" x14ac:dyDescent="0.3">
      <c r="A625"/>
      <c r="C625"/>
      <c r="D625"/>
      <c r="F625"/>
      <c r="G625"/>
      <c r="I625" s="299"/>
      <c r="K625" s="300"/>
      <c r="L625" s="300"/>
    </row>
    <row r="626" spans="1:12" x14ac:dyDescent="0.3">
      <c r="A626"/>
      <c r="C626"/>
      <c r="D626"/>
      <c r="F626"/>
      <c r="G626"/>
      <c r="I626" s="299"/>
      <c r="K626" s="300"/>
      <c r="L626" s="300"/>
    </row>
    <row r="627" spans="1:12" x14ac:dyDescent="0.3">
      <c r="A627"/>
      <c r="C627"/>
      <c r="D627"/>
      <c r="F627"/>
      <c r="G627"/>
      <c r="I627" s="299"/>
      <c r="K627" s="300"/>
      <c r="L627" s="300"/>
    </row>
    <row r="628" spans="1:12" x14ac:dyDescent="0.3">
      <c r="A628"/>
      <c r="C628"/>
      <c r="D628"/>
      <c r="F628"/>
      <c r="G628"/>
      <c r="I628" s="299"/>
      <c r="K628" s="300"/>
      <c r="L628" s="300"/>
    </row>
    <row r="629" spans="1:12" x14ac:dyDescent="0.3">
      <c r="A629"/>
      <c r="C629"/>
      <c r="D629"/>
      <c r="F629"/>
      <c r="G629"/>
      <c r="I629" s="299"/>
      <c r="K629" s="300"/>
      <c r="L629" s="300"/>
    </row>
    <row r="630" spans="1:12" x14ac:dyDescent="0.3">
      <c r="A630"/>
      <c r="C630"/>
      <c r="D630"/>
      <c r="F630"/>
      <c r="G630"/>
      <c r="I630" s="299"/>
      <c r="K630" s="300"/>
      <c r="L630" s="300"/>
    </row>
    <row r="631" spans="1:12" x14ac:dyDescent="0.3">
      <c r="A631"/>
      <c r="C631"/>
      <c r="D631"/>
      <c r="F631"/>
      <c r="G631"/>
      <c r="I631" s="299"/>
      <c r="K631" s="300"/>
      <c r="L631" s="300"/>
    </row>
    <row r="632" spans="1:12" x14ac:dyDescent="0.3">
      <c r="A632"/>
      <c r="C632"/>
      <c r="D632"/>
      <c r="F632"/>
      <c r="G632"/>
      <c r="I632" s="299"/>
      <c r="K632" s="300"/>
      <c r="L632" s="300"/>
    </row>
    <row r="633" spans="1:12" x14ac:dyDescent="0.3">
      <c r="A633"/>
      <c r="C633"/>
      <c r="D633"/>
      <c r="F633"/>
      <c r="G633"/>
      <c r="I633" s="299"/>
      <c r="K633" s="300"/>
      <c r="L633" s="300"/>
    </row>
    <row r="634" spans="1:12" x14ac:dyDescent="0.3">
      <c r="A634"/>
      <c r="C634"/>
      <c r="D634"/>
      <c r="F634"/>
      <c r="G634"/>
      <c r="I634" s="299"/>
      <c r="K634" s="300"/>
      <c r="L634" s="300"/>
    </row>
    <row r="635" spans="1:12" x14ac:dyDescent="0.3">
      <c r="A635"/>
      <c r="C635"/>
      <c r="D635"/>
      <c r="F635"/>
      <c r="G635"/>
      <c r="I635" s="299"/>
      <c r="K635" s="300"/>
      <c r="L635" s="300"/>
    </row>
    <row r="636" spans="1:12" x14ac:dyDescent="0.3">
      <c r="A636"/>
      <c r="C636"/>
      <c r="D636"/>
      <c r="F636"/>
      <c r="G636"/>
      <c r="I636" s="299"/>
      <c r="K636" s="300"/>
      <c r="L636" s="300"/>
    </row>
    <row r="637" spans="1:12" x14ac:dyDescent="0.3">
      <c r="A637"/>
      <c r="C637"/>
      <c r="D637"/>
      <c r="F637"/>
      <c r="G637"/>
      <c r="I637" s="299"/>
      <c r="K637" s="300"/>
      <c r="L637" s="300"/>
    </row>
    <row r="638" spans="1:12" x14ac:dyDescent="0.3">
      <c r="A638"/>
      <c r="C638"/>
      <c r="D638"/>
      <c r="F638"/>
      <c r="G638"/>
      <c r="I638" s="299"/>
      <c r="K638" s="300"/>
      <c r="L638" s="300"/>
    </row>
    <row r="639" spans="1:12" x14ac:dyDescent="0.3">
      <c r="A639"/>
      <c r="C639"/>
      <c r="D639"/>
      <c r="F639"/>
      <c r="G639"/>
      <c r="I639" s="299"/>
      <c r="K639" s="300"/>
      <c r="L639" s="300"/>
    </row>
    <row r="640" spans="1:12" x14ac:dyDescent="0.3">
      <c r="A640"/>
      <c r="C640"/>
      <c r="D640"/>
      <c r="F640"/>
      <c r="G640"/>
      <c r="I640" s="299"/>
      <c r="K640" s="300"/>
      <c r="L640" s="300"/>
    </row>
    <row r="641" spans="1:12" x14ac:dyDescent="0.3">
      <c r="A641"/>
      <c r="C641"/>
      <c r="D641"/>
      <c r="F641"/>
      <c r="G641"/>
      <c r="I641" s="299"/>
      <c r="K641" s="300"/>
      <c r="L641" s="300"/>
    </row>
    <row r="642" spans="1:12" x14ac:dyDescent="0.3">
      <c r="A642"/>
      <c r="C642"/>
      <c r="D642"/>
      <c r="F642"/>
      <c r="G642"/>
      <c r="I642" s="299"/>
      <c r="K642" s="300"/>
      <c r="L642" s="300"/>
    </row>
    <row r="643" spans="1:12" x14ac:dyDescent="0.3">
      <c r="A643"/>
      <c r="C643"/>
      <c r="D643"/>
      <c r="F643"/>
      <c r="G643"/>
      <c r="I643" s="299"/>
      <c r="K643" s="300"/>
      <c r="L643" s="300"/>
    </row>
    <row r="644" spans="1:12" x14ac:dyDescent="0.3">
      <c r="A644"/>
      <c r="C644"/>
      <c r="D644"/>
      <c r="F644"/>
      <c r="G644"/>
      <c r="I644" s="299"/>
      <c r="K644" s="300"/>
      <c r="L644" s="300"/>
    </row>
    <row r="645" spans="1:12" x14ac:dyDescent="0.3">
      <c r="A645"/>
      <c r="C645"/>
      <c r="D645"/>
      <c r="F645"/>
      <c r="G645"/>
      <c r="I645" s="299"/>
      <c r="K645" s="300"/>
      <c r="L645" s="300"/>
    </row>
    <row r="646" spans="1:12" x14ac:dyDescent="0.3">
      <c r="A646"/>
      <c r="C646"/>
      <c r="D646"/>
      <c r="F646"/>
      <c r="G646"/>
      <c r="I646" s="299"/>
      <c r="K646" s="300"/>
      <c r="L646" s="300"/>
    </row>
    <row r="647" spans="1:12" x14ac:dyDescent="0.3">
      <c r="A647"/>
      <c r="C647"/>
      <c r="D647"/>
      <c r="F647"/>
      <c r="G647"/>
      <c r="I647" s="299"/>
      <c r="K647" s="300"/>
      <c r="L647" s="300"/>
    </row>
    <row r="648" spans="1:12" x14ac:dyDescent="0.3">
      <c r="A648"/>
      <c r="C648"/>
      <c r="D648"/>
      <c r="F648"/>
      <c r="G648"/>
      <c r="I648" s="299"/>
      <c r="K648" s="300"/>
      <c r="L648" s="300"/>
    </row>
    <row r="649" spans="1:12" x14ac:dyDescent="0.3">
      <c r="A649"/>
      <c r="C649"/>
      <c r="D649"/>
      <c r="F649"/>
      <c r="G649"/>
      <c r="I649" s="299"/>
      <c r="K649" s="300"/>
      <c r="L649" s="300"/>
    </row>
    <row r="650" spans="1:12" x14ac:dyDescent="0.3">
      <c r="A650"/>
      <c r="C650"/>
      <c r="D650"/>
      <c r="F650"/>
      <c r="G650"/>
      <c r="I650" s="299"/>
      <c r="K650" s="300"/>
      <c r="L650" s="300"/>
    </row>
    <row r="651" spans="1:12" x14ac:dyDescent="0.3">
      <c r="A651"/>
      <c r="C651"/>
      <c r="D651"/>
      <c r="F651"/>
      <c r="G651"/>
      <c r="I651" s="299"/>
      <c r="K651" s="300"/>
      <c r="L651" s="300"/>
    </row>
    <row r="652" spans="1:12" x14ac:dyDescent="0.3">
      <c r="A652"/>
      <c r="C652"/>
      <c r="D652"/>
      <c r="F652"/>
      <c r="G652"/>
      <c r="I652" s="299"/>
      <c r="K652" s="300"/>
      <c r="L652" s="300"/>
    </row>
    <row r="653" spans="1:12" x14ac:dyDescent="0.3">
      <c r="A653"/>
      <c r="C653"/>
      <c r="D653"/>
      <c r="F653"/>
      <c r="G653"/>
      <c r="I653" s="299"/>
      <c r="K653" s="300"/>
      <c r="L653" s="300"/>
    </row>
    <row r="654" spans="1:12" x14ac:dyDescent="0.3">
      <c r="A654"/>
      <c r="C654"/>
      <c r="D654"/>
      <c r="F654"/>
      <c r="G654"/>
      <c r="I654" s="299"/>
      <c r="K654" s="300"/>
      <c r="L654" s="300"/>
    </row>
    <row r="655" spans="1:12" x14ac:dyDescent="0.3">
      <c r="A655"/>
      <c r="C655"/>
      <c r="D655"/>
      <c r="F655"/>
      <c r="G655"/>
      <c r="I655" s="299"/>
      <c r="K655" s="300"/>
      <c r="L655" s="300"/>
    </row>
    <row r="656" spans="1:12" x14ac:dyDescent="0.3">
      <c r="A656"/>
      <c r="C656"/>
      <c r="D656"/>
      <c r="F656"/>
      <c r="G656"/>
      <c r="I656" s="299"/>
      <c r="K656" s="300"/>
      <c r="L656" s="300"/>
    </row>
    <row r="657" spans="1:12" x14ac:dyDescent="0.3">
      <c r="A657"/>
      <c r="C657"/>
      <c r="D657"/>
      <c r="F657"/>
      <c r="G657"/>
      <c r="I657" s="299"/>
      <c r="K657" s="300"/>
      <c r="L657" s="300"/>
    </row>
    <row r="658" spans="1:12" x14ac:dyDescent="0.3">
      <c r="A658"/>
      <c r="C658"/>
      <c r="D658"/>
      <c r="F658"/>
      <c r="G658"/>
      <c r="I658" s="299"/>
      <c r="K658" s="300"/>
      <c r="L658" s="300"/>
    </row>
    <row r="659" spans="1:12" x14ac:dyDescent="0.3">
      <c r="A659"/>
      <c r="C659"/>
      <c r="D659"/>
      <c r="F659"/>
      <c r="G659"/>
      <c r="I659" s="299"/>
      <c r="K659" s="300"/>
      <c r="L659" s="300"/>
    </row>
    <row r="660" spans="1:12" x14ac:dyDescent="0.3">
      <c r="A660"/>
      <c r="C660"/>
      <c r="D660"/>
      <c r="F660"/>
      <c r="G660"/>
      <c r="I660" s="299"/>
      <c r="K660" s="300"/>
      <c r="L660" s="300"/>
    </row>
    <row r="661" spans="1:12" x14ac:dyDescent="0.3">
      <c r="A661"/>
      <c r="C661"/>
      <c r="D661"/>
      <c r="F661"/>
      <c r="G661"/>
      <c r="I661" s="299"/>
      <c r="K661" s="300"/>
      <c r="L661" s="300"/>
    </row>
    <row r="662" spans="1:12" x14ac:dyDescent="0.3">
      <c r="A662"/>
      <c r="C662"/>
      <c r="D662"/>
      <c r="F662"/>
      <c r="G662"/>
      <c r="I662" s="299"/>
      <c r="K662" s="300"/>
      <c r="L662" s="300"/>
    </row>
    <row r="663" spans="1:12" x14ac:dyDescent="0.3">
      <c r="A663"/>
      <c r="C663"/>
      <c r="D663"/>
      <c r="F663"/>
      <c r="G663"/>
      <c r="I663" s="299"/>
      <c r="K663" s="300"/>
      <c r="L663" s="300"/>
    </row>
    <row r="664" spans="1:12" x14ac:dyDescent="0.3">
      <c r="A664"/>
      <c r="C664"/>
      <c r="D664"/>
      <c r="F664"/>
      <c r="G664"/>
      <c r="I664" s="299"/>
      <c r="K664" s="300"/>
      <c r="L664" s="300"/>
    </row>
    <row r="665" spans="1:12" x14ac:dyDescent="0.3">
      <c r="A665"/>
      <c r="C665"/>
      <c r="D665"/>
      <c r="F665"/>
      <c r="G665"/>
      <c r="I665" s="299"/>
      <c r="K665" s="300"/>
      <c r="L665" s="300"/>
    </row>
    <row r="666" spans="1:12" x14ac:dyDescent="0.3">
      <c r="A666"/>
      <c r="C666"/>
      <c r="D666"/>
      <c r="F666"/>
      <c r="G666"/>
      <c r="I666" s="299"/>
      <c r="K666" s="300"/>
      <c r="L666" s="300"/>
    </row>
    <row r="667" spans="1:12" x14ac:dyDescent="0.3">
      <c r="A667"/>
      <c r="C667"/>
      <c r="D667"/>
      <c r="F667"/>
      <c r="G667"/>
      <c r="I667" s="299"/>
      <c r="K667" s="300"/>
      <c r="L667" s="300"/>
    </row>
    <row r="668" spans="1:12" x14ac:dyDescent="0.3">
      <c r="A668"/>
      <c r="C668"/>
      <c r="D668"/>
      <c r="F668"/>
      <c r="G668"/>
      <c r="I668" s="299"/>
      <c r="K668" s="300"/>
      <c r="L668" s="300"/>
    </row>
    <row r="669" spans="1:12" x14ac:dyDescent="0.3">
      <c r="A669"/>
      <c r="C669"/>
      <c r="D669"/>
      <c r="F669"/>
      <c r="G669"/>
      <c r="I669" s="299"/>
      <c r="K669" s="300"/>
      <c r="L669" s="300"/>
    </row>
    <row r="670" spans="1:12" x14ac:dyDescent="0.3">
      <c r="A670"/>
      <c r="C670"/>
      <c r="D670"/>
      <c r="F670"/>
      <c r="G670"/>
      <c r="I670" s="299"/>
      <c r="K670" s="300"/>
      <c r="L670" s="300"/>
    </row>
    <row r="671" spans="1:12" x14ac:dyDescent="0.3">
      <c r="A671"/>
      <c r="C671"/>
      <c r="D671"/>
      <c r="F671"/>
      <c r="G671"/>
      <c r="I671" s="299"/>
      <c r="K671" s="300"/>
      <c r="L671" s="300"/>
    </row>
    <row r="672" spans="1:12" x14ac:dyDescent="0.3">
      <c r="A672"/>
      <c r="C672"/>
      <c r="D672"/>
      <c r="F672"/>
      <c r="G672"/>
      <c r="I672" s="299"/>
      <c r="K672" s="300"/>
      <c r="L672" s="300"/>
    </row>
    <row r="673" spans="1:12" x14ac:dyDescent="0.3">
      <c r="A673"/>
      <c r="C673"/>
      <c r="D673"/>
      <c r="F673"/>
      <c r="G673"/>
      <c r="I673" s="299"/>
      <c r="K673" s="300"/>
      <c r="L673" s="300"/>
    </row>
    <row r="674" spans="1:12" x14ac:dyDescent="0.3">
      <c r="A674"/>
      <c r="C674"/>
      <c r="D674"/>
      <c r="F674"/>
      <c r="G674"/>
      <c r="I674" s="299"/>
      <c r="K674" s="300"/>
      <c r="L674" s="300"/>
    </row>
    <row r="675" spans="1:12" x14ac:dyDescent="0.3">
      <c r="A675"/>
      <c r="C675"/>
      <c r="D675"/>
      <c r="F675"/>
      <c r="G675"/>
      <c r="I675" s="299"/>
      <c r="K675" s="300"/>
      <c r="L675" s="300"/>
    </row>
    <row r="676" spans="1:12" x14ac:dyDescent="0.3">
      <c r="A676"/>
      <c r="C676"/>
      <c r="D676"/>
      <c r="F676"/>
      <c r="G676"/>
      <c r="I676" s="299"/>
      <c r="K676" s="300"/>
      <c r="L676" s="300"/>
    </row>
    <row r="677" spans="1:12" x14ac:dyDescent="0.3">
      <c r="A677"/>
      <c r="C677"/>
      <c r="D677"/>
      <c r="F677"/>
      <c r="G677"/>
      <c r="I677" s="299"/>
      <c r="K677" s="300"/>
      <c r="L677" s="300"/>
    </row>
    <row r="678" spans="1:12" x14ac:dyDescent="0.3">
      <c r="A678"/>
      <c r="C678"/>
      <c r="D678"/>
      <c r="F678"/>
      <c r="G678"/>
      <c r="I678" s="299"/>
      <c r="K678" s="300"/>
      <c r="L678" s="300"/>
    </row>
    <row r="679" spans="1:12" x14ac:dyDescent="0.3">
      <c r="A679"/>
      <c r="C679"/>
      <c r="D679"/>
      <c r="F679"/>
      <c r="G679"/>
      <c r="I679" s="299"/>
      <c r="K679" s="300"/>
      <c r="L679" s="300"/>
    </row>
    <row r="680" spans="1:12" x14ac:dyDescent="0.3">
      <c r="A680"/>
      <c r="C680"/>
      <c r="D680"/>
      <c r="F680"/>
      <c r="G680"/>
      <c r="I680" s="299"/>
      <c r="K680" s="300"/>
      <c r="L680" s="300"/>
    </row>
    <row r="681" spans="1:12" x14ac:dyDescent="0.3">
      <c r="A681"/>
      <c r="C681"/>
      <c r="D681"/>
      <c r="F681"/>
      <c r="G681"/>
      <c r="I681" s="299"/>
      <c r="K681" s="300"/>
      <c r="L681" s="300"/>
    </row>
    <row r="682" spans="1:12" x14ac:dyDescent="0.3">
      <c r="A682"/>
      <c r="C682"/>
      <c r="D682"/>
      <c r="F682"/>
      <c r="G682"/>
      <c r="I682" s="299"/>
      <c r="K682" s="300"/>
      <c r="L682" s="300"/>
    </row>
    <row r="683" spans="1:12" x14ac:dyDescent="0.3">
      <c r="A683"/>
      <c r="C683"/>
      <c r="D683"/>
      <c r="F683"/>
      <c r="G683"/>
      <c r="I683" s="299"/>
      <c r="K683" s="300"/>
      <c r="L683" s="300"/>
    </row>
    <row r="684" spans="1:12" x14ac:dyDescent="0.3">
      <c r="A684"/>
      <c r="C684"/>
      <c r="D684"/>
      <c r="F684"/>
      <c r="G684"/>
      <c r="I684" s="299"/>
      <c r="K684" s="300"/>
      <c r="L684" s="300"/>
    </row>
    <row r="685" spans="1:12" x14ac:dyDescent="0.3">
      <c r="A685"/>
      <c r="C685"/>
      <c r="D685"/>
      <c r="F685"/>
      <c r="G685"/>
      <c r="I685" s="299"/>
      <c r="K685" s="300"/>
      <c r="L685" s="300"/>
    </row>
    <row r="686" spans="1:12" x14ac:dyDescent="0.3">
      <c r="A686"/>
      <c r="C686"/>
      <c r="D686"/>
      <c r="F686"/>
      <c r="G686"/>
      <c r="I686" s="299"/>
      <c r="K686" s="300"/>
      <c r="L686" s="300"/>
    </row>
    <row r="687" spans="1:12" x14ac:dyDescent="0.3">
      <c r="A687"/>
      <c r="C687"/>
      <c r="D687"/>
      <c r="F687"/>
      <c r="G687"/>
      <c r="I687" s="299"/>
      <c r="K687" s="300"/>
      <c r="L687" s="300"/>
    </row>
    <row r="688" spans="1:12" x14ac:dyDescent="0.3">
      <c r="A688"/>
      <c r="C688"/>
      <c r="D688"/>
      <c r="F688"/>
      <c r="G688"/>
      <c r="I688" s="299"/>
      <c r="K688" s="300"/>
      <c r="L688" s="300"/>
    </row>
    <row r="689" spans="1:12" x14ac:dyDescent="0.3">
      <c r="A689"/>
      <c r="C689"/>
      <c r="D689"/>
      <c r="F689"/>
      <c r="G689"/>
      <c r="I689" s="299"/>
      <c r="K689" s="300"/>
      <c r="L689" s="300"/>
    </row>
    <row r="690" spans="1:12" x14ac:dyDescent="0.3">
      <c r="A690"/>
      <c r="C690"/>
      <c r="D690"/>
      <c r="F690"/>
      <c r="G690"/>
      <c r="I690" s="299"/>
      <c r="K690" s="300"/>
      <c r="L690" s="300"/>
    </row>
    <row r="691" spans="1:12" x14ac:dyDescent="0.3">
      <c r="A691"/>
      <c r="C691"/>
      <c r="D691"/>
      <c r="F691"/>
      <c r="G691"/>
      <c r="I691" s="299"/>
      <c r="K691" s="300"/>
      <c r="L691" s="300"/>
    </row>
    <row r="692" spans="1:12" x14ac:dyDescent="0.3">
      <c r="A692"/>
      <c r="C692"/>
      <c r="D692"/>
      <c r="F692"/>
      <c r="G692"/>
      <c r="I692" s="299"/>
      <c r="K692" s="300"/>
      <c r="L692" s="300"/>
    </row>
    <row r="693" spans="1:12" x14ac:dyDescent="0.3">
      <c r="A693"/>
      <c r="C693"/>
      <c r="D693"/>
      <c r="F693"/>
      <c r="G693"/>
      <c r="I693" s="299"/>
      <c r="K693" s="300"/>
      <c r="L693" s="300"/>
    </row>
    <row r="694" spans="1:12" x14ac:dyDescent="0.3">
      <c r="A694"/>
      <c r="C694"/>
      <c r="D694"/>
      <c r="F694"/>
      <c r="G694"/>
      <c r="I694" s="299"/>
      <c r="K694" s="300"/>
      <c r="L694" s="300"/>
    </row>
    <row r="695" spans="1:12" x14ac:dyDescent="0.3">
      <c r="A695"/>
      <c r="C695"/>
      <c r="D695"/>
      <c r="F695"/>
      <c r="G695"/>
      <c r="I695" s="299"/>
      <c r="K695" s="300"/>
      <c r="L695" s="300"/>
    </row>
    <row r="696" spans="1:12" x14ac:dyDescent="0.3">
      <c r="A696"/>
      <c r="C696"/>
      <c r="D696"/>
      <c r="F696"/>
      <c r="G696"/>
      <c r="I696" s="299"/>
      <c r="K696" s="300"/>
      <c r="L696" s="300"/>
    </row>
    <row r="697" spans="1:12" x14ac:dyDescent="0.3">
      <c r="A697"/>
      <c r="C697"/>
      <c r="D697"/>
      <c r="F697"/>
      <c r="G697"/>
      <c r="I697" s="299"/>
      <c r="K697" s="300"/>
      <c r="L697" s="300"/>
    </row>
    <row r="698" spans="1:12" x14ac:dyDescent="0.3">
      <c r="A698"/>
      <c r="C698"/>
      <c r="D698"/>
      <c r="F698"/>
      <c r="G698"/>
      <c r="I698" s="299"/>
      <c r="K698" s="300"/>
      <c r="L698" s="300"/>
    </row>
    <row r="699" spans="1:12" x14ac:dyDescent="0.3">
      <c r="A699"/>
      <c r="C699"/>
      <c r="D699"/>
      <c r="F699"/>
      <c r="G699"/>
      <c r="I699" s="299"/>
      <c r="K699" s="300"/>
      <c r="L699" s="300"/>
    </row>
    <row r="700" spans="1:12" x14ac:dyDescent="0.3">
      <c r="A700"/>
      <c r="C700"/>
      <c r="D700"/>
      <c r="F700"/>
      <c r="G700"/>
      <c r="I700" s="299"/>
      <c r="K700" s="300"/>
      <c r="L700" s="300"/>
    </row>
    <row r="701" spans="1:12" x14ac:dyDescent="0.3">
      <c r="A701"/>
      <c r="C701"/>
      <c r="D701"/>
      <c r="F701"/>
      <c r="G701"/>
      <c r="I701" s="299"/>
      <c r="K701" s="300"/>
      <c r="L701" s="300"/>
    </row>
    <row r="702" spans="1:12" x14ac:dyDescent="0.3">
      <c r="A702"/>
      <c r="C702"/>
      <c r="D702"/>
      <c r="F702"/>
      <c r="G702"/>
      <c r="I702" s="299"/>
      <c r="K702" s="300"/>
      <c r="L702" s="300"/>
    </row>
    <row r="703" spans="1:12" x14ac:dyDescent="0.3">
      <c r="A703"/>
      <c r="C703"/>
      <c r="D703"/>
      <c r="F703"/>
      <c r="G703"/>
      <c r="I703" s="299"/>
      <c r="K703" s="300"/>
      <c r="L703" s="300"/>
    </row>
    <row r="704" spans="1:12" x14ac:dyDescent="0.3">
      <c r="A704"/>
      <c r="C704"/>
      <c r="D704"/>
      <c r="F704"/>
      <c r="G704"/>
      <c r="I704" s="299"/>
      <c r="K704" s="300"/>
      <c r="L704" s="300"/>
    </row>
    <row r="705" spans="1:12" x14ac:dyDescent="0.3">
      <c r="A705"/>
      <c r="C705"/>
      <c r="D705"/>
      <c r="F705"/>
      <c r="G705"/>
      <c r="I705" s="299"/>
      <c r="K705" s="300"/>
      <c r="L705" s="300"/>
    </row>
    <row r="706" spans="1:12" x14ac:dyDescent="0.3">
      <c r="A706"/>
      <c r="C706"/>
      <c r="D706"/>
      <c r="F706"/>
      <c r="G706"/>
      <c r="I706" s="299"/>
      <c r="K706" s="300"/>
      <c r="L706" s="300"/>
    </row>
    <row r="707" spans="1:12" x14ac:dyDescent="0.3">
      <c r="A707"/>
      <c r="C707"/>
      <c r="D707"/>
      <c r="F707"/>
      <c r="G707"/>
      <c r="I707" s="299"/>
      <c r="K707" s="300"/>
      <c r="L707" s="300"/>
    </row>
    <row r="708" spans="1:12" x14ac:dyDescent="0.3">
      <c r="A708"/>
      <c r="C708"/>
      <c r="D708"/>
      <c r="F708"/>
      <c r="G708"/>
      <c r="I708" s="299"/>
      <c r="K708" s="300"/>
      <c r="L708" s="300"/>
    </row>
    <row r="709" spans="1:12" x14ac:dyDescent="0.3">
      <c r="A709"/>
      <c r="C709"/>
      <c r="D709"/>
      <c r="F709"/>
      <c r="G709"/>
      <c r="I709" s="299"/>
      <c r="K709" s="300"/>
      <c r="L709" s="300"/>
    </row>
    <row r="710" spans="1:12" x14ac:dyDescent="0.3">
      <c r="A710"/>
      <c r="C710"/>
      <c r="D710"/>
      <c r="F710"/>
      <c r="G710"/>
      <c r="I710" s="299"/>
      <c r="K710" s="300"/>
      <c r="L710" s="300"/>
    </row>
    <row r="711" spans="1:12" x14ac:dyDescent="0.3">
      <c r="A711"/>
      <c r="C711"/>
      <c r="D711"/>
      <c r="F711"/>
      <c r="G711"/>
      <c r="I711" s="299"/>
      <c r="K711" s="300"/>
      <c r="L711" s="300"/>
    </row>
    <row r="712" spans="1:12" x14ac:dyDescent="0.3">
      <c r="A712"/>
      <c r="C712"/>
      <c r="D712"/>
      <c r="F712"/>
      <c r="G712"/>
      <c r="I712" s="299"/>
      <c r="K712" s="300"/>
      <c r="L712" s="300"/>
    </row>
    <row r="713" spans="1:12" x14ac:dyDescent="0.3">
      <c r="A713"/>
      <c r="C713"/>
      <c r="D713"/>
      <c r="F713"/>
      <c r="G713"/>
      <c r="I713" s="299"/>
      <c r="K713" s="300"/>
      <c r="L713" s="300"/>
    </row>
    <row r="714" spans="1:12" x14ac:dyDescent="0.3">
      <c r="A714"/>
      <c r="C714"/>
      <c r="D714"/>
      <c r="F714"/>
      <c r="G714"/>
      <c r="I714" s="299"/>
      <c r="K714" s="300"/>
      <c r="L714" s="300"/>
    </row>
    <row r="715" spans="1:12" x14ac:dyDescent="0.3">
      <c r="A715"/>
      <c r="C715"/>
      <c r="D715"/>
      <c r="F715"/>
      <c r="G715"/>
      <c r="I715" s="299"/>
      <c r="K715" s="300"/>
      <c r="L715" s="300"/>
    </row>
    <row r="716" spans="1:12" x14ac:dyDescent="0.3">
      <c r="A716"/>
      <c r="C716"/>
      <c r="D716"/>
      <c r="F716"/>
      <c r="G716"/>
      <c r="I716" s="299"/>
      <c r="K716" s="300"/>
      <c r="L716" s="300"/>
    </row>
    <row r="717" spans="1:12" x14ac:dyDescent="0.3">
      <c r="A717"/>
      <c r="C717"/>
      <c r="D717"/>
      <c r="F717"/>
      <c r="G717"/>
      <c r="I717" s="299"/>
      <c r="K717" s="300"/>
      <c r="L717" s="300"/>
    </row>
    <row r="718" spans="1:12" x14ac:dyDescent="0.3">
      <c r="A718"/>
      <c r="C718"/>
      <c r="D718"/>
      <c r="F718"/>
      <c r="G718"/>
      <c r="I718" s="299"/>
      <c r="K718" s="300"/>
      <c r="L718" s="300"/>
    </row>
    <row r="719" spans="1:12" x14ac:dyDescent="0.3">
      <c r="A719"/>
      <c r="C719"/>
      <c r="D719"/>
      <c r="F719"/>
      <c r="G719"/>
      <c r="I719" s="299"/>
      <c r="K719" s="300"/>
      <c r="L719" s="300"/>
    </row>
    <row r="720" spans="1:12" x14ac:dyDescent="0.3">
      <c r="A720"/>
      <c r="C720"/>
      <c r="D720"/>
      <c r="F720"/>
      <c r="G720"/>
      <c r="I720" s="299"/>
      <c r="K720" s="300"/>
      <c r="L720" s="300"/>
    </row>
    <row r="721" spans="1:12" x14ac:dyDescent="0.3">
      <c r="A721"/>
      <c r="C721"/>
      <c r="D721"/>
      <c r="F721"/>
      <c r="G721"/>
      <c r="I721" s="299"/>
      <c r="K721" s="300"/>
      <c r="L721" s="300"/>
    </row>
    <row r="722" spans="1:12" x14ac:dyDescent="0.3">
      <c r="A722"/>
      <c r="C722"/>
      <c r="D722"/>
      <c r="F722"/>
      <c r="G722"/>
      <c r="I722" s="299"/>
      <c r="K722" s="300"/>
      <c r="L722" s="300"/>
    </row>
    <row r="723" spans="1:12" x14ac:dyDescent="0.3">
      <c r="A723"/>
      <c r="C723"/>
      <c r="D723"/>
      <c r="F723"/>
      <c r="G723"/>
      <c r="I723" s="299"/>
      <c r="K723" s="300"/>
      <c r="L723" s="300"/>
    </row>
    <row r="724" spans="1:12" x14ac:dyDescent="0.3">
      <c r="A724"/>
      <c r="C724"/>
      <c r="D724"/>
      <c r="F724"/>
      <c r="G724"/>
      <c r="I724" s="299"/>
      <c r="K724" s="300"/>
      <c r="L724" s="300"/>
    </row>
    <row r="725" spans="1:12" x14ac:dyDescent="0.3">
      <c r="A725"/>
      <c r="C725"/>
      <c r="D725"/>
      <c r="F725"/>
      <c r="G725"/>
      <c r="I725" s="299"/>
      <c r="K725" s="300"/>
      <c r="L725" s="300"/>
    </row>
    <row r="726" spans="1:12" x14ac:dyDescent="0.3">
      <c r="A726"/>
      <c r="C726"/>
      <c r="D726"/>
      <c r="F726"/>
      <c r="G726"/>
      <c r="I726" s="299"/>
      <c r="K726" s="300"/>
      <c r="L726" s="300"/>
    </row>
    <row r="727" spans="1:12" x14ac:dyDescent="0.3">
      <c r="A727"/>
      <c r="C727"/>
      <c r="D727"/>
      <c r="F727"/>
      <c r="G727"/>
      <c r="I727" s="299"/>
      <c r="K727" s="300"/>
      <c r="L727" s="300"/>
    </row>
    <row r="728" spans="1:12" x14ac:dyDescent="0.3">
      <c r="A728"/>
      <c r="C728"/>
      <c r="D728"/>
      <c r="F728"/>
      <c r="G728"/>
      <c r="I728" s="299"/>
      <c r="K728" s="300"/>
      <c r="L728" s="300"/>
    </row>
    <row r="729" spans="1:12" x14ac:dyDescent="0.3">
      <c r="A729"/>
      <c r="C729"/>
      <c r="D729"/>
      <c r="F729"/>
      <c r="G729"/>
      <c r="I729" s="299"/>
      <c r="K729" s="300"/>
      <c r="L729" s="300"/>
    </row>
    <row r="730" spans="1:12" x14ac:dyDescent="0.3">
      <c r="A730"/>
      <c r="C730"/>
      <c r="D730"/>
      <c r="F730"/>
      <c r="G730"/>
      <c r="I730" s="299"/>
      <c r="K730" s="300"/>
      <c r="L730" s="300"/>
    </row>
    <row r="731" spans="1:12" x14ac:dyDescent="0.3">
      <c r="A731"/>
      <c r="C731"/>
      <c r="D731"/>
      <c r="F731"/>
      <c r="G731"/>
      <c r="I731" s="299"/>
      <c r="K731" s="300"/>
      <c r="L731" s="300"/>
    </row>
    <row r="732" spans="1:12" x14ac:dyDescent="0.3">
      <c r="A732"/>
      <c r="C732"/>
      <c r="D732"/>
      <c r="F732"/>
      <c r="G732"/>
      <c r="I732" s="299"/>
      <c r="K732" s="300"/>
      <c r="L732" s="300"/>
    </row>
    <row r="733" spans="1:12" x14ac:dyDescent="0.3">
      <c r="A733"/>
      <c r="C733"/>
      <c r="D733"/>
      <c r="F733"/>
      <c r="G733"/>
      <c r="I733" s="299"/>
      <c r="K733" s="300"/>
      <c r="L733" s="300"/>
    </row>
    <row r="734" spans="1:12" x14ac:dyDescent="0.3">
      <c r="A734"/>
      <c r="C734"/>
      <c r="D734"/>
      <c r="F734"/>
      <c r="G734"/>
      <c r="I734" s="299"/>
      <c r="K734" s="300"/>
      <c r="L734" s="300"/>
    </row>
    <row r="735" spans="1:12" x14ac:dyDescent="0.3">
      <c r="A735"/>
      <c r="C735"/>
      <c r="D735"/>
      <c r="F735"/>
      <c r="G735"/>
      <c r="I735" s="299"/>
      <c r="K735" s="300"/>
      <c r="L735" s="300"/>
    </row>
    <row r="736" spans="1:12" x14ac:dyDescent="0.3">
      <c r="A736"/>
      <c r="C736"/>
      <c r="D736"/>
      <c r="F736"/>
      <c r="G736"/>
      <c r="I736" s="299"/>
      <c r="K736" s="300"/>
      <c r="L736" s="300"/>
    </row>
    <row r="737" spans="1:12" x14ac:dyDescent="0.3">
      <c r="A737"/>
      <c r="C737"/>
      <c r="D737"/>
      <c r="F737"/>
      <c r="G737"/>
      <c r="I737" s="299"/>
      <c r="K737" s="300"/>
      <c r="L737" s="300"/>
    </row>
    <row r="738" spans="1:12" x14ac:dyDescent="0.3">
      <c r="A738"/>
      <c r="C738"/>
      <c r="D738"/>
      <c r="F738"/>
      <c r="G738"/>
      <c r="I738" s="299"/>
      <c r="K738" s="300"/>
      <c r="L738" s="300"/>
    </row>
    <row r="739" spans="1:12" x14ac:dyDescent="0.3">
      <c r="A739"/>
      <c r="C739"/>
      <c r="D739"/>
      <c r="F739"/>
      <c r="G739"/>
      <c r="I739" s="299"/>
      <c r="K739" s="300"/>
      <c r="L739" s="300"/>
    </row>
    <row r="740" spans="1:12" x14ac:dyDescent="0.3">
      <c r="A740"/>
      <c r="C740"/>
      <c r="D740"/>
      <c r="F740"/>
      <c r="G740"/>
      <c r="I740" s="299"/>
      <c r="K740" s="300"/>
      <c r="L740" s="300"/>
    </row>
    <row r="741" spans="1:12" x14ac:dyDescent="0.3">
      <c r="A741"/>
      <c r="C741"/>
      <c r="D741"/>
      <c r="F741"/>
      <c r="G741"/>
      <c r="I741" s="299"/>
      <c r="K741" s="300"/>
      <c r="L741" s="300"/>
    </row>
    <row r="742" spans="1:12" x14ac:dyDescent="0.3">
      <c r="A742"/>
      <c r="C742"/>
      <c r="D742"/>
      <c r="F742"/>
      <c r="G742"/>
      <c r="I742" s="299"/>
      <c r="K742" s="300"/>
      <c r="L742" s="300"/>
    </row>
    <row r="743" spans="1:12" x14ac:dyDescent="0.3">
      <c r="A743"/>
      <c r="C743"/>
      <c r="D743"/>
      <c r="F743"/>
      <c r="G743"/>
      <c r="I743" s="299"/>
      <c r="K743" s="300"/>
      <c r="L743" s="300"/>
    </row>
    <row r="744" spans="1:12" x14ac:dyDescent="0.3">
      <c r="A744"/>
      <c r="C744"/>
      <c r="D744"/>
      <c r="F744"/>
      <c r="G744"/>
      <c r="I744" s="299"/>
      <c r="K744" s="300"/>
      <c r="L744" s="300"/>
    </row>
    <row r="745" spans="1:12" x14ac:dyDescent="0.3">
      <c r="A745"/>
      <c r="C745"/>
      <c r="D745"/>
      <c r="F745"/>
      <c r="G745"/>
      <c r="I745" s="299"/>
      <c r="K745" s="300"/>
      <c r="L745" s="300"/>
    </row>
    <row r="746" spans="1:12" x14ac:dyDescent="0.3">
      <c r="A746"/>
      <c r="C746"/>
      <c r="D746"/>
      <c r="F746"/>
      <c r="G746"/>
      <c r="I746" s="299"/>
      <c r="K746" s="300"/>
      <c r="L746" s="300"/>
    </row>
    <row r="747" spans="1:12" x14ac:dyDescent="0.3">
      <c r="A747"/>
      <c r="C747"/>
      <c r="D747"/>
      <c r="F747"/>
      <c r="G747"/>
      <c r="I747" s="299"/>
      <c r="K747" s="300"/>
      <c r="L747" s="300"/>
    </row>
    <row r="748" spans="1:12" x14ac:dyDescent="0.3">
      <c r="A748"/>
      <c r="C748"/>
      <c r="D748"/>
      <c r="F748"/>
      <c r="G748"/>
      <c r="I748" s="299"/>
      <c r="K748" s="300"/>
      <c r="L748" s="300"/>
    </row>
    <row r="749" spans="1:12" x14ac:dyDescent="0.3">
      <c r="A749"/>
      <c r="C749"/>
      <c r="D749"/>
      <c r="F749"/>
      <c r="G749"/>
      <c r="I749" s="299"/>
      <c r="K749" s="300"/>
      <c r="L749" s="300"/>
    </row>
    <row r="750" spans="1:12" x14ac:dyDescent="0.3">
      <c r="A750"/>
      <c r="C750"/>
      <c r="D750"/>
      <c r="F750"/>
      <c r="G750"/>
      <c r="I750" s="299"/>
      <c r="K750" s="300"/>
      <c r="L750" s="300"/>
    </row>
    <row r="751" spans="1:12" x14ac:dyDescent="0.3">
      <c r="A751"/>
      <c r="C751"/>
      <c r="D751"/>
      <c r="F751"/>
      <c r="G751"/>
      <c r="I751" s="299"/>
      <c r="K751" s="300"/>
      <c r="L751" s="300"/>
    </row>
    <row r="752" spans="1:12" x14ac:dyDescent="0.3">
      <c r="A752"/>
      <c r="C752"/>
      <c r="D752"/>
      <c r="F752"/>
      <c r="G752"/>
      <c r="I752" s="299"/>
      <c r="K752" s="300"/>
      <c r="L752" s="300"/>
    </row>
    <row r="753" spans="1:12" x14ac:dyDescent="0.3">
      <c r="A753"/>
      <c r="C753"/>
      <c r="D753"/>
      <c r="F753"/>
      <c r="G753"/>
      <c r="I753" s="299"/>
      <c r="K753" s="300"/>
      <c r="L753" s="300"/>
    </row>
    <row r="754" spans="1:12" x14ac:dyDescent="0.3">
      <c r="A754"/>
      <c r="C754"/>
      <c r="D754"/>
      <c r="F754"/>
      <c r="G754"/>
      <c r="I754" s="299"/>
      <c r="K754" s="300"/>
      <c r="L754" s="300"/>
    </row>
    <row r="755" spans="1:12" x14ac:dyDescent="0.3">
      <c r="A755"/>
      <c r="C755"/>
      <c r="D755"/>
      <c r="F755"/>
      <c r="G755"/>
      <c r="I755" s="299"/>
      <c r="K755" s="300"/>
      <c r="L755" s="300"/>
    </row>
    <row r="756" spans="1:12" x14ac:dyDescent="0.3">
      <c r="A756"/>
      <c r="C756"/>
      <c r="D756"/>
      <c r="F756"/>
      <c r="G756"/>
      <c r="I756" s="299"/>
      <c r="K756" s="300"/>
      <c r="L756" s="300"/>
    </row>
    <row r="757" spans="1:12" x14ac:dyDescent="0.3">
      <c r="A757"/>
      <c r="C757"/>
      <c r="D757"/>
      <c r="F757"/>
      <c r="G757"/>
      <c r="I757" s="299"/>
      <c r="K757" s="300"/>
      <c r="L757" s="300"/>
    </row>
    <row r="758" spans="1:12" x14ac:dyDescent="0.3">
      <c r="A758"/>
      <c r="C758"/>
      <c r="D758"/>
      <c r="F758"/>
      <c r="G758"/>
      <c r="I758" s="299"/>
      <c r="K758" s="300"/>
      <c r="L758" s="300"/>
    </row>
    <row r="759" spans="1:12" x14ac:dyDescent="0.3">
      <c r="A759"/>
      <c r="C759"/>
      <c r="D759"/>
      <c r="F759"/>
      <c r="G759"/>
      <c r="I759" s="299"/>
      <c r="K759" s="300"/>
      <c r="L759" s="300"/>
    </row>
    <row r="760" spans="1:12" x14ac:dyDescent="0.3">
      <c r="A760"/>
      <c r="C760"/>
      <c r="D760"/>
      <c r="F760"/>
      <c r="G760"/>
      <c r="I760" s="299"/>
      <c r="K760" s="300"/>
      <c r="L760" s="300"/>
    </row>
    <row r="761" spans="1:12" x14ac:dyDescent="0.3">
      <c r="A761"/>
      <c r="C761"/>
      <c r="D761"/>
      <c r="F761"/>
      <c r="G761"/>
      <c r="I761" s="299"/>
      <c r="K761" s="300"/>
      <c r="L761" s="300"/>
    </row>
    <row r="762" spans="1:12" x14ac:dyDescent="0.3">
      <c r="A762"/>
      <c r="C762"/>
      <c r="D762"/>
      <c r="F762"/>
      <c r="G762"/>
      <c r="I762" s="299"/>
      <c r="K762" s="300"/>
      <c r="L762" s="300"/>
    </row>
    <row r="763" spans="1:12" x14ac:dyDescent="0.3">
      <c r="A763"/>
      <c r="C763"/>
      <c r="D763"/>
      <c r="F763"/>
      <c r="G763"/>
      <c r="I763" s="299"/>
      <c r="K763" s="300"/>
      <c r="L763" s="300"/>
    </row>
    <row r="764" spans="1:12" x14ac:dyDescent="0.3">
      <c r="A764"/>
      <c r="C764"/>
      <c r="D764"/>
      <c r="F764"/>
      <c r="G764"/>
      <c r="I764" s="299"/>
      <c r="K764" s="300"/>
      <c r="L764" s="300"/>
    </row>
    <row r="765" spans="1:12" x14ac:dyDescent="0.3">
      <c r="A765"/>
      <c r="C765"/>
      <c r="D765"/>
      <c r="F765"/>
      <c r="G765"/>
      <c r="I765" s="299"/>
      <c r="K765" s="300"/>
      <c r="L765" s="300"/>
    </row>
    <row r="766" spans="1:12" x14ac:dyDescent="0.3">
      <c r="A766"/>
      <c r="C766"/>
      <c r="D766"/>
      <c r="F766"/>
      <c r="G766"/>
      <c r="I766" s="299"/>
      <c r="K766" s="300"/>
      <c r="L766" s="300"/>
    </row>
    <row r="767" spans="1:12" x14ac:dyDescent="0.3">
      <c r="A767"/>
      <c r="C767"/>
      <c r="D767"/>
      <c r="F767"/>
      <c r="G767"/>
      <c r="I767" s="299"/>
      <c r="K767" s="300"/>
      <c r="L767" s="300"/>
    </row>
    <row r="768" spans="1:12" x14ac:dyDescent="0.3">
      <c r="A768"/>
      <c r="C768"/>
      <c r="D768"/>
      <c r="F768"/>
      <c r="G768"/>
      <c r="I768" s="299"/>
      <c r="K768" s="300"/>
      <c r="L768" s="300"/>
    </row>
    <row r="769" spans="1:12" x14ac:dyDescent="0.3">
      <c r="A769"/>
      <c r="C769"/>
      <c r="D769"/>
      <c r="F769"/>
      <c r="G769"/>
      <c r="I769" s="299"/>
      <c r="K769" s="300"/>
      <c r="L769" s="300"/>
    </row>
    <row r="770" spans="1:12" x14ac:dyDescent="0.3">
      <c r="A770"/>
      <c r="C770"/>
      <c r="D770"/>
      <c r="F770"/>
      <c r="G770"/>
      <c r="I770" s="299"/>
      <c r="K770" s="300"/>
      <c r="L770" s="300"/>
    </row>
    <row r="771" spans="1:12" x14ac:dyDescent="0.3">
      <c r="A771"/>
      <c r="C771"/>
      <c r="D771"/>
      <c r="F771"/>
      <c r="G771"/>
      <c r="I771" s="299"/>
      <c r="K771" s="300"/>
      <c r="L771" s="300"/>
    </row>
    <row r="772" spans="1:12" x14ac:dyDescent="0.3">
      <c r="A772"/>
      <c r="C772"/>
      <c r="D772"/>
      <c r="F772"/>
      <c r="G772"/>
      <c r="I772" s="299"/>
      <c r="K772" s="300"/>
      <c r="L772" s="300"/>
    </row>
    <row r="773" spans="1:12" x14ac:dyDescent="0.3">
      <c r="A773"/>
      <c r="C773"/>
      <c r="D773"/>
      <c r="F773"/>
      <c r="G773"/>
      <c r="I773" s="299"/>
      <c r="K773" s="300"/>
      <c r="L773" s="300"/>
    </row>
    <row r="774" spans="1:12" x14ac:dyDescent="0.3">
      <c r="A774"/>
      <c r="C774"/>
      <c r="D774"/>
      <c r="F774"/>
      <c r="G774"/>
      <c r="I774" s="299"/>
      <c r="K774" s="300"/>
      <c r="L774" s="300"/>
    </row>
    <row r="775" spans="1:12" x14ac:dyDescent="0.3">
      <c r="A775"/>
      <c r="C775"/>
      <c r="D775"/>
      <c r="F775"/>
      <c r="G775"/>
      <c r="I775" s="299"/>
      <c r="K775" s="300"/>
      <c r="L775" s="300"/>
    </row>
    <row r="776" spans="1:12" x14ac:dyDescent="0.3">
      <c r="A776"/>
      <c r="C776"/>
      <c r="D776"/>
      <c r="F776"/>
      <c r="G776"/>
      <c r="I776" s="299"/>
      <c r="K776" s="300"/>
      <c r="L776" s="300"/>
    </row>
    <row r="777" spans="1:12" x14ac:dyDescent="0.3">
      <c r="A777"/>
      <c r="C777"/>
      <c r="D777"/>
      <c r="F777"/>
      <c r="G777"/>
      <c r="I777" s="299"/>
      <c r="K777" s="300"/>
      <c r="L777" s="300"/>
    </row>
    <row r="778" spans="1:12" x14ac:dyDescent="0.3">
      <c r="A778"/>
      <c r="C778"/>
      <c r="D778"/>
      <c r="F778"/>
      <c r="G778"/>
      <c r="I778" s="299"/>
      <c r="K778" s="300"/>
      <c r="L778" s="300"/>
    </row>
    <row r="779" spans="1:12" x14ac:dyDescent="0.3">
      <c r="A779"/>
      <c r="C779"/>
      <c r="D779"/>
      <c r="F779"/>
      <c r="G779"/>
      <c r="I779" s="299"/>
      <c r="K779" s="300"/>
      <c r="L779" s="300"/>
    </row>
    <row r="780" spans="1:12" x14ac:dyDescent="0.3">
      <c r="A780"/>
      <c r="C780"/>
      <c r="D780"/>
      <c r="F780"/>
      <c r="G780"/>
      <c r="I780" s="299"/>
      <c r="K780" s="300"/>
      <c r="L780" s="300"/>
    </row>
    <row r="781" spans="1:12" x14ac:dyDescent="0.3">
      <c r="A781"/>
      <c r="C781"/>
      <c r="D781"/>
      <c r="F781"/>
      <c r="G781"/>
      <c r="I781" s="299"/>
      <c r="K781" s="300"/>
      <c r="L781" s="300"/>
    </row>
    <row r="782" spans="1:12" x14ac:dyDescent="0.3">
      <c r="A782"/>
      <c r="C782"/>
      <c r="D782"/>
      <c r="F782"/>
      <c r="G782"/>
      <c r="I782" s="299"/>
      <c r="K782" s="300"/>
      <c r="L782" s="300"/>
    </row>
    <row r="783" spans="1:12" x14ac:dyDescent="0.3">
      <c r="A783"/>
      <c r="C783"/>
      <c r="D783"/>
      <c r="F783"/>
      <c r="G783"/>
      <c r="I783" s="299"/>
      <c r="K783" s="300"/>
      <c r="L783" s="300"/>
    </row>
    <row r="784" spans="1:12" x14ac:dyDescent="0.3">
      <c r="A784"/>
      <c r="C784"/>
      <c r="D784"/>
      <c r="F784"/>
      <c r="G784"/>
      <c r="I784" s="299"/>
      <c r="K784" s="300"/>
      <c r="L784" s="300"/>
    </row>
    <row r="785" spans="1:12" x14ac:dyDescent="0.3">
      <c r="A785"/>
      <c r="C785"/>
      <c r="D785"/>
      <c r="F785"/>
      <c r="G785"/>
      <c r="I785" s="299"/>
      <c r="K785" s="300"/>
      <c r="L785" s="300"/>
    </row>
    <row r="786" spans="1:12" x14ac:dyDescent="0.3">
      <c r="A786"/>
      <c r="C786"/>
      <c r="D786"/>
      <c r="F786"/>
      <c r="G786"/>
      <c r="I786" s="299"/>
      <c r="K786" s="300"/>
      <c r="L786" s="300"/>
    </row>
    <row r="787" spans="1:12" x14ac:dyDescent="0.3">
      <c r="A787"/>
      <c r="C787"/>
      <c r="D787"/>
      <c r="F787"/>
      <c r="G787"/>
      <c r="I787" s="299"/>
      <c r="K787" s="300"/>
      <c r="L787" s="300"/>
    </row>
    <row r="788" spans="1:12" x14ac:dyDescent="0.3">
      <c r="A788"/>
      <c r="C788"/>
      <c r="D788"/>
      <c r="F788"/>
      <c r="G788"/>
      <c r="I788" s="299"/>
      <c r="K788" s="300"/>
      <c r="L788" s="300"/>
    </row>
    <row r="789" spans="1:12" x14ac:dyDescent="0.3">
      <c r="A789"/>
      <c r="C789"/>
      <c r="D789"/>
      <c r="F789"/>
      <c r="G789"/>
      <c r="I789" s="299"/>
      <c r="K789" s="300"/>
      <c r="L789" s="300"/>
    </row>
    <row r="790" spans="1:12" x14ac:dyDescent="0.3">
      <c r="A790"/>
      <c r="C790"/>
      <c r="D790"/>
      <c r="F790"/>
      <c r="G790"/>
      <c r="I790" s="299"/>
      <c r="K790" s="300"/>
      <c r="L790" s="300"/>
    </row>
    <row r="791" spans="1:12" x14ac:dyDescent="0.3">
      <c r="A791"/>
      <c r="C791"/>
      <c r="D791"/>
      <c r="F791"/>
      <c r="G791"/>
      <c r="I791" s="299"/>
      <c r="K791" s="300"/>
      <c r="L791" s="300"/>
    </row>
    <row r="792" spans="1:12" x14ac:dyDescent="0.3">
      <c r="A792"/>
      <c r="C792"/>
      <c r="D792"/>
      <c r="F792"/>
      <c r="G792"/>
      <c r="I792" s="299"/>
      <c r="K792" s="300"/>
      <c r="L792" s="300"/>
    </row>
    <row r="793" spans="1:12" x14ac:dyDescent="0.3">
      <c r="A793"/>
      <c r="C793"/>
      <c r="D793"/>
      <c r="F793"/>
      <c r="G793"/>
      <c r="I793" s="299"/>
      <c r="K793" s="300"/>
      <c r="L793" s="300"/>
    </row>
    <row r="794" spans="1:12" x14ac:dyDescent="0.3">
      <c r="A794"/>
      <c r="C794"/>
      <c r="D794"/>
      <c r="F794"/>
      <c r="G794"/>
      <c r="I794" s="299"/>
      <c r="K794" s="300"/>
      <c r="L794" s="300"/>
    </row>
    <row r="795" spans="1:12" x14ac:dyDescent="0.3">
      <c r="A795"/>
      <c r="C795"/>
      <c r="D795"/>
      <c r="F795"/>
      <c r="G795"/>
      <c r="I795" s="299"/>
      <c r="K795" s="300"/>
      <c r="L795" s="300"/>
    </row>
    <row r="796" spans="1:12" x14ac:dyDescent="0.3">
      <c r="A796"/>
      <c r="C796"/>
      <c r="D796"/>
      <c r="F796"/>
      <c r="G796"/>
      <c r="I796" s="299"/>
      <c r="K796" s="300"/>
      <c r="L796" s="300"/>
    </row>
    <row r="797" spans="1:12" x14ac:dyDescent="0.3">
      <c r="A797"/>
      <c r="C797"/>
      <c r="D797"/>
      <c r="F797"/>
      <c r="G797"/>
      <c r="I797" s="299"/>
      <c r="K797" s="300"/>
      <c r="L797" s="300"/>
    </row>
    <row r="798" spans="1:12" x14ac:dyDescent="0.3">
      <c r="A798"/>
      <c r="C798"/>
      <c r="D798"/>
      <c r="F798"/>
      <c r="G798"/>
      <c r="I798" s="299"/>
      <c r="K798" s="300"/>
      <c r="L798" s="300"/>
    </row>
    <row r="799" spans="1:12" x14ac:dyDescent="0.3">
      <c r="A799"/>
      <c r="C799"/>
      <c r="D799"/>
      <c r="F799"/>
      <c r="G799"/>
      <c r="I799" s="299"/>
      <c r="K799" s="300"/>
      <c r="L799" s="300"/>
    </row>
    <row r="800" spans="1:12" x14ac:dyDescent="0.3">
      <c r="A800"/>
      <c r="C800"/>
      <c r="D800"/>
      <c r="F800"/>
      <c r="G800"/>
      <c r="I800" s="299"/>
      <c r="K800" s="300"/>
      <c r="L800" s="300"/>
    </row>
    <row r="801" spans="1:12" x14ac:dyDescent="0.3">
      <c r="A801"/>
      <c r="C801"/>
      <c r="D801"/>
      <c r="F801"/>
      <c r="G801"/>
      <c r="I801" s="299"/>
      <c r="K801" s="300"/>
      <c r="L801" s="300"/>
    </row>
    <row r="802" spans="1:12" x14ac:dyDescent="0.3">
      <c r="A802"/>
      <c r="C802"/>
      <c r="D802"/>
      <c r="F802"/>
      <c r="G802"/>
      <c r="I802" s="299"/>
      <c r="K802" s="300"/>
      <c r="L802" s="300"/>
    </row>
    <row r="803" spans="1:12" x14ac:dyDescent="0.3">
      <c r="A803"/>
      <c r="C803"/>
      <c r="D803"/>
      <c r="F803"/>
      <c r="G803"/>
      <c r="I803" s="299"/>
      <c r="K803" s="300"/>
      <c r="L803" s="300"/>
    </row>
    <row r="804" spans="1:12" x14ac:dyDescent="0.3">
      <c r="A804"/>
      <c r="C804"/>
      <c r="D804"/>
      <c r="F804"/>
      <c r="G804"/>
      <c r="I804" s="299"/>
      <c r="K804" s="300"/>
      <c r="L804" s="300"/>
    </row>
    <row r="805" spans="1:12" x14ac:dyDescent="0.3">
      <c r="A805"/>
      <c r="C805"/>
      <c r="D805"/>
      <c r="F805"/>
      <c r="G805"/>
      <c r="I805" s="299"/>
      <c r="K805" s="300"/>
      <c r="L805" s="300"/>
    </row>
    <row r="806" spans="1:12" x14ac:dyDescent="0.3">
      <c r="A806"/>
      <c r="C806"/>
      <c r="D806"/>
      <c r="F806"/>
      <c r="G806"/>
      <c r="I806" s="299"/>
      <c r="K806" s="300"/>
      <c r="L806" s="300"/>
    </row>
    <row r="807" spans="1:12" x14ac:dyDescent="0.3">
      <c r="A807"/>
      <c r="C807"/>
      <c r="D807"/>
      <c r="F807"/>
      <c r="G807"/>
      <c r="I807" s="299"/>
      <c r="K807" s="300"/>
      <c r="L807" s="300"/>
    </row>
    <row r="808" spans="1:12" x14ac:dyDescent="0.3">
      <c r="A808"/>
      <c r="C808"/>
      <c r="D808"/>
      <c r="F808"/>
      <c r="G808"/>
      <c r="I808" s="299"/>
      <c r="K808" s="300"/>
      <c r="L808" s="300"/>
    </row>
    <row r="809" spans="1:12" x14ac:dyDescent="0.3">
      <c r="A809"/>
      <c r="C809"/>
      <c r="D809"/>
      <c r="F809"/>
      <c r="G809"/>
      <c r="I809" s="299"/>
      <c r="K809" s="300"/>
      <c r="L809" s="300"/>
    </row>
    <row r="810" spans="1:12" x14ac:dyDescent="0.3">
      <c r="A810"/>
      <c r="C810"/>
      <c r="D810"/>
      <c r="F810"/>
      <c r="G810"/>
      <c r="I810" s="299"/>
      <c r="K810" s="300"/>
      <c r="L810" s="300"/>
    </row>
    <row r="811" spans="1:12" x14ac:dyDescent="0.3">
      <c r="A811"/>
      <c r="C811"/>
      <c r="D811"/>
      <c r="F811"/>
      <c r="G811"/>
      <c r="I811" s="299"/>
      <c r="K811" s="300"/>
      <c r="L811" s="300"/>
    </row>
    <row r="812" spans="1:12" x14ac:dyDescent="0.3">
      <c r="A812"/>
      <c r="C812"/>
      <c r="D812"/>
      <c r="F812"/>
      <c r="G812"/>
      <c r="I812" s="299"/>
      <c r="K812" s="300"/>
      <c r="L812" s="300"/>
    </row>
    <row r="813" spans="1:12" x14ac:dyDescent="0.3">
      <c r="A813"/>
      <c r="C813"/>
      <c r="D813"/>
      <c r="F813"/>
      <c r="G813"/>
      <c r="I813" s="299"/>
      <c r="K813" s="300"/>
      <c r="L813" s="300"/>
    </row>
    <row r="814" spans="1:12" x14ac:dyDescent="0.3">
      <c r="A814"/>
      <c r="C814"/>
      <c r="D814"/>
      <c r="F814"/>
      <c r="G814"/>
      <c r="I814" s="299"/>
      <c r="K814" s="300"/>
      <c r="L814" s="300"/>
    </row>
    <row r="815" spans="1:12" x14ac:dyDescent="0.3">
      <c r="A815"/>
      <c r="C815"/>
      <c r="D815"/>
      <c r="F815"/>
      <c r="G815"/>
      <c r="I815" s="299"/>
      <c r="K815" s="300"/>
      <c r="L815" s="300"/>
    </row>
    <row r="816" spans="1:12" x14ac:dyDescent="0.3">
      <c r="A816"/>
      <c r="C816"/>
      <c r="D816"/>
      <c r="F816"/>
      <c r="G816"/>
      <c r="I816" s="299"/>
      <c r="K816" s="300"/>
      <c r="L816" s="300"/>
    </row>
    <row r="817" spans="1:12" x14ac:dyDescent="0.3">
      <c r="A817"/>
      <c r="C817"/>
      <c r="D817"/>
      <c r="F817"/>
      <c r="G817"/>
      <c r="I817" s="299"/>
      <c r="K817" s="300"/>
      <c r="L817" s="300"/>
    </row>
    <row r="818" spans="1:12" x14ac:dyDescent="0.3">
      <c r="A818"/>
      <c r="C818"/>
      <c r="D818"/>
      <c r="F818"/>
      <c r="G818"/>
      <c r="I818" s="299"/>
      <c r="K818" s="300"/>
      <c r="L818" s="300"/>
    </row>
    <row r="819" spans="1:12" x14ac:dyDescent="0.3">
      <c r="A819"/>
      <c r="C819"/>
      <c r="D819"/>
      <c r="F819"/>
      <c r="G819"/>
      <c r="I819" s="299"/>
      <c r="K819" s="300"/>
      <c r="L819" s="300"/>
    </row>
    <row r="820" spans="1:12" x14ac:dyDescent="0.3">
      <c r="A820"/>
      <c r="C820"/>
      <c r="D820"/>
      <c r="F820"/>
      <c r="G820"/>
      <c r="I820" s="299"/>
      <c r="K820" s="300"/>
      <c r="L820" s="300"/>
    </row>
    <row r="821" spans="1:12" x14ac:dyDescent="0.3">
      <c r="A821"/>
      <c r="C821"/>
      <c r="D821"/>
      <c r="F821"/>
      <c r="G821"/>
      <c r="I821" s="299"/>
      <c r="K821" s="300"/>
      <c r="L821" s="300"/>
    </row>
    <row r="822" spans="1:12" x14ac:dyDescent="0.3">
      <c r="A822"/>
      <c r="C822"/>
      <c r="D822"/>
      <c r="F822"/>
      <c r="G822"/>
      <c r="I822" s="299"/>
      <c r="K822" s="300"/>
      <c r="L822" s="300"/>
    </row>
    <row r="823" spans="1:12" x14ac:dyDescent="0.3">
      <c r="A823"/>
      <c r="C823"/>
      <c r="D823"/>
      <c r="F823"/>
      <c r="G823"/>
      <c r="I823" s="299"/>
      <c r="K823" s="300"/>
      <c r="L823" s="300"/>
    </row>
    <row r="824" spans="1:12" x14ac:dyDescent="0.3">
      <c r="A824"/>
      <c r="C824"/>
      <c r="D824"/>
      <c r="F824"/>
      <c r="G824"/>
      <c r="I824" s="299"/>
      <c r="K824" s="300"/>
      <c r="L824" s="300"/>
    </row>
    <row r="825" spans="1:12" x14ac:dyDescent="0.3">
      <c r="A825"/>
      <c r="C825"/>
      <c r="D825"/>
      <c r="F825"/>
      <c r="G825"/>
      <c r="I825" s="299"/>
      <c r="K825" s="300"/>
      <c r="L825" s="300"/>
    </row>
    <row r="826" spans="1:12" x14ac:dyDescent="0.3">
      <c r="A826"/>
      <c r="C826"/>
      <c r="D826"/>
      <c r="F826"/>
      <c r="G826"/>
      <c r="I826" s="299"/>
      <c r="K826" s="300"/>
      <c r="L826" s="300"/>
    </row>
    <row r="827" spans="1:12" x14ac:dyDescent="0.3">
      <c r="A827"/>
      <c r="C827"/>
      <c r="D827"/>
      <c r="F827"/>
      <c r="G827"/>
      <c r="I827" s="299"/>
      <c r="K827" s="300"/>
      <c r="L827" s="300"/>
    </row>
    <row r="828" spans="1:12" x14ac:dyDescent="0.3">
      <c r="A828"/>
      <c r="C828"/>
      <c r="D828"/>
      <c r="F828"/>
      <c r="G828"/>
      <c r="I828" s="299"/>
      <c r="K828" s="300"/>
      <c r="L828" s="300"/>
    </row>
    <row r="829" spans="1:12" x14ac:dyDescent="0.3">
      <c r="A829"/>
      <c r="C829"/>
      <c r="D829"/>
      <c r="F829"/>
      <c r="G829"/>
      <c r="I829" s="299"/>
      <c r="K829" s="300"/>
      <c r="L829" s="300"/>
    </row>
    <row r="830" spans="1:12" x14ac:dyDescent="0.3">
      <c r="A830"/>
      <c r="C830"/>
      <c r="D830"/>
      <c r="F830"/>
      <c r="G830"/>
      <c r="I830" s="299"/>
      <c r="K830" s="300"/>
      <c r="L830" s="300"/>
    </row>
    <row r="831" spans="1:12" x14ac:dyDescent="0.3">
      <c r="A831"/>
      <c r="C831"/>
      <c r="D831"/>
      <c r="F831"/>
      <c r="G831"/>
      <c r="I831" s="299"/>
      <c r="K831" s="300"/>
      <c r="L831" s="300"/>
    </row>
    <row r="832" spans="1:12" x14ac:dyDescent="0.3">
      <c r="A832"/>
      <c r="C832"/>
      <c r="D832"/>
      <c r="F832"/>
      <c r="G832"/>
      <c r="I832" s="299"/>
      <c r="K832" s="300"/>
      <c r="L832" s="300"/>
    </row>
    <row r="833" spans="1:12" x14ac:dyDescent="0.3">
      <c r="A833"/>
      <c r="C833"/>
      <c r="D833"/>
      <c r="F833"/>
      <c r="G833"/>
      <c r="I833" s="299"/>
      <c r="K833" s="300"/>
      <c r="L833" s="300"/>
    </row>
    <row r="834" spans="1:12" x14ac:dyDescent="0.3">
      <c r="A834"/>
      <c r="C834"/>
      <c r="D834"/>
      <c r="F834"/>
      <c r="G834"/>
      <c r="I834" s="299"/>
      <c r="K834" s="300"/>
      <c r="L834" s="300"/>
    </row>
    <row r="835" spans="1:12" x14ac:dyDescent="0.3">
      <c r="A835"/>
      <c r="C835"/>
      <c r="D835"/>
      <c r="F835"/>
      <c r="G835"/>
      <c r="I835" s="299"/>
      <c r="K835" s="300"/>
      <c r="L835" s="300"/>
    </row>
    <row r="836" spans="1:12" x14ac:dyDescent="0.3">
      <c r="A836"/>
      <c r="C836"/>
      <c r="D836"/>
      <c r="F836"/>
      <c r="G836"/>
      <c r="I836" s="299"/>
      <c r="K836" s="300"/>
      <c r="L836" s="300"/>
    </row>
    <row r="837" spans="1:12" x14ac:dyDescent="0.3">
      <c r="A837"/>
      <c r="C837"/>
      <c r="D837"/>
      <c r="F837"/>
      <c r="G837"/>
      <c r="I837" s="299"/>
      <c r="K837" s="300"/>
      <c r="L837" s="300"/>
    </row>
    <row r="838" spans="1:12" x14ac:dyDescent="0.3">
      <c r="A838"/>
      <c r="C838"/>
      <c r="D838"/>
      <c r="F838"/>
      <c r="G838"/>
      <c r="I838" s="299"/>
      <c r="K838" s="300"/>
      <c r="L838" s="300"/>
    </row>
    <row r="839" spans="1:12" x14ac:dyDescent="0.3">
      <c r="A839"/>
      <c r="C839"/>
      <c r="D839"/>
      <c r="F839"/>
      <c r="G839"/>
      <c r="I839" s="299"/>
      <c r="K839" s="300"/>
      <c r="L839" s="300"/>
    </row>
    <row r="840" spans="1:12" x14ac:dyDescent="0.3">
      <c r="A840"/>
      <c r="C840"/>
      <c r="D840"/>
      <c r="F840"/>
      <c r="G840"/>
      <c r="I840" s="299"/>
      <c r="K840" s="300"/>
      <c r="L840" s="300"/>
    </row>
    <row r="841" spans="1:12" x14ac:dyDescent="0.3">
      <c r="A841"/>
      <c r="C841"/>
      <c r="D841"/>
      <c r="F841"/>
      <c r="G841"/>
      <c r="I841" s="299"/>
      <c r="K841" s="300"/>
      <c r="L841" s="300"/>
    </row>
    <row r="842" spans="1:12" x14ac:dyDescent="0.3">
      <c r="A842"/>
      <c r="C842"/>
      <c r="D842"/>
      <c r="F842"/>
      <c r="G842"/>
      <c r="I842" s="299"/>
      <c r="K842" s="300"/>
      <c r="L842" s="300"/>
    </row>
    <row r="843" spans="1:12" x14ac:dyDescent="0.3">
      <c r="A843"/>
      <c r="C843"/>
      <c r="D843"/>
      <c r="F843"/>
      <c r="G843"/>
      <c r="I843" s="299"/>
      <c r="K843" s="300"/>
      <c r="L843" s="300"/>
    </row>
    <row r="844" spans="1:12" x14ac:dyDescent="0.3">
      <c r="A844"/>
      <c r="C844"/>
      <c r="D844"/>
      <c r="F844"/>
      <c r="G844"/>
      <c r="I844" s="299"/>
      <c r="K844" s="300"/>
      <c r="L844" s="300"/>
    </row>
    <row r="845" spans="1:12" x14ac:dyDescent="0.3">
      <c r="A845"/>
      <c r="C845"/>
      <c r="D845"/>
      <c r="F845"/>
      <c r="G845"/>
      <c r="I845" s="299"/>
      <c r="K845" s="300"/>
      <c r="L845" s="300"/>
    </row>
    <row r="846" spans="1:12" x14ac:dyDescent="0.3">
      <c r="A846"/>
      <c r="C846"/>
      <c r="D846"/>
      <c r="F846"/>
      <c r="G846"/>
      <c r="I846" s="299"/>
      <c r="K846" s="300"/>
      <c r="L846" s="300"/>
    </row>
    <row r="847" spans="1:12" x14ac:dyDescent="0.3">
      <c r="A847"/>
      <c r="C847"/>
      <c r="D847"/>
      <c r="F847"/>
      <c r="G847"/>
      <c r="I847" s="299"/>
      <c r="K847" s="300"/>
      <c r="L847" s="300"/>
    </row>
    <row r="848" spans="1:12" x14ac:dyDescent="0.3">
      <c r="A848"/>
      <c r="C848"/>
      <c r="D848"/>
      <c r="F848"/>
      <c r="G848"/>
      <c r="I848" s="299"/>
      <c r="K848" s="300"/>
      <c r="L848" s="300"/>
    </row>
    <row r="849" spans="1:12" x14ac:dyDescent="0.3">
      <c r="A849"/>
      <c r="C849"/>
      <c r="D849"/>
      <c r="F849"/>
      <c r="G849"/>
      <c r="I849" s="299"/>
      <c r="K849" s="300"/>
      <c r="L849" s="300"/>
    </row>
    <row r="850" spans="1:12" x14ac:dyDescent="0.3">
      <c r="A850"/>
      <c r="C850"/>
      <c r="D850"/>
      <c r="F850"/>
      <c r="G850"/>
      <c r="I850" s="299"/>
      <c r="K850" s="300"/>
      <c r="L850" s="300"/>
    </row>
    <row r="851" spans="1:12" x14ac:dyDescent="0.3">
      <c r="A851"/>
      <c r="C851"/>
      <c r="D851"/>
      <c r="F851"/>
      <c r="G851"/>
      <c r="I851" s="299"/>
      <c r="K851" s="300"/>
      <c r="L851" s="300"/>
    </row>
    <row r="852" spans="1:12" x14ac:dyDescent="0.3">
      <c r="A852"/>
      <c r="C852"/>
      <c r="D852"/>
      <c r="F852"/>
      <c r="G852"/>
      <c r="I852" s="299"/>
      <c r="K852" s="300"/>
      <c r="L852" s="300"/>
    </row>
    <row r="853" spans="1:12" x14ac:dyDescent="0.3">
      <c r="A853"/>
      <c r="C853"/>
      <c r="D853"/>
      <c r="F853"/>
      <c r="G853"/>
      <c r="I853" s="299"/>
      <c r="K853" s="300"/>
      <c r="L853" s="300"/>
    </row>
    <row r="854" spans="1:12" x14ac:dyDescent="0.3">
      <c r="A854"/>
      <c r="C854"/>
      <c r="D854"/>
      <c r="F854"/>
      <c r="G854"/>
      <c r="I854" s="299"/>
      <c r="K854" s="300"/>
      <c r="L854" s="300"/>
    </row>
    <row r="855" spans="1:12" x14ac:dyDescent="0.3">
      <c r="A855"/>
      <c r="C855"/>
      <c r="D855"/>
      <c r="F855"/>
      <c r="G855"/>
      <c r="I855" s="299"/>
      <c r="K855" s="300"/>
      <c r="L855" s="300"/>
    </row>
    <row r="856" spans="1:12" x14ac:dyDescent="0.3">
      <c r="A856"/>
      <c r="C856"/>
      <c r="D856"/>
      <c r="F856"/>
      <c r="G856"/>
      <c r="I856" s="299"/>
      <c r="K856" s="300"/>
      <c r="L856" s="300"/>
    </row>
    <row r="857" spans="1:12" x14ac:dyDescent="0.3">
      <c r="A857"/>
      <c r="C857"/>
      <c r="D857"/>
      <c r="F857"/>
      <c r="G857"/>
      <c r="I857" s="299"/>
      <c r="K857" s="300"/>
      <c r="L857" s="300"/>
    </row>
    <row r="858" spans="1:12" x14ac:dyDescent="0.3">
      <c r="A858"/>
      <c r="C858"/>
      <c r="D858"/>
      <c r="F858"/>
      <c r="G858"/>
      <c r="I858" s="299"/>
      <c r="K858" s="300"/>
      <c r="L858" s="300"/>
    </row>
    <row r="859" spans="1:12" x14ac:dyDescent="0.3">
      <c r="A859"/>
      <c r="C859"/>
      <c r="D859"/>
      <c r="F859"/>
      <c r="G859"/>
      <c r="I859" s="299"/>
      <c r="K859" s="300"/>
      <c r="L859" s="300"/>
    </row>
    <row r="860" spans="1:12" x14ac:dyDescent="0.3">
      <c r="A860"/>
      <c r="C860"/>
      <c r="D860"/>
      <c r="F860"/>
      <c r="G860"/>
      <c r="I860" s="299"/>
      <c r="K860" s="300"/>
      <c r="L860" s="300"/>
    </row>
    <row r="861" spans="1:12" x14ac:dyDescent="0.3">
      <c r="A861"/>
      <c r="C861"/>
      <c r="D861"/>
      <c r="F861"/>
      <c r="G861"/>
      <c r="I861" s="299"/>
      <c r="K861" s="300"/>
      <c r="L861" s="300"/>
    </row>
    <row r="862" spans="1:12" x14ac:dyDescent="0.3">
      <c r="A862"/>
      <c r="C862"/>
      <c r="D862"/>
      <c r="F862"/>
      <c r="G862"/>
      <c r="I862" s="299"/>
      <c r="K862" s="300"/>
      <c r="L862" s="300"/>
    </row>
    <row r="863" spans="1:12" x14ac:dyDescent="0.3">
      <c r="A863"/>
      <c r="C863"/>
      <c r="D863"/>
      <c r="F863"/>
      <c r="G863"/>
      <c r="I863" s="299"/>
      <c r="K863" s="300"/>
      <c r="L863" s="300"/>
    </row>
    <row r="864" spans="1:12" x14ac:dyDescent="0.3">
      <c r="A864"/>
      <c r="C864"/>
      <c r="D864"/>
      <c r="F864"/>
      <c r="G864"/>
      <c r="I864" s="299"/>
      <c r="K864" s="300"/>
      <c r="L864" s="300"/>
    </row>
    <row r="865" spans="1:12" x14ac:dyDescent="0.3">
      <c r="A865"/>
      <c r="C865"/>
      <c r="D865"/>
      <c r="F865"/>
      <c r="G865"/>
      <c r="I865" s="299"/>
      <c r="K865" s="300"/>
      <c r="L865" s="300"/>
    </row>
    <row r="866" spans="1:12" x14ac:dyDescent="0.3">
      <c r="A866"/>
      <c r="C866"/>
      <c r="D866"/>
      <c r="F866"/>
      <c r="G866"/>
      <c r="I866" s="299"/>
      <c r="K866" s="300"/>
      <c r="L866" s="300"/>
    </row>
    <row r="867" spans="1:12" x14ac:dyDescent="0.3">
      <c r="A867"/>
      <c r="C867"/>
      <c r="D867"/>
      <c r="F867"/>
      <c r="G867"/>
      <c r="I867" s="299"/>
      <c r="K867" s="300"/>
      <c r="L867" s="300"/>
    </row>
    <row r="868" spans="1:12" x14ac:dyDescent="0.3">
      <c r="A868"/>
      <c r="C868"/>
      <c r="D868"/>
      <c r="F868"/>
      <c r="G868"/>
      <c r="I868" s="299"/>
      <c r="K868" s="300"/>
      <c r="L868" s="300"/>
    </row>
    <row r="869" spans="1:12" x14ac:dyDescent="0.3">
      <c r="A869"/>
      <c r="C869"/>
      <c r="D869"/>
      <c r="F869"/>
      <c r="G869"/>
      <c r="I869" s="299"/>
      <c r="K869" s="300"/>
      <c r="L869" s="300"/>
    </row>
    <row r="870" spans="1:12" x14ac:dyDescent="0.3">
      <c r="A870"/>
      <c r="C870"/>
      <c r="D870"/>
      <c r="F870"/>
      <c r="G870"/>
      <c r="I870" s="299"/>
      <c r="K870" s="300"/>
      <c r="L870" s="300"/>
    </row>
    <row r="871" spans="1:12" x14ac:dyDescent="0.3">
      <c r="A871"/>
      <c r="C871"/>
      <c r="D871"/>
      <c r="F871"/>
      <c r="G871"/>
      <c r="I871" s="299"/>
      <c r="K871" s="300"/>
      <c r="L871" s="300"/>
    </row>
    <row r="872" spans="1:12" x14ac:dyDescent="0.3">
      <c r="A872"/>
      <c r="C872"/>
      <c r="D872"/>
      <c r="F872"/>
      <c r="G872"/>
      <c r="I872" s="299"/>
      <c r="K872" s="300"/>
      <c r="L872" s="300"/>
    </row>
    <row r="873" spans="1:12" x14ac:dyDescent="0.3">
      <c r="A873"/>
      <c r="C873"/>
      <c r="D873"/>
      <c r="F873"/>
      <c r="G873"/>
      <c r="I873" s="299"/>
      <c r="K873" s="300"/>
      <c r="L873" s="300"/>
    </row>
    <row r="874" spans="1:12" x14ac:dyDescent="0.3">
      <c r="A874"/>
      <c r="C874"/>
      <c r="D874"/>
      <c r="F874"/>
      <c r="G874"/>
      <c r="I874" s="299"/>
      <c r="K874" s="300"/>
      <c r="L874" s="300"/>
    </row>
    <row r="875" spans="1:12" x14ac:dyDescent="0.3">
      <c r="A875"/>
      <c r="C875"/>
      <c r="D875"/>
      <c r="F875"/>
      <c r="G875"/>
      <c r="I875" s="299"/>
      <c r="K875" s="300"/>
      <c r="L875" s="300"/>
    </row>
    <row r="876" spans="1:12" x14ac:dyDescent="0.3">
      <c r="A876"/>
      <c r="C876"/>
      <c r="D876"/>
      <c r="F876"/>
      <c r="G876"/>
      <c r="I876" s="299"/>
      <c r="K876" s="300"/>
      <c r="L876" s="300"/>
    </row>
    <row r="877" spans="1:12" x14ac:dyDescent="0.3">
      <c r="A877"/>
      <c r="C877"/>
      <c r="D877"/>
      <c r="F877"/>
      <c r="G877"/>
      <c r="I877" s="299"/>
      <c r="K877" s="300"/>
      <c r="L877" s="300"/>
    </row>
    <row r="878" spans="1:12" x14ac:dyDescent="0.3">
      <c r="A878"/>
      <c r="C878"/>
      <c r="D878"/>
      <c r="F878"/>
      <c r="G878"/>
      <c r="I878" s="299"/>
      <c r="K878" s="300"/>
      <c r="L878" s="300"/>
    </row>
    <row r="879" spans="1:12" x14ac:dyDescent="0.3">
      <c r="A879"/>
      <c r="C879"/>
      <c r="D879"/>
      <c r="F879"/>
      <c r="G879"/>
      <c r="I879" s="299"/>
      <c r="K879" s="300"/>
      <c r="L879" s="300"/>
    </row>
    <row r="880" spans="1:12" x14ac:dyDescent="0.3">
      <c r="A880"/>
      <c r="C880"/>
      <c r="D880"/>
      <c r="F880"/>
      <c r="G880"/>
      <c r="I880" s="299"/>
      <c r="K880" s="300"/>
      <c r="L880" s="300"/>
    </row>
    <row r="881" spans="1:12" x14ac:dyDescent="0.3">
      <c r="A881"/>
      <c r="C881"/>
      <c r="D881"/>
      <c r="F881"/>
      <c r="G881"/>
      <c r="I881" s="299"/>
      <c r="K881" s="300"/>
      <c r="L881" s="300"/>
    </row>
    <row r="882" spans="1:12" x14ac:dyDescent="0.3">
      <c r="A882"/>
      <c r="C882"/>
      <c r="D882"/>
      <c r="F882"/>
      <c r="G882"/>
      <c r="I882" s="299"/>
      <c r="K882" s="300"/>
      <c r="L882" s="300"/>
    </row>
    <row r="883" spans="1:12" x14ac:dyDescent="0.3">
      <c r="A883"/>
      <c r="C883"/>
      <c r="D883"/>
      <c r="F883"/>
      <c r="G883"/>
      <c r="I883" s="299"/>
      <c r="K883" s="300"/>
      <c r="L883" s="300"/>
    </row>
    <row r="884" spans="1:12" x14ac:dyDescent="0.3">
      <c r="A884"/>
      <c r="C884"/>
      <c r="D884"/>
      <c r="F884"/>
      <c r="G884"/>
      <c r="I884" s="299"/>
      <c r="K884" s="300"/>
      <c r="L884" s="300"/>
    </row>
    <row r="885" spans="1:12" x14ac:dyDescent="0.3">
      <c r="A885"/>
      <c r="C885"/>
      <c r="D885"/>
      <c r="F885"/>
      <c r="G885"/>
      <c r="I885" s="299"/>
      <c r="K885" s="300"/>
      <c r="L885" s="300"/>
    </row>
    <row r="886" spans="1:12" x14ac:dyDescent="0.3">
      <c r="A886"/>
      <c r="C886"/>
      <c r="D886"/>
      <c r="F886"/>
      <c r="G886"/>
      <c r="I886" s="299"/>
      <c r="K886" s="300"/>
      <c r="L886" s="300"/>
    </row>
    <row r="887" spans="1:12" x14ac:dyDescent="0.3">
      <c r="A887"/>
      <c r="C887"/>
      <c r="D887"/>
      <c r="F887"/>
      <c r="G887"/>
      <c r="I887" s="299"/>
      <c r="K887" s="300"/>
      <c r="L887" s="300"/>
    </row>
    <row r="888" spans="1:12" x14ac:dyDescent="0.3">
      <c r="A888"/>
      <c r="C888"/>
      <c r="D888"/>
      <c r="F888"/>
      <c r="G888"/>
      <c r="I888" s="299"/>
      <c r="K888" s="300"/>
      <c r="L888" s="300"/>
    </row>
    <row r="889" spans="1:12" x14ac:dyDescent="0.3">
      <c r="A889"/>
      <c r="C889"/>
      <c r="D889"/>
      <c r="F889"/>
      <c r="G889"/>
      <c r="I889" s="299"/>
      <c r="K889" s="300"/>
      <c r="L889" s="300"/>
    </row>
    <row r="890" spans="1:12" x14ac:dyDescent="0.3">
      <c r="A890"/>
      <c r="C890"/>
      <c r="D890"/>
      <c r="F890"/>
      <c r="G890"/>
      <c r="I890" s="299"/>
      <c r="K890" s="300"/>
      <c r="L890" s="300"/>
    </row>
    <row r="891" spans="1:12" x14ac:dyDescent="0.3">
      <c r="A891"/>
      <c r="C891"/>
      <c r="D891"/>
      <c r="F891"/>
      <c r="G891"/>
      <c r="I891" s="299"/>
      <c r="K891" s="300"/>
      <c r="L891" s="300"/>
    </row>
    <row r="892" spans="1:12" x14ac:dyDescent="0.3">
      <c r="A892"/>
      <c r="C892"/>
      <c r="D892"/>
      <c r="F892"/>
      <c r="G892"/>
      <c r="I892" s="299"/>
      <c r="K892" s="300"/>
      <c r="L892" s="300"/>
    </row>
    <row r="893" spans="1:12" x14ac:dyDescent="0.3">
      <c r="A893"/>
      <c r="C893"/>
      <c r="D893"/>
      <c r="F893"/>
      <c r="G893"/>
      <c r="I893" s="299"/>
      <c r="K893" s="300"/>
      <c r="L893" s="300"/>
    </row>
    <row r="894" spans="1:12" x14ac:dyDescent="0.3">
      <c r="A894"/>
      <c r="C894"/>
      <c r="D894"/>
      <c r="F894"/>
      <c r="G894"/>
      <c r="I894" s="299"/>
      <c r="K894" s="300"/>
      <c r="L894" s="300"/>
    </row>
    <row r="895" spans="1:12" x14ac:dyDescent="0.3">
      <c r="A895"/>
      <c r="C895"/>
      <c r="D895"/>
      <c r="F895"/>
      <c r="G895"/>
      <c r="I895" s="299"/>
      <c r="K895" s="300"/>
      <c r="L895" s="300"/>
    </row>
    <row r="896" spans="1:12" x14ac:dyDescent="0.3">
      <c r="A896"/>
      <c r="C896"/>
      <c r="D896"/>
      <c r="F896"/>
      <c r="G896"/>
      <c r="I896" s="299"/>
      <c r="K896" s="300"/>
      <c r="L896" s="300"/>
    </row>
    <row r="897" spans="1:12" x14ac:dyDescent="0.3">
      <c r="A897"/>
      <c r="C897"/>
      <c r="D897"/>
      <c r="F897"/>
      <c r="G897"/>
      <c r="I897" s="299"/>
      <c r="K897" s="300"/>
      <c r="L897" s="300"/>
    </row>
    <row r="898" spans="1:12" x14ac:dyDescent="0.3">
      <c r="A898"/>
      <c r="C898"/>
      <c r="D898"/>
      <c r="F898"/>
      <c r="G898"/>
      <c r="I898" s="299"/>
      <c r="K898" s="300"/>
      <c r="L898" s="300"/>
    </row>
    <row r="899" spans="1:12" x14ac:dyDescent="0.3">
      <c r="A899"/>
      <c r="C899"/>
      <c r="D899"/>
      <c r="F899"/>
      <c r="G899"/>
      <c r="I899" s="299"/>
      <c r="K899" s="300"/>
      <c r="L899" s="300"/>
    </row>
    <row r="900" spans="1:12" x14ac:dyDescent="0.3">
      <c r="A900"/>
      <c r="C900"/>
      <c r="D900"/>
      <c r="F900"/>
      <c r="G900"/>
      <c r="I900" s="299"/>
      <c r="K900" s="300"/>
      <c r="L900" s="300"/>
    </row>
    <row r="901" spans="1:12" x14ac:dyDescent="0.3">
      <c r="A901"/>
      <c r="C901"/>
      <c r="D901"/>
      <c r="F901"/>
      <c r="G901"/>
      <c r="I901" s="299"/>
      <c r="K901" s="300"/>
      <c r="L901" s="300"/>
    </row>
    <row r="902" spans="1:12" x14ac:dyDescent="0.3">
      <c r="A902"/>
      <c r="C902"/>
      <c r="D902"/>
      <c r="F902"/>
      <c r="G902"/>
      <c r="I902" s="299"/>
      <c r="K902" s="300"/>
      <c r="L902" s="300"/>
    </row>
    <row r="903" spans="1:12" x14ac:dyDescent="0.3">
      <c r="A903"/>
      <c r="C903"/>
      <c r="D903"/>
      <c r="F903"/>
      <c r="G903"/>
      <c r="I903" s="299"/>
      <c r="K903" s="300"/>
      <c r="L903" s="300"/>
    </row>
    <row r="904" spans="1:12" x14ac:dyDescent="0.3">
      <c r="A904"/>
      <c r="C904"/>
      <c r="D904"/>
      <c r="F904"/>
      <c r="G904"/>
      <c r="I904" s="299"/>
      <c r="K904" s="300"/>
      <c r="L904" s="300"/>
    </row>
    <row r="905" spans="1:12" x14ac:dyDescent="0.3">
      <c r="A905"/>
      <c r="C905"/>
      <c r="D905"/>
      <c r="F905"/>
      <c r="G905"/>
      <c r="I905" s="299"/>
      <c r="K905" s="300"/>
      <c r="L905" s="300"/>
    </row>
    <row r="906" spans="1:12" x14ac:dyDescent="0.3">
      <c r="A906"/>
      <c r="C906"/>
      <c r="D906"/>
      <c r="F906"/>
      <c r="G906"/>
      <c r="I906" s="299"/>
      <c r="K906" s="300"/>
      <c r="L906" s="300"/>
    </row>
    <row r="907" spans="1:12" x14ac:dyDescent="0.3">
      <c r="A907"/>
      <c r="C907"/>
      <c r="D907"/>
      <c r="F907"/>
      <c r="G907"/>
      <c r="I907" s="299"/>
      <c r="K907" s="300"/>
      <c r="L907" s="300"/>
    </row>
    <row r="908" spans="1:12" x14ac:dyDescent="0.3">
      <c r="A908"/>
      <c r="C908"/>
      <c r="D908"/>
      <c r="F908"/>
      <c r="G908"/>
      <c r="I908" s="299"/>
      <c r="K908" s="300"/>
      <c r="L908" s="300"/>
    </row>
    <row r="909" spans="1:12" x14ac:dyDescent="0.3">
      <c r="A909"/>
      <c r="C909"/>
      <c r="D909"/>
      <c r="F909"/>
      <c r="G909"/>
      <c r="I909" s="299"/>
      <c r="K909" s="300"/>
      <c r="L909" s="300"/>
    </row>
    <row r="910" spans="1:12" x14ac:dyDescent="0.3">
      <c r="A910"/>
      <c r="C910"/>
      <c r="D910"/>
      <c r="F910"/>
      <c r="G910"/>
      <c r="I910" s="299"/>
      <c r="K910" s="300"/>
      <c r="L910" s="300"/>
    </row>
    <row r="911" spans="1:12" x14ac:dyDescent="0.3">
      <c r="A911"/>
      <c r="C911"/>
      <c r="D911"/>
      <c r="F911"/>
      <c r="G911"/>
      <c r="I911" s="299"/>
      <c r="K911" s="300"/>
      <c r="L911" s="300"/>
    </row>
    <row r="912" spans="1:12" x14ac:dyDescent="0.3">
      <c r="A912"/>
      <c r="C912"/>
      <c r="D912"/>
      <c r="F912"/>
      <c r="G912"/>
      <c r="I912" s="299"/>
      <c r="K912" s="300"/>
      <c r="L912" s="300"/>
    </row>
    <row r="913" spans="1:12" x14ac:dyDescent="0.3">
      <c r="A913"/>
      <c r="C913"/>
      <c r="D913"/>
      <c r="F913"/>
      <c r="G913"/>
      <c r="I913" s="299"/>
      <c r="K913" s="300"/>
      <c r="L913" s="300"/>
    </row>
    <row r="914" spans="1:12" x14ac:dyDescent="0.3">
      <c r="A914"/>
      <c r="C914"/>
      <c r="D914"/>
      <c r="F914"/>
      <c r="G914"/>
      <c r="I914" s="299"/>
      <c r="K914" s="300"/>
      <c r="L914" s="300"/>
    </row>
    <row r="915" spans="1:12" x14ac:dyDescent="0.3">
      <c r="A915"/>
      <c r="C915"/>
      <c r="D915"/>
      <c r="F915"/>
      <c r="G915"/>
      <c r="I915" s="299"/>
      <c r="K915" s="300"/>
      <c r="L915" s="300"/>
    </row>
    <row r="916" spans="1:12" x14ac:dyDescent="0.3">
      <c r="A916"/>
      <c r="C916"/>
      <c r="D916"/>
      <c r="F916"/>
      <c r="G916"/>
      <c r="I916" s="299"/>
      <c r="K916" s="300"/>
      <c r="L916" s="300"/>
    </row>
    <row r="917" spans="1:12" x14ac:dyDescent="0.3">
      <c r="A917"/>
      <c r="C917"/>
      <c r="D917"/>
      <c r="F917"/>
      <c r="G917"/>
      <c r="I917" s="299"/>
      <c r="K917" s="300"/>
      <c r="L917" s="300"/>
    </row>
    <row r="918" spans="1:12" x14ac:dyDescent="0.3">
      <c r="A918"/>
      <c r="C918"/>
      <c r="D918"/>
      <c r="F918"/>
      <c r="G918"/>
      <c r="I918" s="299"/>
      <c r="K918" s="300"/>
      <c r="L918" s="300"/>
    </row>
    <row r="919" spans="1:12" x14ac:dyDescent="0.3">
      <c r="A919"/>
      <c r="C919"/>
      <c r="D919"/>
      <c r="F919"/>
      <c r="G919"/>
      <c r="I919" s="299"/>
      <c r="K919" s="300"/>
      <c r="L919" s="300"/>
    </row>
    <row r="920" spans="1:12" x14ac:dyDescent="0.3">
      <c r="A920"/>
      <c r="C920"/>
      <c r="D920"/>
      <c r="F920"/>
      <c r="G920"/>
      <c r="I920" s="299"/>
      <c r="K920" s="300"/>
      <c r="L920" s="300"/>
    </row>
    <row r="921" spans="1:12" x14ac:dyDescent="0.3">
      <c r="A921"/>
      <c r="C921"/>
      <c r="D921"/>
      <c r="F921"/>
      <c r="G921"/>
      <c r="I921" s="299"/>
      <c r="K921" s="300"/>
      <c r="L921" s="300"/>
    </row>
    <row r="922" spans="1:12" x14ac:dyDescent="0.3">
      <c r="A922"/>
      <c r="C922"/>
      <c r="D922"/>
      <c r="F922"/>
      <c r="G922"/>
      <c r="I922" s="299"/>
      <c r="K922" s="300"/>
      <c r="L922" s="300"/>
    </row>
    <row r="923" spans="1:12" x14ac:dyDescent="0.3">
      <c r="A923"/>
      <c r="C923"/>
      <c r="D923"/>
      <c r="F923"/>
      <c r="G923"/>
      <c r="I923" s="299"/>
      <c r="K923" s="300"/>
      <c r="L923" s="300"/>
    </row>
    <row r="924" spans="1:12" x14ac:dyDescent="0.3">
      <c r="A924"/>
      <c r="C924"/>
      <c r="D924"/>
      <c r="F924"/>
      <c r="G924"/>
      <c r="I924" s="299"/>
      <c r="K924" s="300"/>
      <c r="L924" s="300"/>
    </row>
    <row r="925" spans="1:12" x14ac:dyDescent="0.3">
      <c r="A925"/>
      <c r="C925"/>
      <c r="D925"/>
      <c r="F925"/>
      <c r="G925"/>
      <c r="I925" s="299"/>
      <c r="K925" s="300"/>
      <c r="L925" s="300"/>
    </row>
    <row r="926" spans="1:12" x14ac:dyDescent="0.3">
      <c r="A926"/>
      <c r="C926"/>
      <c r="D926"/>
      <c r="F926"/>
      <c r="G926"/>
      <c r="I926" s="299"/>
      <c r="K926" s="300"/>
      <c r="L926" s="300"/>
    </row>
    <row r="927" spans="1:12" x14ac:dyDescent="0.3">
      <c r="A927"/>
      <c r="C927"/>
      <c r="D927"/>
      <c r="F927"/>
      <c r="G927"/>
      <c r="I927" s="299"/>
      <c r="K927" s="300"/>
      <c r="L927" s="300"/>
    </row>
    <row r="928" spans="1:12" x14ac:dyDescent="0.3">
      <c r="A928"/>
      <c r="C928"/>
      <c r="D928"/>
      <c r="F928"/>
      <c r="G928"/>
      <c r="I928" s="299"/>
      <c r="K928" s="300"/>
      <c r="L928" s="300"/>
    </row>
    <row r="929" spans="1:12" x14ac:dyDescent="0.3">
      <c r="A929"/>
      <c r="C929"/>
      <c r="D929"/>
      <c r="F929"/>
      <c r="G929"/>
      <c r="I929" s="299"/>
      <c r="K929" s="300"/>
      <c r="L929" s="300"/>
    </row>
    <row r="930" spans="1:12" x14ac:dyDescent="0.3">
      <c r="A930"/>
      <c r="C930"/>
      <c r="D930"/>
      <c r="F930"/>
      <c r="G930"/>
      <c r="I930" s="299"/>
      <c r="K930" s="300"/>
      <c r="L930" s="300"/>
    </row>
    <row r="931" spans="1:12" x14ac:dyDescent="0.3">
      <c r="A931"/>
      <c r="C931"/>
      <c r="D931"/>
      <c r="F931"/>
      <c r="G931"/>
      <c r="I931" s="299"/>
      <c r="K931" s="300"/>
      <c r="L931" s="300"/>
    </row>
    <row r="932" spans="1:12" x14ac:dyDescent="0.3">
      <c r="A932"/>
      <c r="C932"/>
      <c r="D932"/>
      <c r="F932"/>
      <c r="G932"/>
      <c r="I932" s="299"/>
      <c r="K932" s="300"/>
      <c r="L932" s="300"/>
    </row>
    <row r="933" spans="1:12" x14ac:dyDescent="0.3">
      <c r="A933"/>
      <c r="C933"/>
      <c r="D933"/>
      <c r="F933"/>
      <c r="G933"/>
      <c r="I933" s="299"/>
      <c r="K933" s="300"/>
      <c r="L933" s="300"/>
    </row>
    <row r="934" spans="1:12" x14ac:dyDescent="0.3">
      <c r="A934"/>
      <c r="C934"/>
      <c r="D934"/>
      <c r="F934"/>
      <c r="G934"/>
      <c r="I934" s="299"/>
      <c r="K934" s="300"/>
      <c r="L934" s="300"/>
    </row>
    <row r="935" spans="1:12" x14ac:dyDescent="0.3">
      <c r="A935"/>
      <c r="C935"/>
      <c r="D935"/>
      <c r="F935"/>
      <c r="G935"/>
      <c r="I935" s="299"/>
      <c r="K935" s="300"/>
      <c r="L935" s="300"/>
    </row>
    <row r="936" spans="1:12" x14ac:dyDescent="0.3">
      <c r="A936"/>
      <c r="C936"/>
      <c r="D936"/>
      <c r="F936"/>
      <c r="G936"/>
      <c r="I936" s="299"/>
      <c r="K936" s="300"/>
      <c r="L936" s="300"/>
    </row>
    <row r="937" spans="1:12" x14ac:dyDescent="0.3">
      <c r="A937"/>
      <c r="C937"/>
      <c r="D937"/>
      <c r="F937"/>
      <c r="G937"/>
      <c r="I937" s="299"/>
      <c r="K937" s="300"/>
      <c r="L937" s="300"/>
    </row>
    <row r="938" spans="1:12" x14ac:dyDescent="0.3">
      <c r="A938"/>
      <c r="C938"/>
      <c r="D938"/>
      <c r="F938"/>
      <c r="G938"/>
      <c r="I938" s="299"/>
      <c r="K938" s="300"/>
      <c r="L938" s="300"/>
    </row>
    <row r="939" spans="1:12" x14ac:dyDescent="0.3">
      <c r="A939"/>
      <c r="C939"/>
      <c r="D939"/>
      <c r="F939"/>
      <c r="G939"/>
      <c r="I939" s="299"/>
      <c r="K939" s="300"/>
      <c r="L939" s="300"/>
    </row>
    <row r="940" spans="1:12" x14ac:dyDescent="0.3">
      <c r="A940"/>
      <c r="C940"/>
      <c r="D940"/>
      <c r="F940"/>
      <c r="G940"/>
      <c r="I940" s="299"/>
      <c r="K940" s="300"/>
      <c r="L940" s="300"/>
    </row>
    <row r="941" spans="1:12" x14ac:dyDescent="0.3">
      <c r="A941"/>
      <c r="C941"/>
      <c r="D941"/>
      <c r="F941"/>
      <c r="G941"/>
      <c r="I941" s="299"/>
      <c r="K941" s="300"/>
      <c r="L941" s="300"/>
    </row>
    <row r="942" spans="1:12" x14ac:dyDescent="0.3">
      <c r="A942"/>
      <c r="C942"/>
      <c r="D942"/>
      <c r="F942"/>
      <c r="G942"/>
      <c r="I942" s="299"/>
      <c r="K942" s="300"/>
      <c r="L942" s="300"/>
    </row>
    <row r="943" spans="1:12" x14ac:dyDescent="0.3">
      <c r="A943"/>
      <c r="C943"/>
      <c r="D943"/>
      <c r="F943"/>
      <c r="G943"/>
      <c r="I943" s="299"/>
      <c r="K943" s="300"/>
      <c r="L943" s="300"/>
    </row>
    <row r="944" spans="1:12" x14ac:dyDescent="0.3">
      <c r="A944"/>
      <c r="C944"/>
      <c r="D944"/>
      <c r="F944"/>
      <c r="G944"/>
      <c r="I944" s="299"/>
      <c r="K944" s="300"/>
      <c r="L944" s="300"/>
    </row>
    <row r="945" spans="1:12" x14ac:dyDescent="0.3">
      <c r="A945"/>
      <c r="C945"/>
      <c r="D945"/>
      <c r="F945"/>
      <c r="G945"/>
      <c r="I945" s="299"/>
      <c r="K945" s="300"/>
      <c r="L945" s="300"/>
    </row>
    <row r="946" spans="1:12" x14ac:dyDescent="0.3">
      <c r="A946"/>
      <c r="C946"/>
      <c r="D946"/>
      <c r="F946"/>
      <c r="G946"/>
      <c r="I946" s="299"/>
      <c r="K946" s="300"/>
      <c r="L946" s="300"/>
    </row>
    <row r="947" spans="1:12" x14ac:dyDescent="0.3">
      <c r="A947"/>
      <c r="C947"/>
      <c r="D947"/>
      <c r="F947"/>
      <c r="G947"/>
      <c r="I947" s="299"/>
      <c r="K947" s="300"/>
      <c r="L947" s="300"/>
    </row>
    <row r="948" spans="1:12" x14ac:dyDescent="0.3">
      <c r="A948"/>
      <c r="C948"/>
      <c r="D948"/>
      <c r="F948"/>
      <c r="G948"/>
      <c r="I948" s="299"/>
      <c r="K948" s="300"/>
      <c r="L948" s="300"/>
    </row>
    <row r="949" spans="1:12" x14ac:dyDescent="0.3">
      <c r="A949"/>
      <c r="C949"/>
      <c r="D949"/>
      <c r="F949"/>
      <c r="G949"/>
      <c r="I949" s="299"/>
      <c r="K949" s="300"/>
      <c r="L949" s="300"/>
    </row>
    <row r="950" spans="1:12" x14ac:dyDescent="0.3">
      <c r="A950"/>
      <c r="C950"/>
      <c r="D950"/>
      <c r="F950"/>
      <c r="G950"/>
      <c r="I950" s="299"/>
      <c r="K950" s="300"/>
      <c r="L950" s="300"/>
    </row>
    <row r="951" spans="1:12" x14ac:dyDescent="0.3">
      <c r="A951"/>
      <c r="C951"/>
      <c r="D951"/>
      <c r="F951"/>
      <c r="G951"/>
      <c r="I951" s="299"/>
      <c r="K951" s="300"/>
      <c r="L951" s="300"/>
    </row>
    <row r="952" spans="1:12" x14ac:dyDescent="0.3">
      <c r="A952"/>
      <c r="C952"/>
      <c r="D952"/>
      <c r="F952"/>
      <c r="G952"/>
      <c r="I952" s="299"/>
      <c r="K952" s="300"/>
      <c r="L952" s="300"/>
    </row>
    <row r="953" spans="1:12" x14ac:dyDescent="0.3">
      <c r="A953"/>
      <c r="C953"/>
      <c r="D953"/>
      <c r="F953"/>
      <c r="G953"/>
      <c r="I953" s="299"/>
      <c r="K953" s="300"/>
      <c r="L953" s="300"/>
    </row>
    <row r="954" spans="1:12" x14ac:dyDescent="0.3">
      <c r="A954"/>
      <c r="C954"/>
      <c r="D954"/>
      <c r="F954"/>
      <c r="G954"/>
      <c r="I954" s="299"/>
      <c r="K954" s="300"/>
      <c r="L954" s="300"/>
    </row>
    <row r="955" spans="1:12" x14ac:dyDescent="0.3">
      <c r="A955"/>
      <c r="C955"/>
      <c r="D955"/>
      <c r="F955"/>
      <c r="G955"/>
      <c r="I955" s="299"/>
      <c r="K955" s="300"/>
      <c r="L955" s="300"/>
    </row>
    <row r="956" spans="1:12" x14ac:dyDescent="0.3">
      <c r="A956"/>
      <c r="C956"/>
      <c r="D956"/>
      <c r="F956"/>
      <c r="G956"/>
      <c r="I956" s="299"/>
      <c r="K956" s="300"/>
      <c r="L956" s="300"/>
    </row>
    <row r="957" spans="1:12" x14ac:dyDescent="0.3">
      <c r="A957"/>
      <c r="C957"/>
      <c r="D957"/>
      <c r="F957"/>
      <c r="G957"/>
      <c r="I957" s="299"/>
      <c r="K957" s="300"/>
      <c r="L957" s="300"/>
    </row>
    <row r="958" spans="1:12" x14ac:dyDescent="0.3">
      <c r="A958"/>
      <c r="C958"/>
      <c r="D958"/>
      <c r="F958"/>
      <c r="G958"/>
      <c r="I958" s="299"/>
      <c r="K958" s="300"/>
      <c r="L958" s="300"/>
    </row>
    <row r="959" spans="1:12" x14ac:dyDescent="0.3">
      <c r="A959"/>
      <c r="C959"/>
      <c r="D959"/>
      <c r="F959"/>
      <c r="G959"/>
      <c r="I959" s="299"/>
      <c r="K959" s="300"/>
      <c r="L959" s="300"/>
    </row>
    <row r="960" spans="1:12" x14ac:dyDescent="0.3">
      <c r="A960"/>
      <c r="C960"/>
      <c r="D960"/>
      <c r="F960"/>
      <c r="G960"/>
      <c r="I960" s="299"/>
      <c r="K960" s="300"/>
      <c r="L960" s="300"/>
    </row>
    <row r="961" spans="1:12" x14ac:dyDescent="0.3">
      <c r="A961"/>
      <c r="C961"/>
      <c r="D961"/>
      <c r="F961"/>
      <c r="G961"/>
      <c r="I961" s="299"/>
      <c r="K961" s="300"/>
      <c r="L961" s="300"/>
    </row>
    <row r="962" spans="1:12" x14ac:dyDescent="0.3">
      <c r="A962"/>
      <c r="C962"/>
      <c r="D962"/>
      <c r="F962"/>
      <c r="G962"/>
      <c r="I962" s="299"/>
      <c r="K962" s="300"/>
      <c r="L962" s="300"/>
    </row>
    <row r="963" spans="1:12" x14ac:dyDescent="0.3">
      <c r="A963"/>
      <c r="C963"/>
      <c r="D963"/>
      <c r="F963"/>
      <c r="G963"/>
      <c r="I963" s="299"/>
      <c r="K963" s="300"/>
      <c r="L963" s="300"/>
    </row>
    <row r="964" spans="1:12" x14ac:dyDescent="0.3">
      <c r="A964"/>
      <c r="C964"/>
      <c r="D964"/>
      <c r="F964"/>
      <c r="G964"/>
      <c r="I964" s="299"/>
      <c r="K964" s="300"/>
      <c r="L964" s="300"/>
    </row>
    <row r="965" spans="1:12" x14ac:dyDescent="0.3">
      <c r="A965"/>
      <c r="C965"/>
      <c r="D965"/>
      <c r="F965"/>
      <c r="G965"/>
      <c r="I965" s="299"/>
      <c r="K965" s="300"/>
      <c r="L965" s="300"/>
    </row>
    <row r="966" spans="1:12" x14ac:dyDescent="0.3">
      <c r="A966"/>
      <c r="C966"/>
      <c r="D966"/>
      <c r="F966"/>
      <c r="G966"/>
      <c r="I966" s="299"/>
      <c r="K966" s="300"/>
      <c r="L966" s="300"/>
    </row>
    <row r="967" spans="1:12" x14ac:dyDescent="0.3">
      <c r="A967"/>
      <c r="C967"/>
      <c r="D967"/>
      <c r="F967"/>
      <c r="G967"/>
      <c r="I967" s="299"/>
      <c r="K967" s="300"/>
      <c r="L967" s="300"/>
    </row>
    <row r="968" spans="1:12" x14ac:dyDescent="0.3">
      <c r="A968"/>
      <c r="C968"/>
      <c r="D968"/>
      <c r="F968"/>
      <c r="G968"/>
      <c r="I968" s="299"/>
      <c r="K968" s="300"/>
      <c r="L968" s="300"/>
    </row>
    <row r="969" spans="1:12" x14ac:dyDescent="0.3">
      <c r="A969"/>
      <c r="C969"/>
      <c r="D969"/>
      <c r="F969"/>
      <c r="G969"/>
      <c r="I969" s="299"/>
      <c r="K969" s="300"/>
      <c r="L969" s="300"/>
    </row>
    <row r="970" spans="1:12" x14ac:dyDescent="0.3">
      <c r="A970"/>
      <c r="C970"/>
      <c r="D970"/>
      <c r="F970"/>
      <c r="G970"/>
      <c r="I970" s="299"/>
      <c r="K970" s="300"/>
      <c r="L970" s="300"/>
    </row>
    <row r="971" spans="1:12" x14ac:dyDescent="0.3">
      <c r="A971"/>
      <c r="C971"/>
      <c r="D971"/>
      <c r="F971"/>
      <c r="G971"/>
      <c r="I971" s="299"/>
      <c r="K971" s="300"/>
      <c r="L971" s="300"/>
    </row>
    <row r="972" spans="1:12" x14ac:dyDescent="0.3">
      <c r="A972"/>
      <c r="C972"/>
      <c r="D972"/>
      <c r="F972"/>
      <c r="G972"/>
      <c r="I972" s="299"/>
      <c r="K972" s="300"/>
      <c r="L972" s="300"/>
    </row>
    <row r="973" spans="1:12" x14ac:dyDescent="0.3">
      <c r="A973"/>
      <c r="C973"/>
      <c r="D973"/>
      <c r="F973"/>
      <c r="G973"/>
      <c r="I973" s="299"/>
      <c r="K973" s="300"/>
      <c r="L973" s="300"/>
    </row>
    <row r="974" spans="1:12" x14ac:dyDescent="0.3">
      <c r="A974"/>
      <c r="C974"/>
      <c r="D974"/>
      <c r="F974"/>
      <c r="G974"/>
      <c r="I974" s="299"/>
      <c r="K974" s="300"/>
      <c r="L974" s="300"/>
    </row>
    <row r="975" spans="1:12" x14ac:dyDescent="0.3">
      <c r="A975"/>
      <c r="C975"/>
      <c r="D975"/>
      <c r="F975"/>
      <c r="G975"/>
      <c r="I975" s="299"/>
      <c r="K975" s="300"/>
      <c r="L975" s="300"/>
    </row>
    <row r="976" spans="1:12" x14ac:dyDescent="0.3">
      <c r="A976"/>
      <c r="C976"/>
      <c r="D976"/>
      <c r="F976"/>
      <c r="G976"/>
      <c r="I976" s="299"/>
      <c r="K976" s="300"/>
      <c r="L976" s="300"/>
    </row>
    <row r="977" spans="1:12" x14ac:dyDescent="0.3">
      <c r="A977"/>
      <c r="C977"/>
      <c r="D977"/>
      <c r="F977"/>
      <c r="G977"/>
      <c r="I977" s="299"/>
      <c r="K977" s="300"/>
      <c r="L977" s="300"/>
    </row>
    <row r="978" spans="1:12" x14ac:dyDescent="0.3">
      <c r="A978"/>
      <c r="C978"/>
      <c r="D978"/>
      <c r="F978"/>
      <c r="G978"/>
      <c r="I978" s="299"/>
      <c r="K978" s="300"/>
      <c r="L978" s="300"/>
    </row>
    <row r="979" spans="1:12" x14ac:dyDescent="0.3">
      <c r="A979"/>
      <c r="C979"/>
      <c r="D979"/>
      <c r="F979"/>
      <c r="G979"/>
      <c r="I979" s="299"/>
      <c r="K979" s="300"/>
      <c r="L979" s="300"/>
    </row>
    <row r="980" spans="1:12" x14ac:dyDescent="0.3">
      <c r="A980"/>
      <c r="C980"/>
      <c r="D980"/>
      <c r="F980"/>
      <c r="G980"/>
      <c r="I980" s="299"/>
      <c r="K980" s="300"/>
      <c r="L980" s="300"/>
    </row>
    <row r="981" spans="1:12" x14ac:dyDescent="0.3">
      <c r="A981"/>
      <c r="C981"/>
      <c r="D981"/>
      <c r="F981"/>
      <c r="G981"/>
      <c r="I981" s="299"/>
      <c r="K981" s="300"/>
      <c r="L981" s="300"/>
    </row>
    <row r="982" spans="1:12" x14ac:dyDescent="0.3">
      <c r="A982"/>
      <c r="C982"/>
      <c r="D982"/>
      <c r="F982"/>
      <c r="G982"/>
      <c r="I982" s="299"/>
      <c r="K982" s="300"/>
      <c r="L982" s="300"/>
    </row>
    <row r="983" spans="1:12" x14ac:dyDescent="0.3">
      <c r="A983"/>
      <c r="C983"/>
      <c r="D983"/>
      <c r="F983"/>
      <c r="G983"/>
      <c r="I983" s="299"/>
      <c r="K983" s="300"/>
      <c r="L983" s="300"/>
    </row>
    <row r="984" spans="1:12" x14ac:dyDescent="0.3">
      <c r="A984"/>
      <c r="C984"/>
      <c r="D984"/>
      <c r="F984"/>
      <c r="G984"/>
      <c r="I984" s="299"/>
      <c r="K984" s="300"/>
      <c r="L984" s="300"/>
    </row>
    <row r="985" spans="1:12" x14ac:dyDescent="0.3">
      <c r="A985"/>
      <c r="C985"/>
      <c r="D985"/>
      <c r="F985"/>
      <c r="G985"/>
      <c r="I985" s="299"/>
      <c r="K985" s="300"/>
      <c r="L985" s="300"/>
    </row>
    <row r="986" spans="1:12" x14ac:dyDescent="0.3">
      <c r="A986"/>
      <c r="C986"/>
      <c r="D986"/>
      <c r="F986"/>
      <c r="G986"/>
      <c r="I986" s="299"/>
      <c r="K986" s="300"/>
      <c r="L986" s="300"/>
    </row>
    <row r="987" spans="1:12" x14ac:dyDescent="0.3">
      <c r="A987"/>
      <c r="C987"/>
      <c r="D987"/>
      <c r="F987"/>
      <c r="G987"/>
      <c r="I987" s="299"/>
      <c r="K987" s="300"/>
      <c r="L987" s="300"/>
    </row>
    <row r="988" spans="1:12" x14ac:dyDescent="0.3">
      <c r="A988"/>
      <c r="C988"/>
      <c r="D988"/>
      <c r="F988"/>
      <c r="G988"/>
      <c r="I988" s="299"/>
      <c r="K988" s="300"/>
      <c r="L988" s="300"/>
    </row>
    <row r="989" spans="1:12" x14ac:dyDescent="0.3">
      <c r="A989"/>
      <c r="C989"/>
      <c r="D989"/>
      <c r="F989"/>
      <c r="G989"/>
      <c r="I989" s="299"/>
      <c r="K989" s="300"/>
      <c r="L989" s="300"/>
    </row>
    <row r="990" spans="1:12" x14ac:dyDescent="0.3">
      <c r="A990"/>
      <c r="C990"/>
      <c r="D990"/>
      <c r="F990"/>
      <c r="G990"/>
      <c r="I990" s="299"/>
      <c r="K990" s="300"/>
      <c r="L990" s="300"/>
    </row>
    <row r="991" spans="1:12" x14ac:dyDescent="0.3">
      <c r="A991"/>
      <c r="C991"/>
      <c r="D991"/>
      <c r="F991"/>
      <c r="G991"/>
      <c r="I991" s="299"/>
      <c r="K991" s="300"/>
      <c r="L991" s="300"/>
    </row>
    <row r="992" spans="1:12" x14ac:dyDescent="0.3">
      <c r="A992"/>
      <c r="C992"/>
      <c r="D992"/>
      <c r="F992"/>
      <c r="G992"/>
      <c r="I992" s="299"/>
      <c r="K992" s="300"/>
      <c r="L992" s="300"/>
    </row>
    <row r="993" spans="1:12" x14ac:dyDescent="0.3">
      <c r="A993"/>
      <c r="C993"/>
      <c r="D993"/>
      <c r="F993"/>
      <c r="G993"/>
      <c r="I993" s="299"/>
      <c r="K993" s="300"/>
      <c r="L993" s="300"/>
    </row>
    <row r="994" spans="1:12" x14ac:dyDescent="0.3">
      <c r="A994"/>
      <c r="C994"/>
      <c r="D994"/>
      <c r="F994"/>
      <c r="G994"/>
      <c r="I994" s="299"/>
      <c r="K994" s="300"/>
      <c r="L994" s="300"/>
    </row>
    <row r="995" spans="1:12" x14ac:dyDescent="0.3">
      <c r="A995"/>
      <c r="C995"/>
      <c r="D995"/>
      <c r="F995"/>
      <c r="G995"/>
      <c r="I995" s="299"/>
      <c r="K995" s="300"/>
      <c r="L995" s="300"/>
    </row>
    <row r="996" spans="1:12" x14ac:dyDescent="0.3">
      <c r="A996"/>
      <c r="C996"/>
      <c r="D996"/>
      <c r="F996"/>
      <c r="G996"/>
      <c r="I996" s="299"/>
      <c r="K996" s="300"/>
      <c r="L996" s="300"/>
    </row>
    <row r="997" spans="1:12" x14ac:dyDescent="0.3">
      <c r="A997"/>
      <c r="C997"/>
      <c r="D997"/>
      <c r="F997"/>
      <c r="G997"/>
      <c r="I997" s="299"/>
      <c r="K997" s="300"/>
      <c r="L997" s="300"/>
    </row>
    <row r="998" spans="1:12" x14ac:dyDescent="0.3">
      <c r="A998"/>
      <c r="C998"/>
      <c r="D998"/>
      <c r="F998"/>
      <c r="G998"/>
      <c r="I998" s="299"/>
      <c r="K998" s="300"/>
      <c r="L998" s="300"/>
    </row>
    <row r="999" spans="1:12" x14ac:dyDescent="0.3">
      <c r="A999"/>
      <c r="C999"/>
      <c r="D999"/>
      <c r="F999"/>
      <c r="G999"/>
      <c r="I999" s="299"/>
      <c r="K999" s="300"/>
      <c r="L999" s="300"/>
    </row>
    <row r="1000" spans="1:12" x14ac:dyDescent="0.3">
      <c r="A1000"/>
      <c r="C1000"/>
      <c r="D1000"/>
      <c r="F1000"/>
      <c r="G1000"/>
      <c r="I1000" s="299"/>
      <c r="K1000" s="300"/>
      <c r="L1000" s="300"/>
    </row>
    <row r="1001" spans="1:12" x14ac:dyDescent="0.3">
      <c r="A1001"/>
      <c r="C1001"/>
      <c r="D1001"/>
      <c r="F1001"/>
      <c r="G1001"/>
      <c r="I1001" s="299"/>
      <c r="K1001" s="300"/>
      <c r="L1001" s="300"/>
    </row>
    <row r="1002" spans="1:12" x14ac:dyDescent="0.3">
      <c r="A1002"/>
      <c r="C1002"/>
      <c r="D1002"/>
      <c r="F1002"/>
      <c r="G1002"/>
      <c r="I1002" s="299"/>
      <c r="K1002" s="300"/>
      <c r="L1002" s="300"/>
    </row>
    <row r="1003" spans="1:12" x14ac:dyDescent="0.3">
      <c r="A1003"/>
      <c r="C1003"/>
      <c r="D1003"/>
      <c r="F1003"/>
      <c r="G1003"/>
      <c r="I1003" s="299"/>
      <c r="K1003" s="300"/>
      <c r="L1003" s="300"/>
    </row>
    <row r="1004" spans="1:12" x14ac:dyDescent="0.3">
      <c r="A1004"/>
      <c r="C1004"/>
      <c r="D1004"/>
      <c r="F1004"/>
      <c r="G1004"/>
      <c r="I1004" s="299"/>
      <c r="K1004" s="300"/>
      <c r="L1004" s="300"/>
    </row>
    <row r="1005" spans="1:12" x14ac:dyDescent="0.3">
      <c r="A1005"/>
      <c r="C1005"/>
      <c r="D1005"/>
      <c r="F1005"/>
      <c r="G1005"/>
      <c r="I1005" s="299"/>
      <c r="K1005" s="300"/>
      <c r="L1005" s="300"/>
    </row>
    <row r="1006" spans="1:12" x14ac:dyDescent="0.3">
      <c r="A1006"/>
      <c r="C1006"/>
      <c r="D1006"/>
      <c r="F1006"/>
      <c r="G1006"/>
      <c r="I1006" s="299"/>
      <c r="K1006" s="300"/>
      <c r="L1006" s="300"/>
    </row>
    <row r="1007" spans="1:12" x14ac:dyDescent="0.3">
      <c r="A1007"/>
      <c r="C1007"/>
      <c r="D1007"/>
      <c r="F1007"/>
      <c r="G1007"/>
      <c r="I1007" s="299"/>
      <c r="K1007" s="300"/>
      <c r="L1007" s="300"/>
    </row>
    <row r="1008" spans="1:12" x14ac:dyDescent="0.3">
      <c r="A1008"/>
      <c r="C1008"/>
      <c r="D1008"/>
      <c r="F1008"/>
      <c r="G1008"/>
      <c r="I1008" s="299"/>
      <c r="K1008" s="300"/>
      <c r="L1008" s="300"/>
    </row>
    <row r="1009" spans="1:12" x14ac:dyDescent="0.3">
      <c r="A1009"/>
      <c r="C1009"/>
      <c r="D1009"/>
      <c r="F1009"/>
      <c r="G1009"/>
      <c r="I1009" s="299"/>
      <c r="K1009" s="300"/>
      <c r="L1009" s="300"/>
    </row>
    <row r="1010" spans="1:12" x14ac:dyDescent="0.3">
      <c r="A1010"/>
      <c r="C1010"/>
      <c r="D1010"/>
      <c r="F1010"/>
      <c r="G1010"/>
      <c r="I1010" s="299"/>
      <c r="K1010" s="300"/>
      <c r="L1010" s="300"/>
    </row>
    <row r="1011" spans="1:12" x14ac:dyDescent="0.3">
      <c r="A1011"/>
      <c r="C1011"/>
      <c r="D1011"/>
      <c r="F1011"/>
      <c r="G1011"/>
      <c r="I1011" s="299"/>
      <c r="K1011" s="300"/>
      <c r="L1011" s="300"/>
    </row>
    <row r="1012" spans="1:12" x14ac:dyDescent="0.3">
      <c r="A1012"/>
      <c r="C1012"/>
      <c r="D1012"/>
      <c r="F1012"/>
      <c r="G1012"/>
      <c r="I1012" s="299"/>
      <c r="K1012" s="300"/>
      <c r="L1012" s="300"/>
    </row>
    <row r="1013" spans="1:12" x14ac:dyDescent="0.3">
      <c r="A1013"/>
      <c r="C1013"/>
      <c r="D1013"/>
      <c r="F1013"/>
      <c r="G1013"/>
      <c r="I1013" s="299"/>
      <c r="K1013" s="300"/>
      <c r="L1013" s="300"/>
    </row>
    <row r="1014" spans="1:12" x14ac:dyDescent="0.3">
      <c r="A1014"/>
      <c r="C1014"/>
      <c r="D1014"/>
      <c r="F1014"/>
      <c r="G1014"/>
      <c r="I1014" s="299"/>
      <c r="K1014" s="300"/>
      <c r="L1014" s="300"/>
    </row>
    <row r="1015" spans="1:12" x14ac:dyDescent="0.3">
      <c r="A1015"/>
      <c r="C1015"/>
      <c r="D1015"/>
      <c r="F1015"/>
      <c r="G1015"/>
      <c r="I1015" s="299"/>
      <c r="K1015" s="300"/>
      <c r="L1015" s="300"/>
    </row>
    <row r="1016" spans="1:12" x14ac:dyDescent="0.3">
      <c r="A1016"/>
      <c r="C1016"/>
      <c r="D1016"/>
      <c r="F1016"/>
      <c r="G1016"/>
      <c r="I1016" s="299"/>
      <c r="K1016" s="300"/>
      <c r="L1016" s="300"/>
    </row>
    <row r="1017" spans="1:12" x14ac:dyDescent="0.3">
      <c r="A1017"/>
      <c r="C1017"/>
      <c r="D1017"/>
      <c r="F1017"/>
      <c r="G1017"/>
      <c r="I1017" s="299"/>
      <c r="K1017" s="300"/>
      <c r="L1017" s="300"/>
    </row>
    <row r="1018" spans="1:12" x14ac:dyDescent="0.3">
      <c r="A1018"/>
      <c r="C1018"/>
      <c r="D1018"/>
      <c r="F1018"/>
      <c r="G1018"/>
      <c r="I1018" s="299"/>
      <c r="K1018" s="300"/>
      <c r="L1018" s="300"/>
    </row>
    <row r="1019" spans="1:12" x14ac:dyDescent="0.3">
      <c r="A1019"/>
      <c r="C1019"/>
      <c r="D1019"/>
      <c r="F1019"/>
      <c r="G1019"/>
      <c r="I1019" s="299"/>
      <c r="K1019" s="300"/>
      <c r="L1019" s="300"/>
    </row>
    <row r="1020" spans="1:12" x14ac:dyDescent="0.3">
      <c r="A1020"/>
      <c r="C1020"/>
      <c r="D1020"/>
      <c r="F1020"/>
      <c r="G1020"/>
      <c r="I1020" s="299"/>
      <c r="K1020" s="300"/>
      <c r="L1020" s="300"/>
    </row>
    <row r="1021" spans="1:12" x14ac:dyDescent="0.3">
      <c r="A1021"/>
      <c r="C1021"/>
      <c r="D1021"/>
      <c r="F1021"/>
      <c r="G1021"/>
      <c r="I1021" s="299"/>
      <c r="K1021" s="300"/>
      <c r="L1021" s="300"/>
    </row>
    <row r="1022" spans="1:12" x14ac:dyDescent="0.3">
      <c r="A1022"/>
      <c r="C1022"/>
      <c r="D1022"/>
      <c r="F1022"/>
      <c r="G1022"/>
      <c r="I1022" s="299"/>
      <c r="K1022" s="300"/>
      <c r="L1022" s="300"/>
    </row>
    <row r="1023" spans="1:12" x14ac:dyDescent="0.3">
      <c r="A1023"/>
      <c r="C1023"/>
      <c r="D1023"/>
      <c r="F1023"/>
      <c r="G1023"/>
      <c r="I1023" s="299"/>
      <c r="K1023" s="300"/>
      <c r="L1023" s="300"/>
    </row>
    <row r="1024" spans="1:12" x14ac:dyDescent="0.3">
      <c r="A1024"/>
      <c r="C1024"/>
      <c r="D1024"/>
      <c r="F1024"/>
      <c r="G1024"/>
      <c r="I1024" s="299"/>
      <c r="K1024" s="300"/>
      <c r="L1024" s="300"/>
    </row>
    <row r="1025" spans="1:12" x14ac:dyDescent="0.3">
      <c r="A1025"/>
      <c r="C1025"/>
      <c r="D1025"/>
      <c r="F1025"/>
      <c r="G1025"/>
      <c r="I1025" s="299"/>
      <c r="K1025" s="300"/>
      <c r="L1025" s="300"/>
    </row>
    <row r="1026" spans="1:12" x14ac:dyDescent="0.3">
      <c r="A1026"/>
      <c r="C1026"/>
      <c r="D1026"/>
      <c r="F1026"/>
      <c r="G1026"/>
      <c r="I1026" s="299"/>
      <c r="K1026" s="300"/>
      <c r="L1026" s="300"/>
    </row>
    <row r="1027" spans="1:12" x14ac:dyDescent="0.3">
      <c r="A1027"/>
      <c r="C1027"/>
      <c r="D1027"/>
      <c r="F1027"/>
      <c r="G1027"/>
      <c r="I1027" s="299"/>
      <c r="K1027" s="300"/>
      <c r="L1027" s="300"/>
    </row>
    <row r="1028" spans="1:12" x14ac:dyDescent="0.3">
      <c r="A1028"/>
      <c r="C1028"/>
      <c r="D1028"/>
      <c r="F1028"/>
      <c r="G1028"/>
      <c r="I1028" s="299"/>
      <c r="K1028" s="300"/>
      <c r="L1028" s="300"/>
    </row>
    <row r="1029" spans="1:12" x14ac:dyDescent="0.3">
      <c r="A1029"/>
      <c r="C1029"/>
      <c r="D1029"/>
      <c r="F1029"/>
      <c r="G1029"/>
      <c r="I1029" s="299"/>
      <c r="K1029" s="300"/>
      <c r="L1029" s="300"/>
    </row>
    <row r="1030" spans="1:12" x14ac:dyDescent="0.3">
      <c r="A1030"/>
      <c r="C1030"/>
      <c r="D1030"/>
      <c r="F1030"/>
      <c r="G1030"/>
      <c r="I1030" s="299"/>
      <c r="K1030" s="300"/>
      <c r="L1030" s="300"/>
    </row>
    <row r="1031" spans="1:12" x14ac:dyDescent="0.3">
      <c r="A1031"/>
      <c r="C1031"/>
      <c r="D1031"/>
      <c r="F1031"/>
      <c r="G1031"/>
      <c r="I1031" s="299"/>
      <c r="K1031" s="300"/>
      <c r="L1031" s="300"/>
    </row>
    <row r="1032" spans="1:12" x14ac:dyDescent="0.3">
      <c r="A1032"/>
      <c r="C1032"/>
      <c r="D1032"/>
      <c r="F1032"/>
      <c r="G1032"/>
      <c r="I1032" s="299"/>
      <c r="K1032" s="300"/>
      <c r="L1032" s="300"/>
    </row>
    <row r="1033" spans="1:12" x14ac:dyDescent="0.3">
      <c r="A1033"/>
      <c r="C1033"/>
      <c r="D1033"/>
      <c r="F1033"/>
      <c r="G1033"/>
      <c r="I1033" s="299"/>
      <c r="K1033" s="300"/>
      <c r="L1033" s="300"/>
    </row>
    <row r="1034" spans="1:12" x14ac:dyDescent="0.3">
      <c r="A1034"/>
      <c r="C1034"/>
      <c r="D1034"/>
      <c r="F1034"/>
      <c r="G1034"/>
      <c r="I1034" s="299"/>
      <c r="K1034" s="300"/>
      <c r="L1034" s="300"/>
    </row>
    <row r="1035" spans="1:12" x14ac:dyDescent="0.3">
      <c r="A1035"/>
      <c r="C1035"/>
      <c r="D1035"/>
      <c r="F1035"/>
      <c r="G1035"/>
      <c r="I1035" s="299"/>
      <c r="K1035" s="300"/>
      <c r="L1035" s="300"/>
    </row>
    <row r="1036" spans="1:12" x14ac:dyDescent="0.3">
      <c r="A1036"/>
      <c r="C1036"/>
      <c r="D1036"/>
      <c r="F1036"/>
      <c r="G1036"/>
      <c r="I1036" s="299"/>
      <c r="K1036" s="300"/>
      <c r="L1036" s="300"/>
    </row>
    <row r="1037" spans="1:12" x14ac:dyDescent="0.3">
      <c r="A1037"/>
      <c r="C1037"/>
      <c r="D1037"/>
      <c r="F1037"/>
      <c r="G1037"/>
      <c r="I1037" s="299"/>
      <c r="K1037" s="300"/>
      <c r="L1037" s="300"/>
    </row>
    <row r="1038" spans="1:12" x14ac:dyDescent="0.3">
      <c r="A1038"/>
      <c r="C1038"/>
      <c r="D1038"/>
      <c r="F1038"/>
      <c r="G1038"/>
      <c r="I1038" s="299"/>
      <c r="K1038" s="300"/>
      <c r="L1038" s="300"/>
    </row>
    <row r="1039" spans="1:12" x14ac:dyDescent="0.3">
      <c r="A1039"/>
      <c r="C1039"/>
      <c r="D1039"/>
      <c r="F1039"/>
      <c r="G1039"/>
      <c r="I1039" s="299"/>
      <c r="K1039" s="300"/>
      <c r="L1039" s="300"/>
    </row>
    <row r="1040" spans="1:12" x14ac:dyDescent="0.3">
      <c r="A1040"/>
      <c r="C1040"/>
      <c r="D1040"/>
      <c r="F1040"/>
      <c r="G1040"/>
      <c r="I1040" s="299"/>
      <c r="K1040" s="300"/>
      <c r="L1040" s="300"/>
    </row>
    <row r="1041" spans="1:12" x14ac:dyDescent="0.3">
      <c r="A1041"/>
      <c r="C1041"/>
      <c r="D1041"/>
      <c r="F1041"/>
      <c r="G1041"/>
      <c r="I1041" s="299"/>
      <c r="K1041" s="300"/>
      <c r="L1041" s="300"/>
    </row>
    <row r="1042" spans="1:12" x14ac:dyDescent="0.3">
      <c r="A1042"/>
      <c r="C1042"/>
      <c r="D1042"/>
      <c r="F1042"/>
      <c r="G1042"/>
      <c r="I1042" s="299"/>
      <c r="K1042" s="300"/>
      <c r="L1042" s="300"/>
    </row>
    <row r="1043" spans="1:12" x14ac:dyDescent="0.3">
      <c r="A1043"/>
      <c r="C1043"/>
      <c r="D1043"/>
      <c r="F1043"/>
      <c r="G1043"/>
      <c r="I1043" s="299"/>
      <c r="K1043" s="300"/>
      <c r="L1043" s="300"/>
    </row>
    <row r="1044" spans="1:12" x14ac:dyDescent="0.3">
      <c r="A1044"/>
      <c r="C1044"/>
      <c r="D1044"/>
      <c r="F1044"/>
      <c r="G1044"/>
      <c r="I1044" s="299"/>
      <c r="K1044" s="300"/>
      <c r="L1044" s="300"/>
    </row>
    <row r="1045" spans="1:12" x14ac:dyDescent="0.3">
      <c r="A1045"/>
      <c r="C1045"/>
      <c r="D1045"/>
      <c r="F1045"/>
      <c r="G1045"/>
      <c r="I1045" s="299"/>
      <c r="K1045" s="300"/>
      <c r="L1045" s="300"/>
    </row>
    <row r="1046" spans="1:12" x14ac:dyDescent="0.3">
      <c r="A1046"/>
      <c r="C1046"/>
      <c r="D1046"/>
      <c r="F1046"/>
      <c r="G1046"/>
      <c r="I1046" s="299"/>
      <c r="K1046" s="300"/>
      <c r="L1046" s="300"/>
    </row>
    <row r="1047" spans="1:12" x14ac:dyDescent="0.3">
      <c r="A1047"/>
      <c r="C1047"/>
      <c r="D1047"/>
      <c r="F1047"/>
      <c r="G1047"/>
      <c r="I1047" s="299"/>
      <c r="K1047" s="300"/>
      <c r="L1047" s="300"/>
    </row>
    <row r="1048" spans="1:12" x14ac:dyDescent="0.3">
      <c r="A1048"/>
      <c r="C1048"/>
      <c r="D1048"/>
      <c r="F1048"/>
      <c r="G1048"/>
      <c r="I1048" s="299"/>
      <c r="K1048" s="300"/>
      <c r="L1048" s="300"/>
    </row>
    <row r="1049" spans="1:12" x14ac:dyDescent="0.3">
      <c r="A1049"/>
      <c r="C1049"/>
      <c r="D1049"/>
      <c r="F1049"/>
      <c r="G1049"/>
      <c r="I1049" s="299"/>
      <c r="K1049" s="300"/>
      <c r="L1049" s="300"/>
    </row>
    <row r="1050" spans="1:12" x14ac:dyDescent="0.3">
      <c r="A1050"/>
      <c r="C1050"/>
      <c r="D1050"/>
      <c r="F1050"/>
      <c r="G1050"/>
      <c r="I1050" s="299"/>
      <c r="K1050" s="300"/>
      <c r="L1050" s="300"/>
    </row>
    <row r="1051" spans="1:12" x14ac:dyDescent="0.3">
      <c r="A1051"/>
      <c r="C1051"/>
      <c r="D1051"/>
      <c r="F1051"/>
      <c r="G1051"/>
      <c r="I1051" s="299"/>
      <c r="K1051" s="300"/>
      <c r="L1051" s="300"/>
    </row>
    <row r="1052" spans="1:12" x14ac:dyDescent="0.3">
      <c r="A1052"/>
      <c r="C1052"/>
      <c r="D1052"/>
      <c r="F1052"/>
      <c r="G1052"/>
      <c r="I1052" s="299"/>
      <c r="K1052" s="300"/>
      <c r="L1052" s="300"/>
    </row>
    <row r="1053" spans="1:12" x14ac:dyDescent="0.3">
      <c r="A1053"/>
      <c r="C1053"/>
      <c r="D1053"/>
      <c r="F1053"/>
      <c r="G1053"/>
      <c r="I1053" s="299"/>
      <c r="K1053" s="300"/>
      <c r="L1053" s="300"/>
    </row>
    <row r="1054" spans="1:12" x14ac:dyDescent="0.3">
      <c r="A1054"/>
      <c r="C1054"/>
      <c r="D1054"/>
      <c r="F1054"/>
      <c r="G1054"/>
      <c r="I1054" s="299"/>
      <c r="K1054" s="300"/>
      <c r="L1054" s="300"/>
    </row>
    <row r="1055" spans="1:12" x14ac:dyDescent="0.3">
      <c r="A1055"/>
      <c r="C1055"/>
      <c r="D1055"/>
      <c r="F1055"/>
      <c r="G1055"/>
      <c r="I1055" s="299"/>
      <c r="K1055" s="300"/>
      <c r="L1055" s="300"/>
    </row>
    <row r="1056" spans="1:12" x14ac:dyDescent="0.3">
      <c r="A1056"/>
      <c r="C1056"/>
      <c r="D1056"/>
      <c r="F1056"/>
      <c r="G1056"/>
      <c r="I1056" s="299"/>
      <c r="K1056" s="300"/>
      <c r="L1056" s="300"/>
    </row>
    <row r="1057" spans="1:12" x14ac:dyDescent="0.3">
      <c r="A1057"/>
      <c r="C1057"/>
      <c r="D1057"/>
      <c r="F1057"/>
      <c r="G1057"/>
      <c r="I1057" s="299"/>
      <c r="K1057" s="300"/>
      <c r="L1057" s="300"/>
    </row>
    <row r="1058" spans="1:12" x14ac:dyDescent="0.3">
      <c r="A1058"/>
      <c r="C1058"/>
      <c r="D1058"/>
      <c r="F1058"/>
      <c r="G1058"/>
      <c r="I1058" s="299"/>
      <c r="K1058" s="300"/>
      <c r="L1058" s="300"/>
    </row>
    <row r="1059" spans="1:12" x14ac:dyDescent="0.3">
      <c r="A1059"/>
      <c r="C1059"/>
      <c r="D1059"/>
      <c r="F1059"/>
      <c r="G1059"/>
      <c r="I1059" s="299"/>
      <c r="K1059" s="300"/>
      <c r="L1059" s="300"/>
    </row>
    <row r="1060" spans="1:12" x14ac:dyDescent="0.3">
      <c r="A1060"/>
      <c r="C1060"/>
      <c r="D1060"/>
      <c r="F1060"/>
      <c r="G1060"/>
      <c r="I1060" s="299"/>
      <c r="K1060" s="300"/>
      <c r="L1060" s="300"/>
    </row>
    <row r="1061" spans="1:12" x14ac:dyDescent="0.3">
      <c r="A1061"/>
      <c r="C1061"/>
      <c r="D1061"/>
      <c r="F1061"/>
      <c r="G1061"/>
      <c r="I1061" s="299"/>
      <c r="K1061" s="300"/>
      <c r="L1061" s="300"/>
    </row>
    <row r="1062" spans="1:12" x14ac:dyDescent="0.3">
      <c r="A1062"/>
      <c r="C1062"/>
      <c r="D1062"/>
      <c r="F1062"/>
      <c r="G1062"/>
      <c r="I1062" s="299"/>
      <c r="K1062" s="300"/>
      <c r="L1062" s="300"/>
    </row>
    <row r="1063" spans="1:12" x14ac:dyDescent="0.3">
      <c r="A1063"/>
      <c r="C1063"/>
      <c r="D1063"/>
      <c r="F1063"/>
      <c r="G1063"/>
      <c r="I1063" s="299"/>
      <c r="K1063" s="300"/>
      <c r="L1063" s="300"/>
    </row>
    <row r="1064" spans="1:12" x14ac:dyDescent="0.3">
      <c r="A1064"/>
      <c r="C1064"/>
      <c r="D1064"/>
      <c r="F1064"/>
      <c r="G1064"/>
      <c r="I1064" s="299"/>
      <c r="K1064" s="300"/>
      <c r="L1064" s="300"/>
    </row>
    <row r="1065" spans="1:12" x14ac:dyDescent="0.3">
      <c r="A1065"/>
      <c r="C1065"/>
      <c r="D1065"/>
      <c r="F1065"/>
      <c r="G1065"/>
      <c r="I1065" s="299"/>
      <c r="K1065" s="300"/>
      <c r="L1065" s="300"/>
    </row>
    <row r="1066" spans="1:12" x14ac:dyDescent="0.3">
      <c r="A1066"/>
      <c r="C1066"/>
      <c r="D1066"/>
      <c r="F1066"/>
      <c r="G1066"/>
      <c r="I1066" s="299"/>
      <c r="K1066" s="300"/>
      <c r="L1066" s="300"/>
    </row>
    <row r="1067" spans="1:12" x14ac:dyDescent="0.3">
      <c r="A1067"/>
      <c r="C1067"/>
      <c r="D1067"/>
      <c r="F1067"/>
      <c r="G1067"/>
      <c r="I1067" s="299"/>
      <c r="K1067" s="300"/>
      <c r="L1067" s="300"/>
    </row>
    <row r="1068" spans="1:12" x14ac:dyDescent="0.3">
      <c r="A1068"/>
      <c r="C1068"/>
      <c r="D1068"/>
      <c r="F1068"/>
      <c r="G1068"/>
      <c r="I1068" s="299"/>
      <c r="K1068" s="300"/>
      <c r="L1068" s="300"/>
    </row>
    <row r="1069" spans="1:12" x14ac:dyDescent="0.3">
      <c r="A1069"/>
      <c r="C1069"/>
      <c r="D1069"/>
      <c r="F1069"/>
      <c r="G1069"/>
      <c r="I1069" s="299"/>
      <c r="K1069" s="300"/>
      <c r="L1069" s="300"/>
    </row>
    <row r="1070" spans="1:12" x14ac:dyDescent="0.3">
      <c r="A1070"/>
      <c r="C1070"/>
      <c r="D1070"/>
      <c r="F1070"/>
      <c r="G1070"/>
      <c r="I1070" s="299"/>
      <c r="K1070" s="300"/>
      <c r="L1070" s="300"/>
    </row>
    <row r="1071" spans="1:12" x14ac:dyDescent="0.3">
      <c r="A1071"/>
      <c r="C1071"/>
      <c r="D1071"/>
      <c r="F1071"/>
      <c r="G1071"/>
      <c r="I1071" s="299"/>
      <c r="K1071" s="300"/>
      <c r="L1071" s="300"/>
    </row>
    <row r="1072" spans="1:12" x14ac:dyDescent="0.3">
      <c r="A1072"/>
      <c r="C1072"/>
      <c r="D1072"/>
      <c r="F1072"/>
      <c r="G1072"/>
      <c r="I1072" s="299"/>
      <c r="K1072" s="300"/>
      <c r="L1072" s="300"/>
    </row>
    <row r="1073" spans="1:12" x14ac:dyDescent="0.3">
      <c r="A1073"/>
      <c r="C1073"/>
      <c r="D1073"/>
      <c r="F1073"/>
      <c r="G1073"/>
      <c r="I1073" s="299"/>
      <c r="K1073" s="300"/>
      <c r="L1073" s="300"/>
    </row>
    <row r="1074" spans="1:12" x14ac:dyDescent="0.3">
      <c r="A1074"/>
      <c r="C1074"/>
      <c r="D1074"/>
      <c r="F1074"/>
      <c r="G1074"/>
      <c r="I1074" s="299"/>
      <c r="K1074" s="300"/>
      <c r="L1074" s="300"/>
    </row>
    <row r="1075" spans="1:12" x14ac:dyDescent="0.3">
      <c r="A1075"/>
      <c r="C1075"/>
      <c r="D1075"/>
      <c r="F1075"/>
      <c r="G1075"/>
      <c r="I1075" s="299"/>
      <c r="K1075" s="300"/>
      <c r="L1075" s="300"/>
    </row>
    <row r="1076" spans="1:12" x14ac:dyDescent="0.3">
      <c r="A1076"/>
      <c r="C1076"/>
      <c r="D1076"/>
      <c r="F1076"/>
      <c r="G1076"/>
      <c r="I1076" s="299"/>
      <c r="K1076" s="300"/>
      <c r="L1076" s="300"/>
    </row>
    <row r="1077" spans="1:12" x14ac:dyDescent="0.3">
      <c r="A1077"/>
      <c r="C1077"/>
      <c r="D1077"/>
      <c r="F1077"/>
      <c r="G1077"/>
      <c r="I1077" s="299"/>
      <c r="K1077" s="300"/>
      <c r="L1077" s="300"/>
    </row>
    <row r="1078" spans="1:12" x14ac:dyDescent="0.3">
      <c r="A1078"/>
      <c r="C1078"/>
      <c r="D1078"/>
      <c r="F1078"/>
      <c r="G1078"/>
      <c r="I1078" s="299"/>
      <c r="K1078" s="300"/>
      <c r="L1078" s="300"/>
    </row>
    <row r="1079" spans="1:12" x14ac:dyDescent="0.3">
      <c r="A1079"/>
      <c r="C1079"/>
      <c r="D1079"/>
      <c r="F1079"/>
      <c r="G1079"/>
      <c r="I1079" s="299"/>
      <c r="K1079" s="300"/>
      <c r="L1079" s="300"/>
    </row>
    <row r="1080" spans="1:12" x14ac:dyDescent="0.3">
      <c r="A1080"/>
      <c r="C1080"/>
      <c r="D1080"/>
      <c r="F1080"/>
      <c r="G1080"/>
      <c r="I1080" s="299"/>
      <c r="K1080" s="300"/>
      <c r="L1080" s="300"/>
    </row>
    <row r="1081" spans="1:12" x14ac:dyDescent="0.3">
      <c r="A1081"/>
      <c r="C1081"/>
      <c r="D1081"/>
      <c r="F1081"/>
      <c r="G1081"/>
      <c r="I1081" s="299"/>
      <c r="K1081" s="300"/>
      <c r="L1081" s="300"/>
    </row>
    <row r="1082" spans="1:12" x14ac:dyDescent="0.3">
      <c r="A1082"/>
      <c r="C1082"/>
      <c r="D1082"/>
      <c r="F1082"/>
      <c r="G1082"/>
      <c r="I1082" s="299"/>
      <c r="K1082" s="300"/>
      <c r="L1082" s="300"/>
    </row>
    <row r="1083" spans="1:12" x14ac:dyDescent="0.3">
      <c r="A1083"/>
      <c r="C1083"/>
      <c r="D1083"/>
      <c r="F1083"/>
      <c r="G1083"/>
      <c r="I1083" s="299"/>
      <c r="K1083" s="300"/>
      <c r="L1083" s="300"/>
    </row>
    <row r="1084" spans="1:12" x14ac:dyDescent="0.3">
      <c r="A1084"/>
      <c r="C1084"/>
      <c r="D1084"/>
      <c r="F1084"/>
      <c r="G1084"/>
      <c r="I1084" s="299"/>
      <c r="K1084" s="300"/>
      <c r="L1084" s="300"/>
    </row>
    <row r="1085" spans="1:12" x14ac:dyDescent="0.3">
      <c r="A1085"/>
      <c r="C1085"/>
      <c r="D1085"/>
      <c r="F1085"/>
      <c r="G1085"/>
      <c r="I1085" s="299"/>
      <c r="K1085" s="300"/>
      <c r="L1085" s="300"/>
    </row>
    <row r="1086" spans="1:12" x14ac:dyDescent="0.3">
      <c r="A1086"/>
      <c r="C1086"/>
      <c r="D1086"/>
      <c r="F1086"/>
      <c r="G1086"/>
      <c r="I1086" s="299"/>
      <c r="K1086" s="300"/>
      <c r="L1086" s="300"/>
    </row>
    <row r="1087" spans="1:12" x14ac:dyDescent="0.3">
      <c r="A1087"/>
      <c r="C1087"/>
      <c r="D1087"/>
      <c r="F1087"/>
      <c r="G1087"/>
      <c r="I1087" s="299"/>
      <c r="K1087" s="300"/>
      <c r="L1087" s="300"/>
    </row>
    <row r="1088" spans="1:12" x14ac:dyDescent="0.3">
      <c r="A1088"/>
      <c r="C1088"/>
      <c r="D1088"/>
      <c r="F1088"/>
      <c r="G1088"/>
      <c r="I1088" s="299"/>
      <c r="K1088" s="300"/>
      <c r="L1088" s="300"/>
    </row>
    <row r="1089" spans="1:12" x14ac:dyDescent="0.3">
      <c r="A1089"/>
      <c r="C1089"/>
      <c r="D1089"/>
      <c r="F1089"/>
      <c r="G1089"/>
      <c r="I1089" s="299"/>
      <c r="K1089" s="300"/>
      <c r="L1089" s="300"/>
    </row>
    <row r="1090" spans="1:12" x14ac:dyDescent="0.3">
      <c r="A1090"/>
      <c r="C1090"/>
      <c r="D1090"/>
      <c r="F1090"/>
      <c r="G1090"/>
      <c r="I1090" s="299"/>
      <c r="K1090" s="300"/>
      <c r="L1090" s="300"/>
    </row>
    <row r="1091" spans="1:12" x14ac:dyDescent="0.3">
      <c r="A1091"/>
      <c r="C1091"/>
      <c r="D1091"/>
      <c r="F1091"/>
      <c r="G1091"/>
      <c r="I1091" s="299"/>
      <c r="K1091" s="300"/>
      <c r="L1091" s="300"/>
    </row>
    <row r="1092" spans="1:12" x14ac:dyDescent="0.3">
      <c r="A1092"/>
      <c r="C1092"/>
      <c r="D1092"/>
      <c r="F1092"/>
      <c r="G1092"/>
      <c r="I1092" s="299"/>
      <c r="K1092" s="300"/>
      <c r="L1092" s="300"/>
    </row>
    <row r="1093" spans="1:12" x14ac:dyDescent="0.3">
      <c r="A1093"/>
      <c r="C1093"/>
      <c r="D1093"/>
      <c r="F1093"/>
      <c r="G1093"/>
      <c r="I1093" s="299"/>
      <c r="K1093" s="300"/>
      <c r="L1093" s="300"/>
    </row>
    <row r="1094" spans="1:12" x14ac:dyDescent="0.3">
      <c r="A1094"/>
      <c r="C1094"/>
      <c r="D1094"/>
      <c r="F1094"/>
      <c r="G1094"/>
      <c r="I1094" s="299"/>
      <c r="K1094" s="300"/>
      <c r="L1094" s="300"/>
    </row>
    <row r="1095" spans="1:12" x14ac:dyDescent="0.3">
      <c r="A1095"/>
      <c r="C1095"/>
      <c r="D1095"/>
      <c r="F1095"/>
      <c r="G1095"/>
      <c r="I1095" s="299"/>
      <c r="K1095" s="300"/>
      <c r="L1095" s="300"/>
    </row>
    <row r="1096" spans="1:12" x14ac:dyDescent="0.3">
      <c r="A1096"/>
      <c r="C1096"/>
      <c r="D1096"/>
      <c r="F1096"/>
      <c r="G1096"/>
      <c r="I1096" s="299"/>
      <c r="K1096" s="300"/>
      <c r="L1096" s="300"/>
    </row>
    <row r="1097" spans="1:12" x14ac:dyDescent="0.3">
      <c r="A1097"/>
      <c r="C1097"/>
      <c r="D1097"/>
      <c r="F1097"/>
      <c r="G1097"/>
      <c r="I1097" s="299"/>
      <c r="K1097" s="300"/>
      <c r="L1097" s="300"/>
    </row>
    <row r="1098" spans="1:12" x14ac:dyDescent="0.3">
      <c r="A1098"/>
      <c r="C1098"/>
      <c r="D1098"/>
      <c r="F1098"/>
      <c r="G1098"/>
      <c r="I1098" s="299"/>
      <c r="K1098" s="300"/>
      <c r="L1098" s="300"/>
    </row>
    <row r="1099" spans="1:12" x14ac:dyDescent="0.3">
      <c r="A1099"/>
      <c r="C1099"/>
      <c r="D1099"/>
      <c r="F1099"/>
      <c r="G1099"/>
      <c r="I1099" s="299"/>
      <c r="K1099" s="300"/>
      <c r="L1099" s="300"/>
    </row>
    <row r="1100" spans="1:12" x14ac:dyDescent="0.3">
      <c r="A1100"/>
      <c r="C1100"/>
      <c r="D1100"/>
      <c r="F1100"/>
      <c r="G1100"/>
      <c r="I1100" s="299"/>
      <c r="K1100" s="300"/>
      <c r="L1100" s="300"/>
    </row>
    <row r="1101" spans="1:12" x14ac:dyDescent="0.3">
      <c r="A1101"/>
      <c r="C1101"/>
      <c r="D1101"/>
      <c r="F1101"/>
      <c r="G1101"/>
      <c r="I1101" s="299"/>
      <c r="K1101" s="300"/>
      <c r="L1101" s="300"/>
    </row>
    <row r="1102" spans="1:12" x14ac:dyDescent="0.3">
      <c r="A1102"/>
      <c r="C1102"/>
      <c r="D1102"/>
      <c r="F1102"/>
      <c r="G1102"/>
      <c r="I1102" s="299"/>
      <c r="K1102" s="300"/>
      <c r="L1102" s="300"/>
    </row>
    <row r="1103" spans="1:12" x14ac:dyDescent="0.3">
      <c r="A1103"/>
      <c r="C1103"/>
      <c r="D1103"/>
      <c r="F1103"/>
      <c r="G1103"/>
      <c r="I1103" s="299"/>
      <c r="K1103" s="300"/>
      <c r="L1103" s="300"/>
    </row>
    <row r="1104" spans="1:12" x14ac:dyDescent="0.3">
      <c r="A1104"/>
      <c r="C1104"/>
      <c r="D1104"/>
      <c r="F1104"/>
      <c r="G1104"/>
      <c r="I1104" s="299"/>
      <c r="K1104" s="300"/>
      <c r="L1104" s="300"/>
    </row>
    <row r="1105" spans="1:12" x14ac:dyDescent="0.3">
      <c r="A1105"/>
      <c r="C1105"/>
      <c r="D1105"/>
      <c r="F1105"/>
      <c r="G1105"/>
      <c r="I1105" s="299"/>
      <c r="K1105" s="300"/>
      <c r="L1105" s="300"/>
    </row>
    <row r="1106" spans="1:12" x14ac:dyDescent="0.3">
      <c r="A1106"/>
      <c r="C1106"/>
      <c r="D1106"/>
      <c r="F1106"/>
      <c r="G1106"/>
      <c r="I1106" s="299"/>
      <c r="K1106" s="300"/>
      <c r="L1106" s="300"/>
    </row>
    <row r="1107" spans="1:12" x14ac:dyDescent="0.3">
      <c r="A1107"/>
      <c r="C1107"/>
      <c r="D1107"/>
      <c r="F1107"/>
      <c r="G1107"/>
      <c r="I1107" s="299"/>
      <c r="K1107" s="300"/>
      <c r="L1107" s="300"/>
    </row>
    <row r="1108" spans="1:12" x14ac:dyDescent="0.3">
      <c r="A1108"/>
      <c r="C1108"/>
      <c r="D1108"/>
      <c r="F1108"/>
      <c r="G1108"/>
      <c r="I1108" s="299"/>
      <c r="K1108" s="300"/>
      <c r="L1108" s="300"/>
    </row>
    <row r="1109" spans="1:12" x14ac:dyDescent="0.3">
      <c r="A1109"/>
      <c r="C1109"/>
      <c r="D1109"/>
      <c r="F1109"/>
      <c r="G1109"/>
      <c r="I1109" s="299"/>
      <c r="K1109" s="300"/>
      <c r="L1109" s="300"/>
    </row>
    <row r="1110" spans="1:12" x14ac:dyDescent="0.3">
      <c r="A1110"/>
      <c r="C1110"/>
      <c r="D1110"/>
      <c r="F1110"/>
      <c r="G1110"/>
      <c r="I1110" s="299"/>
      <c r="K1110" s="300"/>
      <c r="L1110" s="300"/>
    </row>
    <row r="1111" spans="1:12" x14ac:dyDescent="0.3">
      <c r="A1111"/>
      <c r="C1111"/>
      <c r="D1111"/>
      <c r="F1111"/>
      <c r="G1111"/>
      <c r="I1111" s="299"/>
      <c r="K1111" s="300"/>
      <c r="L1111" s="300"/>
    </row>
    <row r="1112" spans="1:12" x14ac:dyDescent="0.3">
      <c r="A1112"/>
      <c r="C1112"/>
      <c r="D1112"/>
      <c r="F1112"/>
      <c r="G1112"/>
      <c r="I1112" s="299"/>
      <c r="K1112" s="300"/>
      <c r="L1112" s="300"/>
    </row>
    <row r="1113" spans="1:12" x14ac:dyDescent="0.3">
      <c r="A1113"/>
      <c r="C1113"/>
      <c r="D1113"/>
      <c r="F1113"/>
      <c r="G1113"/>
      <c r="I1113" s="299"/>
      <c r="K1113" s="300"/>
      <c r="L1113" s="300"/>
    </row>
    <row r="1114" spans="1:12" x14ac:dyDescent="0.3">
      <c r="A1114"/>
      <c r="C1114"/>
      <c r="D1114"/>
      <c r="F1114"/>
      <c r="G1114"/>
      <c r="I1114" s="299"/>
      <c r="K1114" s="300"/>
      <c r="L1114" s="300"/>
    </row>
    <row r="1115" spans="1:12" x14ac:dyDescent="0.3">
      <c r="A1115"/>
      <c r="C1115"/>
      <c r="D1115"/>
      <c r="F1115"/>
      <c r="G1115"/>
      <c r="I1115" s="299"/>
      <c r="K1115" s="300"/>
      <c r="L1115" s="300"/>
    </row>
    <row r="1116" spans="1:12" x14ac:dyDescent="0.3">
      <c r="A1116"/>
      <c r="C1116"/>
      <c r="D1116"/>
      <c r="F1116"/>
      <c r="G1116"/>
      <c r="I1116" s="299"/>
      <c r="K1116" s="300"/>
      <c r="L1116" s="300"/>
    </row>
    <row r="1117" spans="1:12" x14ac:dyDescent="0.3">
      <c r="A1117"/>
      <c r="C1117"/>
      <c r="D1117"/>
      <c r="F1117"/>
      <c r="G1117"/>
      <c r="I1117" s="299"/>
      <c r="K1117" s="300"/>
      <c r="L1117" s="300"/>
    </row>
    <row r="1118" spans="1:12" x14ac:dyDescent="0.3">
      <c r="A1118"/>
      <c r="C1118"/>
      <c r="D1118"/>
      <c r="F1118"/>
      <c r="G1118"/>
      <c r="I1118" s="299"/>
      <c r="K1118" s="300"/>
      <c r="L1118" s="300"/>
    </row>
    <row r="1119" spans="1:12" x14ac:dyDescent="0.3">
      <c r="A1119"/>
      <c r="C1119"/>
      <c r="D1119"/>
      <c r="F1119"/>
      <c r="G1119"/>
      <c r="I1119" s="299"/>
      <c r="K1119" s="300"/>
      <c r="L1119" s="300"/>
    </row>
    <row r="1120" spans="1:12" x14ac:dyDescent="0.3">
      <c r="A1120"/>
      <c r="C1120"/>
      <c r="D1120"/>
      <c r="F1120"/>
      <c r="G1120"/>
      <c r="I1120" s="299"/>
      <c r="K1120" s="300"/>
      <c r="L1120" s="300"/>
    </row>
    <row r="1121" spans="1:12" x14ac:dyDescent="0.3">
      <c r="A1121"/>
      <c r="C1121"/>
      <c r="D1121"/>
      <c r="F1121"/>
      <c r="G1121"/>
      <c r="I1121" s="299"/>
      <c r="K1121" s="300"/>
      <c r="L1121" s="300"/>
    </row>
    <row r="1122" spans="1:12" x14ac:dyDescent="0.3">
      <c r="A1122"/>
      <c r="C1122"/>
      <c r="D1122"/>
      <c r="F1122"/>
      <c r="G1122"/>
      <c r="I1122" s="299"/>
      <c r="K1122" s="300"/>
      <c r="L1122" s="300"/>
    </row>
    <row r="1123" spans="1:12" x14ac:dyDescent="0.3">
      <c r="A1123"/>
      <c r="C1123"/>
      <c r="D1123"/>
      <c r="F1123"/>
      <c r="G1123"/>
      <c r="I1123" s="299"/>
      <c r="K1123" s="300"/>
      <c r="L1123" s="300"/>
    </row>
    <row r="1124" spans="1:12" x14ac:dyDescent="0.3">
      <c r="A1124"/>
      <c r="C1124"/>
      <c r="D1124"/>
      <c r="F1124"/>
      <c r="G1124"/>
      <c r="I1124" s="299"/>
      <c r="K1124" s="300"/>
      <c r="L1124" s="300"/>
    </row>
    <row r="1125" spans="1:12" x14ac:dyDescent="0.3">
      <c r="A1125"/>
      <c r="C1125"/>
      <c r="D1125"/>
      <c r="F1125"/>
      <c r="G1125"/>
      <c r="I1125" s="299"/>
      <c r="K1125" s="300"/>
      <c r="L1125" s="300"/>
    </row>
    <row r="1126" spans="1:12" x14ac:dyDescent="0.3">
      <c r="A1126"/>
      <c r="C1126"/>
      <c r="D1126"/>
      <c r="F1126"/>
      <c r="G1126"/>
      <c r="I1126" s="299"/>
      <c r="K1126" s="300"/>
      <c r="L1126" s="300"/>
    </row>
    <row r="1127" spans="1:12" x14ac:dyDescent="0.3">
      <c r="A1127"/>
      <c r="C1127"/>
      <c r="D1127"/>
      <c r="F1127"/>
      <c r="G1127"/>
      <c r="I1127" s="299"/>
      <c r="K1127" s="300"/>
      <c r="L1127" s="300"/>
    </row>
    <row r="1128" spans="1:12" x14ac:dyDescent="0.3">
      <c r="A1128"/>
      <c r="C1128"/>
      <c r="D1128"/>
      <c r="F1128"/>
      <c r="G1128"/>
      <c r="I1128" s="299"/>
      <c r="K1128" s="300"/>
      <c r="L1128" s="300"/>
    </row>
    <row r="1129" spans="1:12" x14ac:dyDescent="0.3">
      <c r="A1129"/>
      <c r="C1129"/>
      <c r="D1129"/>
      <c r="F1129"/>
      <c r="G1129"/>
      <c r="I1129" s="299"/>
      <c r="K1129" s="300"/>
      <c r="L1129" s="300"/>
    </row>
    <row r="1130" spans="1:12" x14ac:dyDescent="0.3">
      <c r="A1130"/>
      <c r="C1130"/>
      <c r="D1130"/>
      <c r="F1130"/>
      <c r="G1130"/>
      <c r="I1130" s="299"/>
      <c r="K1130" s="300"/>
      <c r="L1130" s="300"/>
    </row>
    <row r="1131" spans="1:12" x14ac:dyDescent="0.3">
      <c r="A1131"/>
      <c r="C1131"/>
      <c r="D1131"/>
      <c r="F1131"/>
      <c r="G1131"/>
      <c r="I1131" s="299"/>
      <c r="K1131" s="300"/>
      <c r="L1131" s="300"/>
    </row>
    <row r="1132" spans="1:12" x14ac:dyDescent="0.3">
      <c r="A1132"/>
      <c r="C1132"/>
      <c r="D1132"/>
      <c r="F1132"/>
      <c r="G1132"/>
      <c r="I1132" s="299"/>
      <c r="K1132" s="300"/>
      <c r="L1132" s="300"/>
    </row>
    <row r="1133" spans="1:12" x14ac:dyDescent="0.3">
      <c r="A1133"/>
      <c r="C1133"/>
      <c r="D1133"/>
      <c r="F1133"/>
      <c r="G1133"/>
      <c r="I1133" s="299"/>
      <c r="K1133" s="300"/>
      <c r="L1133" s="300"/>
    </row>
    <row r="1134" spans="1:12" x14ac:dyDescent="0.3">
      <c r="A1134"/>
      <c r="C1134"/>
      <c r="D1134"/>
      <c r="F1134"/>
      <c r="G1134"/>
      <c r="I1134" s="299"/>
      <c r="K1134" s="300"/>
      <c r="L1134" s="300"/>
    </row>
    <row r="1135" spans="1:12" x14ac:dyDescent="0.3">
      <c r="A1135"/>
      <c r="C1135"/>
      <c r="D1135"/>
      <c r="F1135"/>
      <c r="G1135"/>
      <c r="I1135" s="299"/>
      <c r="K1135" s="300"/>
      <c r="L1135" s="300"/>
    </row>
    <row r="1136" spans="1:12" x14ac:dyDescent="0.3">
      <c r="A1136"/>
      <c r="C1136"/>
      <c r="D1136"/>
      <c r="F1136"/>
      <c r="G1136"/>
      <c r="I1136" s="299"/>
      <c r="K1136" s="300"/>
      <c r="L1136" s="300"/>
    </row>
    <row r="1137" spans="1:12" x14ac:dyDescent="0.3">
      <c r="A1137"/>
      <c r="C1137"/>
      <c r="D1137"/>
      <c r="F1137"/>
      <c r="G1137"/>
      <c r="I1137" s="299"/>
      <c r="K1137" s="300"/>
      <c r="L1137" s="300"/>
    </row>
    <row r="1138" spans="1:12" x14ac:dyDescent="0.3">
      <c r="A1138"/>
      <c r="C1138"/>
      <c r="D1138"/>
      <c r="F1138"/>
      <c r="G1138"/>
      <c r="I1138" s="299"/>
      <c r="K1138" s="300"/>
      <c r="L1138" s="300"/>
    </row>
    <row r="1139" spans="1:12" x14ac:dyDescent="0.3">
      <c r="A1139"/>
      <c r="C1139"/>
      <c r="D1139"/>
      <c r="F1139"/>
      <c r="G1139"/>
      <c r="I1139" s="299"/>
      <c r="K1139" s="300"/>
      <c r="L1139" s="300"/>
    </row>
    <row r="1140" spans="1:12" x14ac:dyDescent="0.3">
      <c r="A1140"/>
      <c r="C1140"/>
      <c r="D1140"/>
      <c r="F1140"/>
      <c r="G1140"/>
      <c r="I1140" s="299"/>
      <c r="K1140" s="300"/>
      <c r="L1140" s="300"/>
    </row>
    <row r="1141" spans="1:12" x14ac:dyDescent="0.3">
      <c r="A1141"/>
      <c r="C1141"/>
      <c r="D1141"/>
      <c r="F1141"/>
      <c r="G1141"/>
      <c r="I1141" s="299"/>
      <c r="K1141" s="300"/>
      <c r="L1141" s="300"/>
    </row>
    <row r="1142" spans="1:12" x14ac:dyDescent="0.3">
      <c r="A1142"/>
      <c r="C1142"/>
      <c r="D1142"/>
      <c r="F1142"/>
      <c r="G1142"/>
      <c r="I1142" s="299"/>
      <c r="K1142" s="300"/>
      <c r="L1142" s="300"/>
    </row>
    <row r="1143" spans="1:12" x14ac:dyDescent="0.3">
      <c r="A1143"/>
      <c r="C1143"/>
      <c r="D1143"/>
      <c r="F1143"/>
      <c r="G1143"/>
      <c r="I1143" s="299"/>
      <c r="K1143" s="300"/>
      <c r="L1143" s="300"/>
    </row>
    <row r="1144" spans="1:12" x14ac:dyDescent="0.3">
      <c r="A1144"/>
      <c r="C1144"/>
      <c r="D1144"/>
      <c r="F1144"/>
      <c r="G1144"/>
      <c r="I1144" s="299"/>
      <c r="K1144" s="300"/>
      <c r="L1144" s="300"/>
    </row>
    <row r="1145" spans="1:12" x14ac:dyDescent="0.3">
      <c r="A1145"/>
      <c r="C1145"/>
      <c r="D1145"/>
      <c r="F1145"/>
      <c r="G1145"/>
      <c r="I1145" s="299"/>
      <c r="K1145" s="300"/>
      <c r="L1145" s="300"/>
    </row>
    <row r="1146" spans="1:12" x14ac:dyDescent="0.3">
      <c r="A1146"/>
      <c r="C1146"/>
      <c r="D1146"/>
      <c r="F1146"/>
      <c r="G1146"/>
      <c r="I1146" s="299"/>
      <c r="K1146" s="300"/>
      <c r="L1146" s="300"/>
    </row>
    <row r="1147" spans="1:12" x14ac:dyDescent="0.3">
      <c r="A1147"/>
      <c r="C1147"/>
      <c r="D1147"/>
      <c r="F1147"/>
      <c r="G1147"/>
      <c r="I1147" s="299"/>
      <c r="K1147" s="300"/>
      <c r="L1147" s="300"/>
    </row>
    <row r="1148" spans="1:12" x14ac:dyDescent="0.3">
      <c r="A1148"/>
      <c r="C1148"/>
      <c r="D1148"/>
      <c r="F1148"/>
      <c r="G1148"/>
      <c r="I1148" s="299"/>
      <c r="K1148" s="300"/>
      <c r="L1148" s="300"/>
    </row>
    <row r="1149" spans="1:12" x14ac:dyDescent="0.3">
      <c r="A1149"/>
      <c r="C1149"/>
      <c r="D1149"/>
      <c r="F1149"/>
      <c r="G1149"/>
      <c r="I1149" s="299"/>
      <c r="K1149" s="300"/>
      <c r="L1149" s="300"/>
    </row>
    <row r="1150" spans="1:12" x14ac:dyDescent="0.3">
      <c r="A1150"/>
      <c r="C1150"/>
      <c r="D1150"/>
      <c r="F1150"/>
      <c r="G1150"/>
      <c r="I1150" s="299"/>
      <c r="K1150" s="300"/>
      <c r="L1150" s="300"/>
    </row>
    <row r="1151" spans="1:12" x14ac:dyDescent="0.3">
      <c r="A1151"/>
      <c r="C1151"/>
      <c r="D1151"/>
      <c r="F1151"/>
      <c r="G1151"/>
      <c r="I1151" s="299"/>
      <c r="K1151" s="300"/>
      <c r="L1151" s="300"/>
    </row>
    <row r="1152" spans="1:12" x14ac:dyDescent="0.3">
      <c r="A1152"/>
      <c r="C1152"/>
      <c r="D1152"/>
      <c r="F1152"/>
      <c r="G1152"/>
      <c r="I1152" s="299"/>
      <c r="K1152" s="300"/>
      <c r="L1152" s="300"/>
    </row>
    <row r="1153" spans="1:12" x14ac:dyDescent="0.3">
      <c r="A1153"/>
      <c r="C1153"/>
      <c r="D1153"/>
      <c r="F1153"/>
      <c r="G1153"/>
      <c r="I1153" s="299"/>
      <c r="K1153" s="300"/>
      <c r="L1153" s="300"/>
    </row>
    <row r="1154" spans="1:12" x14ac:dyDescent="0.3">
      <c r="A1154"/>
      <c r="C1154"/>
      <c r="D1154"/>
      <c r="F1154"/>
      <c r="G1154"/>
      <c r="I1154" s="299"/>
      <c r="K1154" s="300"/>
      <c r="L1154" s="300"/>
    </row>
    <row r="1155" spans="1:12" x14ac:dyDescent="0.3">
      <c r="A1155"/>
      <c r="C1155"/>
      <c r="D1155"/>
      <c r="F1155"/>
      <c r="G1155"/>
      <c r="I1155" s="299"/>
      <c r="K1155" s="300"/>
      <c r="L1155" s="300"/>
    </row>
    <row r="1156" spans="1:12" x14ac:dyDescent="0.3">
      <c r="A1156"/>
      <c r="C1156"/>
      <c r="D1156"/>
      <c r="F1156"/>
      <c r="G1156"/>
      <c r="I1156" s="299"/>
      <c r="K1156" s="300"/>
      <c r="L1156" s="300"/>
    </row>
    <row r="1157" spans="1:12" x14ac:dyDescent="0.3">
      <c r="A1157"/>
      <c r="C1157"/>
      <c r="D1157"/>
      <c r="F1157"/>
      <c r="G1157"/>
      <c r="I1157" s="299"/>
      <c r="K1157" s="300"/>
      <c r="L1157" s="300"/>
    </row>
    <row r="1158" spans="1:12" x14ac:dyDescent="0.3">
      <c r="A1158"/>
      <c r="C1158"/>
      <c r="D1158"/>
      <c r="F1158"/>
      <c r="G1158"/>
      <c r="I1158" s="299"/>
      <c r="K1158" s="300"/>
      <c r="L1158" s="300"/>
    </row>
    <row r="1159" spans="1:12" x14ac:dyDescent="0.3">
      <c r="A1159"/>
      <c r="C1159"/>
      <c r="D1159"/>
      <c r="F1159"/>
      <c r="G1159"/>
      <c r="I1159" s="299"/>
      <c r="K1159" s="300"/>
      <c r="L1159" s="300"/>
    </row>
    <row r="1160" spans="1:12" x14ac:dyDescent="0.3">
      <c r="A1160"/>
      <c r="C1160"/>
      <c r="D1160"/>
      <c r="F1160"/>
      <c r="G1160"/>
      <c r="I1160" s="299"/>
      <c r="K1160" s="300"/>
      <c r="L1160" s="300"/>
    </row>
    <row r="1161" spans="1:12" x14ac:dyDescent="0.3">
      <c r="A1161"/>
      <c r="C1161"/>
      <c r="D1161"/>
      <c r="F1161"/>
      <c r="G1161"/>
      <c r="I1161" s="299"/>
      <c r="K1161" s="300"/>
      <c r="L1161" s="300"/>
    </row>
    <row r="1162" spans="1:12" x14ac:dyDescent="0.3">
      <c r="A1162"/>
      <c r="C1162"/>
      <c r="D1162"/>
      <c r="F1162"/>
      <c r="G1162"/>
      <c r="I1162" s="299"/>
      <c r="K1162" s="300"/>
      <c r="L1162" s="300"/>
    </row>
    <row r="1163" spans="1:12" x14ac:dyDescent="0.3">
      <c r="A1163"/>
      <c r="C1163"/>
      <c r="D1163"/>
      <c r="F1163"/>
      <c r="G1163"/>
      <c r="I1163" s="299"/>
      <c r="K1163" s="300"/>
      <c r="L1163" s="300"/>
    </row>
    <row r="1164" spans="1:12" x14ac:dyDescent="0.3">
      <c r="A1164"/>
      <c r="C1164"/>
      <c r="D1164"/>
      <c r="F1164"/>
      <c r="G1164"/>
      <c r="I1164" s="299"/>
      <c r="K1164" s="300"/>
      <c r="L1164" s="300"/>
    </row>
    <row r="1165" spans="1:12" x14ac:dyDescent="0.3">
      <c r="A1165"/>
      <c r="C1165"/>
      <c r="D1165"/>
      <c r="F1165"/>
      <c r="G1165"/>
      <c r="I1165" s="299"/>
      <c r="K1165" s="300"/>
      <c r="L1165" s="300"/>
    </row>
    <row r="1166" spans="1:12" x14ac:dyDescent="0.3">
      <c r="A1166"/>
      <c r="C1166"/>
      <c r="D1166"/>
      <c r="F1166"/>
      <c r="G1166"/>
      <c r="I1166" s="299"/>
      <c r="K1166" s="300"/>
      <c r="L1166" s="300"/>
    </row>
    <row r="1167" spans="1:12" x14ac:dyDescent="0.3">
      <c r="A1167"/>
      <c r="C1167"/>
      <c r="D1167"/>
      <c r="F1167"/>
      <c r="G1167"/>
      <c r="I1167" s="299"/>
      <c r="K1167" s="300"/>
      <c r="L1167" s="300"/>
    </row>
    <row r="1168" spans="1:12" x14ac:dyDescent="0.3">
      <c r="A1168"/>
      <c r="C1168"/>
      <c r="D1168"/>
      <c r="F1168"/>
      <c r="G1168"/>
      <c r="I1168" s="299"/>
      <c r="K1168" s="300"/>
      <c r="L1168" s="300"/>
    </row>
    <row r="1169" spans="1:12" x14ac:dyDescent="0.3">
      <c r="A1169"/>
      <c r="C1169"/>
      <c r="D1169"/>
      <c r="F1169"/>
      <c r="G1169"/>
      <c r="I1169" s="299"/>
      <c r="K1169" s="300"/>
      <c r="L1169" s="300"/>
    </row>
    <row r="1170" spans="1:12" x14ac:dyDescent="0.3">
      <c r="A1170"/>
      <c r="C1170"/>
      <c r="D1170"/>
      <c r="F1170"/>
      <c r="G1170"/>
      <c r="I1170" s="299"/>
      <c r="K1170" s="300"/>
      <c r="L1170" s="300"/>
    </row>
    <row r="1171" spans="1:12" x14ac:dyDescent="0.3">
      <c r="A1171"/>
      <c r="C1171"/>
      <c r="D1171"/>
      <c r="F1171"/>
      <c r="G1171"/>
      <c r="I1171" s="299"/>
      <c r="K1171" s="300"/>
      <c r="L1171" s="300"/>
    </row>
    <row r="1172" spans="1:12" x14ac:dyDescent="0.3">
      <c r="A1172"/>
      <c r="C1172"/>
      <c r="D1172"/>
      <c r="F1172"/>
      <c r="G1172"/>
      <c r="I1172" s="299"/>
      <c r="K1172" s="300"/>
      <c r="L1172" s="300"/>
    </row>
    <row r="1173" spans="1:12" x14ac:dyDescent="0.3">
      <c r="A1173"/>
      <c r="C1173"/>
      <c r="D1173"/>
      <c r="F1173"/>
      <c r="G1173"/>
      <c r="I1173" s="299"/>
      <c r="K1173" s="300"/>
      <c r="L1173" s="300"/>
    </row>
    <row r="1174" spans="1:12" x14ac:dyDescent="0.3">
      <c r="A1174"/>
      <c r="C1174"/>
      <c r="D1174"/>
      <c r="F1174"/>
      <c r="G1174"/>
      <c r="I1174" s="299"/>
      <c r="K1174" s="300"/>
      <c r="L1174" s="300"/>
    </row>
    <row r="1175" spans="1:12" x14ac:dyDescent="0.3">
      <c r="A1175"/>
      <c r="C1175"/>
      <c r="D1175"/>
      <c r="F1175"/>
      <c r="G1175"/>
      <c r="I1175" s="299"/>
      <c r="K1175" s="300"/>
      <c r="L1175" s="300"/>
    </row>
    <row r="1176" spans="1:12" x14ac:dyDescent="0.3">
      <c r="A1176"/>
      <c r="C1176"/>
      <c r="D1176"/>
      <c r="F1176"/>
      <c r="G1176"/>
      <c r="I1176" s="299"/>
      <c r="K1176" s="300"/>
      <c r="L1176" s="300"/>
    </row>
    <row r="1177" spans="1:12" x14ac:dyDescent="0.3">
      <c r="A1177"/>
      <c r="C1177"/>
      <c r="D1177"/>
      <c r="F1177"/>
      <c r="G1177"/>
      <c r="I1177" s="299"/>
      <c r="K1177" s="300"/>
      <c r="L1177" s="300"/>
    </row>
    <row r="1178" spans="1:12" x14ac:dyDescent="0.3">
      <c r="A1178"/>
      <c r="C1178"/>
      <c r="D1178"/>
      <c r="F1178"/>
      <c r="G1178"/>
      <c r="I1178" s="299"/>
      <c r="K1178" s="300"/>
      <c r="L1178" s="300"/>
    </row>
    <row r="1179" spans="1:12" x14ac:dyDescent="0.3">
      <c r="A1179"/>
      <c r="C1179"/>
      <c r="D1179"/>
      <c r="F1179"/>
      <c r="G1179"/>
      <c r="I1179" s="299"/>
      <c r="K1179" s="300"/>
      <c r="L1179" s="300"/>
    </row>
    <row r="1180" spans="1:12" x14ac:dyDescent="0.3">
      <c r="A1180"/>
      <c r="C1180"/>
      <c r="D1180"/>
      <c r="F1180"/>
      <c r="G1180"/>
      <c r="I1180" s="299"/>
      <c r="K1180" s="300"/>
      <c r="L1180" s="300"/>
    </row>
    <row r="1181" spans="1:12" x14ac:dyDescent="0.3">
      <c r="A1181"/>
      <c r="C1181"/>
      <c r="D1181"/>
      <c r="F1181"/>
      <c r="G1181"/>
      <c r="I1181" s="299"/>
      <c r="K1181" s="300"/>
      <c r="L1181" s="300"/>
    </row>
    <row r="1182" spans="1:12" x14ac:dyDescent="0.3">
      <c r="A1182"/>
      <c r="C1182"/>
      <c r="D1182"/>
      <c r="F1182"/>
      <c r="G1182"/>
      <c r="I1182" s="299"/>
      <c r="K1182" s="300"/>
      <c r="L1182" s="300"/>
    </row>
    <row r="1183" spans="1:12" x14ac:dyDescent="0.3">
      <c r="A1183"/>
      <c r="C1183"/>
      <c r="D1183"/>
      <c r="F1183"/>
      <c r="G1183"/>
      <c r="I1183" s="299"/>
      <c r="K1183" s="300"/>
      <c r="L1183" s="300"/>
    </row>
    <row r="1184" spans="1:12" x14ac:dyDescent="0.3">
      <c r="A1184"/>
      <c r="C1184"/>
      <c r="D1184"/>
      <c r="F1184"/>
      <c r="G1184"/>
      <c r="I1184" s="299"/>
      <c r="K1184" s="300"/>
      <c r="L1184" s="300"/>
    </row>
    <row r="1185" spans="1:12" x14ac:dyDescent="0.3">
      <c r="A1185"/>
      <c r="C1185"/>
      <c r="D1185"/>
      <c r="F1185"/>
      <c r="G1185"/>
      <c r="I1185" s="299"/>
      <c r="K1185" s="300"/>
      <c r="L1185" s="300"/>
    </row>
    <row r="1186" spans="1:12" x14ac:dyDescent="0.3">
      <c r="A1186"/>
      <c r="C1186"/>
      <c r="D1186"/>
      <c r="F1186"/>
      <c r="G1186"/>
      <c r="I1186" s="299"/>
      <c r="K1186" s="300"/>
      <c r="L1186" s="300"/>
    </row>
    <row r="1187" spans="1:12" x14ac:dyDescent="0.3">
      <c r="A1187"/>
      <c r="C1187"/>
      <c r="D1187"/>
      <c r="F1187"/>
      <c r="G1187"/>
      <c r="I1187" s="299"/>
      <c r="K1187" s="300"/>
      <c r="L1187" s="300"/>
    </row>
    <row r="1188" spans="1:12" x14ac:dyDescent="0.3">
      <c r="A1188"/>
      <c r="C1188"/>
      <c r="D1188"/>
      <c r="F1188"/>
      <c r="G1188"/>
      <c r="I1188" s="299"/>
      <c r="K1188" s="300"/>
      <c r="L1188" s="300"/>
    </row>
    <row r="1189" spans="1:12" x14ac:dyDescent="0.3">
      <c r="A1189"/>
      <c r="C1189"/>
      <c r="D1189"/>
      <c r="F1189"/>
      <c r="G1189"/>
      <c r="I1189" s="299"/>
      <c r="K1189" s="300"/>
      <c r="L1189" s="300"/>
    </row>
    <row r="1190" spans="1:12" x14ac:dyDescent="0.3">
      <c r="A1190"/>
      <c r="C1190"/>
      <c r="D1190"/>
      <c r="F1190"/>
      <c r="G1190"/>
      <c r="I1190" s="299"/>
      <c r="K1190" s="300"/>
      <c r="L1190" s="300"/>
    </row>
    <row r="1191" spans="1:12" x14ac:dyDescent="0.3">
      <c r="A1191"/>
      <c r="C1191"/>
      <c r="D1191"/>
      <c r="F1191"/>
      <c r="G1191"/>
      <c r="I1191" s="299"/>
      <c r="K1191" s="300"/>
      <c r="L1191" s="300"/>
    </row>
    <row r="1192" spans="1:12" x14ac:dyDescent="0.3">
      <c r="A1192"/>
      <c r="C1192"/>
      <c r="D1192"/>
      <c r="F1192"/>
      <c r="G1192"/>
      <c r="I1192" s="299"/>
      <c r="K1192" s="300"/>
      <c r="L1192" s="300"/>
    </row>
    <row r="1193" spans="1:12" x14ac:dyDescent="0.3">
      <c r="A1193"/>
      <c r="C1193"/>
      <c r="D1193"/>
      <c r="F1193"/>
      <c r="G1193"/>
      <c r="I1193" s="299"/>
      <c r="K1193" s="300"/>
      <c r="L1193" s="300"/>
    </row>
    <row r="1194" spans="1:12" x14ac:dyDescent="0.3">
      <c r="A1194"/>
      <c r="C1194"/>
      <c r="D1194"/>
      <c r="F1194"/>
      <c r="G1194"/>
      <c r="I1194" s="299"/>
      <c r="K1194" s="300"/>
      <c r="L1194" s="300"/>
    </row>
    <row r="1195" spans="1:12" x14ac:dyDescent="0.3">
      <c r="A1195"/>
      <c r="C1195"/>
      <c r="D1195"/>
      <c r="F1195"/>
      <c r="G1195"/>
      <c r="I1195" s="299"/>
      <c r="K1195" s="300"/>
      <c r="L1195" s="300"/>
    </row>
    <row r="1196" spans="1:12" x14ac:dyDescent="0.3">
      <c r="A1196"/>
      <c r="C1196"/>
      <c r="D1196"/>
      <c r="F1196"/>
      <c r="G1196"/>
      <c r="I1196" s="299"/>
      <c r="K1196" s="300"/>
      <c r="L1196" s="300"/>
    </row>
    <row r="1197" spans="1:12" x14ac:dyDescent="0.3">
      <c r="A1197"/>
      <c r="C1197"/>
      <c r="D1197"/>
      <c r="F1197"/>
      <c r="G1197"/>
      <c r="I1197" s="299"/>
      <c r="K1197" s="300"/>
      <c r="L1197" s="300"/>
    </row>
    <row r="1198" spans="1:12" x14ac:dyDescent="0.3">
      <c r="A1198"/>
      <c r="C1198"/>
      <c r="D1198"/>
      <c r="F1198"/>
      <c r="G1198"/>
      <c r="I1198" s="299"/>
      <c r="K1198" s="300"/>
      <c r="L1198" s="300"/>
    </row>
    <row r="1199" spans="1:12" x14ac:dyDescent="0.3">
      <c r="A1199"/>
      <c r="C1199"/>
      <c r="D1199"/>
      <c r="F1199"/>
      <c r="G1199"/>
      <c r="I1199" s="299"/>
      <c r="K1199" s="300"/>
      <c r="L1199" s="300"/>
    </row>
    <row r="1200" spans="1:12" x14ac:dyDescent="0.3">
      <c r="A1200"/>
      <c r="C1200"/>
      <c r="D1200"/>
      <c r="F1200"/>
      <c r="G1200"/>
      <c r="I1200" s="299"/>
      <c r="K1200" s="300"/>
      <c r="L1200" s="300"/>
    </row>
    <row r="1201" spans="1:12" x14ac:dyDescent="0.3">
      <c r="A1201"/>
      <c r="C1201"/>
      <c r="D1201"/>
      <c r="F1201"/>
      <c r="G1201"/>
      <c r="I1201" s="299"/>
      <c r="K1201" s="300"/>
      <c r="L1201" s="300"/>
    </row>
    <row r="1202" spans="1:12" x14ac:dyDescent="0.3">
      <c r="A1202"/>
      <c r="C1202"/>
      <c r="D1202"/>
      <c r="F1202"/>
      <c r="G1202"/>
      <c r="I1202" s="299"/>
      <c r="K1202" s="300"/>
      <c r="L1202" s="300"/>
    </row>
    <row r="1203" spans="1:12" x14ac:dyDescent="0.3">
      <c r="A1203"/>
      <c r="C1203"/>
      <c r="D1203"/>
      <c r="F1203"/>
      <c r="G1203"/>
      <c r="I1203" s="299"/>
      <c r="K1203" s="300"/>
      <c r="L1203" s="300"/>
    </row>
    <row r="1204" spans="1:12" x14ac:dyDescent="0.3">
      <c r="A1204"/>
      <c r="C1204"/>
      <c r="D1204"/>
      <c r="F1204"/>
      <c r="G1204"/>
      <c r="I1204" s="299"/>
      <c r="K1204" s="300"/>
      <c r="L1204" s="300"/>
    </row>
    <row r="1205" spans="1:12" x14ac:dyDescent="0.3">
      <c r="A1205"/>
      <c r="C1205"/>
      <c r="D1205"/>
      <c r="F1205"/>
      <c r="G1205"/>
      <c r="I1205" s="299"/>
      <c r="K1205" s="300"/>
      <c r="L1205" s="300"/>
    </row>
    <row r="1206" spans="1:12" x14ac:dyDescent="0.3">
      <c r="A1206"/>
      <c r="C1206"/>
      <c r="D1206"/>
      <c r="F1206"/>
      <c r="G1206"/>
      <c r="I1206" s="299"/>
      <c r="K1206" s="300"/>
      <c r="L1206" s="300"/>
    </row>
    <row r="1207" spans="1:12" x14ac:dyDescent="0.3">
      <c r="A1207"/>
      <c r="C1207"/>
      <c r="D1207"/>
      <c r="F1207"/>
      <c r="G1207"/>
      <c r="I1207" s="299"/>
      <c r="K1207" s="300"/>
      <c r="L1207" s="300"/>
    </row>
    <row r="1208" spans="1:12" x14ac:dyDescent="0.3">
      <c r="A1208"/>
      <c r="C1208"/>
      <c r="D1208"/>
      <c r="F1208"/>
      <c r="G1208"/>
      <c r="I1208" s="299"/>
      <c r="K1208" s="300"/>
      <c r="L1208" s="300"/>
    </row>
    <row r="1209" spans="1:12" x14ac:dyDescent="0.3">
      <c r="A1209"/>
      <c r="C1209"/>
      <c r="D1209"/>
      <c r="F1209"/>
      <c r="G1209"/>
      <c r="I1209" s="299"/>
      <c r="K1209" s="300"/>
      <c r="L1209" s="300"/>
    </row>
    <row r="1210" spans="1:12" x14ac:dyDescent="0.3">
      <c r="A1210"/>
      <c r="C1210"/>
      <c r="D1210"/>
      <c r="F1210"/>
      <c r="G1210"/>
      <c r="I1210" s="299"/>
      <c r="K1210" s="300"/>
      <c r="L1210" s="300"/>
    </row>
    <row r="1211" spans="1:12" x14ac:dyDescent="0.3">
      <c r="A1211"/>
      <c r="C1211"/>
      <c r="D1211"/>
      <c r="F1211"/>
      <c r="G1211"/>
      <c r="I1211" s="299"/>
      <c r="K1211" s="300"/>
      <c r="L1211" s="300"/>
    </row>
    <row r="1212" spans="1:12" x14ac:dyDescent="0.3">
      <c r="A1212"/>
      <c r="C1212"/>
      <c r="D1212"/>
      <c r="F1212"/>
      <c r="G1212"/>
      <c r="I1212" s="299"/>
      <c r="K1212" s="300"/>
      <c r="L1212" s="300"/>
    </row>
    <row r="1213" spans="1:12" x14ac:dyDescent="0.3">
      <c r="A1213"/>
      <c r="C1213"/>
      <c r="D1213"/>
      <c r="F1213"/>
      <c r="G1213"/>
      <c r="I1213" s="299"/>
      <c r="K1213" s="300"/>
      <c r="L1213" s="300"/>
    </row>
    <row r="1214" spans="1:12" x14ac:dyDescent="0.3">
      <c r="A1214"/>
      <c r="C1214"/>
      <c r="D1214"/>
      <c r="F1214"/>
      <c r="G1214"/>
      <c r="I1214" s="299"/>
      <c r="K1214" s="300"/>
      <c r="L1214" s="300"/>
    </row>
    <row r="1215" spans="1:12" x14ac:dyDescent="0.3">
      <c r="A1215"/>
      <c r="C1215"/>
      <c r="D1215"/>
      <c r="F1215"/>
      <c r="G1215"/>
      <c r="I1215" s="299"/>
      <c r="K1215" s="300"/>
      <c r="L1215" s="300"/>
    </row>
    <row r="1216" spans="1:12" x14ac:dyDescent="0.3">
      <c r="A1216"/>
      <c r="C1216"/>
      <c r="D1216"/>
      <c r="F1216"/>
      <c r="G1216"/>
      <c r="I1216" s="299"/>
      <c r="K1216" s="300"/>
      <c r="L1216" s="300"/>
    </row>
    <row r="1217" spans="1:12" x14ac:dyDescent="0.3">
      <c r="A1217"/>
      <c r="C1217"/>
      <c r="D1217"/>
      <c r="F1217"/>
      <c r="G1217"/>
      <c r="I1217" s="299"/>
      <c r="K1217" s="300"/>
      <c r="L1217" s="300"/>
    </row>
    <row r="1218" spans="1:12" x14ac:dyDescent="0.3">
      <c r="A1218"/>
      <c r="C1218"/>
      <c r="D1218"/>
      <c r="F1218"/>
      <c r="G1218"/>
      <c r="I1218" s="299"/>
      <c r="K1218" s="300"/>
      <c r="L1218" s="300"/>
    </row>
    <row r="1219" spans="1:12" x14ac:dyDescent="0.3">
      <c r="A1219"/>
      <c r="C1219"/>
      <c r="D1219"/>
      <c r="F1219"/>
      <c r="G1219"/>
      <c r="I1219" s="299"/>
      <c r="K1219" s="300"/>
      <c r="L1219" s="300"/>
    </row>
    <row r="1220" spans="1:12" x14ac:dyDescent="0.3">
      <c r="A1220"/>
      <c r="C1220"/>
      <c r="D1220"/>
      <c r="F1220"/>
      <c r="G1220"/>
      <c r="I1220" s="299"/>
      <c r="K1220" s="300"/>
      <c r="L1220" s="300"/>
    </row>
    <row r="1221" spans="1:12" x14ac:dyDescent="0.3">
      <c r="A1221"/>
      <c r="C1221"/>
      <c r="D1221"/>
      <c r="F1221"/>
      <c r="G1221"/>
      <c r="I1221" s="299"/>
      <c r="K1221" s="300"/>
      <c r="L1221" s="300"/>
    </row>
    <row r="1222" spans="1:12" x14ac:dyDescent="0.3">
      <c r="A1222"/>
      <c r="C1222"/>
      <c r="D1222"/>
      <c r="F1222"/>
      <c r="G1222"/>
      <c r="I1222" s="299"/>
      <c r="K1222" s="300"/>
      <c r="L1222" s="300"/>
    </row>
    <row r="1223" spans="1:12" x14ac:dyDescent="0.3">
      <c r="A1223"/>
      <c r="C1223"/>
      <c r="D1223"/>
      <c r="F1223"/>
      <c r="G1223"/>
      <c r="I1223" s="299"/>
      <c r="K1223" s="300"/>
      <c r="L1223" s="300"/>
    </row>
    <row r="1224" spans="1:12" x14ac:dyDescent="0.3">
      <c r="A1224"/>
      <c r="C1224"/>
      <c r="D1224"/>
      <c r="F1224"/>
      <c r="G1224"/>
      <c r="I1224" s="299"/>
      <c r="K1224" s="300"/>
      <c r="L1224" s="300"/>
    </row>
    <row r="1225" spans="1:12" x14ac:dyDescent="0.3">
      <c r="A1225"/>
      <c r="C1225"/>
      <c r="D1225"/>
      <c r="F1225"/>
      <c r="G1225"/>
      <c r="I1225" s="299"/>
      <c r="K1225" s="300"/>
      <c r="L1225" s="300"/>
    </row>
    <row r="1226" spans="1:12" x14ac:dyDescent="0.3">
      <c r="A1226"/>
      <c r="C1226"/>
      <c r="D1226"/>
      <c r="F1226"/>
      <c r="G1226"/>
      <c r="I1226" s="299"/>
      <c r="K1226" s="300"/>
      <c r="L1226" s="300"/>
    </row>
    <row r="1227" spans="1:12" x14ac:dyDescent="0.3">
      <c r="A1227"/>
      <c r="C1227"/>
      <c r="D1227"/>
      <c r="F1227"/>
      <c r="G1227"/>
      <c r="I1227" s="299"/>
      <c r="K1227" s="300"/>
      <c r="L1227" s="300"/>
    </row>
    <row r="1228" spans="1:12" x14ac:dyDescent="0.3">
      <c r="A1228"/>
      <c r="C1228"/>
      <c r="D1228"/>
      <c r="F1228"/>
      <c r="G1228"/>
      <c r="I1228" s="299"/>
      <c r="K1228" s="300"/>
      <c r="L1228" s="300"/>
    </row>
    <row r="1229" spans="1:12" x14ac:dyDescent="0.3">
      <c r="A1229"/>
      <c r="C1229"/>
      <c r="D1229"/>
      <c r="F1229"/>
      <c r="G1229"/>
      <c r="I1229" s="299"/>
      <c r="K1229" s="300"/>
      <c r="L1229" s="300"/>
    </row>
    <row r="1230" spans="1:12" x14ac:dyDescent="0.3">
      <c r="A1230"/>
      <c r="C1230"/>
      <c r="D1230"/>
      <c r="F1230"/>
      <c r="G1230"/>
      <c r="I1230" s="299"/>
      <c r="K1230" s="300"/>
      <c r="L1230" s="300"/>
    </row>
    <row r="1231" spans="1:12" x14ac:dyDescent="0.3">
      <c r="A1231"/>
      <c r="C1231"/>
      <c r="D1231"/>
      <c r="F1231"/>
      <c r="G1231"/>
      <c r="I1231" s="299"/>
      <c r="K1231" s="300"/>
      <c r="L1231" s="300"/>
    </row>
    <row r="1232" spans="1:12" x14ac:dyDescent="0.3">
      <c r="A1232"/>
      <c r="C1232"/>
      <c r="D1232"/>
      <c r="F1232"/>
      <c r="G1232"/>
      <c r="I1232" s="299"/>
      <c r="K1232" s="300"/>
      <c r="L1232" s="300"/>
    </row>
    <row r="1233" spans="1:12" x14ac:dyDescent="0.3">
      <c r="A1233"/>
      <c r="C1233"/>
      <c r="D1233"/>
      <c r="F1233"/>
      <c r="G1233"/>
      <c r="I1233" s="299"/>
      <c r="K1233" s="300"/>
      <c r="L1233" s="300"/>
    </row>
    <row r="1234" spans="1:12" x14ac:dyDescent="0.3">
      <c r="A1234"/>
      <c r="C1234"/>
      <c r="D1234"/>
      <c r="F1234"/>
      <c r="G1234"/>
      <c r="I1234" s="299"/>
      <c r="K1234" s="300"/>
      <c r="L1234" s="300"/>
    </row>
    <row r="1235" spans="1:12" x14ac:dyDescent="0.3">
      <c r="A1235"/>
      <c r="C1235"/>
      <c r="D1235"/>
      <c r="F1235"/>
      <c r="G1235"/>
      <c r="I1235" s="299"/>
      <c r="K1235" s="300"/>
      <c r="L1235" s="300"/>
    </row>
    <row r="1236" spans="1:12" x14ac:dyDescent="0.3">
      <c r="A1236"/>
      <c r="C1236"/>
      <c r="D1236"/>
      <c r="F1236"/>
      <c r="G1236"/>
      <c r="I1236" s="299"/>
      <c r="K1236" s="300"/>
      <c r="L1236" s="300"/>
    </row>
    <row r="1237" spans="1:12" x14ac:dyDescent="0.3">
      <c r="A1237"/>
      <c r="C1237"/>
      <c r="D1237"/>
      <c r="F1237"/>
      <c r="G1237"/>
      <c r="I1237" s="299"/>
      <c r="K1237" s="300"/>
      <c r="L1237" s="300"/>
    </row>
    <row r="1238" spans="1:12" x14ac:dyDescent="0.3">
      <c r="A1238"/>
      <c r="C1238"/>
      <c r="D1238"/>
      <c r="F1238"/>
      <c r="G1238"/>
      <c r="I1238" s="299"/>
      <c r="K1238" s="300"/>
      <c r="L1238" s="300"/>
    </row>
    <row r="1239" spans="1:12" x14ac:dyDescent="0.3">
      <c r="A1239"/>
      <c r="C1239"/>
      <c r="D1239"/>
      <c r="F1239"/>
      <c r="G1239"/>
      <c r="I1239" s="299"/>
      <c r="K1239" s="300"/>
      <c r="L1239" s="300"/>
    </row>
    <row r="1240" spans="1:12" x14ac:dyDescent="0.3">
      <c r="A1240"/>
      <c r="C1240"/>
      <c r="D1240"/>
      <c r="F1240"/>
      <c r="G1240"/>
      <c r="I1240" s="299"/>
      <c r="K1240" s="300"/>
      <c r="L1240" s="300"/>
    </row>
    <row r="1241" spans="1:12" x14ac:dyDescent="0.3">
      <c r="A1241"/>
      <c r="C1241"/>
      <c r="D1241"/>
      <c r="F1241"/>
      <c r="G1241"/>
      <c r="I1241" s="299"/>
      <c r="K1241" s="300"/>
      <c r="L1241" s="300"/>
    </row>
    <row r="1242" spans="1:12" x14ac:dyDescent="0.3">
      <c r="A1242"/>
      <c r="C1242"/>
      <c r="D1242"/>
      <c r="F1242"/>
      <c r="G1242"/>
      <c r="I1242" s="299"/>
      <c r="K1242" s="300"/>
      <c r="L1242" s="300"/>
    </row>
    <row r="1243" spans="1:12" x14ac:dyDescent="0.3">
      <c r="A1243"/>
      <c r="C1243"/>
      <c r="D1243"/>
      <c r="F1243"/>
      <c r="G1243"/>
      <c r="I1243" s="299"/>
      <c r="K1243" s="300"/>
      <c r="L1243" s="300"/>
    </row>
    <row r="1244" spans="1:12" x14ac:dyDescent="0.3">
      <c r="A1244"/>
      <c r="C1244"/>
      <c r="D1244"/>
      <c r="F1244"/>
      <c r="G1244"/>
      <c r="I1244" s="299"/>
      <c r="K1244" s="300"/>
      <c r="L1244" s="300"/>
    </row>
    <row r="1245" spans="1:12" x14ac:dyDescent="0.3">
      <c r="A1245"/>
      <c r="C1245"/>
      <c r="D1245"/>
      <c r="F1245"/>
      <c r="G1245"/>
      <c r="I1245" s="299"/>
      <c r="K1245" s="300"/>
      <c r="L1245" s="300"/>
    </row>
    <row r="1246" spans="1:12" x14ac:dyDescent="0.3">
      <c r="A1246"/>
      <c r="C1246"/>
      <c r="D1246"/>
      <c r="F1246"/>
      <c r="G1246"/>
      <c r="I1246" s="299"/>
      <c r="K1246" s="300"/>
      <c r="L1246" s="300"/>
    </row>
    <row r="1247" spans="1:12" x14ac:dyDescent="0.3">
      <c r="A1247"/>
      <c r="C1247"/>
      <c r="D1247"/>
      <c r="F1247"/>
      <c r="G1247"/>
      <c r="I1247" s="299"/>
      <c r="K1247" s="300"/>
      <c r="L1247" s="300"/>
    </row>
    <row r="1248" spans="1:12" x14ac:dyDescent="0.3">
      <c r="A1248"/>
      <c r="C1248"/>
      <c r="D1248"/>
      <c r="F1248"/>
      <c r="G1248"/>
      <c r="I1248" s="299"/>
      <c r="K1248" s="300"/>
      <c r="L1248" s="300"/>
    </row>
    <row r="1249" spans="1:12" x14ac:dyDescent="0.3">
      <c r="A1249"/>
      <c r="C1249"/>
      <c r="D1249"/>
      <c r="F1249"/>
      <c r="G1249"/>
      <c r="I1249" s="299"/>
      <c r="K1249" s="300"/>
      <c r="L1249" s="300"/>
    </row>
    <row r="1250" spans="1:12" x14ac:dyDescent="0.3">
      <c r="A1250"/>
      <c r="C1250"/>
      <c r="D1250"/>
      <c r="F1250"/>
      <c r="G1250"/>
      <c r="I1250" s="299"/>
      <c r="K1250" s="300"/>
      <c r="L1250" s="300"/>
    </row>
    <row r="1251" spans="1:12" x14ac:dyDescent="0.3">
      <c r="A1251"/>
      <c r="C1251"/>
      <c r="D1251"/>
      <c r="F1251"/>
      <c r="G1251"/>
      <c r="I1251" s="299"/>
      <c r="K1251" s="300"/>
      <c r="L1251" s="300"/>
    </row>
    <row r="1252" spans="1:12" x14ac:dyDescent="0.3">
      <c r="A1252"/>
      <c r="C1252"/>
      <c r="D1252"/>
      <c r="F1252"/>
      <c r="G1252"/>
      <c r="I1252" s="299"/>
      <c r="K1252" s="300"/>
      <c r="L1252" s="300"/>
    </row>
    <row r="1253" spans="1:12" x14ac:dyDescent="0.3">
      <c r="A1253"/>
      <c r="C1253"/>
      <c r="D1253"/>
      <c r="F1253"/>
      <c r="G1253"/>
      <c r="I1253" s="299"/>
      <c r="K1253" s="300"/>
      <c r="L1253" s="300"/>
    </row>
    <row r="1254" spans="1:12" x14ac:dyDescent="0.3">
      <c r="A1254"/>
      <c r="C1254"/>
      <c r="D1254"/>
      <c r="F1254"/>
      <c r="G1254"/>
      <c r="I1254" s="299"/>
      <c r="K1254" s="300"/>
      <c r="L1254" s="300"/>
    </row>
    <row r="1255" spans="1:12" x14ac:dyDescent="0.3">
      <c r="A1255"/>
      <c r="C1255"/>
      <c r="D1255"/>
      <c r="F1255"/>
      <c r="G1255"/>
      <c r="I1255" s="299"/>
      <c r="K1255" s="300"/>
      <c r="L1255" s="300"/>
    </row>
    <row r="1256" spans="1:12" x14ac:dyDescent="0.3">
      <c r="A1256"/>
      <c r="C1256"/>
      <c r="D1256"/>
      <c r="F1256"/>
      <c r="G1256"/>
      <c r="I1256" s="299"/>
      <c r="K1256" s="300"/>
      <c r="L1256" s="300"/>
    </row>
    <row r="1257" spans="1:12" x14ac:dyDescent="0.3">
      <c r="A1257"/>
      <c r="C1257"/>
      <c r="D1257"/>
      <c r="F1257"/>
      <c r="G1257"/>
      <c r="I1257" s="299"/>
      <c r="K1257" s="300"/>
      <c r="L1257" s="300"/>
    </row>
    <row r="1258" spans="1:12" x14ac:dyDescent="0.3">
      <c r="A1258"/>
      <c r="C1258"/>
      <c r="D1258"/>
      <c r="F1258"/>
      <c r="G1258"/>
      <c r="I1258" s="299"/>
      <c r="K1258" s="300"/>
      <c r="L1258" s="300"/>
    </row>
    <row r="1259" spans="1:12" x14ac:dyDescent="0.3">
      <c r="A1259"/>
      <c r="C1259"/>
      <c r="D1259"/>
      <c r="F1259"/>
      <c r="G1259"/>
      <c r="I1259" s="299"/>
      <c r="K1259" s="300"/>
      <c r="L1259" s="300"/>
    </row>
    <row r="1260" spans="1:12" x14ac:dyDescent="0.3">
      <c r="A1260"/>
      <c r="C1260"/>
      <c r="D1260"/>
      <c r="F1260"/>
      <c r="G1260"/>
      <c r="I1260" s="299"/>
      <c r="K1260" s="300"/>
      <c r="L1260" s="300"/>
    </row>
    <row r="1261" spans="1:12" x14ac:dyDescent="0.3">
      <c r="A1261"/>
      <c r="C1261"/>
      <c r="D1261"/>
      <c r="F1261"/>
      <c r="G1261"/>
      <c r="I1261" s="299"/>
      <c r="K1261" s="300"/>
      <c r="L1261" s="300"/>
    </row>
    <row r="1262" spans="1:12" x14ac:dyDescent="0.3">
      <c r="A1262"/>
      <c r="C1262"/>
      <c r="D1262"/>
      <c r="F1262"/>
      <c r="G1262"/>
      <c r="I1262" s="299"/>
      <c r="K1262" s="300"/>
      <c r="L1262" s="300"/>
    </row>
    <row r="1263" spans="1:12" x14ac:dyDescent="0.3">
      <c r="A1263"/>
      <c r="C1263"/>
      <c r="D1263"/>
      <c r="F1263"/>
      <c r="G1263"/>
      <c r="I1263" s="299"/>
      <c r="K1263" s="300"/>
      <c r="L1263" s="300"/>
    </row>
    <row r="1264" spans="1:12" x14ac:dyDescent="0.3">
      <c r="A1264"/>
      <c r="C1264"/>
      <c r="D1264"/>
      <c r="F1264"/>
      <c r="G1264"/>
      <c r="I1264" s="299"/>
      <c r="K1264" s="300"/>
      <c r="L1264" s="300"/>
    </row>
    <row r="1265" spans="1:12" x14ac:dyDescent="0.3">
      <c r="A1265"/>
      <c r="C1265"/>
      <c r="D1265"/>
      <c r="F1265"/>
      <c r="G1265"/>
      <c r="I1265" s="299"/>
      <c r="K1265" s="300"/>
      <c r="L1265" s="300"/>
    </row>
    <row r="1266" spans="1:12" x14ac:dyDescent="0.3">
      <c r="A1266"/>
      <c r="C1266"/>
      <c r="D1266"/>
      <c r="F1266"/>
      <c r="G1266"/>
      <c r="I1266" s="299"/>
      <c r="K1266" s="300"/>
      <c r="L1266" s="300"/>
    </row>
    <row r="1267" spans="1:12" x14ac:dyDescent="0.3">
      <c r="A1267"/>
      <c r="C1267"/>
      <c r="D1267"/>
      <c r="F1267"/>
      <c r="G1267"/>
      <c r="I1267" s="299"/>
      <c r="K1267" s="300"/>
      <c r="L1267" s="300"/>
    </row>
    <row r="1268" spans="1:12" x14ac:dyDescent="0.3">
      <c r="A1268"/>
      <c r="C1268"/>
      <c r="D1268"/>
      <c r="F1268"/>
      <c r="G1268"/>
      <c r="I1268" s="299"/>
      <c r="K1268" s="300"/>
      <c r="L1268" s="300"/>
    </row>
    <row r="1269" spans="1:12" x14ac:dyDescent="0.3">
      <c r="A1269"/>
      <c r="C1269"/>
      <c r="D1269"/>
      <c r="F1269"/>
      <c r="G1269"/>
      <c r="I1269" s="299"/>
      <c r="K1269" s="300"/>
      <c r="L1269" s="300"/>
    </row>
    <row r="1270" spans="1:12" x14ac:dyDescent="0.3">
      <c r="A1270"/>
      <c r="C1270"/>
      <c r="D1270"/>
      <c r="F1270"/>
      <c r="G1270"/>
      <c r="I1270" s="299"/>
      <c r="K1270" s="300"/>
      <c r="L1270" s="300"/>
    </row>
    <row r="1271" spans="1:12" x14ac:dyDescent="0.3">
      <c r="A1271"/>
      <c r="C1271"/>
      <c r="D1271"/>
      <c r="F1271"/>
      <c r="G1271"/>
      <c r="I1271" s="299"/>
      <c r="K1271" s="300"/>
      <c r="L1271" s="300"/>
    </row>
    <row r="1272" spans="1:12" x14ac:dyDescent="0.3">
      <c r="A1272"/>
      <c r="C1272"/>
      <c r="D1272"/>
      <c r="F1272"/>
      <c r="G1272"/>
      <c r="I1272" s="299"/>
      <c r="K1272" s="300"/>
      <c r="L1272" s="300"/>
    </row>
    <row r="1273" spans="1:12" x14ac:dyDescent="0.3">
      <c r="A1273"/>
      <c r="C1273"/>
      <c r="D1273"/>
      <c r="F1273"/>
      <c r="G1273"/>
      <c r="I1273" s="299"/>
      <c r="K1273" s="300"/>
      <c r="L1273" s="300"/>
    </row>
    <row r="1274" spans="1:12" x14ac:dyDescent="0.3">
      <c r="A1274"/>
      <c r="C1274"/>
      <c r="D1274"/>
      <c r="F1274"/>
      <c r="G1274"/>
      <c r="I1274" s="299"/>
      <c r="K1274" s="300"/>
      <c r="L1274" s="300"/>
    </row>
    <row r="1275" spans="1:12" x14ac:dyDescent="0.3">
      <c r="A1275"/>
      <c r="C1275"/>
      <c r="D1275"/>
      <c r="F1275"/>
      <c r="G1275"/>
      <c r="I1275" s="299"/>
      <c r="K1275" s="300"/>
      <c r="L1275" s="300"/>
    </row>
    <row r="1276" spans="1:12" x14ac:dyDescent="0.3">
      <c r="A1276"/>
      <c r="C1276"/>
      <c r="D1276"/>
      <c r="F1276"/>
      <c r="G1276"/>
      <c r="I1276" s="299"/>
      <c r="K1276" s="300"/>
      <c r="L1276" s="300"/>
    </row>
    <row r="1277" spans="1:12" x14ac:dyDescent="0.3">
      <c r="A1277"/>
      <c r="C1277"/>
      <c r="D1277"/>
      <c r="F1277"/>
      <c r="G1277"/>
      <c r="I1277" s="299"/>
      <c r="K1277" s="300"/>
      <c r="L1277" s="300"/>
    </row>
    <row r="1278" spans="1:12" x14ac:dyDescent="0.3">
      <c r="A1278"/>
      <c r="C1278"/>
      <c r="D1278"/>
      <c r="F1278"/>
      <c r="G1278"/>
      <c r="I1278" s="299"/>
      <c r="K1278" s="300"/>
      <c r="L1278" s="300"/>
    </row>
    <row r="1279" spans="1:12" x14ac:dyDescent="0.3">
      <c r="A1279"/>
      <c r="C1279"/>
      <c r="D1279"/>
      <c r="F1279"/>
      <c r="G1279"/>
      <c r="I1279" s="299"/>
      <c r="K1279" s="300"/>
      <c r="L1279" s="300"/>
    </row>
    <row r="1280" spans="1:12" x14ac:dyDescent="0.3">
      <c r="A1280"/>
      <c r="C1280"/>
      <c r="D1280"/>
      <c r="F1280"/>
      <c r="G1280"/>
      <c r="I1280" s="299"/>
      <c r="K1280" s="300"/>
      <c r="L1280" s="300"/>
    </row>
    <row r="1281" spans="1:12" x14ac:dyDescent="0.3">
      <c r="A1281"/>
      <c r="C1281"/>
      <c r="D1281"/>
      <c r="F1281"/>
      <c r="G1281"/>
      <c r="I1281" s="299"/>
      <c r="K1281" s="300"/>
      <c r="L1281" s="300"/>
    </row>
    <row r="1282" spans="1:12" x14ac:dyDescent="0.3">
      <c r="A1282"/>
      <c r="C1282"/>
      <c r="D1282"/>
      <c r="F1282"/>
      <c r="G1282"/>
      <c r="I1282" s="299"/>
      <c r="K1282" s="300"/>
      <c r="L1282" s="300"/>
    </row>
    <row r="1283" spans="1:12" x14ac:dyDescent="0.3">
      <c r="A1283"/>
      <c r="C1283"/>
      <c r="D1283"/>
      <c r="F1283"/>
      <c r="G1283"/>
      <c r="I1283" s="299"/>
      <c r="K1283" s="300"/>
      <c r="L1283" s="300"/>
    </row>
    <row r="1284" spans="1:12" x14ac:dyDescent="0.3">
      <c r="A1284"/>
      <c r="C1284"/>
      <c r="D1284"/>
      <c r="F1284"/>
      <c r="G1284"/>
      <c r="I1284" s="299"/>
      <c r="K1284" s="300"/>
      <c r="L1284" s="300"/>
    </row>
    <row r="1285" spans="1:12" x14ac:dyDescent="0.3">
      <c r="A1285"/>
      <c r="C1285"/>
      <c r="D1285"/>
      <c r="F1285"/>
      <c r="G1285"/>
      <c r="I1285" s="299"/>
      <c r="K1285" s="300"/>
      <c r="L1285" s="300"/>
    </row>
    <row r="1286" spans="1:12" x14ac:dyDescent="0.3">
      <c r="A1286"/>
      <c r="C1286"/>
      <c r="D1286"/>
      <c r="F1286"/>
      <c r="G1286"/>
      <c r="I1286" s="299"/>
      <c r="K1286" s="300"/>
      <c r="L1286" s="300"/>
    </row>
    <row r="1287" spans="1:12" x14ac:dyDescent="0.3">
      <c r="A1287"/>
      <c r="C1287"/>
      <c r="D1287"/>
      <c r="F1287"/>
      <c r="G1287"/>
      <c r="I1287" s="299"/>
      <c r="K1287" s="300"/>
      <c r="L1287" s="300"/>
    </row>
    <row r="1288" spans="1:12" x14ac:dyDescent="0.3">
      <c r="A1288"/>
      <c r="C1288"/>
      <c r="D1288"/>
      <c r="F1288"/>
      <c r="G1288"/>
      <c r="I1288" s="299"/>
      <c r="K1288" s="300"/>
      <c r="L1288" s="300"/>
    </row>
    <row r="1289" spans="1:12" x14ac:dyDescent="0.3">
      <c r="A1289"/>
      <c r="C1289"/>
      <c r="D1289"/>
      <c r="F1289"/>
      <c r="G1289"/>
      <c r="I1289" s="299"/>
      <c r="K1289" s="300"/>
      <c r="L1289" s="300"/>
    </row>
    <row r="1290" spans="1:12" x14ac:dyDescent="0.3">
      <c r="A1290"/>
      <c r="C1290"/>
      <c r="D1290"/>
      <c r="F1290"/>
      <c r="G1290"/>
      <c r="I1290" s="299"/>
      <c r="K1290" s="300"/>
      <c r="L1290" s="300"/>
    </row>
    <row r="1291" spans="1:12" x14ac:dyDescent="0.3">
      <c r="A1291"/>
      <c r="C1291"/>
      <c r="D1291"/>
      <c r="F1291"/>
      <c r="G1291"/>
      <c r="I1291" s="299"/>
      <c r="K1291" s="300"/>
      <c r="L1291" s="300"/>
    </row>
    <row r="1292" spans="1:12" x14ac:dyDescent="0.3">
      <c r="A1292"/>
      <c r="C1292"/>
      <c r="D1292"/>
      <c r="F1292"/>
      <c r="G1292"/>
      <c r="I1292" s="299"/>
      <c r="K1292" s="300"/>
      <c r="L1292" s="300"/>
    </row>
    <row r="1293" spans="1:12" x14ac:dyDescent="0.3">
      <c r="A1293"/>
      <c r="C1293"/>
      <c r="D1293"/>
      <c r="F1293"/>
      <c r="G1293"/>
      <c r="I1293" s="299"/>
      <c r="K1293" s="300"/>
      <c r="L1293" s="300"/>
    </row>
    <row r="1294" spans="1:12" x14ac:dyDescent="0.3">
      <c r="A1294"/>
      <c r="C1294"/>
      <c r="D1294"/>
      <c r="F1294"/>
      <c r="G1294"/>
      <c r="I1294" s="299"/>
      <c r="K1294" s="300"/>
      <c r="L1294" s="300"/>
    </row>
    <row r="1295" spans="1:12" x14ac:dyDescent="0.3">
      <c r="A1295"/>
      <c r="C1295"/>
      <c r="D1295"/>
      <c r="F1295"/>
      <c r="G1295"/>
      <c r="I1295" s="299"/>
      <c r="K1295" s="300"/>
      <c r="L1295" s="300"/>
    </row>
    <row r="1296" spans="1:12" x14ac:dyDescent="0.3">
      <c r="A1296"/>
      <c r="C1296"/>
      <c r="D1296"/>
      <c r="F1296"/>
      <c r="G1296"/>
      <c r="I1296" s="299"/>
      <c r="K1296" s="300"/>
      <c r="L1296" s="300"/>
    </row>
    <row r="1297" spans="1:12" x14ac:dyDescent="0.3">
      <c r="A1297"/>
      <c r="C1297"/>
      <c r="D1297"/>
      <c r="F1297"/>
      <c r="G1297"/>
      <c r="I1297" s="299"/>
      <c r="K1297" s="300"/>
      <c r="L1297" s="300"/>
    </row>
    <row r="1298" spans="1:12" x14ac:dyDescent="0.3">
      <c r="A1298"/>
      <c r="C1298"/>
      <c r="D1298"/>
      <c r="F1298"/>
      <c r="G1298"/>
      <c r="I1298" s="299"/>
      <c r="K1298" s="300"/>
      <c r="L1298" s="300"/>
    </row>
    <row r="1299" spans="1:12" x14ac:dyDescent="0.3">
      <c r="A1299"/>
      <c r="C1299"/>
      <c r="D1299"/>
      <c r="F1299"/>
      <c r="G1299"/>
      <c r="I1299" s="299"/>
      <c r="K1299" s="300"/>
      <c r="L1299" s="300"/>
    </row>
    <row r="1300" spans="1:12" x14ac:dyDescent="0.3">
      <c r="A1300"/>
      <c r="C1300"/>
      <c r="D1300"/>
      <c r="F1300"/>
      <c r="G1300"/>
      <c r="I1300" s="299"/>
      <c r="K1300" s="300"/>
      <c r="L1300" s="300"/>
    </row>
    <row r="1301" spans="1:12" x14ac:dyDescent="0.3">
      <c r="A1301"/>
      <c r="C1301"/>
      <c r="D1301"/>
      <c r="F1301"/>
      <c r="G1301"/>
      <c r="I1301" s="299"/>
      <c r="K1301" s="300"/>
      <c r="L1301" s="300"/>
    </row>
    <row r="1302" spans="1:12" x14ac:dyDescent="0.3">
      <c r="A1302"/>
      <c r="C1302"/>
      <c r="D1302"/>
      <c r="F1302"/>
      <c r="G1302"/>
      <c r="I1302" s="299"/>
      <c r="K1302" s="300"/>
      <c r="L1302" s="300"/>
    </row>
    <row r="1303" spans="1:12" x14ac:dyDescent="0.3">
      <c r="A1303"/>
      <c r="C1303"/>
      <c r="D1303"/>
      <c r="F1303"/>
      <c r="G1303"/>
      <c r="I1303" s="299"/>
      <c r="K1303" s="300"/>
      <c r="L1303" s="300"/>
    </row>
    <row r="1304" spans="1:12" x14ac:dyDescent="0.3">
      <c r="A1304"/>
      <c r="C1304"/>
      <c r="D1304"/>
      <c r="F1304"/>
      <c r="G1304"/>
      <c r="I1304" s="299"/>
      <c r="K1304" s="300"/>
      <c r="L1304" s="300"/>
    </row>
    <row r="1305" spans="1:12" x14ac:dyDescent="0.3">
      <c r="A1305"/>
      <c r="C1305"/>
      <c r="D1305"/>
      <c r="F1305"/>
      <c r="G1305"/>
      <c r="I1305" s="299"/>
      <c r="K1305" s="300"/>
      <c r="L1305" s="300"/>
    </row>
    <row r="1306" spans="1:12" x14ac:dyDescent="0.3">
      <c r="A1306"/>
      <c r="C1306"/>
      <c r="D1306"/>
      <c r="F1306"/>
      <c r="G1306"/>
      <c r="I1306" s="299"/>
      <c r="K1306" s="300"/>
      <c r="L1306" s="300"/>
    </row>
    <row r="1307" spans="1:12" x14ac:dyDescent="0.3">
      <c r="A1307"/>
      <c r="C1307"/>
      <c r="D1307"/>
      <c r="F1307"/>
      <c r="G1307"/>
      <c r="I1307" s="299"/>
      <c r="K1307" s="300"/>
      <c r="L1307" s="300"/>
    </row>
    <row r="1308" spans="1:12" x14ac:dyDescent="0.3">
      <c r="A1308"/>
      <c r="C1308"/>
      <c r="D1308"/>
      <c r="F1308"/>
      <c r="G1308"/>
      <c r="I1308" s="299"/>
      <c r="K1308" s="300"/>
      <c r="L1308" s="300"/>
    </row>
    <row r="1309" spans="1:12" x14ac:dyDescent="0.3">
      <c r="A1309"/>
      <c r="C1309"/>
      <c r="D1309"/>
      <c r="F1309"/>
      <c r="G1309"/>
      <c r="I1309" s="299"/>
      <c r="K1309" s="300"/>
      <c r="L1309" s="300"/>
    </row>
    <row r="1310" spans="1:12" x14ac:dyDescent="0.3">
      <c r="A1310"/>
      <c r="C1310"/>
      <c r="D1310"/>
      <c r="F1310"/>
      <c r="G1310"/>
      <c r="I1310" s="299"/>
      <c r="K1310" s="300"/>
      <c r="L1310" s="300"/>
    </row>
    <row r="1311" spans="1:12" x14ac:dyDescent="0.3">
      <c r="A1311"/>
      <c r="C1311"/>
      <c r="D1311"/>
      <c r="F1311"/>
      <c r="G1311"/>
      <c r="I1311" s="299"/>
      <c r="K1311" s="300"/>
      <c r="L1311" s="300"/>
    </row>
    <row r="1312" spans="1:12" x14ac:dyDescent="0.3">
      <c r="A1312"/>
      <c r="C1312"/>
      <c r="D1312"/>
      <c r="F1312"/>
      <c r="G1312"/>
      <c r="I1312" s="299"/>
      <c r="K1312" s="300"/>
      <c r="L1312" s="300"/>
    </row>
    <row r="1313" spans="1:12" x14ac:dyDescent="0.3">
      <c r="A1313"/>
      <c r="C1313"/>
      <c r="D1313"/>
      <c r="F1313"/>
      <c r="G1313"/>
      <c r="I1313" s="299"/>
      <c r="K1313" s="300"/>
      <c r="L1313" s="300"/>
    </row>
    <row r="1314" spans="1:12" x14ac:dyDescent="0.3">
      <c r="A1314"/>
      <c r="C1314"/>
      <c r="D1314"/>
      <c r="F1314"/>
      <c r="G1314"/>
      <c r="I1314" s="299"/>
      <c r="K1314" s="300"/>
      <c r="L1314" s="300"/>
    </row>
    <row r="1315" spans="1:12" x14ac:dyDescent="0.3">
      <c r="A1315"/>
      <c r="C1315"/>
      <c r="D1315"/>
      <c r="F1315"/>
      <c r="G1315"/>
      <c r="I1315" s="299"/>
      <c r="K1315" s="300"/>
      <c r="L1315" s="300"/>
    </row>
    <row r="1316" spans="1:12" x14ac:dyDescent="0.3">
      <c r="A1316"/>
      <c r="C1316"/>
      <c r="D1316"/>
      <c r="F1316"/>
      <c r="G1316"/>
      <c r="I1316" s="299"/>
      <c r="K1316" s="300"/>
      <c r="L1316" s="300"/>
    </row>
    <row r="1317" spans="1:12" x14ac:dyDescent="0.3">
      <c r="A1317"/>
      <c r="C1317"/>
      <c r="D1317"/>
      <c r="F1317"/>
      <c r="G1317"/>
      <c r="I1317" s="299"/>
      <c r="K1317" s="300"/>
      <c r="L1317" s="300"/>
    </row>
    <row r="1318" spans="1:12" x14ac:dyDescent="0.3">
      <c r="A1318"/>
      <c r="C1318"/>
      <c r="D1318"/>
      <c r="F1318"/>
      <c r="G1318"/>
      <c r="I1318" s="299"/>
      <c r="K1318" s="300"/>
      <c r="L1318" s="300"/>
    </row>
    <row r="1319" spans="1:12" x14ac:dyDescent="0.3">
      <c r="A1319"/>
      <c r="C1319"/>
      <c r="D1319"/>
      <c r="F1319"/>
      <c r="G1319"/>
      <c r="I1319" s="299"/>
      <c r="K1319" s="300"/>
      <c r="L1319" s="300"/>
    </row>
    <row r="1320" spans="1:12" x14ac:dyDescent="0.3">
      <c r="A1320"/>
      <c r="C1320"/>
      <c r="D1320"/>
      <c r="F1320"/>
      <c r="G1320"/>
      <c r="I1320" s="299"/>
      <c r="K1320" s="300"/>
      <c r="L1320" s="300"/>
    </row>
    <row r="1321" spans="1:12" x14ac:dyDescent="0.3">
      <c r="A1321"/>
      <c r="C1321"/>
      <c r="D1321"/>
      <c r="F1321"/>
      <c r="G1321"/>
      <c r="I1321" s="299"/>
      <c r="K1321" s="300"/>
      <c r="L1321" s="300"/>
    </row>
    <row r="1322" spans="1:12" x14ac:dyDescent="0.3">
      <c r="A1322"/>
      <c r="C1322"/>
      <c r="D1322"/>
      <c r="F1322"/>
      <c r="G1322"/>
      <c r="I1322" s="299"/>
      <c r="K1322" s="300"/>
      <c r="L1322" s="300"/>
    </row>
    <row r="1323" spans="1:12" x14ac:dyDescent="0.3">
      <c r="A1323"/>
      <c r="C1323"/>
      <c r="D1323"/>
      <c r="F1323"/>
      <c r="G1323"/>
      <c r="I1323" s="299"/>
      <c r="K1323" s="300"/>
      <c r="L1323" s="300"/>
    </row>
    <row r="1324" spans="1:12" x14ac:dyDescent="0.3">
      <c r="A1324"/>
      <c r="C1324"/>
      <c r="D1324"/>
      <c r="F1324"/>
      <c r="G1324"/>
      <c r="I1324" s="299"/>
      <c r="K1324" s="300"/>
      <c r="L1324" s="300"/>
    </row>
    <row r="1325" spans="1:12" x14ac:dyDescent="0.3">
      <c r="A1325"/>
      <c r="C1325"/>
      <c r="D1325"/>
      <c r="F1325"/>
      <c r="G1325"/>
      <c r="I1325" s="299"/>
      <c r="K1325" s="300"/>
      <c r="L1325" s="300"/>
    </row>
    <row r="1326" spans="1:12" x14ac:dyDescent="0.3">
      <c r="A1326"/>
      <c r="C1326"/>
      <c r="D1326"/>
      <c r="F1326"/>
      <c r="G1326"/>
      <c r="I1326" s="299"/>
      <c r="K1326" s="300"/>
      <c r="L1326" s="300"/>
    </row>
    <row r="1327" spans="1:12" x14ac:dyDescent="0.3">
      <c r="A1327"/>
      <c r="C1327"/>
      <c r="D1327"/>
      <c r="F1327"/>
      <c r="G1327"/>
      <c r="I1327" s="299"/>
      <c r="K1327" s="300"/>
      <c r="L1327" s="300"/>
    </row>
    <row r="1328" spans="1:12" x14ac:dyDescent="0.3">
      <c r="A1328"/>
      <c r="C1328"/>
      <c r="D1328"/>
      <c r="F1328"/>
      <c r="G1328"/>
      <c r="I1328" s="299"/>
      <c r="K1328" s="300"/>
      <c r="L1328" s="300"/>
    </row>
    <row r="1329" spans="1:12" x14ac:dyDescent="0.3">
      <c r="A1329"/>
      <c r="C1329"/>
      <c r="D1329"/>
      <c r="F1329"/>
      <c r="G1329"/>
      <c r="I1329" s="299"/>
      <c r="K1329" s="300"/>
      <c r="L1329" s="300"/>
    </row>
    <row r="1330" spans="1:12" x14ac:dyDescent="0.3">
      <c r="A1330"/>
      <c r="C1330"/>
      <c r="D1330"/>
      <c r="F1330"/>
      <c r="G1330"/>
      <c r="I1330" s="299"/>
      <c r="K1330" s="300"/>
      <c r="L1330" s="300"/>
    </row>
    <row r="1331" spans="1:12" x14ac:dyDescent="0.3">
      <c r="A1331"/>
      <c r="C1331"/>
      <c r="D1331"/>
      <c r="F1331"/>
      <c r="G1331"/>
      <c r="I1331" s="299"/>
      <c r="K1331" s="300"/>
      <c r="L1331" s="300"/>
    </row>
    <row r="1332" spans="1:12" x14ac:dyDescent="0.3">
      <c r="A1332"/>
      <c r="C1332"/>
      <c r="D1332"/>
      <c r="F1332"/>
      <c r="G1332"/>
      <c r="I1332" s="299"/>
      <c r="K1332" s="300"/>
      <c r="L1332" s="300"/>
    </row>
    <row r="1333" spans="1:12" x14ac:dyDescent="0.3">
      <c r="A1333"/>
      <c r="C1333"/>
      <c r="D1333"/>
      <c r="F1333"/>
      <c r="G1333"/>
      <c r="I1333" s="299"/>
      <c r="K1333" s="300"/>
      <c r="L1333" s="300"/>
    </row>
    <row r="1334" spans="1:12" x14ac:dyDescent="0.3">
      <c r="A1334"/>
      <c r="C1334"/>
      <c r="D1334"/>
      <c r="F1334"/>
      <c r="G1334"/>
      <c r="I1334" s="299"/>
      <c r="K1334" s="300"/>
      <c r="L1334" s="300"/>
    </row>
    <row r="1335" spans="1:12" x14ac:dyDescent="0.3">
      <c r="A1335"/>
      <c r="C1335"/>
      <c r="D1335"/>
      <c r="F1335"/>
      <c r="G1335"/>
      <c r="I1335" s="299"/>
      <c r="K1335" s="300"/>
      <c r="L1335" s="300"/>
    </row>
    <row r="1336" spans="1:12" x14ac:dyDescent="0.3">
      <c r="A1336"/>
      <c r="C1336"/>
      <c r="D1336"/>
      <c r="F1336"/>
      <c r="G1336"/>
      <c r="I1336" s="299"/>
      <c r="K1336" s="300"/>
      <c r="L1336" s="300"/>
    </row>
    <row r="1337" spans="1:12" x14ac:dyDescent="0.3">
      <c r="A1337"/>
      <c r="C1337"/>
      <c r="D1337"/>
      <c r="F1337"/>
      <c r="G1337"/>
      <c r="I1337" s="299"/>
      <c r="K1337" s="300"/>
      <c r="L1337" s="300"/>
    </row>
    <row r="1338" spans="1:12" x14ac:dyDescent="0.3">
      <c r="A1338"/>
      <c r="C1338"/>
      <c r="D1338"/>
      <c r="F1338"/>
      <c r="G1338"/>
      <c r="I1338" s="299"/>
      <c r="K1338" s="300"/>
      <c r="L1338" s="300"/>
    </row>
    <row r="1339" spans="1:12" x14ac:dyDescent="0.3">
      <c r="A1339"/>
      <c r="C1339"/>
      <c r="D1339"/>
      <c r="F1339"/>
      <c r="G1339"/>
      <c r="I1339" s="299"/>
      <c r="K1339" s="300"/>
      <c r="L1339" s="300"/>
    </row>
    <row r="1340" spans="1:12" x14ac:dyDescent="0.3">
      <c r="A1340"/>
      <c r="C1340"/>
      <c r="D1340"/>
      <c r="F1340"/>
      <c r="G1340"/>
      <c r="I1340" s="299"/>
      <c r="K1340" s="300"/>
      <c r="L1340" s="300"/>
    </row>
    <row r="1341" spans="1:12" x14ac:dyDescent="0.3">
      <c r="A1341"/>
      <c r="C1341"/>
      <c r="D1341"/>
      <c r="F1341"/>
      <c r="G1341"/>
      <c r="I1341" s="299"/>
      <c r="K1341" s="300"/>
      <c r="L1341" s="300"/>
    </row>
    <row r="1342" spans="1:12" x14ac:dyDescent="0.3">
      <c r="A1342"/>
      <c r="C1342"/>
      <c r="D1342"/>
      <c r="F1342"/>
      <c r="G1342"/>
      <c r="I1342" s="299"/>
      <c r="K1342" s="300"/>
      <c r="L1342" s="300"/>
    </row>
    <row r="1343" spans="1:12" x14ac:dyDescent="0.3">
      <c r="A1343"/>
      <c r="C1343"/>
      <c r="D1343"/>
      <c r="F1343"/>
      <c r="G1343"/>
      <c r="I1343" s="299"/>
      <c r="K1343" s="300"/>
      <c r="L1343" s="300"/>
    </row>
    <row r="1344" spans="1:12" x14ac:dyDescent="0.3">
      <c r="A1344"/>
      <c r="C1344"/>
      <c r="D1344"/>
      <c r="F1344"/>
      <c r="G1344"/>
      <c r="I1344" s="299"/>
      <c r="K1344" s="300"/>
      <c r="L1344" s="300"/>
    </row>
    <row r="1345" spans="1:12" x14ac:dyDescent="0.3">
      <c r="A1345"/>
      <c r="C1345"/>
      <c r="D1345"/>
      <c r="F1345"/>
      <c r="G1345"/>
      <c r="I1345" s="299"/>
      <c r="K1345" s="300"/>
      <c r="L1345" s="300"/>
    </row>
    <row r="1346" spans="1:12" x14ac:dyDescent="0.3">
      <c r="A1346"/>
      <c r="C1346"/>
      <c r="D1346"/>
      <c r="F1346"/>
      <c r="G1346"/>
      <c r="I1346" s="299"/>
      <c r="K1346" s="300"/>
      <c r="L1346" s="300"/>
    </row>
    <row r="1347" spans="1:12" x14ac:dyDescent="0.3">
      <c r="A1347"/>
      <c r="C1347"/>
      <c r="D1347"/>
      <c r="F1347"/>
      <c r="G1347"/>
      <c r="I1347" s="299"/>
      <c r="K1347" s="300"/>
      <c r="L1347" s="300"/>
    </row>
    <row r="1348" spans="1:12" x14ac:dyDescent="0.3">
      <c r="A1348"/>
      <c r="C1348"/>
      <c r="D1348"/>
      <c r="F1348"/>
      <c r="G1348"/>
      <c r="I1348" s="299"/>
      <c r="K1348" s="300"/>
      <c r="L1348" s="300"/>
    </row>
    <row r="1349" spans="1:12" x14ac:dyDescent="0.3">
      <c r="A1349"/>
      <c r="C1349"/>
      <c r="D1349"/>
      <c r="F1349"/>
      <c r="G1349"/>
      <c r="I1349" s="299"/>
      <c r="K1349" s="300"/>
      <c r="L1349" s="300"/>
    </row>
    <row r="1350" spans="1:12" x14ac:dyDescent="0.3">
      <c r="A1350"/>
      <c r="C1350"/>
      <c r="D1350"/>
      <c r="F1350"/>
      <c r="G1350"/>
      <c r="I1350" s="299"/>
      <c r="K1350" s="300"/>
      <c r="L1350" s="300"/>
    </row>
    <row r="1351" spans="1:12" x14ac:dyDescent="0.3">
      <c r="A1351"/>
      <c r="C1351"/>
      <c r="D1351"/>
      <c r="F1351"/>
      <c r="G1351"/>
      <c r="I1351" s="299"/>
      <c r="K1351" s="300"/>
      <c r="L1351" s="300"/>
    </row>
    <row r="1352" spans="1:12" x14ac:dyDescent="0.3">
      <c r="A1352"/>
      <c r="C1352"/>
      <c r="D1352"/>
      <c r="F1352"/>
      <c r="G1352"/>
      <c r="I1352" s="299"/>
      <c r="K1352" s="300"/>
      <c r="L1352" s="300"/>
    </row>
    <row r="1353" spans="1:12" x14ac:dyDescent="0.3">
      <c r="A1353"/>
      <c r="C1353"/>
      <c r="D1353"/>
      <c r="F1353"/>
      <c r="G1353"/>
      <c r="I1353" s="299"/>
      <c r="K1353" s="300"/>
      <c r="L1353" s="300"/>
    </row>
    <row r="1354" spans="1:12" x14ac:dyDescent="0.3">
      <c r="A1354"/>
      <c r="C1354"/>
      <c r="D1354"/>
      <c r="F1354"/>
      <c r="G1354"/>
      <c r="I1354" s="299"/>
      <c r="K1354" s="300"/>
      <c r="L1354" s="300"/>
    </row>
    <row r="1355" spans="1:12" x14ac:dyDescent="0.3">
      <c r="A1355"/>
      <c r="C1355"/>
      <c r="D1355"/>
      <c r="F1355"/>
      <c r="G1355"/>
      <c r="I1355" s="299"/>
      <c r="K1355" s="300"/>
      <c r="L1355" s="300"/>
    </row>
    <row r="1356" spans="1:12" x14ac:dyDescent="0.3">
      <c r="A1356"/>
      <c r="C1356"/>
      <c r="D1356"/>
      <c r="F1356"/>
      <c r="G1356"/>
      <c r="I1356" s="299"/>
      <c r="K1356" s="300"/>
      <c r="L1356" s="300"/>
    </row>
    <row r="1357" spans="1:12" x14ac:dyDescent="0.3">
      <c r="A1357"/>
      <c r="C1357"/>
      <c r="D1357"/>
      <c r="F1357"/>
      <c r="G1357"/>
      <c r="I1357" s="299"/>
      <c r="K1357" s="300"/>
      <c r="L1357" s="300"/>
    </row>
    <row r="1358" spans="1:12" x14ac:dyDescent="0.3">
      <c r="A1358"/>
      <c r="C1358"/>
      <c r="D1358"/>
      <c r="F1358"/>
      <c r="G1358"/>
      <c r="I1358" s="299"/>
      <c r="K1358" s="300"/>
      <c r="L1358" s="300"/>
    </row>
    <row r="1359" spans="1:12" x14ac:dyDescent="0.3">
      <c r="A1359"/>
      <c r="C1359"/>
      <c r="D1359"/>
      <c r="F1359"/>
      <c r="G1359"/>
      <c r="I1359" s="299"/>
      <c r="K1359" s="300"/>
      <c r="L1359" s="300"/>
    </row>
    <row r="1360" spans="1:12" x14ac:dyDescent="0.3">
      <c r="A1360"/>
      <c r="C1360"/>
      <c r="D1360"/>
      <c r="F1360"/>
      <c r="G1360"/>
      <c r="I1360" s="299"/>
      <c r="K1360" s="300"/>
      <c r="L1360" s="300"/>
    </row>
    <row r="1361" spans="1:12" x14ac:dyDescent="0.3">
      <c r="A1361"/>
      <c r="C1361"/>
      <c r="D1361"/>
      <c r="F1361"/>
      <c r="G1361"/>
      <c r="I1361" s="299"/>
      <c r="K1361" s="300"/>
      <c r="L1361" s="300"/>
    </row>
    <row r="1362" spans="1:12" x14ac:dyDescent="0.3">
      <c r="A1362"/>
      <c r="C1362"/>
      <c r="D1362"/>
      <c r="F1362"/>
      <c r="G1362"/>
      <c r="I1362" s="299"/>
      <c r="K1362" s="300"/>
      <c r="L1362" s="300"/>
    </row>
    <row r="1363" spans="1:12" x14ac:dyDescent="0.3">
      <c r="A1363"/>
      <c r="C1363"/>
      <c r="D1363"/>
      <c r="F1363"/>
      <c r="G1363"/>
      <c r="I1363" s="299"/>
      <c r="K1363" s="300"/>
      <c r="L1363" s="300"/>
    </row>
    <row r="1364" spans="1:12" x14ac:dyDescent="0.3">
      <c r="A1364"/>
      <c r="C1364"/>
      <c r="D1364"/>
      <c r="F1364"/>
      <c r="G1364"/>
      <c r="I1364" s="299"/>
      <c r="K1364" s="300"/>
      <c r="L1364" s="300"/>
    </row>
    <row r="1365" spans="1:12" x14ac:dyDescent="0.3">
      <c r="A1365"/>
      <c r="C1365"/>
      <c r="D1365"/>
      <c r="F1365"/>
      <c r="G1365"/>
      <c r="I1365" s="299"/>
      <c r="K1365" s="300"/>
      <c r="L1365" s="300"/>
    </row>
    <row r="1366" spans="1:12" x14ac:dyDescent="0.3">
      <c r="A1366"/>
      <c r="C1366"/>
      <c r="D1366"/>
      <c r="F1366"/>
      <c r="G1366"/>
      <c r="I1366" s="299"/>
      <c r="K1366" s="300"/>
      <c r="L1366" s="300"/>
    </row>
    <row r="1367" spans="1:12" x14ac:dyDescent="0.3">
      <c r="A1367"/>
      <c r="C1367"/>
      <c r="D1367"/>
      <c r="F1367"/>
      <c r="G1367"/>
      <c r="I1367" s="299"/>
      <c r="K1367" s="300"/>
      <c r="L1367" s="300"/>
    </row>
    <row r="1368" spans="1:12" x14ac:dyDescent="0.3">
      <c r="A1368"/>
      <c r="C1368"/>
      <c r="D1368"/>
      <c r="F1368"/>
      <c r="G1368"/>
      <c r="I1368" s="299"/>
      <c r="K1368" s="300"/>
      <c r="L1368" s="300"/>
    </row>
    <row r="1369" spans="1:12" x14ac:dyDescent="0.3">
      <c r="A1369"/>
      <c r="C1369"/>
      <c r="D1369"/>
      <c r="F1369"/>
      <c r="G1369"/>
      <c r="I1369" s="299"/>
      <c r="K1369" s="300"/>
      <c r="L1369" s="300"/>
    </row>
    <row r="1370" spans="1:12" x14ac:dyDescent="0.3">
      <c r="A1370"/>
      <c r="C1370"/>
      <c r="D1370"/>
      <c r="F1370"/>
      <c r="G1370"/>
      <c r="I1370" s="299"/>
      <c r="K1370" s="300"/>
      <c r="L1370" s="300"/>
    </row>
    <row r="1371" spans="1:12" x14ac:dyDescent="0.3">
      <c r="A1371"/>
      <c r="C1371"/>
      <c r="D1371"/>
      <c r="F1371"/>
      <c r="G1371"/>
      <c r="I1371" s="299"/>
      <c r="K1371" s="300"/>
      <c r="L1371" s="300"/>
    </row>
    <row r="1372" spans="1:12" x14ac:dyDescent="0.3">
      <c r="A1372"/>
      <c r="C1372"/>
      <c r="D1372"/>
      <c r="F1372"/>
      <c r="G1372"/>
      <c r="I1372" s="299"/>
      <c r="K1372" s="300"/>
      <c r="L1372" s="300"/>
    </row>
    <row r="1373" spans="1:12" x14ac:dyDescent="0.3">
      <c r="A1373"/>
      <c r="C1373"/>
      <c r="D1373"/>
      <c r="F1373"/>
      <c r="G1373"/>
      <c r="I1373" s="299"/>
      <c r="K1373" s="300"/>
      <c r="L1373" s="300"/>
    </row>
    <row r="1374" spans="1:12" x14ac:dyDescent="0.3">
      <c r="A1374"/>
      <c r="C1374"/>
      <c r="D1374"/>
      <c r="F1374"/>
      <c r="G1374"/>
      <c r="I1374" s="299"/>
      <c r="K1374" s="300"/>
      <c r="L1374" s="300"/>
    </row>
    <row r="1375" spans="1:12" x14ac:dyDescent="0.3">
      <c r="A1375"/>
      <c r="C1375"/>
      <c r="D1375"/>
      <c r="F1375"/>
      <c r="G1375"/>
      <c r="I1375" s="299"/>
      <c r="K1375" s="300"/>
      <c r="L1375" s="300"/>
    </row>
    <row r="1376" spans="1:12" x14ac:dyDescent="0.3">
      <c r="A1376"/>
      <c r="C1376"/>
      <c r="D1376"/>
      <c r="F1376"/>
      <c r="G1376"/>
      <c r="I1376" s="299"/>
      <c r="K1376" s="300"/>
      <c r="L1376" s="300"/>
    </row>
    <row r="1377" spans="1:12" x14ac:dyDescent="0.3">
      <c r="A1377"/>
      <c r="C1377"/>
      <c r="D1377"/>
      <c r="F1377"/>
      <c r="G1377"/>
      <c r="I1377" s="299"/>
      <c r="K1377" s="300"/>
      <c r="L1377" s="300"/>
    </row>
    <row r="1378" spans="1:12" x14ac:dyDescent="0.3">
      <c r="A1378"/>
      <c r="C1378"/>
      <c r="D1378"/>
      <c r="F1378"/>
      <c r="G1378"/>
      <c r="I1378" s="299"/>
      <c r="K1378" s="300"/>
      <c r="L1378" s="300"/>
    </row>
    <row r="1379" spans="1:12" x14ac:dyDescent="0.3">
      <c r="A1379"/>
      <c r="C1379"/>
      <c r="D1379"/>
      <c r="F1379"/>
      <c r="G1379"/>
      <c r="I1379" s="299"/>
      <c r="K1379" s="300"/>
      <c r="L1379" s="300"/>
    </row>
    <row r="1380" spans="1:12" x14ac:dyDescent="0.3">
      <c r="A1380"/>
      <c r="C1380"/>
      <c r="D1380"/>
      <c r="F1380"/>
      <c r="G1380"/>
      <c r="I1380" s="299"/>
      <c r="K1380" s="300"/>
      <c r="L1380" s="300"/>
    </row>
    <row r="1381" spans="1:12" x14ac:dyDescent="0.3">
      <c r="A1381"/>
      <c r="C1381"/>
      <c r="D1381"/>
      <c r="F1381"/>
      <c r="G1381"/>
      <c r="I1381" s="299"/>
      <c r="K1381" s="300"/>
      <c r="L1381" s="300"/>
    </row>
    <row r="1382" spans="1:12" x14ac:dyDescent="0.3">
      <c r="A1382"/>
      <c r="C1382"/>
      <c r="D1382"/>
      <c r="F1382"/>
      <c r="G1382"/>
      <c r="I1382" s="299"/>
      <c r="K1382" s="300"/>
      <c r="L1382" s="300"/>
    </row>
    <row r="1383" spans="1:12" x14ac:dyDescent="0.3">
      <c r="A1383"/>
      <c r="C1383"/>
      <c r="D1383"/>
      <c r="F1383"/>
      <c r="G1383"/>
      <c r="I1383" s="299"/>
      <c r="K1383" s="300"/>
      <c r="L1383" s="300"/>
    </row>
    <row r="1384" spans="1:12" x14ac:dyDescent="0.3">
      <c r="A1384"/>
      <c r="C1384"/>
      <c r="D1384"/>
      <c r="F1384"/>
      <c r="G1384"/>
      <c r="I1384" s="299"/>
      <c r="K1384" s="300"/>
      <c r="L1384" s="300"/>
    </row>
    <row r="1385" spans="1:12" x14ac:dyDescent="0.3">
      <c r="A1385"/>
      <c r="C1385"/>
      <c r="D1385"/>
      <c r="F1385"/>
      <c r="G1385"/>
      <c r="I1385" s="299"/>
      <c r="K1385" s="300"/>
      <c r="L1385" s="300"/>
    </row>
    <row r="1386" spans="1:12" x14ac:dyDescent="0.3">
      <c r="A1386"/>
      <c r="C1386"/>
      <c r="D1386"/>
      <c r="F1386"/>
      <c r="G1386"/>
      <c r="I1386" s="299"/>
      <c r="K1386" s="300"/>
      <c r="L1386" s="300"/>
    </row>
    <row r="1387" spans="1:12" x14ac:dyDescent="0.3">
      <c r="A1387"/>
      <c r="C1387"/>
      <c r="D1387"/>
      <c r="F1387"/>
      <c r="G1387"/>
      <c r="I1387" s="299"/>
      <c r="K1387" s="300"/>
      <c r="L1387" s="300"/>
    </row>
    <row r="1388" spans="1:12" x14ac:dyDescent="0.3">
      <c r="A1388"/>
      <c r="C1388"/>
      <c r="D1388"/>
      <c r="F1388"/>
      <c r="G1388"/>
      <c r="I1388" s="299"/>
      <c r="K1388" s="300"/>
      <c r="L1388" s="300"/>
    </row>
    <row r="1389" spans="1:12" x14ac:dyDescent="0.3">
      <c r="A1389"/>
      <c r="C1389"/>
      <c r="D1389"/>
      <c r="F1389"/>
      <c r="G1389"/>
      <c r="I1389" s="299"/>
      <c r="K1389" s="300"/>
      <c r="L1389" s="300"/>
    </row>
    <row r="1390" spans="1:12" x14ac:dyDescent="0.3">
      <c r="A1390"/>
      <c r="C1390"/>
      <c r="D1390"/>
      <c r="F1390"/>
      <c r="G1390"/>
      <c r="I1390" s="299"/>
      <c r="K1390" s="300"/>
      <c r="L1390" s="300"/>
    </row>
    <row r="1391" spans="1:12" x14ac:dyDescent="0.3">
      <c r="A1391"/>
      <c r="C1391"/>
      <c r="D1391"/>
      <c r="F1391"/>
      <c r="G1391"/>
      <c r="I1391" s="299"/>
      <c r="K1391" s="300"/>
      <c r="L1391" s="300"/>
    </row>
    <row r="1392" spans="1:12" x14ac:dyDescent="0.3">
      <c r="A1392"/>
      <c r="C1392"/>
      <c r="D1392"/>
      <c r="F1392"/>
      <c r="G1392"/>
      <c r="I1392" s="299"/>
      <c r="K1392" s="300"/>
      <c r="L1392" s="300"/>
    </row>
    <row r="1393" spans="1:12" x14ac:dyDescent="0.3">
      <c r="A1393"/>
      <c r="C1393"/>
      <c r="D1393"/>
      <c r="F1393"/>
      <c r="G1393"/>
      <c r="I1393" s="299"/>
      <c r="K1393" s="300"/>
      <c r="L1393" s="300"/>
    </row>
    <row r="1394" spans="1:12" x14ac:dyDescent="0.3">
      <c r="A1394"/>
      <c r="C1394"/>
      <c r="D1394"/>
      <c r="F1394"/>
      <c r="G1394"/>
      <c r="I1394" s="299"/>
      <c r="K1394" s="300"/>
      <c r="L1394" s="300"/>
    </row>
    <row r="1395" spans="1:12" x14ac:dyDescent="0.3">
      <c r="A1395"/>
      <c r="C1395"/>
      <c r="D1395"/>
      <c r="F1395"/>
      <c r="G1395"/>
      <c r="I1395" s="299"/>
      <c r="K1395" s="300"/>
      <c r="L1395" s="300"/>
    </row>
    <row r="1396" spans="1:12" x14ac:dyDescent="0.3">
      <c r="A1396"/>
      <c r="C1396"/>
      <c r="D1396"/>
      <c r="F1396"/>
      <c r="G1396"/>
      <c r="I1396" s="299"/>
      <c r="K1396" s="300"/>
      <c r="L1396" s="300"/>
    </row>
    <row r="1397" spans="1:12" x14ac:dyDescent="0.3">
      <c r="A1397"/>
      <c r="C1397"/>
      <c r="D1397"/>
      <c r="F1397"/>
      <c r="G1397"/>
      <c r="I1397" s="299"/>
      <c r="K1397" s="300"/>
      <c r="L1397" s="300"/>
    </row>
    <row r="1398" spans="1:12" x14ac:dyDescent="0.3">
      <c r="A1398"/>
      <c r="C1398"/>
      <c r="D1398"/>
      <c r="F1398"/>
      <c r="G1398"/>
      <c r="I1398" s="299"/>
      <c r="K1398" s="300"/>
      <c r="L1398" s="300"/>
    </row>
    <row r="1399" spans="1:12" x14ac:dyDescent="0.3">
      <c r="A1399"/>
      <c r="C1399"/>
      <c r="D1399"/>
      <c r="F1399"/>
      <c r="G1399"/>
      <c r="I1399" s="299"/>
      <c r="K1399" s="300"/>
      <c r="L1399" s="300"/>
    </row>
    <row r="1400" spans="1:12" x14ac:dyDescent="0.3">
      <c r="A1400"/>
      <c r="C1400"/>
      <c r="D1400"/>
      <c r="F1400"/>
      <c r="G1400"/>
      <c r="I1400" s="299"/>
      <c r="K1400" s="300"/>
      <c r="L1400" s="300"/>
    </row>
    <row r="1401" spans="1:12" x14ac:dyDescent="0.3">
      <c r="A1401"/>
      <c r="C1401"/>
      <c r="D1401"/>
      <c r="F1401"/>
      <c r="G1401"/>
      <c r="I1401" s="299"/>
      <c r="K1401" s="300"/>
      <c r="L1401" s="300"/>
    </row>
    <row r="1402" spans="1:12" x14ac:dyDescent="0.3">
      <c r="A1402"/>
      <c r="C1402"/>
      <c r="D1402"/>
      <c r="F1402"/>
      <c r="G1402"/>
      <c r="I1402" s="299"/>
      <c r="K1402" s="300"/>
      <c r="L1402" s="300"/>
    </row>
    <row r="1403" spans="1:12" x14ac:dyDescent="0.3">
      <c r="A1403"/>
      <c r="C1403"/>
      <c r="D1403"/>
      <c r="F1403"/>
      <c r="G1403"/>
      <c r="I1403" s="299"/>
      <c r="K1403" s="300"/>
      <c r="L1403" s="300"/>
    </row>
    <row r="1404" spans="1:12" x14ac:dyDescent="0.3">
      <c r="A1404"/>
      <c r="C1404"/>
      <c r="D1404"/>
      <c r="F1404"/>
      <c r="G1404"/>
      <c r="I1404" s="299"/>
      <c r="K1404" s="300"/>
      <c r="L1404" s="300"/>
    </row>
    <row r="1405" spans="1:12" x14ac:dyDescent="0.3">
      <c r="A1405"/>
      <c r="C1405"/>
      <c r="D1405"/>
      <c r="F1405"/>
      <c r="G1405"/>
      <c r="I1405" s="299"/>
      <c r="K1405" s="300"/>
      <c r="L1405" s="300"/>
    </row>
    <row r="1406" spans="1:12" x14ac:dyDescent="0.3">
      <c r="A1406"/>
      <c r="C1406"/>
      <c r="D1406"/>
      <c r="F1406"/>
      <c r="G1406"/>
      <c r="I1406" s="299"/>
      <c r="K1406" s="300"/>
      <c r="L1406" s="300"/>
    </row>
    <row r="1407" spans="1:12" x14ac:dyDescent="0.3">
      <c r="A1407"/>
      <c r="C1407"/>
      <c r="D1407"/>
      <c r="F1407"/>
      <c r="G1407"/>
      <c r="I1407" s="299"/>
      <c r="K1407" s="300"/>
      <c r="L1407" s="300"/>
    </row>
    <row r="1408" spans="1:12" x14ac:dyDescent="0.3">
      <c r="A1408"/>
      <c r="C1408"/>
      <c r="D1408"/>
      <c r="F1408"/>
      <c r="G1408"/>
      <c r="I1408" s="299"/>
      <c r="K1408" s="300"/>
      <c r="L1408" s="300"/>
    </row>
    <row r="1409" spans="1:12" x14ac:dyDescent="0.3">
      <c r="A1409"/>
      <c r="C1409"/>
      <c r="D1409"/>
      <c r="F1409"/>
      <c r="G1409"/>
      <c r="I1409" s="299"/>
      <c r="K1409" s="300"/>
      <c r="L1409" s="300"/>
    </row>
    <row r="1410" spans="1:12" x14ac:dyDescent="0.3">
      <c r="A1410"/>
      <c r="C1410"/>
      <c r="D1410"/>
      <c r="F1410"/>
      <c r="G1410"/>
      <c r="I1410" s="299"/>
      <c r="K1410" s="300"/>
      <c r="L1410" s="300"/>
    </row>
    <row r="1411" spans="1:12" x14ac:dyDescent="0.3">
      <c r="A1411"/>
      <c r="C1411"/>
      <c r="D1411"/>
      <c r="F1411"/>
      <c r="G1411"/>
      <c r="I1411" s="299"/>
      <c r="K1411" s="300"/>
      <c r="L1411" s="300"/>
    </row>
    <row r="1412" spans="1:12" x14ac:dyDescent="0.3">
      <c r="A1412"/>
      <c r="C1412"/>
      <c r="D1412"/>
      <c r="F1412"/>
      <c r="G1412"/>
      <c r="I1412" s="299"/>
      <c r="K1412" s="300"/>
      <c r="L1412" s="300"/>
    </row>
    <row r="1413" spans="1:12" x14ac:dyDescent="0.3">
      <c r="A1413"/>
      <c r="C1413"/>
      <c r="D1413"/>
      <c r="F1413"/>
      <c r="G1413"/>
      <c r="I1413" s="299"/>
      <c r="K1413" s="300"/>
      <c r="L1413" s="300"/>
    </row>
    <row r="1414" spans="1:12" x14ac:dyDescent="0.3">
      <c r="A1414"/>
      <c r="C1414"/>
      <c r="D1414"/>
      <c r="F1414"/>
      <c r="G1414"/>
      <c r="I1414" s="299"/>
      <c r="K1414" s="300"/>
      <c r="L1414" s="300"/>
    </row>
    <row r="1415" spans="1:12" x14ac:dyDescent="0.3">
      <c r="A1415"/>
      <c r="C1415"/>
      <c r="D1415"/>
      <c r="F1415"/>
      <c r="G1415"/>
      <c r="I1415" s="299"/>
      <c r="K1415" s="300"/>
      <c r="L1415" s="300"/>
    </row>
    <row r="1416" spans="1:12" x14ac:dyDescent="0.3">
      <c r="A1416"/>
      <c r="C1416"/>
      <c r="D1416"/>
      <c r="F1416"/>
      <c r="G1416"/>
      <c r="I1416" s="299"/>
      <c r="K1416" s="300"/>
      <c r="L1416" s="300"/>
    </row>
    <row r="1417" spans="1:12" x14ac:dyDescent="0.3">
      <c r="A1417"/>
      <c r="C1417"/>
      <c r="D1417"/>
      <c r="F1417"/>
      <c r="G1417"/>
      <c r="I1417" s="299"/>
      <c r="K1417" s="300"/>
      <c r="L1417" s="300"/>
    </row>
    <row r="1418" spans="1:12" x14ac:dyDescent="0.3">
      <c r="A1418"/>
      <c r="C1418"/>
      <c r="D1418"/>
      <c r="F1418"/>
      <c r="G1418"/>
      <c r="I1418" s="299"/>
      <c r="K1418" s="300"/>
      <c r="L1418" s="300"/>
    </row>
    <row r="1419" spans="1:12" x14ac:dyDescent="0.3">
      <c r="A1419"/>
      <c r="C1419"/>
      <c r="D1419"/>
      <c r="F1419"/>
      <c r="G1419"/>
      <c r="I1419" s="299"/>
      <c r="K1419" s="300"/>
      <c r="L1419" s="300"/>
    </row>
    <row r="1420" spans="1:12" x14ac:dyDescent="0.3">
      <c r="A1420"/>
      <c r="C1420"/>
      <c r="D1420"/>
      <c r="F1420"/>
      <c r="G1420"/>
      <c r="I1420" s="299"/>
      <c r="K1420" s="300"/>
      <c r="L1420" s="300"/>
    </row>
    <row r="1421" spans="1:12" x14ac:dyDescent="0.3">
      <c r="A1421"/>
      <c r="C1421"/>
      <c r="D1421"/>
      <c r="F1421"/>
      <c r="G1421"/>
      <c r="I1421" s="299"/>
      <c r="K1421" s="300"/>
      <c r="L1421" s="300"/>
    </row>
    <row r="1422" spans="1:12" x14ac:dyDescent="0.3">
      <c r="A1422"/>
      <c r="C1422"/>
      <c r="D1422"/>
      <c r="F1422"/>
      <c r="G1422"/>
      <c r="I1422" s="299"/>
      <c r="K1422" s="300"/>
      <c r="L1422" s="300"/>
    </row>
    <row r="1423" spans="1:12" x14ac:dyDescent="0.3">
      <c r="A1423"/>
      <c r="C1423"/>
      <c r="D1423"/>
      <c r="F1423"/>
      <c r="G1423"/>
      <c r="I1423" s="299"/>
      <c r="K1423" s="300"/>
      <c r="L1423" s="300"/>
    </row>
    <row r="1424" spans="1:12" x14ac:dyDescent="0.3">
      <c r="A1424"/>
      <c r="C1424"/>
      <c r="D1424"/>
      <c r="F1424"/>
      <c r="G1424"/>
      <c r="I1424" s="299"/>
      <c r="K1424" s="300"/>
      <c r="L1424" s="300"/>
    </row>
    <row r="1425" spans="1:12" x14ac:dyDescent="0.3">
      <c r="A1425"/>
      <c r="C1425"/>
      <c r="D1425"/>
      <c r="F1425"/>
      <c r="G1425"/>
      <c r="I1425" s="299"/>
      <c r="K1425" s="300"/>
      <c r="L1425" s="300"/>
    </row>
    <row r="1426" spans="1:12" x14ac:dyDescent="0.3">
      <c r="A1426"/>
      <c r="C1426"/>
      <c r="D1426"/>
      <c r="F1426"/>
      <c r="G1426"/>
      <c r="I1426" s="299"/>
      <c r="K1426" s="300"/>
      <c r="L1426" s="300"/>
    </row>
    <row r="1427" spans="1:12" x14ac:dyDescent="0.3">
      <c r="A1427"/>
      <c r="C1427"/>
      <c r="D1427"/>
      <c r="F1427"/>
      <c r="G1427"/>
      <c r="I1427" s="299"/>
      <c r="K1427" s="300"/>
      <c r="L1427" s="300"/>
    </row>
    <row r="1428" spans="1:12" x14ac:dyDescent="0.3">
      <c r="A1428"/>
      <c r="C1428"/>
      <c r="D1428"/>
      <c r="F1428"/>
      <c r="G1428"/>
      <c r="I1428" s="299"/>
      <c r="K1428" s="300"/>
      <c r="L1428" s="300"/>
    </row>
    <row r="1429" spans="1:12" x14ac:dyDescent="0.3">
      <c r="A1429"/>
      <c r="C1429"/>
      <c r="D1429"/>
      <c r="F1429"/>
      <c r="G1429"/>
      <c r="I1429" s="299"/>
      <c r="K1429" s="300"/>
      <c r="L1429" s="300"/>
    </row>
    <row r="1430" spans="1:12" x14ac:dyDescent="0.3">
      <c r="A1430"/>
      <c r="C1430"/>
      <c r="D1430"/>
      <c r="F1430"/>
      <c r="G1430"/>
      <c r="I1430" s="299"/>
      <c r="K1430" s="300"/>
      <c r="L1430" s="300"/>
    </row>
    <row r="1431" spans="1:12" x14ac:dyDescent="0.3">
      <c r="A1431"/>
      <c r="C1431"/>
      <c r="D1431"/>
      <c r="F1431"/>
      <c r="G1431"/>
      <c r="I1431" s="299"/>
      <c r="K1431" s="300"/>
      <c r="L1431" s="300"/>
    </row>
    <row r="1432" spans="1:12" x14ac:dyDescent="0.3">
      <c r="A1432"/>
      <c r="C1432"/>
      <c r="D1432"/>
      <c r="F1432"/>
      <c r="G1432"/>
      <c r="I1432" s="299"/>
      <c r="K1432" s="300"/>
      <c r="L1432" s="300"/>
    </row>
    <row r="1433" spans="1:12" x14ac:dyDescent="0.3">
      <c r="A1433"/>
      <c r="C1433"/>
      <c r="D1433"/>
      <c r="F1433"/>
      <c r="G1433"/>
      <c r="I1433" s="299"/>
      <c r="K1433" s="300"/>
      <c r="L1433" s="300"/>
    </row>
    <row r="1434" spans="1:12" x14ac:dyDescent="0.3">
      <c r="A1434"/>
      <c r="C1434"/>
      <c r="D1434"/>
      <c r="F1434"/>
      <c r="G1434"/>
      <c r="I1434" s="299"/>
      <c r="K1434" s="300"/>
      <c r="L1434" s="300"/>
    </row>
    <row r="1435" spans="1:12" x14ac:dyDescent="0.3">
      <c r="A1435"/>
      <c r="C1435"/>
      <c r="D1435"/>
      <c r="F1435"/>
      <c r="G1435"/>
      <c r="I1435" s="299"/>
      <c r="K1435" s="300"/>
      <c r="L1435" s="300"/>
    </row>
    <row r="1436" spans="1:12" x14ac:dyDescent="0.3">
      <c r="A1436"/>
      <c r="C1436"/>
      <c r="D1436"/>
      <c r="F1436"/>
      <c r="G1436"/>
      <c r="I1436" s="299"/>
      <c r="K1436" s="300"/>
      <c r="L1436" s="300"/>
    </row>
    <row r="1437" spans="1:12" x14ac:dyDescent="0.3">
      <c r="A1437"/>
      <c r="C1437"/>
      <c r="D1437"/>
      <c r="F1437"/>
      <c r="G1437"/>
      <c r="I1437" s="299"/>
      <c r="K1437" s="300"/>
      <c r="L1437" s="300"/>
    </row>
    <row r="1438" spans="1:12" x14ac:dyDescent="0.3">
      <c r="A1438"/>
      <c r="C1438"/>
      <c r="D1438"/>
      <c r="F1438"/>
      <c r="G1438"/>
      <c r="I1438" s="299"/>
      <c r="K1438" s="300"/>
      <c r="L1438" s="300"/>
    </row>
    <row r="1439" spans="1:12" x14ac:dyDescent="0.3">
      <c r="A1439"/>
      <c r="C1439"/>
      <c r="D1439"/>
      <c r="F1439"/>
      <c r="G1439"/>
      <c r="I1439" s="299"/>
      <c r="K1439" s="300"/>
      <c r="L1439" s="300"/>
    </row>
    <row r="1440" spans="1:12" x14ac:dyDescent="0.3">
      <c r="A1440"/>
      <c r="C1440"/>
      <c r="D1440"/>
      <c r="F1440"/>
      <c r="G1440"/>
      <c r="I1440" s="299"/>
      <c r="K1440" s="300"/>
      <c r="L1440" s="300"/>
    </row>
    <row r="1441" spans="1:12" x14ac:dyDescent="0.3">
      <c r="A1441"/>
      <c r="C1441"/>
      <c r="D1441"/>
      <c r="F1441"/>
      <c r="G1441"/>
      <c r="I1441" s="299"/>
      <c r="K1441" s="300"/>
      <c r="L1441" s="300"/>
    </row>
    <row r="1442" spans="1:12" x14ac:dyDescent="0.3">
      <c r="A1442"/>
      <c r="C1442"/>
      <c r="D1442"/>
      <c r="F1442"/>
      <c r="G1442"/>
      <c r="I1442" s="299"/>
      <c r="K1442" s="300"/>
      <c r="L1442" s="300"/>
    </row>
    <row r="1443" spans="1:12" x14ac:dyDescent="0.3">
      <c r="A1443"/>
      <c r="C1443"/>
      <c r="D1443"/>
      <c r="F1443"/>
      <c r="G1443"/>
      <c r="I1443" s="299"/>
      <c r="K1443" s="300"/>
      <c r="L1443" s="300"/>
    </row>
    <row r="1444" spans="1:12" x14ac:dyDescent="0.3">
      <c r="A1444"/>
      <c r="C1444"/>
      <c r="D1444"/>
      <c r="F1444"/>
      <c r="G1444"/>
      <c r="I1444" s="299"/>
      <c r="K1444" s="300"/>
      <c r="L1444" s="300"/>
    </row>
    <row r="1445" spans="1:12" x14ac:dyDescent="0.3">
      <c r="A1445"/>
      <c r="C1445"/>
      <c r="D1445"/>
      <c r="F1445"/>
      <c r="G1445"/>
      <c r="I1445" s="299"/>
      <c r="K1445" s="300"/>
      <c r="L1445" s="300"/>
    </row>
    <row r="1446" spans="1:12" x14ac:dyDescent="0.3">
      <c r="A1446"/>
      <c r="C1446"/>
      <c r="D1446"/>
      <c r="F1446"/>
      <c r="G1446"/>
      <c r="I1446" s="299"/>
      <c r="K1446" s="300"/>
      <c r="L1446" s="300"/>
    </row>
    <row r="1447" spans="1:12" x14ac:dyDescent="0.3">
      <c r="A1447"/>
      <c r="C1447"/>
      <c r="D1447"/>
      <c r="F1447"/>
      <c r="G1447"/>
      <c r="I1447" s="299"/>
      <c r="K1447" s="300"/>
      <c r="L1447" s="300"/>
    </row>
    <row r="1448" spans="1:12" x14ac:dyDescent="0.3">
      <c r="A1448"/>
      <c r="C1448"/>
      <c r="D1448"/>
      <c r="F1448"/>
      <c r="G1448"/>
      <c r="I1448" s="299"/>
      <c r="K1448" s="300"/>
      <c r="L1448" s="300"/>
    </row>
    <row r="1449" spans="1:12" x14ac:dyDescent="0.3">
      <c r="A1449"/>
      <c r="C1449"/>
      <c r="D1449"/>
      <c r="F1449"/>
      <c r="G1449"/>
      <c r="I1449" s="299"/>
      <c r="K1449" s="300"/>
      <c r="L1449" s="300"/>
    </row>
    <row r="1450" spans="1:12" x14ac:dyDescent="0.3">
      <c r="A1450"/>
      <c r="C1450"/>
      <c r="D1450"/>
      <c r="F1450"/>
      <c r="G1450"/>
      <c r="I1450" s="299"/>
      <c r="K1450" s="300"/>
      <c r="L1450" s="300"/>
    </row>
    <row r="1451" spans="1:12" x14ac:dyDescent="0.3">
      <c r="A1451"/>
      <c r="C1451"/>
      <c r="D1451"/>
      <c r="F1451"/>
      <c r="G1451"/>
      <c r="I1451" s="299"/>
      <c r="K1451" s="300"/>
      <c r="L1451" s="300"/>
    </row>
    <row r="1452" spans="1:12" x14ac:dyDescent="0.3">
      <c r="A1452"/>
      <c r="C1452"/>
      <c r="D1452"/>
      <c r="F1452"/>
      <c r="G1452"/>
      <c r="I1452" s="299"/>
      <c r="K1452" s="300"/>
      <c r="L1452" s="300"/>
    </row>
    <row r="1453" spans="1:12" x14ac:dyDescent="0.3">
      <c r="A1453"/>
      <c r="C1453"/>
      <c r="D1453"/>
      <c r="F1453"/>
      <c r="G1453"/>
      <c r="I1453" s="299"/>
      <c r="K1453" s="300"/>
      <c r="L1453" s="300"/>
    </row>
    <row r="1454" spans="1:12" x14ac:dyDescent="0.3">
      <c r="A1454"/>
      <c r="C1454"/>
      <c r="D1454"/>
      <c r="F1454"/>
      <c r="G1454"/>
      <c r="I1454" s="299"/>
      <c r="K1454" s="300"/>
      <c r="L1454" s="300"/>
    </row>
    <row r="1455" spans="1:12" x14ac:dyDescent="0.3">
      <c r="A1455"/>
      <c r="C1455"/>
      <c r="D1455"/>
      <c r="F1455"/>
      <c r="G1455"/>
      <c r="I1455" s="299"/>
      <c r="K1455" s="300"/>
      <c r="L1455" s="300"/>
    </row>
    <row r="1456" spans="1:12" x14ac:dyDescent="0.3">
      <c r="A1456"/>
      <c r="C1456"/>
      <c r="D1456"/>
      <c r="F1456"/>
      <c r="G1456"/>
      <c r="I1456" s="299"/>
      <c r="K1456" s="300"/>
      <c r="L1456" s="300"/>
    </row>
    <row r="1457" spans="1:12" x14ac:dyDescent="0.3">
      <c r="A1457"/>
      <c r="C1457"/>
      <c r="D1457"/>
      <c r="F1457"/>
      <c r="G1457"/>
      <c r="I1457" s="299"/>
      <c r="K1457" s="300"/>
      <c r="L1457" s="300"/>
    </row>
    <row r="1458" spans="1:12" x14ac:dyDescent="0.3">
      <c r="A1458"/>
      <c r="C1458"/>
      <c r="D1458"/>
      <c r="F1458"/>
      <c r="G1458"/>
      <c r="I1458" s="299"/>
      <c r="K1458" s="300"/>
      <c r="L1458" s="300"/>
    </row>
    <row r="1459" spans="1:12" x14ac:dyDescent="0.3">
      <c r="A1459"/>
      <c r="C1459"/>
      <c r="D1459"/>
      <c r="F1459"/>
      <c r="G1459"/>
      <c r="I1459" s="299"/>
      <c r="K1459" s="300"/>
      <c r="L1459" s="300"/>
    </row>
    <row r="1460" spans="1:12" x14ac:dyDescent="0.3">
      <c r="A1460"/>
      <c r="C1460"/>
      <c r="D1460"/>
      <c r="F1460"/>
      <c r="G1460"/>
      <c r="I1460" s="299"/>
      <c r="K1460" s="300"/>
      <c r="L1460" s="300"/>
    </row>
    <row r="1461" spans="1:12" x14ac:dyDescent="0.3">
      <c r="A1461"/>
      <c r="C1461"/>
      <c r="D1461"/>
      <c r="F1461"/>
      <c r="G1461"/>
      <c r="I1461" s="299"/>
      <c r="K1461" s="300"/>
      <c r="L1461" s="300"/>
    </row>
    <row r="1462" spans="1:12" x14ac:dyDescent="0.3">
      <c r="A1462"/>
      <c r="C1462"/>
      <c r="D1462"/>
      <c r="F1462"/>
      <c r="G1462"/>
      <c r="I1462" s="299"/>
      <c r="K1462" s="300"/>
      <c r="L1462" s="300"/>
    </row>
    <row r="1463" spans="1:12" x14ac:dyDescent="0.3">
      <c r="A1463"/>
      <c r="C1463"/>
      <c r="D1463"/>
      <c r="F1463"/>
      <c r="G1463"/>
      <c r="I1463" s="299"/>
      <c r="K1463" s="300"/>
      <c r="L1463" s="300"/>
    </row>
    <row r="1464" spans="1:12" x14ac:dyDescent="0.3">
      <c r="A1464"/>
      <c r="C1464"/>
      <c r="D1464"/>
      <c r="F1464"/>
      <c r="G1464"/>
      <c r="I1464" s="299"/>
      <c r="K1464" s="300"/>
      <c r="L1464" s="300"/>
    </row>
    <row r="1465" spans="1:12" x14ac:dyDescent="0.3">
      <c r="A1465"/>
      <c r="C1465"/>
      <c r="D1465"/>
      <c r="F1465"/>
      <c r="G1465"/>
      <c r="I1465" s="299"/>
      <c r="K1465" s="300"/>
      <c r="L1465" s="300"/>
    </row>
    <row r="1466" spans="1:12" x14ac:dyDescent="0.3">
      <c r="A1466"/>
      <c r="C1466"/>
      <c r="D1466"/>
      <c r="F1466"/>
      <c r="G1466"/>
      <c r="I1466" s="299"/>
      <c r="K1466" s="300"/>
      <c r="L1466" s="300"/>
    </row>
    <row r="1467" spans="1:12" x14ac:dyDescent="0.3">
      <c r="A1467"/>
      <c r="C1467"/>
      <c r="D1467"/>
      <c r="F1467"/>
      <c r="G1467"/>
      <c r="I1467" s="299"/>
      <c r="K1467" s="300"/>
      <c r="L1467" s="300"/>
    </row>
    <row r="1468" spans="1:12" x14ac:dyDescent="0.3">
      <c r="A1468"/>
      <c r="C1468"/>
      <c r="D1468"/>
      <c r="F1468"/>
      <c r="G1468"/>
      <c r="I1468" s="299"/>
      <c r="K1468" s="300"/>
      <c r="L1468" s="300"/>
    </row>
    <row r="1469" spans="1:12" x14ac:dyDescent="0.3">
      <c r="A1469"/>
      <c r="C1469"/>
      <c r="D1469"/>
      <c r="F1469"/>
      <c r="G1469"/>
      <c r="I1469" s="299"/>
      <c r="K1469" s="300"/>
      <c r="L1469" s="300"/>
    </row>
    <row r="1470" spans="1:12" x14ac:dyDescent="0.3">
      <c r="A1470"/>
      <c r="C1470"/>
      <c r="D1470"/>
      <c r="F1470"/>
      <c r="G1470"/>
      <c r="I1470" s="299"/>
      <c r="K1470" s="300"/>
      <c r="L1470" s="300"/>
    </row>
    <row r="1471" spans="1:12" x14ac:dyDescent="0.3">
      <c r="A1471"/>
      <c r="C1471"/>
      <c r="D1471"/>
      <c r="F1471"/>
      <c r="G1471"/>
      <c r="I1471" s="299"/>
      <c r="K1471" s="300"/>
      <c r="L1471" s="300"/>
    </row>
    <row r="1472" spans="1:12" x14ac:dyDescent="0.3">
      <c r="A1472"/>
      <c r="C1472"/>
      <c r="D1472"/>
      <c r="F1472"/>
      <c r="G1472"/>
      <c r="I1472" s="299"/>
      <c r="K1472" s="300"/>
      <c r="L1472" s="300"/>
    </row>
    <row r="1473" spans="1:12" x14ac:dyDescent="0.3">
      <c r="A1473"/>
      <c r="C1473"/>
      <c r="D1473"/>
      <c r="F1473"/>
      <c r="G1473"/>
      <c r="I1473" s="299"/>
      <c r="K1473" s="300"/>
      <c r="L1473" s="300"/>
    </row>
    <row r="1474" spans="1:12" x14ac:dyDescent="0.3">
      <c r="A1474"/>
      <c r="C1474"/>
      <c r="D1474"/>
      <c r="F1474"/>
      <c r="G1474"/>
      <c r="I1474" s="299"/>
      <c r="K1474" s="300"/>
      <c r="L1474" s="300"/>
    </row>
    <row r="1475" spans="1:12" x14ac:dyDescent="0.3">
      <c r="A1475"/>
      <c r="C1475"/>
      <c r="D1475"/>
      <c r="F1475"/>
      <c r="G1475"/>
      <c r="I1475" s="299"/>
      <c r="K1475" s="300"/>
      <c r="L1475" s="300"/>
    </row>
    <row r="1476" spans="1:12" x14ac:dyDescent="0.3">
      <c r="A1476"/>
      <c r="C1476"/>
      <c r="D1476"/>
      <c r="F1476"/>
      <c r="G1476"/>
      <c r="I1476" s="299"/>
      <c r="K1476" s="300"/>
      <c r="L1476" s="300"/>
    </row>
    <row r="1477" spans="1:12" x14ac:dyDescent="0.3">
      <c r="A1477"/>
      <c r="C1477"/>
      <c r="D1477"/>
      <c r="F1477"/>
      <c r="G1477"/>
      <c r="I1477" s="299"/>
      <c r="K1477" s="300"/>
      <c r="L1477" s="300"/>
    </row>
    <row r="1478" spans="1:12" x14ac:dyDescent="0.3">
      <c r="A1478"/>
      <c r="C1478"/>
      <c r="D1478"/>
      <c r="F1478"/>
      <c r="G1478"/>
      <c r="I1478" s="299"/>
      <c r="K1478" s="300"/>
      <c r="L1478" s="300"/>
    </row>
    <row r="1479" spans="1:12" x14ac:dyDescent="0.3">
      <c r="A1479"/>
      <c r="C1479"/>
      <c r="D1479"/>
      <c r="F1479"/>
      <c r="G1479"/>
      <c r="I1479" s="299"/>
      <c r="K1479" s="300"/>
      <c r="L1479" s="300"/>
    </row>
    <row r="1480" spans="1:12" x14ac:dyDescent="0.3">
      <c r="A1480"/>
      <c r="C1480"/>
      <c r="D1480"/>
      <c r="F1480"/>
      <c r="G1480"/>
      <c r="I1480" s="299"/>
      <c r="K1480" s="300"/>
      <c r="L1480" s="300"/>
    </row>
    <row r="1481" spans="1:12" x14ac:dyDescent="0.3">
      <c r="A1481"/>
      <c r="C1481"/>
      <c r="D1481"/>
      <c r="F1481"/>
      <c r="G1481"/>
      <c r="I1481" s="299"/>
      <c r="K1481" s="300"/>
      <c r="L1481" s="300"/>
    </row>
    <row r="1482" spans="1:12" x14ac:dyDescent="0.3">
      <c r="A1482"/>
      <c r="C1482"/>
      <c r="D1482"/>
      <c r="F1482"/>
      <c r="G1482"/>
      <c r="I1482" s="299"/>
      <c r="K1482" s="300"/>
      <c r="L1482" s="300"/>
    </row>
    <row r="1483" spans="1:12" x14ac:dyDescent="0.3">
      <c r="A1483"/>
      <c r="C1483"/>
      <c r="D1483"/>
      <c r="F1483"/>
      <c r="G1483"/>
      <c r="I1483" s="299"/>
      <c r="K1483" s="300"/>
      <c r="L1483" s="300"/>
    </row>
    <row r="1484" spans="1:12" x14ac:dyDescent="0.3">
      <c r="A1484"/>
      <c r="C1484"/>
      <c r="D1484"/>
      <c r="F1484"/>
      <c r="G1484"/>
      <c r="I1484" s="299"/>
      <c r="K1484" s="300"/>
      <c r="L1484" s="300"/>
    </row>
    <row r="1485" spans="1:12" x14ac:dyDescent="0.3">
      <c r="A1485"/>
      <c r="C1485"/>
      <c r="D1485"/>
      <c r="F1485"/>
      <c r="G1485"/>
      <c r="I1485" s="299"/>
      <c r="K1485" s="300"/>
      <c r="L1485" s="300"/>
    </row>
    <row r="1486" spans="1:12" x14ac:dyDescent="0.3">
      <c r="A1486"/>
      <c r="C1486"/>
      <c r="D1486"/>
      <c r="F1486"/>
      <c r="G1486"/>
      <c r="I1486" s="299"/>
      <c r="K1486" s="300"/>
      <c r="L1486" s="300"/>
    </row>
    <row r="1487" spans="1:12" x14ac:dyDescent="0.3">
      <c r="A1487"/>
      <c r="C1487"/>
      <c r="D1487"/>
      <c r="F1487"/>
      <c r="G1487"/>
      <c r="I1487" s="299"/>
      <c r="K1487" s="300"/>
      <c r="L1487" s="300"/>
    </row>
    <row r="1488" spans="1:12" x14ac:dyDescent="0.3">
      <c r="A1488"/>
      <c r="C1488"/>
      <c r="D1488"/>
      <c r="F1488"/>
      <c r="G1488"/>
      <c r="I1488" s="299"/>
      <c r="K1488" s="300"/>
      <c r="L1488" s="300"/>
    </row>
    <row r="1489" spans="1:12" x14ac:dyDescent="0.3">
      <c r="A1489"/>
      <c r="C1489"/>
      <c r="D1489"/>
      <c r="F1489"/>
      <c r="G1489"/>
      <c r="I1489" s="299"/>
      <c r="K1489" s="300"/>
      <c r="L1489" s="300"/>
    </row>
    <row r="1490" spans="1:12" x14ac:dyDescent="0.3">
      <c r="A1490"/>
      <c r="C1490"/>
      <c r="D1490"/>
      <c r="F1490"/>
      <c r="G1490"/>
      <c r="I1490" s="299"/>
      <c r="K1490" s="300"/>
      <c r="L1490" s="300"/>
    </row>
    <row r="1491" spans="1:12" x14ac:dyDescent="0.3">
      <c r="A1491"/>
      <c r="C1491"/>
      <c r="D1491"/>
      <c r="F1491"/>
      <c r="G1491"/>
      <c r="I1491" s="299"/>
      <c r="K1491" s="300"/>
      <c r="L1491" s="300"/>
    </row>
    <row r="1492" spans="1:12" x14ac:dyDescent="0.3">
      <c r="A1492"/>
      <c r="C1492"/>
      <c r="D1492"/>
      <c r="F1492"/>
      <c r="G1492"/>
      <c r="I1492" s="299"/>
      <c r="K1492" s="300"/>
      <c r="L1492" s="300"/>
    </row>
    <row r="1493" spans="1:12" x14ac:dyDescent="0.3">
      <c r="A1493"/>
      <c r="C1493"/>
      <c r="D1493"/>
      <c r="F1493"/>
      <c r="G1493"/>
      <c r="I1493" s="299"/>
      <c r="K1493" s="300"/>
      <c r="L1493" s="300"/>
    </row>
    <row r="1494" spans="1:12" x14ac:dyDescent="0.3">
      <c r="A1494"/>
      <c r="C1494"/>
      <c r="D1494"/>
      <c r="F1494"/>
      <c r="G1494"/>
      <c r="I1494" s="299"/>
      <c r="K1494" s="300"/>
      <c r="L1494" s="300"/>
    </row>
    <row r="1495" spans="1:12" x14ac:dyDescent="0.3">
      <c r="A1495"/>
      <c r="C1495"/>
      <c r="D1495"/>
      <c r="F1495"/>
      <c r="G1495"/>
      <c r="I1495" s="299"/>
      <c r="K1495" s="300"/>
      <c r="L1495" s="300"/>
    </row>
    <row r="1496" spans="1:12" x14ac:dyDescent="0.3">
      <c r="A1496"/>
      <c r="C1496"/>
      <c r="D1496"/>
      <c r="F1496"/>
      <c r="G1496"/>
      <c r="I1496" s="299"/>
      <c r="K1496" s="300"/>
      <c r="L1496" s="300"/>
    </row>
    <row r="1497" spans="1:12" x14ac:dyDescent="0.3">
      <c r="A1497"/>
      <c r="C1497"/>
      <c r="D1497"/>
      <c r="F1497"/>
      <c r="G1497"/>
      <c r="I1497" s="299"/>
      <c r="K1497" s="300"/>
      <c r="L1497" s="300"/>
    </row>
    <row r="1498" spans="1:12" x14ac:dyDescent="0.3">
      <c r="A1498"/>
      <c r="C1498"/>
      <c r="D1498"/>
      <c r="F1498"/>
      <c r="G1498"/>
      <c r="I1498" s="299"/>
      <c r="K1498" s="300"/>
      <c r="L1498" s="300"/>
    </row>
    <row r="1499" spans="1:12" x14ac:dyDescent="0.3">
      <c r="A1499"/>
      <c r="C1499"/>
      <c r="D1499"/>
      <c r="F1499"/>
      <c r="G1499"/>
      <c r="I1499" s="299"/>
      <c r="K1499" s="300"/>
      <c r="L1499" s="300"/>
    </row>
    <row r="1500" spans="1:12" x14ac:dyDescent="0.3">
      <c r="A1500"/>
      <c r="C1500"/>
      <c r="D1500"/>
      <c r="F1500"/>
      <c r="G1500"/>
      <c r="I1500" s="299"/>
      <c r="K1500" s="300"/>
      <c r="L1500" s="300"/>
    </row>
    <row r="1501" spans="1:12" x14ac:dyDescent="0.3">
      <c r="A1501"/>
      <c r="C1501"/>
      <c r="D1501"/>
      <c r="F1501"/>
      <c r="G1501"/>
      <c r="I1501" s="299"/>
      <c r="K1501" s="300"/>
      <c r="L1501" s="300"/>
    </row>
    <row r="1502" spans="1:12" x14ac:dyDescent="0.3">
      <c r="A1502"/>
      <c r="C1502"/>
      <c r="D1502"/>
      <c r="F1502"/>
      <c r="G1502"/>
      <c r="I1502" s="299"/>
      <c r="K1502" s="300"/>
      <c r="L1502" s="300"/>
    </row>
    <row r="1503" spans="1:12" x14ac:dyDescent="0.3">
      <c r="A1503"/>
      <c r="C1503"/>
      <c r="D1503"/>
      <c r="F1503"/>
      <c r="G1503"/>
      <c r="I1503" s="299"/>
      <c r="K1503" s="300"/>
      <c r="L1503" s="300"/>
    </row>
    <row r="1504" spans="1:12" x14ac:dyDescent="0.3">
      <c r="A1504"/>
      <c r="C1504"/>
      <c r="D1504"/>
      <c r="F1504"/>
      <c r="G1504"/>
      <c r="I1504" s="299"/>
      <c r="K1504" s="300"/>
      <c r="L1504" s="300"/>
    </row>
    <row r="1505" spans="1:12" x14ac:dyDescent="0.3">
      <c r="A1505"/>
      <c r="C1505"/>
      <c r="D1505"/>
      <c r="F1505"/>
      <c r="G1505"/>
      <c r="I1505" s="299"/>
      <c r="K1505" s="300"/>
      <c r="L1505" s="300"/>
    </row>
    <row r="1506" spans="1:12" x14ac:dyDescent="0.3">
      <c r="A1506"/>
      <c r="C1506"/>
      <c r="D1506"/>
      <c r="F1506"/>
      <c r="G1506"/>
      <c r="I1506" s="299"/>
      <c r="K1506" s="300"/>
      <c r="L1506" s="300"/>
    </row>
    <row r="1507" spans="1:12" x14ac:dyDescent="0.3">
      <c r="A1507"/>
      <c r="C1507"/>
      <c r="D1507"/>
      <c r="F1507"/>
      <c r="G1507"/>
      <c r="I1507" s="299"/>
      <c r="K1507" s="300"/>
      <c r="L1507" s="300"/>
    </row>
    <row r="1508" spans="1:12" x14ac:dyDescent="0.3">
      <c r="A1508"/>
      <c r="C1508"/>
      <c r="D1508"/>
      <c r="F1508"/>
      <c r="G1508"/>
      <c r="I1508" s="299"/>
      <c r="K1508" s="300"/>
      <c r="L1508" s="300"/>
    </row>
    <row r="1509" spans="1:12" x14ac:dyDescent="0.3">
      <c r="A1509"/>
      <c r="C1509"/>
      <c r="D1509"/>
      <c r="F1509"/>
      <c r="G1509"/>
      <c r="I1509" s="299"/>
      <c r="K1509" s="300"/>
      <c r="L1509" s="300"/>
    </row>
    <row r="1510" spans="1:12" x14ac:dyDescent="0.3">
      <c r="A1510"/>
      <c r="C1510"/>
      <c r="D1510"/>
      <c r="F1510"/>
      <c r="G1510"/>
      <c r="I1510" s="299"/>
      <c r="K1510" s="300"/>
      <c r="L1510" s="300"/>
    </row>
    <row r="1511" spans="1:12" x14ac:dyDescent="0.3">
      <c r="A1511"/>
      <c r="C1511"/>
      <c r="D1511"/>
      <c r="F1511"/>
      <c r="G1511"/>
      <c r="I1511" s="299"/>
      <c r="K1511" s="300"/>
      <c r="L1511" s="300"/>
    </row>
    <row r="1512" spans="1:12" x14ac:dyDescent="0.3">
      <c r="A1512"/>
      <c r="C1512"/>
      <c r="D1512"/>
      <c r="F1512"/>
      <c r="G1512"/>
      <c r="I1512" s="299"/>
      <c r="K1512" s="300"/>
      <c r="L1512" s="300"/>
    </row>
    <row r="1513" spans="1:12" x14ac:dyDescent="0.3">
      <c r="A1513"/>
      <c r="C1513"/>
      <c r="D1513"/>
      <c r="F1513"/>
      <c r="G1513"/>
      <c r="I1513" s="299"/>
      <c r="K1513" s="300"/>
      <c r="L1513" s="300"/>
    </row>
    <row r="1514" spans="1:12" x14ac:dyDescent="0.3">
      <c r="A1514"/>
      <c r="C1514"/>
      <c r="D1514"/>
      <c r="F1514"/>
      <c r="G1514"/>
      <c r="I1514" s="299"/>
      <c r="K1514" s="300"/>
      <c r="L1514" s="300"/>
    </row>
    <row r="1515" spans="1:12" x14ac:dyDescent="0.3">
      <c r="A1515"/>
      <c r="C1515"/>
      <c r="D1515"/>
      <c r="F1515"/>
      <c r="G1515"/>
      <c r="I1515" s="299"/>
      <c r="K1515" s="300"/>
      <c r="L1515" s="300"/>
    </row>
    <row r="1516" spans="1:12" x14ac:dyDescent="0.3">
      <c r="A1516"/>
      <c r="C1516"/>
      <c r="D1516"/>
      <c r="F1516"/>
      <c r="G1516"/>
      <c r="I1516" s="299"/>
      <c r="K1516" s="300"/>
      <c r="L1516" s="300"/>
    </row>
    <row r="1517" spans="1:12" x14ac:dyDescent="0.3">
      <c r="A1517"/>
      <c r="C1517"/>
      <c r="D1517"/>
      <c r="F1517"/>
      <c r="G1517"/>
      <c r="I1517" s="299"/>
      <c r="K1517" s="300"/>
      <c r="L1517" s="300"/>
    </row>
    <row r="1518" spans="1:12" x14ac:dyDescent="0.3">
      <c r="A1518"/>
      <c r="C1518"/>
      <c r="D1518"/>
      <c r="F1518"/>
      <c r="G1518"/>
      <c r="I1518" s="299"/>
      <c r="K1518" s="300"/>
      <c r="L1518" s="300"/>
    </row>
    <row r="1519" spans="1:12" x14ac:dyDescent="0.3">
      <c r="A1519"/>
      <c r="C1519"/>
      <c r="D1519"/>
      <c r="F1519"/>
      <c r="G1519"/>
      <c r="I1519" s="299"/>
      <c r="K1519" s="300"/>
      <c r="L1519" s="300"/>
    </row>
    <row r="1520" spans="1:12" x14ac:dyDescent="0.3">
      <c r="A1520"/>
      <c r="C1520"/>
      <c r="D1520"/>
      <c r="F1520"/>
      <c r="G1520"/>
      <c r="I1520" s="299"/>
      <c r="K1520" s="300"/>
      <c r="L1520" s="300"/>
    </row>
    <row r="1521" spans="1:12" x14ac:dyDescent="0.3">
      <c r="A1521"/>
      <c r="C1521"/>
      <c r="D1521"/>
      <c r="F1521"/>
      <c r="G1521"/>
      <c r="I1521" s="299"/>
      <c r="K1521" s="300"/>
      <c r="L1521" s="300"/>
    </row>
    <row r="1522" spans="1:12" x14ac:dyDescent="0.3">
      <c r="A1522"/>
      <c r="C1522"/>
      <c r="D1522"/>
      <c r="F1522"/>
      <c r="G1522"/>
      <c r="I1522" s="299"/>
      <c r="K1522" s="300"/>
      <c r="L1522" s="300"/>
    </row>
    <row r="1523" spans="1:12" x14ac:dyDescent="0.3">
      <c r="A1523"/>
      <c r="C1523"/>
      <c r="D1523"/>
      <c r="F1523"/>
      <c r="G1523"/>
      <c r="I1523" s="299"/>
      <c r="K1523" s="300"/>
      <c r="L1523" s="300"/>
    </row>
    <row r="1524" spans="1:12" x14ac:dyDescent="0.3">
      <c r="A1524"/>
      <c r="C1524"/>
      <c r="D1524"/>
      <c r="F1524"/>
      <c r="G1524"/>
      <c r="I1524" s="299"/>
      <c r="K1524" s="300"/>
      <c r="L1524" s="300"/>
    </row>
    <row r="1525" spans="1:12" x14ac:dyDescent="0.3">
      <c r="A1525"/>
      <c r="C1525"/>
      <c r="D1525"/>
      <c r="F1525"/>
      <c r="G1525"/>
      <c r="I1525" s="299"/>
      <c r="K1525" s="300"/>
      <c r="L1525" s="300"/>
    </row>
    <row r="1526" spans="1:12" x14ac:dyDescent="0.3">
      <c r="A1526"/>
      <c r="C1526"/>
      <c r="D1526"/>
      <c r="F1526"/>
      <c r="G1526"/>
      <c r="I1526" s="299"/>
      <c r="K1526" s="300"/>
      <c r="L1526" s="300"/>
    </row>
    <row r="1527" spans="1:12" x14ac:dyDescent="0.3">
      <c r="A1527"/>
      <c r="C1527"/>
      <c r="D1527"/>
      <c r="F1527"/>
      <c r="G1527"/>
      <c r="I1527" s="299"/>
      <c r="K1527" s="300"/>
      <c r="L1527" s="300"/>
    </row>
    <row r="1528" spans="1:12" x14ac:dyDescent="0.3">
      <c r="A1528"/>
      <c r="C1528"/>
      <c r="D1528"/>
      <c r="F1528"/>
      <c r="G1528"/>
      <c r="I1528" s="299"/>
      <c r="K1528" s="300"/>
      <c r="L1528" s="300"/>
    </row>
    <row r="1529" spans="1:12" x14ac:dyDescent="0.3">
      <c r="A1529"/>
      <c r="C1529"/>
      <c r="D1529"/>
      <c r="F1529"/>
      <c r="G1529"/>
      <c r="I1529" s="299"/>
      <c r="K1529" s="300"/>
      <c r="L1529" s="300"/>
    </row>
    <row r="1530" spans="1:12" x14ac:dyDescent="0.3">
      <c r="A1530"/>
      <c r="C1530"/>
      <c r="D1530"/>
      <c r="F1530"/>
      <c r="G1530"/>
      <c r="I1530" s="299"/>
      <c r="K1530" s="300"/>
      <c r="L1530" s="300"/>
    </row>
    <row r="1531" spans="1:12" x14ac:dyDescent="0.3">
      <c r="A1531"/>
      <c r="C1531"/>
      <c r="D1531"/>
      <c r="F1531"/>
      <c r="G1531"/>
      <c r="I1531" s="299"/>
      <c r="K1531" s="300"/>
      <c r="L1531" s="300"/>
    </row>
    <row r="1532" spans="1:12" x14ac:dyDescent="0.3">
      <c r="A1532"/>
      <c r="C1532"/>
      <c r="D1532"/>
      <c r="F1532"/>
      <c r="G1532"/>
      <c r="I1532" s="299"/>
      <c r="K1532" s="300"/>
      <c r="L1532" s="300"/>
    </row>
    <row r="1533" spans="1:12" x14ac:dyDescent="0.3">
      <c r="A1533"/>
      <c r="C1533"/>
      <c r="D1533"/>
      <c r="F1533"/>
      <c r="G1533"/>
      <c r="I1533" s="299"/>
      <c r="K1533" s="300"/>
      <c r="L1533" s="300"/>
    </row>
    <row r="1534" spans="1:12" x14ac:dyDescent="0.3">
      <c r="A1534"/>
      <c r="C1534"/>
      <c r="D1534"/>
      <c r="F1534"/>
      <c r="G1534"/>
      <c r="I1534" s="299"/>
      <c r="K1534" s="300"/>
      <c r="L1534" s="300"/>
    </row>
    <row r="1535" spans="1:12" x14ac:dyDescent="0.3">
      <c r="A1535"/>
      <c r="C1535"/>
      <c r="D1535"/>
      <c r="F1535"/>
      <c r="G1535"/>
      <c r="I1535" s="299"/>
      <c r="K1535" s="300"/>
      <c r="L1535" s="300"/>
    </row>
    <row r="1536" spans="1:12" x14ac:dyDescent="0.3">
      <c r="A1536"/>
      <c r="C1536"/>
      <c r="D1536"/>
      <c r="F1536"/>
      <c r="G1536"/>
      <c r="I1536" s="299"/>
      <c r="K1536" s="300"/>
      <c r="L1536" s="300"/>
    </row>
    <row r="1537" spans="1:12" x14ac:dyDescent="0.3">
      <c r="A1537"/>
      <c r="C1537"/>
      <c r="D1537"/>
      <c r="F1537"/>
      <c r="G1537"/>
      <c r="I1537" s="299"/>
      <c r="K1537" s="300"/>
      <c r="L1537" s="300"/>
    </row>
    <row r="1538" spans="1:12" x14ac:dyDescent="0.3">
      <c r="A1538"/>
      <c r="C1538"/>
      <c r="D1538"/>
      <c r="F1538"/>
      <c r="G1538"/>
      <c r="I1538" s="299"/>
      <c r="K1538" s="300"/>
      <c r="L1538" s="300"/>
    </row>
    <row r="1539" spans="1:12" x14ac:dyDescent="0.3">
      <c r="A1539"/>
      <c r="C1539"/>
      <c r="D1539"/>
      <c r="F1539"/>
      <c r="G1539"/>
      <c r="I1539" s="299"/>
      <c r="K1539" s="300"/>
      <c r="L1539" s="300"/>
    </row>
    <row r="1540" spans="1:12" x14ac:dyDescent="0.3">
      <c r="A1540"/>
      <c r="C1540"/>
      <c r="D1540"/>
      <c r="F1540"/>
      <c r="G1540"/>
      <c r="I1540" s="299"/>
      <c r="K1540" s="300"/>
      <c r="L1540" s="300"/>
    </row>
    <row r="1541" spans="1:12" x14ac:dyDescent="0.3">
      <c r="A1541"/>
      <c r="C1541"/>
      <c r="D1541"/>
      <c r="F1541"/>
      <c r="G1541"/>
      <c r="I1541" s="299"/>
      <c r="K1541" s="300"/>
      <c r="L1541" s="300"/>
    </row>
    <row r="1542" spans="1:12" x14ac:dyDescent="0.3">
      <c r="A1542"/>
      <c r="C1542"/>
      <c r="D1542"/>
      <c r="F1542"/>
      <c r="G1542"/>
      <c r="I1542" s="299"/>
      <c r="K1542" s="300"/>
      <c r="L1542" s="300"/>
    </row>
    <row r="1543" spans="1:12" x14ac:dyDescent="0.3">
      <c r="A1543"/>
      <c r="C1543"/>
      <c r="D1543"/>
      <c r="F1543"/>
      <c r="G1543"/>
      <c r="I1543" s="299"/>
      <c r="K1543" s="300"/>
      <c r="L1543" s="300"/>
    </row>
    <row r="1544" spans="1:12" x14ac:dyDescent="0.3">
      <c r="A1544"/>
      <c r="C1544"/>
      <c r="D1544"/>
      <c r="F1544"/>
      <c r="G1544"/>
      <c r="I1544" s="299"/>
      <c r="K1544" s="300"/>
      <c r="L1544" s="300"/>
    </row>
    <row r="1545" spans="1:12" x14ac:dyDescent="0.3">
      <c r="A1545"/>
      <c r="C1545"/>
      <c r="D1545"/>
      <c r="F1545"/>
      <c r="G1545"/>
      <c r="I1545" s="299"/>
      <c r="K1545" s="300"/>
      <c r="L1545" s="300"/>
    </row>
    <row r="1546" spans="1:12" x14ac:dyDescent="0.3">
      <c r="A1546"/>
      <c r="C1546"/>
      <c r="D1546"/>
      <c r="F1546"/>
      <c r="G1546"/>
      <c r="I1546" s="299"/>
      <c r="K1546" s="300"/>
      <c r="L1546" s="300"/>
    </row>
    <row r="1547" spans="1:12" x14ac:dyDescent="0.3">
      <c r="A1547"/>
      <c r="C1547"/>
      <c r="D1547"/>
      <c r="F1547"/>
      <c r="G1547"/>
      <c r="I1547" s="299"/>
      <c r="K1547" s="300"/>
      <c r="L1547" s="300"/>
    </row>
    <row r="1548" spans="1:12" x14ac:dyDescent="0.3">
      <c r="A1548"/>
      <c r="C1548"/>
      <c r="D1548"/>
      <c r="F1548"/>
      <c r="G1548"/>
      <c r="I1548" s="299"/>
      <c r="K1548" s="300"/>
      <c r="L1548" s="300"/>
    </row>
    <row r="1549" spans="1:12" x14ac:dyDescent="0.3">
      <c r="A1549"/>
      <c r="C1549"/>
      <c r="D1549"/>
      <c r="F1549"/>
      <c r="G1549"/>
      <c r="I1549" s="299"/>
      <c r="K1549" s="300"/>
      <c r="L1549" s="300"/>
    </row>
    <row r="1550" spans="1:12" x14ac:dyDescent="0.3">
      <c r="A1550"/>
      <c r="C1550"/>
      <c r="D1550"/>
      <c r="F1550"/>
      <c r="G1550"/>
      <c r="I1550" s="299"/>
      <c r="K1550" s="300"/>
      <c r="L1550" s="300"/>
    </row>
    <row r="1551" spans="1:12" x14ac:dyDescent="0.3">
      <c r="A1551"/>
      <c r="C1551"/>
      <c r="D1551"/>
      <c r="F1551"/>
      <c r="G1551"/>
      <c r="I1551" s="299"/>
      <c r="K1551" s="300"/>
      <c r="L1551" s="300"/>
    </row>
    <row r="1552" spans="1:12" x14ac:dyDescent="0.3">
      <c r="A1552"/>
      <c r="C1552"/>
      <c r="D1552"/>
      <c r="F1552"/>
      <c r="G1552"/>
      <c r="I1552" s="299"/>
      <c r="K1552" s="300"/>
      <c r="L1552" s="300"/>
    </row>
    <row r="1553" spans="1:12" x14ac:dyDescent="0.3">
      <c r="A1553"/>
      <c r="C1553"/>
      <c r="D1553"/>
      <c r="F1553"/>
      <c r="G1553"/>
      <c r="I1553" s="299"/>
      <c r="K1553" s="300"/>
      <c r="L1553" s="300"/>
    </row>
    <row r="1554" spans="1:12" x14ac:dyDescent="0.3">
      <c r="A1554"/>
      <c r="C1554"/>
      <c r="D1554"/>
      <c r="F1554"/>
      <c r="G1554"/>
      <c r="I1554" s="299"/>
      <c r="K1554" s="300"/>
      <c r="L1554" s="300"/>
    </row>
    <row r="1555" spans="1:12" x14ac:dyDescent="0.3">
      <c r="A1555"/>
      <c r="C1555"/>
      <c r="D1555"/>
      <c r="F1555"/>
      <c r="G1555"/>
      <c r="I1555" s="299"/>
      <c r="K1555" s="300"/>
      <c r="L1555" s="300"/>
    </row>
    <row r="1556" spans="1:12" x14ac:dyDescent="0.3">
      <c r="A1556"/>
      <c r="C1556"/>
      <c r="D1556"/>
      <c r="F1556"/>
      <c r="G1556"/>
      <c r="I1556" s="299"/>
      <c r="K1556" s="300"/>
      <c r="L1556" s="300"/>
    </row>
    <row r="1557" spans="1:12" x14ac:dyDescent="0.3">
      <c r="A1557"/>
      <c r="C1557"/>
      <c r="D1557"/>
      <c r="F1557"/>
      <c r="G1557"/>
      <c r="I1557" s="299"/>
      <c r="K1557" s="300"/>
      <c r="L1557" s="300"/>
    </row>
    <row r="1558" spans="1:12" x14ac:dyDescent="0.3">
      <c r="A1558"/>
      <c r="C1558"/>
      <c r="D1558"/>
      <c r="F1558"/>
      <c r="G1558"/>
      <c r="I1558" s="299"/>
      <c r="K1558" s="300"/>
      <c r="L1558" s="300"/>
    </row>
    <row r="1559" spans="1:12" x14ac:dyDescent="0.3">
      <c r="A1559"/>
      <c r="C1559"/>
      <c r="D1559"/>
      <c r="F1559"/>
      <c r="G1559"/>
      <c r="I1559" s="299"/>
      <c r="K1559" s="300"/>
      <c r="L1559" s="300"/>
    </row>
    <row r="1560" spans="1:12" x14ac:dyDescent="0.3">
      <c r="A1560"/>
      <c r="C1560"/>
      <c r="D1560"/>
      <c r="F1560"/>
      <c r="G1560"/>
      <c r="I1560" s="299"/>
      <c r="K1560" s="300"/>
      <c r="L1560" s="300"/>
    </row>
    <row r="1561" spans="1:12" x14ac:dyDescent="0.3">
      <c r="A1561"/>
      <c r="C1561"/>
      <c r="D1561"/>
      <c r="F1561"/>
      <c r="G1561"/>
      <c r="I1561" s="299"/>
      <c r="K1561" s="300"/>
      <c r="L1561" s="300"/>
    </row>
    <row r="1562" spans="1:12" x14ac:dyDescent="0.3">
      <c r="A1562"/>
      <c r="C1562"/>
      <c r="D1562"/>
      <c r="F1562"/>
      <c r="G1562"/>
      <c r="I1562" s="299"/>
      <c r="K1562" s="300"/>
      <c r="L1562" s="300"/>
    </row>
    <row r="1563" spans="1:12" x14ac:dyDescent="0.3">
      <c r="A1563"/>
      <c r="C1563"/>
      <c r="D1563"/>
      <c r="F1563"/>
      <c r="G1563"/>
      <c r="I1563" s="299"/>
      <c r="K1563" s="300"/>
      <c r="L1563" s="300"/>
    </row>
    <row r="1564" spans="1:12" x14ac:dyDescent="0.3">
      <c r="A1564"/>
      <c r="C1564"/>
      <c r="D1564"/>
      <c r="F1564"/>
      <c r="G1564"/>
      <c r="I1564" s="299"/>
      <c r="K1564" s="300"/>
      <c r="L1564" s="300"/>
    </row>
    <row r="1565" spans="1:12" x14ac:dyDescent="0.3">
      <c r="A1565"/>
      <c r="C1565"/>
      <c r="D1565"/>
      <c r="F1565"/>
      <c r="G1565"/>
      <c r="I1565" s="299"/>
      <c r="K1565" s="300"/>
      <c r="L1565" s="300"/>
    </row>
    <row r="1566" spans="1:12" x14ac:dyDescent="0.3">
      <c r="A1566"/>
      <c r="C1566"/>
      <c r="D1566"/>
      <c r="F1566"/>
      <c r="G1566"/>
      <c r="I1566" s="299"/>
      <c r="K1566" s="300"/>
      <c r="L1566" s="300"/>
    </row>
    <row r="1567" spans="1:12" x14ac:dyDescent="0.3">
      <c r="A1567"/>
      <c r="C1567"/>
      <c r="D1567"/>
      <c r="F1567"/>
      <c r="G1567"/>
      <c r="I1567" s="299"/>
      <c r="K1567" s="300"/>
      <c r="L1567" s="300"/>
    </row>
    <row r="1568" spans="1:12" x14ac:dyDescent="0.3">
      <c r="A1568"/>
      <c r="C1568"/>
      <c r="D1568"/>
      <c r="F1568"/>
      <c r="G1568"/>
      <c r="I1568" s="299"/>
      <c r="K1568" s="300"/>
      <c r="L1568" s="300"/>
    </row>
    <row r="1569" spans="1:12" x14ac:dyDescent="0.3">
      <c r="A1569"/>
      <c r="C1569"/>
      <c r="D1569"/>
      <c r="F1569"/>
      <c r="G1569"/>
      <c r="I1569" s="299"/>
      <c r="K1569" s="300"/>
      <c r="L1569" s="300"/>
    </row>
    <row r="1570" spans="1:12" x14ac:dyDescent="0.3">
      <c r="A1570"/>
      <c r="C1570"/>
      <c r="D1570"/>
      <c r="F1570"/>
      <c r="G1570"/>
      <c r="I1570" s="299"/>
      <c r="K1570" s="300"/>
      <c r="L1570" s="300"/>
    </row>
    <row r="1571" spans="1:12" x14ac:dyDescent="0.3">
      <c r="A1571"/>
      <c r="C1571"/>
      <c r="D1571"/>
      <c r="F1571"/>
      <c r="G1571"/>
      <c r="I1571" s="299"/>
      <c r="K1571" s="300"/>
      <c r="L1571" s="300"/>
    </row>
    <row r="1572" spans="1:12" x14ac:dyDescent="0.3">
      <c r="A1572"/>
      <c r="C1572"/>
      <c r="D1572"/>
      <c r="F1572"/>
      <c r="G1572"/>
      <c r="I1572" s="299"/>
      <c r="K1572" s="300"/>
      <c r="L1572" s="300"/>
    </row>
    <row r="1573" spans="1:12" x14ac:dyDescent="0.3">
      <c r="A1573"/>
      <c r="C1573"/>
      <c r="D1573"/>
      <c r="F1573"/>
      <c r="G1573"/>
      <c r="I1573" s="299"/>
      <c r="K1573" s="300"/>
      <c r="L1573" s="300"/>
    </row>
    <row r="1574" spans="1:12" x14ac:dyDescent="0.3">
      <c r="A1574"/>
      <c r="C1574"/>
      <c r="D1574"/>
      <c r="F1574"/>
      <c r="G1574"/>
      <c r="I1574" s="299"/>
      <c r="K1574" s="300"/>
      <c r="L1574" s="300"/>
    </row>
    <row r="1575" spans="1:12" x14ac:dyDescent="0.3">
      <c r="A1575"/>
      <c r="C1575"/>
      <c r="D1575"/>
      <c r="F1575"/>
      <c r="G1575"/>
      <c r="I1575" s="299"/>
      <c r="K1575" s="300"/>
      <c r="L1575" s="300"/>
    </row>
    <row r="1576" spans="1:12" x14ac:dyDescent="0.3">
      <c r="A1576"/>
      <c r="C1576"/>
      <c r="D1576"/>
      <c r="F1576"/>
      <c r="G1576"/>
      <c r="I1576" s="299"/>
      <c r="K1576" s="300"/>
      <c r="L1576" s="300"/>
    </row>
    <row r="1577" spans="1:12" x14ac:dyDescent="0.3">
      <c r="A1577"/>
      <c r="C1577"/>
      <c r="D1577"/>
      <c r="F1577"/>
      <c r="G1577"/>
      <c r="I1577" s="299"/>
      <c r="K1577" s="300"/>
      <c r="L1577" s="300"/>
    </row>
    <row r="1578" spans="1:12" x14ac:dyDescent="0.3">
      <c r="A1578"/>
      <c r="C1578"/>
      <c r="D1578"/>
      <c r="F1578"/>
      <c r="G1578"/>
      <c r="I1578" s="299"/>
      <c r="K1578" s="300"/>
      <c r="L1578" s="300"/>
    </row>
    <row r="1579" spans="1:12" x14ac:dyDescent="0.3">
      <c r="A1579"/>
      <c r="C1579"/>
      <c r="D1579"/>
      <c r="F1579"/>
      <c r="G1579"/>
      <c r="I1579" s="299"/>
      <c r="K1579" s="300"/>
      <c r="L1579" s="300"/>
    </row>
    <row r="1580" spans="1:12" x14ac:dyDescent="0.3">
      <c r="A1580"/>
      <c r="C1580"/>
      <c r="D1580"/>
      <c r="F1580"/>
      <c r="G1580"/>
      <c r="I1580" s="299"/>
      <c r="K1580" s="300"/>
      <c r="L1580" s="300"/>
    </row>
    <row r="1581" spans="1:12" x14ac:dyDescent="0.3">
      <c r="A1581"/>
      <c r="C1581"/>
      <c r="D1581"/>
      <c r="F1581"/>
      <c r="G1581"/>
      <c r="I1581" s="299"/>
      <c r="K1581" s="300"/>
      <c r="L1581" s="300"/>
    </row>
    <row r="1582" spans="1:12" x14ac:dyDescent="0.3">
      <c r="A1582"/>
      <c r="C1582"/>
      <c r="D1582"/>
      <c r="F1582"/>
      <c r="G1582"/>
      <c r="I1582" s="299"/>
      <c r="K1582" s="300"/>
      <c r="L1582" s="300"/>
    </row>
    <row r="1583" spans="1:12" x14ac:dyDescent="0.3">
      <c r="A1583"/>
      <c r="C1583"/>
      <c r="D1583"/>
      <c r="F1583"/>
      <c r="G1583"/>
      <c r="I1583" s="299"/>
      <c r="K1583" s="300"/>
      <c r="L1583" s="300"/>
    </row>
    <row r="1584" spans="1:12" x14ac:dyDescent="0.3">
      <c r="A1584"/>
      <c r="C1584"/>
      <c r="D1584"/>
      <c r="F1584"/>
      <c r="G1584"/>
      <c r="I1584" s="299"/>
      <c r="K1584" s="300"/>
      <c r="L1584" s="300"/>
    </row>
    <row r="1585" spans="1:12" x14ac:dyDescent="0.3">
      <c r="A1585"/>
      <c r="C1585"/>
      <c r="D1585"/>
      <c r="F1585"/>
      <c r="G1585"/>
      <c r="I1585" s="299"/>
      <c r="K1585" s="300"/>
      <c r="L1585" s="300"/>
    </row>
    <row r="1586" spans="1:12" x14ac:dyDescent="0.3">
      <c r="A1586"/>
      <c r="C1586"/>
      <c r="D1586"/>
      <c r="F1586"/>
      <c r="G1586"/>
      <c r="I1586" s="299"/>
      <c r="K1586" s="300"/>
      <c r="L1586" s="300"/>
    </row>
    <row r="1587" spans="1:12" x14ac:dyDescent="0.3">
      <c r="A1587"/>
      <c r="C1587"/>
      <c r="D1587"/>
      <c r="F1587"/>
      <c r="G1587"/>
      <c r="I1587" s="299"/>
      <c r="K1587" s="300"/>
      <c r="L1587" s="300"/>
    </row>
    <row r="1588" spans="1:12" x14ac:dyDescent="0.3">
      <c r="A1588"/>
      <c r="C1588"/>
      <c r="D1588"/>
      <c r="F1588"/>
      <c r="G1588"/>
      <c r="I1588" s="299"/>
      <c r="K1588" s="300"/>
      <c r="L1588" s="300"/>
    </row>
    <row r="1589" spans="1:12" x14ac:dyDescent="0.3">
      <c r="A1589"/>
      <c r="C1589"/>
      <c r="D1589"/>
      <c r="F1589"/>
      <c r="G1589"/>
      <c r="I1589" s="299"/>
      <c r="K1589" s="300"/>
      <c r="L1589" s="300"/>
    </row>
    <row r="1590" spans="1:12" x14ac:dyDescent="0.3">
      <c r="A1590"/>
      <c r="C1590"/>
      <c r="D1590"/>
      <c r="F1590"/>
      <c r="G1590"/>
      <c r="I1590" s="299"/>
      <c r="K1590" s="300"/>
      <c r="L1590" s="300"/>
    </row>
    <row r="1591" spans="1:12" x14ac:dyDescent="0.3">
      <c r="A1591"/>
      <c r="C1591"/>
      <c r="D1591"/>
      <c r="F1591"/>
      <c r="G1591"/>
      <c r="I1591" s="299"/>
      <c r="K1591" s="300"/>
      <c r="L1591" s="300"/>
    </row>
    <row r="1592" spans="1:12" x14ac:dyDescent="0.3">
      <c r="A1592"/>
      <c r="C1592"/>
      <c r="D1592"/>
      <c r="F1592"/>
      <c r="G1592"/>
      <c r="I1592" s="299"/>
      <c r="K1592" s="300"/>
      <c r="L1592" s="300"/>
    </row>
    <row r="1593" spans="1:12" x14ac:dyDescent="0.3">
      <c r="A1593"/>
      <c r="C1593"/>
      <c r="D1593"/>
      <c r="F1593"/>
      <c r="G1593"/>
      <c r="I1593" s="299"/>
      <c r="K1593" s="300"/>
      <c r="L1593" s="300"/>
    </row>
    <row r="1594" spans="1:12" x14ac:dyDescent="0.3">
      <c r="A1594"/>
      <c r="C1594"/>
      <c r="D1594"/>
      <c r="F1594"/>
      <c r="G1594"/>
      <c r="I1594" s="299"/>
      <c r="K1594" s="300"/>
      <c r="L1594" s="300"/>
    </row>
    <row r="1595" spans="1:12" x14ac:dyDescent="0.3">
      <c r="A1595"/>
      <c r="C1595"/>
      <c r="D1595"/>
      <c r="F1595"/>
      <c r="G1595"/>
      <c r="I1595" s="299"/>
      <c r="K1595" s="300"/>
      <c r="L1595" s="300"/>
    </row>
    <row r="1596" spans="1:12" x14ac:dyDescent="0.3">
      <c r="A1596"/>
      <c r="C1596"/>
      <c r="D1596"/>
      <c r="F1596"/>
      <c r="G1596"/>
      <c r="I1596" s="299"/>
      <c r="K1596" s="300"/>
      <c r="L1596" s="300"/>
    </row>
    <row r="1597" spans="1:12" x14ac:dyDescent="0.3">
      <c r="A1597"/>
      <c r="C1597"/>
      <c r="D1597"/>
      <c r="F1597"/>
      <c r="G1597"/>
      <c r="I1597" s="299"/>
      <c r="K1597" s="300"/>
      <c r="L1597" s="300"/>
    </row>
    <row r="1598" spans="1:12" x14ac:dyDescent="0.3">
      <c r="A1598"/>
      <c r="C1598"/>
      <c r="D1598"/>
      <c r="F1598"/>
      <c r="G1598"/>
      <c r="I1598" s="299"/>
      <c r="K1598" s="300"/>
      <c r="L1598" s="300"/>
    </row>
    <row r="1599" spans="1:12" x14ac:dyDescent="0.3">
      <c r="A1599"/>
      <c r="C1599"/>
      <c r="D1599"/>
      <c r="F1599"/>
      <c r="G1599"/>
      <c r="I1599" s="299"/>
      <c r="K1599" s="300"/>
      <c r="L1599" s="300"/>
    </row>
    <row r="1600" spans="1:12" x14ac:dyDescent="0.3">
      <c r="A1600"/>
      <c r="C1600"/>
      <c r="D1600"/>
      <c r="F1600"/>
      <c r="G1600"/>
      <c r="I1600" s="299"/>
      <c r="K1600" s="300"/>
      <c r="L1600" s="300"/>
    </row>
    <row r="1601" spans="1:12" x14ac:dyDescent="0.3">
      <c r="A1601"/>
      <c r="C1601"/>
      <c r="D1601"/>
      <c r="F1601"/>
      <c r="G1601"/>
      <c r="I1601" s="299"/>
      <c r="K1601" s="300"/>
      <c r="L1601" s="300"/>
    </row>
    <row r="1602" spans="1:12" x14ac:dyDescent="0.3">
      <c r="A1602"/>
      <c r="C1602"/>
      <c r="D1602"/>
      <c r="F1602"/>
      <c r="G1602"/>
      <c r="I1602" s="299"/>
      <c r="K1602" s="300"/>
      <c r="L1602" s="300"/>
    </row>
    <row r="1603" spans="1:12" x14ac:dyDescent="0.3">
      <c r="A1603"/>
      <c r="C1603"/>
      <c r="D1603"/>
      <c r="F1603"/>
      <c r="G1603"/>
      <c r="I1603" s="299"/>
      <c r="K1603" s="300"/>
      <c r="L1603" s="300"/>
    </row>
    <row r="1604" spans="1:12" x14ac:dyDescent="0.3">
      <c r="A1604"/>
      <c r="C1604"/>
      <c r="D1604"/>
      <c r="F1604"/>
      <c r="G1604"/>
      <c r="I1604" s="299"/>
      <c r="K1604" s="300"/>
      <c r="L1604" s="300"/>
    </row>
    <row r="1605" spans="1:12" x14ac:dyDescent="0.3">
      <c r="A1605"/>
      <c r="C1605"/>
      <c r="D1605"/>
      <c r="F1605"/>
      <c r="G1605"/>
      <c r="I1605" s="299"/>
      <c r="K1605" s="300"/>
      <c r="L1605" s="300"/>
    </row>
    <row r="1606" spans="1:12" x14ac:dyDescent="0.3">
      <c r="A1606"/>
      <c r="C1606"/>
      <c r="D1606"/>
      <c r="F1606"/>
      <c r="G1606"/>
      <c r="I1606" s="299"/>
      <c r="K1606" s="300"/>
      <c r="L1606" s="300"/>
    </row>
    <row r="1607" spans="1:12" x14ac:dyDescent="0.3">
      <c r="A1607"/>
      <c r="C1607"/>
      <c r="D1607"/>
      <c r="F1607"/>
      <c r="G1607"/>
      <c r="I1607" s="299"/>
      <c r="K1607" s="300"/>
      <c r="L1607" s="300"/>
    </row>
    <row r="1608" spans="1:12" x14ac:dyDescent="0.3">
      <c r="A1608"/>
      <c r="C1608"/>
      <c r="D1608"/>
      <c r="F1608"/>
      <c r="G1608"/>
      <c r="I1608" s="299"/>
      <c r="K1608" s="300"/>
      <c r="L1608" s="300"/>
    </row>
    <row r="1609" spans="1:12" x14ac:dyDescent="0.3">
      <c r="A1609"/>
      <c r="C1609"/>
      <c r="D1609"/>
      <c r="F1609"/>
      <c r="G1609"/>
      <c r="I1609" s="299"/>
      <c r="K1609" s="300"/>
      <c r="L1609" s="300"/>
    </row>
    <row r="1610" spans="1:12" x14ac:dyDescent="0.3">
      <c r="A1610"/>
      <c r="C1610"/>
      <c r="D1610"/>
      <c r="F1610"/>
      <c r="G1610"/>
      <c r="I1610" s="299"/>
      <c r="K1610" s="300"/>
      <c r="L1610" s="300"/>
    </row>
    <row r="1611" spans="1:12" x14ac:dyDescent="0.3">
      <c r="A1611"/>
      <c r="C1611"/>
      <c r="D1611"/>
      <c r="F1611"/>
      <c r="G1611"/>
      <c r="I1611" s="299"/>
      <c r="K1611" s="300"/>
      <c r="L1611" s="300"/>
    </row>
    <row r="1612" spans="1:12" x14ac:dyDescent="0.3">
      <c r="A1612"/>
      <c r="C1612"/>
      <c r="D1612"/>
      <c r="F1612"/>
      <c r="G1612"/>
      <c r="I1612" s="299"/>
      <c r="K1612" s="300"/>
      <c r="L1612" s="300"/>
    </row>
    <row r="1613" spans="1:12" x14ac:dyDescent="0.3">
      <c r="A1613"/>
      <c r="C1613"/>
      <c r="D1613"/>
      <c r="F1613"/>
      <c r="G1613"/>
      <c r="I1613" s="299"/>
      <c r="K1613" s="300"/>
      <c r="L1613" s="300"/>
    </row>
    <row r="1614" spans="1:12" x14ac:dyDescent="0.3">
      <c r="A1614"/>
      <c r="C1614"/>
      <c r="D1614"/>
      <c r="F1614"/>
      <c r="G1614"/>
      <c r="I1614" s="299"/>
      <c r="K1614" s="300"/>
      <c r="L1614" s="300"/>
    </row>
    <row r="1615" spans="1:12" x14ac:dyDescent="0.3">
      <c r="A1615"/>
      <c r="C1615"/>
      <c r="D1615"/>
      <c r="F1615"/>
      <c r="G1615"/>
      <c r="I1615" s="299"/>
      <c r="K1615" s="300"/>
      <c r="L1615" s="300"/>
    </row>
    <row r="1616" spans="1:12" x14ac:dyDescent="0.3">
      <c r="A1616"/>
      <c r="C1616"/>
      <c r="D1616"/>
      <c r="F1616"/>
      <c r="G1616"/>
      <c r="I1616" s="299"/>
      <c r="K1616" s="300"/>
      <c r="L1616" s="300"/>
    </row>
    <row r="1617" spans="1:12" x14ac:dyDescent="0.3">
      <c r="A1617"/>
      <c r="C1617"/>
      <c r="D1617"/>
      <c r="F1617"/>
      <c r="G1617"/>
      <c r="I1617" s="299"/>
      <c r="K1617" s="300"/>
      <c r="L1617" s="300"/>
    </row>
    <row r="1618" spans="1:12" x14ac:dyDescent="0.3">
      <c r="A1618"/>
      <c r="C1618"/>
      <c r="D1618"/>
      <c r="F1618"/>
      <c r="G1618"/>
      <c r="I1618" s="299"/>
      <c r="K1618" s="300"/>
      <c r="L1618" s="300"/>
    </row>
    <row r="1619" spans="1:12" x14ac:dyDescent="0.3">
      <c r="A1619"/>
      <c r="C1619"/>
      <c r="D1619"/>
      <c r="F1619"/>
      <c r="G1619"/>
      <c r="I1619" s="299"/>
      <c r="K1619" s="300"/>
      <c r="L1619" s="300"/>
    </row>
    <row r="1620" spans="1:12" x14ac:dyDescent="0.3">
      <c r="A1620"/>
      <c r="C1620"/>
      <c r="D1620"/>
      <c r="F1620"/>
      <c r="G1620"/>
      <c r="I1620" s="299"/>
      <c r="K1620" s="300"/>
      <c r="L1620" s="300"/>
    </row>
    <row r="1621" spans="1:12" x14ac:dyDescent="0.3">
      <c r="A1621"/>
      <c r="C1621"/>
      <c r="D1621"/>
      <c r="F1621"/>
      <c r="G1621"/>
      <c r="I1621" s="299"/>
      <c r="K1621" s="300"/>
      <c r="L1621" s="300"/>
    </row>
    <row r="1622" spans="1:12" x14ac:dyDescent="0.3">
      <c r="A1622"/>
      <c r="C1622"/>
      <c r="D1622"/>
      <c r="F1622"/>
      <c r="G1622"/>
      <c r="I1622" s="299"/>
      <c r="K1622" s="300"/>
      <c r="L1622" s="300"/>
    </row>
    <row r="1623" spans="1:12" x14ac:dyDescent="0.3">
      <c r="A1623"/>
      <c r="C1623"/>
      <c r="D1623"/>
      <c r="F1623"/>
      <c r="G1623"/>
      <c r="I1623" s="299"/>
      <c r="K1623" s="300"/>
      <c r="L1623" s="300"/>
    </row>
    <row r="1624" spans="1:12" x14ac:dyDescent="0.3">
      <c r="A1624"/>
      <c r="C1624"/>
      <c r="D1624"/>
      <c r="F1624"/>
      <c r="G1624"/>
      <c r="I1624" s="299"/>
      <c r="K1624" s="300"/>
      <c r="L1624" s="300"/>
    </row>
    <row r="1625" spans="1:12" x14ac:dyDescent="0.3">
      <c r="A1625"/>
      <c r="C1625"/>
      <c r="D1625"/>
      <c r="F1625"/>
      <c r="G1625"/>
      <c r="I1625" s="299"/>
      <c r="K1625" s="300"/>
      <c r="L1625" s="300"/>
    </row>
    <row r="1626" spans="1:12" x14ac:dyDescent="0.3">
      <c r="A1626"/>
      <c r="C1626"/>
      <c r="D1626"/>
      <c r="F1626"/>
      <c r="G1626"/>
      <c r="I1626" s="299"/>
      <c r="K1626" s="300"/>
      <c r="L1626" s="300"/>
    </row>
    <row r="1627" spans="1:12" x14ac:dyDescent="0.3">
      <c r="A1627"/>
      <c r="C1627"/>
      <c r="D1627"/>
      <c r="F1627"/>
      <c r="G1627"/>
      <c r="I1627" s="299"/>
      <c r="K1627" s="300"/>
      <c r="L1627" s="300"/>
    </row>
    <row r="1628" spans="1:12" x14ac:dyDescent="0.3">
      <c r="A1628"/>
      <c r="C1628"/>
      <c r="D1628"/>
      <c r="F1628"/>
      <c r="G1628"/>
      <c r="I1628" s="299"/>
      <c r="K1628" s="300"/>
      <c r="L1628" s="300"/>
    </row>
    <row r="1629" spans="1:12" x14ac:dyDescent="0.3">
      <c r="A1629"/>
      <c r="C1629"/>
      <c r="D1629"/>
      <c r="F1629"/>
      <c r="G1629"/>
      <c r="I1629" s="299"/>
      <c r="K1629" s="300"/>
      <c r="L1629" s="300"/>
    </row>
    <row r="1630" spans="1:12" x14ac:dyDescent="0.3">
      <c r="A1630"/>
      <c r="C1630"/>
      <c r="D1630"/>
      <c r="F1630"/>
      <c r="G1630"/>
      <c r="I1630" s="299"/>
      <c r="K1630" s="300"/>
      <c r="L1630" s="300"/>
    </row>
    <row r="1631" spans="1:12" x14ac:dyDescent="0.3">
      <c r="A1631"/>
      <c r="C1631"/>
      <c r="D1631"/>
      <c r="F1631"/>
      <c r="G1631"/>
      <c r="I1631" s="299"/>
      <c r="K1631" s="300"/>
      <c r="L1631" s="300"/>
    </row>
    <row r="1632" spans="1:12" x14ac:dyDescent="0.3">
      <c r="A1632"/>
      <c r="C1632"/>
      <c r="D1632"/>
      <c r="F1632"/>
      <c r="G1632"/>
      <c r="I1632" s="299"/>
      <c r="K1632" s="300"/>
      <c r="L1632" s="300"/>
    </row>
    <row r="1633" spans="1:12" x14ac:dyDescent="0.3">
      <c r="A1633"/>
      <c r="C1633"/>
      <c r="D1633"/>
      <c r="F1633"/>
      <c r="G1633"/>
      <c r="I1633" s="299"/>
      <c r="K1633" s="300"/>
      <c r="L1633" s="300"/>
    </row>
    <row r="1634" spans="1:12" x14ac:dyDescent="0.3">
      <c r="A1634"/>
      <c r="C1634"/>
      <c r="D1634"/>
      <c r="F1634"/>
      <c r="G1634"/>
      <c r="I1634" s="299"/>
      <c r="K1634" s="300"/>
      <c r="L1634" s="300"/>
    </row>
    <row r="1635" spans="1:12" x14ac:dyDescent="0.3">
      <c r="A1635"/>
      <c r="C1635"/>
      <c r="D1635"/>
      <c r="F1635"/>
      <c r="G1635"/>
      <c r="I1635" s="299"/>
      <c r="K1635" s="300"/>
      <c r="L1635" s="300"/>
    </row>
    <row r="1636" spans="1:12" x14ac:dyDescent="0.3">
      <c r="A1636"/>
      <c r="C1636"/>
      <c r="D1636"/>
      <c r="F1636"/>
      <c r="G1636"/>
      <c r="I1636" s="299"/>
      <c r="K1636" s="300"/>
      <c r="L1636" s="300"/>
    </row>
    <row r="1637" spans="1:12" x14ac:dyDescent="0.3">
      <c r="A1637"/>
      <c r="C1637"/>
      <c r="D1637"/>
      <c r="F1637"/>
      <c r="G1637"/>
      <c r="I1637" s="299"/>
      <c r="K1637" s="300"/>
      <c r="L1637" s="300"/>
    </row>
    <row r="1638" spans="1:12" x14ac:dyDescent="0.3">
      <c r="A1638"/>
      <c r="C1638"/>
      <c r="D1638"/>
      <c r="F1638"/>
      <c r="G1638"/>
      <c r="I1638" s="299"/>
      <c r="K1638" s="300"/>
      <c r="L1638" s="300"/>
    </row>
    <row r="1639" spans="1:12" x14ac:dyDescent="0.3">
      <c r="A1639"/>
      <c r="C1639"/>
      <c r="D1639"/>
      <c r="F1639"/>
      <c r="G1639"/>
      <c r="I1639" s="299"/>
      <c r="K1639" s="300"/>
      <c r="L1639" s="300"/>
    </row>
    <row r="1640" spans="1:12" x14ac:dyDescent="0.3">
      <c r="A1640"/>
      <c r="C1640"/>
      <c r="D1640"/>
      <c r="F1640"/>
      <c r="G1640"/>
      <c r="I1640" s="299"/>
      <c r="K1640" s="300"/>
      <c r="L1640" s="300"/>
    </row>
    <row r="1641" spans="1:12" x14ac:dyDescent="0.3">
      <c r="A1641"/>
      <c r="C1641"/>
      <c r="D1641"/>
      <c r="F1641"/>
      <c r="G1641"/>
      <c r="I1641" s="299"/>
      <c r="K1641" s="300"/>
      <c r="L1641" s="300"/>
    </row>
    <row r="1642" spans="1:12" x14ac:dyDescent="0.3">
      <c r="A1642"/>
      <c r="C1642"/>
      <c r="D1642"/>
      <c r="F1642"/>
      <c r="G1642"/>
      <c r="I1642" s="299"/>
      <c r="K1642" s="300"/>
      <c r="L1642" s="300"/>
    </row>
    <row r="1643" spans="1:12" x14ac:dyDescent="0.3">
      <c r="A1643"/>
      <c r="C1643"/>
      <c r="D1643"/>
      <c r="F1643"/>
      <c r="G1643"/>
      <c r="I1643" s="299"/>
      <c r="K1643" s="300"/>
      <c r="L1643" s="300"/>
    </row>
    <row r="1644" spans="1:12" x14ac:dyDescent="0.3">
      <c r="A1644"/>
      <c r="C1644"/>
      <c r="D1644"/>
      <c r="F1644"/>
      <c r="G1644"/>
      <c r="I1644" s="299"/>
      <c r="K1644" s="300"/>
      <c r="L1644" s="300"/>
    </row>
    <row r="1645" spans="1:12" x14ac:dyDescent="0.3">
      <c r="A1645"/>
      <c r="C1645"/>
      <c r="D1645"/>
      <c r="F1645"/>
      <c r="G1645"/>
      <c r="I1645" s="299"/>
      <c r="K1645" s="300"/>
      <c r="L1645" s="300"/>
    </row>
    <row r="1646" spans="1:12" x14ac:dyDescent="0.3">
      <c r="A1646"/>
      <c r="C1646"/>
      <c r="D1646"/>
      <c r="F1646"/>
      <c r="G1646"/>
      <c r="I1646" s="299"/>
      <c r="K1646" s="300"/>
      <c r="L1646" s="300"/>
    </row>
    <row r="1647" spans="1:12" x14ac:dyDescent="0.3">
      <c r="A1647"/>
      <c r="C1647"/>
      <c r="D1647"/>
      <c r="F1647"/>
      <c r="G1647"/>
      <c r="I1647" s="299"/>
      <c r="K1647" s="300"/>
      <c r="L1647" s="300"/>
    </row>
    <row r="1648" spans="1:12" x14ac:dyDescent="0.3">
      <c r="A1648"/>
      <c r="C1648"/>
      <c r="D1648"/>
      <c r="F1648"/>
      <c r="G1648"/>
      <c r="I1648" s="299"/>
      <c r="K1648" s="300"/>
      <c r="L1648" s="300"/>
    </row>
    <row r="1649" spans="1:12" x14ac:dyDescent="0.3">
      <c r="A1649"/>
      <c r="C1649"/>
      <c r="D1649"/>
      <c r="F1649"/>
      <c r="G1649"/>
      <c r="I1649" s="299"/>
      <c r="K1649" s="300"/>
      <c r="L1649" s="300"/>
    </row>
    <row r="1650" spans="1:12" x14ac:dyDescent="0.3">
      <c r="A1650"/>
      <c r="C1650"/>
      <c r="D1650"/>
      <c r="F1650"/>
      <c r="G1650"/>
      <c r="I1650" s="299"/>
      <c r="K1650" s="300"/>
      <c r="L1650" s="300"/>
    </row>
    <row r="1651" spans="1:12" x14ac:dyDescent="0.3">
      <c r="A1651"/>
      <c r="C1651"/>
      <c r="D1651"/>
      <c r="F1651"/>
      <c r="G1651"/>
      <c r="I1651" s="299"/>
      <c r="K1651" s="300"/>
      <c r="L1651" s="300"/>
    </row>
    <row r="1652" spans="1:12" x14ac:dyDescent="0.3">
      <c r="A1652"/>
      <c r="C1652"/>
      <c r="D1652"/>
      <c r="F1652"/>
      <c r="G1652"/>
      <c r="I1652" s="299"/>
      <c r="K1652" s="300"/>
      <c r="L1652" s="300"/>
    </row>
    <row r="1653" spans="1:12" x14ac:dyDescent="0.3">
      <c r="A1653"/>
      <c r="C1653"/>
      <c r="D1653"/>
      <c r="F1653"/>
      <c r="G1653"/>
      <c r="I1653" s="299"/>
      <c r="K1653" s="300"/>
      <c r="L1653" s="300"/>
    </row>
    <row r="1654" spans="1:12" x14ac:dyDescent="0.3">
      <c r="A1654"/>
      <c r="C1654"/>
      <c r="D1654"/>
      <c r="F1654"/>
      <c r="G1654"/>
      <c r="I1654" s="299"/>
      <c r="K1654" s="300"/>
      <c r="L1654" s="300"/>
    </row>
    <row r="1655" spans="1:12" x14ac:dyDescent="0.3">
      <c r="A1655"/>
      <c r="C1655"/>
      <c r="D1655"/>
      <c r="F1655"/>
      <c r="G1655"/>
      <c r="I1655" s="299"/>
      <c r="K1655" s="300"/>
      <c r="L1655" s="300"/>
    </row>
    <row r="1656" spans="1:12" x14ac:dyDescent="0.3">
      <c r="A1656"/>
      <c r="C1656"/>
      <c r="D1656"/>
      <c r="F1656"/>
      <c r="G1656"/>
      <c r="I1656" s="299"/>
      <c r="K1656" s="300"/>
      <c r="L1656" s="300"/>
    </row>
    <row r="1657" spans="1:12" x14ac:dyDescent="0.3">
      <c r="A1657"/>
      <c r="C1657"/>
      <c r="D1657"/>
      <c r="F1657"/>
      <c r="G1657"/>
      <c r="I1657" s="299"/>
      <c r="K1657" s="300"/>
      <c r="L1657" s="300"/>
    </row>
    <row r="1658" spans="1:12" x14ac:dyDescent="0.3">
      <c r="A1658"/>
      <c r="C1658"/>
      <c r="D1658"/>
      <c r="F1658"/>
      <c r="G1658"/>
      <c r="I1658" s="299"/>
      <c r="K1658" s="300"/>
      <c r="L1658" s="300"/>
    </row>
    <row r="1659" spans="1:12" x14ac:dyDescent="0.3">
      <c r="A1659"/>
      <c r="C1659"/>
      <c r="D1659"/>
      <c r="F1659"/>
      <c r="G1659"/>
      <c r="I1659" s="299"/>
      <c r="K1659" s="300"/>
      <c r="L1659" s="300"/>
    </row>
    <row r="1660" spans="1:12" x14ac:dyDescent="0.3">
      <c r="A1660"/>
      <c r="C1660"/>
      <c r="D1660"/>
      <c r="F1660"/>
      <c r="G1660"/>
      <c r="I1660" s="299"/>
      <c r="K1660" s="300"/>
      <c r="L1660" s="300"/>
    </row>
    <row r="1661" spans="1:12" x14ac:dyDescent="0.3">
      <c r="A1661"/>
      <c r="C1661"/>
      <c r="D1661"/>
      <c r="F1661"/>
      <c r="G1661"/>
      <c r="I1661" s="299"/>
      <c r="K1661" s="300"/>
      <c r="L1661" s="300"/>
    </row>
    <row r="1662" spans="1:12" x14ac:dyDescent="0.3">
      <c r="A1662"/>
      <c r="C1662"/>
      <c r="D1662"/>
      <c r="F1662"/>
      <c r="G1662"/>
      <c r="I1662" s="299"/>
      <c r="K1662" s="300"/>
      <c r="L1662" s="300"/>
    </row>
    <row r="1663" spans="1:12" x14ac:dyDescent="0.3">
      <c r="A1663"/>
      <c r="C1663"/>
      <c r="D1663"/>
      <c r="F1663"/>
      <c r="G1663"/>
      <c r="I1663" s="299"/>
      <c r="K1663" s="300"/>
      <c r="L1663" s="300"/>
    </row>
    <row r="1664" spans="1:12" x14ac:dyDescent="0.3">
      <c r="A1664"/>
      <c r="C1664"/>
      <c r="D1664"/>
      <c r="F1664"/>
      <c r="G1664"/>
      <c r="I1664" s="299"/>
      <c r="K1664" s="300"/>
      <c r="L1664" s="300"/>
    </row>
    <row r="1665" spans="1:12" x14ac:dyDescent="0.3">
      <c r="A1665"/>
      <c r="C1665"/>
      <c r="D1665"/>
      <c r="F1665"/>
      <c r="G1665"/>
      <c r="I1665" s="299"/>
      <c r="K1665" s="300"/>
      <c r="L1665" s="300"/>
    </row>
    <row r="1666" spans="1:12" x14ac:dyDescent="0.3">
      <c r="A1666"/>
      <c r="C1666"/>
      <c r="D1666"/>
      <c r="F1666"/>
      <c r="G1666"/>
      <c r="I1666" s="299"/>
      <c r="K1666" s="300"/>
      <c r="L1666" s="300"/>
    </row>
    <row r="1667" spans="1:12" x14ac:dyDescent="0.3">
      <c r="A1667"/>
      <c r="C1667"/>
      <c r="D1667"/>
      <c r="F1667"/>
      <c r="G1667"/>
      <c r="I1667" s="299"/>
      <c r="K1667" s="300"/>
      <c r="L1667" s="300"/>
    </row>
    <row r="1668" spans="1:12" x14ac:dyDescent="0.3">
      <c r="A1668"/>
      <c r="C1668"/>
      <c r="D1668"/>
      <c r="F1668"/>
      <c r="G1668"/>
      <c r="I1668" s="299"/>
      <c r="K1668" s="300"/>
      <c r="L1668" s="300"/>
    </row>
    <row r="1669" spans="1:12" x14ac:dyDescent="0.3">
      <c r="A1669"/>
      <c r="C1669"/>
      <c r="D1669"/>
      <c r="F1669"/>
      <c r="G1669"/>
      <c r="I1669" s="299"/>
      <c r="K1669" s="300"/>
      <c r="L1669" s="300"/>
    </row>
    <row r="1670" spans="1:12" x14ac:dyDescent="0.3">
      <c r="A1670"/>
      <c r="C1670"/>
      <c r="D1670"/>
      <c r="F1670"/>
      <c r="G1670"/>
      <c r="I1670" s="299"/>
      <c r="K1670" s="300"/>
      <c r="L1670" s="300"/>
    </row>
    <row r="1671" spans="1:12" x14ac:dyDescent="0.3">
      <c r="A1671"/>
      <c r="C1671"/>
      <c r="D1671"/>
      <c r="F1671"/>
      <c r="G1671"/>
      <c r="I1671" s="299"/>
      <c r="K1671" s="300"/>
      <c r="L1671" s="300"/>
    </row>
    <row r="1672" spans="1:12" x14ac:dyDescent="0.3">
      <c r="A1672"/>
      <c r="C1672"/>
      <c r="D1672"/>
      <c r="F1672"/>
      <c r="G1672"/>
      <c r="I1672" s="299"/>
      <c r="K1672" s="300"/>
      <c r="L1672" s="300"/>
    </row>
    <row r="1673" spans="1:12" x14ac:dyDescent="0.3">
      <c r="A1673"/>
      <c r="C1673"/>
      <c r="D1673"/>
      <c r="F1673"/>
      <c r="G1673"/>
      <c r="I1673" s="299"/>
      <c r="K1673" s="300"/>
      <c r="L1673" s="300"/>
    </row>
    <row r="1674" spans="1:12" x14ac:dyDescent="0.3">
      <c r="A1674"/>
      <c r="C1674"/>
      <c r="D1674"/>
      <c r="F1674"/>
      <c r="G1674"/>
      <c r="I1674" s="299"/>
      <c r="K1674" s="300"/>
      <c r="L1674" s="300"/>
    </row>
    <row r="1675" spans="1:12" x14ac:dyDescent="0.3">
      <c r="A1675"/>
      <c r="C1675"/>
      <c r="D1675"/>
      <c r="F1675"/>
      <c r="G1675"/>
      <c r="I1675" s="299"/>
      <c r="K1675" s="300"/>
      <c r="L1675" s="300"/>
    </row>
    <row r="1676" spans="1:12" x14ac:dyDescent="0.3">
      <c r="A1676"/>
      <c r="C1676"/>
      <c r="D1676"/>
      <c r="F1676"/>
      <c r="G1676"/>
      <c r="I1676" s="299"/>
      <c r="K1676" s="300"/>
      <c r="L1676" s="300"/>
    </row>
    <row r="1677" spans="1:12" x14ac:dyDescent="0.3">
      <c r="A1677"/>
      <c r="C1677"/>
      <c r="D1677"/>
      <c r="F1677"/>
      <c r="G1677"/>
      <c r="I1677" s="299"/>
      <c r="K1677" s="300"/>
      <c r="L1677" s="300"/>
    </row>
    <row r="1678" spans="1:12" x14ac:dyDescent="0.3">
      <c r="A1678"/>
      <c r="C1678"/>
      <c r="D1678"/>
      <c r="F1678"/>
      <c r="G1678"/>
      <c r="I1678" s="299"/>
      <c r="K1678" s="300"/>
      <c r="L1678" s="300"/>
    </row>
    <row r="1679" spans="1:12" x14ac:dyDescent="0.3">
      <c r="A1679"/>
      <c r="C1679"/>
      <c r="D1679"/>
      <c r="F1679"/>
      <c r="G1679"/>
      <c r="I1679" s="299"/>
      <c r="K1679" s="300"/>
      <c r="L1679" s="300"/>
    </row>
    <row r="1680" spans="1:12" x14ac:dyDescent="0.3">
      <c r="A1680"/>
      <c r="C1680"/>
      <c r="D1680"/>
      <c r="F1680"/>
      <c r="G1680"/>
      <c r="I1680" s="299"/>
      <c r="K1680" s="300"/>
      <c r="L1680" s="300"/>
    </row>
    <row r="1681" spans="1:12" x14ac:dyDescent="0.3">
      <c r="A1681"/>
      <c r="C1681"/>
      <c r="D1681"/>
      <c r="F1681"/>
      <c r="G1681"/>
      <c r="I1681" s="299"/>
      <c r="K1681" s="300"/>
      <c r="L1681" s="300"/>
    </row>
    <row r="1682" spans="1:12" x14ac:dyDescent="0.3">
      <c r="A1682"/>
      <c r="C1682"/>
      <c r="D1682"/>
      <c r="F1682"/>
      <c r="G1682"/>
      <c r="I1682" s="299"/>
      <c r="K1682" s="300"/>
      <c r="L1682" s="300"/>
    </row>
    <row r="1683" spans="1:12" x14ac:dyDescent="0.3">
      <c r="A1683"/>
      <c r="C1683"/>
      <c r="D1683"/>
      <c r="F1683"/>
      <c r="G1683"/>
      <c r="I1683" s="299"/>
      <c r="K1683" s="300"/>
      <c r="L1683" s="300"/>
    </row>
    <row r="1684" spans="1:12" x14ac:dyDescent="0.3">
      <c r="A1684"/>
      <c r="C1684"/>
      <c r="D1684"/>
      <c r="F1684"/>
      <c r="G1684"/>
      <c r="I1684" s="299"/>
      <c r="K1684" s="300"/>
      <c r="L1684" s="300"/>
    </row>
    <row r="1685" spans="1:12" x14ac:dyDescent="0.3">
      <c r="A1685"/>
      <c r="C1685"/>
      <c r="D1685"/>
      <c r="F1685"/>
      <c r="G1685"/>
      <c r="I1685" s="299"/>
      <c r="K1685" s="300"/>
      <c r="L1685" s="300"/>
    </row>
    <row r="1686" spans="1:12" x14ac:dyDescent="0.3">
      <c r="A1686"/>
      <c r="C1686"/>
      <c r="D1686"/>
      <c r="F1686"/>
      <c r="G1686"/>
      <c r="I1686" s="299"/>
      <c r="K1686" s="300"/>
      <c r="L1686" s="300"/>
    </row>
    <row r="1687" spans="1:12" x14ac:dyDescent="0.3">
      <c r="A1687"/>
      <c r="C1687"/>
      <c r="D1687"/>
      <c r="F1687"/>
      <c r="G1687"/>
      <c r="I1687" s="299"/>
      <c r="K1687" s="300"/>
      <c r="L1687" s="300"/>
    </row>
    <row r="1688" spans="1:12" x14ac:dyDescent="0.3">
      <c r="A1688"/>
      <c r="C1688"/>
      <c r="D1688"/>
      <c r="F1688"/>
      <c r="G1688"/>
      <c r="I1688" s="299"/>
      <c r="K1688" s="300"/>
      <c r="L1688" s="300"/>
    </row>
    <row r="1689" spans="1:12" x14ac:dyDescent="0.3">
      <c r="A1689"/>
      <c r="C1689"/>
      <c r="D1689"/>
      <c r="F1689"/>
      <c r="G1689"/>
      <c r="I1689" s="299"/>
      <c r="K1689" s="300"/>
      <c r="L1689" s="300"/>
    </row>
    <row r="1690" spans="1:12" x14ac:dyDescent="0.3">
      <c r="A1690"/>
      <c r="C1690"/>
      <c r="D1690"/>
      <c r="F1690"/>
      <c r="G1690"/>
      <c r="I1690" s="299"/>
      <c r="K1690" s="300"/>
      <c r="L1690" s="300"/>
    </row>
    <row r="1691" spans="1:12" x14ac:dyDescent="0.3">
      <c r="A1691"/>
      <c r="C1691"/>
      <c r="D1691"/>
      <c r="F1691"/>
      <c r="G1691"/>
      <c r="I1691" s="299"/>
      <c r="K1691" s="300"/>
      <c r="L1691" s="300"/>
    </row>
    <row r="1692" spans="1:12" x14ac:dyDescent="0.3">
      <c r="A1692"/>
      <c r="C1692"/>
      <c r="D1692"/>
      <c r="F1692"/>
      <c r="G1692"/>
      <c r="I1692" s="299"/>
      <c r="K1692" s="300"/>
      <c r="L1692" s="300"/>
    </row>
    <row r="1693" spans="1:12" x14ac:dyDescent="0.3">
      <c r="A1693"/>
      <c r="C1693"/>
      <c r="D1693"/>
      <c r="F1693"/>
      <c r="G1693"/>
      <c r="I1693" s="299"/>
      <c r="K1693" s="300"/>
      <c r="L1693" s="300"/>
    </row>
    <row r="1694" spans="1:12" x14ac:dyDescent="0.3">
      <c r="A1694"/>
      <c r="C1694"/>
      <c r="D1694"/>
      <c r="F1694"/>
      <c r="G1694"/>
      <c r="I1694" s="299"/>
      <c r="K1694" s="300"/>
      <c r="L1694" s="300"/>
    </row>
    <row r="1695" spans="1:12" x14ac:dyDescent="0.3">
      <c r="A1695"/>
      <c r="C1695"/>
      <c r="D1695"/>
      <c r="F1695"/>
      <c r="G1695"/>
      <c r="I1695" s="299"/>
      <c r="K1695" s="300"/>
      <c r="L1695" s="300"/>
    </row>
    <row r="1696" spans="1:12" x14ac:dyDescent="0.3">
      <c r="A1696"/>
      <c r="C1696"/>
      <c r="D1696"/>
      <c r="F1696"/>
      <c r="G1696"/>
      <c r="I1696" s="299"/>
      <c r="K1696" s="300"/>
      <c r="L1696" s="300"/>
    </row>
    <row r="1697" spans="1:12" x14ac:dyDescent="0.3">
      <c r="A1697"/>
      <c r="C1697"/>
      <c r="D1697"/>
      <c r="F1697"/>
      <c r="G1697"/>
      <c r="I1697" s="299"/>
      <c r="K1697" s="300"/>
      <c r="L1697" s="300"/>
    </row>
    <row r="1698" spans="1:12" x14ac:dyDescent="0.3">
      <c r="A1698"/>
      <c r="C1698"/>
      <c r="D1698"/>
      <c r="F1698"/>
      <c r="G1698"/>
      <c r="I1698" s="299"/>
      <c r="K1698" s="300"/>
      <c r="L1698" s="300"/>
    </row>
    <row r="1699" spans="1:12" x14ac:dyDescent="0.3">
      <c r="A1699"/>
      <c r="C1699"/>
      <c r="D1699"/>
      <c r="F1699"/>
      <c r="G1699"/>
      <c r="I1699" s="299"/>
      <c r="K1699" s="300"/>
      <c r="L1699" s="300"/>
    </row>
    <row r="1700" spans="1:12" x14ac:dyDescent="0.3">
      <c r="A1700"/>
      <c r="C1700"/>
      <c r="D1700"/>
      <c r="F1700"/>
      <c r="G1700"/>
      <c r="I1700" s="299"/>
      <c r="K1700" s="300"/>
      <c r="L1700" s="300"/>
    </row>
    <row r="1701" spans="1:12" x14ac:dyDescent="0.3">
      <c r="A1701"/>
      <c r="C1701"/>
      <c r="D1701"/>
      <c r="F1701"/>
      <c r="G1701"/>
      <c r="I1701" s="299"/>
      <c r="K1701" s="300"/>
      <c r="L1701" s="300"/>
    </row>
    <row r="1702" spans="1:12" x14ac:dyDescent="0.3">
      <c r="A1702"/>
      <c r="C1702"/>
      <c r="D1702"/>
      <c r="F1702"/>
      <c r="G1702"/>
      <c r="I1702" s="299"/>
      <c r="K1702" s="300"/>
      <c r="L1702" s="300"/>
    </row>
    <row r="1703" spans="1:12" x14ac:dyDescent="0.3">
      <c r="A1703"/>
      <c r="C1703"/>
      <c r="D1703"/>
      <c r="F1703"/>
      <c r="G1703"/>
      <c r="I1703" s="299"/>
      <c r="K1703" s="300"/>
      <c r="L1703" s="300"/>
    </row>
    <row r="1704" spans="1:12" x14ac:dyDescent="0.3">
      <c r="A1704"/>
      <c r="C1704"/>
      <c r="D1704"/>
      <c r="F1704"/>
      <c r="G1704"/>
      <c r="I1704" s="299"/>
      <c r="K1704" s="300"/>
      <c r="L1704" s="300"/>
    </row>
    <row r="1705" spans="1:12" x14ac:dyDescent="0.3">
      <c r="A1705"/>
      <c r="C1705"/>
      <c r="D1705"/>
      <c r="F1705"/>
      <c r="G1705"/>
      <c r="I1705" s="299"/>
      <c r="K1705" s="300"/>
      <c r="L1705" s="300"/>
    </row>
    <row r="1706" spans="1:12" x14ac:dyDescent="0.3">
      <c r="A1706"/>
      <c r="C1706"/>
      <c r="D1706"/>
      <c r="F1706"/>
      <c r="G1706"/>
      <c r="I1706" s="299"/>
      <c r="K1706" s="300"/>
      <c r="L1706" s="300"/>
    </row>
    <row r="1707" spans="1:12" x14ac:dyDescent="0.3">
      <c r="A1707"/>
      <c r="C1707"/>
      <c r="D1707"/>
      <c r="F1707"/>
      <c r="G1707"/>
      <c r="I1707" s="299"/>
      <c r="K1707" s="300"/>
      <c r="L1707" s="300"/>
    </row>
    <row r="1708" spans="1:12" x14ac:dyDescent="0.3">
      <c r="A1708"/>
      <c r="C1708"/>
      <c r="D1708"/>
      <c r="F1708"/>
      <c r="G1708"/>
      <c r="I1708" s="299"/>
      <c r="K1708" s="300"/>
      <c r="L1708" s="300"/>
    </row>
    <row r="1709" spans="1:12" x14ac:dyDescent="0.3">
      <c r="A1709"/>
      <c r="C1709"/>
      <c r="D1709"/>
      <c r="F1709"/>
      <c r="G1709"/>
      <c r="I1709" s="299"/>
      <c r="K1709" s="300"/>
      <c r="L1709" s="300"/>
    </row>
    <row r="1710" spans="1:12" x14ac:dyDescent="0.3">
      <c r="A1710"/>
      <c r="C1710"/>
      <c r="D1710"/>
      <c r="F1710"/>
      <c r="G1710"/>
      <c r="I1710" s="299"/>
      <c r="K1710" s="300"/>
      <c r="L1710" s="300"/>
    </row>
    <row r="1711" spans="1:12" x14ac:dyDescent="0.3">
      <c r="A1711"/>
      <c r="C1711"/>
      <c r="D1711"/>
      <c r="F1711"/>
      <c r="G1711"/>
      <c r="I1711" s="299"/>
      <c r="K1711" s="300"/>
      <c r="L1711" s="300"/>
    </row>
    <row r="1712" spans="1:12" x14ac:dyDescent="0.3">
      <c r="A1712"/>
      <c r="C1712"/>
      <c r="D1712"/>
      <c r="F1712"/>
      <c r="G1712"/>
      <c r="I1712" s="299"/>
      <c r="K1712" s="300"/>
      <c r="L1712" s="300"/>
    </row>
    <row r="1713" spans="1:12" x14ac:dyDescent="0.3">
      <c r="A1713"/>
      <c r="C1713"/>
      <c r="D1713"/>
      <c r="F1713"/>
      <c r="G1713"/>
      <c r="I1713" s="299"/>
      <c r="K1713" s="300"/>
      <c r="L1713" s="300"/>
    </row>
    <row r="1714" spans="1:12" x14ac:dyDescent="0.3">
      <c r="A1714"/>
      <c r="C1714"/>
      <c r="D1714"/>
      <c r="F1714"/>
      <c r="G1714"/>
      <c r="I1714" s="299"/>
      <c r="K1714" s="300"/>
      <c r="L1714" s="300"/>
    </row>
    <row r="1715" spans="1:12" x14ac:dyDescent="0.3">
      <c r="A1715"/>
      <c r="C1715"/>
      <c r="D1715"/>
      <c r="F1715"/>
      <c r="G1715"/>
      <c r="I1715" s="299"/>
      <c r="K1715" s="300"/>
      <c r="L1715" s="300"/>
    </row>
    <row r="1716" spans="1:12" x14ac:dyDescent="0.3">
      <c r="A1716"/>
      <c r="C1716"/>
      <c r="D1716"/>
      <c r="F1716"/>
      <c r="G1716"/>
      <c r="I1716" s="299"/>
      <c r="K1716" s="300"/>
      <c r="L1716" s="300"/>
    </row>
    <row r="1717" spans="1:12" x14ac:dyDescent="0.3">
      <c r="A1717"/>
      <c r="C1717"/>
      <c r="D1717"/>
      <c r="F1717"/>
      <c r="G1717"/>
      <c r="I1717" s="299"/>
      <c r="K1717" s="300"/>
      <c r="L1717" s="300"/>
    </row>
    <row r="1718" spans="1:12" x14ac:dyDescent="0.3">
      <c r="A1718"/>
      <c r="C1718"/>
      <c r="D1718"/>
      <c r="F1718"/>
      <c r="G1718"/>
      <c r="I1718" s="299"/>
      <c r="K1718" s="300"/>
      <c r="L1718" s="300"/>
    </row>
    <row r="1719" spans="1:12" x14ac:dyDescent="0.3">
      <c r="A1719"/>
      <c r="C1719"/>
      <c r="D1719"/>
      <c r="F1719"/>
      <c r="G1719"/>
      <c r="I1719" s="299"/>
      <c r="K1719" s="300"/>
      <c r="L1719" s="300"/>
    </row>
    <row r="1720" spans="1:12" x14ac:dyDescent="0.3">
      <c r="A1720"/>
      <c r="C1720"/>
      <c r="D1720"/>
      <c r="F1720"/>
      <c r="G1720"/>
      <c r="I1720" s="299"/>
      <c r="K1720" s="300"/>
      <c r="L1720" s="300"/>
    </row>
    <row r="1721" spans="1:12" x14ac:dyDescent="0.3">
      <c r="A1721"/>
      <c r="C1721"/>
      <c r="D1721"/>
      <c r="F1721"/>
      <c r="G1721"/>
      <c r="I1721" s="299"/>
      <c r="K1721" s="300"/>
      <c r="L1721" s="300"/>
    </row>
    <row r="1722" spans="1:12" x14ac:dyDescent="0.3">
      <c r="A1722"/>
      <c r="C1722"/>
      <c r="D1722"/>
      <c r="F1722"/>
      <c r="G1722"/>
      <c r="I1722" s="299"/>
      <c r="K1722" s="300"/>
      <c r="L1722" s="300"/>
    </row>
    <row r="1723" spans="1:12" x14ac:dyDescent="0.3">
      <c r="A1723"/>
      <c r="C1723"/>
      <c r="D1723"/>
      <c r="F1723"/>
      <c r="G1723"/>
      <c r="I1723" s="299"/>
      <c r="K1723" s="300"/>
      <c r="L1723" s="300"/>
    </row>
    <row r="1724" spans="1:12" x14ac:dyDescent="0.3">
      <c r="A1724"/>
      <c r="C1724"/>
      <c r="D1724"/>
      <c r="F1724"/>
      <c r="G1724"/>
      <c r="I1724" s="299"/>
      <c r="K1724" s="300"/>
      <c r="L1724" s="300"/>
    </row>
    <row r="1725" spans="1:12" x14ac:dyDescent="0.3">
      <c r="A1725"/>
      <c r="C1725"/>
      <c r="D1725"/>
      <c r="F1725"/>
      <c r="G1725"/>
      <c r="I1725" s="299"/>
      <c r="K1725" s="300"/>
      <c r="L1725" s="300"/>
    </row>
    <row r="1726" spans="1:12" x14ac:dyDescent="0.3">
      <c r="A1726"/>
      <c r="C1726"/>
      <c r="D1726"/>
      <c r="F1726"/>
      <c r="G1726"/>
      <c r="I1726" s="299"/>
      <c r="K1726" s="300"/>
      <c r="L1726" s="300"/>
    </row>
    <row r="1727" spans="1:12" x14ac:dyDescent="0.3">
      <c r="A1727"/>
      <c r="C1727"/>
      <c r="D1727"/>
      <c r="F1727"/>
      <c r="G1727"/>
      <c r="I1727" s="299"/>
      <c r="K1727" s="300"/>
      <c r="L1727" s="300"/>
    </row>
    <row r="1728" spans="1:12" x14ac:dyDescent="0.3">
      <c r="A1728"/>
      <c r="C1728"/>
      <c r="D1728"/>
      <c r="F1728"/>
      <c r="G1728"/>
      <c r="I1728" s="299"/>
      <c r="K1728" s="300"/>
      <c r="L1728" s="300"/>
    </row>
    <row r="1729" spans="1:12" x14ac:dyDescent="0.3">
      <c r="A1729"/>
      <c r="C1729"/>
      <c r="D1729"/>
      <c r="F1729"/>
      <c r="G1729"/>
      <c r="I1729" s="299"/>
      <c r="K1729" s="300"/>
      <c r="L1729" s="300"/>
    </row>
    <row r="1730" spans="1:12" x14ac:dyDescent="0.3">
      <c r="A1730"/>
      <c r="C1730"/>
      <c r="D1730"/>
      <c r="F1730"/>
      <c r="G1730"/>
      <c r="I1730" s="299"/>
      <c r="K1730" s="300"/>
      <c r="L1730" s="300"/>
    </row>
    <row r="1731" spans="1:12" x14ac:dyDescent="0.3">
      <c r="A1731"/>
      <c r="C1731"/>
      <c r="D1731"/>
      <c r="F1731"/>
      <c r="G1731"/>
      <c r="I1731" s="299"/>
      <c r="K1731" s="300"/>
      <c r="L1731" s="300"/>
    </row>
    <row r="1732" spans="1:12" x14ac:dyDescent="0.3">
      <c r="A1732"/>
      <c r="C1732"/>
      <c r="D1732"/>
      <c r="F1732"/>
      <c r="G1732"/>
      <c r="I1732" s="299"/>
      <c r="K1732" s="300"/>
      <c r="L1732" s="300"/>
    </row>
    <row r="1733" spans="1:12" x14ac:dyDescent="0.3">
      <c r="A1733"/>
      <c r="C1733"/>
      <c r="D1733"/>
      <c r="F1733"/>
      <c r="G1733"/>
      <c r="I1733" s="299"/>
      <c r="K1733" s="300"/>
      <c r="L1733" s="300"/>
    </row>
    <row r="1734" spans="1:12" x14ac:dyDescent="0.3">
      <c r="A1734"/>
      <c r="C1734"/>
      <c r="D1734"/>
      <c r="F1734"/>
      <c r="G1734"/>
      <c r="I1734" s="299"/>
      <c r="K1734" s="300"/>
      <c r="L1734" s="300"/>
    </row>
    <row r="1735" spans="1:12" x14ac:dyDescent="0.3">
      <c r="A1735"/>
      <c r="C1735"/>
      <c r="D1735"/>
      <c r="F1735"/>
      <c r="G1735"/>
      <c r="I1735" s="299"/>
      <c r="K1735" s="300"/>
      <c r="L1735" s="300"/>
    </row>
    <row r="1736" spans="1:12" x14ac:dyDescent="0.3">
      <c r="A1736"/>
      <c r="C1736"/>
      <c r="D1736"/>
      <c r="F1736"/>
      <c r="G1736"/>
      <c r="I1736" s="299"/>
      <c r="K1736" s="300"/>
      <c r="L1736" s="300"/>
    </row>
    <row r="1737" spans="1:12" x14ac:dyDescent="0.3">
      <c r="A1737"/>
      <c r="C1737"/>
      <c r="D1737"/>
      <c r="F1737"/>
      <c r="G1737"/>
      <c r="I1737" s="299"/>
      <c r="K1737" s="300"/>
      <c r="L1737" s="300"/>
    </row>
    <row r="1738" spans="1:12" x14ac:dyDescent="0.3">
      <c r="A1738"/>
      <c r="C1738"/>
      <c r="D1738"/>
      <c r="F1738"/>
      <c r="G1738"/>
      <c r="I1738" s="299"/>
      <c r="K1738" s="300"/>
      <c r="L1738" s="300"/>
    </row>
    <row r="1739" spans="1:12" x14ac:dyDescent="0.3">
      <c r="A1739"/>
      <c r="C1739"/>
      <c r="D1739"/>
      <c r="F1739"/>
      <c r="G1739"/>
      <c r="I1739" s="299"/>
      <c r="K1739" s="300"/>
      <c r="L1739" s="300"/>
    </row>
    <row r="1740" spans="1:12" x14ac:dyDescent="0.3">
      <c r="A1740"/>
      <c r="C1740"/>
      <c r="D1740"/>
      <c r="F1740"/>
      <c r="G1740"/>
      <c r="I1740" s="299"/>
      <c r="K1740" s="300"/>
      <c r="L1740" s="300"/>
    </row>
    <row r="1741" spans="1:12" x14ac:dyDescent="0.3">
      <c r="A1741"/>
      <c r="C1741"/>
      <c r="D1741"/>
      <c r="F1741"/>
      <c r="G1741"/>
      <c r="I1741" s="299"/>
      <c r="K1741" s="300"/>
      <c r="L1741" s="300"/>
    </row>
    <row r="1742" spans="1:12" x14ac:dyDescent="0.3">
      <c r="A1742"/>
      <c r="C1742"/>
      <c r="D1742"/>
      <c r="F1742"/>
      <c r="G1742"/>
      <c r="I1742" s="299"/>
      <c r="K1742" s="300"/>
      <c r="L1742" s="300"/>
    </row>
    <row r="1743" spans="1:12" x14ac:dyDescent="0.3">
      <c r="A1743"/>
      <c r="C1743"/>
      <c r="D1743"/>
      <c r="F1743"/>
      <c r="G1743"/>
      <c r="I1743" s="299"/>
      <c r="K1743" s="300"/>
      <c r="L1743" s="300"/>
    </row>
    <row r="1744" spans="1:12" x14ac:dyDescent="0.3">
      <c r="A1744"/>
      <c r="C1744"/>
      <c r="D1744"/>
      <c r="F1744"/>
      <c r="G1744"/>
      <c r="I1744" s="299"/>
      <c r="K1744" s="300"/>
      <c r="L1744" s="300"/>
    </row>
    <row r="1745" spans="1:12" x14ac:dyDescent="0.3">
      <c r="A1745"/>
      <c r="C1745"/>
      <c r="D1745"/>
      <c r="F1745"/>
      <c r="G1745"/>
      <c r="I1745" s="299"/>
      <c r="K1745" s="300"/>
      <c r="L1745" s="300"/>
    </row>
    <row r="1746" spans="1:12" x14ac:dyDescent="0.3">
      <c r="A1746"/>
      <c r="C1746"/>
      <c r="D1746"/>
      <c r="F1746"/>
      <c r="G1746"/>
      <c r="I1746" s="299"/>
      <c r="K1746" s="300"/>
      <c r="L1746" s="300"/>
    </row>
    <row r="1747" spans="1:12" x14ac:dyDescent="0.3">
      <c r="A1747"/>
      <c r="C1747"/>
      <c r="D1747"/>
      <c r="F1747"/>
      <c r="G1747"/>
      <c r="I1747" s="299"/>
      <c r="K1747" s="300"/>
      <c r="L1747" s="300"/>
    </row>
    <row r="1748" spans="1:12" x14ac:dyDescent="0.3">
      <c r="A1748"/>
      <c r="C1748"/>
      <c r="D1748"/>
      <c r="F1748"/>
      <c r="G1748"/>
      <c r="I1748" s="299"/>
      <c r="K1748" s="300"/>
      <c r="L1748" s="300"/>
    </row>
    <row r="1749" spans="1:12" x14ac:dyDescent="0.3">
      <c r="A1749"/>
      <c r="C1749"/>
      <c r="D1749"/>
      <c r="F1749"/>
      <c r="G1749"/>
      <c r="I1749" s="299"/>
      <c r="K1749" s="300"/>
      <c r="L1749" s="300"/>
    </row>
    <row r="1750" spans="1:12" x14ac:dyDescent="0.3">
      <c r="A1750"/>
      <c r="C1750"/>
      <c r="D1750"/>
      <c r="F1750"/>
      <c r="G1750"/>
      <c r="I1750" s="299"/>
      <c r="K1750" s="300"/>
      <c r="L1750" s="300"/>
    </row>
    <row r="1751" spans="1:12" x14ac:dyDescent="0.3">
      <c r="A1751"/>
      <c r="C1751"/>
      <c r="D1751"/>
      <c r="F1751"/>
      <c r="G1751"/>
      <c r="I1751" s="299"/>
      <c r="K1751" s="300"/>
      <c r="L1751" s="300"/>
    </row>
    <row r="1752" spans="1:12" x14ac:dyDescent="0.3">
      <c r="A1752"/>
      <c r="C1752"/>
      <c r="D1752"/>
      <c r="F1752"/>
      <c r="G1752"/>
      <c r="I1752" s="299"/>
      <c r="K1752" s="300"/>
      <c r="L1752" s="300"/>
    </row>
    <row r="1753" spans="1:12" x14ac:dyDescent="0.3">
      <c r="A1753"/>
      <c r="C1753"/>
      <c r="D1753"/>
      <c r="F1753"/>
      <c r="G1753"/>
      <c r="I1753" s="299"/>
      <c r="K1753" s="300"/>
      <c r="L1753" s="300"/>
    </row>
    <row r="1754" spans="1:12" x14ac:dyDescent="0.3">
      <c r="A1754"/>
      <c r="C1754"/>
      <c r="D1754"/>
      <c r="F1754"/>
      <c r="G1754"/>
      <c r="I1754" s="299"/>
      <c r="K1754" s="300"/>
      <c r="L1754" s="300"/>
    </row>
    <row r="1755" spans="1:12" x14ac:dyDescent="0.3">
      <c r="A1755"/>
      <c r="C1755"/>
      <c r="D1755"/>
      <c r="F1755"/>
      <c r="G1755"/>
      <c r="I1755" s="299"/>
      <c r="K1755" s="300"/>
      <c r="L1755" s="300"/>
    </row>
    <row r="1756" spans="1:12" x14ac:dyDescent="0.3">
      <c r="A1756"/>
      <c r="C1756"/>
      <c r="D1756"/>
      <c r="F1756"/>
      <c r="G1756"/>
      <c r="I1756" s="299"/>
      <c r="K1756" s="300"/>
      <c r="L1756" s="300"/>
    </row>
    <row r="1757" spans="1:12" x14ac:dyDescent="0.3">
      <c r="A1757"/>
      <c r="C1757"/>
      <c r="D1757"/>
      <c r="F1757"/>
      <c r="G1757"/>
      <c r="I1757" s="299"/>
      <c r="K1757" s="300"/>
      <c r="L1757" s="300"/>
    </row>
    <row r="1758" spans="1:12" x14ac:dyDescent="0.3">
      <c r="A1758"/>
      <c r="C1758"/>
      <c r="D1758"/>
      <c r="F1758"/>
      <c r="G1758"/>
      <c r="I1758" s="299"/>
      <c r="K1758" s="300"/>
      <c r="L1758" s="300"/>
    </row>
    <row r="1759" spans="1:12" x14ac:dyDescent="0.3">
      <c r="A1759"/>
      <c r="C1759"/>
      <c r="D1759"/>
      <c r="F1759"/>
      <c r="G1759"/>
      <c r="I1759" s="299"/>
      <c r="K1759" s="300"/>
      <c r="L1759" s="300"/>
    </row>
    <row r="1760" spans="1:12" x14ac:dyDescent="0.3">
      <c r="A1760"/>
      <c r="C1760"/>
      <c r="D1760"/>
      <c r="F1760"/>
      <c r="G1760"/>
      <c r="I1760" s="299"/>
      <c r="K1760" s="300"/>
      <c r="L1760" s="300"/>
    </row>
    <row r="1761" spans="1:12" x14ac:dyDescent="0.3">
      <c r="A1761"/>
      <c r="C1761"/>
      <c r="D1761"/>
      <c r="F1761"/>
      <c r="G1761"/>
      <c r="I1761" s="299"/>
      <c r="K1761" s="300"/>
      <c r="L1761" s="300"/>
    </row>
    <row r="1762" spans="1:12" x14ac:dyDescent="0.3">
      <c r="A1762"/>
      <c r="C1762"/>
      <c r="D1762"/>
      <c r="F1762"/>
      <c r="G1762"/>
      <c r="I1762" s="299"/>
      <c r="K1762" s="300"/>
      <c r="L1762" s="300"/>
    </row>
    <row r="1763" spans="1:12" x14ac:dyDescent="0.3">
      <c r="A1763"/>
      <c r="C1763"/>
      <c r="D1763"/>
      <c r="F1763"/>
      <c r="G1763"/>
      <c r="I1763" s="299"/>
      <c r="K1763" s="300"/>
      <c r="L1763" s="300"/>
    </row>
    <row r="1764" spans="1:12" x14ac:dyDescent="0.3">
      <c r="A1764"/>
      <c r="C1764"/>
      <c r="D1764"/>
      <c r="F1764"/>
      <c r="G1764"/>
      <c r="I1764" s="299"/>
      <c r="K1764" s="300"/>
      <c r="L1764" s="300"/>
    </row>
    <row r="1765" spans="1:12" x14ac:dyDescent="0.3">
      <c r="A1765"/>
      <c r="C1765"/>
      <c r="D1765"/>
      <c r="F1765"/>
      <c r="G1765"/>
      <c r="I1765" s="299"/>
      <c r="K1765" s="300"/>
      <c r="L1765" s="300"/>
    </row>
    <row r="1766" spans="1:12" x14ac:dyDescent="0.3">
      <c r="A1766"/>
      <c r="C1766"/>
      <c r="D1766"/>
      <c r="F1766"/>
      <c r="G1766"/>
      <c r="I1766" s="299"/>
      <c r="K1766" s="300"/>
      <c r="L1766" s="300"/>
    </row>
    <row r="1767" spans="1:12" x14ac:dyDescent="0.3">
      <c r="A1767"/>
      <c r="C1767"/>
      <c r="D1767"/>
      <c r="F1767"/>
      <c r="G1767"/>
      <c r="I1767" s="299"/>
      <c r="K1767" s="300"/>
      <c r="L1767" s="300"/>
    </row>
    <row r="1768" spans="1:12" x14ac:dyDescent="0.3">
      <c r="A1768"/>
      <c r="C1768"/>
      <c r="D1768"/>
      <c r="F1768"/>
      <c r="G1768"/>
      <c r="I1768" s="299"/>
      <c r="K1768" s="300"/>
      <c r="L1768" s="300"/>
    </row>
    <row r="1769" spans="1:12" x14ac:dyDescent="0.3">
      <c r="A1769"/>
      <c r="C1769"/>
      <c r="D1769"/>
      <c r="F1769"/>
      <c r="G1769"/>
      <c r="I1769" s="299"/>
      <c r="K1769" s="300"/>
      <c r="L1769" s="300"/>
    </row>
    <row r="1770" spans="1:12" x14ac:dyDescent="0.3">
      <c r="A1770"/>
      <c r="C1770"/>
      <c r="D1770"/>
      <c r="F1770"/>
      <c r="G1770"/>
      <c r="I1770" s="299"/>
      <c r="K1770" s="300"/>
      <c r="L1770" s="300"/>
    </row>
    <row r="1771" spans="1:12" x14ac:dyDescent="0.3">
      <c r="A1771"/>
      <c r="C1771"/>
      <c r="D1771"/>
      <c r="F1771"/>
      <c r="G1771"/>
      <c r="I1771" s="299"/>
      <c r="K1771" s="300"/>
      <c r="L1771" s="300"/>
    </row>
    <row r="1772" spans="1:12" x14ac:dyDescent="0.3">
      <c r="A1772"/>
      <c r="C1772"/>
      <c r="D1772"/>
      <c r="F1772"/>
      <c r="G1772"/>
      <c r="I1772" s="299"/>
      <c r="K1772" s="300"/>
      <c r="L1772" s="300"/>
    </row>
    <row r="1773" spans="1:12" x14ac:dyDescent="0.3">
      <c r="A1773"/>
      <c r="C1773"/>
      <c r="D1773"/>
      <c r="F1773"/>
      <c r="G1773"/>
      <c r="I1773" s="299"/>
      <c r="K1773" s="300"/>
      <c r="L1773" s="300"/>
    </row>
    <row r="1774" spans="1:12" x14ac:dyDescent="0.3">
      <c r="A1774"/>
      <c r="C1774"/>
      <c r="D1774"/>
      <c r="F1774"/>
      <c r="G1774"/>
      <c r="I1774" s="299"/>
      <c r="K1774" s="300"/>
      <c r="L1774" s="300"/>
    </row>
    <row r="1775" spans="1:12" x14ac:dyDescent="0.3">
      <c r="A1775"/>
      <c r="C1775"/>
      <c r="D1775"/>
      <c r="F1775"/>
      <c r="G1775"/>
      <c r="I1775" s="299"/>
      <c r="K1775" s="300"/>
      <c r="L1775" s="300"/>
    </row>
    <row r="1776" spans="1:12" x14ac:dyDescent="0.3">
      <c r="A1776"/>
      <c r="C1776"/>
      <c r="D1776"/>
      <c r="F1776"/>
      <c r="G1776"/>
      <c r="I1776" s="299"/>
      <c r="K1776" s="300"/>
      <c r="L1776" s="300"/>
    </row>
    <row r="1777" spans="1:12" x14ac:dyDescent="0.3">
      <c r="A1777"/>
      <c r="C1777"/>
      <c r="D1777"/>
      <c r="F1777"/>
      <c r="G1777"/>
      <c r="I1777" s="299"/>
      <c r="K1777" s="300"/>
      <c r="L1777" s="300"/>
    </row>
    <row r="1778" spans="1:12" x14ac:dyDescent="0.3">
      <c r="A1778"/>
      <c r="C1778"/>
      <c r="D1778"/>
      <c r="F1778"/>
      <c r="G1778"/>
      <c r="I1778" s="299"/>
      <c r="K1778" s="300"/>
      <c r="L1778" s="300"/>
    </row>
    <row r="1779" spans="1:12" x14ac:dyDescent="0.3">
      <c r="A1779"/>
      <c r="C1779"/>
      <c r="D1779"/>
      <c r="F1779"/>
      <c r="G1779"/>
      <c r="I1779" s="299"/>
      <c r="K1779" s="300"/>
      <c r="L1779" s="300"/>
    </row>
    <row r="1780" spans="1:12" x14ac:dyDescent="0.3">
      <c r="A1780"/>
      <c r="C1780"/>
      <c r="D1780"/>
      <c r="F1780"/>
      <c r="G1780"/>
      <c r="I1780" s="299"/>
      <c r="K1780" s="300"/>
      <c r="L1780" s="300"/>
    </row>
    <row r="1781" spans="1:12" x14ac:dyDescent="0.3">
      <c r="A1781"/>
      <c r="C1781"/>
      <c r="D1781"/>
      <c r="F1781"/>
      <c r="G1781"/>
      <c r="I1781" s="299"/>
      <c r="K1781" s="300"/>
      <c r="L1781" s="300"/>
    </row>
    <row r="1782" spans="1:12" x14ac:dyDescent="0.3">
      <c r="A1782"/>
      <c r="C1782"/>
      <c r="D1782"/>
      <c r="F1782"/>
      <c r="G1782"/>
      <c r="I1782" s="299"/>
      <c r="K1782" s="300"/>
      <c r="L1782" s="300"/>
    </row>
    <row r="1783" spans="1:12" x14ac:dyDescent="0.3">
      <c r="A1783"/>
      <c r="C1783"/>
      <c r="D1783"/>
      <c r="F1783"/>
      <c r="G1783"/>
      <c r="I1783" s="299"/>
      <c r="K1783" s="300"/>
      <c r="L1783" s="300"/>
    </row>
    <row r="1784" spans="1:12" x14ac:dyDescent="0.3">
      <c r="A1784"/>
      <c r="C1784"/>
      <c r="D1784"/>
      <c r="F1784"/>
      <c r="G1784"/>
      <c r="I1784" s="299"/>
      <c r="K1784" s="300"/>
      <c r="L1784" s="300"/>
    </row>
    <row r="1785" spans="1:12" x14ac:dyDescent="0.3">
      <c r="A1785"/>
      <c r="C1785"/>
      <c r="D1785"/>
      <c r="F1785"/>
      <c r="G1785"/>
      <c r="I1785" s="299"/>
      <c r="K1785" s="300"/>
      <c r="L1785" s="300"/>
    </row>
    <row r="1786" spans="1:12" x14ac:dyDescent="0.3">
      <c r="A1786"/>
      <c r="C1786"/>
      <c r="D1786"/>
      <c r="F1786"/>
      <c r="G1786"/>
      <c r="I1786" s="299"/>
      <c r="K1786" s="300"/>
      <c r="L1786" s="300"/>
    </row>
    <row r="1787" spans="1:12" x14ac:dyDescent="0.3">
      <c r="A1787"/>
      <c r="C1787"/>
      <c r="D1787"/>
      <c r="F1787"/>
      <c r="G1787"/>
      <c r="I1787" s="299"/>
      <c r="K1787" s="300"/>
      <c r="L1787" s="300"/>
    </row>
    <row r="1788" spans="1:12" x14ac:dyDescent="0.3">
      <c r="A1788"/>
      <c r="C1788"/>
      <c r="D1788"/>
      <c r="F1788"/>
      <c r="G1788"/>
      <c r="I1788" s="299"/>
      <c r="K1788" s="300"/>
      <c r="L1788" s="300"/>
    </row>
    <row r="1789" spans="1:12" x14ac:dyDescent="0.3">
      <c r="A1789"/>
      <c r="C1789"/>
      <c r="D1789"/>
      <c r="F1789"/>
      <c r="G1789"/>
      <c r="I1789" s="299"/>
      <c r="K1789" s="300"/>
      <c r="L1789" s="300"/>
    </row>
    <row r="1790" spans="1:12" x14ac:dyDescent="0.3">
      <c r="A1790"/>
      <c r="C1790"/>
      <c r="D1790"/>
      <c r="F1790"/>
      <c r="G1790"/>
      <c r="I1790" s="299"/>
      <c r="K1790" s="300"/>
      <c r="L1790" s="300"/>
    </row>
    <row r="1791" spans="1:12" x14ac:dyDescent="0.3">
      <c r="A1791"/>
      <c r="C1791"/>
      <c r="D1791"/>
      <c r="F1791"/>
      <c r="G1791"/>
      <c r="I1791" s="299"/>
      <c r="K1791" s="300"/>
      <c r="L1791" s="300"/>
    </row>
    <row r="1792" spans="1:12" x14ac:dyDescent="0.3">
      <c r="A1792"/>
      <c r="C1792"/>
      <c r="D1792"/>
      <c r="F1792"/>
      <c r="G1792"/>
      <c r="I1792" s="299"/>
      <c r="K1792" s="300"/>
      <c r="L1792" s="300"/>
    </row>
    <row r="1793" spans="1:12" x14ac:dyDescent="0.3">
      <c r="A1793"/>
      <c r="C1793"/>
      <c r="D1793"/>
      <c r="F1793"/>
      <c r="G1793"/>
      <c r="I1793" s="299"/>
      <c r="K1793" s="300"/>
      <c r="L1793" s="300"/>
    </row>
    <row r="1794" spans="1:12" x14ac:dyDescent="0.3">
      <c r="A1794"/>
      <c r="C1794"/>
      <c r="D1794"/>
      <c r="F1794"/>
      <c r="G1794"/>
      <c r="I1794" s="299"/>
      <c r="K1794" s="300"/>
      <c r="L1794" s="300"/>
    </row>
    <row r="1795" spans="1:12" x14ac:dyDescent="0.3">
      <c r="A1795"/>
      <c r="C1795"/>
      <c r="D1795"/>
      <c r="F1795"/>
      <c r="G1795"/>
      <c r="I1795" s="299"/>
      <c r="K1795" s="300"/>
      <c r="L1795" s="300"/>
    </row>
    <row r="1796" spans="1:12" x14ac:dyDescent="0.3">
      <c r="A1796"/>
      <c r="C1796"/>
      <c r="D1796"/>
      <c r="F1796"/>
      <c r="G1796"/>
      <c r="I1796" s="299"/>
      <c r="K1796" s="300"/>
      <c r="L1796" s="300"/>
    </row>
    <row r="1797" spans="1:12" x14ac:dyDescent="0.3">
      <c r="A1797"/>
      <c r="C1797"/>
      <c r="D1797"/>
      <c r="F1797"/>
      <c r="G1797"/>
      <c r="I1797" s="299"/>
      <c r="K1797" s="300"/>
      <c r="L1797" s="300"/>
    </row>
    <row r="1798" spans="1:12" x14ac:dyDescent="0.3">
      <c r="A1798"/>
      <c r="C1798"/>
      <c r="D1798"/>
      <c r="F1798"/>
      <c r="G1798"/>
      <c r="I1798" s="299"/>
      <c r="K1798" s="300"/>
      <c r="L1798" s="300"/>
    </row>
    <row r="1799" spans="1:12" x14ac:dyDescent="0.3">
      <c r="A1799"/>
      <c r="C1799"/>
      <c r="D1799"/>
      <c r="F1799"/>
      <c r="G1799"/>
      <c r="I1799" s="299"/>
      <c r="K1799" s="300"/>
      <c r="L1799" s="300"/>
    </row>
    <row r="1800" spans="1:12" x14ac:dyDescent="0.3">
      <c r="A1800"/>
      <c r="C1800"/>
      <c r="D1800"/>
      <c r="F1800"/>
      <c r="G1800"/>
      <c r="I1800" s="299"/>
      <c r="K1800" s="300"/>
      <c r="L1800" s="300"/>
    </row>
    <row r="1801" spans="1:12" x14ac:dyDescent="0.3">
      <c r="A1801"/>
      <c r="C1801"/>
      <c r="D1801"/>
      <c r="F1801"/>
      <c r="G1801"/>
      <c r="I1801" s="299"/>
      <c r="K1801" s="300"/>
      <c r="L1801" s="300"/>
    </row>
    <row r="1802" spans="1:12" x14ac:dyDescent="0.3">
      <c r="A1802"/>
      <c r="C1802"/>
      <c r="D1802"/>
      <c r="F1802"/>
      <c r="G1802"/>
      <c r="I1802" s="299"/>
      <c r="K1802" s="300"/>
      <c r="L1802" s="300"/>
    </row>
    <row r="1803" spans="1:12" x14ac:dyDescent="0.3">
      <c r="A1803"/>
      <c r="C1803"/>
      <c r="D1803"/>
      <c r="F1803"/>
      <c r="G1803"/>
      <c r="I1803" s="299"/>
      <c r="K1803" s="300"/>
      <c r="L1803" s="300"/>
    </row>
    <row r="1804" spans="1:12" x14ac:dyDescent="0.3">
      <c r="A1804"/>
      <c r="C1804"/>
      <c r="D1804"/>
      <c r="F1804"/>
      <c r="G1804"/>
      <c r="I1804" s="299"/>
      <c r="K1804" s="300"/>
      <c r="L1804" s="300"/>
    </row>
    <row r="1805" spans="1:12" x14ac:dyDescent="0.3">
      <c r="A1805"/>
      <c r="C1805"/>
      <c r="D1805"/>
      <c r="F1805"/>
      <c r="G1805"/>
      <c r="I1805" s="299"/>
      <c r="K1805" s="300"/>
      <c r="L1805" s="300"/>
    </row>
    <row r="1806" spans="1:12" x14ac:dyDescent="0.3">
      <c r="A1806"/>
      <c r="C1806"/>
      <c r="D1806"/>
      <c r="F1806"/>
      <c r="G1806"/>
      <c r="I1806" s="299"/>
      <c r="K1806" s="300"/>
      <c r="L1806" s="300"/>
    </row>
    <row r="1807" spans="1:12" x14ac:dyDescent="0.3">
      <c r="A1807"/>
      <c r="C1807"/>
      <c r="D1807"/>
      <c r="F1807"/>
      <c r="G1807"/>
      <c r="I1807" s="299"/>
      <c r="K1807" s="300"/>
      <c r="L1807" s="300"/>
    </row>
    <row r="1808" spans="1:12" x14ac:dyDescent="0.3">
      <c r="A1808"/>
      <c r="C1808"/>
      <c r="D1808"/>
      <c r="F1808"/>
      <c r="G1808"/>
      <c r="I1808" s="299"/>
      <c r="K1808" s="300"/>
      <c r="L1808" s="300"/>
    </row>
    <row r="1809" spans="1:12" x14ac:dyDescent="0.3">
      <c r="A1809"/>
      <c r="C1809"/>
      <c r="D1809"/>
      <c r="F1809"/>
      <c r="G1809"/>
      <c r="I1809" s="299"/>
      <c r="K1809" s="300"/>
      <c r="L1809" s="300"/>
    </row>
    <row r="1810" spans="1:12" x14ac:dyDescent="0.3">
      <c r="A1810"/>
      <c r="C1810"/>
      <c r="D1810"/>
      <c r="F1810"/>
      <c r="G1810"/>
      <c r="I1810" s="299"/>
      <c r="K1810" s="300"/>
      <c r="L1810" s="300"/>
    </row>
    <row r="1811" spans="1:12" x14ac:dyDescent="0.3">
      <c r="A1811"/>
      <c r="C1811"/>
      <c r="D1811"/>
      <c r="F1811"/>
      <c r="G1811"/>
      <c r="I1811" s="299"/>
      <c r="K1811" s="300"/>
      <c r="L1811" s="300"/>
    </row>
    <row r="1812" spans="1:12" x14ac:dyDescent="0.3">
      <c r="A1812"/>
      <c r="C1812"/>
      <c r="D1812"/>
      <c r="F1812"/>
      <c r="G1812"/>
      <c r="I1812" s="299"/>
      <c r="K1812" s="300"/>
      <c r="L1812" s="300"/>
    </row>
    <row r="1813" spans="1:12" x14ac:dyDescent="0.3">
      <c r="A1813"/>
      <c r="C1813"/>
      <c r="D1813"/>
      <c r="F1813"/>
      <c r="G1813"/>
      <c r="I1813" s="299"/>
      <c r="K1813" s="300"/>
      <c r="L1813" s="300"/>
    </row>
    <row r="1814" spans="1:12" x14ac:dyDescent="0.3">
      <c r="A1814"/>
      <c r="C1814"/>
      <c r="D1814"/>
      <c r="F1814"/>
      <c r="G1814"/>
      <c r="I1814" s="299"/>
      <c r="K1814" s="300"/>
      <c r="L1814" s="300"/>
    </row>
    <row r="1815" spans="1:12" x14ac:dyDescent="0.3">
      <c r="A1815"/>
      <c r="C1815"/>
      <c r="D1815"/>
      <c r="F1815"/>
      <c r="G1815"/>
      <c r="I1815" s="299"/>
      <c r="K1815" s="300"/>
      <c r="L1815" s="300"/>
    </row>
    <row r="1816" spans="1:12" x14ac:dyDescent="0.3">
      <c r="A1816"/>
      <c r="C1816"/>
      <c r="D1816"/>
      <c r="F1816"/>
      <c r="G1816"/>
      <c r="I1816" s="299"/>
      <c r="K1816" s="300"/>
      <c r="L1816" s="300"/>
    </row>
    <row r="1817" spans="1:12" x14ac:dyDescent="0.3">
      <c r="A1817"/>
      <c r="C1817"/>
      <c r="D1817"/>
      <c r="F1817"/>
      <c r="G1817"/>
      <c r="I1817" s="299"/>
      <c r="K1817" s="300"/>
      <c r="L1817" s="300"/>
    </row>
    <row r="1818" spans="1:12" x14ac:dyDescent="0.3">
      <c r="A1818"/>
      <c r="C1818"/>
      <c r="D1818"/>
      <c r="F1818"/>
      <c r="G1818"/>
      <c r="I1818" s="299"/>
      <c r="K1818" s="300"/>
      <c r="L1818" s="300"/>
    </row>
    <row r="1819" spans="1:12" x14ac:dyDescent="0.3">
      <c r="A1819"/>
      <c r="C1819"/>
      <c r="D1819"/>
      <c r="F1819"/>
      <c r="G1819"/>
      <c r="I1819" s="299"/>
      <c r="K1819" s="300"/>
      <c r="L1819" s="300"/>
    </row>
    <row r="1820" spans="1:12" x14ac:dyDescent="0.3">
      <c r="A1820"/>
      <c r="C1820"/>
      <c r="D1820"/>
      <c r="F1820"/>
      <c r="G1820"/>
      <c r="I1820" s="299"/>
      <c r="K1820" s="300"/>
      <c r="L1820" s="300"/>
    </row>
    <row r="1821" spans="1:12" x14ac:dyDescent="0.3">
      <c r="A1821"/>
      <c r="C1821"/>
      <c r="D1821"/>
      <c r="F1821"/>
      <c r="G1821"/>
      <c r="I1821" s="299"/>
      <c r="K1821" s="300"/>
      <c r="L1821" s="300"/>
    </row>
    <row r="1822" spans="1:12" x14ac:dyDescent="0.3">
      <c r="A1822"/>
      <c r="C1822"/>
      <c r="D1822"/>
      <c r="F1822"/>
      <c r="G1822"/>
      <c r="I1822" s="299"/>
      <c r="K1822" s="300"/>
      <c r="L1822" s="300"/>
    </row>
    <row r="1823" spans="1:12" x14ac:dyDescent="0.3">
      <c r="A1823"/>
      <c r="C1823"/>
      <c r="D1823"/>
      <c r="F1823"/>
      <c r="G1823"/>
      <c r="I1823" s="299"/>
      <c r="K1823" s="300"/>
      <c r="L1823" s="300"/>
    </row>
    <row r="1824" spans="1:12" x14ac:dyDescent="0.3">
      <c r="A1824"/>
      <c r="C1824"/>
      <c r="D1824"/>
      <c r="F1824"/>
      <c r="G1824"/>
      <c r="I1824" s="299"/>
      <c r="K1824" s="300"/>
      <c r="L1824" s="300"/>
    </row>
    <row r="1825" spans="1:12" x14ac:dyDescent="0.3">
      <c r="A1825"/>
      <c r="C1825"/>
      <c r="D1825"/>
      <c r="F1825"/>
      <c r="G1825"/>
      <c r="I1825" s="299"/>
      <c r="K1825" s="300"/>
      <c r="L1825" s="300"/>
    </row>
    <row r="1826" spans="1:12" x14ac:dyDescent="0.3">
      <c r="A1826"/>
      <c r="C1826"/>
      <c r="D1826"/>
      <c r="F1826"/>
      <c r="G1826"/>
      <c r="I1826" s="299"/>
      <c r="K1826" s="300"/>
      <c r="L1826" s="300"/>
    </row>
    <row r="1827" spans="1:12" x14ac:dyDescent="0.3">
      <c r="A1827"/>
      <c r="C1827"/>
      <c r="D1827"/>
      <c r="F1827"/>
      <c r="G1827"/>
      <c r="I1827" s="299"/>
      <c r="K1827" s="300"/>
      <c r="L1827" s="300"/>
    </row>
    <row r="1828" spans="1:12" x14ac:dyDescent="0.3">
      <c r="A1828"/>
      <c r="C1828"/>
      <c r="D1828"/>
      <c r="F1828"/>
      <c r="G1828"/>
      <c r="I1828" s="299"/>
      <c r="K1828" s="300"/>
      <c r="L1828" s="300"/>
    </row>
    <row r="1829" spans="1:12" x14ac:dyDescent="0.3">
      <c r="A1829"/>
      <c r="C1829"/>
      <c r="D1829"/>
      <c r="F1829"/>
      <c r="G1829"/>
      <c r="I1829" s="299"/>
      <c r="K1829" s="300"/>
      <c r="L1829" s="300"/>
    </row>
    <row r="1830" spans="1:12" x14ac:dyDescent="0.3">
      <c r="A1830"/>
      <c r="C1830"/>
      <c r="D1830"/>
      <c r="F1830"/>
      <c r="G1830"/>
      <c r="I1830" s="299"/>
      <c r="K1830" s="300"/>
      <c r="L1830" s="300"/>
    </row>
    <row r="1831" spans="1:12" x14ac:dyDescent="0.3">
      <c r="A1831"/>
      <c r="C1831"/>
      <c r="D1831"/>
      <c r="F1831"/>
      <c r="G1831"/>
      <c r="I1831" s="299"/>
      <c r="K1831" s="300"/>
      <c r="L1831" s="300"/>
    </row>
    <row r="1832" spans="1:12" x14ac:dyDescent="0.3">
      <c r="A1832"/>
      <c r="C1832"/>
      <c r="D1832"/>
      <c r="F1832"/>
      <c r="G1832"/>
      <c r="I1832" s="299"/>
      <c r="K1832" s="300"/>
      <c r="L1832" s="300"/>
    </row>
    <row r="1833" spans="1:12" x14ac:dyDescent="0.3">
      <c r="A1833"/>
      <c r="C1833"/>
      <c r="D1833"/>
      <c r="F1833"/>
      <c r="G1833"/>
      <c r="I1833" s="299"/>
      <c r="K1833" s="300"/>
      <c r="L1833" s="300"/>
    </row>
    <row r="1834" spans="1:12" x14ac:dyDescent="0.3">
      <c r="A1834"/>
      <c r="C1834"/>
      <c r="D1834"/>
      <c r="F1834"/>
      <c r="G1834"/>
      <c r="I1834" s="299"/>
      <c r="K1834" s="300"/>
      <c r="L1834" s="300"/>
    </row>
    <row r="1835" spans="1:12" x14ac:dyDescent="0.3">
      <c r="A1835"/>
      <c r="C1835"/>
      <c r="D1835"/>
      <c r="F1835"/>
      <c r="G1835"/>
      <c r="I1835" s="299"/>
      <c r="K1835" s="300"/>
      <c r="L1835" s="300"/>
    </row>
    <row r="1836" spans="1:12" x14ac:dyDescent="0.3">
      <c r="A1836"/>
      <c r="C1836"/>
      <c r="D1836"/>
      <c r="F1836"/>
      <c r="G1836"/>
      <c r="I1836" s="299"/>
      <c r="K1836" s="300"/>
      <c r="L1836" s="300"/>
    </row>
    <row r="1837" spans="1:12" x14ac:dyDescent="0.3">
      <c r="A1837"/>
      <c r="C1837"/>
      <c r="D1837"/>
      <c r="F1837"/>
      <c r="G1837"/>
      <c r="I1837" s="299"/>
      <c r="K1837" s="300"/>
      <c r="L1837" s="300"/>
    </row>
    <row r="1838" spans="1:12" x14ac:dyDescent="0.3">
      <c r="A1838"/>
      <c r="C1838"/>
      <c r="D1838"/>
      <c r="F1838"/>
      <c r="G1838"/>
      <c r="I1838" s="299"/>
      <c r="K1838" s="300"/>
      <c r="L1838" s="300"/>
    </row>
    <row r="1839" spans="1:12" x14ac:dyDescent="0.3">
      <c r="A1839"/>
      <c r="C1839"/>
      <c r="D1839"/>
      <c r="F1839"/>
      <c r="G1839"/>
      <c r="I1839" s="299"/>
      <c r="K1839" s="300"/>
      <c r="L1839" s="300"/>
    </row>
    <row r="1840" spans="1:12" x14ac:dyDescent="0.3">
      <c r="A1840"/>
      <c r="C1840"/>
      <c r="D1840"/>
      <c r="F1840"/>
      <c r="G1840"/>
      <c r="I1840" s="299"/>
      <c r="K1840" s="300"/>
      <c r="L1840" s="300"/>
    </row>
    <row r="1841" spans="1:12" x14ac:dyDescent="0.3">
      <c r="A1841"/>
      <c r="C1841"/>
      <c r="D1841"/>
      <c r="F1841"/>
      <c r="G1841"/>
      <c r="I1841" s="299"/>
      <c r="K1841" s="300"/>
      <c r="L1841" s="300"/>
    </row>
    <row r="1842" spans="1:12" x14ac:dyDescent="0.3">
      <c r="A1842"/>
      <c r="C1842"/>
      <c r="D1842"/>
      <c r="F1842"/>
      <c r="G1842"/>
      <c r="I1842" s="299"/>
      <c r="K1842" s="300"/>
      <c r="L1842" s="300"/>
    </row>
    <row r="1843" spans="1:12" x14ac:dyDescent="0.3">
      <c r="A1843"/>
      <c r="C1843"/>
      <c r="D1843"/>
      <c r="F1843"/>
      <c r="G1843"/>
      <c r="I1843" s="299"/>
      <c r="K1843" s="300"/>
      <c r="L1843" s="300"/>
    </row>
    <row r="1844" spans="1:12" x14ac:dyDescent="0.3">
      <c r="A1844"/>
      <c r="C1844"/>
      <c r="D1844"/>
      <c r="F1844"/>
      <c r="G1844"/>
      <c r="I1844" s="299"/>
      <c r="K1844" s="300"/>
      <c r="L1844" s="300"/>
    </row>
    <row r="1845" spans="1:12" x14ac:dyDescent="0.3">
      <c r="A1845"/>
      <c r="C1845"/>
      <c r="D1845"/>
      <c r="F1845"/>
      <c r="G1845"/>
      <c r="I1845" s="299"/>
      <c r="K1845" s="300"/>
      <c r="L1845" s="300"/>
    </row>
    <row r="1846" spans="1:12" x14ac:dyDescent="0.3">
      <c r="A1846"/>
      <c r="C1846"/>
      <c r="D1846"/>
      <c r="F1846"/>
      <c r="G1846"/>
      <c r="I1846" s="299"/>
      <c r="K1846" s="300"/>
      <c r="L1846" s="300"/>
    </row>
    <row r="1847" spans="1:12" x14ac:dyDescent="0.3">
      <c r="A1847"/>
      <c r="C1847"/>
      <c r="D1847"/>
      <c r="F1847"/>
      <c r="G1847"/>
      <c r="I1847" s="299"/>
      <c r="K1847" s="300"/>
      <c r="L1847" s="300"/>
    </row>
    <row r="1848" spans="1:12" x14ac:dyDescent="0.3">
      <c r="A1848"/>
      <c r="C1848"/>
      <c r="D1848"/>
      <c r="F1848"/>
      <c r="G1848"/>
      <c r="I1848" s="299"/>
      <c r="K1848" s="300"/>
      <c r="L1848" s="300"/>
    </row>
    <row r="1849" spans="1:12" x14ac:dyDescent="0.3">
      <c r="A1849"/>
      <c r="C1849"/>
      <c r="D1849"/>
      <c r="F1849"/>
      <c r="G1849"/>
      <c r="I1849" s="299"/>
      <c r="K1849" s="300"/>
      <c r="L1849" s="300"/>
    </row>
    <row r="1850" spans="1:12" x14ac:dyDescent="0.3">
      <c r="A1850"/>
      <c r="C1850"/>
      <c r="D1850"/>
      <c r="F1850"/>
      <c r="G1850"/>
      <c r="I1850" s="299"/>
      <c r="K1850" s="300"/>
      <c r="L1850" s="300"/>
    </row>
    <row r="1851" spans="1:12" x14ac:dyDescent="0.3">
      <c r="A1851"/>
      <c r="C1851"/>
      <c r="D1851"/>
      <c r="F1851"/>
      <c r="G1851"/>
      <c r="I1851" s="299"/>
      <c r="K1851" s="300"/>
      <c r="L1851" s="300"/>
    </row>
    <row r="1852" spans="1:12" x14ac:dyDescent="0.3">
      <c r="A1852"/>
      <c r="C1852"/>
      <c r="D1852"/>
      <c r="F1852"/>
      <c r="G1852"/>
      <c r="I1852" s="299"/>
      <c r="K1852" s="300"/>
      <c r="L1852" s="300"/>
    </row>
    <row r="1853" spans="1:12" x14ac:dyDescent="0.3">
      <c r="A1853"/>
      <c r="C1853"/>
      <c r="D1853"/>
      <c r="F1853"/>
      <c r="G1853"/>
      <c r="I1853" s="299"/>
      <c r="K1853" s="300"/>
      <c r="L1853" s="300"/>
    </row>
    <row r="1854" spans="1:12" x14ac:dyDescent="0.3">
      <c r="A1854"/>
      <c r="C1854"/>
      <c r="D1854"/>
      <c r="F1854"/>
      <c r="G1854"/>
      <c r="I1854" s="299"/>
      <c r="K1854" s="300"/>
      <c r="L1854" s="300"/>
    </row>
    <row r="1855" spans="1:12" x14ac:dyDescent="0.3">
      <c r="A1855"/>
      <c r="C1855"/>
      <c r="D1855"/>
      <c r="F1855"/>
      <c r="G1855"/>
      <c r="I1855" s="299"/>
      <c r="K1855" s="300"/>
      <c r="L1855" s="300"/>
    </row>
    <row r="1856" spans="1:12" x14ac:dyDescent="0.3">
      <c r="A1856"/>
      <c r="C1856"/>
      <c r="D1856"/>
      <c r="F1856"/>
      <c r="G1856"/>
      <c r="I1856" s="299"/>
      <c r="K1856" s="300"/>
      <c r="L1856" s="300"/>
    </row>
    <row r="1857" spans="1:12" x14ac:dyDescent="0.3">
      <c r="A1857"/>
      <c r="C1857"/>
      <c r="D1857"/>
      <c r="F1857"/>
      <c r="G1857"/>
      <c r="I1857" s="299"/>
      <c r="K1857" s="300"/>
      <c r="L1857" s="300"/>
    </row>
    <row r="1858" spans="1:12" x14ac:dyDescent="0.3">
      <c r="A1858"/>
      <c r="C1858"/>
      <c r="D1858"/>
      <c r="F1858"/>
      <c r="G1858"/>
      <c r="I1858" s="299"/>
      <c r="K1858" s="300"/>
      <c r="L1858" s="300"/>
    </row>
    <row r="1859" spans="1:12" x14ac:dyDescent="0.3">
      <c r="A1859"/>
      <c r="C1859"/>
      <c r="D1859"/>
      <c r="F1859"/>
      <c r="G1859"/>
      <c r="I1859" s="299"/>
      <c r="K1859" s="300"/>
      <c r="L1859" s="300"/>
    </row>
    <row r="1860" spans="1:12" x14ac:dyDescent="0.3">
      <c r="A1860"/>
      <c r="C1860"/>
      <c r="D1860"/>
      <c r="F1860"/>
      <c r="G1860"/>
      <c r="I1860" s="299"/>
      <c r="K1860" s="300"/>
      <c r="L1860" s="300"/>
    </row>
    <row r="1861" spans="1:12" x14ac:dyDescent="0.3">
      <c r="A1861"/>
      <c r="C1861"/>
      <c r="D1861"/>
      <c r="F1861"/>
      <c r="G1861"/>
      <c r="I1861" s="299"/>
      <c r="K1861" s="300"/>
      <c r="L1861" s="300"/>
    </row>
    <row r="1862" spans="1:12" x14ac:dyDescent="0.3">
      <c r="A1862"/>
      <c r="C1862"/>
      <c r="D1862"/>
      <c r="F1862"/>
      <c r="G1862"/>
      <c r="I1862" s="299"/>
      <c r="K1862" s="300"/>
      <c r="L1862" s="300"/>
    </row>
    <row r="1863" spans="1:12" x14ac:dyDescent="0.3">
      <c r="A1863"/>
      <c r="C1863"/>
      <c r="D1863"/>
      <c r="F1863"/>
      <c r="G1863"/>
      <c r="I1863" s="299"/>
      <c r="K1863" s="300"/>
      <c r="L1863" s="300"/>
    </row>
    <row r="1864" spans="1:12" x14ac:dyDescent="0.3">
      <c r="A1864"/>
      <c r="C1864"/>
      <c r="D1864"/>
      <c r="F1864"/>
      <c r="G1864"/>
      <c r="I1864" s="299"/>
      <c r="K1864" s="300"/>
      <c r="L1864" s="300"/>
    </row>
    <row r="1865" spans="1:12" x14ac:dyDescent="0.3">
      <c r="A1865"/>
      <c r="C1865"/>
      <c r="D1865"/>
      <c r="F1865"/>
      <c r="G1865"/>
      <c r="I1865" s="299"/>
      <c r="K1865" s="300"/>
      <c r="L1865" s="300"/>
    </row>
    <row r="1866" spans="1:12" x14ac:dyDescent="0.3">
      <c r="A1866"/>
      <c r="C1866"/>
      <c r="D1866"/>
      <c r="F1866"/>
      <c r="G1866"/>
      <c r="I1866" s="299"/>
      <c r="K1866" s="300"/>
      <c r="L1866" s="300"/>
    </row>
    <row r="1867" spans="1:12" x14ac:dyDescent="0.3">
      <c r="A1867"/>
      <c r="C1867"/>
      <c r="D1867"/>
      <c r="F1867"/>
      <c r="G1867"/>
      <c r="I1867" s="299"/>
      <c r="K1867" s="300"/>
      <c r="L1867" s="300"/>
    </row>
    <row r="1868" spans="1:12" x14ac:dyDescent="0.3">
      <c r="A1868"/>
      <c r="C1868"/>
      <c r="D1868"/>
      <c r="F1868"/>
      <c r="G1868"/>
      <c r="I1868" s="299"/>
      <c r="K1868" s="300"/>
      <c r="L1868" s="300"/>
    </row>
    <row r="1869" spans="1:12" x14ac:dyDescent="0.3">
      <c r="A1869"/>
      <c r="C1869"/>
      <c r="D1869"/>
      <c r="F1869"/>
      <c r="G1869"/>
      <c r="I1869" s="299"/>
      <c r="K1869" s="300"/>
      <c r="L1869" s="300"/>
    </row>
    <row r="1870" spans="1:12" x14ac:dyDescent="0.3">
      <c r="A1870"/>
      <c r="C1870"/>
      <c r="D1870"/>
      <c r="F1870"/>
      <c r="G1870"/>
      <c r="I1870" s="299"/>
      <c r="K1870" s="300"/>
      <c r="L1870" s="300"/>
    </row>
    <row r="1871" spans="1:12" x14ac:dyDescent="0.3">
      <c r="A1871"/>
      <c r="C1871"/>
      <c r="D1871"/>
      <c r="F1871"/>
      <c r="G1871"/>
      <c r="I1871" s="299"/>
      <c r="K1871" s="300"/>
      <c r="L1871" s="300"/>
    </row>
    <row r="1872" spans="1:12" x14ac:dyDescent="0.3">
      <c r="A1872"/>
      <c r="C1872"/>
      <c r="D1872"/>
      <c r="F1872"/>
      <c r="G1872"/>
      <c r="I1872" s="299"/>
      <c r="K1872" s="300"/>
      <c r="L1872" s="300"/>
    </row>
    <row r="1873" spans="1:12" x14ac:dyDescent="0.3">
      <c r="A1873"/>
      <c r="C1873"/>
      <c r="D1873"/>
      <c r="F1873"/>
      <c r="G1873"/>
      <c r="I1873" s="299"/>
      <c r="K1873" s="300"/>
      <c r="L1873" s="300"/>
    </row>
    <row r="1874" spans="1:12" x14ac:dyDescent="0.3">
      <c r="A1874"/>
      <c r="C1874"/>
      <c r="D1874"/>
      <c r="F1874"/>
      <c r="G1874"/>
      <c r="I1874" s="299"/>
      <c r="K1874" s="300"/>
      <c r="L1874" s="300"/>
    </row>
    <row r="1875" spans="1:12" x14ac:dyDescent="0.3">
      <c r="A1875"/>
      <c r="C1875"/>
      <c r="D1875"/>
      <c r="F1875"/>
      <c r="G1875"/>
      <c r="I1875" s="299"/>
      <c r="K1875" s="300"/>
      <c r="L1875" s="300"/>
    </row>
    <row r="1876" spans="1:12" x14ac:dyDescent="0.3">
      <c r="A1876"/>
      <c r="C1876"/>
      <c r="D1876"/>
      <c r="F1876"/>
      <c r="G1876"/>
      <c r="I1876" s="299"/>
      <c r="K1876" s="300"/>
      <c r="L1876" s="300"/>
    </row>
    <row r="1877" spans="1:12" x14ac:dyDescent="0.3">
      <c r="A1877"/>
      <c r="C1877"/>
      <c r="D1877"/>
      <c r="F1877"/>
      <c r="G1877"/>
      <c r="I1877" s="299"/>
      <c r="K1877" s="300"/>
      <c r="L1877" s="300"/>
    </row>
    <row r="1878" spans="1:12" x14ac:dyDescent="0.3">
      <c r="A1878"/>
      <c r="C1878"/>
      <c r="D1878"/>
      <c r="F1878"/>
      <c r="G1878"/>
      <c r="I1878" s="299"/>
      <c r="K1878" s="300"/>
      <c r="L1878" s="300"/>
    </row>
    <row r="1879" spans="1:12" x14ac:dyDescent="0.3">
      <c r="A1879"/>
      <c r="C1879"/>
      <c r="D1879"/>
      <c r="F1879"/>
      <c r="G1879"/>
      <c r="I1879" s="299"/>
      <c r="K1879" s="300"/>
      <c r="L1879" s="300"/>
    </row>
    <row r="1880" spans="1:12" x14ac:dyDescent="0.3">
      <c r="A1880"/>
      <c r="C1880"/>
      <c r="D1880"/>
      <c r="F1880"/>
      <c r="G1880"/>
      <c r="I1880" s="299"/>
      <c r="K1880" s="300"/>
      <c r="L1880" s="300"/>
    </row>
    <row r="1881" spans="1:12" x14ac:dyDescent="0.3">
      <c r="A1881"/>
      <c r="C1881"/>
      <c r="D1881"/>
      <c r="F1881"/>
      <c r="G1881"/>
      <c r="I1881" s="299"/>
      <c r="K1881" s="300"/>
      <c r="L1881" s="300"/>
    </row>
    <row r="1882" spans="1:12" x14ac:dyDescent="0.3">
      <c r="A1882"/>
      <c r="C1882"/>
      <c r="D1882"/>
      <c r="F1882"/>
      <c r="G1882"/>
      <c r="I1882" s="299"/>
      <c r="K1882" s="300"/>
      <c r="L1882" s="300"/>
    </row>
    <row r="1883" spans="1:12" x14ac:dyDescent="0.3">
      <c r="A1883"/>
      <c r="C1883"/>
      <c r="D1883"/>
      <c r="F1883"/>
      <c r="G1883"/>
      <c r="I1883" s="299"/>
      <c r="K1883" s="300"/>
      <c r="L1883" s="300"/>
    </row>
    <row r="1884" spans="1:12" x14ac:dyDescent="0.3">
      <c r="A1884"/>
      <c r="C1884"/>
      <c r="D1884"/>
      <c r="F1884"/>
      <c r="G1884"/>
      <c r="I1884" s="299"/>
      <c r="K1884" s="300"/>
      <c r="L1884" s="300"/>
    </row>
    <row r="1885" spans="1:12" x14ac:dyDescent="0.3">
      <c r="A1885"/>
      <c r="C1885"/>
      <c r="D1885"/>
      <c r="F1885"/>
      <c r="G1885"/>
      <c r="I1885" s="299"/>
      <c r="K1885" s="300"/>
      <c r="L1885" s="300"/>
    </row>
    <row r="1886" spans="1:12" x14ac:dyDescent="0.3">
      <c r="A1886"/>
      <c r="C1886"/>
      <c r="D1886"/>
      <c r="F1886"/>
      <c r="G1886"/>
      <c r="I1886" s="299"/>
      <c r="K1886" s="300"/>
      <c r="L1886" s="300"/>
    </row>
    <row r="1887" spans="1:12" x14ac:dyDescent="0.3">
      <c r="A1887"/>
      <c r="C1887"/>
      <c r="D1887"/>
      <c r="F1887"/>
      <c r="G1887"/>
      <c r="I1887" s="299"/>
      <c r="K1887" s="300"/>
      <c r="L1887" s="300"/>
    </row>
    <row r="1888" spans="1:12" x14ac:dyDescent="0.3">
      <c r="A1888"/>
      <c r="C1888"/>
      <c r="D1888"/>
      <c r="F1888"/>
      <c r="G1888"/>
      <c r="I1888" s="299"/>
      <c r="K1888" s="300"/>
      <c r="L1888" s="300"/>
    </row>
    <row r="1889" spans="1:12" x14ac:dyDescent="0.3">
      <c r="A1889"/>
      <c r="C1889"/>
      <c r="D1889"/>
      <c r="F1889"/>
      <c r="G1889"/>
      <c r="I1889" s="299"/>
      <c r="K1889" s="300"/>
      <c r="L1889" s="300"/>
    </row>
    <row r="1890" spans="1:12" x14ac:dyDescent="0.3">
      <c r="A1890"/>
      <c r="C1890"/>
      <c r="D1890"/>
      <c r="F1890"/>
      <c r="G1890"/>
      <c r="I1890" s="299"/>
      <c r="K1890" s="300"/>
      <c r="L1890" s="300"/>
    </row>
    <row r="1891" spans="1:12" x14ac:dyDescent="0.3">
      <c r="A1891"/>
      <c r="C1891"/>
      <c r="D1891"/>
      <c r="F1891"/>
      <c r="G1891"/>
      <c r="I1891" s="299"/>
      <c r="K1891" s="300"/>
      <c r="L1891" s="300"/>
    </row>
    <row r="1892" spans="1:12" x14ac:dyDescent="0.3">
      <c r="A1892"/>
      <c r="C1892"/>
      <c r="D1892"/>
      <c r="F1892"/>
      <c r="G1892"/>
      <c r="I1892" s="299"/>
      <c r="K1892" s="300"/>
      <c r="L1892" s="300"/>
    </row>
    <row r="1893" spans="1:12" x14ac:dyDescent="0.3">
      <c r="A1893"/>
      <c r="C1893"/>
      <c r="D1893"/>
      <c r="F1893"/>
      <c r="G1893"/>
      <c r="I1893" s="299"/>
      <c r="K1893" s="300"/>
      <c r="L1893" s="300"/>
    </row>
    <row r="1894" spans="1:12" x14ac:dyDescent="0.3">
      <c r="A1894"/>
      <c r="C1894"/>
      <c r="D1894"/>
      <c r="F1894"/>
      <c r="G1894"/>
      <c r="I1894" s="299"/>
      <c r="K1894" s="300"/>
      <c r="L1894" s="300"/>
    </row>
    <row r="1895" spans="1:12" x14ac:dyDescent="0.3">
      <c r="A1895"/>
      <c r="C1895"/>
      <c r="D1895"/>
      <c r="F1895"/>
      <c r="G1895"/>
      <c r="I1895" s="299"/>
      <c r="K1895" s="300"/>
      <c r="L1895" s="300"/>
    </row>
    <row r="1896" spans="1:12" x14ac:dyDescent="0.3">
      <c r="A1896"/>
      <c r="C1896"/>
      <c r="D1896"/>
      <c r="F1896"/>
      <c r="G1896"/>
      <c r="I1896" s="299"/>
      <c r="K1896" s="300"/>
      <c r="L1896" s="300"/>
    </row>
    <row r="1897" spans="1:12" x14ac:dyDescent="0.3">
      <c r="A1897"/>
      <c r="C1897"/>
      <c r="D1897"/>
      <c r="F1897"/>
      <c r="G1897"/>
      <c r="I1897" s="299"/>
      <c r="K1897" s="300"/>
      <c r="L1897" s="300"/>
    </row>
    <row r="1898" spans="1:12" x14ac:dyDescent="0.3">
      <c r="A1898"/>
      <c r="C1898"/>
      <c r="D1898"/>
      <c r="F1898"/>
      <c r="G1898"/>
      <c r="I1898" s="299"/>
      <c r="K1898" s="300"/>
      <c r="L1898" s="300"/>
    </row>
    <row r="1899" spans="1:12" x14ac:dyDescent="0.3">
      <c r="A1899"/>
      <c r="C1899"/>
      <c r="D1899"/>
      <c r="F1899"/>
      <c r="G1899"/>
      <c r="I1899" s="299"/>
      <c r="K1899" s="300"/>
      <c r="L1899" s="300"/>
    </row>
    <row r="1900" spans="1:12" x14ac:dyDescent="0.3">
      <c r="A1900"/>
      <c r="C1900"/>
      <c r="D1900"/>
      <c r="F1900"/>
      <c r="G1900"/>
      <c r="I1900" s="299"/>
      <c r="K1900" s="300"/>
      <c r="L1900" s="300"/>
    </row>
    <row r="1901" spans="1:12" x14ac:dyDescent="0.3">
      <c r="A1901"/>
      <c r="C1901"/>
      <c r="D1901"/>
      <c r="F1901"/>
      <c r="G1901"/>
      <c r="I1901" s="299"/>
      <c r="K1901" s="300"/>
      <c r="L1901" s="300"/>
    </row>
    <row r="1902" spans="1:12" x14ac:dyDescent="0.3">
      <c r="A1902"/>
      <c r="C1902"/>
      <c r="D1902"/>
      <c r="F1902"/>
      <c r="G1902"/>
      <c r="I1902" s="299"/>
      <c r="K1902" s="300"/>
      <c r="L1902" s="300"/>
    </row>
    <row r="1903" spans="1:12" x14ac:dyDescent="0.3">
      <c r="A1903"/>
      <c r="C1903"/>
      <c r="D1903"/>
      <c r="F1903"/>
      <c r="G1903"/>
      <c r="I1903" s="299"/>
      <c r="K1903" s="300"/>
      <c r="L1903" s="300"/>
    </row>
    <row r="1904" spans="1:12" x14ac:dyDescent="0.3">
      <c r="A1904"/>
      <c r="C1904"/>
      <c r="D1904"/>
      <c r="F1904"/>
      <c r="G1904"/>
      <c r="I1904" s="299"/>
      <c r="K1904" s="300"/>
      <c r="L1904" s="300"/>
    </row>
    <row r="1905" spans="1:12" x14ac:dyDescent="0.3">
      <c r="A1905"/>
      <c r="C1905"/>
      <c r="D1905"/>
      <c r="F1905"/>
      <c r="G1905"/>
      <c r="I1905" s="299"/>
      <c r="K1905" s="300"/>
      <c r="L1905" s="300"/>
    </row>
    <row r="1906" spans="1:12" x14ac:dyDescent="0.3">
      <c r="A1906"/>
      <c r="C1906"/>
      <c r="D1906"/>
      <c r="F1906"/>
      <c r="G1906"/>
      <c r="I1906" s="299"/>
      <c r="K1906" s="300"/>
      <c r="L1906" s="300"/>
    </row>
    <row r="1907" spans="1:12" x14ac:dyDescent="0.3">
      <c r="A1907"/>
      <c r="C1907"/>
      <c r="D1907"/>
      <c r="F1907"/>
      <c r="G1907"/>
      <c r="I1907" s="299"/>
      <c r="K1907" s="300"/>
      <c r="L1907" s="300"/>
    </row>
    <row r="1908" spans="1:12" x14ac:dyDescent="0.3">
      <c r="A1908"/>
      <c r="C1908"/>
      <c r="D1908"/>
      <c r="F1908"/>
      <c r="G1908"/>
      <c r="I1908" s="299"/>
      <c r="K1908" s="300"/>
      <c r="L1908" s="300"/>
    </row>
    <row r="1909" spans="1:12" x14ac:dyDescent="0.3">
      <c r="A1909"/>
      <c r="C1909"/>
      <c r="D1909"/>
      <c r="F1909"/>
      <c r="G1909"/>
      <c r="I1909" s="299"/>
      <c r="K1909" s="300"/>
      <c r="L1909" s="300"/>
    </row>
    <row r="1910" spans="1:12" x14ac:dyDescent="0.3">
      <c r="A1910"/>
      <c r="C1910"/>
      <c r="D1910"/>
      <c r="F1910"/>
      <c r="G1910"/>
      <c r="I1910" s="299"/>
      <c r="K1910" s="300"/>
      <c r="L1910" s="300"/>
    </row>
    <row r="1911" spans="1:12" x14ac:dyDescent="0.3">
      <c r="A1911"/>
      <c r="C1911"/>
      <c r="D1911"/>
      <c r="F1911"/>
      <c r="G1911"/>
      <c r="I1911" s="299"/>
      <c r="K1911" s="300"/>
      <c r="L1911" s="300"/>
    </row>
    <row r="1912" spans="1:12" x14ac:dyDescent="0.3">
      <c r="A1912"/>
      <c r="C1912"/>
      <c r="D1912"/>
      <c r="F1912"/>
      <c r="G1912"/>
      <c r="I1912" s="299"/>
      <c r="K1912" s="300"/>
      <c r="L1912" s="300"/>
    </row>
    <row r="1913" spans="1:12" x14ac:dyDescent="0.3">
      <c r="A1913"/>
      <c r="C1913"/>
      <c r="D1913"/>
      <c r="F1913"/>
      <c r="G1913"/>
      <c r="I1913" s="299"/>
      <c r="K1913" s="300"/>
      <c r="L1913" s="300"/>
    </row>
    <row r="1914" spans="1:12" x14ac:dyDescent="0.3">
      <c r="A1914"/>
      <c r="C1914"/>
      <c r="D1914"/>
      <c r="F1914"/>
      <c r="G1914"/>
      <c r="I1914" s="299"/>
      <c r="K1914" s="300"/>
      <c r="L1914" s="300"/>
    </row>
    <row r="1915" spans="1:12" x14ac:dyDescent="0.3">
      <c r="A1915"/>
      <c r="C1915"/>
      <c r="D1915"/>
      <c r="F1915"/>
      <c r="G1915"/>
      <c r="I1915" s="299"/>
      <c r="K1915" s="300"/>
      <c r="L1915" s="300"/>
    </row>
    <row r="1916" spans="1:12" x14ac:dyDescent="0.3">
      <c r="A1916"/>
      <c r="C1916"/>
      <c r="D1916"/>
      <c r="F1916"/>
      <c r="G1916"/>
      <c r="I1916" s="299"/>
      <c r="K1916" s="300"/>
      <c r="L1916" s="300"/>
    </row>
    <row r="1917" spans="1:12" x14ac:dyDescent="0.3">
      <c r="A1917"/>
      <c r="C1917"/>
      <c r="D1917"/>
      <c r="F1917"/>
      <c r="G1917"/>
      <c r="I1917" s="299"/>
      <c r="K1917" s="300"/>
      <c r="L1917" s="300"/>
    </row>
    <row r="1918" spans="1:12" x14ac:dyDescent="0.3">
      <c r="A1918"/>
      <c r="C1918"/>
      <c r="D1918"/>
      <c r="F1918"/>
      <c r="G1918"/>
      <c r="I1918" s="299"/>
      <c r="K1918" s="300"/>
      <c r="L1918" s="300"/>
    </row>
    <row r="1919" spans="1:12" x14ac:dyDescent="0.3">
      <c r="A1919"/>
      <c r="C1919"/>
      <c r="D1919"/>
      <c r="F1919"/>
      <c r="G1919"/>
      <c r="I1919" s="299"/>
      <c r="K1919" s="300"/>
      <c r="L1919" s="300"/>
    </row>
    <row r="1920" spans="1:12" x14ac:dyDescent="0.3">
      <c r="A1920"/>
      <c r="C1920"/>
      <c r="D1920"/>
      <c r="F1920"/>
      <c r="G1920"/>
      <c r="I1920" s="299"/>
      <c r="K1920" s="300"/>
      <c r="L1920" s="300"/>
    </row>
    <row r="1921" spans="1:12" x14ac:dyDescent="0.3">
      <c r="A1921"/>
      <c r="C1921"/>
      <c r="D1921"/>
      <c r="F1921"/>
      <c r="G1921"/>
      <c r="I1921" s="299"/>
      <c r="K1921" s="300"/>
      <c r="L1921" s="300"/>
    </row>
    <row r="1922" spans="1:12" x14ac:dyDescent="0.3">
      <c r="A1922"/>
      <c r="C1922"/>
      <c r="D1922"/>
      <c r="F1922"/>
      <c r="G1922"/>
      <c r="I1922" s="299"/>
      <c r="K1922" s="300"/>
      <c r="L1922" s="300"/>
    </row>
    <row r="1923" spans="1:12" x14ac:dyDescent="0.3">
      <c r="A1923"/>
      <c r="C1923"/>
      <c r="D1923"/>
      <c r="F1923"/>
      <c r="G1923"/>
      <c r="I1923" s="299"/>
      <c r="K1923" s="300"/>
      <c r="L1923" s="300"/>
    </row>
    <row r="1924" spans="1:12" x14ac:dyDescent="0.3">
      <c r="A1924"/>
      <c r="C1924"/>
      <c r="D1924"/>
      <c r="F1924"/>
      <c r="G1924"/>
      <c r="I1924" s="299"/>
      <c r="K1924" s="300"/>
      <c r="L1924" s="300"/>
    </row>
    <row r="1925" spans="1:12" x14ac:dyDescent="0.3">
      <c r="A1925"/>
      <c r="C1925"/>
      <c r="D1925"/>
      <c r="F1925"/>
      <c r="G1925"/>
      <c r="I1925" s="299"/>
      <c r="K1925" s="300"/>
      <c r="L1925" s="300"/>
    </row>
    <row r="1926" spans="1:12" x14ac:dyDescent="0.3">
      <c r="A1926"/>
      <c r="C1926"/>
      <c r="D1926"/>
      <c r="F1926"/>
      <c r="G1926"/>
      <c r="I1926" s="299"/>
      <c r="K1926" s="300"/>
      <c r="L1926" s="300"/>
    </row>
    <row r="1927" spans="1:12" x14ac:dyDescent="0.3">
      <c r="A1927"/>
      <c r="C1927"/>
      <c r="D1927"/>
      <c r="F1927"/>
      <c r="G1927"/>
      <c r="I1927" s="299"/>
      <c r="K1927" s="300"/>
      <c r="L1927" s="300"/>
    </row>
    <row r="1928" spans="1:12" x14ac:dyDescent="0.3">
      <c r="A1928"/>
      <c r="C1928"/>
      <c r="D1928"/>
      <c r="F1928"/>
      <c r="G1928"/>
      <c r="I1928" s="299"/>
      <c r="K1928" s="300"/>
      <c r="L1928" s="300"/>
    </row>
    <row r="1929" spans="1:12" x14ac:dyDescent="0.3">
      <c r="A1929"/>
      <c r="C1929"/>
      <c r="D1929"/>
      <c r="F1929"/>
      <c r="G1929"/>
      <c r="I1929" s="299"/>
      <c r="K1929" s="300"/>
      <c r="L1929" s="300"/>
    </row>
    <row r="1930" spans="1:12" x14ac:dyDescent="0.3">
      <c r="A1930"/>
      <c r="C1930"/>
      <c r="D1930"/>
      <c r="F1930"/>
      <c r="G1930"/>
      <c r="I1930" s="299"/>
      <c r="K1930" s="300"/>
      <c r="L1930" s="300"/>
    </row>
    <row r="1931" spans="1:12" x14ac:dyDescent="0.3">
      <c r="A1931"/>
      <c r="C1931"/>
      <c r="D1931"/>
      <c r="F1931"/>
      <c r="G1931"/>
      <c r="I1931" s="299"/>
      <c r="K1931" s="300"/>
      <c r="L1931" s="300"/>
    </row>
    <row r="1932" spans="1:12" x14ac:dyDescent="0.3">
      <c r="A1932"/>
      <c r="C1932"/>
      <c r="D1932"/>
      <c r="F1932"/>
      <c r="G1932"/>
      <c r="I1932" s="299"/>
      <c r="K1932" s="300"/>
      <c r="L1932" s="300"/>
    </row>
    <row r="1933" spans="1:12" x14ac:dyDescent="0.3">
      <c r="A1933"/>
      <c r="C1933"/>
      <c r="D1933"/>
      <c r="F1933"/>
      <c r="G1933"/>
      <c r="I1933" s="299"/>
      <c r="K1933" s="300"/>
      <c r="L1933" s="300"/>
    </row>
    <row r="1934" spans="1:12" x14ac:dyDescent="0.3">
      <c r="A1934"/>
      <c r="C1934"/>
      <c r="D1934"/>
      <c r="F1934"/>
      <c r="G1934"/>
      <c r="I1934" s="299"/>
      <c r="K1934" s="300"/>
      <c r="L1934" s="300"/>
    </row>
    <row r="1935" spans="1:12" x14ac:dyDescent="0.3">
      <c r="A1935"/>
      <c r="C1935"/>
      <c r="D1935"/>
      <c r="F1935"/>
      <c r="G1935"/>
      <c r="I1935" s="299"/>
      <c r="K1935" s="300"/>
      <c r="L1935" s="300"/>
    </row>
    <row r="1936" spans="1:12" x14ac:dyDescent="0.3">
      <c r="A1936"/>
      <c r="C1936"/>
      <c r="D1936"/>
      <c r="F1936"/>
      <c r="G1936"/>
      <c r="I1936" s="299"/>
      <c r="K1936" s="300"/>
      <c r="L1936" s="300"/>
    </row>
    <row r="1937" spans="1:12" x14ac:dyDescent="0.3">
      <c r="A1937"/>
      <c r="C1937"/>
      <c r="D1937"/>
      <c r="F1937"/>
      <c r="G1937"/>
      <c r="I1937" s="299"/>
      <c r="K1937" s="300"/>
      <c r="L1937" s="300"/>
    </row>
    <row r="1938" spans="1:12" x14ac:dyDescent="0.3">
      <c r="A1938"/>
      <c r="C1938"/>
      <c r="D1938"/>
      <c r="F1938"/>
      <c r="G1938"/>
      <c r="I1938" s="299"/>
      <c r="K1938" s="300"/>
      <c r="L1938" s="300"/>
    </row>
    <row r="1939" spans="1:12" x14ac:dyDescent="0.3">
      <c r="A1939"/>
      <c r="C1939"/>
      <c r="D1939"/>
      <c r="F1939"/>
      <c r="G1939"/>
      <c r="I1939" s="299"/>
      <c r="K1939" s="300"/>
      <c r="L1939" s="300"/>
    </row>
    <row r="1940" spans="1:12" x14ac:dyDescent="0.3">
      <c r="A1940"/>
      <c r="C1940"/>
      <c r="D1940"/>
      <c r="F1940"/>
      <c r="G1940"/>
      <c r="I1940" s="299"/>
      <c r="K1940" s="300"/>
      <c r="L1940" s="300"/>
    </row>
    <row r="1941" spans="1:12" x14ac:dyDescent="0.3">
      <c r="A1941"/>
      <c r="C1941"/>
      <c r="D1941"/>
      <c r="F1941"/>
      <c r="G1941"/>
      <c r="I1941" s="299"/>
      <c r="K1941" s="300"/>
      <c r="L1941" s="300"/>
    </row>
    <row r="1942" spans="1:12" x14ac:dyDescent="0.3">
      <c r="A1942"/>
      <c r="C1942"/>
      <c r="D1942"/>
      <c r="F1942"/>
      <c r="G1942"/>
      <c r="I1942" s="299"/>
      <c r="K1942" s="300"/>
      <c r="L1942" s="300"/>
    </row>
    <row r="1943" spans="1:12" x14ac:dyDescent="0.3">
      <c r="A1943"/>
      <c r="C1943"/>
      <c r="D1943"/>
      <c r="F1943"/>
      <c r="G1943"/>
      <c r="I1943" s="299"/>
      <c r="K1943" s="300"/>
      <c r="L1943" s="300"/>
    </row>
    <row r="1944" spans="1:12" x14ac:dyDescent="0.3">
      <c r="A1944"/>
      <c r="C1944"/>
      <c r="D1944"/>
      <c r="F1944"/>
      <c r="G1944"/>
      <c r="I1944" s="299"/>
      <c r="K1944" s="300"/>
      <c r="L1944" s="300"/>
    </row>
    <row r="1945" spans="1:12" x14ac:dyDescent="0.3">
      <c r="A1945"/>
      <c r="C1945"/>
      <c r="D1945"/>
      <c r="F1945"/>
      <c r="G1945"/>
      <c r="I1945" s="299"/>
      <c r="K1945" s="300"/>
      <c r="L1945" s="300"/>
    </row>
    <row r="1946" spans="1:12" x14ac:dyDescent="0.3">
      <c r="A1946"/>
      <c r="C1946"/>
      <c r="D1946"/>
      <c r="F1946"/>
      <c r="G1946"/>
      <c r="I1946" s="299"/>
      <c r="K1946" s="300"/>
      <c r="L1946" s="300"/>
    </row>
    <row r="1947" spans="1:12" x14ac:dyDescent="0.3">
      <c r="A1947"/>
      <c r="C1947"/>
      <c r="D1947"/>
      <c r="F1947"/>
      <c r="G1947"/>
      <c r="I1947" s="299"/>
      <c r="K1947" s="300"/>
      <c r="L1947" s="300"/>
    </row>
    <row r="1948" spans="1:12" x14ac:dyDescent="0.3">
      <c r="A1948"/>
      <c r="C1948"/>
      <c r="D1948"/>
      <c r="F1948"/>
      <c r="G1948"/>
      <c r="I1948" s="299"/>
      <c r="K1948" s="300"/>
      <c r="L1948" s="300"/>
    </row>
    <row r="1949" spans="1:12" x14ac:dyDescent="0.3">
      <c r="A1949"/>
      <c r="C1949"/>
      <c r="D1949"/>
      <c r="F1949"/>
      <c r="G1949"/>
      <c r="I1949" s="299"/>
      <c r="K1949" s="300"/>
      <c r="L1949" s="300"/>
    </row>
    <row r="1950" spans="1:12" x14ac:dyDescent="0.3">
      <c r="A1950"/>
      <c r="C1950"/>
      <c r="D1950"/>
      <c r="F1950"/>
      <c r="G1950"/>
      <c r="I1950" s="299"/>
      <c r="K1950" s="300"/>
      <c r="L1950" s="300"/>
    </row>
    <row r="1951" spans="1:12" x14ac:dyDescent="0.3">
      <c r="A1951"/>
      <c r="C1951"/>
      <c r="D1951"/>
      <c r="F1951"/>
      <c r="G1951"/>
      <c r="I1951" s="299"/>
      <c r="K1951" s="300"/>
      <c r="L1951" s="300"/>
    </row>
    <row r="1952" spans="1:12" x14ac:dyDescent="0.3">
      <c r="A1952"/>
      <c r="C1952"/>
      <c r="D1952"/>
      <c r="F1952"/>
      <c r="G1952"/>
      <c r="I1952" s="299"/>
      <c r="K1952" s="300"/>
      <c r="L1952" s="300"/>
    </row>
    <row r="1953" spans="1:12" x14ac:dyDescent="0.3">
      <c r="A1953"/>
      <c r="C1953"/>
      <c r="D1953"/>
      <c r="F1953"/>
      <c r="G1953"/>
      <c r="I1953" s="299"/>
      <c r="K1953" s="300"/>
      <c r="L1953" s="300"/>
    </row>
    <row r="1954" spans="1:12" x14ac:dyDescent="0.3">
      <c r="A1954"/>
      <c r="C1954"/>
      <c r="D1954"/>
      <c r="F1954"/>
      <c r="G1954"/>
      <c r="I1954" s="299"/>
      <c r="K1954" s="300"/>
      <c r="L1954" s="300"/>
    </row>
    <row r="1955" spans="1:12" x14ac:dyDescent="0.3">
      <c r="A1955"/>
      <c r="C1955"/>
      <c r="D1955"/>
      <c r="F1955"/>
      <c r="G1955"/>
      <c r="I1955" s="299"/>
      <c r="K1955" s="300"/>
      <c r="L1955" s="300"/>
    </row>
    <row r="1956" spans="1:12" x14ac:dyDescent="0.3">
      <c r="A1956"/>
      <c r="C1956"/>
      <c r="D1956"/>
      <c r="F1956"/>
      <c r="G1956"/>
      <c r="I1956" s="299"/>
      <c r="K1956" s="300"/>
      <c r="L1956" s="300"/>
    </row>
    <row r="1957" spans="1:12" x14ac:dyDescent="0.3">
      <c r="A1957"/>
      <c r="C1957"/>
      <c r="D1957"/>
      <c r="F1957"/>
      <c r="G1957"/>
      <c r="I1957" s="299"/>
      <c r="K1957" s="300"/>
      <c r="L1957" s="300"/>
    </row>
    <row r="1958" spans="1:12" x14ac:dyDescent="0.3">
      <c r="A1958"/>
      <c r="C1958"/>
      <c r="D1958"/>
      <c r="F1958"/>
      <c r="G1958"/>
      <c r="I1958" s="299"/>
      <c r="K1958" s="300"/>
      <c r="L1958" s="300"/>
    </row>
    <row r="1959" spans="1:12" x14ac:dyDescent="0.3">
      <c r="A1959"/>
      <c r="C1959"/>
      <c r="D1959"/>
      <c r="F1959"/>
      <c r="G1959"/>
      <c r="I1959" s="299"/>
      <c r="K1959" s="300"/>
      <c r="L1959" s="300"/>
    </row>
    <row r="1960" spans="1:12" x14ac:dyDescent="0.3">
      <c r="A1960"/>
      <c r="C1960"/>
      <c r="D1960"/>
      <c r="F1960"/>
      <c r="G1960"/>
      <c r="I1960" s="299"/>
      <c r="K1960" s="300"/>
      <c r="L1960" s="300"/>
    </row>
    <row r="1961" spans="1:12" x14ac:dyDescent="0.3">
      <c r="A1961"/>
      <c r="C1961"/>
      <c r="D1961"/>
      <c r="F1961"/>
      <c r="G1961"/>
      <c r="I1961" s="299"/>
      <c r="K1961" s="300"/>
      <c r="L1961" s="300"/>
    </row>
    <row r="1962" spans="1:12" x14ac:dyDescent="0.3">
      <c r="A1962"/>
      <c r="C1962"/>
      <c r="D1962"/>
      <c r="F1962"/>
      <c r="G1962"/>
      <c r="I1962" s="299"/>
      <c r="K1962" s="300"/>
      <c r="L1962" s="300"/>
    </row>
    <row r="1963" spans="1:12" x14ac:dyDescent="0.3">
      <c r="A1963"/>
      <c r="C1963"/>
      <c r="D1963"/>
      <c r="F1963"/>
      <c r="G1963"/>
      <c r="I1963" s="299"/>
      <c r="K1963" s="300"/>
      <c r="L1963" s="300"/>
    </row>
    <row r="1964" spans="1:12" x14ac:dyDescent="0.3">
      <c r="A1964"/>
      <c r="C1964"/>
      <c r="D1964"/>
      <c r="F1964"/>
      <c r="G1964"/>
      <c r="I1964" s="299"/>
      <c r="K1964" s="300"/>
      <c r="L1964" s="300"/>
    </row>
    <row r="1965" spans="1:12" x14ac:dyDescent="0.3">
      <c r="A1965"/>
      <c r="C1965"/>
      <c r="D1965"/>
      <c r="F1965"/>
      <c r="G1965"/>
      <c r="I1965" s="299"/>
      <c r="K1965" s="300"/>
      <c r="L1965" s="300"/>
    </row>
    <row r="1966" spans="1:12" x14ac:dyDescent="0.3">
      <c r="A1966"/>
      <c r="C1966"/>
      <c r="D1966"/>
      <c r="F1966"/>
      <c r="G1966"/>
      <c r="I1966" s="299"/>
      <c r="K1966" s="300"/>
      <c r="L1966" s="300"/>
    </row>
    <row r="1967" spans="1:12" x14ac:dyDescent="0.3">
      <c r="A1967"/>
      <c r="C1967"/>
      <c r="D1967"/>
      <c r="F1967"/>
      <c r="G1967"/>
      <c r="I1967" s="299"/>
      <c r="K1967" s="300"/>
      <c r="L1967" s="300"/>
    </row>
    <row r="1968" spans="1:12" x14ac:dyDescent="0.3">
      <c r="A1968"/>
      <c r="C1968"/>
      <c r="D1968"/>
      <c r="F1968"/>
      <c r="G1968"/>
      <c r="I1968" s="299"/>
      <c r="K1968" s="300"/>
      <c r="L1968" s="300"/>
    </row>
    <row r="1969" spans="1:12" x14ac:dyDescent="0.3">
      <c r="A1969"/>
      <c r="C1969"/>
      <c r="D1969"/>
      <c r="F1969"/>
      <c r="G1969"/>
      <c r="I1969" s="299"/>
      <c r="K1969" s="300"/>
      <c r="L1969" s="300"/>
    </row>
    <row r="1970" spans="1:12" x14ac:dyDescent="0.3">
      <c r="A1970"/>
      <c r="C1970"/>
      <c r="D1970"/>
      <c r="F1970"/>
      <c r="G1970"/>
      <c r="I1970" s="299"/>
      <c r="K1970" s="300"/>
      <c r="L1970" s="300"/>
    </row>
    <row r="1971" spans="1:12" x14ac:dyDescent="0.3">
      <c r="A1971"/>
      <c r="C1971"/>
      <c r="D1971"/>
      <c r="F1971"/>
      <c r="G1971"/>
      <c r="I1971" s="299"/>
      <c r="K1971" s="300"/>
      <c r="L1971" s="300"/>
    </row>
    <row r="1972" spans="1:12" x14ac:dyDescent="0.3">
      <c r="A1972"/>
      <c r="C1972"/>
      <c r="D1972"/>
      <c r="F1972"/>
      <c r="G1972"/>
      <c r="I1972" s="299"/>
      <c r="K1972" s="300"/>
      <c r="L1972" s="300"/>
    </row>
    <row r="1973" spans="1:12" x14ac:dyDescent="0.3">
      <c r="A1973"/>
      <c r="C1973"/>
      <c r="D1973"/>
      <c r="F1973"/>
      <c r="G1973"/>
      <c r="I1973" s="299"/>
      <c r="K1973" s="300"/>
      <c r="L1973" s="300"/>
    </row>
    <row r="1974" spans="1:12" x14ac:dyDescent="0.3">
      <c r="A1974"/>
      <c r="C1974"/>
      <c r="D1974"/>
      <c r="F1974"/>
      <c r="G1974"/>
      <c r="I1974" s="299"/>
      <c r="K1974" s="300"/>
      <c r="L1974" s="300"/>
    </row>
    <row r="1975" spans="1:12" x14ac:dyDescent="0.3">
      <c r="A1975"/>
      <c r="C1975"/>
      <c r="D1975"/>
      <c r="F1975"/>
      <c r="G1975"/>
      <c r="I1975" s="299"/>
      <c r="K1975" s="300"/>
      <c r="L1975" s="300"/>
    </row>
    <row r="1976" spans="1:12" x14ac:dyDescent="0.3">
      <c r="A1976"/>
      <c r="C1976"/>
      <c r="D1976"/>
      <c r="F1976"/>
      <c r="G1976"/>
      <c r="I1976" s="299"/>
      <c r="K1976" s="300"/>
      <c r="L1976" s="300"/>
    </row>
    <row r="1977" spans="1:12" x14ac:dyDescent="0.3">
      <c r="A1977"/>
      <c r="C1977"/>
      <c r="D1977"/>
      <c r="F1977"/>
      <c r="G1977"/>
      <c r="I1977" s="299"/>
      <c r="K1977" s="300"/>
      <c r="L1977" s="300"/>
    </row>
    <row r="1978" spans="1:12" x14ac:dyDescent="0.3">
      <c r="A1978"/>
      <c r="C1978"/>
      <c r="D1978"/>
      <c r="F1978"/>
      <c r="G1978"/>
      <c r="I1978" s="299"/>
      <c r="K1978" s="300"/>
      <c r="L1978" s="300"/>
    </row>
    <row r="1979" spans="1:12" x14ac:dyDescent="0.3">
      <c r="A1979"/>
      <c r="C1979"/>
      <c r="D1979"/>
      <c r="F1979"/>
      <c r="G1979"/>
      <c r="I1979" s="299"/>
      <c r="K1979" s="300"/>
      <c r="L1979" s="300"/>
    </row>
    <row r="1980" spans="1:12" x14ac:dyDescent="0.3">
      <c r="A1980"/>
      <c r="C1980"/>
      <c r="D1980"/>
      <c r="F1980"/>
      <c r="G1980"/>
      <c r="I1980" s="299"/>
      <c r="K1980" s="300"/>
      <c r="L1980" s="300"/>
    </row>
    <row r="1981" spans="1:12" x14ac:dyDescent="0.3">
      <c r="A1981"/>
      <c r="C1981"/>
      <c r="D1981"/>
      <c r="F1981"/>
      <c r="G1981"/>
      <c r="I1981" s="299"/>
      <c r="K1981" s="300"/>
      <c r="L1981" s="300"/>
    </row>
    <row r="1982" spans="1:12" x14ac:dyDescent="0.3">
      <c r="A1982"/>
      <c r="C1982"/>
      <c r="D1982"/>
      <c r="F1982"/>
      <c r="G1982"/>
      <c r="I1982" s="299"/>
      <c r="K1982" s="300"/>
      <c r="L1982" s="300"/>
    </row>
    <row r="1983" spans="1:12" x14ac:dyDescent="0.3">
      <c r="A1983"/>
      <c r="C1983"/>
      <c r="D1983"/>
      <c r="F1983"/>
      <c r="G1983"/>
      <c r="I1983" s="299"/>
      <c r="K1983" s="300"/>
      <c r="L1983" s="300"/>
    </row>
    <row r="1984" spans="1:12" x14ac:dyDescent="0.3">
      <c r="A1984"/>
      <c r="C1984"/>
      <c r="D1984"/>
      <c r="F1984"/>
      <c r="G1984"/>
      <c r="I1984" s="299"/>
      <c r="K1984" s="300"/>
      <c r="L1984" s="300"/>
    </row>
    <row r="1985" spans="1:12" x14ac:dyDescent="0.3">
      <c r="A1985"/>
      <c r="C1985"/>
      <c r="D1985"/>
      <c r="F1985"/>
      <c r="G1985"/>
      <c r="I1985" s="299"/>
      <c r="K1985" s="300"/>
      <c r="L1985" s="300"/>
    </row>
    <row r="1986" spans="1:12" x14ac:dyDescent="0.3">
      <c r="A1986"/>
      <c r="C1986"/>
      <c r="D1986"/>
      <c r="F1986"/>
      <c r="G1986"/>
      <c r="I1986" s="299"/>
      <c r="K1986" s="300"/>
      <c r="L1986" s="300"/>
    </row>
    <row r="1987" spans="1:12" x14ac:dyDescent="0.3">
      <c r="A1987"/>
      <c r="C1987"/>
      <c r="D1987"/>
      <c r="F1987"/>
      <c r="G1987"/>
      <c r="I1987" s="299"/>
      <c r="K1987" s="300"/>
      <c r="L1987" s="300"/>
    </row>
    <row r="1988" spans="1:12" x14ac:dyDescent="0.3">
      <c r="A1988"/>
      <c r="C1988"/>
      <c r="D1988"/>
      <c r="F1988"/>
      <c r="G1988"/>
      <c r="I1988" s="299"/>
      <c r="K1988" s="300"/>
      <c r="L1988" s="300"/>
    </row>
    <row r="1989" spans="1:12" x14ac:dyDescent="0.3">
      <c r="A1989"/>
      <c r="C1989"/>
      <c r="D1989"/>
      <c r="F1989"/>
      <c r="G1989"/>
      <c r="I1989" s="299"/>
      <c r="K1989" s="300"/>
      <c r="L1989" s="300"/>
    </row>
    <row r="1990" spans="1:12" x14ac:dyDescent="0.3">
      <c r="A1990"/>
      <c r="C1990"/>
      <c r="D1990"/>
      <c r="F1990"/>
      <c r="G1990"/>
      <c r="I1990" s="299"/>
      <c r="K1990" s="300"/>
      <c r="L1990" s="300"/>
    </row>
    <row r="1991" spans="1:12" x14ac:dyDescent="0.3">
      <c r="A1991"/>
      <c r="C1991"/>
      <c r="D1991"/>
      <c r="F1991"/>
      <c r="G1991"/>
      <c r="I1991" s="299"/>
      <c r="K1991" s="300"/>
      <c r="L1991" s="300"/>
    </row>
    <row r="1992" spans="1:12" x14ac:dyDescent="0.3">
      <c r="A1992"/>
      <c r="C1992"/>
      <c r="D1992"/>
      <c r="F1992"/>
      <c r="G1992"/>
      <c r="I1992" s="299"/>
      <c r="K1992" s="300"/>
      <c r="L1992" s="300"/>
    </row>
    <row r="1993" spans="1:12" x14ac:dyDescent="0.3">
      <c r="A1993"/>
      <c r="C1993"/>
      <c r="D1993"/>
      <c r="F1993"/>
      <c r="G1993"/>
      <c r="I1993" s="299"/>
      <c r="K1993" s="300"/>
      <c r="L1993" s="300"/>
    </row>
    <row r="1994" spans="1:12" x14ac:dyDescent="0.3">
      <c r="A1994"/>
      <c r="C1994"/>
      <c r="D1994"/>
      <c r="F1994"/>
      <c r="G1994"/>
      <c r="I1994" s="299"/>
      <c r="K1994" s="300"/>
      <c r="L1994" s="300"/>
    </row>
    <row r="1995" spans="1:12" x14ac:dyDescent="0.3">
      <c r="A1995"/>
      <c r="C1995"/>
      <c r="D1995"/>
      <c r="F1995"/>
      <c r="G1995"/>
      <c r="I1995" s="299"/>
      <c r="K1995" s="300"/>
      <c r="L1995" s="300"/>
    </row>
    <row r="1996" spans="1:12" x14ac:dyDescent="0.3">
      <c r="A1996"/>
      <c r="C1996"/>
      <c r="D1996"/>
      <c r="F1996"/>
      <c r="G1996"/>
      <c r="I1996" s="299"/>
      <c r="K1996" s="300"/>
      <c r="L1996" s="300"/>
    </row>
    <row r="1997" spans="1:12" x14ac:dyDescent="0.3">
      <c r="A1997"/>
      <c r="C1997"/>
      <c r="D1997"/>
      <c r="F1997"/>
      <c r="G1997"/>
      <c r="I1997" s="299"/>
      <c r="K1997" s="300"/>
      <c r="L1997" s="300"/>
    </row>
    <row r="1998" spans="1:12" x14ac:dyDescent="0.3">
      <c r="A1998"/>
      <c r="C1998"/>
      <c r="D1998"/>
      <c r="F1998"/>
      <c r="G1998"/>
      <c r="I1998" s="299"/>
      <c r="K1998" s="300"/>
      <c r="L1998" s="300"/>
    </row>
    <row r="1999" spans="1:12" x14ac:dyDescent="0.3">
      <c r="A1999"/>
      <c r="C1999"/>
      <c r="D1999"/>
      <c r="F1999"/>
      <c r="G1999"/>
      <c r="I1999" s="299"/>
      <c r="K1999" s="300"/>
      <c r="L1999" s="300"/>
    </row>
    <row r="2000" spans="1:12" x14ac:dyDescent="0.3">
      <c r="A2000"/>
      <c r="C2000"/>
      <c r="D2000"/>
      <c r="F2000"/>
      <c r="G2000"/>
      <c r="I2000" s="299"/>
      <c r="K2000" s="300"/>
      <c r="L2000" s="300"/>
    </row>
    <row r="2001" spans="1:12" x14ac:dyDescent="0.3">
      <c r="A2001"/>
      <c r="C2001"/>
      <c r="D2001"/>
      <c r="F2001"/>
      <c r="G2001"/>
      <c r="I2001" s="299"/>
      <c r="K2001" s="300"/>
      <c r="L2001" s="300"/>
    </row>
    <row r="2002" spans="1:12" x14ac:dyDescent="0.3">
      <c r="A2002"/>
      <c r="C2002"/>
      <c r="D2002"/>
      <c r="F2002"/>
      <c r="G2002"/>
      <c r="I2002" s="299"/>
      <c r="K2002" s="300"/>
      <c r="L2002" s="300"/>
    </row>
    <row r="2003" spans="1:12" x14ac:dyDescent="0.3">
      <c r="A2003"/>
      <c r="C2003"/>
      <c r="D2003"/>
      <c r="F2003"/>
      <c r="G2003"/>
      <c r="I2003" s="299"/>
      <c r="K2003" s="300"/>
      <c r="L2003" s="300"/>
    </row>
    <row r="2004" spans="1:12" x14ac:dyDescent="0.3">
      <c r="A2004"/>
      <c r="C2004"/>
      <c r="D2004"/>
      <c r="F2004"/>
      <c r="G2004"/>
      <c r="I2004" s="299"/>
      <c r="K2004" s="300"/>
      <c r="L2004" s="300"/>
    </row>
    <row r="2005" spans="1:12" x14ac:dyDescent="0.3">
      <c r="A2005"/>
      <c r="C2005"/>
      <c r="D2005"/>
      <c r="F2005"/>
      <c r="G2005"/>
      <c r="I2005" s="299"/>
      <c r="K2005" s="300"/>
      <c r="L2005" s="300"/>
    </row>
    <row r="2006" spans="1:12" x14ac:dyDescent="0.3">
      <c r="A2006"/>
      <c r="C2006"/>
      <c r="D2006"/>
      <c r="F2006"/>
      <c r="G2006"/>
      <c r="I2006" s="299"/>
      <c r="K2006" s="300"/>
      <c r="L2006" s="300"/>
    </row>
    <row r="2007" spans="1:12" x14ac:dyDescent="0.3">
      <c r="A2007"/>
      <c r="C2007"/>
      <c r="D2007"/>
      <c r="F2007"/>
      <c r="G2007"/>
      <c r="I2007" s="299"/>
      <c r="K2007" s="300"/>
      <c r="L2007" s="300"/>
    </row>
    <row r="2008" spans="1:12" x14ac:dyDescent="0.3">
      <c r="A2008"/>
      <c r="C2008"/>
      <c r="D2008"/>
      <c r="F2008"/>
      <c r="G2008"/>
      <c r="I2008" s="299"/>
      <c r="K2008" s="300"/>
      <c r="L2008" s="300"/>
    </row>
    <row r="2009" spans="1:12" x14ac:dyDescent="0.3">
      <c r="A2009"/>
      <c r="C2009"/>
      <c r="D2009"/>
      <c r="F2009"/>
      <c r="G2009"/>
      <c r="I2009" s="299"/>
      <c r="K2009" s="300"/>
      <c r="L2009" s="300"/>
    </row>
    <row r="2010" spans="1:12" x14ac:dyDescent="0.3">
      <c r="A2010"/>
      <c r="C2010"/>
      <c r="D2010"/>
      <c r="F2010"/>
      <c r="G2010"/>
      <c r="I2010" s="299"/>
      <c r="K2010" s="300"/>
      <c r="L2010" s="300"/>
    </row>
    <row r="2011" spans="1:12" x14ac:dyDescent="0.3">
      <c r="A2011"/>
      <c r="C2011"/>
      <c r="D2011"/>
      <c r="F2011"/>
      <c r="G2011"/>
      <c r="I2011" s="299"/>
      <c r="K2011" s="300"/>
      <c r="L2011" s="300"/>
    </row>
    <row r="2012" spans="1:12" x14ac:dyDescent="0.3">
      <c r="A2012"/>
      <c r="C2012"/>
      <c r="D2012"/>
      <c r="F2012"/>
      <c r="G2012"/>
      <c r="I2012" s="299"/>
      <c r="K2012" s="300"/>
      <c r="L2012" s="300"/>
    </row>
    <row r="2013" spans="1:12" x14ac:dyDescent="0.3">
      <c r="A2013"/>
      <c r="C2013"/>
      <c r="D2013"/>
      <c r="F2013"/>
      <c r="G2013"/>
      <c r="I2013" s="299"/>
      <c r="K2013" s="300"/>
      <c r="L2013" s="300"/>
    </row>
    <row r="2014" spans="1:12" x14ac:dyDescent="0.3">
      <c r="A2014"/>
      <c r="C2014"/>
      <c r="D2014"/>
      <c r="F2014"/>
      <c r="G2014"/>
      <c r="I2014" s="299"/>
      <c r="K2014" s="300"/>
      <c r="L2014" s="300"/>
    </row>
    <row r="2015" spans="1:12" x14ac:dyDescent="0.3">
      <c r="A2015"/>
      <c r="C2015"/>
      <c r="D2015"/>
      <c r="F2015"/>
      <c r="G2015"/>
      <c r="I2015" s="299"/>
      <c r="K2015" s="300"/>
      <c r="L2015" s="300"/>
    </row>
    <row r="2016" spans="1:12" x14ac:dyDescent="0.3">
      <c r="A2016"/>
      <c r="C2016"/>
      <c r="D2016"/>
      <c r="F2016"/>
      <c r="G2016"/>
      <c r="I2016" s="299"/>
      <c r="K2016" s="300"/>
      <c r="L2016" s="300"/>
    </row>
    <row r="2017" spans="1:12" x14ac:dyDescent="0.3">
      <c r="A2017"/>
      <c r="C2017"/>
      <c r="D2017"/>
      <c r="F2017"/>
      <c r="G2017"/>
      <c r="I2017" s="299"/>
      <c r="K2017" s="300"/>
      <c r="L2017" s="300"/>
    </row>
    <row r="2018" spans="1:12" x14ac:dyDescent="0.3">
      <c r="A2018"/>
      <c r="C2018"/>
      <c r="D2018"/>
      <c r="F2018"/>
      <c r="G2018"/>
      <c r="I2018" s="299"/>
      <c r="K2018" s="300"/>
      <c r="L2018" s="300"/>
    </row>
    <row r="2019" spans="1:12" x14ac:dyDescent="0.3">
      <c r="A2019"/>
      <c r="C2019"/>
      <c r="D2019"/>
      <c r="F2019"/>
      <c r="G2019"/>
      <c r="I2019" s="299"/>
      <c r="K2019" s="300"/>
      <c r="L2019" s="300"/>
    </row>
    <row r="2020" spans="1:12" x14ac:dyDescent="0.3">
      <c r="A2020"/>
      <c r="C2020"/>
      <c r="D2020"/>
      <c r="F2020"/>
      <c r="G2020"/>
      <c r="I2020" s="299"/>
      <c r="K2020" s="300"/>
      <c r="L2020" s="300"/>
    </row>
    <row r="2021" spans="1:12" x14ac:dyDescent="0.3">
      <c r="A2021"/>
      <c r="C2021"/>
      <c r="D2021"/>
      <c r="F2021"/>
      <c r="G2021"/>
      <c r="I2021" s="299"/>
      <c r="K2021" s="300"/>
      <c r="L2021" s="300"/>
    </row>
    <row r="2022" spans="1:12" x14ac:dyDescent="0.3">
      <c r="A2022"/>
      <c r="C2022"/>
      <c r="D2022"/>
      <c r="F2022"/>
      <c r="G2022"/>
      <c r="I2022" s="299"/>
      <c r="K2022" s="300"/>
      <c r="L2022" s="300"/>
    </row>
    <row r="2023" spans="1:12" x14ac:dyDescent="0.3">
      <c r="A2023"/>
      <c r="C2023"/>
      <c r="D2023"/>
      <c r="F2023"/>
      <c r="G2023"/>
      <c r="I2023" s="299"/>
      <c r="K2023" s="300"/>
      <c r="L2023" s="300"/>
    </row>
    <row r="2024" spans="1:12" x14ac:dyDescent="0.3">
      <c r="A2024"/>
      <c r="C2024"/>
      <c r="D2024"/>
      <c r="F2024"/>
      <c r="G2024"/>
      <c r="I2024" s="299"/>
      <c r="K2024" s="300"/>
      <c r="L2024" s="300"/>
    </row>
    <row r="2025" spans="1:12" x14ac:dyDescent="0.3">
      <c r="A2025"/>
      <c r="C2025"/>
      <c r="D2025"/>
      <c r="F2025"/>
      <c r="G2025"/>
      <c r="I2025" s="299"/>
      <c r="K2025" s="300"/>
      <c r="L2025" s="300"/>
    </row>
    <row r="2026" spans="1:12" x14ac:dyDescent="0.3">
      <c r="A2026"/>
      <c r="C2026"/>
      <c r="D2026"/>
      <c r="F2026"/>
      <c r="G2026"/>
      <c r="I2026" s="299"/>
      <c r="K2026" s="300"/>
      <c r="L2026" s="300"/>
    </row>
    <row r="2027" spans="1:12" x14ac:dyDescent="0.3">
      <c r="A2027"/>
      <c r="C2027"/>
      <c r="D2027"/>
      <c r="F2027"/>
      <c r="G2027"/>
      <c r="I2027" s="299"/>
      <c r="K2027" s="300"/>
      <c r="L2027" s="300"/>
    </row>
    <row r="2028" spans="1:12" x14ac:dyDescent="0.3">
      <c r="A2028"/>
      <c r="C2028"/>
      <c r="D2028"/>
      <c r="F2028"/>
      <c r="G2028"/>
      <c r="I2028" s="299"/>
      <c r="K2028" s="300"/>
      <c r="L2028" s="300"/>
    </row>
    <row r="2029" spans="1:12" x14ac:dyDescent="0.3">
      <c r="A2029"/>
      <c r="C2029"/>
      <c r="D2029"/>
      <c r="F2029"/>
      <c r="G2029"/>
      <c r="I2029" s="299"/>
      <c r="K2029" s="300"/>
      <c r="L2029" s="300"/>
    </row>
    <row r="2030" spans="1:12" x14ac:dyDescent="0.3">
      <c r="A2030"/>
      <c r="C2030"/>
      <c r="D2030"/>
      <c r="F2030"/>
      <c r="G2030"/>
      <c r="I2030" s="299"/>
      <c r="K2030" s="300"/>
      <c r="L2030" s="300"/>
    </row>
    <row r="2031" spans="1:12" x14ac:dyDescent="0.3">
      <c r="A2031"/>
      <c r="C2031"/>
      <c r="D2031"/>
      <c r="F2031"/>
      <c r="G2031"/>
      <c r="I2031" s="299"/>
      <c r="K2031" s="300"/>
      <c r="L2031" s="300"/>
    </row>
    <row r="2032" spans="1:12" x14ac:dyDescent="0.3">
      <c r="A2032"/>
      <c r="C2032"/>
      <c r="D2032"/>
      <c r="F2032"/>
      <c r="G2032"/>
      <c r="I2032" s="299"/>
      <c r="K2032" s="300"/>
      <c r="L2032" s="300"/>
    </row>
    <row r="2033" spans="1:12" x14ac:dyDescent="0.3">
      <c r="A2033"/>
      <c r="C2033"/>
      <c r="D2033"/>
      <c r="F2033"/>
      <c r="G2033"/>
      <c r="I2033" s="299"/>
      <c r="K2033" s="300"/>
      <c r="L2033" s="300"/>
    </row>
    <row r="2034" spans="1:12" x14ac:dyDescent="0.3">
      <c r="A2034"/>
      <c r="C2034"/>
      <c r="D2034"/>
      <c r="F2034"/>
      <c r="G2034"/>
      <c r="I2034" s="299"/>
      <c r="K2034" s="300"/>
      <c r="L2034" s="300"/>
    </row>
    <row r="2035" spans="1:12" x14ac:dyDescent="0.3">
      <c r="A2035"/>
      <c r="C2035"/>
      <c r="D2035"/>
      <c r="F2035"/>
      <c r="G2035"/>
      <c r="I2035" s="299"/>
      <c r="K2035" s="300"/>
      <c r="L2035" s="300"/>
    </row>
    <row r="2036" spans="1:12" x14ac:dyDescent="0.3">
      <c r="A2036"/>
      <c r="C2036"/>
      <c r="D2036"/>
      <c r="F2036"/>
      <c r="G2036"/>
      <c r="I2036" s="299"/>
      <c r="K2036" s="300"/>
      <c r="L2036" s="300"/>
    </row>
    <row r="2037" spans="1:12" x14ac:dyDescent="0.3">
      <c r="A2037"/>
      <c r="C2037"/>
      <c r="D2037"/>
      <c r="F2037"/>
      <c r="G2037"/>
      <c r="I2037" s="299"/>
      <c r="K2037" s="300"/>
      <c r="L2037" s="300"/>
    </row>
    <row r="2038" spans="1:12" x14ac:dyDescent="0.3">
      <c r="A2038"/>
      <c r="C2038"/>
      <c r="D2038"/>
      <c r="F2038"/>
      <c r="G2038"/>
      <c r="I2038" s="299"/>
      <c r="K2038" s="300"/>
      <c r="L2038" s="300"/>
    </row>
    <row r="2039" spans="1:12" x14ac:dyDescent="0.3">
      <c r="A2039"/>
      <c r="C2039"/>
      <c r="D2039"/>
      <c r="F2039"/>
      <c r="G2039"/>
      <c r="I2039" s="299"/>
      <c r="K2039" s="300"/>
      <c r="L2039" s="300"/>
    </row>
    <row r="2040" spans="1:12" x14ac:dyDescent="0.3">
      <c r="A2040"/>
      <c r="C2040"/>
      <c r="D2040"/>
      <c r="F2040"/>
      <c r="G2040"/>
      <c r="I2040" s="299"/>
      <c r="K2040" s="300"/>
      <c r="L2040" s="300"/>
    </row>
    <row r="2041" spans="1:12" x14ac:dyDescent="0.3">
      <c r="A2041"/>
      <c r="C2041"/>
      <c r="D2041"/>
      <c r="F2041"/>
      <c r="G2041"/>
      <c r="I2041" s="299"/>
      <c r="K2041" s="300"/>
      <c r="L2041" s="300"/>
    </row>
    <row r="2042" spans="1:12" x14ac:dyDescent="0.3">
      <c r="A2042"/>
      <c r="C2042"/>
      <c r="D2042"/>
      <c r="F2042"/>
      <c r="G2042"/>
      <c r="I2042" s="299"/>
      <c r="K2042" s="300"/>
      <c r="L2042" s="300"/>
    </row>
    <row r="2043" spans="1:12" x14ac:dyDescent="0.3">
      <c r="A2043"/>
      <c r="C2043"/>
      <c r="D2043"/>
      <c r="F2043"/>
      <c r="G2043"/>
      <c r="I2043" s="299"/>
      <c r="K2043" s="300"/>
      <c r="L2043" s="300"/>
    </row>
    <row r="2044" spans="1:12" x14ac:dyDescent="0.3">
      <c r="A2044"/>
      <c r="C2044"/>
      <c r="D2044"/>
      <c r="F2044"/>
      <c r="G2044"/>
      <c r="I2044" s="299"/>
      <c r="K2044" s="300"/>
      <c r="L2044" s="300"/>
    </row>
    <row r="2045" spans="1:12" x14ac:dyDescent="0.3">
      <c r="A2045"/>
      <c r="C2045"/>
      <c r="D2045"/>
      <c r="F2045"/>
      <c r="G2045"/>
      <c r="I2045" s="299"/>
      <c r="K2045" s="300"/>
      <c r="L2045" s="300"/>
    </row>
    <row r="2046" spans="1:12" x14ac:dyDescent="0.3">
      <c r="A2046"/>
      <c r="C2046"/>
      <c r="D2046"/>
      <c r="F2046"/>
      <c r="G2046"/>
      <c r="I2046" s="299"/>
      <c r="K2046" s="300"/>
      <c r="L2046" s="300"/>
    </row>
    <row r="2047" spans="1:12" x14ac:dyDescent="0.3">
      <c r="A2047"/>
      <c r="C2047"/>
      <c r="D2047"/>
      <c r="F2047"/>
      <c r="G2047"/>
      <c r="I2047" s="299"/>
      <c r="K2047" s="300"/>
      <c r="L2047" s="300"/>
    </row>
    <row r="2048" spans="1:12" x14ac:dyDescent="0.3">
      <c r="A2048"/>
      <c r="C2048"/>
      <c r="D2048"/>
      <c r="F2048"/>
      <c r="G2048"/>
      <c r="I2048" s="299"/>
      <c r="K2048" s="300"/>
      <c r="L2048" s="300"/>
    </row>
    <row r="2049" spans="1:12" x14ac:dyDescent="0.3">
      <c r="A2049"/>
      <c r="C2049"/>
      <c r="D2049"/>
      <c r="F2049"/>
      <c r="G2049"/>
      <c r="I2049" s="299"/>
      <c r="K2049" s="300"/>
      <c r="L2049" s="300"/>
    </row>
    <row r="2050" spans="1:12" x14ac:dyDescent="0.3">
      <c r="A2050"/>
      <c r="C2050"/>
      <c r="D2050"/>
      <c r="F2050"/>
      <c r="G2050"/>
      <c r="I2050" s="299"/>
      <c r="K2050" s="300"/>
      <c r="L2050" s="300"/>
    </row>
    <row r="2051" spans="1:12" x14ac:dyDescent="0.3">
      <c r="A2051"/>
      <c r="C2051"/>
      <c r="D2051"/>
      <c r="F2051"/>
      <c r="G2051"/>
      <c r="I2051" s="299"/>
      <c r="K2051" s="300"/>
      <c r="L2051" s="300"/>
    </row>
    <row r="2052" spans="1:12" x14ac:dyDescent="0.3">
      <c r="A2052"/>
      <c r="C2052"/>
      <c r="D2052"/>
      <c r="F2052"/>
      <c r="G2052"/>
      <c r="I2052" s="299"/>
      <c r="K2052" s="300"/>
      <c r="L2052" s="300"/>
    </row>
    <row r="2053" spans="1:12" x14ac:dyDescent="0.3">
      <c r="A2053"/>
      <c r="C2053"/>
      <c r="D2053"/>
      <c r="F2053"/>
      <c r="G2053"/>
      <c r="I2053" s="299"/>
      <c r="K2053" s="300"/>
      <c r="L2053" s="300"/>
    </row>
    <row r="2054" spans="1:12" x14ac:dyDescent="0.3">
      <c r="A2054"/>
      <c r="C2054"/>
      <c r="D2054"/>
      <c r="F2054"/>
      <c r="G2054"/>
      <c r="I2054" s="299"/>
      <c r="K2054" s="300"/>
      <c r="L2054" s="300"/>
    </row>
    <row r="2055" spans="1:12" x14ac:dyDescent="0.3">
      <c r="A2055"/>
      <c r="C2055"/>
      <c r="D2055"/>
      <c r="F2055"/>
      <c r="G2055"/>
      <c r="I2055" s="299"/>
      <c r="K2055" s="300"/>
      <c r="L2055" s="300"/>
    </row>
    <row r="2056" spans="1:12" x14ac:dyDescent="0.3">
      <c r="A2056"/>
      <c r="C2056"/>
      <c r="D2056"/>
      <c r="F2056"/>
      <c r="G2056"/>
      <c r="I2056" s="299"/>
      <c r="K2056" s="300"/>
      <c r="L2056" s="300"/>
    </row>
    <row r="2057" spans="1:12" x14ac:dyDescent="0.3">
      <c r="A2057"/>
      <c r="C2057"/>
      <c r="D2057"/>
      <c r="F2057"/>
      <c r="G2057"/>
      <c r="I2057" s="299"/>
      <c r="K2057" s="300"/>
      <c r="L2057" s="300"/>
    </row>
    <row r="2058" spans="1:12" x14ac:dyDescent="0.3">
      <c r="A2058"/>
      <c r="C2058"/>
      <c r="D2058"/>
      <c r="F2058"/>
      <c r="G2058"/>
      <c r="I2058" s="299"/>
      <c r="K2058" s="300"/>
      <c r="L2058" s="300"/>
    </row>
    <row r="2059" spans="1:12" x14ac:dyDescent="0.3">
      <c r="A2059"/>
      <c r="C2059"/>
      <c r="D2059"/>
      <c r="F2059"/>
      <c r="G2059"/>
      <c r="I2059" s="299"/>
      <c r="K2059" s="300"/>
      <c r="L2059" s="300"/>
    </row>
    <row r="2060" spans="1:12" x14ac:dyDescent="0.3">
      <c r="A2060"/>
      <c r="C2060"/>
      <c r="D2060"/>
      <c r="F2060"/>
      <c r="G2060"/>
      <c r="I2060" s="299"/>
      <c r="K2060" s="300"/>
      <c r="L2060" s="300"/>
    </row>
    <row r="2061" spans="1:12" x14ac:dyDescent="0.3">
      <c r="A2061"/>
      <c r="C2061"/>
      <c r="D2061"/>
      <c r="F2061"/>
      <c r="G2061"/>
      <c r="I2061" s="299"/>
      <c r="K2061" s="300"/>
      <c r="L2061" s="300"/>
    </row>
    <row r="2062" spans="1:12" x14ac:dyDescent="0.3">
      <c r="A2062"/>
      <c r="C2062"/>
      <c r="D2062"/>
      <c r="F2062"/>
      <c r="G2062"/>
      <c r="I2062" s="299"/>
      <c r="K2062" s="300"/>
      <c r="L2062" s="300"/>
    </row>
    <row r="2063" spans="1:12" x14ac:dyDescent="0.3">
      <c r="A2063"/>
      <c r="C2063"/>
      <c r="D2063"/>
      <c r="F2063"/>
      <c r="G2063"/>
      <c r="I2063" s="299"/>
      <c r="K2063" s="300"/>
      <c r="L2063" s="300"/>
    </row>
    <row r="2064" spans="1:12" x14ac:dyDescent="0.3">
      <c r="A2064"/>
      <c r="C2064"/>
      <c r="D2064"/>
      <c r="F2064"/>
      <c r="G2064"/>
      <c r="I2064" s="299"/>
      <c r="K2064" s="300"/>
      <c r="L2064" s="300"/>
    </row>
    <row r="2065" spans="1:12" x14ac:dyDescent="0.3">
      <c r="A2065"/>
      <c r="C2065"/>
      <c r="D2065"/>
      <c r="F2065"/>
      <c r="G2065"/>
      <c r="I2065" s="299"/>
      <c r="K2065" s="300"/>
      <c r="L2065" s="300"/>
    </row>
    <row r="2066" spans="1:12" x14ac:dyDescent="0.3">
      <c r="A2066"/>
      <c r="C2066"/>
      <c r="D2066"/>
      <c r="F2066"/>
      <c r="G2066"/>
      <c r="I2066" s="299"/>
      <c r="K2066" s="300"/>
      <c r="L2066" s="300"/>
    </row>
    <row r="2067" spans="1:12" x14ac:dyDescent="0.3">
      <c r="A2067"/>
      <c r="C2067"/>
      <c r="D2067"/>
      <c r="F2067"/>
      <c r="G2067"/>
      <c r="I2067" s="299"/>
      <c r="K2067" s="300"/>
      <c r="L2067" s="300"/>
    </row>
    <row r="2068" spans="1:12" x14ac:dyDescent="0.3">
      <c r="A2068"/>
      <c r="C2068"/>
      <c r="D2068"/>
      <c r="F2068"/>
      <c r="G2068"/>
      <c r="I2068" s="299"/>
      <c r="K2068" s="300"/>
      <c r="L2068" s="300"/>
    </row>
    <row r="2069" spans="1:12" x14ac:dyDescent="0.3">
      <c r="A2069"/>
      <c r="C2069"/>
      <c r="D2069"/>
      <c r="F2069"/>
      <c r="G2069"/>
      <c r="I2069" s="299"/>
      <c r="K2069" s="300"/>
      <c r="L2069" s="300"/>
    </row>
    <row r="2070" spans="1:12" x14ac:dyDescent="0.3">
      <c r="A2070"/>
      <c r="C2070"/>
      <c r="D2070"/>
      <c r="F2070"/>
      <c r="G2070"/>
      <c r="I2070" s="299"/>
      <c r="K2070" s="300"/>
      <c r="L2070" s="300"/>
    </row>
    <row r="2071" spans="1:12" x14ac:dyDescent="0.3">
      <c r="A2071"/>
      <c r="C2071"/>
      <c r="D2071"/>
      <c r="F2071"/>
      <c r="G2071"/>
      <c r="I2071" s="299"/>
      <c r="K2071" s="300"/>
      <c r="L2071" s="300"/>
    </row>
    <row r="2072" spans="1:12" x14ac:dyDescent="0.3">
      <c r="A2072"/>
      <c r="C2072"/>
      <c r="D2072"/>
      <c r="F2072"/>
      <c r="G2072"/>
      <c r="I2072" s="299"/>
      <c r="K2072" s="300"/>
      <c r="L2072" s="300"/>
    </row>
    <row r="2073" spans="1:12" x14ac:dyDescent="0.3">
      <c r="A2073"/>
      <c r="C2073"/>
      <c r="D2073"/>
      <c r="F2073"/>
      <c r="G2073"/>
      <c r="I2073" s="299"/>
      <c r="K2073" s="300"/>
      <c r="L2073" s="300"/>
    </row>
    <row r="2074" spans="1:12" x14ac:dyDescent="0.3">
      <c r="A2074"/>
      <c r="C2074"/>
      <c r="D2074"/>
      <c r="F2074"/>
      <c r="G2074"/>
      <c r="I2074" s="299"/>
      <c r="K2074" s="300"/>
      <c r="L2074" s="300"/>
    </row>
    <row r="2075" spans="1:12" x14ac:dyDescent="0.3">
      <c r="A2075"/>
      <c r="C2075"/>
      <c r="D2075"/>
      <c r="F2075"/>
      <c r="G2075"/>
      <c r="I2075" s="299"/>
      <c r="K2075" s="300"/>
      <c r="L2075" s="300"/>
    </row>
    <row r="2076" spans="1:12" x14ac:dyDescent="0.3">
      <c r="A2076"/>
      <c r="C2076"/>
      <c r="D2076"/>
      <c r="F2076"/>
      <c r="G2076"/>
      <c r="I2076" s="299"/>
      <c r="K2076" s="300"/>
      <c r="L2076" s="300"/>
    </row>
    <row r="2077" spans="1:12" x14ac:dyDescent="0.3">
      <c r="A2077"/>
      <c r="C2077"/>
      <c r="D2077"/>
      <c r="F2077"/>
      <c r="G2077"/>
      <c r="I2077" s="299"/>
      <c r="K2077" s="300"/>
      <c r="L2077" s="300"/>
    </row>
    <row r="2078" spans="1:12" x14ac:dyDescent="0.3">
      <c r="A2078"/>
      <c r="C2078"/>
      <c r="D2078"/>
      <c r="F2078"/>
      <c r="G2078"/>
      <c r="I2078" s="299"/>
      <c r="K2078" s="300"/>
      <c r="L2078" s="300"/>
    </row>
    <row r="2079" spans="1:12" x14ac:dyDescent="0.3">
      <c r="A2079"/>
      <c r="C2079"/>
      <c r="D2079"/>
      <c r="F2079"/>
      <c r="G2079"/>
      <c r="I2079" s="299"/>
      <c r="K2079" s="300"/>
      <c r="L2079" s="300"/>
    </row>
    <row r="2080" spans="1:12" x14ac:dyDescent="0.3">
      <c r="A2080"/>
      <c r="C2080"/>
      <c r="D2080"/>
      <c r="F2080"/>
      <c r="G2080"/>
      <c r="I2080" s="299"/>
      <c r="K2080" s="300"/>
      <c r="L2080" s="300"/>
    </row>
    <row r="2081" spans="1:12" x14ac:dyDescent="0.3">
      <c r="A2081"/>
      <c r="C2081"/>
      <c r="D2081"/>
      <c r="F2081"/>
      <c r="G2081"/>
      <c r="I2081" s="299"/>
      <c r="K2081" s="300"/>
      <c r="L2081" s="300"/>
    </row>
    <row r="2082" spans="1:12" x14ac:dyDescent="0.3">
      <c r="A2082"/>
      <c r="C2082"/>
      <c r="D2082"/>
      <c r="F2082"/>
      <c r="G2082"/>
      <c r="I2082" s="299"/>
      <c r="K2082" s="300"/>
      <c r="L2082" s="300"/>
    </row>
    <row r="2083" spans="1:12" x14ac:dyDescent="0.3">
      <c r="A2083"/>
      <c r="C2083"/>
      <c r="D2083"/>
      <c r="F2083"/>
      <c r="G2083"/>
      <c r="I2083" s="299"/>
      <c r="K2083" s="300"/>
      <c r="L2083" s="300"/>
    </row>
    <row r="2084" spans="1:12" x14ac:dyDescent="0.3">
      <c r="A2084"/>
      <c r="C2084"/>
      <c r="D2084"/>
      <c r="F2084"/>
      <c r="G2084"/>
      <c r="I2084" s="299"/>
      <c r="K2084" s="300"/>
      <c r="L2084" s="300"/>
    </row>
    <row r="2085" spans="1:12" x14ac:dyDescent="0.3">
      <c r="A2085"/>
      <c r="C2085"/>
      <c r="D2085"/>
      <c r="F2085"/>
      <c r="G2085"/>
      <c r="I2085" s="299"/>
      <c r="K2085" s="300"/>
      <c r="L2085" s="300"/>
    </row>
    <row r="2086" spans="1:12" x14ac:dyDescent="0.3">
      <c r="A2086"/>
      <c r="C2086"/>
      <c r="D2086"/>
      <c r="F2086"/>
      <c r="G2086"/>
      <c r="I2086" s="299"/>
      <c r="K2086" s="300"/>
      <c r="L2086" s="300"/>
    </row>
    <row r="2087" spans="1:12" x14ac:dyDescent="0.3">
      <c r="A2087"/>
      <c r="C2087"/>
      <c r="D2087"/>
      <c r="F2087"/>
      <c r="G2087"/>
      <c r="I2087" s="299"/>
      <c r="K2087" s="300"/>
      <c r="L2087" s="300"/>
    </row>
    <row r="2088" spans="1:12" x14ac:dyDescent="0.3">
      <c r="A2088"/>
      <c r="C2088"/>
      <c r="D2088"/>
      <c r="F2088"/>
      <c r="G2088"/>
      <c r="I2088" s="299"/>
      <c r="K2088" s="300"/>
      <c r="L2088" s="300"/>
    </row>
    <row r="2089" spans="1:12" x14ac:dyDescent="0.3">
      <c r="A2089"/>
      <c r="C2089"/>
      <c r="D2089"/>
      <c r="F2089"/>
      <c r="G2089"/>
      <c r="I2089" s="299"/>
      <c r="K2089" s="300"/>
      <c r="L2089" s="300"/>
    </row>
    <row r="2090" spans="1:12" x14ac:dyDescent="0.3">
      <c r="A2090"/>
      <c r="C2090"/>
      <c r="D2090"/>
      <c r="F2090"/>
      <c r="G2090"/>
      <c r="I2090" s="299"/>
      <c r="K2090" s="300"/>
      <c r="L2090" s="300"/>
    </row>
    <row r="2091" spans="1:12" x14ac:dyDescent="0.3">
      <c r="A2091"/>
      <c r="C2091"/>
      <c r="D2091"/>
      <c r="F2091"/>
      <c r="G2091"/>
      <c r="I2091" s="299"/>
      <c r="K2091" s="300"/>
      <c r="L2091" s="300"/>
    </row>
    <row r="2092" spans="1:12" x14ac:dyDescent="0.3">
      <c r="A2092"/>
      <c r="C2092"/>
      <c r="D2092"/>
      <c r="F2092"/>
      <c r="G2092"/>
      <c r="I2092" s="299"/>
      <c r="K2092" s="300"/>
      <c r="L2092" s="300"/>
    </row>
    <row r="2093" spans="1:12" x14ac:dyDescent="0.3">
      <c r="A2093"/>
      <c r="C2093"/>
      <c r="D2093"/>
      <c r="F2093"/>
      <c r="G2093"/>
      <c r="I2093" s="299"/>
      <c r="K2093" s="300"/>
      <c r="L2093" s="300"/>
    </row>
    <row r="2094" spans="1:12" x14ac:dyDescent="0.3">
      <c r="A2094"/>
      <c r="C2094"/>
      <c r="D2094"/>
      <c r="F2094"/>
      <c r="G2094"/>
      <c r="I2094" s="299"/>
      <c r="K2094" s="300"/>
      <c r="L2094" s="300"/>
    </row>
    <row r="2095" spans="1:12" x14ac:dyDescent="0.3">
      <c r="A2095"/>
      <c r="C2095"/>
      <c r="D2095"/>
      <c r="F2095"/>
      <c r="G2095"/>
      <c r="I2095" s="299"/>
      <c r="K2095" s="300"/>
      <c r="L2095" s="300"/>
    </row>
    <row r="2096" spans="1:12" x14ac:dyDescent="0.3">
      <c r="A2096"/>
      <c r="C2096"/>
      <c r="D2096"/>
      <c r="F2096"/>
      <c r="G2096"/>
      <c r="I2096" s="299"/>
      <c r="K2096" s="300"/>
      <c r="L2096" s="300"/>
    </row>
    <row r="2097" spans="1:12" x14ac:dyDescent="0.3">
      <c r="A2097"/>
      <c r="C2097"/>
      <c r="D2097"/>
      <c r="F2097"/>
      <c r="G2097"/>
      <c r="I2097" s="299"/>
      <c r="K2097" s="300"/>
      <c r="L2097" s="300"/>
    </row>
    <row r="2098" spans="1:12" x14ac:dyDescent="0.3">
      <c r="A2098"/>
      <c r="C2098"/>
      <c r="D2098"/>
      <c r="F2098"/>
      <c r="G2098"/>
      <c r="I2098" s="299"/>
      <c r="K2098" s="300"/>
      <c r="L2098" s="300"/>
    </row>
    <row r="2099" spans="1:12" x14ac:dyDescent="0.3">
      <c r="A2099"/>
      <c r="C2099"/>
      <c r="D2099"/>
      <c r="F2099"/>
      <c r="G2099"/>
      <c r="I2099" s="299"/>
      <c r="K2099" s="300"/>
      <c r="L2099" s="300"/>
    </row>
    <row r="2100" spans="1:12" x14ac:dyDescent="0.3">
      <c r="A2100"/>
      <c r="C2100"/>
      <c r="D2100"/>
      <c r="F2100"/>
      <c r="G2100"/>
      <c r="I2100" s="299"/>
      <c r="K2100" s="300"/>
      <c r="L2100" s="300"/>
    </row>
    <row r="2101" spans="1:12" x14ac:dyDescent="0.3">
      <c r="A2101"/>
      <c r="C2101"/>
      <c r="D2101"/>
      <c r="F2101"/>
      <c r="G2101"/>
      <c r="I2101" s="299"/>
      <c r="K2101" s="300"/>
      <c r="L2101" s="300"/>
    </row>
    <row r="2102" spans="1:12" x14ac:dyDescent="0.3">
      <c r="A2102"/>
      <c r="C2102"/>
      <c r="D2102"/>
      <c r="F2102"/>
      <c r="G2102"/>
      <c r="I2102" s="299"/>
      <c r="K2102" s="300"/>
      <c r="L2102" s="300"/>
    </row>
    <row r="2103" spans="1:12" x14ac:dyDescent="0.3">
      <c r="A2103"/>
      <c r="C2103"/>
      <c r="D2103"/>
      <c r="F2103"/>
      <c r="G2103"/>
      <c r="I2103" s="299"/>
      <c r="K2103" s="300"/>
      <c r="L2103" s="300"/>
    </row>
    <row r="2104" spans="1:12" x14ac:dyDescent="0.3">
      <c r="A2104"/>
      <c r="C2104"/>
      <c r="D2104"/>
      <c r="F2104"/>
      <c r="G2104"/>
      <c r="I2104" s="299"/>
      <c r="K2104" s="300"/>
      <c r="L2104" s="300"/>
    </row>
    <row r="2105" spans="1:12" x14ac:dyDescent="0.3">
      <c r="A2105"/>
      <c r="C2105"/>
      <c r="D2105"/>
      <c r="F2105"/>
      <c r="G2105"/>
      <c r="I2105" s="299"/>
      <c r="K2105" s="300"/>
      <c r="L2105" s="300"/>
    </row>
    <row r="2106" spans="1:12" x14ac:dyDescent="0.3">
      <c r="A2106"/>
      <c r="C2106"/>
      <c r="D2106"/>
      <c r="F2106"/>
      <c r="G2106"/>
      <c r="I2106" s="299"/>
      <c r="K2106" s="300"/>
      <c r="L2106" s="300"/>
    </row>
    <row r="2107" spans="1:12" x14ac:dyDescent="0.3">
      <c r="A2107"/>
      <c r="C2107"/>
      <c r="D2107"/>
      <c r="F2107"/>
      <c r="G2107"/>
      <c r="I2107" s="299"/>
      <c r="K2107" s="300"/>
      <c r="L2107" s="300"/>
    </row>
    <row r="2108" spans="1:12" x14ac:dyDescent="0.3">
      <c r="A2108"/>
      <c r="C2108"/>
      <c r="D2108"/>
      <c r="F2108"/>
      <c r="G2108"/>
      <c r="I2108" s="299"/>
      <c r="K2108" s="300"/>
      <c r="L2108" s="300"/>
    </row>
    <row r="2109" spans="1:12" x14ac:dyDescent="0.3">
      <c r="A2109"/>
      <c r="C2109"/>
      <c r="D2109"/>
      <c r="F2109"/>
      <c r="G2109"/>
      <c r="I2109" s="299"/>
      <c r="K2109" s="300"/>
      <c r="L2109" s="300"/>
    </row>
    <row r="2110" spans="1:12" x14ac:dyDescent="0.3">
      <c r="A2110"/>
      <c r="C2110"/>
      <c r="D2110"/>
      <c r="F2110"/>
      <c r="G2110"/>
      <c r="I2110" s="299"/>
      <c r="K2110" s="300"/>
      <c r="L2110" s="300"/>
    </row>
    <row r="2111" spans="1:12" x14ac:dyDescent="0.3">
      <c r="A2111"/>
      <c r="C2111"/>
      <c r="D2111"/>
      <c r="F2111"/>
      <c r="G2111"/>
      <c r="I2111" s="299"/>
      <c r="K2111" s="300"/>
      <c r="L2111" s="300"/>
    </row>
    <row r="2112" spans="1:12" x14ac:dyDescent="0.3">
      <c r="A2112"/>
      <c r="C2112"/>
      <c r="D2112"/>
      <c r="F2112"/>
      <c r="G2112"/>
      <c r="I2112" s="299"/>
      <c r="K2112" s="300"/>
      <c r="L2112" s="300"/>
    </row>
    <row r="2113" spans="1:12" x14ac:dyDescent="0.3">
      <c r="A2113"/>
      <c r="C2113"/>
      <c r="D2113"/>
      <c r="F2113"/>
      <c r="G2113"/>
      <c r="I2113" s="299"/>
      <c r="K2113" s="300"/>
      <c r="L2113" s="300"/>
    </row>
    <row r="2114" spans="1:12" x14ac:dyDescent="0.3">
      <c r="A2114"/>
      <c r="C2114"/>
      <c r="D2114"/>
      <c r="F2114"/>
      <c r="G2114"/>
      <c r="I2114" s="299"/>
      <c r="K2114" s="300"/>
      <c r="L2114" s="300"/>
    </row>
    <row r="2115" spans="1:12" x14ac:dyDescent="0.3">
      <c r="A2115"/>
      <c r="C2115"/>
      <c r="D2115"/>
      <c r="F2115"/>
      <c r="G2115"/>
      <c r="I2115" s="299"/>
      <c r="K2115" s="300"/>
      <c r="L2115" s="300"/>
    </row>
    <row r="2116" spans="1:12" x14ac:dyDescent="0.3">
      <c r="A2116"/>
      <c r="C2116"/>
      <c r="D2116"/>
      <c r="F2116"/>
      <c r="G2116"/>
      <c r="I2116" s="299"/>
      <c r="K2116" s="300"/>
      <c r="L2116" s="300"/>
    </row>
    <row r="2117" spans="1:12" x14ac:dyDescent="0.3">
      <c r="A2117"/>
      <c r="C2117"/>
      <c r="D2117"/>
      <c r="F2117"/>
      <c r="G2117"/>
      <c r="I2117" s="299"/>
      <c r="K2117" s="300"/>
      <c r="L2117" s="300"/>
    </row>
    <row r="2118" spans="1:12" x14ac:dyDescent="0.3">
      <c r="A2118"/>
      <c r="C2118"/>
      <c r="D2118"/>
      <c r="F2118"/>
      <c r="G2118"/>
      <c r="I2118" s="299"/>
      <c r="K2118" s="300"/>
      <c r="L2118" s="300"/>
    </row>
    <row r="2119" spans="1:12" x14ac:dyDescent="0.3">
      <c r="A2119"/>
      <c r="C2119"/>
      <c r="D2119"/>
      <c r="F2119"/>
      <c r="G2119"/>
      <c r="I2119" s="299"/>
      <c r="K2119" s="300"/>
      <c r="L2119" s="300"/>
    </row>
    <row r="2120" spans="1:12" x14ac:dyDescent="0.3">
      <c r="A2120"/>
      <c r="C2120"/>
      <c r="D2120"/>
      <c r="F2120"/>
      <c r="G2120"/>
      <c r="I2120" s="299"/>
      <c r="K2120" s="300"/>
      <c r="L2120" s="300"/>
    </row>
    <row r="2121" spans="1:12" x14ac:dyDescent="0.3">
      <c r="A2121"/>
      <c r="C2121"/>
      <c r="D2121"/>
      <c r="F2121"/>
      <c r="G2121"/>
      <c r="I2121" s="299"/>
      <c r="K2121" s="300"/>
      <c r="L2121" s="300"/>
    </row>
    <row r="2122" spans="1:12" x14ac:dyDescent="0.3">
      <c r="A2122"/>
      <c r="C2122"/>
      <c r="D2122"/>
      <c r="F2122"/>
      <c r="G2122"/>
      <c r="I2122" s="299"/>
      <c r="K2122" s="300"/>
      <c r="L2122" s="300"/>
    </row>
    <row r="2123" spans="1:12" x14ac:dyDescent="0.3">
      <c r="A2123"/>
      <c r="C2123"/>
      <c r="D2123"/>
      <c r="F2123"/>
      <c r="G2123"/>
      <c r="I2123" s="299"/>
      <c r="K2123" s="300"/>
      <c r="L2123" s="300"/>
    </row>
    <row r="2124" spans="1:12" x14ac:dyDescent="0.3">
      <c r="A2124"/>
      <c r="C2124"/>
      <c r="D2124"/>
      <c r="F2124"/>
      <c r="G2124"/>
      <c r="I2124" s="299"/>
      <c r="K2124" s="300"/>
      <c r="L2124" s="300"/>
    </row>
    <row r="2125" spans="1:12" x14ac:dyDescent="0.3">
      <c r="A2125"/>
      <c r="C2125"/>
      <c r="D2125"/>
      <c r="F2125"/>
      <c r="G2125"/>
      <c r="I2125" s="299"/>
      <c r="K2125" s="300"/>
      <c r="L2125" s="300"/>
    </row>
    <row r="2126" spans="1:12" x14ac:dyDescent="0.3">
      <c r="A2126"/>
      <c r="C2126"/>
      <c r="D2126"/>
      <c r="F2126"/>
      <c r="G2126"/>
      <c r="I2126" s="299"/>
      <c r="K2126" s="300"/>
      <c r="L2126" s="300"/>
    </row>
    <row r="2127" spans="1:12" x14ac:dyDescent="0.3">
      <c r="A2127"/>
      <c r="C2127"/>
      <c r="D2127"/>
      <c r="F2127"/>
      <c r="G2127"/>
      <c r="I2127" s="299"/>
      <c r="K2127" s="300"/>
      <c r="L2127" s="300"/>
    </row>
    <row r="2128" spans="1:12" x14ac:dyDescent="0.3">
      <c r="A2128"/>
      <c r="C2128"/>
      <c r="D2128"/>
      <c r="F2128"/>
      <c r="G2128"/>
      <c r="I2128" s="299"/>
      <c r="K2128" s="300"/>
      <c r="L2128" s="300"/>
    </row>
    <row r="2129" spans="1:12" x14ac:dyDescent="0.3">
      <c r="A2129"/>
      <c r="C2129"/>
      <c r="D2129"/>
      <c r="F2129"/>
      <c r="G2129"/>
      <c r="I2129" s="299"/>
      <c r="K2129" s="300"/>
      <c r="L2129" s="300"/>
    </row>
    <row r="2130" spans="1:12" x14ac:dyDescent="0.3">
      <c r="A2130"/>
      <c r="C2130"/>
      <c r="D2130"/>
      <c r="F2130"/>
      <c r="G2130"/>
      <c r="I2130" s="299"/>
      <c r="K2130" s="300"/>
      <c r="L2130" s="300"/>
    </row>
    <row r="2131" spans="1:12" x14ac:dyDescent="0.3">
      <c r="A2131"/>
      <c r="C2131"/>
      <c r="D2131"/>
      <c r="F2131"/>
      <c r="G2131"/>
      <c r="I2131" s="299"/>
      <c r="K2131" s="300"/>
      <c r="L2131" s="300"/>
    </row>
    <row r="2132" spans="1:12" x14ac:dyDescent="0.3">
      <c r="A2132"/>
      <c r="C2132"/>
      <c r="D2132"/>
      <c r="F2132"/>
      <c r="G2132"/>
      <c r="I2132" s="299"/>
      <c r="K2132" s="300"/>
      <c r="L2132" s="300"/>
    </row>
    <row r="2133" spans="1:12" x14ac:dyDescent="0.3">
      <c r="A2133"/>
      <c r="C2133"/>
      <c r="D2133"/>
      <c r="F2133"/>
      <c r="G2133"/>
      <c r="I2133" s="299"/>
      <c r="K2133" s="300"/>
      <c r="L2133" s="300"/>
    </row>
    <row r="2134" spans="1:12" x14ac:dyDescent="0.3">
      <c r="A2134"/>
      <c r="C2134"/>
      <c r="D2134"/>
      <c r="F2134"/>
      <c r="G2134"/>
      <c r="I2134" s="299"/>
      <c r="K2134" s="300"/>
      <c r="L2134" s="300"/>
    </row>
    <row r="2135" spans="1:12" x14ac:dyDescent="0.3">
      <c r="A2135"/>
      <c r="C2135"/>
      <c r="D2135"/>
      <c r="F2135"/>
      <c r="G2135"/>
      <c r="I2135" s="299"/>
      <c r="K2135" s="300"/>
      <c r="L2135" s="300"/>
    </row>
    <row r="2136" spans="1:12" x14ac:dyDescent="0.3">
      <c r="A2136"/>
      <c r="C2136"/>
      <c r="D2136"/>
      <c r="F2136"/>
      <c r="G2136"/>
      <c r="I2136" s="299"/>
      <c r="K2136" s="300"/>
      <c r="L2136" s="300"/>
    </row>
    <row r="2137" spans="1:12" x14ac:dyDescent="0.3">
      <c r="A2137"/>
      <c r="C2137"/>
      <c r="D2137"/>
      <c r="F2137"/>
      <c r="G2137"/>
      <c r="I2137" s="299"/>
      <c r="K2137" s="300"/>
      <c r="L2137" s="300"/>
    </row>
    <row r="2138" spans="1:12" x14ac:dyDescent="0.3">
      <c r="A2138"/>
      <c r="C2138"/>
      <c r="D2138"/>
      <c r="F2138"/>
      <c r="G2138"/>
      <c r="I2138" s="299"/>
      <c r="K2138" s="300"/>
      <c r="L2138" s="300"/>
    </row>
    <row r="2139" spans="1:12" x14ac:dyDescent="0.3">
      <c r="A2139"/>
      <c r="C2139"/>
      <c r="D2139"/>
      <c r="F2139"/>
      <c r="G2139"/>
      <c r="I2139" s="299"/>
      <c r="K2139" s="300"/>
      <c r="L2139" s="300"/>
    </row>
    <row r="2140" spans="1:12" x14ac:dyDescent="0.3">
      <c r="A2140"/>
      <c r="C2140"/>
      <c r="D2140"/>
      <c r="F2140"/>
      <c r="G2140"/>
      <c r="I2140" s="299"/>
      <c r="K2140" s="300"/>
      <c r="L2140" s="300"/>
    </row>
    <row r="2141" spans="1:12" x14ac:dyDescent="0.3">
      <c r="A2141"/>
      <c r="C2141"/>
      <c r="D2141"/>
      <c r="F2141"/>
      <c r="G2141"/>
      <c r="I2141" s="299"/>
      <c r="K2141" s="300"/>
      <c r="L2141" s="300"/>
    </row>
    <row r="2142" spans="1:12" x14ac:dyDescent="0.3">
      <c r="A2142"/>
      <c r="C2142"/>
      <c r="D2142"/>
      <c r="F2142"/>
      <c r="G2142"/>
      <c r="I2142" s="299"/>
      <c r="K2142" s="300"/>
      <c r="L2142" s="300"/>
    </row>
    <row r="2143" spans="1:12" x14ac:dyDescent="0.3">
      <c r="A2143"/>
      <c r="C2143"/>
      <c r="D2143"/>
      <c r="F2143"/>
      <c r="G2143"/>
      <c r="I2143" s="299"/>
      <c r="K2143" s="300"/>
      <c r="L2143" s="300"/>
    </row>
    <row r="2144" spans="1:12" x14ac:dyDescent="0.3">
      <c r="A2144"/>
      <c r="C2144"/>
      <c r="D2144"/>
      <c r="F2144"/>
      <c r="G2144"/>
      <c r="I2144" s="299"/>
      <c r="K2144" s="300"/>
      <c r="L2144" s="300"/>
    </row>
    <row r="2145" spans="1:12" x14ac:dyDescent="0.3">
      <c r="A2145"/>
      <c r="C2145"/>
      <c r="D2145"/>
      <c r="F2145"/>
      <c r="G2145"/>
      <c r="I2145" s="299"/>
      <c r="K2145" s="300"/>
      <c r="L2145" s="300"/>
    </row>
    <row r="2146" spans="1:12" x14ac:dyDescent="0.3">
      <c r="A2146"/>
      <c r="C2146"/>
      <c r="D2146"/>
      <c r="F2146"/>
      <c r="G2146"/>
      <c r="I2146" s="299"/>
      <c r="K2146" s="300"/>
      <c r="L2146" s="300"/>
    </row>
    <row r="2147" spans="1:12" x14ac:dyDescent="0.3">
      <c r="A2147"/>
      <c r="C2147"/>
      <c r="D2147"/>
      <c r="F2147"/>
      <c r="G2147"/>
      <c r="I2147" s="299"/>
      <c r="K2147" s="300"/>
      <c r="L2147" s="300"/>
    </row>
    <row r="2148" spans="1:12" x14ac:dyDescent="0.3">
      <c r="A2148"/>
      <c r="C2148"/>
      <c r="D2148"/>
      <c r="F2148"/>
      <c r="G2148"/>
      <c r="I2148" s="299"/>
      <c r="K2148" s="300"/>
      <c r="L2148" s="300"/>
    </row>
    <row r="2149" spans="1:12" x14ac:dyDescent="0.3">
      <c r="A2149"/>
      <c r="C2149"/>
      <c r="D2149"/>
      <c r="F2149"/>
      <c r="G2149"/>
      <c r="I2149" s="299"/>
      <c r="K2149" s="300"/>
      <c r="L2149" s="300"/>
    </row>
    <row r="2150" spans="1:12" x14ac:dyDescent="0.3">
      <c r="A2150"/>
      <c r="C2150"/>
      <c r="D2150"/>
      <c r="F2150"/>
      <c r="G2150"/>
      <c r="I2150" s="299"/>
      <c r="K2150" s="300"/>
      <c r="L2150" s="300"/>
    </row>
    <row r="2151" spans="1:12" x14ac:dyDescent="0.3">
      <c r="A2151"/>
      <c r="C2151"/>
      <c r="D2151"/>
      <c r="F2151"/>
      <c r="G2151"/>
      <c r="I2151" s="299"/>
      <c r="K2151" s="300"/>
      <c r="L2151" s="300"/>
    </row>
    <row r="2152" spans="1:12" x14ac:dyDescent="0.3">
      <c r="A2152"/>
      <c r="C2152"/>
      <c r="D2152"/>
      <c r="F2152"/>
      <c r="G2152"/>
      <c r="I2152" s="299"/>
      <c r="K2152" s="300"/>
      <c r="L2152" s="300"/>
    </row>
    <row r="2153" spans="1:12" x14ac:dyDescent="0.3">
      <c r="A2153"/>
      <c r="C2153"/>
      <c r="D2153"/>
      <c r="F2153"/>
      <c r="G2153"/>
      <c r="I2153" s="299"/>
      <c r="K2153" s="300"/>
      <c r="L2153" s="300"/>
    </row>
    <row r="2154" spans="1:12" x14ac:dyDescent="0.3">
      <c r="A2154"/>
      <c r="C2154"/>
      <c r="D2154"/>
      <c r="F2154"/>
      <c r="G2154"/>
      <c r="I2154" s="299"/>
      <c r="K2154" s="300"/>
      <c r="L2154" s="300"/>
    </row>
    <row r="2155" spans="1:12" x14ac:dyDescent="0.3">
      <c r="A2155"/>
      <c r="C2155"/>
      <c r="D2155"/>
      <c r="F2155"/>
      <c r="G2155"/>
      <c r="I2155" s="299"/>
      <c r="K2155" s="300"/>
      <c r="L2155" s="300"/>
    </row>
    <row r="2156" spans="1:12" x14ac:dyDescent="0.3">
      <c r="A2156"/>
      <c r="C2156"/>
      <c r="D2156"/>
      <c r="F2156"/>
      <c r="G2156"/>
      <c r="I2156" s="299"/>
      <c r="K2156" s="300"/>
      <c r="L2156" s="300"/>
    </row>
    <row r="2157" spans="1:12" x14ac:dyDescent="0.3">
      <c r="A2157"/>
      <c r="C2157"/>
      <c r="D2157"/>
      <c r="F2157"/>
      <c r="G2157"/>
      <c r="I2157" s="299"/>
      <c r="K2157" s="300"/>
      <c r="L2157" s="300"/>
    </row>
    <row r="2158" spans="1:12" x14ac:dyDescent="0.3">
      <c r="A2158"/>
      <c r="C2158"/>
      <c r="D2158"/>
      <c r="F2158"/>
      <c r="G2158"/>
      <c r="I2158" s="299"/>
      <c r="K2158" s="300"/>
      <c r="L2158" s="300"/>
    </row>
    <row r="2159" spans="1:12" x14ac:dyDescent="0.3">
      <c r="A2159"/>
      <c r="C2159"/>
      <c r="D2159"/>
      <c r="F2159"/>
      <c r="G2159"/>
      <c r="I2159" s="299"/>
      <c r="K2159" s="300"/>
      <c r="L2159" s="300"/>
    </row>
    <row r="2160" spans="1:12" x14ac:dyDescent="0.3">
      <c r="A2160"/>
      <c r="C2160"/>
      <c r="D2160"/>
      <c r="F2160"/>
      <c r="G2160"/>
      <c r="I2160" s="299"/>
      <c r="K2160" s="300"/>
      <c r="L2160" s="300"/>
    </row>
    <row r="2161" spans="1:12" x14ac:dyDescent="0.3">
      <c r="A2161"/>
      <c r="C2161"/>
      <c r="D2161"/>
      <c r="F2161"/>
      <c r="G2161"/>
      <c r="I2161" s="299"/>
      <c r="K2161" s="300"/>
      <c r="L2161" s="300"/>
    </row>
    <row r="2162" spans="1:12" x14ac:dyDescent="0.3">
      <c r="A2162"/>
      <c r="C2162"/>
      <c r="D2162"/>
      <c r="F2162"/>
      <c r="G2162"/>
      <c r="I2162" s="299"/>
      <c r="K2162" s="300"/>
      <c r="L2162" s="300"/>
    </row>
    <row r="2163" spans="1:12" x14ac:dyDescent="0.3">
      <c r="A2163"/>
      <c r="C2163"/>
      <c r="D2163"/>
      <c r="F2163"/>
      <c r="G2163"/>
      <c r="I2163" s="299"/>
      <c r="K2163" s="300"/>
      <c r="L2163" s="300"/>
    </row>
    <row r="2164" spans="1:12" x14ac:dyDescent="0.3">
      <c r="A2164"/>
      <c r="C2164"/>
      <c r="D2164"/>
      <c r="F2164"/>
      <c r="G2164"/>
      <c r="I2164" s="299"/>
      <c r="K2164" s="300"/>
      <c r="L2164" s="300"/>
    </row>
    <row r="2165" spans="1:12" x14ac:dyDescent="0.3">
      <c r="A2165"/>
      <c r="C2165"/>
      <c r="D2165"/>
      <c r="F2165"/>
      <c r="G2165"/>
      <c r="I2165" s="299"/>
      <c r="K2165" s="300"/>
      <c r="L2165" s="300"/>
    </row>
    <row r="2166" spans="1:12" x14ac:dyDescent="0.3">
      <c r="A2166"/>
      <c r="C2166"/>
      <c r="D2166"/>
      <c r="F2166"/>
      <c r="G2166"/>
      <c r="I2166" s="299"/>
      <c r="K2166" s="300"/>
      <c r="L2166" s="300"/>
    </row>
    <row r="2167" spans="1:12" x14ac:dyDescent="0.3">
      <c r="A2167"/>
      <c r="C2167"/>
      <c r="D2167"/>
      <c r="F2167"/>
      <c r="G2167"/>
      <c r="I2167" s="299"/>
      <c r="K2167" s="300"/>
      <c r="L2167" s="300"/>
    </row>
    <row r="2168" spans="1:12" x14ac:dyDescent="0.3">
      <c r="A2168"/>
      <c r="C2168"/>
      <c r="D2168"/>
      <c r="F2168"/>
      <c r="G2168"/>
      <c r="I2168" s="299"/>
      <c r="K2168" s="300"/>
      <c r="L2168" s="300"/>
    </row>
    <row r="2169" spans="1:12" x14ac:dyDescent="0.3">
      <c r="A2169"/>
      <c r="C2169"/>
      <c r="D2169"/>
      <c r="F2169"/>
      <c r="G2169"/>
      <c r="I2169" s="299"/>
      <c r="K2169" s="300"/>
      <c r="L2169" s="300"/>
    </row>
    <row r="2170" spans="1:12" x14ac:dyDescent="0.3">
      <c r="A2170"/>
      <c r="C2170"/>
      <c r="D2170"/>
      <c r="F2170"/>
      <c r="G2170"/>
      <c r="I2170" s="299"/>
      <c r="K2170" s="300"/>
      <c r="L2170" s="300"/>
    </row>
    <row r="2171" spans="1:12" x14ac:dyDescent="0.3">
      <c r="A2171"/>
      <c r="C2171"/>
      <c r="D2171"/>
      <c r="F2171"/>
      <c r="G2171"/>
      <c r="I2171" s="299"/>
      <c r="K2171" s="300"/>
      <c r="L2171" s="300"/>
    </row>
    <row r="2172" spans="1:12" x14ac:dyDescent="0.3">
      <c r="A2172"/>
      <c r="C2172"/>
      <c r="D2172"/>
      <c r="F2172"/>
      <c r="G2172"/>
      <c r="I2172" s="299"/>
      <c r="K2172" s="300"/>
      <c r="L2172" s="300"/>
    </row>
    <row r="2173" spans="1:12" x14ac:dyDescent="0.3">
      <c r="A2173"/>
      <c r="C2173"/>
      <c r="D2173"/>
      <c r="F2173"/>
      <c r="G2173"/>
      <c r="I2173" s="299"/>
      <c r="K2173" s="300"/>
      <c r="L2173" s="300"/>
    </row>
    <row r="2174" spans="1:12" x14ac:dyDescent="0.3">
      <c r="A2174"/>
      <c r="C2174"/>
      <c r="D2174"/>
      <c r="F2174"/>
      <c r="G2174"/>
      <c r="I2174" s="299"/>
      <c r="K2174" s="300"/>
      <c r="L2174" s="300"/>
    </row>
    <row r="2175" spans="1:12" x14ac:dyDescent="0.3">
      <c r="A2175"/>
      <c r="C2175"/>
      <c r="D2175"/>
      <c r="F2175"/>
      <c r="G2175"/>
      <c r="I2175" s="299"/>
      <c r="K2175" s="300"/>
      <c r="L2175" s="300"/>
    </row>
    <row r="2176" spans="1:12" x14ac:dyDescent="0.3">
      <c r="A2176"/>
      <c r="C2176"/>
      <c r="D2176"/>
      <c r="F2176"/>
      <c r="G2176"/>
      <c r="I2176" s="299"/>
      <c r="K2176" s="300"/>
      <c r="L2176" s="300"/>
    </row>
    <row r="2177" spans="1:12" x14ac:dyDescent="0.3">
      <c r="A2177"/>
      <c r="C2177"/>
      <c r="D2177"/>
      <c r="F2177"/>
      <c r="G2177"/>
      <c r="I2177" s="299"/>
      <c r="K2177" s="300"/>
      <c r="L2177" s="300"/>
    </row>
    <row r="2178" spans="1:12" x14ac:dyDescent="0.3">
      <c r="A2178"/>
      <c r="C2178"/>
      <c r="D2178"/>
      <c r="F2178"/>
      <c r="G2178"/>
      <c r="I2178" s="299"/>
      <c r="K2178" s="300"/>
      <c r="L2178" s="300"/>
    </row>
    <row r="2179" spans="1:12" x14ac:dyDescent="0.3">
      <c r="A2179"/>
      <c r="C2179"/>
      <c r="D2179"/>
      <c r="F2179"/>
      <c r="G2179"/>
      <c r="I2179" s="299"/>
      <c r="K2179" s="300"/>
      <c r="L2179" s="300"/>
    </row>
    <row r="2180" spans="1:12" x14ac:dyDescent="0.3">
      <c r="A2180"/>
      <c r="C2180"/>
      <c r="D2180"/>
      <c r="F2180"/>
      <c r="G2180"/>
      <c r="I2180" s="299"/>
      <c r="K2180" s="300"/>
      <c r="L2180" s="300"/>
    </row>
    <row r="2181" spans="1:12" x14ac:dyDescent="0.3">
      <c r="A2181"/>
      <c r="C2181"/>
      <c r="D2181"/>
      <c r="F2181"/>
      <c r="G2181"/>
      <c r="I2181" s="299"/>
      <c r="K2181" s="300"/>
      <c r="L2181" s="300"/>
    </row>
    <row r="2182" spans="1:12" x14ac:dyDescent="0.3">
      <c r="A2182"/>
      <c r="C2182"/>
      <c r="D2182"/>
      <c r="F2182"/>
      <c r="G2182"/>
      <c r="I2182" s="299"/>
      <c r="K2182" s="300"/>
      <c r="L2182" s="300"/>
    </row>
    <row r="2183" spans="1:12" x14ac:dyDescent="0.3">
      <c r="A2183"/>
      <c r="C2183"/>
      <c r="D2183"/>
      <c r="F2183"/>
      <c r="G2183"/>
      <c r="I2183" s="299"/>
      <c r="K2183" s="300"/>
      <c r="L2183" s="300"/>
    </row>
    <row r="2184" spans="1:12" x14ac:dyDescent="0.3">
      <c r="A2184"/>
      <c r="C2184"/>
      <c r="D2184"/>
      <c r="F2184"/>
      <c r="G2184"/>
      <c r="I2184" s="299"/>
      <c r="K2184" s="300"/>
      <c r="L2184" s="300"/>
    </row>
    <row r="2185" spans="1:12" x14ac:dyDescent="0.3">
      <c r="A2185"/>
      <c r="C2185"/>
      <c r="D2185"/>
      <c r="F2185"/>
      <c r="G2185"/>
      <c r="I2185" s="299"/>
      <c r="K2185" s="300"/>
      <c r="L2185" s="300"/>
    </row>
    <row r="2186" spans="1:12" x14ac:dyDescent="0.3">
      <c r="A2186"/>
      <c r="C2186"/>
      <c r="D2186"/>
      <c r="F2186"/>
      <c r="G2186"/>
      <c r="I2186" s="299"/>
      <c r="K2186" s="300"/>
      <c r="L2186" s="300"/>
    </row>
    <row r="2187" spans="1:12" x14ac:dyDescent="0.3">
      <c r="A2187"/>
      <c r="C2187"/>
      <c r="D2187"/>
      <c r="F2187"/>
      <c r="G2187"/>
      <c r="I2187" s="299"/>
      <c r="K2187" s="300"/>
      <c r="L2187" s="300"/>
    </row>
    <row r="2188" spans="1:12" x14ac:dyDescent="0.3">
      <c r="A2188"/>
      <c r="C2188"/>
      <c r="D2188"/>
      <c r="F2188"/>
      <c r="G2188"/>
      <c r="I2188" s="299"/>
      <c r="K2188" s="300"/>
      <c r="L2188" s="300"/>
    </row>
    <row r="2189" spans="1:12" x14ac:dyDescent="0.3">
      <c r="A2189"/>
      <c r="C2189"/>
      <c r="D2189"/>
      <c r="F2189"/>
      <c r="G2189"/>
      <c r="I2189" s="299"/>
      <c r="K2189" s="300"/>
      <c r="L2189" s="300"/>
    </row>
    <row r="2190" spans="1:12" x14ac:dyDescent="0.3">
      <c r="A2190"/>
      <c r="C2190"/>
      <c r="D2190"/>
      <c r="F2190"/>
      <c r="G2190"/>
      <c r="I2190" s="299"/>
      <c r="K2190" s="300"/>
      <c r="L2190" s="300"/>
    </row>
    <row r="2191" spans="1:12" x14ac:dyDescent="0.3">
      <c r="A2191"/>
      <c r="C2191"/>
      <c r="D2191"/>
      <c r="F2191"/>
      <c r="G2191"/>
      <c r="I2191" s="299"/>
      <c r="K2191" s="300"/>
      <c r="L2191" s="300"/>
    </row>
    <row r="2192" spans="1:12" x14ac:dyDescent="0.3">
      <c r="A2192"/>
      <c r="C2192"/>
      <c r="D2192"/>
      <c r="F2192"/>
      <c r="G2192"/>
      <c r="I2192" s="299"/>
      <c r="K2192" s="300"/>
      <c r="L2192" s="300"/>
    </row>
    <row r="2193" spans="1:12" x14ac:dyDescent="0.3">
      <c r="A2193"/>
      <c r="C2193"/>
      <c r="D2193"/>
      <c r="F2193"/>
      <c r="G2193"/>
      <c r="I2193" s="299"/>
      <c r="K2193" s="300"/>
      <c r="L2193" s="300"/>
    </row>
    <row r="2194" spans="1:12" x14ac:dyDescent="0.3">
      <c r="A2194"/>
      <c r="C2194"/>
      <c r="D2194"/>
      <c r="F2194"/>
      <c r="G2194"/>
      <c r="I2194" s="299"/>
      <c r="K2194" s="300"/>
      <c r="L2194" s="300"/>
    </row>
    <row r="2195" spans="1:12" x14ac:dyDescent="0.3">
      <c r="A2195"/>
      <c r="C2195"/>
      <c r="D2195"/>
      <c r="F2195"/>
      <c r="G2195"/>
      <c r="I2195" s="299"/>
      <c r="K2195" s="300"/>
      <c r="L2195" s="300"/>
    </row>
    <row r="2196" spans="1:12" x14ac:dyDescent="0.3">
      <c r="A2196"/>
      <c r="C2196"/>
      <c r="D2196"/>
      <c r="F2196"/>
      <c r="G2196"/>
      <c r="I2196" s="299"/>
      <c r="K2196" s="300"/>
      <c r="L2196" s="300"/>
    </row>
    <row r="2197" spans="1:12" x14ac:dyDescent="0.3">
      <c r="A2197"/>
      <c r="C2197"/>
      <c r="D2197"/>
      <c r="F2197"/>
      <c r="G2197"/>
      <c r="I2197" s="299"/>
      <c r="K2197" s="300"/>
      <c r="L2197" s="300"/>
    </row>
    <row r="2198" spans="1:12" x14ac:dyDescent="0.3">
      <c r="A2198"/>
      <c r="C2198"/>
      <c r="D2198"/>
      <c r="F2198"/>
      <c r="G2198"/>
      <c r="I2198" s="299"/>
      <c r="K2198" s="300"/>
      <c r="L2198" s="300"/>
    </row>
    <row r="2199" spans="1:12" x14ac:dyDescent="0.3">
      <c r="A2199"/>
      <c r="C2199"/>
      <c r="D2199"/>
      <c r="F2199"/>
      <c r="G2199"/>
      <c r="I2199" s="299"/>
      <c r="K2199" s="300"/>
      <c r="L2199" s="300"/>
    </row>
    <row r="2200" spans="1:12" x14ac:dyDescent="0.3">
      <c r="A2200"/>
      <c r="C2200"/>
      <c r="D2200"/>
      <c r="F2200"/>
      <c r="G2200"/>
      <c r="I2200" s="299"/>
      <c r="K2200" s="300"/>
      <c r="L2200" s="300"/>
    </row>
    <row r="2201" spans="1:12" x14ac:dyDescent="0.3">
      <c r="A2201"/>
      <c r="C2201"/>
      <c r="D2201"/>
      <c r="F2201"/>
      <c r="G2201"/>
      <c r="I2201" s="299"/>
      <c r="K2201" s="300"/>
      <c r="L2201" s="300"/>
    </row>
    <row r="2202" spans="1:12" x14ac:dyDescent="0.3">
      <c r="A2202"/>
      <c r="C2202"/>
      <c r="D2202"/>
      <c r="F2202"/>
      <c r="G2202"/>
      <c r="I2202" s="299"/>
      <c r="K2202" s="300"/>
      <c r="L2202" s="300"/>
    </row>
    <row r="2203" spans="1:12" x14ac:dyDescent="0.3">
      <c r="A2203"/>
      <c r="C2203"/>
      <c r="D2203"/>
      <c r="F2203"/>
      <c r="G2203"/>
      <c r="I2203" s="299"/>
      <c r="K2203" s="300"/>
      <c r="L2203" s="300"/>
    </row>
    <row r="2204" spans="1:12" x14ac:dyDescent="0.3">
      <c r="A2204"/>
      <c r="C2204"/>
      <c r="D2204"/>
      <c r="F2204"/>
      <c r="G2204"/>
      <c r="I2204" s="299"/>
      <c r="K2204" s="300"/>
      <c r="L2204" s="300"/>
    </row>
    <row r="2205" spans="1:12" x14ac:dyDescent="0.3">
      <c r="A2205"/>
      <c r="C2205"/>
      <c r="D2205"/>
      <c r="F2205"/>
      <c r="G2205"/>
      <c r="I2205" s="299"/>
      <c r="K2205" s="300"/>
      <c r="L2205" s="300"/>
    </row>
    <row r="2206" spans="1:12" x14ac:dyDescent="0.3">
      <c r="A2206"/>
      <c r="C2206"/>
      <c r="D2206"/>
      <c r="F2206"/>
      <c r="G2206"/>
      <c r="I2206" s="299"/>
      <c r="K2206" s="300"/>
      <c r="L2206" s="300"/>
    </row>
    <row r="2207" spans="1:12" x14ac:dyDescent="0.3">
      <c r="A2207"/>
      <c r="C2207"/>
      <c r="D2207"/>
      <c r="F2207"/>
      <c r="G2207"/>
      <c r="I2207" s="299"/>
      <c r="K2207" s="300"/>
      <c r="L2207" s="300"/>
    </row>
    <row r="2208" spans="1:12" x14ac:dyDescent="0.3">
      <c r="A2208"/>
      <c r="C2208"/>
      <c r="D2208"/>
      <c r="F2208"/>
      <c r="G2208"/>
      <c r="I2208" s="299"/>
      <c r="K2208" s="300"/>
      <c r="L2208" s="300"/>
    </row>
    <row r="2209" spans="1:12" x14ac:dyDescent="0.3">
      <c r="A2209"/>
      <c r="C2209"/>
      <c r="D2209"/>
      <c r="F2209"/>
      <c r="G2209"/>
      <c r="I2209" s="299"/>
      <c r="K2209" s="300"/>
      <c r="L2209" s="300"/>
    </row>
    <row r="2210" spans="1:12" x14ac:dyDescent="0.3">
      <c r="A2210"/>
      <c r="C2210"/>
      <c r="D2210"/>
      <c r="F2210"/>
      <c r="G2210"/>
      <c r="I2210" s="299"/>
      <c r="K2210" s="300"/>
      <c r="L2210" s="300"/>
    </row>
    <row r="2211" spans="1:12" x14ac:dyDescent="0.3">
      <c r="A2211"/>
      <c r="C2211"/>
      <c r="D2211"/>
      <c r="F2211"/>
      <c r="G2211"/>
      <c r="I2211" s="299"/>
      <c r="K2211" s="300"/>
      <c r="L2211" s="300"/>
    </row>
    <row r="2212" spans="1:12" x14ac:dyDescent="0.3">
      <c r="A2212"/>
      <c r="C2212"/>
      <c r="D2212"/>
      <c r="F2212"/>
      <c r="G2212"/>
      <c r="I2212" s="299"/>
      <c r="K2212" s="300"/>
      <c r="L2212" s="300"/>
    </row>
    <row r="2213" spans="1:12" x14ac:dyDescent="0.3">
      <c r="A2213"/>
      <c r="C2213"/>
      <c r="D2213"/>
      <c r="F2213"/>
      <c r="G2213"/>
      <c r="I2213" s="299"/>
      <c r="K2213" s="300"/>
      <c r="L2213" s="300"/>
    </row>
    <row r="2214" spans="1:12" x14ac:dyDescent="0.3">
      <c r="A2214"/>
      <c r="C2214"/>
      <c r="D2214"/>
      <c r="F2214"/>
      <c r="G2214"/>
      <c r="I2214" s="299"/>
      <c r="K2214" s="300"/>
      <c r="L2214" s="300"/>
    </row>
    <row r="2215" spans="1:12" x14ac:dyDescent="0.3">
      <c r="A2215"/>
      <c r="C2215"/>
      <c r="D2215"/>
      <c r="F2215"/>
      <c r="G2215"/>
      <c r="I2215" s="299"/>
      <c r="K2215" s="300"/>
      <c r="L2215" s="300"/>
    </row>
    <row r="2216" spans="1:12" x14ac:dyDescent="0.3">
      <c r="A2216"/>
      <c r="C2216"/>
      <c r="D2216"/>
      <c r="F2216"/>
      <c r="G2216"/>
      <c r="I2216" s="299"/>
      <c r="K2216" s="300"/>
      <c r="L2216" s="300"/>
    </row>
    <row r="2217" spans="1:12" x14ac:dyDescent="0.3">
      <c r="A2217"/>
      <c r="C2217"/>
      <c r="D2217"/>
      <c r="F2217"/>
      <c r="G2217"/>
      <c r="I2217" s="299"/>
      <c r="K2217" s="300"/>
      <c r="L2217" s="300"/>
    </row>
    <row r="2218" spans="1:12" x14ac:dyDescent="0.3">
      <c r="A2218"/>
      <c r="C2218"/>
      <c r="D2218"/>
      <c r="F2218"/>
      <c r="G2218"/>
      <c r="I2218" s="299"/>
      <c r="K2218" s="300"/>
      <c r="L2218" s="300"/>
    </row>
    <row r="2219" spans="1:12" x14ac:dyDescent="0.3">
      <c r="A2219"/>
      <c r="C2219"/>
      <c r="D2219"/>
      <c r="F2219"/>
      <c r="G2219"/>
      <c r="I2219" s="299"/>
      <c r="K2219" s="300"/>
      <c r="L2219" s="300"/>
    </row>
    <row r="2220" spans="1:12" x14ac:dyDescent="0.3">
      <c r="A2220"/>
      <c r="C2220"/>
      <c r="D2220"/>
      <c r="F2220"/>
      <c r="G2220"/>
      <c r="I2220" s="299"/>
      <c r="K2220" s="300"/>
      <c r="L2220" s="300"/>
    </row>
    <row r="2221" spans="1:12" x14ac:dyDescent="0.3">
      <c r="A2221"/>
      <c r="C2221"/>
      <c r="D2221"/>
      <c r="F2221"/>
      <c r="G2221"/>
      <c r="I2221" s="299"/>
      <c r="K2221" s="300"/>
      <c r="L2221" s="300"/>
    </row>
    <row r="2222" spans="1:12" x14ac:dyDescent="0.3">
      <c r="A2222"/>
      <c r="C2222"/>
      <c r="D2222"/>
      <c r="F2222"/>
      <c r="G2222"/>
      <c r="I2222" s="299"/>
      <c r="K2222" s="300"/>
      <c r="L2222" s="300"/>
    </row>
    <row r="2223" spans="1:12" x14ac:dyDescent="0.3">
      <c r="A2223"/>
      <c r="C2223"/>
      <c r="D2223"/>
      <c r="F2223"/>
      <c r="G2223"/>
      <c r="I2223" s="299"/>
      <c r="K2223" s="300"/>
      <c r="L2223" s="300"/>
    </row>
    <row r="2224" spans="1:12" x14ac:dyDescent="0.3">
      <c r="A2224"/>
      <c r="C2224"/>
      <c r="D2224"/>
      <c r="F2224"/>
      <c r="G2224"/>
      <c r="I2224" s="299"/>
      <c r="K2224" s="300"/>
      <c r="L2224" s="300"/>
    </row>
    <row r="2225" spans="1:12" x14ac:dyDescent="0.3">
      <c r="A2225"/>
      <c r="C2225"/>
      <c r="D2225"/>
      <c r="F2225"/>
      <c r="G2225"/>
      <c r="I2225" s="299"/>
      <c r="K2225" s="300"/>
      <c r="L2225" s="300"/>
    </row>
    <row r="2226" spans="1:12" x14ac:dyDescent="0.3">
      <c r="A2226"/>
      <c r="C2226"/>
      <c r="D2226"/>
      <c r="F2226"/>
      <c r="G2226"/>
      <c r="I2226" s="299"/>
      <c r="K2226" s="300"/>
      <c r="L2226" s="300"/>
    </row>
    <row r="2227" spans="1:12" x14ac:dyDescent="0.3">
      <c r="A2227"/>
      <c r="C2227"/>
      <c r="D2227"/>
      <c r="F2227"/>
      <c r="G2227"/>
      <c r="I2227" s="299"/>
      <c r="K2227" s="300"/>
      <c r="L2227" s="300"/>
    </row>
    <row r="2228" spans="1:12" x14ac:dyDescent="0.3">
      <c r="A2228"/>
      <c r="C2228"/>
      <c r="D2228"/>
      <c r="F2228"/>
      <c r="G2228"/>
      <c r="I2228" s="299"/>
      <c r="K2228" s="300"/>
      <c r="L2228" s="300"/>
    </row>
    <row r="2229" spans="1:12" x14ac:dyDescent="0.3">
      <c r="A2229"/>
      <c r="C2229"/>
      <c r="D2229"/>
      <c r="F2229"/>
      <c r="G2229"/>
      <c r="I2229" s="299"/>
      <c r="K2229" s="300"/>
      <c r="L2229" s="300"/>
    </row>
    <row r="2230" spans="1:12" x14ac:dyDescent="0.3">
      <c r="A2230"/>
      <c r="C2230"/>
      <c r="D2230"/>
      <c r="F2230"/>
      <c r="G2230"/>
      <c r="I2230" s="299"/>
      <c r="K2230" s="300"/>
      <c r="L2230" s="300"/>
    </row>
    <row r="2231" spans="1:12" x14ac:dyDescent="0.3">
      <c r="A2231"/>
      <c r="C2231"/>
      <c r="D2231"/>
      <c r="F2231"/>
      <c r="G2231"/>
      <c r="I2231" s="299"/>
      <c r="K2231" s="300"/>
      <c r="L2231" s="300"/>
    </row>
    <row r="2232" spans="1:12" x14ac:dyDescent="0.3">
      <c r="A2232"/>
      <c r="C2232"/>
      <c r="D2232"/>
      <c r="F2232"/>
      <c r="G2232"/>
      <c r="I2232" s="299"/>
      <c r="K2232" s="300"/>
      <c r="L2232" s="300"/>
    </row>
    <row r="2233" spans="1:12" x14ac:dyDescent="0.3">
      <c r="A2233"/>
      <c r="C2233"/>
      <c r="D2233"/>
      <c r="F2233"/>
      <c r="G2233"/>
      <c r="I2233" s="299"/>
      <c r="K2233" s="300"/>
      <c r="L2233" s="300"/>
    </row>
    <row r="2234" spans="1:12" x14ac:dyDescent="0.3">
      <c r="A2234"/>
      <c r="C2234"/>
      <c r="D2234"/>
      <c r="F2234"/>
      <c r="G2234"/>
      <c r="I2234" s="299"/>
      <c r="K2234" s="300"/>
      <c r="L2234" s="300"/>
    </row>
    <row r="2235" spans="1:12" x14ac:dyDescent="0.3">
      <c r="A2235"/>
      <c r="C2235"/>
      <c r="D2235"/>
      <c r="F2235"/>
      <c r="G2235"/>
      <c r="I2235" s="299"/>
      <c r="K2235" s="300"/>
      <c r="L2235" s="300"/>
    </row>
    <row r="2236" spans="1:12" x14ac:dyDescent="0.3">
      <c r="A2236"/>
      <c r="C2236"/>
      <c r="D2236"/>
      <c r="F2236"/>
      <c r="G2236"/>
      <c r="I2236" s="299"/>
      <c r="K2236" s="300"/>
      <c r="L2236" s="300"/>
    </row>
    <row r="2237" spans="1:12" x14ac:dyDescent="0.3">
      <c r="A2237"/>
      <c r="C2237"/>
      <c r="D2237"/>
      <c r="F2237"/>
      <c r="G2237"/>
      <c r="I2237" s="299"/>
      <c r="K2237" s="300"/>
      <c r="L2237" s="300"/>
    </row>
    <row r="2238" spans="1:12" x14ac:dyDescent="0.3">
      <c r="A2238"/>
      <c r="C2238"/>
      <c r="D2238"/>
      <c r="F2238"/>
      <c r="G2238"/>
      <c r="I2238" s="299"/>
      <c r="K2238" s="300"/>
      <c r="L2238" s="300"/>
    </row>
    <row r="2239" spans="1:12" x14ac:dyDescent="0.3">
      <c r="A2239"/>
      <c r="C2239"/>
      <c r="D2239"/>
      <c r="F2239"/>
      <c r="G2239"/>
      <c r="I2239" s="299"/>
      <c r="K2239" s="300"/>
      <c r="L2239" s="300"/>
    </row>
    <row r="2240" spans="1:12" x14ac:dyDescent="0.3">
      <c r="A2240"/>
      <c r="C2240"/>
      <c r="D2240"/>
      <c r="F2240"/>
      <c r="G2240"/>
      <c r="I2240" s="299"/>
      <c r="K2240" s="300"/>
      <c r="L2240" s="300"/>
    </row>
    <row r="2241" spans="1:12" x14ac:dyDescent="0.3">
      <c r="A2241"/>
      <c r="C2241"/>
      <c r="D2241"/>
      <c r="F2241"/>
      <c r="G2241"/>
      <c r="I2241" s="299"/>
      <c r="K2241" s="300"/>
      <c r="L2241" s="300"/>
    </row>
    <row r="2242" spans="1:12" x14ac:dyDescent="0.3">
      <c r="A2242"/>
      <c r="C2242"/>
      <c r="D2242"/>
      <c r="F2242"/>
      <c r="G2242"/>
      <c r="I2242" s="299"/>
      <c r="K2242" s="300"/>
      <c r="L2242" s="300"/>
    </row>
    <row r="2243" spans="1:12" x14ac:dyDescent="0.3">
      <c r="A2243"/>
      <c r="C2243"/>
      <c r="D2243"/>
      <c r="F2243"/>
      <c r="G2243"/>
      <c r="I2243" s="299"/>
      <c r="K2243" s="300"/>
      <c r="L2243" s="300"/>
    </row>
    <row r="2244" spans="1:12" x14ac:dyDescent="0.3">
      <c r="A2244"/>
      <c r="C2244"/>
      <c r="D2244"/>
      <c r="F2244"/>
      <c r="G2244"/>
      <c r="I2244" s="299"/>
      <c r="K2244" s="300"/>
      <c r="L2244" s="300"/>
    </row>
    <row r="2245" spans="1:12" x14ac:dyDescent="0.3">
      <c r="A2245"/>
      <c r="C2245"/>
      <c r="D2245"/>
      <c r="F2245"/>
      <c r="G2245"/>
      <c r="I2245" s="299"/>
      <c r="K2245" s="300"/>
      <c r="L2245" s="300"/>
    </row>
    <row r="2246" spans="1:12" x14ac:dyDescent="0.3">
      <c r="A2246"/>
      <c r="C2246"/>
      <c r="D2246"/>
      <c r="F2246"/>
      <c r="G2246"/>
      <c r="I2246" s="299"/>
      <c r="K2246" s="300"/>
      <c r="L2246" s="300"/>
    </row>
    <row r="2247" spans="1:12" x14ac:dyDescent="0.3">
      <c r="A2247"/>
      <c r="C2247"/>
      <c r="D2247"/>
      <c r="F2247"/>
      <c r="G2247"/>
      <c r="I2247" s="299"/>
      <c r="K2247" s="300"/>
      <c r="L2247" s="300"/>
    </row>
    <row r="2248" spans="1:12" x14ac:dyDescent="0.3">
      <c r="A2248"/>
      <c r="C2248"/>
      <c r="D2248"/>
      <c r="F2248"/>
      <c r="G2248"/>
      <c r="I2248" s="299"/>
      <c r="K2248" s="300"/>
      <c r="L2248" s="300"/>
    </row>
    <row r="2249" spans="1:12" x14ac:dyDescent="0.3">
      <c r="A2249"/>
      <c r="C2249"/>
      <c r="D2249"/>
      <c r="F2249"/>
      <c r="G2249"/>
      <c r="I2249" s="299"/>
      <c r="K2249" s="300"/>
      <c r="L2249" s="300"/>
    </row>
    <row r="2250" spans="1:12" x14ac:dyDescent="0.3">
      <c r="A2250"/>
      <c r="C2250"/>
      <c r="D2250"/>
      <c r="F2250"/>
      <c r="G2250"/>
      <c r="I2250" s="299"/>
      <c r="K2250" s="300"/>
      <c r="L2250" s="300"/>
    </row>
    <row r="2251" spans="1:12" x14ac:dyDescent="0.3">
      <c r="A2251"/>
      <c r="C2251"/>
      <c r="D2251"/>
      <c r="F2251"/>
      <c r="G2251"/>
      <c r="I2251" s="299"/>
      <c r="K2251" s="300"/>
      <c r="L2251" s="300"/>
    </row>
    <row r="2252" spans="1:12" x14ac:dyDescent="0.3">
      <c r="A2252"/>
      <c r="C2252"/>
      <c r="D2252"/>
      <c r="F2252"/>
      <c r="G2252"/>
      <c r="I2252" s="299"/>
      <c r="K2252" s="300"/>
      <c r="L2252" s="300"/>
    </row>
    <row r="2253" spans="1:12" x14ac:dyDescent="0.3">
      <c r="A2253"/>
      <c r="C2253"/>
      <c r="D2253"/>
      <c r="F2253"/>
      <c r="G2253"/>
      <c r="I2253" s="299"/>
      <c r="K2253" s="300"/>
      <c r="L2253" s="300"/>
    </row>
    <row r="2254" spans="1:12" x14ac:dyDescent="0.3">
      <c r="A2254"/>
      <c r="C2254"/>
      <c r="D2254"/>
      <c r="F2254"/>
      <c r="G2254"/>
      <c r="I2254" s="299"/>
      <c r="K2254" s="300"/>
      <c r="L2254" s="300"/>
    </row>
    <row r="2255" spans="1:12" x14ac:dyDescent="0.3">
      <c r="A2255"/>
      <c r="C2255"/>
      <c r="D2255"/>
      <c r="F2255"/>
      <c r="G2255"/>
      <c r="I2255" s="299"/>
      <c r="K2255" s="300"/>
      <c r="L2255" s="300"/>
    </row>
    <row r="2256" spans="1:12" x14ac:dyDescent="0.3">
      <c r="A2256"/>
      <c r="C2256"/>
      <c r="D2256"/>
      <c r="F2256"/>
      <c r="G2256"/>
      <c r="I2256" s="299"/>
      <c r="K2256" s="300"/>
      <c r="L2256" s="300"/>
    </row>
    <row r="2257" spans="1:12" x14ac:dyDescent="0.3">
      <c r="A2257"/>
      <c r="C2257"/>
      <c r="D2257"/>
      <c r="F2257"/>
      <c r="G2257"/>
      <c r="I2257" s="299"/>
      <c r="K2257" s="300"/>
      <c r="L2257" s="300"/>
    </row>
    <row r="2258" spans="1:12" x14ac:dyDescent="0.3">
      <c r="A2258"/>
      <c r="C2258"/>
      <c r="D2258"/>
      <c r="F2258"/>
      <c r="G2258"/>
      <c r="I2258" s="299"/>
      <c r="K2258" s="300"/>
      <c r="L2258" s="300"/>
    </row>
    <row r="2259" spans="1:12" x14ac:dyDescent="0.3">
      <c r="A2259"/>
      <c r="C2259"/>
      <c r="D2259"/>
      <c r="F2259"/>
      <c r="G2259"/>
      <c r="I2259" s="299"/>
      <c r="K2259" s="300"/>
      <c r="L2259" s="300"/>
    </row>
    <row r="2260" spans="1:12" x14ac:dyDescent="0.3">
      <c r="A2260"/>
      <c r="C2260"/>
      <c r="D2260"/>
      <c r="F2260"/>
      <c r="G2260"/>
      <c r="I2260" s="299"/>
      <c r="K2260" s="300"/>
      <c r="L2260" s="300"/>
    </row>
    <row r="2261" spans="1:12" x14ac:dyDescent="0.3">
      <c r="A2261"/>
      <c r="C2261"/>
      <c r="D2261"/>
      <c r="F2261"/>
      <c r="G2261"/>
      <c r="I2261" s="299"/>
      <c r="K2261" s="300"/>
      <c r="L2261" s="300"/>
    </row>
    <row r="2262" spans="1:12" x14ac:dyDescent="0.3">
      <c r="A2262"/>
      <c r="C2262"/>
      <c r="D2262"/>
      <c r="F2262"/>
      <c r="G2262"/>
      <c r="I2262" s="299"/>
      <c r="K2262" s="300"/>
      <c r="L2262" s="300"/>
    </row>
    <row r="2263" spans="1:12" x14ac:dyDescent="0.3">
      <c r="A2263"/>
      <c r="C2263"/>
      <c r="D2263"/>
      <c r="F2263"/>
      <c r="G2263"/>
      <c r="I2263" s="299"/>
      <c r="K2263" s="300"/>
      <c r="L2263" s="300"/>
    </row>
    <row r="2264" spans="1:12" x14ac:dyDescent="0.3">
      <c r="A2264"/>
      <c r="C2264"/>
      <c r="D2264"/>
      <c r="F2264"/>
      <c r="G2264"/>
      <c r="I2264" s="299"/>
      <c r="K2264" s="300"/>
      <c r="L2264" s="300"/>
    </row>
    <row r="2265" spans="1:12" x14ac:dyDescent="0.3">
      <c r="A2265"/>
      <c r="C2265"/>
      <c r="D2265"/>
      <c r="F2265"/>
      <c r="G2265"/>
      <c r="I2265" s="299"/>
      <c r="K2265" s="300"/>
      <c r="L2265" s="300"/>
    </row>
    <row r="2266" spans="1:12" x14ac:dyDescent="0.3">
      <c r="A2266"/>
      <c r="C2266"/>
      <c r="D2266"/>
      <c r="F2266"/>
      <c r="G2266"/>
      <c r="I2266" s="299"/>
      <c r="K2266" s="300"/>
      <c r="L2266" s="300"/>
    </row>
    <row r="2267" spans="1:12" x14ac:dyDescent="0.3">
      <c r="A2267"/>
      <c r="C2267"/>
      <c r="D2267"/>
      <c r="F2267"/>
      <c r="G2267"/>
      <c r="I2267" s="299"/>
      <c r="K2267" s="300"/>
      <c r="L2267" s="300"/>
    </row>
    <row r="2268" spans="1:12" x14ac:dyDescent="0.3">
      <c r="A2268"/>
      <c r="C2268"/>
      <c r="D2268"/>
      <c r="F2268"/>
      <c r="G2268"/>
      <c r="I2268" s="299"/>
      <c r="K2268" s="300"/>
      <c r="L2268" s="300"/>
    </row>
    <row r="2269" spans="1:12" x14ac:dyDescent="0.3">
      <c r="A2269"/>
      <c r="C2269"/>
      <c r="D2269"/>
      <c r="F2269"/>
      <c r="G2269"/>
      <c r="I2269" s="299"/>
      <c r="K2269" s="300"/>
      <c r="L2269" s="300"/>
    </row>
    <row r="2270" spans="1:12" x14ac:dyDescent="0.3">
      <c r="A2270"/>
      <c r="C2270"/>
      <c r="D2270"/>
      <c r="F2270"/>
      <c r="G2270"/>
      <c r="I2270" s="299"/>
      <c r="K2270" s="300"/>
      <c r="L2270" s="300"/>
    </row>
    <row r="2271" spans="1:12" x14ac:dyDescent="0.3">
      <c r="A2271"/>
      <c r="C2271"/>
      <c r="D2271"/>
      <c r="F2271"/>
      <c r="G2271"/>
      <c r="I2271" s="299"/>
      <c r="K2271" s="300"/>
      <c r="L2271" s="300"/>
    </row>
    <row r="2272" spans="1:12" x14ac:dyDescent="0.3">
      <c r="A2272"/>
      <c r="C2272"/>
      <c r="D2272"/>
      <c r="F2272"/>
      <c r="G2272"/>
      <c r="I2272" s="299"/>
      <c r="K2272" s="300"/>
      <c r="L2272" s="300"/>
    </row>
    <row r="2273" spans="1:12" x14ac:dyDescent="0.3">
      <c r="A2273"/>
      <c r="C2273"/>
      <c r="D2273"/>
      <c r="F2273"/>
      <c r="G2273"/>
      <c r="I2273" s="299"/>
      <c r="K2273" s="300"/>
      <c r="L2273" s="300"/>
    </row>
    <row r="2274" spans="1:12" x14ac:dyDescent="0.3">
      <c r="A2274"/>
      <c r="C2274"/>
      <c r="D2274"/>
      <c r="F2274"/>
      <c r="G2274"/>
      <c r="I2274" s="299"/>
      <c r="K2274" s="300"/>
      <c r="L2274" s="300"/>
    </row>
    <row r="2275" spans="1:12" x14ac:dyDescent="0.3">
      <c r="A2275"/>
      <c r="C2275"/>
      <c r="D2275"/>
      <c r="F2275"/>
      <c r="G2275"/>
      <c r="I2275" s="299"/>
      <c r="K2275" s="300"/>
      <c r="L2275" s="300"/>
    </row>
    <row r="2276" spans="1:12" x14ac:dyDescent="0.3">
      <c r="A2276"/>
      <c r="C2276"/>
      <c r="D2276"/>
      <c r="F2276"/>
      <c r="G2276"/>
      <c r="I2276" s="299"/>
      <c r="K2276" s="300"/>
      <c r="L2276" s="300"/>
    </row>
    <row r="2277" spans="1:12" x14ac:dyDescent="0.3">
      <c r="A2277"/>
      <c r="C2277"/>
      <c r="D2277"/>
      <c r="F2277"/>
      <c r="G2277"/>
      <c r="I2277" s="299"/>
      <c r="K2277" s="300"/>
      <c r="L2277" s="300"/>
    </row>
    <row r="2278" spans="1:12" x14ac:dyDescent="0.3">
      <c r="A2278"/>
      <c r="C2278"/>
      <c r="D2278"/>
      <c r="F2278"/>
      <c r="G2278"/>
      <c r="I2278" s="299"/>
      <c r="K2278" s="300"/>
      <c r="L2278" s="300"/>
    </row>
    <row r="2279" spans="1:12" x14ac:dyDescent="0.3">
      <c r="A2279"/>
      <c r="C2279"/>
      <c r="D2279"/>
      <c r="F2279"/>
      <c r="G2279"/>
      <c r="I2279" s="299"/>
      <c r="K2279" s="300"/>
      <c r="L2279" s="300"/>
    </row>
    <row r="2280" spans="1:12" x14ac:dyDescent="0.3">
      <c r="A2280"/>
      <c r="C2280"/>
      <c r="D2280"/>
      <c r="F2280"/>
      <c r="G2280"/>
      <c r="I2280" s="299"/>
      <c r="K2280" s="300"/>
      <c r="L2280" s="300"/>
    </row>
    <row r="2281" spans="1:12" x14ac:dyDescent="0.3">
      <c r="A2281"/>
      <c r="C2281"/>
      <c r="D2281"/>
      <c r="F2281"/>
      <c r="G2281"/>
      <c r="I2281" s="299"/>
      <c r="K2281" s="300"/>
      <c r="L2281" s="300"/>
    </row>
    <row r="2282" spans="1:12" x14ac:dyDescent="0.3">
      <c r="A2282"/>
      <c r="C2282"/>
      <c r="D2282"/>
      <c r="F2282"/>
      <c r="G2282"/>
      <c r="I2282" s="299"/>
      <c r="K2282" s="300"/>
      <c r="L2282" s="300"/>
    </row>
    <row r="2283" spans="1:12" x14ac:dyDescent="0.3">
      <c r="A2283"/>
      <c r="C2283"/>
      <c r="D2283"/>
      <c r="F2283"/>
      <c r="G2283"/>
      <c r="I2283" s="299"/>
      <c r="K2283" s="300"/>
      <c r="L2283" s="300"/>
    </row>
    <row r="2284" spans="1:12" x14ac:dyDescent="0.3">
      <c r="A2284"/>
      <c r="C2284"/>
      <c r="D2284"/>
      <c r="F2284"/>
      <c r="G2284"/>
      <c r="I2284" s="299"/>
      <c r="K2284" s="300"/>
      <c r="L2284" s="300"/>
    </row>
    <row r="2285" spans="1:12" x14ac:dyDescent="0.3">
      <c r="A2285"/>
      <c r="C2285"/>
      <c r="D2285"/>
      <c r="F2285"/>
      <c r="G2285"/>
      <c r="I2285" s="299"/>
      <c r="K2285" s="300"/>
      <c r="L2285" s="300"/>
    </row>
    <row r="2286" spans="1:12" x14ac:dyDescent="0.3">
      <c r="A2286"/>
      <c r="C2286"/>
      <c r="D2286"/>
      <c r="F2286"/>
      <c r="G2286"/>
      <c r="I2286" s="299"/>
      <c r="K2286" s="300"/>
      <c r="L2286" s="300"/>
    </row>
    <row r="2287" spans="1:12" x14ac:dyDescent="0.3">
      <c r="A2287"/>
      <c r="C2287"/>
      <c r="D2287"/>
      <c r="F2287"/>
      <c r="G2287"/>
      <c r="I2287" s="299"/>
      <c r="K2287" s="300"/>
      <c r="L2287" s="300"/>
    </row>
    <row r="2288" spans="1:12" x14ac:dyDescent="0.3">
      <c r="A2288"/>
      <c r="C2288"/>
      <c r="D2288"/>
      <c r="F2288"/>
      <c r="G2288"/>
      <c r="I2288" s="299"/>
      <c r="K2288" s="300"/>
      <c r="L2288" s="300"/>
    </row>
    <row r="2289" spans="1:12" x14ac:dyDescent="0.3">
      <c r="A2289"/>
      <c r="C2289"/>
      <c r="D2289"/>
      <c r="F2289"/>
      <c r="G2289"/>
      <c r="I2289" s="299"/>
      <c r="K2289" s="300"/>
      <c r="L2289" s="300"/>
    </row>
    <row r="2290" spans="1:12" x14ac:dyDescent="0.3">
      <c r="A2290"/>
      <c r="C2290"/>
      <c r="D2290"/>
      <c r="F2290"/>
      <c r="G2290"/>
      <c r="I2290" s="299"/>
      <c r="K2290" s="300"/>
      <c r="L2290" s="300"/>
    </row>
    <row r="2291" spans="1:12" x14ac:dyDescent="0.3">
      <c r="A2291"/>
      <c r="C2291"/>
      <c r="D2291"/>
      <c r="F2291"/>
      <c r="G2291"/>
      <c r="I2291" s="299"/>
      <c r="K2291" s="300"/>
      <c r="L2291" s="300"/>
    </row>
    <row r="2292" spans="1:12" x14ac:dyDescent="0.3">
      <c r="A2292"/>
      <c r="C2292"/>
      <c r="D2292"/>
      <c r="F2292"/>
      <c r="G2292"/>
      <c r="I2292" s="299"/>
      <c r="K2292" s="300"/>
      <c r="L2292" s="300"/>
    </row>
    <row r="2293" spans="1:12" x14ac:dyDescent="0.3">
      <c r="A2293"/>
      <c r="C2293"/>
      <c r="D2293"/>
      <c r="F2293"/>
      <c r="G2293"/>
      <c r="I2293" s="299"/>
      <c r="K2293" s="300"/>
      <c r="L2293" s="300"/>
    </row>
    <row r="2294" spans="1:12" x14ac:dyDescent="0.3">
      <c r="A2294"/>
      <c r="C2294"/>
      <c r="D2294"/>
      <c r="F2294"/>
      <c r="G2294"/>
      <c r="I2294" s="299"/>
      <c r="K2294" s="300"/>
      <c r="L2294" s="300"/>
    </row>
    <row r="2295" spans="1:12" x14ac:dyDescent="0.3">
      <c r="A2295"/>
      <c r="C2295"/>
      <c r="D2295"/>
      <c r="F2295"/>
      <c r="G2295"/>
      <c r="I2295" s="299"/>
      <c r="K2295" s="300"/>
      <c r="L2295" s="300"/>
    </row>
    <row r="2296" spans="1:12" x14ac:dyDescent="0.3">
      <c r="A2296"/>
      <c r="C2296"/>
      <c r="D2296"/>
      <c r="F2296"/>
      <c r="G2296"/>
      <c r="I2296" s="299"/>
      <c r="K2296" s="300"/>
      <c r="L2296" s="300"/>
    </row>
    <row r="2297" spans="1:12" x14ac:dyDescent="0.3">
      <c r="A2297"/>
      <c r="C2297"/>
      <c r="D2297"/>
      <c r="F2297"/>
      <c r="G2297"/>
      <c r="I2297" s="299"/>
      <c r="K2297" s="300"/>
      <c r="L2297" s="300"/>
    </row>
    <row r="2298" spans="1:12" x14ac:dyDescent="0.3">
      <c r="A2298"/>
      <c r="C2298"/>
      <c r="D2298"/>
      <c r="F2298"/>
      <c r="G2298"/>
      <c r="I2298" s="299"/>
      <c r="K2298" s="300"/>
      <c r="L2298" s="300"/>
    </row>
    <row r="2299" spans="1:12" x14ac:dyDescent="0.3">
      <c r="A2299"/>
      <c r="C2299"/>
      <c r="D2299"/>
      <c r="F2299"/>
      <c r="G2299"/>
      <c r="I2299" s="299"/>
      <c r="K2299" s="300"/>
      <c r="L2299" s="300"/>
    </row>
    <row r="2300" spans="1:12" x14ac:dyDescent="0.3">
      <c r="A2300"/>
      <c r="C2300"/>
      <c r="D2300"/>
      <c r="F2300"/>
      <c r="G2300"/>
      <c r="I2300" s="299"/>
      <c r="K2300" s="300"/>
      <c r="L2300" s="300"/>
    </row>
    <row r="2301" spans="1:12" x14ac:dyDescent="0.3">
      <c r="A2301"/>
      <c r="C2301"/>
      <c r="D2301"/>
      <c r="F2301"/>
      <c r="G2301"/>
      <c r="I2301" s="299"/>
      <c r="K2301" s="300"/>
      <c r="L2301" s="300"/>
    </row>
    <row r="2302" spans="1:12" x14ac:dyDescent="0.3">
      <c r="A2302"/>
      <c r="C2302"/>
      <c r="D2302"/>
      <c r="F2302"/>
      <c r="G2302"/>
      <c r="I2302" s="299"/>
      <c r="K2302" s="300"/>
      <c r="L2302" s="300"/>
    </row>
    <row r="2303" spans="1:12" x14ac:dyDescent="0.3">
      <c r="A2303"/>
      <c r="C2303"/>
      <c r="D2303"/>
      <c r="F2303"/>
      <c r="G2303"/>
      <c r="I2303" s="299"/>
      <c r="K2303" s="300"/>
      <c r="L2303" s="300"/>
    </row>
    <row r="2304" spans="1:12" x14ac:dyDescent="0.3">
      <c r="A2304"/>
      <c r="C2304"/>
      <c r="D2304"/>
      <c r="F2304"/>
      <c r="G2304"/>
      <c r="I2304" s="299"/>
      <c r="K2304" s="300"/>
      <c r="L2304" s="300"/>
    </row>
    <row r="2305" spans="1:12" x14ac:dyDescent="0.3">
      <c r="A2305"/>
      <c r="C2305"/>
      <c r="D2305"/>
      <c r="F2305"/>
      <c r="G2305"/>
      <c r="I2305" s="299"/>
      <c r="K2305" s="300"/>
      <c r="L2305" s="300"/>
    </row>
    <row r="2306" spans="1:12" x14ac:dyDescent="0.3">
      <c r="A2306"/>
      <c r="C2306"/>
      <c r="D2306"/>
      <c r="F2306"/>
      <c r="G2306"/>
      <c r="I2306" s="299"/>
      <c r="K2306" s="300"/>
      <c r="L2306" s="300"/>
    </row>
    <row r="2307" spans="1:12" x14ac:dyDescent="0.3">
      <c r="A2307"/>
      <c r="C2307"/>
      <c r="D2307"/>
      <c r="F2307"/>
      <c r="G2307"/>
      <c r="I2307" s="299"/>
      <c r="K2307" s="300"/>
      <c r="L2307" s="300"/>
    </row>
    <row r="2308" spans="1:12" x14ac:dyDescent="0.3">
      <c r="A2308"/>
      <c r="C2308"/>
      <c r="D2308"/>
      <c r="F2308"/>
      <c r="G2308"/>
      <c r="I2308" s="299"/>
      <c r="K2308" s="300"/>
      <c r="L2308" s="300"/>
    </row>
    <row r="2309" spans="1:12" x14ac:dyDescent="0.3">
      <c r="A2309"/>
      <c r="C2309"/>
      <c r="D2309"/>
      <c r="F2309"/>
      <c r="G2309"/>
      <c r="I2309" s="299"/>
      <c r="K2309" s="300"/>
      <c r="L2309" s="300"/>
    </row>
    <row r="2310" spans="1:12" x14ac:dyDescent="0.3">
      <c r="A2310"/>
      <c r="C2310"/>
      <c r="D2310"/>
      <c r="F2310"/>
      <c r="G2310"/>
      <c r="I2310" s="299"/>
      <c r="K2310" s="300"/>
      <c r="L2310" s="300"/>
    </row>
    <row r="2311" spans="1:12" x14ac:dyDescent="0.3">
      <c r="A2311"/>
      <c r="C2311"/>
      <c r="D2311"/>
      <c r="F2311"/>
      <c r="G2311"/>
      <c r="I2311" s="299"/>
      <c r="K2311" s="300"/>
      <c r="L2311" s="300"/>
    </row>
    <row r="2312" spans="1:12" x14ac:dyDescent="0.3">
      <c r="A2312"/>
      <c r="C2312"/>
      <c r="D2312"/>
      <c r="F2312"/>
      <c r="G2312"/>
      <c r="I2312" s="299"/>
      <c r="K2312" s="300"/>
      <c r="L2312" s="300"/>
    </row>
    <row r="2313" spans="1:12" x14ac:dyDescent="0.3">
      <c r="A2313"/>
      <c r="C2313"/>
      <c r="D2313"/>
      <c r="F2313"/>
      <c r="G2313"/>
      <c r="I2313" s="299"/>
      <c r="K2313" s="300"/>
      <c r="L2313" s="300"/>
    </row>
    <row r="2314" spans="1:12" x14ac:dyDescent="0.3">
      <c r="A2314"/>
      <c r="C2314"/>
      <c r="D2314"/>
      <c r="F2314"/>
      <c r="G2314"/>
      <c r="I2314" s="299"/>
      <c r="K2314" s="300"/>
      <c r="L2314" s="300"/>
    </row>
    <row r="2315" spans="1:12" x14ac:dyDescent="0.3">
      <c r="A2315"/>
      <c r="C2315"/>
      <c r="D2315"/>
      <c r="F2315"/>
      <c r="G2315"/>
      <c r="I2315" s="299"/>
      <c r="K2315" s="300"/>
      <c r="L2315" s="300"/>
    </row>
    <row r="2316" spans="1:12" x14ac:dyDescent="0.3">
      <c r="A2316"/>
      <c r="C2316"/>
      <c r="D2316"/>
      <c r="F2316"/>
      <c r="G2316"/>
      <c r="I2316" s="299"/>
      <c r="K2316" s="300"/>
      <c r="L2316" s="300"/>
    </row>
    <row r="2317" spans="1:12" x14ac:dyDescent="0.3">
      <c r="A2317"/>
      <c r="C2317"/>
      <c r="D2317"/>
      <c r="F2317"/>
      <c r="G2317"/>
      <c r="I2317" s="299"/>
      <c r="K2317" s="300"/>
      <c r="L2317" s="300"/>
    </row>
    <row r="2318" spans="1:12" x14ac:dyDescent="0.3">
      <c r="A2318"/>
      <c r="C2318"/>
      <c r="D2318"/>
      <c r="F2318"/>
      <c r="G2318"/>
      <c r="I2318" s="299"/>
      <c r="K2318" s="300"/>
      <c r="L2318" s="300"/>
    </row>
    <row r="2319" spans="1:12" x14ac:dyDescent="0.3">
      <c r="A2319"/>
      <c r="C2319"/>
      <c r="D2319"/>
      <c r="F2319"/>
      <c r="G2319"/>
      <c r="I2319" s="299"/>
      <c r="K2319" s="300"/>
      <c r="L2319" s="300"/>
    </row>
    <row r="2320" spans="1:12" x14ac:dyDescent="0.3">
      <c r="A2320"/>
      <c r="C2320"/>
      <c r="D2320"/>
      <c r="F2320"/>
      <c r="G2320"/>
      <c r="I2320" s="299"/>
      <c r="K2320" s="300"/>
      <c r="L2320" s="300"/>
    </row>
    <row r="2321" spans="1:12" x14ac:dyDescent="0.3">
      <c r="A2321"/>
      <c r="C2321"/>
      <c r="D2321"/>
      <c r="F2321"/>
      <c r="G2321"/>
      <c r="I2321" s="299"/>
      <c r="K2321" s="300"/>
      <c r="L2321" s="300"/>
    </row>
    <row r="2322" spans="1:12" x14ac:dyDescent="0.3">
      <c r="A2322"/>
      <c r="C2322"/>
      <c r="D2322"/>
      <c r="F2322"/>
      <c r="G2322"/>
      <c r="I2322" s="299"/>
      <c r="K2322" s="300"/>
      <c r="L2322" s="300"/>
    </row>
    <row r="2323" spans="1:12" x14ac:dyDescent="0.3">
      <c r="A2323"/>
      <c r="C2323"/>
      <c r="D2323"/>
      <c r="F2323"/>
      <c r="G2323"/>
      <c r="I2323" s="299"/>
      <c r="K2323" s="300"/>
      <c r="L2323" s="300"/>
    </row>
    <row r="2324" spans="1:12" x14ac:dyDescent="0.3">
      <c r="A2324"/>
      <c r="C2324"/>
      <c r="D2324"/>
      <c r="F2324"/>
      <c r="G2324"/>
      <c r="I2324" s="299"/>
      <c r="K2324" s="300"/>
      <c r="L2324" s="300"/>
    </row>
    <row r="2325" spans="1:12" x14ac:dyDescent="0.3">
      <c r="A2325"/>
      <c r="C2325"/>
      <c r="D2325"/>
      <c r="F2325"/>
      <c r="G2325"/>
      <c r="I2325" s="299"/>
      <c r="K2325" s="300"/>
      <c r="L2325" s="300"/>
    </row>
    <row r="2326" spans="1:12" x14ac:dyDescent="0.3">
      <c r="A2326"/>
      <c r="C2326"/>
      <c r="D2326"/>
      <c r="F2326"/>
      <c r="G2326"/>
      <c r="I2326" s="299"/>
      <c r="K2326" s="300"/>
      <c r="L2326" s="300"/>
    </row>
    <row r="2327" spans="1:12" x14ac:dyDescent="0.3">
      <c r="A2327"/>
      <c r="C2327"/>
      <c r="D2327"/>
      <c r="F2327"/>
      <c r="G2327"/>
      <c r="I2327" s="299"/>
      <c r="K2327" s="300"/>
      <c r="L2327" s="300"/>
    </row>
    <row r="2328" spans="1:12" x14ac:dyDescent="0.3">
      <c r="A2328"/>
      <c r="C2328"/>
      <c r="D2328"/>
      <c r="F2328"/>
      <c r="G2328"/>
      <c r="I2328" s="299"/>
      <c r="K2328" s="300"/>
      <c r="L2328" s="300"/>
    </row>
    <row r="2329" spans="1:12" x14ac:dyDescent="0.3">
      <c r="A2329"/>
      <c r="C2329"/>
      <c r="D2329"/>
      <c r="F2329"/>
      <c r="G2329"/>
      <c r="I2329" s="299"/>
      <c r="K2329" s="300"/>
      <c r="L2329" s="300"/>
    </row>
    <row r="2330" spans="1:12" x14ac:dyDescent="0.3">
      <c r="A2330"/>
      <c r="C2330"/>
      <c r="D2330"/>
      <c r="F2330"/>
      <c r="G2330"/>
      <c r="I2330" s="299"/>
      <c r="K2330" s="300"/>
      <c r="L2330" s="300"/>
    </row>
    <row r="2331" spans="1:12" x14ac:dyDescent="0.3">
      <c r="A2331"/>
      <c r="C2331"/>
      <c r="D2331"/>
      <c r="F2331"/>
      <c r="G2331"/>
      <c r="I2331" s="299"/>
      <c r="K2331" s="300"/>
      <c r="L2331" s="300"/>
    </row>
    <row r="2332" spans="1:12" x14ac:dyDescent="0.3">
      <c r="A2332"/>
      <c r="C2332"/>
      <c r="D2332"/>
      <c r="F2332"/>
      <c r="G2332"/>
      <c r="I2332" s="299"/>
      <c r="K2332" s="300"/>
      <c r="L2332" s="300"/>
    </row>
    <row r="2333" spans="1:12" x14ac:dyDescent="0.3">
      <c r="A2333"/>
      <c r="C2333"/>
      <c r="D2333"/>
      <c r="F2333"/>
      <c r="G2333"/>
      <c r="I2333" s="299"/>
      <c r="K2333" s="300"/>
      <c r="L2333" s="300"/>
    </row>
    <row r="2334" spans="1:12" x14ac:dyDescent="0.3">
      <c r="A2334"/>
      <c r="C2334"/>
      <c r="D2334"/>
      <c r="F2334"/>
      <c r="G2334"/>
      <c r="I2334" s="299"/>
      <c r="K2334" s="300"/>
      <c r="L2334" s="300"/>
    </row>
    <row r="2335" spans="1:12" x14ac:dyDescent="0.3">
      <c r="A2335"/>
      <c r="C2335"/>
      <c r="D2335"/>
      <c r="F2335"/>
      <c r="G2335"/>
      <c r="I2335" s="299"/>
      <c r="K2335" s="300"/>
      <c r="L2335" s="300"/>
    </row>
    <row r="2336" spans="1:12" x14ac:dyDescent="0.3">
      <c r="A2336"/>
      <c r="C2336"/>
      <c r="D2336"/>
      <c r="F2336"/>
      <c r="G2336"/>
      <c r="I2336" s="299"/>
      <c r="K2336" s="300"/>
      <c r="L2336" s="300"/>
    </row>
    <row r="2337" spans="1:12" x14ac:dyDescent="0.3">
      <c r="A2337"/>
      <c r="C2337"/>
      <c r="D2337"/>
      <c r="F2337"/>
      <c r="G2337"/>
      <c r="I2337" s="299"/>
      <c r="K2337" s="300"/>
      <c r="L2337" s="300"/>
    </row>
    <row r="2338" spans="1:12" x14ac:dyDescent="0.3">
      <c r="A2338"/>
      <c r="C2338"/>
      <c r="D2338"/>
      <c r="F2338"/>
      <c r="G2338"/>
      <c r="I2338" s="299"/>
      <c r="K2338" s="300"/>
      <c r="L2338" s="300"/>
    </row>
    <row r="2339" spans="1:12" x14ac:dyDescent="0.3">
      <c r="A2339"/>
      <c r="C2339"/>
      <c r="D2339"/>
      <c r="F2339"/>
      <c r="G2339"/>
      <c r="I2339" s="299"/>
      <c r="K2339" s="300"/>
      <c r="L2339" s="300"/>
    </row>
    <row r="2340" spans="1:12" x14ac:dyDescent="0.3">
      <c r="A2340"/>
      <c r="C2340"/>
      <c r="D2340"/>
      <c r="F2340"/>
      <c r="G2340"/>
      <c r="I2340" s="299"/>
      <c r="K2340" s="300"/>
      <c r="L2340" s="300"/>
    </row>
    <row r="2341" spans="1:12" x14ac:dyDescent="0.3">
      <c r="A2341"/>
      <c r="C2341"/>
      <c r="D2341"/>
      <c r="F2341"/>
      <c r="G2341"/>
      <c r="I2341" s="299"/>
      <c r="K2341" s="300"/>
      <c r="L2341" s="300"/>
    </row>
    <row r="2342" spans="1:12" x14ac:dyDescent="0.3">
      <c r="A2342"/>
      <c r="C2342"/>
      <c r="D2342"/>
      <c r="F2342"/>
      <c r="G2342"/>
      <c r="I2342" s="299"/>
      <c r="K2342" s="300"/>
      <c r="L2342" s="300"/>
    </row>
    <row r="2343" spans="1:12" x14ac:dyDescent="0.3">
      <c r="A2343"/>
      <c r="C2343"/>
      <c r="D2343"/>
      <c r="F2343"/>
      <c r="G2343"/>
      <c r="I2343" s="299"/>
      <c r="K2343" s="300"/>
      <c r="L2343" s="300"/>
    </row>
    <row r="2344" spans="1:12" x14ac:dyDescent="0.3">
      <c r="A2344"/>
      <c r="C2344"/>
      <c r="D2344"/>
      <c r="F2344"/>
      <c r="G2344"/>
      <c r="I2344" s="299"/>
      <c r="K2344" s="300"/>
      <c r="L2344" s="300"/>
    </row>
    <row r="2345" spans="1:12" x14ac:dyDescent="0.3">
      <c r="A2345"/>
      <c r="C2345"/>
      <c r="D2345"/>
      <c r="F2345"/>
      <c r="G2345"/>
      <c r="I2345" s="299"/>
      <c r="K2345" s="300"/>
      <c r="L2345" s="300"/>
    </row>
    <row r="2346" spans="1:12" x14ac:dyDescent="0.3">
      <c r="A2346"/>
      <c r="C2346"/>
      <c r="D2346"/>
      <c r="F2346"/>
      <c r="G2346"/>
      <c r="I2346" s="299"/>
      <c r="K2346" s="300"/>
      <c r="L2346" s="300"/>
    </row>
    <row r="2347" spans="1:12" x14ac:dyDescent="0.3">
      <c r="A2347"/>
      <c r="C2347"/>
      <c r="D2347"/>
      <c r="F2347"/>
      <c r="G2347"/>
      <c r="I2347" s="299"/>
      <c r="K2347" s="300"/>
      <c r="L2347" s="300"/>
    </row>
    <row r="2348" spans="1:12" x14ac:dyDescent="0.3">
      <c r="A2348"/>
      <c r="C2348"/>
      <c r="D2348"/>
      <c r="F2348"/>
      <c r="G2348"/>
      <c r="I2348" s="299"/>
      <c r="K2348" s="300"/>
      <c r="L2348" s="300"/>
    </row>
    <row r="2349" spans="1:12" x14ac:dyDescent="0.3">
      <c r="A2349"/>
      <c r="C2349"/>
      <c r="D2349"/>
      <c r="F2349"/>
      <c r="G2349"/>
      <c r="I2349" s="299"/>
      <c r="K2349" s="300"/>
      <c r="L2349" s="300"/>
    </row>
    <row r="2350" spans="1:12" x14ac:dyDescent="0.3">
      <c r="A2350"/>
      <c r="C2350"/>
      <c r="D2350"/>
      <c r="F2350"/>
      <c r="G2350"/>
      <c r="I2350" s="299"/>
      <c r="K2350" s="300"/>
      <c r="L2350" s="300"/>
    </row>
    <row r="2351" spans="1:12" x14ac:dyDescent="0.3">
      <c r="A2351"/>
      <c r="C2351"/>
      <c r="D2351"/>
      <c r="F2351"/>
      <c r="G2351"/>
      <c r="I2351" s="299"/>
      <c r="K2351" s="300"/>
      <c r="L2351" s="300"/>
    </row>
    <row r="2352" spans="1:12" x14ac:dyDescent="0.3">
      <c r="A2352"/>
      <c r="C2352"/>
      <c r="D2352"/>
      <c r="F2352"/>
      <c r="G2352"/>
      <c r="I2352" s="299"/>
      <c r="K2352" s="300"/>
      <c r="L2352" s="300"/>
    </row>
    <row r="2353" spans="1:12" x14ac:dyDescent="0.3">
      <c r="A2353"/>
      <c r="C2353"/>
      <c r="D2353"/>
      <c r="F2353"/>
      <c r="G2353"/>
      <c r="I2353" s="299"/>
      <c r="K2353" s="300"/>
      <c r="L2353" s="300"/>
    </row>
    <row r="2354" spans="1:12" x14ac:dyDescent="0.3">
      <c r="A2354"/>
      <c r="C2354"/>
      <c r="D2354"/>
      <c r="F2354"/>
      <c r="G2354"/>
      <c r="I2354" s="299"/>
      <c r="K2354" s="300"/>
      <c r="L2354" s="300"/>
    </row>
    <row r="2355" spans="1:12" x14ac:dyDescent="0.3">
      <c r="A2355"/>
      <c r="C2355"/>
      <c r="D2355"/>
      <c r="F2355"/>
      <c r="G2355"/>
      <c r="I2355" s="299"/>
      <c r="K2355" s="300"/>
      <c r="L2355" s="300"/>
    </row>
    <row r="2356" spans="1:12" x14ac:dyDescent="0.3">
      <c r="A2356"/>
      <c r="C2356"/>
      <c r="D2356"/>
      <c r="F2356"/>
      <c r="G2356"/>
      <c r="I2356" s="299"/>
      <c r="K2356" s="300"/>
      <c r="L2356" s="300"/>
    </row>
    <row r="2357" spans="1:12" x14ac:dyDescent="0.3">
      <c r="A2357"/>
      <c r="C2357"/>
      <c r="D2357"/>
      <c r="F2357"/>
      <c r="G2357"/>
      <c r="I2357" s="299"/>
      <c r="K2357" s="300"/>
      <c r="L2357" s="300"/>
    </row>
    <row r="2358" spans="1:12" x14ac:dyDescent="0.3">
      <c r="A2358"/>
      <c r="C2358"/>
      <c r="D2358"/>
      <c r="F2358"/>
      <c r="G2358"/>
      <c r="I2358" s="299"/>
      <c r="K2358" s="300"/>
      <c r="L2358" s="300"/>
    </row>
    <row r="2359" spans="1:12" x14ac:dyDescent="0.3">
      <c r="A2359"/>
      <c r="C2359"/>
      <c r="D2359"/>
      <c r="F2359"/>
      <c r="G2359"/>
      <c r="I2359" s="299"/>
      <c r="K2359" s="300"/>
      <c r="L2359" s="300"/>
    </row>
    <row r="2360" spans="1:12" x14ac:dyDescent="0.3">
      <c r="A2360"/>
      <c r="C2360"/>
      <c r="D2360"/>
      <c r="F2360"/>
      <c r="G2360"/>
      <c r="I2360" s="299"/>
      <c r="K2360" s="300"/>
      <c r="L2360" s="300"/>
    </row>
    <row r="2361" spans="1:12" x14ac:dyDescent="0.3">
      <c r="A2361"/>
      <c r="C2361"/>
      <c r="D2361"/>
      <c r="F2361"/>
      <c r="G2361"/>
      <c r="I2361" s="299"/>
      <c r="K2361" s="300"/>
      <c r="L2361" s="300"/>
    </row>
    <row r="2362" spans="1:12" x14ac:dyDescent="0.3">
      <c r="A2362"/>
      <c r="C2362"/>
      <c r="D2362"/>
      <c r="F2362"/>
      <c r="G2362"/>
      <c r="I2362" s="299"/>
      <c r="K2362" s="300"/>
      <c r="L2362" s="300"/>
    </row>
    <row r="2363" spans="1:12" x14ac:dyDescent="0.3">
      <c r="A2363"/>
      <c r="C2363"/>
      <c r="D2363"/>
      <c r="F2363"/>
      <c r="G2363"/>
      <c r="I2363" s="299"/>
      <c r="K2363" s="300"/>
      <c r="L2363" s="300"/>
    </row>
    <row r="2364" spans="1:12" x14ac:dyDescent="0.3">
      <c r="A2364"/>
      <c r="C2364"/>
      <c r="D2364"/>
      <c r="F2364"/>
      <c r="G2364"/>
      <c r="I2364" s="299"/>
      <c r="K2364" s="300"/>
      <c r="L2364" s="300"/>
    </row>
    <row r="2365" spans="1:12" x14ac:dyDescent="0.3">
      <c r="A2365"/>
      <c r="C2365"/>
      <c r="D2365"/>
      <c r="F2365"/>
      <c r="G2365"/>
      <c r="I2365" s="299"/>
      <c r="K2365" s="300"/>
      <c r="L2365" s="300"/>
    </row>
    <row r="2366" spans="1:12" x14ac:dyDescent="0.3">
      <c r="A2366"/>
      <c r="C2366"/>
      <c r="D2366"/>
      <c r="F2366"/>
      <c r="G2366"/>
      <c r="I2366" s="299"/>
      <c r="K2366" s="300"/>
      <c r="L2366" s="300"/>
    </row>
    <row r="2367" spans="1:12" x14ac:dyDescent="0.3">
      <c r="A2367"/>
      <c r="C2367"/>
      <c r="D2367"/>
      <c r="F2367"/>
      <c r="G2367"/>
      <c r="I2367" s="299"/>
      <c r="K2367" s="300"/>
      <c r="L2367" s="300"/>
    </row>
    <row r="2368" spans="1:12" x14ac:dyDescent="0.3">
      <c r="A2368"/>
      <c r="C2368"/>
      <c r="D2368"/>
      <c r="F2368"/>
      <c r="G2368"/>
      <c r="I2368" s="299"/>
      <c r="K2368" s="300"/>
      <c r="L2368" s="300"/>
    </row>
    <row r="2369" spans="1:12" x14ac:dyDescent="0.3">
      <c r="A2369"/>
      <c r="C2369"/>
      <c r="D2369"/>
      <c r="F2369"/>
      <c r="G2369"/>
      <c r="I2369" s="299"/>
      <c r="K2369" s="300"/>
      <c r="L2369" s="300"/>
    </row>
    <row r="2370" spans="1:12" x14ac:dyDescent="0.3">
      <c r="A2370"/>
      <c r="C2370"/>
      <c r="D2370"/>
      <c r="F2370"/>
      <c r="G2370"/>
      <c r="I2370" s="299"/>
      <c r="K2370" s="300"/>
      <c r="L2370" s="300"/>
    </row>
    <row r="2371" spans="1:12" x14ac:dyDescent="0.3">
      <c r="A2371"/>
      <c r="C2371"/>
      <c r="D2371"/>
      <c r="F2371"/>
      <c r="G2371"/>
      <c r="I2371" s="299"/>
      <c r="K2371" s="300"/>
      <c r="L2371" s="300"/>
    </row>
    <row r="2372" spans="1:12" x14ac:dyDescent="0.3">
      <c r="A2372"/>
      <c r="C2372"/>
      <c r="D2372"/>
      <c r="F2372"/>
      <c r="G2372"/>
      <c r="I2372" s="299"/>
      <c r="K2372" s="300"/>
      <c r="L2372" s="300"/>
    </row>
    <row r="2373" spans="1:12" x14ac:dyDescent="0.3">
      <c r="A2373"/>
      <c r="C2373"/>
      <c r="D2373"/>
      <c r="F2373"/>
      <c r="G2373"/>
      <c r="I2373" s="299"/>
      <c r="K2373" s="300"/>
      <c r="L2373" s="300"/>
    </row>
    <row r="2374" spans="1:12" x14ac:dyDescent="0.3">
      <c r="A2374"/>
      <c r="C2374"/>
      <c r="D2374"/>
      <c r="F2374"/>
      <c r="G2374"/>
      <c r="I2374" s="299"/>
      <c r="K2374" s="300"/>
      <c r="L2374" s="300"/>
    </row>
    <row r="2375" spans="1:12" x14ac:dyDescent="0.3">
      <c r="A2375"/>
      <c r="C2375"/>
      <c r="D2375"/>
      <c r="F2375"/>
      <c r="G2375"/>
      <c r="I2375" s="299"/>
      <c r="K2375" s="300"/>
      <c r="L2375" s="300"/>
    </row>
    <row r="2376" spans="1:12" x14ac:dyDescent="0.3">
      <c r="A2376"/>
      <c r="C2376"/>
      <c r="D2376"/>
      <c r="F2376"/>
      <c r="G2376"/>
      <c r="I2376" s="299"/>
      <c r="K2376" s="300"/>
      <c r="L2376" s="300"/>
    </row>
    <row r="2377" spans="1:12" x14ac:dyDescent="0.3">
      <c r="A2377"/>
      <c r="C2377"/>
      <c r="D2377"/>
      <c r="F2377"/>
      <c r="G2377"/>
      <c r="I2377" s="299"/>
      <c r="K2377" s="300"/>
      <c r="L2377" s="300"/>
    </row>
    <row r="2378" spans="1:12" x14ac:dyDescent="0.3">
      <c r="A2378"/>
      <c r="C2378"/>
      <c r="D2378"/>
      <c r="F2378"/>
      <c r="G2378"/>
      <c r="I2378" s="299"/>
      <c r="K2378" s="300"/>
      <c r="L2378" s="300"/>
    </row>
    <row r="2379" spans="1:12" x14ac:dyDescent="0.3">
      <c r="A2379"/>
      <c r="C2379"/>
      <c r="D2379"/>
      <c r="F2379"/>
      <c r="G2379"/>
      <c r="I2379" s="299"/>
      <c r="K2379" s="300"/>
      <c r="L2379" s="300"/>
    </row>
    <row r="2380" spans="1:12" x14ac:dyDescent="0.3">
      <c r="A2380"/>
      <c r="C2380"/>
      <c r="D2380"/>
      <c r="F2380"/>
      <c r="G2380"/>
      <c r="I2380" s="299"/>
      <c r="K2380" s="300"/>
      <c r="L2380" s="300"/>
    </row>
    <row r="2381" spans="1:12" x14ac:dyDescent="0.3">
      <c r="A2381"/>
      <c r="C2381"/>
      <c r="D2381"/>
      <c r="F2381"/>
      <c r="G2381"/>
      <c r="I2381" s="299"/>
      <c r="K2381" s="300"/>
      <c r="L2381" s="300"/>
    </row>
    <row r="2382" spans="1:12" x14ac:dyDescent="0.3">
      <c r="A2382"/>
      <c r="C2382"/>
      <c r="D2382"/>
      <c r="F2382"/>
      <c r="G2382"/>
      <c r="I2382" s="299"/>
      <c r="K2382" s="300"/>
      <c r="L2382" s="300"/>
    </row>
    <row r="2383" spans="1:12" x14ac:dyDescent="0.3">
      <c r="A2383"/>
      <c r="C2383"/>
      <c r="D2383"/>
      <c r="F2383"/>
      <c r="G2383"/>
      <c r="I2383" s="299"/>
      <c r="K2383" s="300"/>
      <c r="L2383" s="300"/>
    </row>
    <row r="2384" spans="1:12" x14ac:dyDescent="0.3">
      <c r="A2384"/>
      <c r="C2384"/>
      <c r="D2384"/>
      <c r="F2384"/>
      <c r="G2384"/>
      <c r="I2384" s="299"/>
      <c r="K2384" s="300"/>
      <c r="L2384" s="300"/>
    </row>
    <row r="2385" spans="1:12" x14ac:dyDescent="0.3">
      <c r="A2385"/>
      <c r="C2385"/>
      <c r="D2385"/>
      <c r="F2385"/>
      <c r="G2385"/>
      <c r="I2385" s="299"/>
      <c r="K2385" s="300"/>
      <c r="L2385" s="300"/>
    </row>
    <row r="2386" spans="1:12" x14ac:dyDescent="0.3">
      <c r="A2386"/>
      <c r="C2386"/>
      <c r="D2386"/>
      <c r="F2386"/>
      <c r="G2386"/>
      <c r="I2386" s="299"/>
      <c r="K2386" s="300"/>
      <c r="L2386" s="300"/>
    </row>
    <row r="2387" spans="1:12" x14ac:dyDescent="0.3">
      <c r="A2387"/>
      <c r="C2387"/>
      <c r="D2387"/>
      <c r="F2387"/>
      <c r="G2387"/>
      <c r="I2387" s="299"/>
      <c r="K2387" s="300"/>
      <c r="L2387" s="300"/>
    </row>
    <row r="2388" spans="1:12" x14ac:dyDescent="0.3">
      <c r="A2388"/>
      <c r="C2388"/>
      <c r="D2388"/>
      <c r="F2388"/>
      <c r="G2388"/>
      <c r="I2388" s="299"/>
      <c r="K2388" s="300"/>
      <c r="L2388" s="300"/>
    </row>
    <row r="2389" spans="1:12" x14ac:dyDescent="0.3">
      <c r="A2389"/>
      <c r="C2389"/>
      <c r="D2389"/>
      <c r="F2389"/>
      <c r="G2389"/>
      <c r="I2389" s="299"/>
      <c r="K2389" s="300"/>
      <c r="L2389" s="300"/>
    </row>
    <row r="2390" spans="1:12" x14ac:dyDescent="0.3">
      <c r="A2390"/>
      <c r="C2390"/>
      <c r="D2390"/>
      <c r="F2390"/>
      <c r="G2390"/>
      <c r="I2390" s="299"/>
      <c r="K2390" s="300"/>
      <c r="L2390" s="300"/>
    </row>
    <row r="2391" spans="1:12" x14ac:dyDescent="0.3">
      <c r="A2391"/>
      <c r="C2391"/>
      <c r="D2391"/>
      <c r="F2391"/>
      <c r="G2391"/>
      <c r="I2391" s="299"/>
      <c r="K2391" s="300"/>
      <c r="L2391" s="300"/>
    </row>
    <row r="2392" spans="1:12" x14ac:dyDescent="0.3">
      <c r="A2392"/>
      <c r="C2392"/>
      <c r="D2392"/>
      <c r="F2392"/>
      <c r="G2392"/>
      <c r="I2392" s="299"/>
      <c r="K2392" s="300"/>
      <c r="L2392" s="300"/>
    </row>
    <row r="2393" spans="1:12" x14ac:dyDescent="0.3">
      <c r="A2393"/>
      <c r="C2393"/>
      <c r="D2393"/>
      <c r="F2393"/>
      <c r="G2393"/>
      <c r="I2393" s="299"/>
      <c r="K2393" s="300"/>
      <c r="L2393" s="300"/>
    </row>
    <row r="2394" spans="1:12" x14ac:dyDescent="0.3">
      <c r="A2394"/>
      <c r="C2394"/>
      <c r="D2394"/>
      <c r="F2394"/>
      <c r="G2394"/>
      <c r="I2394" s="299"/>
      <c r="K2394" s="300"/>
      <c r="L2394" s="300"/>
    </row>
    <row r="2395" spans="1:12" x14ac:dyDescent="0.3">
      <c r="A2395"/>
      <c r="C2395"/>
      <c r="D2395"/>
      <c r="F2395"/>
      <c r="G2395"/>
      <c r="I2395" s="299"/>
      <c r="K2395" s="300"/>
      <c r="L2395" s="300"/>
    </row>
    <row r="2396" spans="1:12" x14ac:dyDescent="0.3">
      <c r="A2396"/>
      <c r="C2396"/>
      <c r="D2396"/>
      <c r="F2396"/>
      <c r="G2396"/>
      <c r="I2396" s="299"/>
      <c r="K2396" s="300"/>
      <c r="L2396" s="300"/>
    </row>
    <row r="2397" spans="1:12" x14ac:dyDescent="0.3">
      <c r="A2397"/>
      <c r="C2397"/>
      <c r="D2397"/>
      <c r="F2397"/>
      <c r="G2397"/>
      <c r="I2397" s="299"/>
      <c r="K2397" s="300"/>
      <c r="L2397" s="300"/>
    </row>
    <row r="2398" spans="1:12" x14ac:dyDescent="0.3">
      <c r="A2398"/>
      <c r="C2398"/>
      <c r="D2398"/>
      <c r="F2398"/>
      <c r="G2398"/>
      <c r="I2398" s="299"/>
      <c r="K2398" s="300"/>
      <c r="L2398" s="300"/>
    </row>
    <row r="2399" spans="1:12" x14ac:dyDescent="0.3">
      <c r="A2399"/>
      <c r="C2399"/>
      <c r="D2399"/>
      <c r="F2399"/>
      <c r="G2399"/>
      <c r="I2399" s="299"/>
      <c r="K2399" s="300"/>
      <c r="L2399" s="300"/>
    </row>
    <row r="2400" spans="1:12" x14ac:dyDescent="0.3">
      <c r="A2400"/>
      <c r="C2400"/>
      <c r="D2400"/>
      <c r="F2400"/>
      <c r="G2400"/>
      <c r="I2400" s="299"/>
      <c r="K2400" s="300"/>
      <c r="L2400" s="300"/>
    </row>
    <row r="2401" spans="1:12" x14ac:dyDescent="0.3">
      <c r="A2401"/>
      <c r="C2401"/>
      <c r="D2401"/>
      <c r="F2401"/>
      <c r="G2401"/>
      <c r="I2401" s="299"/>
      <c r="K2401" s="300"/>
      <c r="L2401" s="300"/>
    </row>
    <row r="2402" spans="1:12" x14ac:dyDescent="0.3">
      <c r="A2402"/>
      <c r="C2402"/>
      <c r="D2402"/>
      <c r="F2402"/>
      <c r="G2402"/>
      <c r="I2402" s="299"/>
      <c r="K2402" s="300"/>
      <c r="L2402" s="300"/>
    </row>
    <row r="2403" spans="1:12" x14ac:dyDescent="0.3">
      <c r="A2403"/>
      <c r="C2403"/>
      <c r="D2403"/>
      <c r="F2403"/>
      <c r="G2403"/>
      <c r="I2403" s="299"/>
      <c r="K2403" s="300"/>
      <c r="L2403" s="300"/>
    </row>
    <row r="2404" spans="1:12" x14ac:dyDescent="0.3">
      <c r="A2404"/>
      <c r="C2404"/>
      <c r="D2404"/>
      <c r="F2404"/>
      <c r="G2404"/>
      <c r="I2404" s="299"/>
      <c r="K2404" s="300"/>
      <c r="L2404" s="300"/>
    </row>
    <row r="2405" spans="1:12" x14ac:dyDescent="0.3">
      <c r="A2405"/>
      <c r="C2405"/>
      <c r="D2405"/>
      <c r="F2405"/>
      <c r="G2405"/>
      <c r="I2405" s="299"/>
      <c r="K2405" s="300"/>
      <c r="L2405" s="300"/>
    </row>
    <row r="2406" spans="1:12" x14ac:dyDescent="0.3">
      <c r="A2406"/>
      <c r="C2406"/>
      <c r="D2406"/>
      <c r="F2406"/>
      <c r="G2406"/>
      <c r="I2406" s="299"/>
      <c r="K2406" s="300"/>
      <c r="L2406" s="300"/>
    </row>
    <row r="2407" spans="1:12" x14ac:dyDescent="0.3">
      <c r="A2407"/>
      <c r="C2407"/>
      <c r="D2407"/>
      <c r="F2407"/>
      <c r="G2407"/>
      <c r="I2407" s="299"/>
      <c r="K2407" s="300"/>
      <c r="L2407" s="300"/>
    </row>
    <row r="2408" spans="1:12" x14ac:dyDescent="0.3">
      <c r="A2408"/>
      <c r="C2408"/>
      <c r="D2408"/>
      <c r="F2408"/>
      <c r="G2408"/>
      <c r="I2408" s="299"/>
      <c r="K2408" s="300"/>
      <c r="L2408" s="300"/>
    </row>
    <row r="2409" spans="1:12" x14ac:dyDescent="0.3">
      <c r="A2409"/>
      <c r="C2409"/>
      <c r="D2409"/>
      <c r="F2409"/>
      <c r="G2409"/>
      <c r="I2409" s="299"/>
      <c r="K2409" s="300"/>
      <c r="L2409" s="300"/>
    </row>
    <row r="2410" spans="1:12" x14ac:dyDescent="0.3">
      <c r="A2410"/>
      <c r="C2410"/>
      <c r="D2410"/>
      <c r="F2410"/>
      <c r="G2410"/>
      <c r="I2410" s="299"/>
      <c r="K2410" s="300"/>
      <c r="L2410" s="300"/>
    </row>
    <row r="2411" spans="1:12" x14ac:dyDescent="0.3">
      <c r="A2411"/>
      <c r="C2411"/>
      <c r="D2411"/>
      <c r="F2411"/>
      <c r="G2411"/>
      <c r="I2411" s="299"/>
      <c r="K2411" s="300"/>
      <c r="L2411" s="300"/>
    </row>
    <row r="2412" spans="1:12" x14ac:dyDescent="0.3">
      <c r="A2412"/>
      <c r="C2412"/>
      <c r="D2412"/>
      <c r="F2412"/>
      <c r="G2412"/>
      <c r="I2412" s="299"/>
      <c r="K2412" s="300"/>
      <c r="L2412" s="300"/>
    </row>
    <row r="2413" spans="1:12" x14ac:dyDescent="0.3">
      <c r="A2413"/>
      <c r="C2413"/>
      <c r="D2413"/>
      <c r="F2413"/>
      <c r="G2413"/>
      <c r="I2413" s="299"/>
      <c r="K2413" s="300"/>
      <c r="L2413" s="300"/>
    </row>
    <row r="2414" spans="1:12" x14ac:dyDescent="0.3">
      <c r="A2414"/>
      <c r="C2414"/>
      <c r="D2414"/>
      <c r="F2414"/>
      <c r="G2414"/>
      <c r="I2414" s="299"/>
      <c r="K2414" s="300"/>
      <c r="L2414" s="300"/>
    </row>
    <row r="2415" spans="1:12" x14ac:dyDescent="0.3">
      <c r="A2415"/>
      <c r="C2415"/>
      <c r="D2415"/>
      <c r="F2415"/>
      <c r="G2415"/>
      <c r="I2415" s="299"/>
      <c r="K2415" s="300"/>
      <c r="L2415" s="300"/>
    </row>
    <row r="2416" spans="1:12" x14ac:dyDescent="0.3">
      <c r="A2416"/>
      <c r="C2416"/>
      <c r="D2416"/>
      <c r="F2416"/>
      <c r="G2416"/>
      <c r="I2416" s="299"/>
      <c r="K2416" s="300"/>
      <c r="L2416" s="300"/>
    </row>
    <row r="2417" spans="1:12" x14ac:dyDescent="0.3">
      <c r="A2417"/>
      <c r="C2417"/>
      <c r="D2417"/>
      <c r="F2417"/>
      <c r="G2417"/>
      <c r="I2417" s="299"/>
      <c r="K2417" s="300"/>
      <c r="L2417" s="300"/>
    </row>
    <row r="2418" spans="1:12" x14ac:dyDescent="0.3">
      <c r="A2418"/>
      <c r="C2418"/>
      <c r="D2418"/>
      <c r="F2418"/>
      <c r="G2418"/>
      <c r="I2418" s="299"/>
      <c r="K2418" s="300"/>
      <c r="L2418" s="300"/>
    </row>
    <row r="2419" spans="1:12" x14ac:dyDescent="0.3">
      <c r="A2419"/>
      <c r="C2419"/>
      <c r="D2419"/>
      <c r="F2419"/>
      <c r="G2419"/>
      <c r="I2419" s="299"/>
      <c r="K2419" s="300"/>
      <c r="L2419" s="300"/>
    </row>
    <row r="2420" spans="1:12" x14ac:dyDescent="0.3">
      <c r="A2420"/>
      <c r="C2420"/>
      <c r="D2420"/>
      <c r="F2420"/>
      <c r="G2420"/>
      <c r="I2420" s="299"/>
      <c r="K2420" s="300"/>
      <c r="L2420" s="300"/>
    </row>
    <row r="2421" spans="1:12" x14ac:dyDescent="0.3">
      <c r="A2421"/>
      <c r="C2421"/>
      <c r="D2421"/>
      <c r="F2421"/>
      <c r="G2421"/>
      <c r="I2421" s="299"/>
      <c r="K2421" s="300"/>
      <c r="L2421" s="300"/>
    </row>
    <row r="2422" spans="1:12" x14ac:dyDescent="0.3">
      <c r="A2422"/>
      <c r="C2422"/>
      <c r="D2422"/>
      <c r="F2422"/>
      <c r="G2422"/>
      <c r="I2422" s="299"/>
      <c r="K2422" s="300"/>
      <c r="L2422" s="300"/>
    </row>
    <row r="2423" spans="1:12" x14ac:dyDescent="0.3">
      <c r="A2423"/>
      <c r="C2423"/>
      <c r="D2423"/>
      <c r="F2423"/>
      <c r="G2423"/>
      <c r="I2423" s="299"/>
      <c r="K2423" s="300"/>
      <c r="L2423" s="300"/>
    </row>
    <row r="2424" spans="1:12" x14ac:dyDescent="0.3">
      <c r="A2424"/>
      <c r="C2424"/>
      <c r="D2424"/>
      <c r="F2424"/>
      <c r="G2424"/>
      <c r="I2424" s="299"/>
      <c r="K2424" s="300"/>
      <c r="L2424" s="300"/>
    </row>
    <row r="2425" spans="1:12" x14ac:dyDescent="0.3">
      <c r="A2425"/>
      <c r="C2425"/>
      <c r="D2425"/>
      <c r="F2425"/>
      <c r="G2425"/>
      <c r="I2425" s="299"/>
      <c r="K2425" s="300"/>
      <c r="L2425" s="300"/>
    </row>
    <row r="2426" spans="1:12" x14ac:dyDescent="0.3">
      <c r="A2426"/>
      <c r="C2426"/>
      <c r="D2426"/>
      <c r="F2426"/>
      <c r="G2426"/>
      <c r="I2426" s="299"/>
      <c r="K2426" s="300"/>
      <c r="L2426" s="300"/>
    </row>
    <row r="2427" spans="1:12" x14ac:dyDescent="0.3">
      <c r="A2427"/>
      <c r="C2427"/>
      <c r="D2427"/>
      <c r="F2427"/>
      <c r="G2427"/>
      <c r="I2427" s="299"/>
      <c r="K2427" s="300"/>
      <c r="L2427" s="300"/>
    </row>
    <row r="2428" spans="1:12" x14ac:dyDescent="0.3">
      <c r="A2428"/>
      <c r="C2428"/>
      <c r="D2428"/>
      <c r="F2428"/>
      <c r="G2428"/>
      <c r="I2428" s="299"/>
      <c r="K2428" s="300"/>
      <c r="L2428" s="300"/>
    </row>
    <row r="2429" spans="1:12" x14ac:dyDescent="0.3">
      <c r="A2429"/>
      <c r="C2429"/>
      <c r="D2429"/>
      <c r="F2429"/>
      <c r="G2429"/>
      <c r="I2429" s="299"/>
      <c r="K2429" s="300"/>
      <c r="L2429" s="300"/>
    </row>
    <row r="2430" spans="1:12" x14ac:dyDescent="0.3">
      <c r="A2430"/>
      <c r="C2430"/>
      <c r="D2430"/>
      <c r="F2430"/>
      <c r="G2430"/>
      <c r="I2430" s="299"/>
      <c r="K2430" s="300"/>
      <c r="L2430" s="300"/>
    </row>
    <row r="2431" spans="1:12" x14ac:dyDescent="0.3">
      <c r="A2431"/>
      <c r="C2431"/>
      <c r="D2431"/>
      <c r="F2431"/>
      <c r="G2431"/>
      <c r="I2431" s="299"/>
      <c r="K2431" s="300"/>
      <c r="L2431" s="300"/>
    </row>
    <row r="2432" spans="1:12" x14ac:dyDescent="0.3">
      <c r="A2432"/>
      <c r="C2432"/>
      <c r="D2432"/>
      <c r="F2432"/>
      <c r="G2432"/>
      <c r="I2432" s="299"/>
      <c r="K2432" s="300"/>
      <c r="L2432" s="300"/>
    </row>
    <row r="2433" spans="1:12" x14ac:dyDescent="0.3">
      <c r="A2433"/>
      <c r="C2433"/>
      <c r="D2433"/>
      <c r="F2433"/>
      <c r="G2433"/>
      <c r="I2433" s="299"/>
      <c r="K2433" s="300"/>
      <c r="L2433" s="300"/>
    </row>
    <row r="2434" spans="1:12" x14ac:dyDescent="0.3">
      <c r="A2434"/>
      <c r="C2434"/>
      <c r="D2434"/>
      <c r="F2434"/>
      <c r="G2434"/>
      <c r="I2434" s="299"/>
      <c r="K2434" s="300"/>
      <c r="L2434" s="300"/>
    </row>
    <row r="2435" spans="1:12" x14ac:dyDescent="0.3">
      <c r="A2435"/>
      <c r="C2435"/>
      <c r="D2435"/>
      <c r="F2435"/>
      <c r="G2435"/>
      <c r="I2435" s="299"/>
      <c r="K2435" s="300"/>
      <c r="L2435" s="300"/>
    </row>
    <row r="2436" spans="1:12" x14ac:dyDescent="0.3">
      <c r="A2436"/>
      <c r="C2436"/>
      <c r="D2436"/>
      <c r="F2436"/>
      <c r="G2436"/>
      <c r="I2436" s="299"/>
      <c r="K2436" s="300"/>
      <c r="L2436" s="300"/>
    </row>
    <row r="2437" spans="1:12" x14ac:dyDescent="0.3">
      <c r="A2437"/>
      <c r="C2437"/>
      <c r="D2437"/>
      <c r="F2437"/>
      <c r="G2437"/>
      <c r="I2437" s="299"/>
      <c r="K2437" s="300"/>
      <c r="L2437" s="300"/>
    </row>
    <row r="2438" spans="1:12" x14ac:dyDescent="0.3">
      <c r="A2438"/>
      <c r="C2438"/>
      <c r="D2438"/>
      <c r="F2438"/>
      <c r="G2438"/>
      <c r="I2438" s="299"/>
      <c r="K2438" s="300"/>
      <c r="L2438" s="300"/>
    </row>
    <row r="2439" spans="1:12" x14ac:dyDescent="0.3">
      <c r="A2439"/>
      <c r="C2439"/>
      <c r="D2439"/>
      <c r="F2439"/>
      <c r="G2439"/>
      <c r="I2439" s="299"/>
      <c r="K2439" s="300"/>
      <c r="L2439" s="300"/>
    </row>
    <row r="2440" spans="1:12" x14ac:dyDescent="0.3">
      <c r="A2440"/>
      <c r="C2440"/>
      <c r="D2440"/>
      <c r="F2440"/>
      <c r="G2440"/>
      <c r="I2440" s="299"/>
      <c r="K2440" s="300"/>
      <c r="L2440" s="300"/>
    </row>
    <row r="2441" spans="1:12" x14ac:dyDescent="0.3">
      <c r="A2441"/>
      <c r="C2441"/>
      <c r="D2441"/>
      <c r="F2441"/>
      <c r="G2441"/>
      <c r="I2441" s="299"/>
      <c r="K2441" s="300"/>
      <c r="L2441" s="300"/>
    </row>
    <row r="2442" spans="1:12" x14ac:dyDescent="0.3">
      <c r="A2442"/>
      <c r="C2442"/>
      <c r="D2442"/>
      <c r="F2442"/>
      <c r="G2442"/>
      <c r="I2442" s="299"/>
      <c r="K2442" s="300"/>
      <c r="L2442" s="300"/>
    </row>
    <row r="2443" spans="1:12" x14ac:dyDescent="0.3">
      <c r="A2443"/>
      <c r="C2443"/>
      <c r="D2443"/>
      <c r="F2443"/>
      <c r="G2443"/>
      <c r="I2443" s="299"/>
      <c r="K2443" s="300"/>
      <c r="L2443" s="300"/>
    </row>
    <row r="2444" spans="1:12" x14ac:dyDescent="0.3">
      <c r="A2444"/>
      <c r="C2444"/>
      <c r="D2444"/>
      <c r="F2444"/>
      <c r="G2444"/>
      <c r="I2444" s="299"/>
      <c r="K2444" s="300"/>
      <c r="L2444" s="300"/>
    </row>
    <row r="2445" spans="1:12" x14ac:dyDescent="0.3">
      <c r="A2445"/>
      <c r="C2445"/>
      <c r="D2445"/>
      <c r="F2445"/>
      <c r="G2445"/>
      <c r="I2445" s="299"/>
      <c r="K2445" s="300"/>
      <c r="L2445" s="300"/>
    </row>
    <row r="2446" spans="1:12" x14ac:dyDescent="0.3">
      <c r="A2446"/>
      <c r="C2446"/>
      <c r="D2446"/>
      <c r="F2446"/>
      <c r="G2446"/>
      <c r="I2446" s="299"/>
      <c r="K2446" s="300"/>
      <c r="L2446" s="300"/>
    </row>
    <row r="2447" spans="1:12" x14ac:dyDescent="0.3">
      <c r="A2447"/>
      <c r="C2447"/>
      <c r="D2447"/>
      <c r="F2447"/>
      <c r="G2447"/>
      <c r="I2447" s="299"/>
      <c r="K2447" s="300"/>
      <c r="L2447" s="300"/>
    </row>
    <row r="2448" spans="1:12" x14ac:dyDescent="0.3">
      <c r="A2448"/>
      <c r="C2448"/>
      <c r="D2448"/>
      <c r="F2448"/>
      <c r="G2448"/>
      <c r="I2448" s="299"/>
      <c r="K2448" s="300"/>
      <c r="L2448" s="300"/>
    </row>
    <row r="2449" spans="1:12" x14ac:dyDescent="0.3">
      <c r="A2449"/>
      <c r="C2449"/>
      <c r="D2449"/>
      <c r="F2449"/>
      <c r="G2449"/>
      <c r="I2449" s="299"/>
      <c r="K2449" s="300"/>
      <c r="L2449" s="300"/>
    </row>
    <row r="2450" spans="1:12" x14ac:dyDescent="0.3">
      <c r="A2450"/>
      <c r="C2450"/>
      <c r="D2450"/>
      <c r="F2450"/>
      <c r="G2450"/>
      <c r="I2450" s="299"/>
      <c r="K2450" s="300"/>
      <c r="L2450" s="300"/>
    </row>
    <row r="2451" spans="1:12" x14ac:dyDescent="0.3">
      <c r="A2451"/>
      <c r="C2451"/>
      <c r="D2451"/>
      <c r="F2451"/>
      <c r="G2451"/>
      <c r="I2451" s="299"/>
      <c r="K2451" s="300"/>
      <c r="L2451" s="300"/>
    </row>
    <row r="2452" spans="1:12" x14ac:dyDescent="0.3">
      <c r="A2452"/>
      <c r="C2452"/>
      <c r="D2452"/>
      <c r="F2452"/>
      <c r="G2452"/>
      <c r="I2452" s="299"/>
      <c r="K2452" s="300"/>
      <c r="L2452" s="300"/>
    </row>
    <row r="2453" spans="1:12" x14ac:dyDescent="0.3">
      <c r="A2453"/>
      <c r="C2453"/>
      <c r="D2453"/>
      <c r="F2453"/>
      <c r="G2453"/>
      <c r="I2453" s="299"/>
      <c r="K2453" s="300"/>
      <c r="L2453" s="300"/>
    </row>
    <row r="2454" spans="1:12" x14ac:dyDescent="0.3">
      <c r="A2454"/>
      <c r="C2454"/>
      <c r="D2454"/>
      <c r="F2454"/>
      <c r="G2454"/>
      <c r="I2454" s="299"/>
      <c r="K2454" s="300"/>
      <c r="L2454" s="300"/>
    </row>
    <row r="2455" spans="1:12" x14ac:dyDescent="0.3">
      <c r="A2455"/>
      <c r="C2455"/>
      <c r="D2455"/>
      <c r="F2455"/>
      <c r="G2455"/>
      <c r="I2455" s="299"/>
      <c r="K2455" s="300"/>
      <c r="L2455" s="300"/>
    </row>
    <row r="2456" spans="1:12" x14ac:dyDescent="0.3">
      <c r="A2456"/>
      <c r="C2456"/>
      <c r="D2456"/>
      <c r="F2456"/>
      <c r="G2456"/>
      <c r="I2456" s="299"/>
      <c r="K2456" s="300"/>
      <c r="L2456" s="300"/>
    </row>
    <row r="2457" spans="1:12" x14ac:dyDescent="0.3">
      <c r="A2457"/>
      <c r="C2457"/>
      <c r="D2457"/>
      <c r="F2457"/>
      <c r="G2457"/>
      <c r="I2457" s="299"/>
      <c r="K2457" s="300"/>
      <c r="L2457" s="300"/>
    </row>
    <row r="2458" spans="1:12" x14ac:dyDescent="0.3">
      <c r="A2458"/>
      <c r="C2458"/>
      <c r="D2458"/>
      <c r="F2458"/>
      <c r="G2458"/>
      <c r="I2458" s="299"/>
      <c r="K2458" s="300"/>
      <c r="L2458" s="300"/>
    </row>
    <row r="2459" spans="1:12" x14ac:dyDescent="0.3">
      <c r="A2459"/>
      <c r="C2459"/>
      <c r="D2459"/>
      <c r="F2459"/>
      <c r="G2459"/>
      <c r="I2459" s="299"/>
      <c r="K2459" s="300"/>
      <c r="L2459" s="300"/>
    </row>
    <row r="2460" spans="1:12" x14ac:dyDescent="0.3">
      <c r="A2460"/>
      <c r="C2460"/>
      <c r="D2460"/>
      <c r="F2460"/>
      <c r="G2460"/>
      <c r="I2460" s="299"/>
      <c r="K2460" s="300"/>
      <c r="L2460" s="300"/>
    </row>
    <row r="2461" spans="1:12" x14ac:dyDescent="0.3">
      <c r="A2461"/>
      <c r="C2461"/>
      <c r="D2461"/>
      <c r="F2461"/>
      <c r="G2461"/>
      <c r="I2461" s="299"/>
      <c r="K2461" s="300"/>
      <c r="L2461" s="300"/>
    </row>
    <row r="2462" spans="1:12" x14ac:dyDescent="0.3">
      <c r="A2462"/>
      <c r="C2462"/>
      <c r="D2462"/>
      <c r="F2462"/>
      <c r="G2462"/>
      <c r="I2462" s="299"/>
      <c r="K2462" s="300"/>
      <c r="L2462" s="300"/>
    </row>
    <row r="2463" spans="1:12" x14ac:dyDescent="0.3">
      <c r="A2463"/>
      <c r="C2463"/>
      <c r="D2463"/>
      <c r="F2463"/>
      <c r="G2463"/>
      <c r="I2463" s="299"/>
      <c r="K2463" s="300"/>
      <c r="L2463" s="300"/>
    </row>
    <row r="2464" spans="1:12" x14ac:dyDescent="0.3">
      <c r="A2464"/>
      <c r="C2464"/>
      <c r="D2464"/>
      <c r="F2464"/>
      <c r="G2464"/>
      <c r="I2464" s="299"/>
      <c r="K2464" s="300"/>
      <c r="L2464" s="300"/>
    </row>
    <row r="2465" spans="1:12" x14ac:dyDescent="0.3">
      <c r="A2465"/>
      <c r="C2465"/>
      <c r="D2465"/>
      <c r="F2465"/>
      <c r="G2465"/>
      <c r="I2465" s="299"/>
      <c r="K2465" s="300"/>
      <c r="L2465" s="300"/>
    </row>
    <row r="2466" spans="1:12" x14ac:dyDescent="0.3">
      <c r="A2466"/>
      <c r="C2466"/>
      <c r="D2466"/>
      <c r="F2466"/>
      <c r="G2466"/>
      <c r="I2466" s="299"/>
      <c r="K2466" s="300"/>
      <c r="L2466" s="300"/>
    </row>
    <row r="2467" spans="1:12" x14ac:dyDescent="0.3">
      <c r="A2467"/>
      <c r="C2467"/>
      <c r="D2467"/>
      <c r="F2467"/>
      <c r="G2467"/>
      <c r="I2467" s="299"/>
      <c r="K2467" s="300"/>
      <c r="L2467" s="300"/>
    </row>
    <row r="2468" spans="1:12" x14ac:dyDescent="0.3">
      <c r="A2468"/>
      <c r="C2468"/>
      <c r="D2468"/>
      <c r="F2468"/>
      <c r="G2468"/>
      <c r="I2468" s="299"/>
      <c r="K2468" s="300"/>
      <c r="L2468" s="300"/>
    </row>
    <row r="2469" spans="1:12" x14ac:dyDescent="0.3">
      <c r="A2469"/>
      <c r="C2469"/>
      <c r="D2469"/>
      <c r="F2469"/>
      <c r="G2469"/>
      <c r="I2469" s="299"/>
      <c r="K2469" s="300"/>
      <c r="L2469" s="300"/>
    </row>
    <row r="2470" spans="1:12" x14ac:dyDescent="0.3">
      <c r="A2470"/>
      <c r="C2470"/>
      <c r="D2470"/>
      <c r="F2470"/>
      <c r="G2470"/>
      <c r="I2470" s="299"/>
      <c r="K2470" s="300"/>
      <c r="L2470" s="300"/>
    </row>
    <row r="2471" spans="1:12" x14ac:dyDescent="0.3">
      <c r="A2471"/>
      <c r="C2471"/>
      <c r="D2471"/>
      <c r="F2471"/>
      <c r="G2471"/>
      <c r="I2471" s="299"/>
      <c r="K2471" s="300"/>
      <c r="L2471" s="300"/>
    </row>
    <row r="2472" spans="1:12" x14ac:dyDescent="0.3">
      <c r="A2472"/>
      <c r="C2472"/>
      <c r="D2472"/>
      <c r="F2472"/>
      <c r="G2472"/>
      <c r="I2472" s="299"/>
      <c r="K2472" s="300"/>
      <c r="L2472" s="300"/>
    </row>
    <row r="2473" spans="1:12" x14ac:dyDescent="0.3">
      <c r="A2473"/>
      <c r="C2473"/>
      <c r="D2473"/>
      <c r="F2473"/>
      <c r="G2473"/>
      <c r="I2473" s="299"/>
      <c r="K2473" s="300"/>
      <c r="L2473" s="300"/>
    </row>
    <row r="2474" spans="1:12" x14ac:dyDescent="0.3">
      <c r="A2474"/>
      <c r="C2474"/>
      <c r="D2474"/>
      <c r="F2474"/>
      <c r="G2474"/>
      <c r="I2474" s="299"/>
      <c r="K2474" s="300"/>
      <c r="L2474" s="300"/>
    </row>
    <row r="2475" spans="1:12" x14ac:dyDescent="0.3">
      <c r="A2475"/>
      <c r="C2475"/>
      <c r="D2475"/>
      <c r="F2475"/>
      <c r="G2475"/>
      <c r="I2475" s="299"/>
      <c r="K2475" s="300"/>
      <c r="L2475" s="300"/>
    </row>
    <row r="2476" spans="1:12" x14ac:dyDescent="0.3">
      <c r="A2476"/>
      <c r="C2476"/>
      <c r="D2476"/>
      <c r="F2476"/>
      <c r="G2476"/>
      <c r="I2476" s="299"/>
      <c r="K2476" s="300"/>
      <c r="L2476" s="300"/>
    </row>
    <row r="2477" spans="1:12" x14ac:dyDescent="0.3">
      <c r="A2477"/>
      <c r="C2477"/>
      <c r="D2477"/>
      <c r="F2477"/>
      <c r="G2477"/>
      <c r="I2477" s="299"/>
      <c r="K2477" s="300"/>
      <c r="L2477" s="300"/>
    </row>
    <row r="2478" spans="1:12" x14ac:dyDescent="0.3">
      <c r="A2478"/>
      <c r="C2478"/>
      <c r="D2478"/>
      <c r="F2478"/>
      <c r="G2478"/>
      <c r="I2478" s="299"/>
      <c r="K2478" s="300"/>
      <c r="L2478" s="300"/>
    </row>
    <row r="2479" spans="1:12" x14ac:dyDescent="0.3">
      <c r="A2479"/>
      <c r="C2479"/>
      <c r="D2479"/>
      <c r="F2479"/>
      <c r="G2479"/>
      <c r="I2479" s="299"/>
      <c r="K2479" s="300"/>
      <c r="L2479" s="300"/>
    </row>
    <row r="2480" spans="1:12" x14ac:dyDescent="0.3">
      <c r="A2480"/>
      <c r="C2480"/>
      <c r="D2480"/>
      <c r="F2480"/>
      <c r="G2480"/>
      <c r="I2480" s="299"/>
      <c r="K2480" s="300"/>
      <c r="L2480" s="300"/>
    </row>
    <row r="2481" spans="1:12" x14ac:dyDescent="0.3">
      <c r="A2481"/>
      <c r="C2481"/>
      <c r="D2481"/>
      <c r="F2481"/>
      <c r="G2481"/>
      <c r="I2481" s="299"/>
      <c r="K2481" s="300"/>
      <c r="L2481" s="300"/>
    </row>
    <row r="2482" spans="1:12" x14ac:dyDescent="0.3">
      <c r="A2482"/>
      <c r="C2482"/>
      <c r="D2482"/>
      <c r="F2482"/>
      <c r="G2482"/>
      <c r="I2482" s="299"/>
      <c r="K2482" s="300"/>
      <c r="L2482" s="300"/>
    </row>
    <row r="2483" spans="1:12" x14ac:dyDescent="0.3">
      <c r="A2483"/>
      <c r="C2483"/>
      <c r="D2483"/>
      <c r="F2483"/>
      <c r="G2483"/>
      <c r="I2483" s="299"/>
      <c r="K2483" s="300"/>
      <c r="L2483" s="300"/>
    </row>
    <row r="2484" spans="1:12" x14ac:dyDescent="0.3">
      <c r="A2484"/>
      <c r="C2484"/>
      <c r="D2484"/>
      <c r="F2484"/>
      <c r="G2484"/>
      <c r="I2484" s="299"/>
      <c r="K2484" s="300"/>
      <c r="L2484" s="300"/>
    </row>
    <row r="2485" spans="1:12" x14ac:dyDescent="0.3">
      <c r="A2485"/>
      <c r="C2485"/>
      <c r="D2485"/>
      <c r="F2485"/>
      <c r="G2485"/>
      <c r="I2485" s="299"/>
      <c r="K2485" s="300"/>
      <c r="L2485" s="300"/>
    </row>
    <row r="2486" spans="1:12" x14ac:dyDescent="0.3">
      <c r="A2486"/>
      <c r="C2486"/>
      <c r="D2486"/>
      <c r="F2486"/>
      <c r="G2486"/>
      <c r="I2486" s="299"/>
      <c r="K2486" s="300"/>
      <c r="L2486" s="300"/>
    </row>
    <row r="2487" spans="1:12" x14ac:dyDescent="0.3">
      <c r="A2487"/>
      <c r="C2487"/>
      <c r="D2487"/>
      <c r="F2487"/>
      <c r="G2487"/>
      <c r="I2487" s="299"/>
      <c r="K2487" s="300"/>
      <c r="L2487" s="300"/>
    </row>
    <row r="2488" spans="1:12" x14ac:dyDescent="0.3">
      <c r="A2488"/>
      <c r="C2488"/>
      <c r="D2488"/>
      <c r="F2488"/>
      <c r="G2488"/>
      <c r="I2488" s="299"/>
      <c r="K2488" s="300"/>
      <c r="L2488" s="300"/>
    </row>
    <row r="2489" spans="1:12" x14ac:dyDescent="0.3">
      <c r="A2489"/>
      <c r="C2489"/>
      <c r="D2489"/>
      <c r="F2489"/>
      <c r="G2489"/>
      <c r="I2489" s="299"/>
      <c r="K2489" s="300"/>
      <c r="L2489" s="300"/>
    </row>
    <row r="2490" spans="1:12" x14ac:dyDescent="0.3">
      <c r="A2490"/>
      <c r="C2490"/>
      <c r="D2490"/>
      <c r="F2490"/>
      <c r="G2490"/>
      <c r="I2490" s="299"/>
      <c r="K2490" s="300"/>
      <c r="L2490" s="300"/>
    </row>
    <row r="2491" spans="1:12" x14ac:dyDescent="0.3">
      <c r="A2491"/>
      <c r="C2491"/>
      <c r="D2491"/>
      <c r="F2491"/>
      <c r="G2491"/>
      <c r="I2491" s="299"/>
      <c r="K2491" s="300"/>
      <c r="L2491" s="300"/>
    </row>
    <row r="2492" spans="1:12" x14ac:dyDescent="0.3">
      <c r="A2492"/>
      <c r="C2492"/>
      <c r="D2492"/>
      <c r="F2492"/>
      <c r="G2492"/>
      <c r="I2492" s="299"/>
      <c r="K2492" s="300"/>
      <c r="L2492" s="300"/>
    </row>
    <row r="2493" spans="1:12" x14ac:dyDescent="0.3">
      <c r="A2493"/>
      <c r="C2493"/>
      <c r="D2493"/>
      <c r="F2493"/>
      <c r="G2493"/>
      <c r="I2493" s="299"/>
      <c r="K2493" s="300"/>
      <c r="L2493" s="300"/>
    </row>
    <row r="2494" spans="1:12" x14ac:dyDescent="0.3">
      <c r="A2494"/>
      <c r="C2494"/>
      <c r="D2494"/>
      <c r="F2494"/>
      <c r="G2494"/>
      <c r="I2494" s="299"/>
      <c r="K2494" s="300"/>
      <c r="L2494" s="300"/>
    </row>
    <row r="2495" spans="1:12" x14ac:dyDescent="0.3">
      <c r="A2495"/>
      <c r="C2495"/>
      <c r="D2495"/>
      <c r="F2495"/>
      <c r="G2495"/>
      <c r="I2495" s="299"/>
      <c r="K2495" s="300"/>
      <c r="L2495" s="300"/>
    </row>
    <row r="2496" spans="1:12" x14ac:dyDescent="0.3">
      <c r="A2496"/>
      <c r="C2496"/>
      <c r="D2496"/>
      <c r="F2496"/>
      <c r="G2496"/>
      <c r="I2496" s="299"/>
      <c r="K2496" s="300"/>
      <c r="L2496" s="300"/>
    </row>
    <row r="2497" spans="1:12" x14ac:dyDescent="0.3">
      <c r="A2497"/>
      <c r="C2497"/>
      <c r="D2497"/>
      <c r="F2497"/>
      <c r="G2497"/>
      <c r="I2497" s="299"/>
      <c r="K2497" s="300"/>
      <c r="L2497" s="300"/>
    </row>
    <row r="2498" spans="1:12" x14ac:dyDescent="0.3">
      <c r="A2498"/>
      <c r="C2498"/>
      <c r="D2498"/>
      <c r="F2498"/>
      <c r="G2498"/>
      <c r="I2498" s="299"/>
      <c r="K2498" s="300"/>
      <c r="L2498" s="300"/>
    </row>
    <row r="2499" spans="1:12" x14ac:dyDescent="0.3">
      <c r="A2499"/>
      <c r="C2499"/>
      <c r="D2499"/>
      <c r="F2499"/>
      <c r="G2499"/>
      <c r="I2499" s="299"/>
      <c r="K2499" s="300"/>
      <c r="L2499" s="300"/>
    </row>
    <row r="2500" spans="1:12" x14ac:dyDescent="0.3">
      <c r="A2500"/>
      <c r="C2500"/>
      <c r="D2500"/>
      <c r="F2500"/>
      <c r="G2500"/>
      <c r="I2500" s="299"/>
      <c r="K2500" s="300"/>
      <c r="L2500" s="300"/>
    </row>
    <row r="2501" spans="1:12" x14ac:dyDescent="0.3">
      <c r="A2501"/>
      <c r="C2501"/>
      <c r="D2501"/>
      <c r="F2501"/>
      <c r="G2501"/>
      <c r="I2501" s="299"/>
      <c r="K2501" s="300"/>
      <c r="L2501" s="300"/>
    </row>
    <row r="2502" spans="1:12" x14ac:dyDescent="0.3">
      <c r="A2502"/>
      <c r="C2502"/>
      <c r="D2502"/>
      <c r="F2502"/>
      <c r="G2502"/>
      <c r="I2502" s="299"/>
      <c r="K2502" s="300"/>
      <c r="L2502" s="300"/>
    </row>
    <row r="2503" spans="1:12" x14ac:dyDescent="0.3">
      <c r="A2503"/>
      <c r="C2503"/>
      <c r="D2503"/>
      <c r="F2503"/>
      <c r="G2503"/>
      <c r="I2503" s="299"/>
      <c r="K2503" s="300"/>
      <c r="L2503" s="300"/>
    </row>
    <row r="2504" spans="1:12" x14ac:dyDescent="0.3">
      <c r="A2504"/>
      <c r="C2504"/>
      <c r="D2504"/>
      <c r="F2504"/>
      <c r="G2504"/>
      <c r="I2504" s="299"/>
      <c r="K2504" s="300"/>
      <c r="L2504" s="300"/>
    </row>
    <row r="2505" spans="1:12" x14ac:dyDescent="0.3">
      <c r="A2505"/>
      <c r="C2505"/>
      <c r="D2505"/>
      <c r="F2505"/>
      <c r="G2505"/>
      <c r="I2505" s="299"/>
      <c r="K2505" s="300"/>
      <c r="L2505" s="300"/>
    </row>
    <row r="2506" spans="1:12" x14ac:dyDescent="0.3">
      <c r="A2506"/>
      <c r="C2506"/>
      <c r="D2506"/>
      <c r="F2506"/>
      <c r="G2506"/>
      <c r="I2506" s="299"/>
      <c r="K2506" s="300"/>
      <c r="L2506" s="300"/>
    </row>
    <row r="2507" spans="1:12" x14ac:dyDescent="0.3">
      <c r="A2507"/>
      <c r="C2507"/>
      <c r="D2507"/>
      <c r="F2507"/>
      <c r="G2507"/>
      <c r="I2507" s="299"/>
      <c r="K2507" s="300"/>
      <c r="L2507" s="300"/>
    </row>
    <row r="2508" spans="1:12" x14ac:dyDescent="0.3">
      <c r="A2508"/>
      <c r="C2508"/>
      <c r="D2508"/>
      <c r="F2508"/>
      <c r="G2508"/>
      <c r="I2508" s="299"/>
      <c r="K2508" s="300"/>
      <c r="L2508" s="300"/>
    </row>
    <row r="2509" spans="1:12" x14ac:dyDescent="0.3">
      <c r="A2509"/>
      <c r="C2509"/>
      <c r="D2509"/>
      <c r="F2509"/>
      <c r="G2509"/>
      <c r="I2509" s="299"/>
      <c r="K2509" s="300"/>
      <c r="L2509" s="300"/>
    </row>
    <row r="2510" spans="1:12" x14ac:dyDescent="0.3">
      <c r="A2510"/>
      <c r="C2510"/>
      <c r="D2510"/>
      <c r="F2510"/>
      <c r="G2510"/>
      <c r="I2510" s="299"/>
      <c r="K2510" s="300"/>
      <c r="L2510" s="300"/>
    </row>
    <row r="2511" spans="1:12" x14ac:dyDescent="0.3">
      <c r="A2511"/>
      <c r="C2511"/>
      <c r="D2511"/>
      <c r="F2511"/>
      <c r="G2511"/>
      <c r="I2511" s="299"/>
      <c r="K2511" s="300"/>
      <c r="L2511" s="300"/>
    </row>
    <row r="2512" spans="1:12" x14ac:dyDescent="0.3">
      <c r="A2512"/>
      <c r="C2512"/>
      <c r="D2512"/>
      <c r="F2512"/>
      <c r="G2512"/>
      <c r="I2512" s="299"/>
      <c r="K2512" s="300"/>
      <c r="L2512" s="300"/>
    </row>
    <row r="2513" spans="1:12" x14ac:dyDescent="0.3">
      <c r="A2513"/>
      <c r="C2513"/>
      <c r="D2513"/>
      <c r="F2513"/>
      <c r="G2513"/>
      <c r="I2513" s="299"/>
      <c r="K2513" s="300"/>
      <c r="L2513" s="300"/>
    </row>
    <row r="2514" spans="1:12" x14ac:dyDescent="0.3">
      <c r="A2514"/>
      <c r="C2514"/>
      <c r="D2514"/>
      <c r="F2514"/>
      <c r="G2514"/>
      <c r="I2514" s="299"/>
      <c r="K2514" s="300"/>
      <c r="L2514" s="300"/>
    </row>
    <row r="2515" spans="1:12" x14ac:dyDescent="0.3">
      <c r="A2515"/>
      <c r="C2515"/>
      <c r="D2515"/>
      <c r="F2515"/>
      <c r="G2515"/>
      <c r="I2515" s="299"/>
      <c r="K2515" s="300"/>
      <c r="L2515" s="300"/>
    </row>
    <row r="2516" spans="1:12" x14ac:dyDescent="0.3">
      <c r="A2516"/>
      <c r="C2516"/>
      <c r="D2516"/>
      <c r="F2516"/>
      <c r="G2516"/>
      <c r="I2516" s="299"/>
      <c r="K2516" s="300"/>
      <c r="L2516" s="300"/>
    </row>
    <row r="2517" spans="1:12" x14ac:dyDescent="0.3">
      <c r="A2517"/>
      <c r="C2517"/>
      <c r="D2517"/>
      <c r="F2517"/>
      <c r="G2517"/>
      <c r="I2517" s="299"/>
      <c r="K2517" s="300"/>
      <c r="L2517" s="300"/>
    </row>
    <row r="2518" spans="1:12" x14ac:dyDescent="0.3">
      <c r="A2518"/>
      <c r="C2518"/>
      <c r="D2518"/>
      <c r="F2518"/>
      <c r="G2518"/>
      <c r="I2518" s="299"/>
      <c r="K2518" s="300"/>
      <c r="L2518" s="300"/>
    </row>
    <row r="2519" spans="1:12" x14ac:dyDescent="0.3">
      <c r="A2519"/>
      <c r="C2519"/>
      <c r="D2519"/>
      <c r="F2519"/>
      <c r="G2519"/>
      <c r="I2519" s="299"/>
      <c r="K2519" s="300"/>
      <c r="L2519" s="300"/>
    </row>
    <row r="2520" spans="1:12" x14ac:dyDescent="0.3">
      <c r="A2520"/>
      <c r="C2520"/>
      <c r="D2520"/>
      <c r="F2520"/>
      <c r="G2520"/>
      <c r="I2520" s="299"/>
      <c r="K2520" s="300"/>
      <c r="L2520" s="300"/>
    </row>
    <row r="2521" spans="1:12" x14ac:dyDescent="0.3">
      <c r="A2521"/>
      <c r="C2521"/>
      <c r="D2521"/>
      <c r="F2521"/>
      <c r="G2521"/>
      <c r="I2521" s="299"/>
      <c r="K2521" s="300"/>
      <c r="L2521" s="300"/>
    </row>
    <row r="2522" spans="1:12" x14ac:dyDescent="0.3">
      <c r="A2522"/>
      <c r="C2522"/>
      <c r="D2522"/>
      <c r="F2522"/>
      <c r="G2522"/>
      <c r="I2522" s="299"/>
      <c r="K2522" s="300"/>
      <c r="L2522" s="300"/>
    </row>
    <row r="2523" spans="1:12" x14ac:dyDescent="0.3">
      <c r="A2523"/>
      <c r="C2523"/>
      <c r="D2523"/>
      <c r="F2523"/>
      <c r="G2523"/>
      <c r="I2523" s="299"/>
      <c r="K2523" s="300"/>
      <c r="L2523" s="300"/>
    </row>
    <row r="2524" spans="1:12" x14ac:dyDescent="0.3">
      <c r="A2524"/>
      <c r="C2524"/>
      <c r="D2524"/>
      <c r="F2524"/>
      <c r="G2524"/>
      <c r="I2524" s="299"/>
      <c r="K2524" s="300"/>
      <c r="L2524" s="300"/>
    </row>
    <row r="2525" spans="1:12" x14ac:dyDescent="0.3">
      <c r="A2525"/>
      <c r="C2525"/>
      <c r="D2525"/>
      <c r="F2525"/>
      <c r="G2525"/>
      <c r="I2525" s="299"/>
      <c r="K2525" s="300"/>
      <c r="L2525" s="300"/>
    </row>
    <row r="2526" spans="1:12" x14ac:dyDescent="0.3">
      <c r="A2526"/>
      <c r="C2526"/>
      <c r="D2526"/>
      <c r="F2526"/>
      <c r="G2526"/>
      <c r="I2526" s="299"/>
      <c r="K2526" s="300"/>
      <c r="L2526" s="300"/>
    </row>
    <row r="2527" spans="1:12" x14ac:dyDescent="0.3">
      <c r="A2527"/>
      <c r="C2527"/>
      <c r="D2527"/>
      <c r="F2527"/>
      <c r="G2527"/>
      <c r="I2527" s="299"/>
      <c r="K2527" s="300"/>
      <c r="L2527" s="300"/>
    </row>
    <row r="2528" spans="1:12" x14ac:dyDescent="0.3">
      <c r="A2528"/>
      <c r="C2528"/>
      <c r="D2528"/>
      <c r="F2528"/>
      <c r="G2528"/>
      <c r="I2528" s="299"/>
      <c r="K2528" s="300"/>
      <c r="L2528" s="300"/>
    </row>
    <row r="2529" spans="1:12" x14ac:dyDescent="0.3">
      <c r="A2529"/>
      <c r="C2529"/>
      <c r="D2529"/>
      <c r="F2529"/>
      <c r="G2529"/>
      <c r="I2529" s="299"/>
      <c r="K2529" s="300"/>
      <c r="L2529" s="300"/>
    </row>
    <row r="2530" spans="1:12" x14ac:dyDescent="0.3">
      <c r="A2530"/>
      <c r="C2530"/>
      <c r="D2530"/>
      <c r="F2530"/>
      <c r="G2530"/>
      <c r="I2530" s="299"/>
      <c r="K2530" s="300"/>
      <c r="L2530" s="300"/>
    </row>
    <row r="2531" spans="1:12" x14ac:dyDescent="0.3">
      <c r="A2531"/>
      <c r="C2531"/>
      <c r="D2531"/>
      <c r="F2531"/>
      <c r="G2531"/>
      <c r="I2531" s="299"/>
      <c r="K2531" s="300"/>
      <c r="L2531" s="300"/>
    </row>
    <row r="2532" spans="1:12" x14ac:dyDescent="0.3">
      <c r="A2532"/>
      <c r="C2532"/>
      <c r="D2532"/>
      <c r="F2532"/>
      <c r="G2532"/>
      <c r="I2532" s="299"/>
      <c r="K2532" s="300"/>
      <c r="L2532" s="300"/>
    </row>
    <row r="2533" spans="1:12" x14ac:dyDescent="0.3">
      <c r="A2533"/>
      <c r="C2533"/>
      <c r="D2533"/>
      <c r="F2533"/>
      <c r="G2533"/>
      <c r="I2533" s="299"/>
      <c r="K2533" s="300"/>
      <c r="L2533" s="300"/>
    </row>
    <row r="2534" spans="1:12" x14ac:dyDescent="0.3">
      <c r="A2534"/>
      <c r="C2534"/>
      <c r="D2534"/>
      <c r="F2534"/>
      <c r="G2534"/>
      <c r="I2534" s="299"/>
      <c r="K2534" s="300"/>
      <c r="L2534" s="300"/>
    </row>
    <row r="2535" spans="1:12" x14ac:dyDescent="0.3">
      <c r="A2535"/>
      <c r="C2535"/>
      <c r="D2535"/>
      <c r="F2535"/>
      <c r="G2535"/>
      <c r="I2535" s="299"/>
      <c r="K2535" s="300"/>
      <c r="L2535" s="300"/>
    </row>
    <row r="2536" spans="1:12" x14ac:dyDescent="0.3">
      <c r="A2536"/>
      <c r="C2536"/>
      <c r="D2536"/>
      <c r="F2536"/>
      <c r="G2536"/>
      <c r="I2536" s="299"/>
      <c r="K2536" s="300"/>
      <c r="L2536" s="300"/>
    </row>
    <row r="2537" spans="1:12" x14ac:dyDescent="0.3">
      <c r="A2537"/>
      <c r="C2537"/>
      <c r="D2537"/>
      <c r="F2537"/>
      <c r="G2537"/>
      <c r="I2537" s="299"/>
      <c r="K2537" s="300"/>
      <c r="L2537" s="300"/>
    </row>
    <row r="2538" spans="1:12" x14ac:dyDescent="0.3">
      <c r="A2538"/>
      <c r="C2538"/>
      <c r="D2538"/>
      <c r="F2538"/>
      <c r="G2538"/>
      <c r="I2538" s="299"/>
      <c r="K2538" s="300"/>
      <c r="L2538" s="300"/>
    </row>
    <row r="2539" spans="1:12" x14ac:dyDescent="0.3">
      <c r="A2539"/>
      <c r="C2539"/>
      <c r="D2539"/>
      <c r="F2539"/>
      <c r="G2539"/>
      <c r="I2539" s="299"/>
      <c r="K2539" s="300"/>
      <c r="L2539" s="300"/>
    </row>
    <row r="2540" spans="1:12" x14ac:dyDescent="0.3">
      <c r="A2540"/>
      <c r="C2540"/>
      <c r="D2540"/>
      <c r="F2540"/>
      <c r="G2540"/>
      <c r="I2540" s="299"/>
      <c r="K2540" s="300"/>
      <c r="L2540" s="300"/>
    </row>
    <row r="2541" spans="1:12" x14ac:dyDescent="0.3">
      <c r="A2541"/>
      <c r="C2541"/>
      <c r="D2541"/>
      <c r="F2541"/>
      <c r="G2541"/>
      <c r="I2541" s="299"/>
      <c r="K2541" s="300"/>
      <c r="L2541" s="300"/>
    </row>
    <row r="2542" spans="1:12" x14ac:dyDescent="0.3">
      <c r="A2542"/>
      <c r="C2542"/>
      <c r="D2542"/>
      <c r="F2542"/>
      <c r="G2542"/>
      <c r="I2542" s="299"/>
      <c r="K2542" s="300"/>
      <c r="L2542" s="300"/>
    </row>
    <row r="2543" spans="1:12" x14ac:dyDescent="0.3">
      <c r="A2543"/>
      <c r="C2543"/>
      <c r="D2543"/>
      <c r="F2543"/>
      <c r="G2543"/>
      <c r="I2543" s="299"/>
      <c r="K2543" s="300"/>
      <c r="L2543" s="300"/>
    </row>
    <row r="2544" spans="1:12" x14ac:dyDescent="0.3">
      <c r="A2544"/>
      <c r="C2544"/>
      <c r="D2544"/>
      <c r="F2544"/>
      <c r="G2544"/>
      <c r="I2544" s="299"/>
      <c r="K2544" s="300"/>
      <c r="L2544" s="300"/>
    </row>
    <row r="2545" spans="1:12" x14ac:dyDescent="0.3">
      <c r="A2545"/>
      <c r="C2545"/>
      <c r="D2545"/>
      <c r="F2545"/>
      <c r="G2545"/>
      <c r="I2545" s="299"/>
      <c r="K2545" s="300"/>
      <c r="L2545" s="300"/>
    </row>
    <row r="2546" spans="1:12" x14ac:dyDescent="0.3">
      <c r="A2546"/>
      <c r="C2546"/>
      <c r="D2546"/>
      <c r="F2546"/>
      <c r="G2546"/>
      <c r="I2546" s="299"/>
      <c r="K2546" s="300"/>
      <c r="L2546" s="300"/>
    </row>
    <row r="2547" spans="1:12" x14ac:dyDescent="0.3">
      <c r="A2547"/>
      <c r="C2547"/>
      <c r="D2547"/>
      <c r="F2547"/>
      <c r="G2547"/>
      <c r="I2547" s="299"/>
      <c r="K2547" s="300"/>
      <c r="L2547" s="300"/>
    </row>
    <row r="2548" spans="1:12" x14ac:dyDescent="0.3">
      <c r="A2548"/>
      <c r="C2548"/>
      <c r="D2548"/>
      <c r="F2548"/>
      <c r="G2548"/>
      <c r="I2548" s="299"/>
      <c r="K2548" s="300"/>
      <c r="L2548" s="300"/>
    </row>
    <row r="2549" spans="1:12" x14ac:dyDescent="0.3">
      <c r="A2549"/>
      <c r="C2549"/>
      <c r="D2549"/>
      <c r="F2549"/>
      <c r="G2549"/>
      <c r="I2549" s="299"/>
      <c r="K2549" s="300"/>
      <c r="L2549" s="300"/>
    </row>
    <row r="2550" spans="1:12" x14ac:dyDescent="0.3">
      <c r="A2550"/>
      <c r="C2550"/>
      <c r="D2550"/>
      <c r="F2550"/>
      <c r="G2550"/>
      <c r="I2550" s="299"/>
      <c r="K2550" s="300"/>
      <c r="L2550" s="300"/>
    </row>
    <row r="2551" spans="1:12" x14ac:dyDescent="0.3">
      <c r="A2551"/>
      <c r="C2551"/>
      <c r="D2551"/>
      <c r="F2551"/>
      <c r="G2551"/>
      <c r="I2551" s="299"/>
      <c r="K2551" s="300"/>
      <c r="L2551" s="300"/>
    </row>
    <row r="2552" spans="1:12" x14ac:dyDescent="0.3">
      <c r="A2552"/>
      <c r="C2552"/>
      <c r="D2552"/>
      <c r="F2552"/>
      <c r="G2552"/>
      <c r="I2552" s="299"/>
      <c r="K2552" s="300"/>
      <c r="L2552" s="300"/>
    </row>
    <row r="2553" spans="1:12" x14ac:dyDescent="0.3">
      <c r="A2553"/>
      <c r="C2553"/>
      <c r="D2553"/>
      <c r="F2553"/>
      <c r="G2553"/>
      <c r="I2553" s="299"/>
      <c r="K2553" s="300"/>
      <c r="L2553" s="300"/>
    </row>
    <row r="2554" spans="1:12" x14ac:dyDescent="0.3">
      <c r="A2554"/>
      <c r="C2554"/>
      <c r="D2554"/>
      <c r="F2554"/>
      <c r="G2554"/>
      <c r="I2554" s="299"/>
      <c r="K2554" s="300"/>
      <c r="L2554" s="300"/>
    </row>
    <row r="2555" spans="1:12" x14ac:dyDescent="0.3">
      <c r="A2555"/>
      <c r="C2555"/>
      <c r="D2555"/>
      <c r="F2555"/>
      <c r="G2555"/>
      <c r="I2555" s="299"/>
      <c r="K2555" s="300"/>
      <c r="L2555" s="300"/>
    </row>
    <row r="2556" spans="1:12" x14ac:dyDescent="0.3">
      <c r="A2556"/>
      <c r="C2556"/>
      <c r="D2556"/>
      <c r="F2556"/>
      <c r="G2556"/>
      <c r="I2556" s="299"/>
      <c r="K2556" s="300"/>
      <c r="L2556" s="300"/>
    </row>
    <row r="2557" spans="1:12" x14ac:dyDescent="0.3">
      <c r="A2557"/>
      <c r="C2557"/>
      <c r="D2557"/>
      <c r="F2557"/>
      <c r="G2557"/>
      <c r="I2557" s="299"/>
      <c r="K2557" s="300"/>
      <c r="L2557" s="300"/>
    </row>
    <row r="2558" spans="1:12" x14ac:dyDescent="0.3">
      <c r="A2558"/>
      <c r="C2558"/>
      <c r="D2558"/>
      <c r="F2558"/>
      <c r="G2558"/>
      <c r="I2558" s="299"/>
      <c r="K2558" s="300"/>
      <c r="L2558" s="300"/>
    </row>
    <row r="2559" spans="1:12" x14ac:dyDescent="0.3">
      <c r="A2559"/>
      <c r="C2559"/>
      <c r="D2559"/>
      <c r="F2559"/>
      <c r="G2559"/>
      <c r="I2559" s="299"/>
      <c r="K2559" s="300"/>
      <c r="L2559" s="300"/>
    </row>
    <row r="2560" spans="1:12" x14ac:dyDescent="0.3">
      <c r="A2560"/>
      <c r="C2560"/>
      <c r="D2560"/>
      <c r="F2560"/>
      <c r="G2560"/>
      <c r="I2560" s="299"/>
      <c r="K2560" s="300"/>
      <c r="L2560" s="300"/>
    </row>
    <row r="2561" spans="1:12" x14ac:dyDescent="0.3">
      <c r="A2561"/>
      <c r="C2561"/>
      <c r="D2561"/>
      <c r="F2561"/>
      <c r="G2561"/>
      <c r="I2561" s="299"/>
      <c r="K2561" s="300"/>
      <c r="L2561" s="300"/>
    </row>
    <row r="2562" spans="1:12" x14ac:dyDescent="0.3">
      <c r="A2562"/>
      <c r="C2562"/>
      <c r="D2562"/>
      <c r="F2562"/>
      <c r="G2562"/>
      <c r="I2562" s="299"/>
      <c r="K2562" s="300"/>
      <c r="L2562" s="300"/>
    </row>
    <row r="2563" spans="1:12" x14ac:dyDescent="0.3">
      <c r="A2563"/>
      <c r="C2563"/>
      <c r="D2563"/>
      <c r="F2563"/>
      <c r="G2563"/>
      <c r="I2563" s="299"/>
      <c r="K2563" s="300"/>
      <c r="L2563" s="300"/>
    </row>
    <row r="2564" spans="1:12" x14ac:dyDescent="0.3">
      <c r="A2564"/>
      <c r="C2564"/>
      <c r="D2564"/>
      <c r="F2564"/>
      <c r="G2564"/>
      <c r="I2564" s="299"/>
      <c r="K2564" s="300"/>
      <c r="L2564" s="300"/>
    </row>
    <row r="2565" spans="1:12" x14ac:dyDescent="0.3">
      <c r="A2565"/>
      <c r="C2565"/>
      <c r="D2565"/>
      <c r="F2565"/>
      <c r="G2565"/>
      <c r="I2565" s="299"/>
      <c r="K2565" s="300"/>
      <c r="L2565" s="300"/>
    </row>
    <row r="2566" spans="1:12" x14ac:dyDescent="0.3">
      <c r="A2566"/>
      <c r="C2566"/>
      <c r="D2566"/>
      <c r="F2566"/>
      <c r="G2566"/>
      <c r="I2566" s="299"/>
      <c r="K2566" s="300"/>
      <c r="L2566" s="300"/>
    </row>
    <row r="2567" spans="1:12" x14ac:dyDescent="0.3">
      <c r="A2567"/>
      <c r="C2567"/>
      <c r="D2567"/>
      <c r="F2567"/>
      <c r="G2567"/>
      <c r="I2567" s="299"/>
      <c r="K2567" s="300"/>
      <c r="L2567" s="300"/>
    </row>
    <row r="2568" spans="1:12" x14ac:dyDescent="0.3">
      <c r="A2568"/>
      <c r="C2568"/>
      <c r="D2568"/>
      <c r="F2568"/>
      <c r="G2568"/>
      <c r="I2568" s="299"/>
      <c r="K2568" s="300"/>
      <c r="L2568" s="300"/>
    </row>
    <row r="2569" spans="1:12" x14ac:dyDescent="0.3">
      <c r="A2569"/>
      <c r="C2569"/>
      <c r="D2569"/>
      <c r="F2569"/>
      <c r="G2569"/>
      <c r="I2569" s="299"/>
      <c r="K2569" s="300"/>
      <c r="L2569" s="300"/>
    </row>
    <row r="2570" spans="1:12" x14ac:dyDescent="0.3">
      <c r="A2570"/>
      <c r="C2570"/>
      <c r="D2570"/>
      <c r="F2570"/>
      <c r="G2570"/>
      <c r="I2570" s="299"/>
      <c r="K2570" s="300"/>
      <c r="L2570" s="300"/>
    </row>
    <row r="2571" spans="1:12" x14ac:dyDescent="0.3">
      <c r="A2571"/>
      <c r="C2571"/>
      <c r="D2571"/>
      <c r="F2571"/>
      <c r="G2571"/>
      <c r="I2571" s="299"/>
      <c r="K2571" s="300"/>
      <c r="L2571" s="300"/>
    </row>
    <row r="2572" spans="1:12" x14ac:dyDescent="0.3">
      <c r="A2572"/>
      <c r="C2572"/>
      <c r="D2572"/>
      <c r="F2572"/>
      <c r="G2572"/>
      <c r="I2572" s="299"/>
      <c r="K2572" s="300"/>
      <c r="L2572" s="300"/>
    </row>
    <row r="2573" spans="1:12" x14ac:dyDescent="0.3">
      <c r="A2573"/>
      <c r="C2573"/>
      <c r="D2573"/>
      <c r="F2573"/>
      <c r="G2573"/>
      <c r="I2573" s="299"/>
      <c r="K2573" s="300"/>
      <c r="L2573" s="300"/>
    </row>
    <row r="2574" spans="1:12" x14ac:dyDescent="0.3">
      <c r="A2574"/>
      <c r="C2574"/>
      <c r="D2574"/>
      <c r="F2574"/>
      <c r="G2574"/>
      <c r="I2574" s="299"/>
      <c r="K2574" s="300"/>
      <c r="L2574" s="300"/>
    </row>
    <row r="2575" spans="1:12" x14ac:dyDescent="0.3">
      <c r="A2575"/>
      <c r="C2575"/>
      <c r="D2575"/>
      <c r="F2575"/>
      <c r="G2575"/>
      <c r="I2575" s="299"/>
      <c r="K2575" s="300"/>
      <c r="L2575" s="300"/>
    </row>
    <row r="2576" spans="1:12" x14ac:dyDescent="0.3">
      <c r="A2576"/>
      <c r="C2576"/>
      <c r="D2576"/>
      <c r="F2576"/>
      <c r="G2576"/>
      <c r="I2576" s="299"/>
      <c r="K2576" s="300"/>
      <c r="L2576" s="300"/>
    </row>
    <row r="2577" spans="1:12" x14ac:dyDescent="0.3">
      <c r="A2577"/>
      <c r="C2577"/>
      <c r="D2577"/>
      <c r="F2577"/>
      <c r="G2577"/>
      <c r="I2577" s="299"/>
      <c r="K2577" s="300"/>
      <c r="L2577" s="300"/>
    </row>
    <row r="2578" spans="1:12" x14ac:dyDescent="0.3">
      <c r="A2578"/>
      <c r="C2578"/>
      <c r="D2578"/>
      <c r="F2578"/>
      <c r="G2578"/>
      <c r="I2578" s="299"/>
      <c r="K2578" s="300"/>
      <c r="L2578" s="300"/>
    </row>
    <row r="2579" spans="1:12" x14ac:dyDescent="0.3">
      <c r="A2579"/>
      <c r="C2579"/>
      <c r="D2579"/>
      <c r="F2579"/>
      <c r="G2579"/>
      <c r="I2579" s="299"/>
      <c r="K2579" s="300"/>
      <c r="L2579" s="300"/>
    </row>
    <row r="2580" spans="1:12" x14ac:dyDescent="0.3">
      <c r="A2580"/>
      <c r="C2580"/>
      <c r="D2580"/>
      <c r="F2580"/>
      <c r="G2580"/>
      <c r="I2580" s="299"/>
      <c r="K2580" s="300"/>
      <c r="L2580" s="300"/>
    </row>
    <row r="2581" spans="1:12" x14ac:dyDescent="0.3">
      <c r="A2581"/>
      <c r="C2581"/>
      <c r="D2581"/>
      <c r="F2581"/>
      <c r="G2581"/>
      <c r="I2581" s="299"/>
      <c r="K2581" s="300"/>
      <c r="L2581" s="300"/>
    </row>
    <row r="2582" spans="1:12" x14ac:dyDescent="0.3">
      <c r="A2582"/>
      <c r="C2582"/>
      <c r="D2582"/>
      <c r="F2582"/>
      <c r="G2582"/>
      <c r="I2582" s="299"/>
      <c r="K2582" s="300"/>
      <c r="L2582" s="300"/>
    </row>
    <row r="2583" spans="1:12" x14ac:dyDescent="0.3">
      <c r="A2583"/>
      <c r="C2583"/>
      <c r="D2583"/>
      <c r="F2583"/>
      <c r="G2583"/>
      <c r="I2583" s="299"/>
      <c r="K2583" s="300"/>
      <c r="L2583" s="300"/>
    </row>
    <row r="2584" spans="1:12" x14ac:dyDescent="0.3">
      <c r="A2584"/>
      <c r="C2584"/>
      <c r="D2584"/>
      <c r="F2584"/>
      <c r="G2584"/>
      <c r="I2584" s="299"/>
      <c r="K2584" s="300"/>
      <c r="L2584" s="300"/>
    </row>
    <row r="2585" spans="1:12" x14ac:dyDescent="0.3">
      <c r="A2585"/>
      <c r="C2585"/>
      <c r="D2585"/>
      <c r="F2585"/>
      <c r="G2585"/>
      <c r="I2585" s="299"/>
      <c r="K2585" s="300"/>
      <c r="L2585" s="300"/>
    </row>
    <row r="2586" spans="1:12" x14ac:dyDescent="0.3">
      <c r="A2586"/>
      <c r="C2586"/>
      <c r="D2586"/>
      <c r="F2586"/>
      <c r="G2586"/>
      <c r="I2586" s="299"/>
      <c r="K2586" s="300"/>
      <c r="L2586" s="300"/>
    </row>
    <row r="2587" spans="1:12" x14ac:dyDescent="0.3">
      <c r="A2587"/>
      <c r="C2587"/>
      <c r="D2587"/>
      <c r="F2587"/>
      <c r="G2587"/>
      <c r="I2587" s="299"/>
      <c r="K2587" s="300"/>
      <c r="L2587" s="300"/>
    </row>
    <row r="2588" spans="1:12" x14ac:dyDescent="0.3">
      <c r="A2588"/>
      <c r="C2588"/>
      <c r="D2588"/>
      <c r="F2588"/>
      <c r="G2588"/>
      <c r="I2588" s="299"/>
      <c r="K2588" s="300"/>
      <c r="L2588" s="300"/>
    </row>
    <row r="2589" spans="1:12" x14ac:dyDescent="0.3">
      <c r="A2589"/>
      <c r="C2589"/>
      <c r="D2589"/>
      <c r="F2589"/>
      <c r="G2589"/>
      <c r="I2589" s="299"/>
      <c r="K2589" s="300"/>
      <c r="L2589" s="300"/>
    </row>
    <row r="2590" spans="1:12" x14ac:dyDescent="0.3">
      <c r="A2590"/>
      <c r="C2590"/>
      <c r="D2590"/>
      <c r="F2590"/>
      <c r="G2590"/>
      <c r="I2590" s="299"/>
      <c r="K2590" s="300"/>
      <c r="L2590" s="300"/>
    </row>
    <row r="2591" spans="1:12" x14ac:dyDescent="0.3">
      <c r="A2591"/>
      <c r="C2591"/>
      <c r="D2591"/>
      <c r="F2591"/>
      <c r="G2591"/>
      <c r="I2591" s="299"/>
      <c r="K2591" s="300"/>
      <c r="L2591" s="300"/>
    </row>
    <row r="2592" spans="1:12" x14ac:dyDescent="0.3">
      <c r="A2592"/>
      <c r="C2592"/>
      <c r="D2592"/>
      <c r="F2592"/>
      <c r="G2592"/>
      <c r="I2592"/>
    </row>
    <row r="2593" spans="1:9" x14ac:dyDescent="0.3">
      <c r="A2593"/>
      <c r="C2593"/>
      <c r="D2593"/>
      <c r="F2593"/>
      <c r="G2593"/>
      <c r="I2593"/>
    </row>
    <row r="2594" spans="1:9" x14ac:dyDescent="0.3">
      <c r="A2594"/>
      <c r="C2594"/>
      <c r="D2594"/>
      <c r="F2594"/>
      <c r="G2594"/>
      <c r="I2594"/>
    </row>
    <row r="2595" spans="1:9" x14ac:dyDescent="0.3">
      <c r="A2595"/>
      <c r="C2595"/>
      <c r="D2595"/>
      <c r="F2595"/>
      <c r="G2595"/>
      <c r="I2595"/>
    </row>
    <row r="2596" spans="1:9" x14ac:dyDescent="0.3">
      <c r="A2596"/>
      <c r="C2596"/>
      <c r="D2596"/>
      <c r="F2596"/>
      <c r="G2596"/>
      <c r="I2596"/>
    </row>
    <row r="2597" spans="1:9" x14ac:dyDescent="0.3">
      <c r="A2597"/>
      <c r="C2597"/>
      <c r="D2597"/>
      <c r="F2597"/>
      <c r="G2597"/>
      <c r="I2597"/>
    </row>
    <row r="2598" spans="1:9" x14ac:dyDescent="0.3">
      <c r="A2598"/>
      <c r="C2598"/>
      <c r="D2598"/>
      <c r="F2598"/>
      <c r="G2598"/>
      <c r="I2598"/>
    </row>
    <row r="2599" spans="1:9" x14ac:dyDescent="0.3">
      <c r="A2599"/>
      <c r="C2599"/>
      <c r="D2599"/>
      <c r="F2599"/>
      <c r="G2599"/>
      <c r="I2599"/>
    </row>
    <row r="2600" spans="1:9" x14ac:dyDescent="0.3">
      <c r="A2600"/>
      <c r="C2600"/>
      <c r="D2600"/>
      <c r="F2600"/>
      <c r="G2600"/>
      <c r="I2600"/>
    </row>
    <row r="2601" spans="1:9" x14ac:dyDescent="0.3">
      <c r="A2601"/>
      <c r="C2601"/>
      <c r="D2601"/>
      <c r="F2601"/>
      <c r="G2601"/>
      <c r="I2601"/>
    </row>
    <row r="2602" spans="1:9" x14ac:dyDescent="0.3">
      <c r="A2602"/>
      <c r="C2602"/>
      <c r="D2602"/>
      <c r="F2602"/>
      <c r="G2602"/>
      <c r="I2602"/>
    </row>
    <row r="2603" spans="1:9" x14ac:dyDescent="0.3">
      <c r="A2603"/>
      <c r="C2603"/>
      <c r="D2603"/>
      <c r="F2603"/>
      <c r="G2603"/>
      <c r="I2603"/>
    </row>
    <row r="2604" spans="1:9" x14ac:dyDescent="0.3">
      <c r="A2604"/>
      <c r="C2604"/>
      <c r="D2604"/>
      <c r="F2604"/>
      <c r="G2604"/>
      <c r="I2604"/>
    </row>
    <row r="2605" spans="1:9" x14ac:dyDescent="0.3">
      <c r="A2605"/>
      <c r="C2605"/>
      <c r="D2605"/>
      <c r="F2605"/>
      <c r="G2605"/>
      <c r="I2605"/>
    </row>
    <row r="2606" spans="1:9" x14ac:dyDescent="0.3">
      <c r="A2606"/>
      <c r="C2606"/>
      <c r="D2606"/>
      <c r="F2606"/>
      <c r="G2606"/>
      <c r="I2606"/>
    </row>
    <row r="2607" spans="1:9" x14ac:dyDescent="0.3">
      <c r="A2607"/>
      <c r="C2607"/>
      <c r="D2607"/>
      <c r="F2607"/>
      <c r="G2607"/>
      <c r="I2607"/>
    </row>
    <row r="2608" spans="1:9" x14ac:dyDescent="0.3">
      <c r="A2608"/>
      <c r="C2608"/>
      <c r="D2608"/>
      <c r="F2608"/>
      <c r="G2608"/>
      <c r="I2608"/>
    </row>
    <row r="2609" spans="1:9" x14ac:dyDescent="0.3">
      <c r="A2609"/>
      <c r="C2609"/>
      <c r="D2609"/>
      <c r="F2609"/>
      <c r="G2609"/>
      <c r="I2609"/>
    </row>
    <row r="2610" spans="1:9" x14ac:dyDescent="0.3">
      <c r="A2610"/>
      <c r="C2610"/>
      <c r="D2610"/>
      <c r="F2610"/>
      <c r="G2610"/>
      <c r="I2610"/>
    </row>
    <row r="2611" spans="1:9" x14ac:dyDescent="0.3">
      <c r="A2611"/>
      <c r="C2611"/>
      <c r="D2611"/>
      <c r="F2611"/>
      <c r="G2611"/>
      <c r="I2611"/>
    </row>
    <row r="2612" spans="1:9" x14ac:dyDescent="0.3">
      <c r="A2612"/>
      <c r="C2612"/>
      <c r="D2612"/>
      <c r="F2612"/>
      <c r="G2612"/>
      <c r="I2612"/>
    </row>
    <row r="2613" spans="1:9" x14ac:dyDescent="0.3">
      <c r="A2613"/>
      <c r="C2613"/>
      <c r="D2613"/>
      <c r="F2613"/>
      <c r="G2613"/>
      <c r="I2613"/>
    </row>
    <row r="2614" spans="1:9" x14ac:dyDescent="0.3">
      <c r="A2614"/>
      <c r="C2614"/>
      <c r="D2614"/>
      <c r="F2614"/>
      <c r="G2614"/>
      <c r="I2614"/>
    </row>
    <row r="2615" spans="1:9" x14ac:dyDescent="0.3">
      <c r="A2615"/>
      <c r="C2615"/>
      <c r="D2615"/>
      <c r="F2615"/>
      <c r="G2615"/>
      <c r="I2615"/>
    </row>
    <row r="2616" spans="1:9" x14ac:dyDescent="0.3">
      <c r="A2616"/>
      <c r="C2616"/>
      <c r="D2616"/>
      <c r="F2616"/>
      <c r="G2616"/>
      <c r="I2616"/>
    </row>
    <row r="2617" spans="1:9" x14ac:dyDescent="0.3">
      <c r="A2617"/>
      <c r="C2617"/>
      <c r="D2617"/>
      <c r="F2617"/>
      <c r="G2617"/>
      <c r="I2617"/>
    </row>
    <row r="2618" spans="1:9" x14ac:dyDescent="0.3">
      <c r="A2618"/>
      <c r="C2618"/>
      <c r="D2618"/>
      <c r="F2618"/>
      <c r="G2618"/>
      <c r="I2618"/>
    </row>
    <row r="2619" spans="1:9" x14ac:dyDescent="0.3">
      <c r="A2619"/>
      <c r="C2619"/>
      <c r="D2619"/>
      <c r="F2619"/>
      <c r="G2619"/>
      <c r="I2619"/>
    </row>
    <row r="2620" spans="1:9" x14ac:dyDescent="0.3">
      <c r="A2620"/>
      <c r="C2620"/>
      <c r="D2620"/>
      <c r="F2620"/>
      <c r="G2620"/>
      <c r="I2620"/>
    </row>
    <row r="2621" spans="1:9" x14ac:dyDescent="0.3">
      <c r="A2621"/>
      <c r="C2621"/>
      <c r="D2621"/>
      <c r="F2621"/>
      <c r="G2621"/>
      <c r="I2621"/>
    </row>
    <row r="2622" spans="1:9" x14ac:dyDescent="0.3">
      <c r="A2622"/>
      <c r="C2622"/>
      <c r="D2622"/>
      <c r="F2622"/>
      <c r="G2622"/>
      <c r="I2622"/>
    </row>
    <row r="2623" spans="1:9" x14ac:dyDescent="0.3">
      <c r="A2623"/>
      <c r="C2623"/>
      <c r="D2623"/>
      <c r="F2623"/>
      <c r="G2623"/>
      <c r="I2623"/>
    </row>
    <row r="2624" spans="1:9" x14ac:dyDescent="0.3">
      <c r="A2624"/>
      <c r="C2624"/>
      <c r="D2624"/>
      <c r="F2624"/>
      <c r="G2624"/>
      <c r="I2624"/>
    </row>
    <row r="2625" spans="1:9" x14ac:dyDescent="0.3">
      <c r="A2625"/>
      <c r="C2625"/>
      <c r="D2625"/>
      <c r="F2625"/>
      <c r="G2625"/>
      <c r="I2625"/>
    </row>
    <row r="2626" spans="1:9" x14ac:dyDescent="0.3">
      <c r="A2626"/>
      <c r="C2626"/>
      <c r="D2626"/>
      <c r="F2626"/>
      <c r="G2626"/>
      <c r="I2626"/>
    </row>
    <row r="2627" spans="1:9" x14ac:dyDescent="0.3">
      <c r="A2627"/>
      <c r="C2627"/>
      <c r="D2627"/>
      <c r="F2627"/>
      <c r="G2627"/>
      <c r="I2627"/>
    </row>
    <row r="2628" spans="1:9" x14ac:dyDescent="0.3">
      <c r="A2628"/>
      <c r="C2628"/>
      <c r="D2628"/>
      <c r="F2628"/>
      <c r="G2628"/>
      <c r="I2628"/>
    </row>
    <row r="2629" spans="1:9" x14ac:dyDescent="0.3">
      <c r="A2629"/>
      <c r="C2629"/>
      <c r="D2629"/>
      <c r="F2629"/>
      <c r="G2629"/>
      <c r="I2629"/>
    </row>
    <row r="2630" spans="1:9" x14ac:dyDescent="0.3">
      <c r="A2630"/>
      <c r="C2630"/>
      <c r="D2630"/>
      <c r="F2630"/>
      <c r="G2630"/>
      <c r="I2630"/>
    </row>
    <row r="2631" spans="1:9" x14ac:dyDescent="0.3">
      <c r="A2631"/>
      <c r="C2631"/>
      <c r="D2631"/>
      <c r="F2631"/>
      <c r="G2631"/>
      <c r="I2631"/>
    </row>
    <row r="2632" spans="1:9" x14ac:dyDescent="0.3">
      <c r="A2632"/>
      <c r="C2632"/>
      <c r="D2632"/>
      <c r="F2632"/>
      <c r="G2632"/>
      <c r="I2632"/>
    </row>
    <row r="2633" spans="1:9" x14ac:dyDescent="0.3">
      <c r="A2633"/>
      <c r="C2633"/>
      <c r="D2633"/>
      <c r="F2633"/>
      <c r="G2633"/>
      <c r="I2633"/>
    </row>
    <row r="2634" spans="1:9" x14ac:dyDescent="0.3">
      <c r="A2634"/>
      <c r="C2634"/>
      <c r="D2634"/>
      <c r="F2634"/>
      <c r="G2634"/>
      <c r="I2634"/>
    </row>
    <row r="2635" spans="1:9" x14ac:dyDescent="0.3">
      <c r="A2635"/>
      <c r="C2635"/>
      <c r="D2635"/>
      <c r="F2635"/>
      <c r="G2635"/>
      <c r="I2635"/>
    </row>
    <row r="2636" spans="1:9" x14ac:dyDescent="0.3">
      <c r="A2636"/>
      <c r="C2636"/>
      <c r="D2636"/>
      <c r="F2636"/>
      <c r="G2636"/>
      <c r="I2636"/>
    </row>
    <row r="2637" spans="1:9" x14ac:dyDescent="0.3">
      <c r="A2637"/>
      <c r="C2637"/>
      <c r="D2637"/>
      <c r="F2637"/>
      <c r="G2637"/>
      <c r="I2637"/>
    </row>
    <row r="2638" spans="1:9" x14ac:dyDescent="0.3">
      <c r="A2638"/>
      <c r="C2638"/>
      <c r="D2638"/>
      <c r="F2638"/>
      <c r="G2638"/>
      <c r="I2638"/>
    </row>
    <row r="2639" spans="1:9" x14ac:dyDescent="0.3">
      <c r="A2639"/>
      <c r="C2639"/>
      <c r="D2639"/>
      <c r="F2639"/>
      <c r="G2639"/>
      <c r="I2639"/>
    </row>
    <row r="2640" spans="1:9" x14ac:dyDescent="0.3">
      <c r="A2640"/>
      <c r="C2640"/>
      <c r="D2640"/>
      <c r="F2640"/>
      <c r="G2640"/>
      <c r="I2640"/>
    </row>
    <row r="2641" spans="1:9" x14ac:dyDescent="0.3">
      <c r="A2641"/>
      <c r="C2641"/>
      <c r="D2641"/>
      <c r="F2641"/>
      <c r="G2641"/>
      <c r="I2641"/>
    </row>
    <row r="2642" spans="1:9" x14ac:dyDescent="0.3">
      <c r="A2642"/>
      <c r="C2642"/>
      <c r="D2642"/>
      <c r="F2642"/>
      <c r="G2642"/>
      <c r="I2642"/>
    </row>
    <row r="2643" spans="1:9" x14ac:dyDescent="0.3">
      <c r="A2643"/>
      <c r="C2643"/>
      <c r="D2643"/>
      <c r="F2643"/>
      <c r="G2643"/>
      <c r="I2643"/>
    </row>
    <row r="2644" spans="1:9" x14ac:dyDescent="0.3">
      <c r="A2644"/>
      <c r="C2644"/>
      <c r="D2644"/>
      <c r="F2644"/>
      <c r="G2644"/>
      <c r="I2644"/>
    </row>
    <row r="2645" spans="1:9" x14ac:dyDescent="0.3">
      <c r="A2645"/>
      <c r="C2645"/>
      <c r="D2645"/>
      <c r="F2645"/>
      <c r="G2645"/>
      <c r="I2645"/>
    </row>
    <row r="2646" spans="1:9" x14ac:dyDescent="0.3">
      <c r="A2646"/>
      <c r="C2646"/>
      <c r="D2646"/>
      <c r="F2646"/>
      <c r="G2646"/>
      <c r="I2646"/>
    </row>
    <row r="2647" spans="1:9" x14ac:dyDescent="0.3">
      <c r="A2647"/>
      <c r="C2647"/>
      <c r="D2647"/>
      <c r="F2647"/>
      <c r="G2647"/>
      <c r="I2647"/>
    </row>
    <row r="2648" spans="1:9" x14ac:dyDescent="0.3">
      <c r="A2648"/>
      <c r="C2648"/>
      <c r="D2648"/>
      <c r="F2648"/>
      <c r="G2648"/>
      <c r="I2648"/>
    </row>
    <row r="2649" spans="1:9" x14ac:dyDescent="0.3">
      <c r="A2649"/>
      <c r="C2649"/>
      <c r="D2649"/>
      <c r="F2649"/>
      <c r="G2649"/>
      <c r="I2649"/>
    </row>
    <row r="2650" spans="1:9" x14ac:dyDescent="0.3">
      <c r="A2650"/>
      <c r="C2650"/>
      <c r="D2650"/>
      <c r="F2650"/>
      <c r="G2650"/>
      <c r="I2650"/>
    </row>
    <row r="2651" spans="1:9" x14ac:dyDescent="0.3">
      <c r="A2651"/>
      <c r="C2651"/>
      <c r="D2651"/>
      <c r="F2651"/>
      <c r="G2651"/>
      <c r="I2651"/>
    </row>
    <row r="2652" spans="1:9" x14ac:dyDescent="0.3">
      <c r="A2652"/>
      <c r="C2652"/>
      <c r="D2652"/>
      <c r="F2652"/>
      <c r="G2652"/>
      <c r="I2652"/>
    </row>
    <row r="2653" spans="1:9" x14ac:dyDescent="0.3">
      <c r="A2653"/>
      <c r="C2653"/>
      <c r="D2653"/>
      <c r="F2653"/>
      <c r="G2653"/>
      <c r="I2653"/>
    </row>
    <row r="2654" spans="1:9" x14ac:dyDescent="0.3">
      <c r="A2654"/>
      <c r="C2654"/>
      <c r="D2654"/>
      <c r="F2654"/>
      <c r="G2654"/>
      <c r="I2654"/>
    </row>
    <row r="2655" spans="1:9" x14ac:dyDescent="0.3">
      <c r="A2655"/>
      <c r="C2655"/>
      <c r="D2655"/>
      <c r="F2655"/>
      <c r="G2655"/>
      <c r="I2655"/>
    </row>
    <row r="2656" spans="1:9" x14ac:dyDescent="0.3">
      <c r="A2656"/>
      <c r="C2656"/>
      <c r="D2656"/>
      <c r="F2656"/>
      <c r="G2656"/>
      <c r="I2656"/>
    </row>
    <row r="2657" spans="1:9" x14ac:dyDescent="0.3">
      <c r="A2657"/>
      <c r="C2657"/>
      <c r="D2657"/>
      <c r="F2657"/>
      <c r="G2657"/>
      <c r="I2657"/>
    </row>
    <row r="2658" spans="1:9" x14ac:dyDescent="0.3">
      <c r="A2658"/>
      <c r="C2658"/>
      <c r="D2658"/>
      <c r="F2658"/>
      <c r="G2658"/>
      <c r="I2658"/>
    </row>
    <row r="2659" spans="1:9" x14ac:dyDescent="0.3">
      <c r="A2659"/>
      <c r="C2659"/>
      <c r="D2659"/>
      <c r="F2659"/>
      <c r="G2659"/>
      <c r="I2659"/>
    </row>
    <row r="2660" spans="1:9" x14ac:dyDescent="0.3">
      <c r="A2660"/>
      <c r="C2660"/>
      <c r="D2660"/>
      <c r="F2660"/>
      <c r="G2660"/>
      <c r="I2660"/>
    </row>
    <row r="2661" spans="1:9" x14ac:dyDescent="0.3">
      <c r="A2661"/>
      <c r="C2661"/>
      <c r="D2661"/>
      <c r="F2661"/>
      <c r="G2661"/>
      <c r="I2661"/>
    </row>
    <row r="2662" spans="1:9" x14ac:dyDescent="0.3">
      <c r="A2662"/>
      <c r="C2662"/>
      <c r="D2662"/>
      <c r="F2662"/>
      <c r="G2662"/>
      <c r="I2662"/>
    </row>
    <row r="2663" spans="1:9" x14ac:dyDescent="0.3">
      <c r="A2663"/>
      <c r="C2663"/>
      <c r="D2663"/>
      <c r="F2663"/>
      <c r="G2663"/>
      <c r="I2663"/>
    </row>
    <row r="2664" spans="1:9" x14ac:dyDescent="0.3">
      <c r="A2664"/>
      <c r="C2664"/>
      <c r="D2664"/>
      <c r="F2664"/>
      <c r="G2664"/>
      <c r="I2664"/>
    </row>
    <row r="2665" spans="1:9" x14ac:dyDescent="0.3">
      <c r="A2665"/>
      <c r="C2665"/>
      <c r="D2665"/>
      <c r="F2665"/>
      <c r="G2665"/>
      <c r="I2665"/>
    </row>
    <row r="2666" spans="1:9" x14ac:dyDescent="0.3">
      <c r="A2666"/>
      <c r="C2666"/>
      <c r="D2666"/>
      <c r="F2666"/>
      <c r="G2666"/>
      <c r="I2666"/>
    </row>
    <row r="2667" spans="1:9" x14ac:dyDescent="0.3">
      <c r="A2667"/>
      <c r="C2667"/>
      <c r="D2667"/>
      <c r="F2667"/>
      <c r="G2667"/>
      <c r="I2667"/>
    </row>
    <row r="2668" spans="1:9" x14ac:dyDescent="0.3">
      <c r="A2668"/>
      <c r="C2668"/>
      <c r="D2668"/>
      <c r="F2668"/>
      <c r="G2668"/>
      <c r="I2668"/>
    </row>
    <row r="2669" spans="1:9" x14ac:dyDescent="0.3">
      <c r="A2669"/>
      <c r="C2669"/>
      <c r="D2669"/>
      <c r="F2669"/>
      <c r="G2669"/>
      <c r="I2669"/>
    </row>
    <row r="2670" spans="1:9" x14ac:dyDescent="0.3">
      <c r="A2670"/>
      <c r="C2670"/>
      <c r="D2670"/>
      <c r="F2670"/>
      <c r="G2670"/>
      <c r="I2670"/>
    </row>
    <row r="2671" spans="1:9" x14ac:dyDescent="0.3">
      <c r="A2671"/>
      <c r="C2671"/>
      <c r="D2671"/>
      <c r="F2671"/>
      <c r="G2671"/>
      <c r="I2671"/>
    </row>
    <row r="2672" spans="1:9" x14ac:dyDescent="0.3">
      <c r="A2672"/>
      <c r="C2672"/>
      <c r="D2672"/>
      <c r="F2672"/>
      <c r="G2672"/>
      <c r="I2672"/>
    </row>
    <row r="2673" spans="1:9" x14ac:dyDescent="0.3">
      <c r="A2673"/>
      <c r="C2673"/>
      <c r="D2673"/>
      <c r="F2673"/>
      <c r="G2673"/>
      <c r="I2673"/>
    </row>
    <row r="2674" spans="1:9" x14ac:dyDescent="0.3">
      <c r="A2674"/>
      <c r="C2674"/>
      <c r="D2674"/>
      <c r="F2674"/>
      <c r="G2674"/>
      <c r="I2674"/>
    </row>
    <row r="2675" spans="1:9" x14ac:dyDescent="0.3">
      <c r="A2675"/>
      <c r="C2675"/>
      <c r="D2675"/>
      <c r="F2675"/>
      <c r="G2675"/>
      <c r="I2675"/>
    </row>
    <row r="2676" spans="1:9" x14ac:dyDescent="0.3">
      <c r="A2676"/>
      <c r="C2676"/>
      <c r="D2676"/>
      <c r="F2676"/>
      <c r="G2676"/>
      <c r="I2676"/>
    </row>
    <row r="2677" spans="1:9" x14ac:dyDescent="0.3">
      <c r="A2677"/>
      <c r="C2677"/>
      <c r="D2677"/>
      <c r="F2677"/>
      <c r="G2677"/>
      <c r="I2677"/>
    </row>
    <row r="2678" spans="1:9" x14ac:dyDescent="0.3">
      <c r="A2678"/>
      <c r="C2678"/>
      <c r="D2678"/>
      <c r="F2678"/>
      <c r="G2678"/>
      <c r="I2678"/>
    </row>
    <row r="2679" spans="1:9" x14ac:dyDescent="0.3">
      <c r="A2679"/>
      <c r="C2679"/>
      <c r="D2679"/>
      <c r="F2679"/>
      <c r="G2679"/>
      <c r="I2679"/>
    </row>
    <row r="2680" spans="1:9" x14ac:dyDescent="0.3">
      <c r="A2680"/>
      <c r="C2680"/>
      <c r="D2680"/>
      <c r="F2680"/>
      <c r="G2680"/>
      <c r="I2680"/>
    </row>
    <row r="2681" spans="1:9" x14ac:dyDescent="0.3">
      <c r="A2681"/>
      <c r="C2681"/>
      <c r="D2681"/>
      <c r="F2681"/>
      <c r="G2681"/>
      <c r="I2681"/>
    </row>
    <row r="2682" spans="1:9" x14ac:dyDescent="0.3">
      <c r="A2682"/>
      <c r="C2682"/>
      <c r="D2682"/>
      <c r="F2682"/>
      <c r="G2682"/>
      <c r="I2682"/>
    </row>
    <row r="2683" spans="1:9" x14ac:dyDescent="0.3">
      <c r="A2683"/>
      <c r="C2683"/>
      <c r="D2683"/>
      <c r="F2683"/>
      <c r="G2683"/>
      <c r="I2683"/>
    </row>
    <row r="2684" spans="1:9" x14ac:dyDescent="0.3">
      <c r="A2684"/>
      <c r="C2684"/>
      <c r="D2684"/>
      <c r="F2684"/>
      <c r="G2684"/>
      <c r="I2684"/>
    </row>
    <row r="2685" spans="1:9" x14ac:dyDescent="0.3">
      <c r="A2685"/>
      <c r="C2685"/>
      <c r="D2685"/>
      <c r="F2685"/>
      <c r="G2685"/>
      <c r="I2685"/>
    </row>
    <row r="2686" spans="1:9" x14ac:dyDescent="0.3">
      <c r="A2686"/>
      <c r="C2686"/>
      <c r="D2686"/>
      <c r="F2686"/>
      <c r="G2686"/>
      <c r="I2686"/>
    </row>
    <row r="2687" spans="1:9" x14ac:dyDescent="0.3">
      <c r="A2687"/>
      <c r="C2687"/>
      <c r="D2687"/>
      <c r="F2687"/>
      <c r="G2687"/>
      <c r="I2687"/>
    </row>
    <row r="2688" spans="1:9" x14ac:dyDescent="0.3">
      <c r="A2688"/>
      <c r="C2688"/>
      <c r="D2688"/>
      <c r="F2688"/>
      <c r="G2688"/>
      <c r="I2688"/>
    </row>
    <row r="2689" spans="1:9" x14ac:dyDescent="0.3">
      <c r="A2689"/>
      <c r="C2689"/>
      <c r="D2689"/>
      <c r="F2689"/>
      <c r="G2689"/>
      <c r="I2689"/>
    </row>
    <row r="2690" spans="1:9" x14ac:dyDescent="0.3">
      <c r="A2690"/>
      <c r="C2690"/>
      <c r="D2690"/>
      <c r="F2690"/>
      <c r="G2690"/>
      <c r="I2690"/>
    </row>
    <row r="2691" spans="1:9" x14ac:dyDescent="0.3">
      <c r="A2691"/>
      <c r="C2691"/>
      <c r="D2691"/>
      <c r="F2691"/>
      <c r="G2691"/>
      <c r="I2691"/>
    </row>
    <row r="2692" spans="1:9" x14ac:dyDescent="0.3">
      <c r="A2692"/>
      <c r="C2692"/>
      <c r="D2692"/>
      <c r="F2692"/>
      <c r="G2692"/>
      <c r="I2692"/>
    </row>
    <row r="2693" spans="1:9" x14ac:dyDescent="0.3">
      <c r="A2693"/>
      <c r="C2693"/>
      <c r="D2693"/>
      <c r="F2693"/>
      <c r="G2693"/>
      <c r="I2693"/>
    </row>
    <row r="2694" spans="1:9" x14ac:dyDescent="0.3">
      <c r="A2694"/>
      <c r="C2694"/>
      <c r="D2694"/>
      <c r="F2694"/>
      <c r="G2694"/>
      <c r="I2694"/>
    </row>
    <row r="2695" spans="1:9" x14ac:dyDescent="0.3">
      <c r="A2695"/>
      <c r="C2695"/>
      <c r="D2695"/>
      <c r="F2695"/>
      <c r="G2695"/>
      <c r="I2695"/>
    </row>
    <row r="2696" spans="1:9" x14ac:dyDescent="0.3">
      <c r="A2696"/>
      <c r="C2696"/>
      <c r="D2696"/>
      <c r="F2696"/>
      <c r="G2696"/>
      <c r="I2696"/>
    </row>
    <row r="2697" spans="1:9" x14ac:dyDescent="0.3">
      <c r="A2697"/>
      <c r="C2697"/>
      <c r="D2697"/>
      <c r="F2697"/>
      <c r="G2697"/>
      <c r="I2697"/>
    </row>
    <row r="2698" spans="1:9" x14ac:dyDescent="0.3">
      <c r="A2698"/>
      <c r="C2698"/>
      <c r="D2698"/>
      <c r="F2698"/>
      <c r="G2698"/>
      <c r="I2698"/>
    </row>
    <row r="2699" spans="1:9" x14ac:dyDescent="0.3">
      <c r="A2699"/>
      <c r="C2699"/>
      <c r="D2699"/>
      <c r="F2699"/>
      <c r="G2699"/>
      <c r="I2699"/>
    </row>
    <row r="2700" spans="1:9" x14ac:dyDescent="0.3">
      <c r="A2700"/>
      <c r="C2700"/>
      <c r="D2700"/>
      <c r="F2700"/>
      <c r="G2700"/>
      <c r="I2700"/>
    </row>
    <row r="2701" spans="1:9" x14ac:dyDescent="0.3">
      <c r="A2701"/>
      <c r="C2701"/>
      <c r="D2701"/>
      <c r="F2701"/>
      <c r="G2701"/>
      <c r="I2701"/>
    </row>
    <row r="2702" spans="1:9" x14ac:dyDescent="0.3">
      <c r="A2702"/>
      <c r="C2702"/>
      <c r="D2702"/>
      <c r="F2702"/>
      <c r="G2702"/>
      <c r="I2702"/>
    </row>
    <row r="2703" spans="1:9" x14ac:dyDescent="0.3">
      <c r="A2703"/>
      <c r="C2703"/>
      <c r="D2703"/>
      <c r="F2703"/>
      <c r="G2703"/>
      <c r="I2703"/>
    </row>
    <row r="2704" spans="1:9" x14ac:dyDescent="0.3">
      <c r="A2704"/>
      <c r="C2704"/>
      <c r="D2704"/>
      <c r="F2704"/>
      <c r="G2704"/>
      <c r="I2704"/>
    </row>
    <row r="2705" spans="1:9" x14ac:dyDescent="0.3">
      <c r="A2705"/>
      <c r="C2705"/>
      <c r="D2705"/>
      <c r="F2705"/>
      <c r="G2705"/>
      <c r="I2705"/>
    </row>
    <row r="2706" spans="1:9" x14ac:dyDescent="0.3">
      <c r="A2706"/>
      <c r="C2706"/>
      <c r="D2706"/>
      <c r="F2706"/>
      <c r="G2706"/>
      <c r="I2706"/>
    </row>
    <row r="2707" spans="1:9" x14ac:dyDescent="0.3">
      <c r="A2707"/>
      <c r="C2707"/>
      <c r="D2707"/>
      <c r="F2707"/>
      <c r="G2707"/>
      <c r="I2707"/>
    </row>
    <row r="2708" spans="1:9" x14ac:dyDescent="0.3">
      <c r="A2708"/>
      <c r="C2708"/>
      <c r="D2708"/>
      <c r="F2708"/>
      <c r="G2708"/>
      <c r="I2708"/>
    </row>
    <row r="2709" spans="1:9" x14ac:dyDescent="0.3">
      <c r="A2709"/>
      <c r="C2709"/>
      <c r="D2709"/>
      <c r="F2709"/>
      <c r="G2709"/>
      <c r="I2709"/>
    </row>
    <row r="2710" spans="1:9" x14ac:dyDescent="0.3">
      <c r="A2710"/>
      <c r="C2710"/>
      <c r="D2710"/>
      <c r="F2710"/>
      <c r="G2710"/>
      <c r="I2710"/>
    </row>
    <row r="2711" spans="1:9" x14ac:dyDescent="0.3">
      <c r="A2711"/>
      <c r="C2711"/>
      <c r="D2711"/>
      <c r="F2711"/>
      <c r="G2711"/>
      <c r="I2711"/>
    </row>
    <row r="2712" spans="1:9" x14ac:dyDescent="0.3">
      <c r="A2712"/>
      <c r="C2712"/>
      <c r="D2712"/>
      <c r="F2712"/>
      <c r="G2712"/>
      <c r="I2712"/>
    </row>
    <row r="2713" spans="1:9" x14ac:dyDescent="0.3">
      <c r="A2713"/>
      <c r="C2713"/>
      <c r="D2713"/>
      <c r="F2713"/>
      <c r="G2713"/>
      <c r="I2713"/>
    </row>
    <row r="2714" spans="1:9" x14ac:dyDescent="0.3">
      <c r="A2714"/>
      <c r="C2714"/>
      <c r="D2714"/>
      <c r="F2714"/>
      <c r="G2714"/>
      <c r="I2714"/>
    </row>
    <row r="2715" spans="1:9" x14ac:dyDescent="0.3">
      <c r="A2715"/>
      <c r="C2715"/>
      <c r="D2715"/>
      <c r="F2715"/>
      <c r="G2715"/>
      <c r="I2715"/>
    </row>
    <row r="2716" spans="1:9" x14ac:dyDescent="0.3">
      <c r="A2716"/>
      <c r="C2716"/>
      <c r="D2716"/>
      <c r="F2716"/>
      <c r="G2716"/>
      <c r="I2716"/>
    </row>
    <row r="2717" spans="1:9" x14ac:dyDescent="0.3">
      <c r="A2717"/>
      <c r="C2717"/>
      <c r="D2717"/>
      <c r="F2717"/>
      <c r="G2717"/>
      <c r="I2717"/>
    </row>
    <row r="2718" spans="1:9" x14ac:dyDescent="0.3">
      <c r="A2718"/>
      <c r="C2718"/>
      <c r="D2718"/>
      <c r="F2718"/>
      <c r="G2718"/>
      <c r="I2718"/>
    </row>
    <row r="2719" spans="1:9" x14ac:dyDescent="0.3">
      <c r="A2719"/>
      <c r="C2719"/>
      <c r="D2719"/>
      <c r="F2719"/>
      <c r="G2719"/>
      <c r="I2719"/>
    </row>
    <row r="2720" spans="1:9" x14ac:dyDescent="0.3">
      <c r="A2720"/>
      <c r="C2720"/>
      <c r="D2720"/>
      <c r="F2720"/>
      <c r="G2720"/>
      <c r="I2720"/>
    </row>
    <row r="2721" spans="1:9" x14ac:dyDescent="0.3">
      <c r="A2721"/>
      <c r="C2721"/>
      <c r="D2721"/>
      <c r="F2721"/>
      <c r="G2721"/>
      <c r="I2721"/>
    </row>
    <row r="2722" spans="1:9" x14ac:dyDescent="0.3">
      <c r="A2722"/>
      <c r="C2722"/>
      <c r="D2722"/>
      <c r="F2722"/>
      <c r="G2722"/>
      <c r="I2722"/>
    </row>
    <row r="2723" spans="1:9" x14ac:dyDescent="0.3">
      <c r="A2723"/>
      <c r="C2723"/>
      <c r="D2723"/>
      <c r="F2723"/>
      <c r="G2723"/>
      <c r="I2723"/>
    </row>
    <row r="2724" spans="1:9" x14ac:dyDescent="0.3">
      <c r="A2724"/>
      <c r="C2724"/>
      <c r="D2724"/>
      <c r="F2724"/>
      <c r="G2724"/>
      <c r="I2724"/>
    </row>
    <row r="2725" spans="1:9" x14ac:dyDescent="0.3">
      <c r="A2725"/>
      <c r="C2725"/>
      <c r="D2725"/>
      <c r="F2725"/>
      <c r="G2725"/>
      <c r="I2725"/>
    </row>
    <row r="2726" spans="1:9" x14ac:dyDescent="0.3">
      <c r="A2726"/>
      <c r="C2726"/>
      <c r="D2726"/>
      <c r="F2726"/>
      <c r="G2726"/>
      <c r="I2726"/>
    </row>
    <row r="2727" spans="1:9" x14ac:dyDescent="0.3">
      <c r="A2727"/>
      <c r="C2727"/>
      <c r="D2727"/>
      <c r="F2727"/>
      <c r="G2727"/>
      <c r="I2727"/>
    </row>
    <row r="2728" spans="1:9" x14ac:dyDescent="0.3">
      <c r="A2728"/>
      <c r="C2728"/>
      <c r="D2728"/>
      <c r="F2728"/>
      <c r="G2728"/>
      <c r="I2728"/>
    </row>
    <row r="2729" spans="1:9" x14ac:dyDescent="0.3">
      <c r="A2729"/>
      <c r="C2729"/>
      <c r="D2729"/>
      <c r="F2729"/>
      <c r="G2729"/>
      <c r="I2729"/>
    </row>
    <row r="2730" spans="1:9" x14ac:dyDescent="0.3">
      <c r="A2730"/>
      <c r="C2730"/>
      <c r="D2730"/>
      <c r="F2730"/>
      <c r="G2730"/>
      <c r="I2730"/>
    </row>
    <row r="2731" spans="1:9" x14ac:dyDescent="0.3">
      <c r="A2731"/>
      <c r="C2731"/>
      <c r="D2731"/>
      <c r="F2731"/>
      <c r="G2731"/>
      <c r="I2731"/>
    </row>
    <row r="2732" spans="1:9" x14ac:dyDescent="0.3">
      <c r="A2732"/>
      <c r="C2732"/>
      <c r="D2732"/>
      <c r="F2732"/>
      <c r="G2732"/>
      <c r="I2732"/>
    </row>
    <row r="2733" spans="1:9" x14ac:dyDescent="0.3">
      <c r="A2733"/>
      <c r="C2733"/>
      <c r="D2733"/>
      <c r="F2733"/>
      <c r="G2733"/>
      <c r="I2733"/>
    </row>
    <row r="2734" spans="1:9" x14ac:dyDescent="0.3">
      <c r="A2734"/>
      <c r="C2734"/>
      <c r="D2734"/>
      <c r="F2734"/>
      <c r="G2734"/>
      <c r="I2734"/>
    </row>
    <row r="2735" spans="1:9" x14ac:dyDescent="0.3">
      <c r="A2735"/>
      <c r="C2735"/>
      <c r="D2735"/>
      <c r="F2735"/>
      <c r="G2735"/>
      <c r="I2735"/>
    </row>
    <row r="2736" spans="1:9" x14ac:dyDescent="0.3">
      <c r="A2736"/>
      <c r="C2736"/>
      <c r="D2736"/>
      <c r="F2736"/>
      <c r="G2736"/>
      <c r="I2736"/>
    </row>
    <row r="2737" spans="1:9" x14ac:dyDescent="0.3">
      <c r="A2737"/>
      <c r="C2737"/>
      <c r="D2737"/>
      <c r="F2737"/>
      <c r="G2737"/>
      <c r="I2737"/>
    </row>
    <row r="2738" spans="1:9" x14ac:dyDescent="0.3">
      <c r="A2738"/>
      <c r="C2738"/>
      <c r="D2738"/>
      <c r="F2738"/>
      <c r="G2738"/>
      <c r="I2738"/>
    </row>
    <row r="2739" spans="1:9" x14ac:dyDescent="0.3">
      <c r="A2739"/>
      <c r="C2739"/>
      <c r="D2739"/>
      <c r="F2739"/>
      <c r="G2739"/>
      <c r="I2739"/>
    </row>
    <row r="2740" spans="1:9" x14ac:dyDescent="0.3">
      <c r="A2740"/>
      <c r="C2740"/>
      <c r="D2740"/>
      <c r="F2740"/>
      <c r="G2740"/>
      <c r="I2740"/>
    </row>
    <row r="2741" spans="1:9" x14ac:dyDescent="0.3">
      <c r="A2741"/>
      <c r="C2741"/>
      <c r="D2741"/>
      <c r="F2741"/>
      <c r="G2741"/>
      <c r="I2741"/>
    </row>
    <row r="2742" spans="1:9" x14ac:dyDescent="0.3">
      <c r="A2742"/>
      <c r="C2742"/>
      <c r="D2742"/>
      <c r="F2742"/>
      <c r="G2742"/>
      <c r="I2742"/>
    </row>
    <row r="2743" spans="1:9" x14ac:dyDescent="0.3">
      <c r="A2743"/>
      <c r="C2743"/>
      <c r="D2743"/>
      <c r="F2743"/>
      <c r="G2743"/>
      <c r="I2743"/>
    </row>
    <row r="2744" spans="1:9" x14ac:dyDescent="0.3">
      <c r="A2744"/>
      <c r="C2744"/>
      <c r="D2744"/>
      <c r="F2744"/>
      <c r="G2744"/>
      <c r="I2744"/>
    </row>
    <row r="2745" spans="1:9" x14ac:dyDescent="0.3">
      <c r="A2745"/>
      <c r="C2745"/>
      <c r="D2745"/>
      <c r="F2745"/>
      <c r="G2745"/>
      <c r="I2745"/>
    </row>
    <row r="2746" spans="1:9" x14ac:dyDescent="0.3">
      <c r="A2746"/>
      <c r="C2746"/>
      <c r="D2746"/>
      <c r="F2746"/>
      <c r="G2746"/>
      <c r="I2746"/>
    </row>
    <row r="2747" spans="1:9" x14ac:dyDescent="0.3">
      <c r="A2747"/>
      <c r="C2747"/>
      <c r="D2747"/>
      <c r="F2747"/>
      <c r="G2747"/>
      <c r="I2747"/>
    </row>
    <row r="2748" spans="1:9" x14ac:dyDescent="0.3">
      <c r="A2748"/>
      <c r="C2748"/>
      <c r="D2748"/>
      <c r="F2748"/>
      <c r="G2748"/>
      <c r="I2748"/>
    </row>
    <row r="2749" spans="1:9" x14ac:dyDescent="0.3">
      <c r="A2749"/>
      <c r="C2749"/>
      <c r="D2749"/>
      <c r="F2749"/>
      <c r="G2749"/>
      <c r="I2749"/>
    </row>
    <row r="2750" spans="1:9" x14ac:dyDescent="0.3">
      <c r="A2750"/>
      <c r="C2750"/>
      <c r="D2750"/>
      <c r="F2750"/>
      <c r="G2750"/>
      <c r="I2750"/>
    </row>
    <row r="2751" spans="1:9" x14ac:dyDescent="0.3">
      <c r="A2751"/>
      <c r="C2751"/>
      <c r="D2751"/>
      <c r="F2751"/>
      <c r="G2751"/>
      <c r="I2751"/>
    </row>
    <row r="2752" spans="1:9" x14ac:dyDescent="0.3">
      <c r="A2752"/>
      <c r="C2752"/>
      <c r="D2752"/>
      <c r="F2752"/>
      <c r="G2752"/>
      <c r="I2752"/>
    </row>
    <row r="2753" spans="1:9" x14ac:dyDescent="0.3">
      <c r="A2753"/>
      <c r="C2753"/>
      <c r="D2753"/>
      <c r="F2753"/>
      <c r="G2753"/>
      <c r="I2753"/>
    </row>
    <row r="2754" spans="1:9" x14ac:dyDescent="0.3">
      <c r="A2754"/>
      <c r="C2754"/>
      <c r="D2754"/>
      <c r="F2754"/>
      <c r="G2754"/>
      <c r="I2754"/>
    </row>
    <row r="2755" spans="1:9" x14ac:dyDescent="0.3">
      <c r="A2755"/>
      <c r="C2755"/>
      <c r="D2755"/>
      <c r="F2755"/>
      <c r="G2755"/>
      <c r="I2755"/>
    </row>
    <row r="2756" spans="1:9" x14ac:dyDescent="0.3">
      <c r="A2756"/>
      <c r="C2756"/>
      <c r="D2756"/>
      <c r="F2756"/>
      <c r="G2756"/>
      <c r="I2756"/>
    </row>
    <row r="2757" spans="1:9" x14ac:dyDescent="0.3">
      <c r="A2757"/>
      <c r="C2757"/>
      <c r="D2757"/>
      <c r="F2757"/>
      <c r="G2757"/>
      <c r="I2757"/>
    </row>
    <row r="2758" spans="1:9" x14ac:dyDescent="0.3">
      <c r="A2758"/>
      <c r="C2758"/>
      <c r="D2758"/>
      <c r="F2758"/>
      <c r="G2758"/>
      <c r="I2758"/>
    </row>
    <row r="2759" spans="1:9" x14ac:dyDescent="0.3">
      <c r="A2759"/>
      <c r="C2759"/>
      <c r="D2759"/>
      <c r="F2759"/>
      <c r="G2759"/>
      <c r="I2759"/>
    </row>
    <row r="2760" spans="1:9" x14ac:dyDescent="0.3">
      <c r="A2760"/>
      <c r="C2760"/>
      <c r="D2760"/>
      <c r="F2760"/>
      <c r="G2760"/>
      <c r="I2760"/>
    </row>
    <row r="2761" spans="1:9" x14ac:dyDescent="0.3">
      <c r="A2761"/>
      <c r="C2761"/>
      <c r="D2761"/>
      <c r="F2761"/>
      <c r="G2761"/>
      <c r="I2761"/>
    </row>
    <row r="2762" spans="1:9" x14ac:dyDescent="0.3">
      <c r="A2762"/>
      <c r="C2762"/>
      <c r="D2762"/>
      <c r="F2762"/>
      <c r="G2762"/>
      <c r="I2762"/>
    </row>
    <row r="2763" spans="1:9" x14ac:dyDescent="0.3">
      <c r="A2763"/>
      <c r="C2763"/>
      <c r="D2763"/>
      <c r="F2763"/>
      <c r="G2763"/>
      <c r="I2763"/>
    </row>
    <row r="2764" spans="1:9" x14ac:dyDescent="0.3">
      <c r="A2764"/>
      <c r="C2764"/>
      <c r="D2764"/>
      <c r="F2764"/>
      <c r="G2764"/>
      <c r="I2764"/>
    </row>
    <row r="2765" spans="1:9" x14ac:dyDescent="0.3">
      <c r="A2765"/>
      <c r="C2765"/>
      <c r="D2765"/>
      <c r="F2765"/>
      <c r="G2765"/>
      <c r="I2765"/>
    </row>
    <row r="2766" spans="1:9" x14ac:dyDescent="0.3">
      <c r="A2766"/>
      <c r="C2766"/>
      <c r="D2766"/>
      <c r="F2766"/>
      <c r="G2766"/>
      <c r="I2766"/>
    </row>
    <row r="2767" spans="1:9" x14ac:dyDescent="0.3">
      <c r="A2767"/>
      <c r="C2767"/>
      <c r="D2767"/>
      <c r="F2767"/>
      <c r="G2767"/>
      <c r="I2767"/>
    </row>
    <row r="2768" spans="1:9" x14ac:dyDescent="0.3">
      <c r="A2768"/>
      <c r="C2768"/>
      <c r="D2768"/>
      <c r="F2768"/>
      <c r="G2768"/>
      <c r="I2768"/>
    </row>
    <row r="2769" spans="1:9" x14ac:dyDescent="0.3">
      <c r="A2769"/>
      <c r="C2769"/>
      <c r="D2769"/>
      <c r="F2769"/>
      <c r="G2769"/>
      <c r="I2769"/>
    </row>
    <row r="2770" spans="1:9" x14ac:dyDescent="0.3">
      <c r="A2770"/>
      <c r="C2770"/>
      <c r="D2770"/>
      <c r="F2770"/>
      <c r="G2770"/>
      <c r="I2770"/>
    </row>
    <row r="2771" spans="1:9" x14ac:dyDescent="0.3">
      <c r="A2771"/>
      <c r="C2771"/>
      <c r="D2771"/>
      <c r="F2771"/>
      <c r="G2771"/>
      <c r="I2771"/>
    </row>
    <row r="2772" spans="1:9" x14ac:dyDescent="0.3">
      <c r="A2772"/>
      <c r="C2772"/>
      <c r="D2772"/>
      <c r="F2772"/>
      <c r="G2772"/>
      <c r="I2772"/>
    </row>
    <row r="2773" spans="1:9" x14ac:dyDescent="0.3">
      <c r="A2773"/>
      <c r="C2773"/>
      <c r="D2773"/>
      <c r="F2773"/>
      <c r="G2773"/>
      <c r="I2773"/>
    </row>
    <row r="2774" spans="1:9" x14ac:dyDescent="0.3">
      <c r="A2774"/>
      <c r="C2774"/>
      <c r="D2774"/>
      <c r="F2774"/>
      <c r="G2774"/>
      <c r="I2774"/>
    </row>
    <row r="2775" spans="1:9" x14ac:dyDescent="0.3">
      <c r="A2775"/>
      <c r="C2775"/>
      <c r="D2775"/>
      <c r="F2775"/>
      <c r="G2775"/>
      <c r="I2775"/>
    </row>
    <row r="2776" spans="1:9" x14ac:dyDescent="0.3">
      <c r="A2776"/>
      <c r="C2776"/>
      <c r="D2776"/>
      <c r="F2776"/>
      <c r="G2776"/>
      <c r="I2776"/>
    </row>
    <row r="2777" spans="1:9" x14ac:dyDescent="0.3">
      <c r="A2777"/>
      <c r="C2777"/>
      <c r="D2777"/>
      <c r="F2777"/>
      <c r="G2777"/>
      <c r="I2777"/>
    </row>
    <row r="2778" spans="1:9" x14ac:dyDescent="0.3">
      <c r="A2778"/>
      <c r="C2778"/>
      <c r="D2778"/>
      <c r="F2778"/>
      <c r="G2778"/>
      <c r="I2778"/>
    </row>
    <row r="2779" spans="1:9" x14ac:dyDescent="0.3">
      <c r="A2779"/>
      <c r="C2779"/>
      <c r="D2779"/>
      <c r="F2779"/>
      <c r="G2779"/>
      <c r="I2779"/>
    </row>
    <row r="2780" spans="1:9" x14ac:dyDescent="0.3">
      <c r="A2780"/>
      <c r="C2780"/>
      <c r="D2780"/>
      <c r="F2780"/>
      <c r="G2780"/>
      <c r="I2780"/>
    </row>
    <row r="2781" spans="1:9" x14ac:dyDescent="0.3">
      <c r="A2781"/>
      <c r="C2781"/>
      <c r="D2781"/>
      <c r="F2781"/>
      <c r="G2781"/>
      <c r="I2781"/>
    </row>
    <row r="2782" spans="1:9" x14ac:dyDescent="0.3">
      <c r="A2782"/>
      <c r="C2782"/>
      <c r="D2782"/>
      <c r="F2782"/>
      <c r="G2782"/>
      <c r="I2782"/>
    </row>
    <row r="2783" spans="1:9" x14ac:dyDescent="0.3">
      <c r="A2783"/>
      <c r="C2783"/>
      <c r="D2783"/>
      <c r="F2783"/>
      <c r="G2783"/>
      <c r="I2783"/>
    </row>
    <row r="2784" spans="1:9" x14ac:dyDescent="0.3">
      <c r="A2784"/>
      <c r="C2784"/>
      <c r="D2784"/>
      <c r="F2784"/>
      <c r="G2784"/>
      <c r="I2784"/>
    </row>
    <row r="2785" spans="1:9" x14ac:dyDescent="0.3">
      <c r="A2785"/>
      <c r="C2785"/>
      <c r="D2785"/>
      <c r="F2785"/>
      <c r="G2785"/>
      <c r="I2785"/>
    </row>
    <row r="2786" spans="1:9" x14ac:dyDescent="0.3">
      <c r="A2786"/>
      <c r="C2786"/>
      <c r="D2786"/>
      <c r="F2786"/>
      <c r="G2786"/>
      <c r="I2786"/>
    </row>
    <row r="2787" spans="1:9" x14ac:dyDescent="0.3">
      <c r="A2787"/>
      <c r="C2787"/>
      <c r="D2787"/>
      <c r="F2787"/>
      <c r="G2787"/>
      <c r="I2787"/>
    </row>
    <row r="2788" spans="1:9" x14ac:dyDescent="0.3">
      <c r="A2788"/>
      <c r="C2788"/>
      <c r="D2788"/>
      <c r="F2788"/>
      <c r="G2788"/>
      <c r="I2788"/>
    </row>
    <row r="2789" spans="1:9" x14ac:dyDescent="0.3">
      <c r="A2789"/>
      <c r="C2789"/>
      <c r="D2789"/>
      <c r="F2789"/>
      <c r="G2789"/>
      <c r="I2789"/>
    </row>
    <row r="2790" spans="1:9" x14ac:dyDescent="0.3">
      <c r="A2790"/>
      <c r="C2790"/>
      <c r="D2790"/>
      <c r="F2790"/>
      <c r="G2790"/>
      <c r="I2790"/>
    </row>
    <row r="2791" spans="1:9" x14ac:dyDescent="0.3">
      <c r="A2791"/>
      <c r="C2791"/>
      <c r="D2791"/>
      <c r="F2791"/>
      <c r="G2791"/>
      <c r="I2791"/>
    </row>
    <row r="2792" spans="1:9" x14ac:dyDescent="0.3">
      <c r="A2792"/>
      <c r="C2792"/>
      <c r="D2792"/>
      <c r="F2792"/>
      <c r="G2792"/>
      <c r="I2792"/>
    </row>
    <row r="2793" spans="1:9" x14ac:dyDescent="0.3">
      <c r="A2793"/>
      <c r="C2793"/>
      <c r="D2793"/>
      <c r="F2793"/>
      <c r="G2793"/>
      <c r="I2793"/>
    </row>
    <row r="2794" spans="1:9" x14ac:dyDescent="0.3">
      <c r="A2794"/>
      <c r="C2794"/>
      <c r="D2794"/>
      <c r="F2794"/>
      <c r="G2794"/>
      <c r="I2794"/>
    </row>
    <row r="2795" spans="1:9" x14ac:dyDescent="0.3">
      <c r="A2795"/>
      <c r="C2795"/>
      <c r="D2795"/>
      <c r="F2795"/>
      <c r="G2795"/>
      <c r="I2795"/>
    </row>
    <row r="2796" spans="1:9" x14ac:dyDescent="0.3">
      <c r="A2796"/>
      <c r="C2796"/>
      <c r="D2796"/>
      <c r="F2796"/>
      <c r="G2796"/>
      <c r="I2796"/>
    </row>
    <row r="2797" spans="1:9" x14ac:dyDescent="0.3">
      <c r="A2797"/>
      <c r="C2797"/>
      <c r="D2797"/>
      <c r="F2797"/>
      <c r="G2797"/>
      <c r="I2797"/>
    </row>
    <row r="2798" spans="1:9" x14ac:dyDescent="0.3">
      <c r="A2798"/>
      <c r="C2798"/>
      <c r="D2798"/>
      <c r="F2798"/>
      <c r="G2798"/>
      <c r="I2798"/>
    </row>
    <row r="2799" spans="1:9" x14ac:dyDescent="0.3">
      <c r="A2799"/>
      <c r="C2799"/>
      <c r="D2799"/>
      <c r="F2799"/>
      <c r="G2799"/>
      <c r="I2799"/>
    </row>
    <row r="2800" spans="1:9" x14ac:dyDescent="0.3">
      <c r="A2800"/>
      <c r="C2800"/>
      <c r="D2800"/>
      <c r="F2800"/>
      <c r="G2800"/>
      <c r="I2800"/>
    </row>
    <row r="2801" spans="1:9" x14ac:dyDescent="0.3">
      <c r="A2801"/>
      <c r="C2801"/>
      <c r="D2801"/>
      <c r="F2801"/>
      <c r="G2801"/>
      <c r="I2801"/>
    </row>
    <row r="2802" spans="1:9" x14ac:dyDescent="0.3">
      <c r="A2802"/>
      <c r="C2802"/>
      <c r="D2802"/>
      <c r="F2802"/>
      <c r="G2802"/>
      <c r="I2802"/>
    </row>
    <row r="2803" spans="1:9" x14ac:dyDescent="0.3">
      <c r="A2803"/>
      <c r="C2803"/>
      <c r="D2803"/>
      <c r="F2803"/>
      <c r="G2803"/>
      <c r="I2803"/>
    </row>
    <row r="2804" spans="1:9" x14ac:dyDescent="0.3">
      <c r="A2804"/>
      <c r="C2804"/>
      <c r="D2804"/>
      <c r="F2804"/>
      <c r="G2804"/>
      <c r="I2804"/>
    </row>
    <row r="2805" spans="1:9" x14ac:dyDescent="0.3">
      <c r="A2805"/>
      <c r="C2805"/>
      <c r="D2805"/>
      <c r="F2805"/>
      <c r="G2805"/>
      <c r="I2805"/>
    </row>
    <row r="2806" spans="1:9" x14ac:dyDescent="0.3">
      <c r="A2806"/>
      <c r="C2806"/>
      <c r="D2806"/>
      <c r="F2806"/>
      <c r="G2806"/>
      <c r="I2806"/>
    </row>
    <row r="2807" spans="1:9" x14ac:dyDescent="0.3">
      <c r="A2807"/>
      <c r="C2807"/>
      <c r="D2807"/>
      <c r="F2807"/>
      <c r="G2807"/>
      <c r="I2807"/>
    </row>
    <row r="2808" spans="1:9" x14ac:dyDescent="0.3">
      <c r="A2808"/>
      <c r="C2808"/>
      <c r="D2808"/>
      <c r="F2808"/>
      <c r="G2808"/>
      <c r="I2808"/>
    </row>
    <row r="2809" spans="1:9" x14ac:dyDescent="0.3">
      <c r="A2809"/>
      <c r="C2809"/>
      <c r="D2809"/>
      <c r="F2809"/>
      <c r="G2809"/>
      <c r="I2809"/>
    </row>
    <row r="2810" spans="1:9" x14ac:dyDescent="0.3">
      <c r="A2810"/>
      <c r="C2810"/>
      <c r="D2810"/>
      <c r="F2810"/>
      <c r="G2810"/>
      <c r="I2810"/>
    </row>
    <row r="2811" spans="1:9" x14ac:dyDescent="0.3">
      <c r="A2811"/>
      <c r="C2811"/>
      <c r="D2811"/>
      <c r="F2811"/>
      <c r="G2811"/>
      <c r="I2811"/>
    </row>
    <row r="2812" spans="1:9" x14ac:dyDescent="0.3">
      <c r="A2812"/>
      <c r="C2812"/>
      <c r="D2812"/>
      <c r="F2812"/>
      <c r="G2812"/>
      <c r="I2812"/>
    </row>
    <row r="2813" spans="1:9" x14ac:dyDescent="0.3">
      <c r="A2813"/>
      <c r="C2813"/>
      <c r="D2813"/>
      <c r="F2813"/>
      <c r="G2813"/>
      <c r="I2813"/>
    </row>
    <row r="2814" spans="1:9" x14ac:dyDescent="0.3">
      <c r="A2814"/>
      <c r="C2814"/>
      <c r="D2814"/>
      <c r="F2814"/>
      <c r="G2814"/>
      <c r="I2814"/>
    </row>
    <row r="2815" spans="1:9" x14ac:dyDescent="0.3">
      <c r="A2815"/>
      <c r="C2815"/>
      <c r="D2815"/>
      <c r="F2815"/>
      <c r="G2815"/>
      <c r="I2815"/>
    </row>
    <row r="2816" spans="1:9" x14ac:dyDescent="0.3">
      <c r="A2816"/>
      <c r="C2816"/>
      <c r="D2816"/>
      <c r="F2816"/>
      <c r="G2816"/>
      <c r="I2816"/>
    </row>
    <row r="2817" spans="1:9" x14ac:dyDescent="0.3">
      <c r="A2817"/>
      <c r="C2817"/>
      <c r="D2817"/>
      <c r="F2817"/>
      <c r="G2817"/>
      <c r="I2817"/>
    </row>
    <row r="2818" spans="1:9" x14ac:dyDescent="0.3">
      <c r="A2818"/>
      <c r="C2818"/>
      <c r="D2818"/>
      <c r="F2818"/>
      <c r="G2818"/>
      <c r="I2818"/>
    </row>
    <row r="2819" spans="1:9" x14ac:dyDescent="0.3">
      <c r="A2819"/>
      <c r="C2819"/>
      <c r="D2819"/>
      <c r="F2819"/>
      <c r="G2819"/>
      <c r="I2819"/>
    </row>
    <row r="2820" spans="1:9" x14ac:dyDescent="0.3">
      <c r="A2820"/>
      <c r="C2820"/>
      <c r="D2820"/>
      <c r="F2820"/>
      <c r="G2820"/>
      <c r="I2820"/>
    </row>
    <row r="2821" spans="1:9" x14ac:dyDescent="0.3">
      <c r="A2821"/>
      <c r="C2821"/>
      <c r="D2821"/>
      <c r="F2821"/>
      <c r="G2821"/>
      <c r="I2821"/>
    </row>
    <row r="2822" spans="1:9" x14ac:dyDescent="0.3">
      <c r="A2822"/>
      <c r="C2822"/>
      <c r="D2822"/>
      <c r="F2822"/>
      <c r="G2822"/>
      <c r="I2822"/>
    </row>
    <row r="2823" spans="1:9" x14ac:dyDescent="0.3">
      <c r="A2823"/>
      <c r="C2823"/>
      <c r="D2823"/>
      <c r="F2823"/>
      <c r="G2823"/>
      <c r="I2823"/>
    </row>
    <row r="2824" spans="1:9" x14ac:dyDescent="0.3">
      <c r="A2824"/>
      <c r="C2824"/>
      <c r="D2824"/>
      <c r="F2824"/>
      <c r="G2824"/>
      <c r="I2824"/>
    </row>
    <row r="2825" spans="1:9" x14ac:dyDescent="0.3">
      <c r="A2825"/>
      <c r="C2825"/>
      <c r="D2825"/>
      <c r="F2825"/>
      <c r="G2825"/>
      <c r="I2825"/>
    </row>
    <row r="2826" spans="1:9" x14ac:dyDescent="0.3">
      <c r="A2826"/>
      <c r="C2826"/>
      <c r="D2826"/>
      <c r="F2826"/>
      <c r="G2826"/>
      <c r="I2826"/>
    </row>
    <row r="2827" spans="1:9" x14ac:dyDescent="0.3">
      <c r="A2827"/>
      <c r="C2827"/>
      <c r="D2827"/>
      <c r="F2827"/>
      <c r="G2827"/>
      <c r="I2827"/>
    </row>
    <row r="2828" spans="1:9" x14ac:dyDescent="0.3">
      <c r="A2828"/>
      <c r="C2828"/>
      <c r="D2828"/>
      <c r="F2828"/>
      <c r="G2828"/>
      <c r="I2828"/>
    </row>
    <row r="2829" spans="1:9" x14ac:dyDescent="0.3">
      <c r="A2829"/>
      <c r="C2829"/>
      <c r="D2829"/>
      <c r="F2829"/>
      <c r="G2829"/>
      <c r="I2829"/>
    </row>
    <row r="2830" spans="1:9" x14ac:dyDescent="0.3">
      <c r="A2830"/>
      <c r="C2830"/>
      <c r="D2830"/>
      <c r="F2830"/>
      <c r="G2830"/>
      <c r="I2830"/>
    </row>
    <row r="2831" spans="1:9" x14ac:dyDescent="0.3">
      <c r="A2831"/>
      <c r="C2831"/>
      <c r="D2831"/>
      <c r="F2831"/>
      <c r="G2831"/>
      <c r="I2831"/>
    </row>
    <row r="2832" spans="1:9" x14ac:dyDescent="0.3">
      <c r="A2832"/>
      <c r="C2832"/>
      <c r="D2832"/>
      <c r="F2832"/>
      <c r="G2832"/>
      <c r="I2832"/>
    </row>
    <row r="2833" spans="1:9" x14ac:dyDescent="0.3">
      <c r="A2833"/>
      <c r="C2833"/>
      <c r="D2833"/>
      <c r="F2833"/>
      <c r="G2833"/>
      <c r="I2833"/>
    </row>
    <row r="2834" spans="1:9" x14ac:dyDescent="0.3">
      <c r="A2834"/>
      <c r="C2834"/>
      <c r="D2834"/>
      <c r="F2834"/>
      <c r="G2834"/>
      <c r="I2834"/>
    </row>
    <row r="2835" spans="1:9" x14ac:dyDescent="0.3">
      <c r="A2835"/>
      <c r="C2835"/>
      <c r="D2835"/>
      <c r="F2835"/>
      <c r="G2835"/>
      <c r="I2835"/>
    </row>
    <row r="2836" spans="1:9" x14ac:dyDescent="0.3">
      <c r="A2836"/>
      <c r="C2836"/>
      <c r="D2836"/>
      <c r="F2836"/>
      <c r="G2836"/>
      <c r="I2836"/>
    </row>
    <row r="2837" spans="1:9" x14ac:dyDescent="0.3">
      <c r="A2837"/>
      <c r="C2837"/>
      <c r="D2837"/>
      <c r="F2837"/>
      <c r="G2837"/>
      <c r="I2837"/>
    </row>
    <row r="2838" spans="1:9" x14ac:dyDescent="0.3">
      <c r="A2838"/>
      <c r="C2838"/>
      <c r="D2838"/>
      <c r="F2838"/>
      <c r="G2838"/>
      <c r="I2838"/>
    </row>
    <row r="2839" spans="1:9" x14ac:dyDescent="0.3">
      <c r="A2839"/>
      <c r="C2839"/>
      <c r="D2839"/>
      <c r="F2839"/>
      <c r="G2839"/>
      <c r="I2839"/>
    </row>
    <row r="2840" spans="1:9" x14ac:dyDescent="0.3">
      <c r="A2840"/>
      <c r="C2840"/>
      <c r="D2840"/>
      <c r="F2840"/>
      <c r="G2840"/>
      <c r="I2840"/>
    </row>
    <row r="2841" spans="1:9" x14ac:dyDescent="0.3">
      <c r="A2841"/>
      <c r="C2841"/>
      <c r="D2841"/>
      <c r="F2841"/>
      <c r="G2841"/>
      <c r="I2841"/>
    </row>
    <row r="2842" spans="1:9" x14ac:dyDescent="0.3">
      <c r="A2842"/>
      <c r="C2842"/>
      <c r="D2842"/>
      <c r="F2842"/>
      <c r="G2842"/>
      <c r="I2842"/>
    </row>
    <row r="2843" spans="1:9" x14ac:dyDescent="0.3">
      <c r="A2843"/>
      <c r="C2843"/>
      <c r="D2843"/>
      <c r="F2843"/>
      <c r="G2843"/>
      <c r="I2843"/>
    </row>
    <row r="2844" spans="1:9" x14ac:dyDescent="0.3">
      <c r="A2844"/>
      <c r="C2844"/>
      <c r="D2844"/>
      <c r="F2844"/>
      <c r="G2844"/>
      <c r="I2844"/>
    </row>
    <row r="2845" spans="1:9" x14ac:dyDescent="0.3">
      <c r="A2845"/>
      <c r="C2845"/>
      <c r="D2845"/>
      <c r="F2845"/>
      <c r="G2845"/>
      <c r="I2845"/>
    </row>
    <row r="2846" spans="1:9" x14ac:dyDescent="0.3">
      <c r="A2846"/>
      <c r="C2846"/>
      <c r="D2846"/>
      <c r="F2846"/>
      <c r="G2846"/>
      <c r="I2846"/>
    </row>
    <row r="2847" spans="1:9" x14ac:dyDescent="0.3">
      <c r="A2847"/>
      <c r="C2847"/>
      <c r="D2847"/>
      <c r="F2847"/>
      <c r="G2847"/>
      <c r="I2847"/>
    </row>
    <row r="2848" spans="1:9" x14ac:dyDescent="0.3">
      <c r="A2848"/>
      <c r="C2848"/>
      <c r="D2848"/>
      <c r="F2848"/>
      <c r="G2848"/>
      <c r="I2848"/>
    </row>
    <row r="2849" spans="1:9" x14ac:dyDescent="0.3">
      <c r="A2849"/>
      <c r="C2849"/>
      <c r="D2849"/>
      <c r="F2849"/>
      <c r="G2849"/>
      <c r="I2849"/>
    </row>
    <row r="2850" spans="1:9" x14ac:dyDescent="0.3">
      <c r="A2850"/>
      <c r="C2850"/>
      <c r="D2850"/>
      <c r="F2850"/>
      <c r="G2850"/>
      <c r="I2850"/>
    </row>
    <row r="2851" spans="1:9" x14ac:dyDescent="0.3">
      <c r="A2851"/>
      <c r="C2851"/>
      <c r="D2851"/>
      <c r="F2851"/>
      <c r="G2851"/>
      <c r="I2851"/>
    </row>
    <row r="2852" spans="1:9" x14ac:dyDescent="0.3">
      <c r="A2852"/>
      <c r="C2852"/>
      <c r="D2852"/>
      <c r="F2852"/>
      <c r="G2852"/>
      <c r="I2852"/>
    </row>
    <row r="2853" spans="1:9" x14ac:dyDescent="0.3">
      <c r="A2853"/>
      <c r="C2853"/>
      <c r="D2853"/>
      <c r="F2853"/>
      <c r="G2853"/>
      <c r="I2853"/>
    </row>
    <row r="2854" spans="1:9" x14ac:dyDescent="0.3">
      <c r="A2854"/>
      <c r="C2854"/>
      <c r="D2854"/>
      <c r="F2854"/>
      <c r="G2854"/>
      <c r="I2854"/>
    </row>
    <row r="2855" spans="1:9" x14ac:dyDescent="0.3">
      <c r="A2855"/>
      <c r="C2855"/>
      <c r="D2855"/>
      <c r="F2855"/>
      <c r="G2855"/>
      <c r="I2855"/>
    </row>
    <row r="2856" spans="1:9" x14ac:dyDescent="0.3">
      <c r="A2856"/>
      <c r="C2856"/>
      <c r="D2856"/>
      <c r="F2856"/>
      <c r="G2856"/>
      <c r="I2856"/>
    </row>
    <row r="2857" spans="1:9" x14ac:dyDescent="0.3">
      <c r="A2857"/>
      <c r="C2857"/>
      <c r="D2857"/>
      <c r="F2857"/>
      <c r="G2857"/>
      <c r="I2857"/>
    </row>
    <row r="2858" spans="1:9" x14ac:dyDescent="0.3">
      <c r="A2858"/>
      <c r="C2858"/>
      <c r="D2858"/>
      <c r="F2858"/>
      <c r="G2858"/>
      <c r="I2858"/>
    </row>
    <row r="2859" spans="1:9" x14ac:dyDescent="0.3">
      <c r="A2859"/>
      <c r="C2859"/>
      <c r="D2859"/>
      <c r="F2859"/>
      <c r="G2859"/>
      <c r="I2859"/>
    </row>
    <row r="2860" spans="1:9" x14ac:dyDescent="0.3">
      <c r="A2860"/>
      <c r="C2860"/>
      <c r="D2860"/>
      <c r="F2860"/>
      <c r="G2860"/>
      <c r="I2860"/>
    </row>
    <row r="2861" spans="1:9" x14ac:dyDescent="0.3">
      <c r="A2861"/>
      <c r="C2861"/>
      <c r="D2861"/>
      <c r="F2861"/>
      <c r="G2861"/>
      <c r="I2861"/>
    </row>
    <row r="2862" spans="1:9" x14ac:dyDescent="0.3">
      <c r="A2862"/>
      <c r="C2862"/>
      <c r="D2862"/>
      <c r="F2862"/>
      <c r="G2862"/>
      <c r="I2862"/>
    </row>
    <row r="2863" spans="1:9" x14ac:dyDescent="0.3">
      <c r="A2863"/>
      <c r="C2863"/>
      <c r="D2863"/>
      <c r="F2863"/>
      <c r="G2863"/>
      <c r="I2863"/>
    </row>
    <row r="2864" spans="1:9" x14ac:dyDescent="0.3">
      <c r="A2864"/>
      <c r="C2864"/>
      <c r="D2864"/>
      <c r="F2864"/>
      <c r="G2864"/>
      <c r="I2864"/>
    </row>
    <row r="2865" spans="1:9" x14ac:dyDescent="0.3">
      <c r="A2865"/>
      <c r="C2865"/>
      <c r="D2865"/>
      <c r="F2865"/>
      <c r="G2865"/>
      <c r="I2865"/>
    </row>
    <row r="2866" spans="1:9" x14ac:dyDescent="0.3">
      <c r="A2866"/>
      <c r="C2866"/>
      <c r="D2866"/>
      <c r="F2866"/>
      <c r="G2866"/>
      <c r="I2866"/>
    </row>
    <row r="2867" spans="1:9" x14ac:dyDescent="0.3">
      <c r="A2867"/>
      <c r="C2867"/>
      <c r="D2867"/>
      <c r="F2867"/>
      <c r="G2867"/>
      <c r="I2867"/>
    </row>
    <row r="2868" spans="1:9" x14ac:dyDescent="0.3">
      <c r="A2868"/>
      <c r="C2868"/>
      <c r="D2868"/>
      <c r="F2868"/>
      <c r="G2868"/>
      <c r="I2868"/>
    </row>
    <row r="2869" spans="1:9" x14ac:dyDescent="0.3">
      <c r="A2869"/>
      <c r="C2869"/>
      <c r="D2869"/>
      <c r="F2869"/>
      <c r="G2869"/>
      <c r="I2869"/>
    </row>
    <row r="2870" spans="1:9" x14ac:dyDescent="0.3">
      <c r="A2870"/>
      <c r="C2870"/>
      <c r="D2870"/>
      <c r="F2870"/>
      <c r="G2870"/>
      <c r="I2870"/>
    </row>
    <row r="2871" spans="1:9" x14ac:dyDescent="0.3">
      <c r="A2871"/>
      <c r="C2871"/>
      <c r="D2871"/>
      <c r="F2871"/>
      <c r="G2871"/>
      <c r="I2871"/>
    </row>
    <row r="2872" spans="1:9" x14ac:dyDescent="0.3">
      <c r="A2872"/>
      <c r="C2872"/>
      <c r="D2872"/>
      <c r="F2872"/>
      <c r="G2872"/>
      <c r="I2872"/>
    </row>
    <row r="2873" spans="1:9" x14ac:dyDescent="0.3">
      <c r="A2873"/>
      <c r="C2873"/>
      <c r="D2873"/>
      <c r="F2873"/>
      <c r="G2873"/>
      <c r="I2873"/>
    </row>
    <row r="2874" spans="1:9" x14ac:dyDescent="0.3">
      <c r="A2874"/>
      <c r="C2874"/>
      <c r="D2874"/>
      <c r="F2874"/>
      <c r="G2874"/>
      <c r="I2874"/>
    </row>
    <row r="2875" spans="1:9" x14ac:dyDescent="0.3">
      <c r="A2875"/>
      <c r="C2875"/>
      <c r="D2875"/>
      <c r="F2875"/>
      <c r="G2875"/>
      <c r="I2875"/>
    </row>
    <row r="2876" spans="1:9" x14ac:dyDescent="0.3">
      <c r="A2876"/>
      <c r="C2876"/>
      <c r="D2876"/>
      <c r="F2876"/>
      <c r="G2876"/>
      <c r="I2876"/>
    </row>
    <row r="2877" spans="1:9" x14ac:dyDescent="0.3">
      <c r="A2877"/>
      <c r="C2877"/>
      <c r="D2877"/>
      <c r="F2877"/>
      <c r="G2877"/>
      <c r="I2877"/>
    </row>
    <row r="2878" spans="1:9" x14ac:dyDescent="0.3">
      <c r="A2878"/>
      <c r="C2878"/>
      <c r="D2878"/>
      <c r="F2878"/>
      <c r="G2878"/>
      <c r="I2878"/>
    </row>
    <row r="2879" spans="1:9" x14ac:dyDescent="0.3">
      <c r="A2879"/>
      <c r="C2879"/>
      <c r="D2879"/>
      <c r="F2879"/>
      <c r="G2879"/>
      <c r="I2879"/>
    </row>
    <row r="2880" spans="1:9" x14ac:dyDescent="0.3">
      <c r="A2880"/>
      <c r="C2880"/>
      <c r="D2880"/>
      <c r="F2880"/>
      <c r="G2880"/>
      <c r="I2880"/>
    </row>
    <row r="2881" spans="1:9" x14ac:dyDescent="0.3">
      <c r="A2881"/>
      <c r="C2881"/>
      <c r="D2881"/>
      <c r="F2881"/>
      <c r="G2881"/>
      <c r="I2881"/>
    </row>
    <row r="2882" spans="1:9" x14ac:dyDescent="0.3">
      <c r="A2882"/>
      <c r="C2882"/>
      <c r="D2882"/>
      <c r="F2882"/>
      <c r="G2882"/>
      <c r="I2882"/>
    </row>
    <row r="2883" spans="1:9" x14ac:dyDescent="0.3">
      <c r="A2883"/>
      <c r="C2883"/>
      <c r="D2883"/>
      <c r="F2883"/>
      <c r="G2883"/>
      <c r="I2883"/>
    </row>
    <row r="2884" spans="1:9" x14ac:dyDescent="0.3">
      <c r="A2884"/>
      <c r="C2884"/>
      <c r="D2884"/>
      <c r="F2884"/>
      <c r="G2884"/>
      <c r="I2884"/>
    </row>
    <row r="2885" spans="1:9" x14ac:dyDescent="0.3">
      <c r="A2885"/>
      <c r="C2885"/>
      <c r="D2885"/>
      <c r="F2885"/>
      <c r="G2885"/>
      <c r="I2885"/>
    </row>
    <row r="2886" spans="1:9" x14ac:dyDescent="0.3">
      <c r="A2886"/>
      <c r="C2886"/>
      <c r="D2886"/>
      <c r="F2886"/>
      <c r="G2886"/>
      <c r="I2886"/>
    </row>
    <row r="2887" spans="1:9" x14ac:dyDescent="0.3">
      <c r="A2887"/>
      <c r="C2887"/>
      <c r="D2887"/>
      <c r="F2887"/>
      <c r="G2887"/>
      <c r="I2887"/>
    </row>
    <row r="2888" spans="1:9" x14ac:dyDescent="0.3">
      <c r="A2888"/>
      <c r="C2888"/>
      <c r="D2888"/>
      <c r="F2888"/>
      <c r="G2888"/>
      <c r="I2888"/>
    </row>
    <row r="2889" spans="1:9" x14ac:dyDescent="0.3">
      <c r="A2889"/>
      <c r="C2889"/>
      <c r="D2889"/>
      <c r="F2889"/>
      <c r="G2889"/>
      <c r="I2889"/>
    </row>
    <row r="2890" spans="1:9" x14ac:dyDescent="0.3">
      <c r="A2890"/>
      <c r="C2890"/>
      <c r="D2890"/>
      <c r="F2890"/>
      <c r="G2890"/>
      <c r="I2890"/>
    </row>
    <row r="2891" spans="1:9" x14ac:dyDescent="0.3">
      <c r="A2891"/>
      <c r="C2891"/>
      <c r="D2891"/>
      <c r="F2891"/>
      <c r="G2891"/>
      <c r="I2891"/>
    </row>
    <row r="2892" spans="1:9" x14ac:dyDescent="0.3">
      <c r="A2892"/>
      <c r="C2892"/>
      <c r="D2892"/>
      <c r="F2892"/>
      <c r="G2892"/>
      <c r="I2892"/>
    </row>
    <row r="2893" spans="1:9" x14ac:dyDescent="0.3">
      <c r="A2893"/>
      <c r="C2893"/>
      <c r="D2893"/>
      <c r="F2893"/>
      <c r="G2893"/>
      <c r="I2893"/>
    </row>
    <row r="2894" spans="1:9" x14ac:dyDescent="0.3">
      <c r="A2894"/>
      <c r="C2894"/>
      <c r="D2894"/>
      <c r="F2894"/>
      <c r="G2894"/>
      <c r="I2894"/>
    </row>
    <row r="2895" spans="1:9" x14ac:dyDescent="0.3">
      <c r="A2895"/>
      <c r="C2895"/>
      <c r="D2895"/>
      <c r="F2895"/>
      <c r="G2895"/>
      <c r="I2895"/>
    </row>
    <row r="2896" spans="1:9" x14ac:dyDescent="0.3">
      <c r="A2896"/>
      <c r="C2896"/>
      <c r="D2896"/>
      <c r="F2896"/>
      <c r="G2896"/>
      <c r="I2896"/>
    </row>
    <row r="2897" spans="1:9" x14ac:dyDescent="0.3">
      <c r="A2897"/>
      <c r="C2897"/>
      <c r="D2897"/>
      <c r="F2897"/>
      <c r="G2897"/>
      <c r="I2897"/>
    </row>
    <row r="2898" spans="1:9" x14ac:dyDescent="0.3">
      <c r="A2898"/>
      <c r="C2898"/>
      <c r="D2898"/>
      <c r="F2898"/>
      <c r="G2898"/>
      <c r="I2898"/>
    </row>
    <row r="2899" spans="1:9" x14ac:dyDescent="0.3">
      <c r="A2899"/>
      <c r="C2899"/>
      <c r="D2899"/>
      <c r="F2899"/>
      <c r="G2899"/>
      <c r="I2899"/>
    </row>
    <row r="2900" spans="1:9" x14ac:dyDescent="0.3">
      <c r="A2900"/>
      <c r="C2900"/>
      <c r="D2900"/>
      <c r="F2900"/>
      <c r="G2900"/>
      <c r="I2900"/>
    </row>
    <row r="2901" spans="1:9" x14ac:dyDescent="0.3">
      <c r="A2901"/>
      <c r="C2901"/>
      <c r="D2901"/>
      <c r="F2901"/>
      <c r="G2901"/>
      <c r="I2901"/>
    </row>
    <row r="2902" spans="1:9" x14ac:dyDescent="0.3">
      <c r="A2902"/>
      <c r="C2902"/>
      <c r="D2902"/>
      <c r="F2902"/>
      <c r="G2902"/>
      <c r="I2902"/>
    </row>
    <row r="2903" spans="1:9" x14ac:dyDescent="0.3">
      <c r="A2903"/>
      <c r="C2903"/>
      <c r="D2903"/>
      <c r="F2903"/>
      <c r="G2903"/>
      <c r="I2903"/>
    </row>
    <row r="2904" spans="1:9" x14ac:dyDescent="0.3">
      <c r="A2904"/>
      <c r="C2904"/>
      <c r="D2904"/>
      <c r="F2904"/>
      <c r="G2904"/>
      <c r="I2904"/>
    </row>
    <row r="2905" spans="1:9" x14ac:dyDescent="0.3">
      <c r="A2905"/>
      <c r="C2905"/>
      <c r="D2905"/>
      <c r="F2905"/>
      <c r="G2905"/>
      <c r="I2905"/>
    </row>
    <row r="2906" spans="1:9" x14ac:dyDescent="0.3">
      <c r="A2906"/>
      <c r="C2906"/>
      <c r="D2906"/>
      <c r="F2906"/>
      <c r="G2906"/>
      <c r="I2906"/>
    </row>
    <row r="2907" spans="1:9" x14ac:dyDescent="0.3">
      <c r="A2907"/>
      <c r="C2907"/>
      <c r="D2907"/>
      <c r="F2907"/>
      <c r="G2907"/>
      <c r="I2907"/>
    </row>
    <row r="2908" spans="1:9" x14ac:dyDescent="0.3">
      <c r="A2908"/>
      <c r="C2908"/>
      <c r="D2908"/>
      <c r="F2908"/>
      <c r="G2908"/>
      <c r="I2908"/>
    </row>
    <row r="2909" spans="1:9" x14ac:dyDescent="0.3">
      <c r="A2909"/>
      <c r="C2909"/>
      <c r="D2909"/>
      <c r="F2909"/>
      <c r="G2909"/>
      <c r="I2909"/>
    </row>
    <row r="2910" spans="1:9" x14ac:dyDescent="0.3">
      <c r="A2910"/>
      <c r="C2910"/>
      <c r="D2910"/>
      <c r="F2910"/>
      <c r="G2910"/>
      <c r="I2910"/>
    </row>
    <row r="2911" spans="1:9" x14ac:dyDescent="0.3">
      <c r="A2911"/>
      <c r="C2911"/>
      <c r="D2911"/>
      <c r="F2911"/>
      <c r="G2911"/>
      <c r="I2911"/>
    </row>
    <row r="2912" spans="1:9" x14ac:dyDescent="0.3">
      <c r="A2912"/>
      <c r="C2912"/>
      <c r="D2912"/>
      <c r="F2912"/>
      <c r="G2912"/>
      <c r="I2912"/>
    </row>
    <row r="2913" spans="1:9" x14ac:dyDescent="0.3">
      <c r="A2913"/>
      <c r="C2913"/>
      <c r="D2913"/>
      <c r="F2913"/>
      <c r="G2913"/>
      <c r="I2913"/>
    </row>
    <row r="2914" spans="1:9" x14ac:dyDescent="0.3">
      <c r="A2914"/>
      <c r="C2914"/>
      <c r="D2914"/>
      <c r="F2914"/>
      <c r="G2914"/>
      <c r="I2914"/>
    </row>
    <row r="2915" spans="1:9" x14ac:dyDescent="0.3">
      <c r="A2915"/>
      <c r="C2915"/>
      <c r="D2915"/>
      <c r="F2915"/>
      <c r="G2915"/>
      <c r="I2915"/>
    </row>
    <row r="2916" spans="1:9" x14ac:dyDescent="0.3">
      <c r="A2916"/>
      <c r="C2916"/>
      <c r="D2916"/>
      <c r="F2916"/>
      <c r="G2916"/>
      <c r="I2916"/>
    </row>
    <row r="2917" spans="1:9" x14ac:dyDescent="0.3">
      <c r="A2917"/>
      <c r="C2917"/>
      <c r="D2917"/>
      <c r="F2917"/>
      <c r="G2917"/>
      <c r="I2917"/>
    </row>
    <row r="2918" spans="1:9" x14ac:dyDescent="0.3">
      <c r="A2918"/>
      <c r="C2918"/>
      <c r="D2918"/>
      <c r="F2918"/>
      <c r="G2918"/>
      <c r="I2918"/>
    </row>
    <row r="2919" spans="1:9" x14ac:dyDescent="0.3">
      <c r="A2919"/>
      <c r="C2919"/>
      <c r="D2919"/>
      <c r="F2919"/>
      <c r="G2919"/>
      <c r="I2919"/>
    </row>
    <row r="2920" spans="1:9" x14ac:dyDescent="0.3">
      <c r="A2920"/>
      <c r="C2920"/>
      <c r="D2920"/>
      <c r="F2920"/>
      <c r="G2920"/>
      <c r="I2920"/>
    </row>
    <row r="2921" spans="1:9" x14ac:dyDescent="0.3">
      <c r="A2921"/>
      <c r="C2921"/>
      <c r="D2921"/>
      <c r="F2921"/>
      <c r="G2921"/>
      <c r="I2921"/>
    </row>
    <row r="2922" spans="1:9" x14ac:dyDescent="0.3">
      <c r="A2922"/>
      <c r="C2922"/>
      <c r="D2922"/>
      <c r="F2922"/>
      <c r="G2922"/>
      <c r="I2922"/>
    </row>
    <row r="2923" spans="1:9" x14ac:dyDescent="0.3">
      <c r="A2923"/>
      <c r="C2923"/>
      <c r="D2923"/>
      <c r="F2923"/>
      <c r="G2923"/>
      <c r="I2923"/>
    </row>
    <row r="2924" spans="1:9" x14ac:dyDescent="0.3">
      <c r="A2924"/>
      <c r="C2924"/>
      <c r="D2924"/>
      <c r="F2924"/>
      <c r="G2924"/>
      <c r="I2924"/>
    </row>
    <row r="2925" spans="1:9" x14ac:dyDescent="0.3">
      <c r="A2925"/>
      <c r="C2925"/>
      <c r="D2925"/>
      <c r="F2925"/>
      <c r="G2925"/>
      <c r="I2925"/>
    </row>
    <row r="2926" spans="1:9" x14ac:dyDescent="0.3">
      <c r="A2926"/>
      <c r="C2926"/>
      <c r="D2926"/>
      <c r="F2926"/>
      <c r="G2926"/>
      <c r="I2926"/>
    </row>
    <row r="2927" spans="1:9" x14ac:dyDescent="0.3">
      <c r="A2927"/>
      <c r="C2927"/>
      <c r="D2927"/>
      <c r="F2927"/>
      <c r="G2927"/>
      <c r="I2927"/>
    </row>
    <row r="2928" spans="1:9" x14ac:dyDescent="0.3">
      <c r="A2928"/>
      <c r="C2928"/>
      <c r="D2928"/>
      <c r="F2928"/>
      <c r="G2928"/>
      <c r="I2928"/>
    </row>
    <row r="2929" spans="1:9" x14ac:dyDescent="0.3">
      <c r="A2929"/>
      <c r="C2929"/>
      <c r="D2929"/>
      <c r="F2929"/>
      <c r="G2929"/>
      <c r="I2929"/>
    </row>
    <row r="2930" spans="1:9" x14ac:dyDescent="0.3">
      <c r="A2930"/>
      <c r="C2930"/>
      <c r="D2930"/>
      <c r="F2930"/>
      <c r="G2930"/>
      <c r="I2930"/>
    </row>
    <row r="2931" spans="1:9" x14ac:dyDescent="0.3">
      <c r="A2931"/>
      <c r="C2931"/>
      <c r="D2931"/>
      <c r="F2931"/>
      <c r="G2931"/>
      <c r="I2931"/>
    </row>
    <row r="2932" spans="1:9" x14ac:dyDescent="0.3">
      <c r="A2932"/>
      <c r="C2932"/>
      <c r="D2932"/>
      <c r="F2932"/>
      <c r="G2932"/>
      <c r="I2932"/>
    </row>
    <row r="2933" spans="1:9" x14ac:dyDescent="0.3">
      <c r="A2933"/>
      <c r="C2933"/>
      <c r="D2933"/>
      <c r="F2933"/>
      <c r="G2933"/>
      <c r="I2933"/>
    </row>
    <row r="2934" spans="1:9" x14ac:dyDescent="0.3">
      <c r="A2934"/>
      <c r="C2934"/>
      <c r="D2934"/>
      <c r="F2934"/>
      <c r="G2934"/>
      <c r="I2934"/>
    </row>
    <row r="2935" spans="1:9" x14ac:dyDescent="0.3">
      <c r="A2935"/>
      <c r="C2935"/>
      <c r="D2935"/>
      <c r="F2935"/>
      <c r="G2935"/>
      <c r="I2935"/>
    </row>
    <row r="2936" spans="1:9" x14ac:dyDescent="0.3">
      <c r="A2936"/>
      <c r="C2936"/>
      <c r="D2936"/>
      <c r="F2936"/>
      <c r="G2936"/>
      <c r="I2936"/>
    </row>
    <row r="2937" spans="1:9" x14ac:dyDescent="0.3">
      <c r="A2937"/>
      <c r="C2937"/>
      <c r="D2937"/>
      <c r="F2937"/>
      <c r="G2937"/>
      <c r="I2937"/>
    </row>
    <row r="2938" spans="1:9" x14ac:dyDescent="0.3">
      <c r="A2938"/>
      <c r="C2938"/>
      <c r="D2938"/>
      <c r="F2938"/>
      <c r="G2938"/>
      <c r="I2938"/>
    </row>
    <row r="2939" spans="1:9" x14ac:dyDescent="0.3">
      <c r="A2939"/>
      <c r="C2939"/>
      <c r="D2939"/>
      <c r="F2939"/>
      <c r="G2939"/>
      <c r="I2939"/>
    </row>
    <row r="2940" spans="1:9" x14ac:dyDescent="0.3">
      <c r="A2940"/>
      <c r="C2940"/>
      <c r="D2940"/>
      <c r="F2940"/>
      <c r="G2940"/>
      <c r="I2940"/>
    </row>
    <row r="2941" spans="1:9" x14ac:dyDescent="0.3">
      <c r="A2941"/>
      <c r="C2941"/>
      <c r="D2941"/>
      <c r="F2941"/>
      <c r="G2941"/>
      <c r="I2941"/>
    </row>
    <row r="2942" spans="1:9" x14ac:dyDescent="0.3">
      <c r="A2942"/>
      <c r="C2942"/>
      <c r="D2942"/>
      <c r="F2942"/>
      <c r="G2942"/>
      <c r="I2942"/>
    </row>
    <row r="2943" spans="1:9" x14ac:dyDescent="0.3">
      <c r="A2943"/>
      <c r="C2943"/>
      <c r="D2943"/>
      <c r="F2943"/>
      <c r="G2943"/>
      <c r="I2943"/>
    </row>
    <row r="2944" spans="1:9" x14ac:dyDescent="0.3">
      <c r="A2944"/>
      <c r="C2944"/>
      <c r="D2944"/>
      <c r="F2944"/>
      <c r="G2944"/>
      <c r="I2944"/>
    </row>
    <row r="2945" spans="1:9" x14ac:dyDescent="0.3">
      <c r="A2945"/>
      <c r="C2945"/>
      <c r="D2945"/>
      <c r="F2945"/>
      <c r="G2945"/>
      <c r="I2945"/>
    </row>
    <row r="2946" spans="1:9" x14ac:dyDescent="0.3">
      <c r="A2946"/>
      <c r="C2946"/>
      <c r="D2946"/>
      <c r="F2946"/>
      <c r="G2946"/>
      <c r="I2946"/>
    </row>
    <row r="2947" spans="1:9" x14ac:dyDescent="0.3">
      <c r="A2947"/>
      <c r="C2947"/>
      <c r="D2947"/>
      <c r="F2947"/>
      <c r="G2947"/>
      <c r="I2947"/>
    </row>
    <row r="2948" spans="1:9" x14ac:dyDescent="0.3">
      <c r="A2948"/>
      <c r="C2948"/>
      <c r="D2948"/>
      <c r="F2948"/>
      <c r="G2948"/>
      <c r="I2948"/>
    </row>
    <row r="2949" spans="1:9" x14ac:dyDescent="0.3">
      <c r="A2949"/>
      <c r="C2949"/>
      <c r="D2949"/>
      <c r="F2949"/>
      <c r="G2949"/>
      <c r="I2949"/>
    </row>
    <row r="2950" spans="1:9" x14ac:dyDescent="0.3">
      <c r="A2950"/>
      <c r="C2950"/>
      <c r="D2950"/>
      <c r="F2950"/>
      <c r="G2950"/>
      <c r="I2950"/>
    </row>
    <row r="2951" spans="1:9" x14ac:dyDescent="0.3">
      <c r="A2951"/>
      <c r="C2951"/>
      <c r="D2951"/>
      <c r="F2951"/>
      <c r="G2951"/>
      <c r="I2951"/>
    </row>
    <row r="2952" spans="1:9" x14ac:dyDescent="0.3">
      <c r="A2952"/>
      <c r="C2952"/>
      <c r="D2952"/>
      <c r="F2952"/>
      <c r="G2952"/>
      <c r="I2952"/>
    </row>
    <row r="2953" spans="1:9" x14ac:dyDescent="0.3">
      <c r="A2953"/>
      <c r="C2953"/>
      <c r="D2953"/>
      <c r="F2953"/>
      <c r="G2953"/>
      <c r="I2953"/>
    </row>
    <row r="2954" spans="1:9" x14ac:dyDescent="0.3">
      <c r="A2954"/>
      <c r="C2954"/>
      <c r="D2954"/>
      <c r="F2954"/>
      <c r="G2954"/>
      <c r="I2954"/>
    </row>
    <row r="2955" spans="1:9" x14ac:dyDescent="0.3">
      <c r="A2955"/>
      <c r="C2955"/>
      <c r="D2955"/>
      <c r="F2955"/>
      <c r="G2955"/>
      <c r="I2955"/>
    </row>
    <row r="2956" spans="1:9" x14ac:dyDescent="0.3">
      <c r="A2956"/>
      <c r="C2956"/>
      <c r="D2956"/>
      <c r="F2956"/>
      <c r="G2956"/>
      <c r="I2956"/>
    </row>
    <row r="2957" spans="1:9" x14ac:dyDescent="0.3">
      <c r="A2957"/>
      <c r="C2957"/>
      <c r="D2957"/>
      <c r="F2957"/>
      <c r="G2957"/>
      <c r="I2957"/>
    </row>
    <row r="2958" spans="1:9" x14ac:dyDescent="0.3">
      <c r="A2958"/>
      <c r="C2958"/>
      <c r="D2958"/>
      <c r="F2958"/>
      <c r="G2958"/>
      <c r="I2958"/>
    </row>
    <row r="2959" spans="1:9" x14ac:dyDescent="0.3">
      <c r="A2959"/>
      <c r="C2959"/>
      <c r="D2959"/>
      <c r="F2959"/>
      <c r="G2959"/>
      <c r="I2959"/>
    </row>
    <row r="2960" spans="1:9" x14ac:dyDescent="0.3">
      <c r="A2960"/>
      <c r="C2960"/>
      <c r="D2960"/>
      <c r="F2960"/>
      <c r="G2960"/>
      <c r="I2960"/>
    </row>
    <row r="2961" spans="1:9" x14ac:dyDescent="0.3">
      <c r="A2961"/>
      <c r="C2961"/>
      <c r="D2961"/>
      <c r="F2961"/>
      <c r="G2961"/>
      <c r="I2961"/>
    </row>
    <row r="2962" spans="1:9" x14ac:dyDescent="0.3">
      <c r="A2962"/>
      <c r="C2962"/>
      <c r="D2962"/>
      <c r="F2962"/>
      <c r="G2962"/>
      <c r="I2962"/>
    </row>
    <row r="2963" spans="1:9" x14ac:dyDescent="0.3">
      <c r="A2963"/>
      <c r="C2963"/>
      <c r="D2963"/>
      <c r="F2963"/>
      <c r="G2963"/>
      <c r="I2963"/>
    </row>
    <row r="2964" spans="1:9" x14ac:dyDescent="0.3">
      <c r="A2964"/>
      <c r="C2964"/>
      <c r="D2964"/>
      <c r="F2964"/>
      <c r="G2964"/>
      <c r="I2964"/>
    </row>
    <row r="2965" spans="1:9" x14ac:dyDescent="0.3">
      <c r="A2965"/>
      <c r="C2965"/>
      <c r="D2965"/>
      <c r="F2965"/>
      <c r="G2965"/>
      <c r="I2965"/>
    </row>
    <row r="2966" spans="1:9" x14ac:dyDescent="0.3">
      <c r="A2966"/>
      <c r="C2966"/>
      <c r="D2966"/>
      <c r="F2966"/>
      <c r="G2966"/>
      <c r="I2966"/>
    </row>
    <row r="2967" spans="1:9" x14ac:dyDescent="0.3">
      <c r="A2967"/>
      <c r="C2967"/>
      <c r="D2967"/>
      <c r="F2967"/>
      <c r="G2967"/>
      <c r="I2967"/>
    </row>
    <row r="2968" spans="1:9" x14ac:dyDescent="0.3">
      <c r="A2968"/>
      <c r="C2968"/>
      <c r="D2968"/>
      <c r="F2968"/>
      <c r="G2968"/>
      <c r="I2968"/>
    </row>
    <row r="2969" spans="1:9" x14ac:dyDescent="0.3">
      <c r="A2969"/>
      <c r="C2969"/>
      <c r="D2969"/>
      <c r="F2969"/>
      <c r="G2969"/>
      <c r="I2969"/>
    </row>
    <row r="2970" spans="1:9" x14ac:dyDescent="0.3">
      <c r="A2970"/>
      <c r="C2970"/>
      <c r="D2970"/>
      <c r="F2970"/>
      <c r="G2970"/>
      <c r="I2970"/>
    </row>
    <row r="2971" spans="1:9" x14ac:dyDescent="0.3">
      <c r="A2971"/>
      <c r="C2971"/>
      <c r="D2971"/>
      <c r="F2971"/>
      <c r="G2971"/>
      <c r="I2971"/>
    </row>
    <row r="2972" spans="1:9" x14ac:dyDescent="0.3">
      <c r="A2972"/>
      <c r="C2972"/>
      <c r="D2972"/>
      <c r="F2972"/>
      <c r="G2972"/>
      <c r="I2972"/>
    </row>
    <row r="2973" spans="1:9" x14ac:dyDescent="0.3">
      <c r="A2973"/>
      <c r="C2973"/>
      <c r="D2973"/>
      <c r="F2973"/>
      <c r="G2973"/>
      <c r="I2973"/>
    </row>
    <row r="2974" spans="1:9" x14ac:dyDescent="0.3">
      <c r="A2974"/>
      <c r="C2974"/>
      <c r="D2974"/>
      <c r="F2974"/>
      <c r="G2974"/>
      <c r="I2974"/>
    </row>
    <row r="2975" spans="1:9" x14ac:dyDescent="0.3">
      <c r="A2975"/>
      <c r="C2975"/>
      <c r="D2975"/>
      <c r="F2975"/>
      <c r="G2975"/>
      <c r="I2975"/>
    </row>
    <row r="2976" spans="1:9" x14ac:dyDescent="0.3">
      <c r="A2976"/>
      <c r="C2976"/>
      <c r="D2976"/>
      <c r="F2976"/>
      <c r="G2976"/>
      <c r="I2976"/>
    </row>
    <row r="2977" spans="1:9" x14ac:dyDescent="0.3">
      <c r="A2977"/>
      <c r="C2977"/>
      <c r="D2977"/>
      <c r="F2977"/>
      <c r="G2977"/>
      <c r="I2977"/>
    </row>
    <row r="2978" spans="1:9" x14ac:dyDescent="0.3">
      <c r="A2978"/>
      <c r="C2978"/>
      <c r="D2978"/>
      <c r="F2978"/>
      <c r="G2978"/>
      <c r="I2978"/>
    </row>
    <row r="2979" spans="1:9" x14ac:dyDescent="0.3">
      <c r="A2979"/>
      <c r="C2979"/>
      <c r="D2979"/>
      <c r="F2979"/>
      <c r="G2979"/>
      <c r="I2979"/>
    </row>
    <row r="2980" spans="1:9" x14ac:dyDescent="0.3">
      <c r="A2980"/>
      <c r="C2980"/>
      <c r="D2980"/>
      <c r="F2980"/>
      <c r="G2980"/>
      <c r="I2980"/>
    </row>
    <row r="2981" spans="1:9" x14ac:dyDescent="0.3">
      <c r="A2981"/>
      <c r="C2981"/>
      <c r="D2981"/>
      <c r="F2981"/>
      <c r="G2981"/>
      <c r="I2981"/>
    </row>
    <row r="2982" spans="1:9" x14ac:dyDescent="0.3">
      <c r="A2982"/>
      <c r="C2982"/>
      <c r="D2982"/>
      <c r="F2982"/>
      <c r="G2982"/>
      <c r="I2982"/>
    </row>
    <row r="2983" spans="1:9" x14ac:dyDescent="0.3">
      <c r="A2983"/>
      <c r="C2983"/>
      <c r="D2983"/>
      <c r="F2983"/>
      <c r="G2983"/>
      <c r="I2983"/>
    </row>
    <row r="2984" spans="1:9" x14ac:dyDescent="0.3">
      <c r="A2984"/>
      <c r="C2984"/>
      <c r="D2984"/>
      <c r="F2984"/>
      <c r="G2984"/>
      <c r="I2984"/>
    </row>
    <row r="2985" spans="1:9" x14ac:dyDescent="0.3">
      <c r="A2985"/>
      <c r="C2985"/>
      <c r="D2985"/>
      <c r="F2985"/>
      <c r="G2985"/>
      <c r="I2985"/>
    </row>
    <row r="2986" spans="1:9" x14ac:dyDescent="0.3">
      <c r="A2986"/>
      <c r="C2986"/>
      <c r="D2986"/>
      <c r="F2986"/>
      <c r="G2986"/>
      <c r="I2986"/>
    </row>
    <row r="2987" spans="1:9" x14ac:dyDescent="0.3">
      <c r="A2987"/>
      <c r="C2987"/>
      <c r="D2987"/>
      <c r="F2987"/>
      <c r="G2987"/>
      <c r="I2987"/>
    </row>
    <row r="2988" spans="1:9" x14ac:dyDescent="0.3">
      <c r="A2988"/>
      <c r="C2988"/>
      <c r="D2988"/>
      <c r="F2988"/>
      <c r="G2988"/>
      <c r="I2988"/>
    </row>
    <row r="2989" spans="1:9" x14ac:dyDescent="0.3">
      <c r="A2989"/>
      <c r="C2989"/>
      <c r="D2989"/>
      <c r="F2989"/>
      <c r="G2989"/>
      <c r="I2989"/>
    </row>
    <row r="2990" spans="1:9" x14ac:dyDescent="0.3">
      <c r="A2990"/>
      <c r="C2990"/>
      <c r="D2990"/>
      <c r="F2990"/>
      <c r="G2990"/>
      <c r="I2990"/>
    </row>
    <row r="2991" spans="1:9" x14ac:dyDescent="0.3">
      <c r="A2991"/>
      <c r="C2991"/>
      <c r="D2991"/>
      <c r="F2991"/>
      <c r="G2991"/>
      <c r="I2991"/>
    </row>
    <row r="2992" spans="1:9" x14ac:dyDescent="0.3">
      <c r="A2992"/>
      <c r="C2992"/>
      <c r="D2992"/>
      <c r="F2992"/>
      <c r="G2992"/>
      <c r="I2992"/>
    </row>
    <row r="2993" spans="1:9" x14ac:dyDescent="0.3">
      <c r="A2993"/>
      <c r="C2993"/>
      <c r="D2993"/>
      <c r="F2993"/>
      <c r="G2993"/>
      <c r="I2993"/>
    </row>
    <row r="2994" spans="1:9" x14ac:dyDescent="0.3">
      <c r="A2994"/>
      <c r="C2994"/>
      <c r="D2994"/>
      <c r="F2994"/>
      <c r="G2994"/>
      <c r="I2994"/>
    </row>
    <row r="2995" spans="1:9" x14ac:dyDescent="0.3">
      <c r="A2995"/>
      <c r="C2995"/>
      <c r="D2995"/>
      <c r="F2995"/>
      <c r="G2995"/>
      <c r="I2995"/>
    </row>
    <row r="2996" spans="1:9" x14ac:dyDescent="0.3">
      <c r="A2996"/>
      <c r="C2996"/>
      <c r="D2996"/>
      <c r="F2996"/>
      <c r="G2996"/>
      <c r="I2996"/>
    </row>
    <row r="2997" spans="1:9" x14ac:dyDescent="0.3">
      <c r="A2997"/>
      <c r="C2997"/>
      <c r="D2997"/>
      <c r="F2997"/>
      <c r="G2997"/>
      <c r="I2997"/>
    </row>
    <row r="2998" spans="1:9" x14ac:dyDescent="0.3">
      <c r="A2998"/>
      <c r="C2998"/>
      <c r="D2998"/>
      <c r="F2998"/>
      <c r="G2998"/>
      <c r="I2998"/>
    </row>
    <row r="2999" spans="1:9" x14ac:dyDescent="0.3">
      <c r="A2999"/>
      <c r="C2999"/>
      <c r="D2999"/>
      <c r="F2999"/>
      <c r="G2999"/>
      <c r="I2999"/>
    </row>
    <row r="3000" spans="1:9" x14ac:dyDescent="0.3">
      <c r="A3000"/>
      <c r="C3000"/>
      <c r="D3000"/>
      <c r="F3000"/>
      <c r="G3000"/>
      <c r="I3000"/>
    </row>
    <row r="3002" spans="1:9" x14ac:dyDescent="0.3">
      <c r="C3002" s="156"/>
    </row>
    <row r="3012" spans="3:3" x14ac:dyDescent="0.3">
      <c r="C3012" s="156"/>
    </row>
    <row r="3017" spans="3:3" x14ac:dyDescent="0.3">
      <c r="C3017" s="156"/>
    </row>
    <row r="3018" spans="3:3" x14ac:dyDescent="0.3">
      <c r="C3018" s="156"/>
    </row>
    <row r="3022" spans="3:3" x14ac:dyDescent="0.3">
      <c r="C3022" s="156"/>
    </row>
    <row r="3023" spans="3:3" x14ac:dyDescent="0.3">
      <c r="C3023" s="156"/>
    </row>
    <row r="3027" spans="3:3" x14ac:dyDescent="0.3">
      <c r="C3027" s="156"/>
    </row>
    <row r="3028" spans="3:3" x14ac:dyDescent="0.3">
      <c r="C3028" s="156"/>
    </row>
    <row r="3030" spans="3:3" x14ac:dyDescent="0.3">
      <c r="C3030" s="156"/>
    </row>
    <row r="3032" spans="3:3" x14ac:dyDescent="0.3">
      <c r="C3032" s="156"/>
    </row>
    <row r="3034" spans="3:3" x14ac:dyDescent="0.3">
      <c r="C3034" s="156"/>
    </row>
    <row r="3038" spans="3:3" x14ac:dyDescent="0.3">
      <c r="C3038" s="156"/>
    </row>
    <row r="3040" spans="3:3" x14ac:dyDescent="0.3">
      <c r="C3040" s="156"/>
    </row>
    <row r="3042" spans="3:3" x14ac:dyDescent="0.3">
      <c r="C3042" s="156"/>
    </row>
    <row r="3044" spans="3:3" x14ac:dyDescent="0.3">
      <c r="C3044" s="156"/>
    </row>
    <row r="3046" spans="3:3" x14ac:dyDescent="0.3">
      <c r="C3046" s="156"/>
    </row>
    <row r="3048" spans="3:3" x14ac:dyDescent="0.3">
      <c r="C3048" s="156"/>
    </row>
    <row r="3054" spans="3:3" x14ac:dyDescent="0.3">
      <c r="C3054" s="156"/>
    </row>
    <row r="3057" spans="3:3" x14ac:dyDescent="0.3">
      <c r="C3057" s="156"/>
    </row>
    <row r="3060" spans="3:3" x14ac:dyDescent="0.3">
      <c r="C3060" s="156"/>
    </row>
    <row r="3064" spans="3:3" x14ac:dyDescent="0.3">
      <c r="C3064" s="156"/>
    </row>
    <row r="3066" spans="3:3" x14ac:dyDescent="0.3">
      <c r="C3066" s="156"/>
    </row>
    <row r="3068" spans="3:3" x14ac:dyDescent="0.3">
      <c r="C3068" s="156"/>
    </row>
    <row r="3070" spans="3:3" x14ac:dyDescent="0.3">
      <c r="C3070" s="156"/>
    </row>
    <row r="3072" spans="3:3" x14ac:dyDescent="0.3">
      <c r="C3072" s="156"/>
    </row>
    <row r="3074" spans="3:3" x14ac:dyDescent="0.3">
      <c r="C3074" s="156"/>
    </row>
    <row r="3078" spans="3:3" x14ac:dyDescent="0.3">
      <c r="C3078" s="156"/>
    </row>
    <row r="3080" spans="3:3" x14ac:dyDescent="0.3">
      <c r="C3080" s="156"/>
    </row>
    <row r="3082" spans="3:3" x14ac:dyDescent="0.3">
      <c r="C3082" s="156"/>
    </row>
    <row r="3086" spans="3:3" x14ac:dyDescent="0.3">
      <c r="C3086" s="156"/>
    </row>
    <row r="3088" spans="3:3" x14ac:dyDescent="0.3">
      <c r="C3088" s="156"/>
    </row>
    <row r="3090" spans="3:3" x14ac:dyDescent="0.3">
      <c r="C3090" s="156"/>
    </row>
    <row r="3092" spans="3:3" x14ac:dyDescent="0.3">
      <c r="C3092" s="156"/>
    </row>
    <row r="3096" spans="3:3" x14ac:dyDescent="0.3">
      <c r="C3096" s="156"/>
    </row>
    <row r="3098" spans="3:3" x14ac:dyDescent="0.3">
      <c r="C3098" s="156"/>
    </row>
    <row r="3100" spans="3:3" x14ac:dyDescent="0.3">
      <c r="C3100" s="156"/>
    </row>
    <row r="3102" spans="3:3" x14ac:dyDescent="0.3">
      <c r="C3102" s="156"/>
    </row>
    <row r="3104" spans="3:3" x14ac:dyDescent="0.3">
      <c r="C3104" s="156"/>
    </row>
    <row r="3106" spans="3:3" x14ac:dyDescent="0.3">
      <c r="C3106" s="156"/>
    </row>
    <row r="3110" spans="3:3" x14ac:dyDescent="0.3">
      <c r="C3110" s="156"/>
    </row>
    <row r="3112" spans="3:3" x14ac:dyDescent="0.3">
      <c r="C3112" s="156"/>
    </row>
    <row r="3114" spans="3:3" x14ac:dyDescent="0.3">
      <c r="C3114" s="156"/>
    </row>
    <row r="3116" spans="3:3" x14ac:dyDescent="0.3">
      <c r="C3116" s="156"/>
    </row>
  </sheetData>
  <sortState ref="Z6:Z2591">
    <sortCondition ref="Z6"/>
  </sortState>
  <mergeCells count="1">
    <mergeCell ref="A2:D4"/>
  </mergeCells>
  <conditionalFormatting sqref="D5">
    <cfRule type="duplicateValues" dxfId="5" priority="5"/>
  </conditionalFormatting>
  <conditionalFormatting sqref="D5">
    <cfRule type="duplicateValues" dxfId="4" priority="4"/>
  </conditionalFormatting>
  <conditionalFormatting sqref="D5">
    <cfRule type="duplicateValues" dxfId="3" priority="3"/>
  </conditionalFormatting>
  <conditionalFormatting sqref="D5">
    <cfRule type="duplicateValues" dxfId="2" priority="2"/>
  </conditionalFormatting>
  <conditionalFormatting sqref="Y1:Y5 Y2593:Y1048576">
    <cfRule type="duplicateValues" dxfId="1" priority="1"/>
  </conditionalFormatting>
  <dataValidations count="1">
    <dataValidation type="list" allowBlank="1" showInputMessage="1" showErrorMessage="1" sqref="F2">
      <formula1>$L$1:$X$1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ClientEtDate">
                <anchor moveWithCells="1" sizeWithCells="1">
                  <from>
                    <xdr:col>4</xdr:col>
                    <xdr:colOff>7620</xdr:colOff>
                    <xdr:row>2</xdr:row>
                    <xdr:rowOff>114300</xdr:rowOff>
                  </from>
                  <to>
                    <xdr:col>5</xdr:col>
                    <xdr:colOff>2781300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clear3">
                <anchor moveWithCells="1" sizeWithCells="1">
                  <from>
                    <xdr:col>6</xdr:col>
                    <xdr:colOff>289560</xdr:colOff>
                    <xdr:row>0</xdr:row>
                    <xdr:rowOff>335280</xdr:rowOff>
                  </from>
                  <to>
                    <xdr:col>8</xdr:col>
                    <xdr:colOff>944880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6" name="Button 7">
              <controlPr defaultSize="0" print="0" autoFill="0" autoPict="0" macro="[0]!generateClients">
                <anchor moveWithCells="1" sizeWithCells="1">
                  <from>
                    <xdr:col>24</xdr:col>
                    <xdr:colOff>76200</xdr:colOff>
                    <xdr:row>2</xdr:row>
                    <xdr:rowOff>106680</xdr:rowOff>
                  </from>
                  <to>
                    <xdr:col>25</xdr:col>
                    <xdr:colOff>7620</xdr:colOff>
                    <xdr:row>3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1" tint="0.34998626667073579"/>
  </sheetPr>
  <dimension ref="A1:S500"/>
  <sheetViews>
    <sheetView workbookViewId="0">
      <selection activeCell="C3" sqref="C3"/>
    </sheetView>
  </sheetViews>
  <sheetFormatPr defaultRowHeight="14.4" x14ac:dyDescent="0.3"/>
  <cols>
    <col min="2" max="2" width="14.5546875" customWidth="1"/>
    <col min="3" max="3" width="44.44140625" customWidth="1"/>
    <col min="4" max="4" width="14.33203125" customWidth="1"/>
    <col min="5" max="5" width="14.88671875" customWidth="1"/>
    <col min="6" max="6" width="15.5546875" customWidth="1"/>
    <col min="7" max="7" width="11.109375" customWidth="1"/>
    <col min="10" max="10" width="13.109375" customWidth="1"/>
    <col min="11" max="11" width="14.6640625" customWidth="1"/>
    <col min="12" max="12" width="18.88671875" customWidth="1"/>
    <col min="13" max="13" width="17.5546875" customWidth="1"/>
    <col min="14" max="14" width="17.44140625" customWidth="1"/>
    <col min="15" max="15" width="18.44140625" customWidth="1"/>
  </cols>
  <sheetData>
    <row r="1" spans="1:19" ht="77.25" customHeight="1" x14ac:dyDescent="0.3">
      <c r="A1" s="97"/>
      <c r="B1" s="375" t="s">
        <v>1177</v>
      </c>
      <c r="C1" s="375"/>
      <c r="D1" s="98"/>
      <c r="E1" s="99"/>
      <c r="F1" s="377" t="s">
        <v>997</v>
      </c>
      <c r="G1" s="377"/>
      <c r="H1" s="377"/>
      <c r="I1" s="376">
        <f>SUM(J3:J3639)</f>
        <v>478393.11003876146</v>
      </c>
      <c r="J1" s="376"/>
      <c r="K1" s="105"/>
      <c r="L1" s="106"/>
      <c r="M1" s="106"/>
      <c r="N1" s="106"/>
      <c r="O1" s="96"/>
      <c r="P1" s="7"/>
      <c r="Q1" s="7" t="str">
        <f t="shared" ref="Q1:S1" si="0">IF(EXACT(M1,LOWER(M1)),UPPER(M1),M1)</f>
        <v/>
      </c>
      <c r="R1" s="7" t="str">
        <f t="shared" si="0"/>
        <v/>
      </c>
      <c r="S1" s="7" t="str">
        <f t="shared" si="0"/>
        <v/>
      </c>
    </row>
    <row r="2" spans="1:19" ht="43.5" customHeight="1" x14ac:dyDescent="0.3">
      <c r="A2" s="100"/>
      <c r="B2" s="101" t="s">
        <v>0</v>
      </c>
      <c r="C2" s="101" t="s">
        <v>1</v>
      </c>
      <c r="D2" s="101" t="s">
        <v>2</v>
      </c>
      <c r="E2" s="101" t="s">
        <v>3</v>
      </c>
      <c r="F2" s="108" t="s">
        <v>4</v>
      </c>
      <c r="G2" s="102" t="s">
        <v>914</v>
      </c>
      <c r="H2" s="103" t="s">
        <v>913</v>
      </c>
      <c r="I2" s="104" t="s">
        <v>915</v>
      </c>
      <c r="J2" s="109" t="s">
        <v>5</v>
      </c>
      <c r="K2" s="107"/>
      <c r="L2" s="107"/>
      <c r="M2" s="107"/>
      <c r="N2" s="107"/>
      <c r="O2" s="13"/>
    </row>
    <row r="3" spans="1:19" x14ac:dyDescent="0.3">
      <c r="A3" t="s">
        <v>1178</v>
      </c>
      <c r="B3" t="s">
        <v>291</v>
      </c>
      <c r="C3" t="s">
        <v>292</v>
      </c>
      <c r="D3">
        <v>101</v>
      </c>
      <c r="E3">
        <v>96</v>
      </c>
      <c r="F3" s="150">
        <v>5</v>
      </c>
      <c r="G3">
        <v>41.26</v>
      </c>
      <c r="I3">
        <v>41.26</v>
      </c>
      <c r="J3" s="150">
        <v>206.29999999999998</v>
      </c>
    </row>
    <row r="4" spans="1:19" x14ac:dyDescent="0.3">
      <c r="B4" t="s">
        <v>440</v>
      </c>
      <c r="C4" t="s">
        <v>170</v>
      </c>
      <c r="D4">
        <v>5000</v>
      </c>
      <c r="E4">
        <v>2100</v>
      </c>
      <c r="F4" s="150">
        <v>2900</v>
      </c>
      <c r="G4">
        <v>0.47</v>
      </c>
      <c r="I4">
        <v>0.47</v>
      </c>
      <c r="J4" s="150">
        <v>1363</v>
      </c>
    </row>
    <row r="5" spans="1:19" x14ac:dyDescent="0.3">
      <c r="B5" t="s">
        <v>442</v>
      </c>
      <c r="C5" t="s">
        <v>441</v>
      </c>
      <c r="D5">
        <v>5000</v>
      </c>
      <c r="E5">
        <v>2100</v>
      </c>
      <c r="F5" s="150">
        <v>2900</v>
      </c>
      <c r="G5">
        <v>0.22</v>
      </c>
      <c r="I5">
        <v>0.22</v>
      </c>
      <c r="J5" s="150">
        <v>638</v>
      </c>
    </row>
    <row r="6" spans="1:19" x14ac:dyDescent="0.3">
      <c r="B6" t="s">
        <v>444</v>
      </c>
      <c r="C6" t="s">
        <v>443</v>
      </c>
      <c r="D6">
        <v>9000</v>
      </c>
      <c r="E6">
        <v>7500</v>
      </c>
      <c r="F6" s="150">
        <v>1500</v>
      </c>
      <c r="G6">
        <v>0.5</v>
      </c>
      <c r="I6">
        <v>0.5</v>
      </c>
      <c r="J6" s="150">
        <v>750</v>
      </c>
    </row>
    <row r="7" spans="1:19" x14ac:dyDescent="0.3">
      <c r="B7" t="s">
        <v>446</v>
      </c>
      <c r="C7" t="s">
        <v>445</v>
      </c>
      <c r="D7">
        <v>9000</v>
      </c>
      <c r="E7">
        <v>7500</v>
      </c>
      <c r="F7" s="150">
        <v>1500</v>
      </c>
      <c r="G7">
        <v>0.27</v>
      </c>
      <c r="I7">
        <v>0.27</v>
      </c>
      <c r="J7" s="150">
        <v>405</v>
      </c>
    </row>
    <row r="8" spans="1:19" x14ac:dyDescent="0.3">
      <c r="B8" t="s">
        <v>461</v>
      </c>
      <c r="C8" t="s">
        <v>462</v>
      </c>
      <c r="D8">
        <v>2500</v>
      </c>
      <c r="E8">
        <v>600</v>
      </c>
      <c r="F8" s="150">
        <v>1900</v>
      </c>
      <c r="G8">
        <v>0.5</v>
      </c>
      <c r="I8">
        <v>0.5</v>
      </c>
      <c r="J8" s="150">
        <v>950</v>
      </c>
    </row>
    <row r="9" spans="1:19" x14ac:dyDescent="0.3">
      <c r="B9" t="s">
        <v>464</v>
      </c>
      <c r="C9" t="s">
        <v>38</v>
      </c>
      <c r="D9">
        <v>600</v>
      </c>
      <c r="E9">
        <v>480</v>
      </c>
      <c r="F9" s="150">
        <v>120</v>
      </c>
      <c r="G9">
        <v>7.5</v>
      </c>
      <c r="I9">
        <v>7.5</v>
      </c>
      <c r="J9" s="150">
        <v>900</v>
      </c>
    </row>
    <row r="10" spans="1:19" x14ac:dyDescent="0.3">
      <c r="B10" t="s">
        <v>518</v>
      </c>
      <c r="C10" t="s">
        <v>503</v>
      </c>
      <c r="D10">
        <v>600</v>
      </c>
      <c r="E10">
        <v>0</v>
      </c>
      <c r="F10" s="150">
        <v>600</v>
      </c>
      <c r="G10">
        <v>1.625</v>
      </c>
      <c r="I10">
        <v>1.625</v>
      </c>
      <c r="J10" s="150">
        <v>975</v>
      </c>
    </row>
    <row r="11" spans="1:19" x14ac:dyDescent="0.3">
      <c r="B11" t="s">
        <v>522</v>
      </c>
      <c r="C11" t="s">
        <v>523</v>
      </c>
      <c r="D11">
        <v>24000</v>
      </c>
      <c r="E11">
        <v>22500</v>
      </c>
      <c r="F11" s="150">
        <v>1500</v>
      </c>
      <c r="G11">
        <v>0.66666666669999997</v>
      </c>
      <c r="I11">
        <v>0.66666666669999997</v>
      </c>
      <c r="J11" s="150">
        <v>1000.0000000499999</v>
      </c>
    </row>
    <row r="12" spans="1:19" x14ac:dyDescent="0.3">
      <c r="B12" t="s">
        <v>536</v>
      </c>
      <c r="C12" t="s">
        <v>535</v>
      </c>
      <c r="D12">
        <v>60</v>
      </c>
      <c r="E12">
        <v>40</v>
      </c>
      <c r="F12" s="150">
        <v>20</v>
      </c>
      <c r="G12">
        <v>15</v>
      </c>
      <c r="I12">
        <v>15</v>
      </c>
      <c r="J12" s="150">
        <v>300</v>
      </c>
    </row>
    <row r="13" spans="1:19" x14ac:dyDescent="0.3">
      <c r="B13" t="s">
        <v>542</v>
      </c>
      <c r="C13" t="s">
        <v>39</v>
      </c>
      <c r="D13">
        <v>20000</v>
      </c>
      <c r="E13">
        <v>19850</v>
      </c>
      <c r="F13" s="150">
        <v>150</v>
      </c>
      <c r="G13">
        <v>0.20338000000000001</v>
      </c>
      <c r="I13">
        <v>0.20338000000000001</v>
      </c>
      <c r="J13" s="150">
        <v>30.507000000000001</v>
      </c>
    </row>
    <row r="14" spans="1:19" x14ac:dyDescent="0.3">
      <c r="A14" t="s">
        <v>1178</v>
      </c>
      <c r="B14" t="s">
        <v>601</v>
      </c>
      <c r="C14" t="s">
        <v>602</v>
      </c>
      <c r="D14">
        <v>289.70999999999998</v>
      </c>
      <c r="E14">
        <v>287</v>
      </c>
      <c r="F14" s="150">
        <v>2.7099999999999795</v>
      </c>
      <c r="G14">
        <v>29.17</v>
      </c>
      <c r="I14">
        <v>29.17</v>
      </c>
      <c r="J14" s="150">
        <v>79.050699999999409</v>
      </c>
    </row>
    <row r="15" spans="1:19" x14ac:dyDescent="0.3">
      <c r="A15" t="s">
        <v>1178</v>
      </c>
      <c r="B15" t="s">
        <v>606</v>
      </c>
      <c r="C15" t="s">
        <v>607</v>
      </c>
      <c r="D15">
        <v>300</v>
      </c>
      <c r="E15">
        <v>0</v>
      </c>
      <c r="F15" s="150">
        <v>300</v>
      </c>
      <c r="G15">
        <v>0.46200000000000002</v>
      </c>
      <c r="I15">
        <v>0.46200000000000002</v>
      </c>
      <c r="J15" s="150">
        <v>138.6</v>
      </c>
    </row>
    <row r="16" spans="1:19" x14ac:dyDescent="0.3">
      <c r="A16" t="s">
        <v>1178</v>
      </c>
      <c r="B16" t="s">
        <v>608</v>
      </c>
      <c r="C16" t="s">
        <v>609</v>
      </c>
      <c r="D16">
        <v>500</v>
      </c>
      <c r="E16">
        <v>0</v>
      </c>
      <c r="F16" s="150">
        <v>500</v>
      </c>
      <c r="G16">
        <v>0.30280000000000001</v>
      </c>
      <c r="I16">
        <v>0.30280000000000001</v>
      </c>
      <c r="J16" s="150">
        <v>151.4</v>
      </c>
    </row>
    <row r="17" spans="2:10" x14ac:dyDescent="0.3">
      <c r="B17" t="s">
        <v>614</v>
      </c>
      <c r="C17" t="s">
        <v>613</v>
      </c>
      <c r="D17">
        <v>60</v>
      </c>
      <c r="E17">
        <v>57</v>
      </c>
      <c r="F17" s="150">
        <v>3</v>
      </c>
      <c r="G17">
        <v>29.167000000000002</v>
      </c>
      <c r="I17">
        <v>29.167000000000002</v>
      </c>
      <c r="J17" s="150">
        <v>87.501000000000005</v>
      </c>
    </row>
    <row r="18" spans="2:10" x14ac:dyDescent="0.3">
      <c r="B18" t="s">
        <v>655</v>
      </c>
      <c r="C18" t="s">
        <v>654</v>
      </c>
      <c r="D18">
        <v>400</v>
      </c>
      <c r="E18">
        <v>0</v>
      </c>
      <c r="F18" s="150">
        <v>400</v>
      </c>
      <c r="G18">
        <v>3.0833333333000001</v>
      </c>
      <c r="I18">
        <v>3.0833333333000001</v>
      </c>
      <c r="J18" s="150">
        <v>1233.3333333200001</v>
      </c>
    </row>
    <row r="19" spans="2:10" x14ac:dyDescent="0.3">
      <c r="B19" t="s">
        <v>662</v>
      </c>
      <c r="C19" t="s">
        <v>661</v>
      </c>
      <c r="D19">
        <v>900</v>
      </c>
      <c r="E19">
        <v>0</v>
      </c>
      <c r="F19" s="150">
        <v>900</v>
      </c>
      <c r="G19">
        <v>1.6166666667</v>
      </c>
      <c r="I19">
        <v>1.6166666667</v>
      </c>
      <c r="J19" s="150">
        <v>1455.0000000300001</v>
      </c>
    </row>
    <row r="20" spans="2:10" x14ac:dyDescent="0.3">
      <c r="B20" t="s">
        <v>673</v>
      </c>
      <c r="C20" t="s">
        <v>39</v>
      </c>
      <c r="D20">
        <v>2000</v>
      </c>
      <c r="E20">
        <v>1750</v>
      </c>
      <c r="F20" s="150">
        <v>250</v>
      </c>
      <c r="G20">
        <v>0.25</v>
      </c>
      <c r="I20">
        <v>0.25</v>
      </c>
      <c r="J20" s="150">
        <v>62.5</v>
      </c>
    </row>
    <row r="21" spans="2:10" x14ac:dyDescent="0.3">
      <c r="B21" t="s">
        <v>680</v>
      </c>
      <c r="C21" t="s">
        <v>44</v>
      </c>
      <c r="D21">
        <v>3600</v>
      </c>
      <c r="E21">
        <v>1100</v>
      </c>
      <c r="F21" s="150">
        <v>2500</v>
      </c>
      <c r="G21">
        <v>2.0583333332999998</v>
      </c>
      <c r="I21">
        <v>2.0583333332999998</v>
      </c>
      <c r="J21" s="150">
        <v>5145.8333332499997</v>
      </c>
    </row>
    <row r="22" spans="2:10" x14ac:dyDescent="0.3">
      <c r="B22" t="s">
        <v>682</v>
      </c>
      <c r="C22" t="s">
        <v>684</v>
      </c>
      <c r="D22">
        <v>2000</v>
      </c>
      <c r="E22">
        <v>0</v>
      </c>
      <c r="F22" s="150">
        <v>2000</v>
      </c>
      <c r="G22">
        <v>0.69750000000000001</v>
      </c>
      <c r="I22">
        <v>0.69750000000000001</v>
      </c>
      <c r="J22" s="150">
        <v>1395</v>
      </c>
    </row>
    <row r="23" spans="2:10" x14ac:dyDescent="0.3">
      <c r="B23" t="s">
        <v>685</v>
      </c>
      <c r="C23" t="s">
        <v>683</v>
      </c>
      <c r="D23">
        <v>2000</v>
      </c>
      <c r="E23">
        <v>0</v>
      </c>
      <c r="F23" s="150">
        <v>2000</v>
      </c>
      <c r="G23">
        <v>0.93</v>
      </c>
      <c r="I23">
        <v>0.93</v>
      </c>
      <c r="J23" s="150">
        <v>1860</v>
      </c>
    </row>
    <row r="24" spans="2:10" x14ac:dyDescent="0.3">
      <c r="B24" t="s">
        <v>688</v>
      </c>
      <c r="C24" t="s">
        <v>687</v>
      </c>
      <c r="D24">
        <v>2000</v>
      </c>
      <c r="E24">
        <v>0</v>
      </c>
      <c r="F24" s="150">
        <v>2000</v>
      </c>
      <c r="G24">
        <v>1.0687500000000001</v>
      </c>
      <c r="I24">
        <v>1.0687500000000001</v>
      </c>
      <c r="J24" s="150">
        <v>2137.5</v>
      </c>
    </row>
    <row r="25" spans="2:10" x14ac:dyDescent="0.3">
      <c r="B25" t="s">
        <v>693</v>
      </c>
      <c r="C25" t="s">
        <v>692</v>
      </c>
      <c r="D25">
        <v>2000</v>
      </c>
      <c r="E25">
        <v>1500</v>
      </c>
      <c r="F25" s="150">
        <v>500</v>
      </c>
      <c r="G25">
        <v>0.79200000000000004</v>
      </c>
      <c r="I25">
        <v>0.79200000000000004</v>
      </c>
      <c r="J25" s="150">
        <v>396</v>
      </c>
    </row>
    <row r="26" spans="2:10" x14ac:dyDescent="0.3">
      <c r="B26" t="s">
        <v>726</v>
      </c>
      <c r="C26" t="s">
        <v>331</v>
      </c>
      <c r="D26">
        <v>101</v>
      </c>
      <c r="E26">
        <v>91</v>
      </c>
      <c r="F26" s="150">
        <v>10</v>
      </c>
      <c r="G26">
        <v>16.03</v>
      </c>
      <c r="I26">
        <v>16.03</v>
      </c>
      <c r="J26" s="150">
        <v>160.30000000000001</v>
      </c>
    </row>
    <row r="27" spans="2:10" x14ac:dyDescent="0.3">
      <c r="B27" t="s">
        <v>741</v>
      </c>
      <c r="C27" t="s">
        <v>742</v>
      </c>
      <c r="D27">
        <v>2000</v>
      </c>
      <c r="E27">
        <v>0</v>
      </c>
      <c r="F27" s="150">
        <v>2000</v>
      </c>
      <c r="G27">
        <v>0.33333333329999998</v>
      </c>
      <c r="I27">
        <v>0.33333333329999998</v>
      </c>
      <c r="J27" s="150">
        <v>666.66666659999999</v>
      </c>
    </row>
    <row r="28" spans="2:10" x14ac:dyDescent="0.3">
      <c r="B28" t="s">
        <v>744</v>
      </c>
      <c r="C28" t="s">
        <v>743</v>
      </c>
      <c r="D28">
        <v>2000</v>
      </c>
      <c r="E28">
        <v>0</v>
      </c>
      <c r="F28" s="150">
        <v>2000</v>
      </c>
      <c r="G28">
        <v>0.16666666699999999</v>
      </c>
      <c r="I28">
        <v>0.16666666699999999</v>
      </c>
      <c r="J28" s="150">
        <v>333.33333399999998</v>
      </c>
    </row>
    <row r="29" spans="2:10" x14ac:dyDescent="0.3">
      <c r="B29" t="s">
        <v>754</v>
      </c>
      <c r="C29" t="s">
        <v>639</v>
      </c>
      <c r="D29">
        <v>250</v>
      </c>
      <c r="E29">
        <v>0</v>
      </c>
      <c r="F29" s="150">
        <v>250</v>
      </c>
      <c r="G29">
        <v>1.0912500000000001</v>
      </c>
      <c r="I29">
        <v>1.0912500000000001</v>
      </c>
      <c r="J29" s="150">
        <v>272.8125</v>
      </c>
    </row>
    <row r="30" spans="2:10" x14ac:dyDescent="0.3">
      <c r="B30" t="s">
        <v>768</v>
      </c>
      <c r="C30" t="s">
        <v>543</v>
      </c>
      <c r="D30">
        <v>32</v>
      </c>
      <c r="E30">
        <v>0</v>
      </c>
      <c r="F30" s="150">
        <v>32</v>
      </c>
      <c r="G30">
        <v>16.875</v>
      </c>
      <c r="I30">
        <v>16.875</v>
      </c>
      <c r="J30" s="150">
        <v>540</v>
      </c>
    </row>
    <row r="31" spans="2:10" x14ac:dyDescent="0.3">
      <c r="B31" t="s">
        <v>769</v>
      </c>
      <c r="C31" t="s">
        <v>771</v>
      </c>
      <c r="D31">
        <v>210</v>
      </c>
      <c r="E31">
        <v>202</v>
      </c>
      <c r="F31" s="150">
        <v>8</v>
      </c>
      <c r="G31">
        <v>20.833333333300001</v>
      </c>
      <c r="I31">
        <v>20.833333333300001</v>
      </c>
      <c r="J31" s="150">
        <v>166.6666666664</v>
      </c>
    </row>
    <row r="32" spans="2:10" x14ac:dyDescent="0.3">
      <c r="B32" t="s">
        <v>770</v>
      </c>
      <c r="C32" t="s">
        <v>46</v>
      </c>
      <c r="D32">
        <v>1000</v>
      </c>
      <c r="E32">
        <v>0</v>
      </c>
      <c r="F32" s="150">
        <v>1000</v>
      </c>
      <c r="G32">
        <v>0.20833333330000001</v>
      </c>
      <c r="I32">
        <v>0.20833333330000001</v>
      </c>
      <c r="J32" s="150">
        <v>208.33333329999999</v>
      </c>
    </row>
    <row r="33" spans="2:10" x14ac:dyDescent="0.3">
      <c r="B33" t="s">
        <v>772</v>
      </c>
      <c r="C33" t="s">
        <v>343</v>
      </c>
      <c r="D33">
        <v>210</v>
      </c>
      <c r="E33">
        <v>188</v>
      </c>
      <c r="F33" s="150">
        <v>22</v>
      </c>
      <c r="G33">
        <v>20.833333333300001</v>
      </c>
      <c r="I33">
        <v>20.833333333300001</v>
      </c>
      <c r="J33" s="150">
        <v>458.33333333260003</v>
      </c>
    </row>
    <row r="34" spans="2:10" x14ac:dyDescent="0.3">
      <c r="B34" t="s">
        <v>775</v>
      </c>
      <c r="C34" t="s">
        <v>774</v>
      </c>
      <c r="D34">
        <v>7000</v>
      </c>
      <c r="E34">
        <v>0</v>
      </c>
      <c r="F34" s="150">
        <v>7000</v>
      </c>
      <c r="G34">
        <v>0.125</v>
      </c>
      <c r="I34">
        <v>0.125</v>
      </c>
      <c r="J34" s="150">
        <v>875</v>
      </c>
    </row>
    <row r="35" spans="2:10" x14ac:dyDescent="0.3">
      <c r="B35" t="s">
        <v>777</v>
      </c>
      <c r="C35" t="s">
        <v>776</v>
      </c>
      <c r="D35">
        <v>1</v>
      </c>
      <c r="E35">
        <v>0</v>
      </c>
      <c r="F35" s="150">
        <v>1</v>
      </c>
      <c r="G35">
        <v>38.333333333299997</v>
      </c>
      <c r="I35">
        <v>38.333333333299997</v>
      </c>
      <c r="J35" s="150">
        <v>38.333333333299997</v>
      </c>
    </row>
    <row r="36" spans="2:10" x14ac:dyDescent="0.3">
      <c r="B36" t="s">
        <v>1386</v>
      </c>
      <c r="C36" t="s">
        <v>1387</v>
      </c>
      <c r="D36">
        <v>5000</v>
      </c>
      <c r="E36">
        <v>0</v>
      </c>
      <c r="F36" s="150">
        <v>5000</v>
      </c>
      <c r="G36">
        <v>0.65</v>
      </c>
      <c r="I36">
        <v>0.65</v>
      </c>
      <c r="J36" s="150">
        <v>3250</v>
      </c>
    </row>
    <row r="37" spans="2:10" x14ac:dyDescent="0.3">
      <c r="B37" t="s">
        <v>779</v>
      </c>
      <c r="C37" t="s">
        <v>104</v>
      </c>
      <c r="D37">
        <v>30000</v>
      </c>
      <c r="E37">
        <v>26100</v>
      </c>
      <c r="F37" s="150">
        <v>3900</v>
      </c>
      <c r="G37">
        <v>0.30833333330000001</v>
      </c>
      <c r="I37">
        <v>0.30833333330000001</v>
      </c>
      <c r="J37" s="150">
        <v>1202.49999987</v>
      </c>
    </row>
    <row r="38" spans="2:10" x14ac:dyDescent="0.3">
      <c r="B38" t="s">
        <v>795</v>
      </c>
      <c r="C38" t="s">
        <v>152</v>
      </c>
      <c r="D38">
        <v>4000</v>
      </c>
      <c r="E38">
        <v>400</v>
      </c>
      <c r="F38" s="150">
        <v>3600</v>
      </c>
      <c r="G38">
        <v>1.3166666666</v>
      </c>
      <c r="I38">
        <v>1.3166666666</v>
      </c>
      <c r="J38" s="150">
        <v>4739.9999997599998</v>
      </c>
    </row>
    <row r="39" spans="2:10" x14ac:dyDescent="0.3">
      <c r="B39" t="s">
        <v>451</v>
      </c>
      <c r="C39" t="s">
        <v>804</v>
      </c>
      <c r="D39">
        <v>340</v>
      </c>
      <c r="E39">
        <v>88</v>
      </c>
      <c r="F39" s="150">
        <v>252</v>
      </c>
      <c r="G39">
        <v>29.19</v>
      </c>
      <c r="I39">
        <v>29.19</v>
      </c>
      <c r="J39" s="150">
        <v>7355.88</v>
      </c>
    </row>
    <row r="40" spans="2:10" x14ac:dyDescent="0.3">
      <c r="B40" t="s">
        <v>827</v>
      </c>
      <c r="C40" t="s">
        <v>824</v>
      </c>
      <c r="D40">
        <v>45</v>
      </c>
      <c r="E40">
        <v>0</v>
      </c>
      <c r="F40" s="150">
        <v>45</v>
      </c>
      <c r="G40">
        <v>22.5</v>
      </c>
      <c r="I40">
        <v>22.5</v>
      </c>
      <c r="J40" s="150">
        <v>1012.5</v>
      </c>
    </row>
    <row r="41" spans="2:10" x14ac:dyDescent="0.3">
      <c r="B41" t="s">
        <v>837</v>
      </c>
      <c r="C41" t="s">
        <v>207</v>
      </c>
      <c r="D41">
        <v>444</v>
      </c>
      <c r="E41">
        <v>437</v>
      </c>
      <c r="F41" s="150">
        <v>7</v>
      </c>
      <c r="G41">
        <v>21.25</v>
      </c>
      <c r="I41">
        <v>21.25</v>
      </c>
      <c r="J41" s="150">
        <v>148.75</v>
      </c>
    </row>
    <row r="42" spans="2:10" x14ac:dyDescent="0.3">
      <c r="B42" t="s">
        <v>844</v>
      </c>
      <c r="C42" t="s">
        <v>123</v>
      </c>
      <c r="D42">
        <v>500</v>
      </c>
      <c r="E42">
        <v>0</v>
      </c>
      <c r="F42" s="150">
        <v>500</v>
      </c>
      <c r="G42">
        <v>0.8</v>
      </c>
      <c r="I42">
        <v>0.8</v>
      </c>
      <c r="J42" s="150">
        <v>400</v>
      </c>
    </row>
    <row r="43" spans="2:10" x14ac:dyDescent="0.3">
      <c r="B43" t="s">
        <v>846</v>
      </c>
      <c r="C43" t="s">
        <v>307</v>
      </c>
      <c r="D43">
        <v>2400</v>
      </c>
      <c r="E43">
        <v>0</v>
      </c>
      <c r="F43" s="150">
        <v>2400</v>
      </c>
      <c r="G43">
        <v>1.2266666665999999</v>
      </c>
      <c r="I43">
        <v>1.2266666665999999</v>
      </c>
      <c r="J43" s="150">
        <v>2943.9999998399999</v>
      </c>
    </row>
    <row r="44" spans="2:10" x14ac:dyDescent="0.3">
      <c r="B44" t="s">
        <v>848</v>
      </c>
      <c r="C44" t="s">
        <v>847</v>
      </c>
      <c r="D44">
        <v>186</v>
      </c>
      <c r="E44">
        <v>0</v>
      </c>
      <c r="F44" s="150">
        <v>186</v>
      </c>
      <c r="G44">
        <v>2.9166666666999999</v>
      </c>
      <c r="I44">
        <v>2.9166666666999999</v>
      </c>
      <c r="J44" s="150">
        <v>542.50000000620003</v>
      </c>
    </row>
    <row r="45" spans="2:10" x14ac:dyDescent="0.3">
      <c r="B45" t="s">
        <v>849</v>
      </c>
      <c r="C45" t="s">
        <v>850</v>
      </c>
      <c r="D45">
        <v>10000</v>
      </c>
      <c r="E45">
        <v>0</v>
      </c>
      <c r="F45" s="150">
        <v>10000</v>
      </c>
      <c r="G45">
        <v>0.79200000000000004</v>
      </c>
      <c r="I45">
        <v>0.79200000000000004</v>
      </c>
      <c r="J45" s="150">
        <v>7920</v>
      </c>
    </row>
    <row r="46" spans="2:10" x14ac:dyDescent="0.3">
      <c r="B46" t="s">
        <v>856</v>
      </c>
      <c r="C46" t="s">
        <v>853</v>
      </c>
      <c r="D46">
        <v>1000</v>
      </c>
      <c r="E46">
        <v>0</v>
      </c>
      <c r="F46" s="150">
        <v>1000</v>
      </c>
      <c r="G46">
        <v>0.79166666669999997</v>
      </c>
      <c r="I46">
        <v>0.79166666669999997</v>
      </c>
      <c r="J46" s="150">
        <v>791.66666669999995</v>
      </c>
    </row>
    <row r="47" spans="2:10" x14ac:dyDescent="0.3">
      <c r="B47" t="s">
        <v>855</v>
      </c>
      <c r="C47" t="s">
        <v>854</v>
      </c>
      <c r="D47">
        <v>4000</v>
      </c>
      <c r="E47">
        <v>0</v>
      </c>
      <c r="F47" s="150">
        <v>4000</v>
      </c>
      <c r="G47">
        <v>0.79166666669999997</v>
      </c>
      <c r="I47">
        <v>0.79166666669999997</v>
      </c>
      <c r="J47" s="150">
        <v>3166.6666667999998</v>
      </c>
    </row>
    <row r="48" spans="2:10" x14ac:dyDescent="0.3">
      <c r="B48" t="s">
        <v>869</v>
      </c>
      <c r="C48" t="s">
        <v>867</v>
      </c>
      <c r="D48">
        <v>2700</v>
      </c>
      <c r="E48">
        <v>1727</v>
      </c>
      <c r="F48" s="150">
        <v>973</v>
      </c>
      <c r="G48">
        <v>3.9166666659999998</v>
      </c>
      <c r="I48">
        <v>3.9166666659999998</v>
      </c>
      <c r="J48" s="150">
        <v>3810.9166660179999</v>
      </c>
    </row>
    <row r="49" spans="2:10" x14ac:dyDescent="0.3">
      <c r="B49" t="s">
        <v>870</v>
      </c>
      <c r="C49" t="s">
        <v>868</v>
      </c>
      <c r="D49">
        <v>200</v>
      </c>
      <c r="E49">
        <v>185</v>
      </c>
      <c r="F49" s="150">
        <v>15</v>
      </c>
      <c r="G49">
        <v>3.5833333330000001</v>
      </c>
      <c r="I49">
        <v>3.5833333330000001</v>
      </c>
      <c r="J49" s="150">
        <v>53.749999995000003</v>
      </c>
    </row>
    <row r="50" spans="2:10" x14ac:dyDescent="0.3">
      <c r="B50" t="s">
        <v>907</v>
      </c>
      <c r="C50" t="s">
        <v>906</v>
      </c>
      <c r="D50">
        <v>12000</v>
      </c>
      <c r="E50">
        <v>10000</v>
      </c>
      <c r="F50" s="150">
        <v>2000</v>
      </c>
      <c r="G50">
        <v>0.1116666667</v>
      </c>
      <c r="H50">
        <v>0.25</v>
      </c>
      <c r="I50">
        <v>8.3750000024999993E-2</v>
      </c>
      <c r="J50" s="150">
        <v>167.50000004999998</v>
      </c>
    </row>
    <row r="51" spans="2:10" x14ac:dyDescent="0.3">
      <c r="B51" t="s">
        <v>909</v>
      </c>
      <c r="C51" t="s">
        <v>908</v>
      </c>
      <c r="D51">
        <v>12000</v>
      </c>
      <c r="E51">
        <v>10000</v>
      </c>
      <c r="F51" s="150">
        <v>2000</v>
      </c>
      <c r="G51">
        <v>0.1</v>
      </c>
      <c r="H51">
        <v>0.25</v>
      </c>
      <c r="I51">
        <v>7.5000000000000011E-2</v>
      </c>
      <c r="J51" s="150">
        <v>150.00000000000003</v>
      </c>
    </row>
    <row r="52" spans="2:10" x14ac:dyDescent="0.3">
      <c r="B52" t="s">
        <v>910</v>
      </c>
      <c r="C52" t="s">
        <v>123</v>
      </c>
      <c r="D52">
        <v>500</v>
      </c>
      <c r="E52">
        <v>0</v>
      </c>
      <c r="F52" s="150">
        <v>500</v>
      </c>
      <c r="G52">
        <v>1.1778333333</v>
      </c>
      <c r="H52">
        <v>0.25</v>
      </c>
      <c r="I52">
        <v>0.88337499997500002</v>
      </c>
      <c r="J52" s="150">
        <v>441.68749998750002</v>
      </c>
    </row>
    <row r="53" spans="2:10" x14ac:dyDescent="0.3">
      <c r="B53" t="s">
        <v>1390</v>
      </c>
      <c r="C53" t="s">
        <v>23</v>
      </c>
      <c r="D53">
        <v>156</v>
      </c>
      <c r="E53">
        <v>153</v>
      </c>
      <c r="F53" s="150">
        <v>3</v>
      </c>
      <c r="G53">
        <v>43.804166666666667</v>
      </c>
      <c r="I53">
        <v>43.804166666666667</v>
      </c>
      <c r="J53" s="150">
        <v>131.41249999999999</v>
      </c>
    </row>
    <row r="54" spans="2:10" x14ac:dyDescent="0.3">
      <c r="B54" t="s">
        <v>1394</v>
      </c>
      <c r="C54" t="s">
        <v>1393</v>
      </c>
      <c r="D54">
        <v>10000</v>
      </c>
      <c r="E54">
        <v>7500</v>
      </c>
      <c r="F54" s="150">
        <v>2500</v>
      </c>
      <c r="G54">
        <v>0.75</v>
      </c>
      <c r="I54">
        <v>0.75</v>
      </c>
      <c r="J54" s="150">
        <v>1875</v>
      </c>
    </row>
    <row r="55" spans="2:10" x14ac:dyDescent="0.3">
      <c r="B55" t="s">
        <v>918</v>
      </c>
      <c r="C55" t="s">
        <v>363</v>
      </c>
      <c r="D55">
        <v>333.33</v>
      </c>
      <c r="E55">
        <v>144</v>
      </c>
      <c r="F55" s="150">
        <v>189.32999999999998</v>
      </c>
      <c r="G55">
        <v>25</v>
      </c>
      <c r="I55">
        <v>25</v>
      </c>
      <c r="J55" s="150">
        <v>4733.25</v>
      </c>
    </row>
    <row r="56" spans="2:10" x14ac:dyDescent="0.3">
      <c r="B56" t="s">
        <v>929</v>
      </c>
      <c r="C56" t="s">
        <v>835</v>
      </c>
      <c r="D56">
        <v>8400</v>
      </c>
      <c r="E56">
        <v>8160</v>
      </c>
      <c r="F56" s="150">
        <v>240</v>
      </c>
      <c r="G56">
        <v>2.9169999999999998</v>
      </c>
      <c r="I56">
        <v>2.9169999999999998</v>
      </c>
      <c r="J56" s="150">
        <v>700.07999999999993</v>
      </c>
    </row>
    <row r="57" spans="2:10" x14ac:dyDescent="0.3">
      <c r="B57" t="s">
        <v>946</v>
      </c>
      <c r="C57" t="s">
        <v>945</v>
      </c>
      <c r="D57">
        <v>100</v>
      </c>
      <c r="E57">
        <v>0</v>
      </c>
      <c r="F57" s="150">
        <v>100</v>
      </c>
      <c r="G57">
        <v>1.2</v>
      </c>
      <c r="I57">
        <v>1.2</v>
      </c>
      <c r="J57" s="150">
        <v>120</v>
      </c>
    </row>
    <row r="58" spans="2:10" x14ac:dyDescent="0.3">
      <c r="B58" t="s">
        <v>948</v>
      </c>
      <c r="C58" t="s">
        <v>947</v>
      </c>
      <c r="D58">
        <v>100</v>
      </c>
      <c r="E58">
        <v>0</v>
      </c>
      <c r="F58" s="150">
        <v>100</v>
      </c>
      <c r="G58">
        <v>1.6</v>
      </c>
      <c r="I58">
        <v>1.6</v>
      </c>
      <c r="J58" s="150">
        <v>160</v>
      </c>
    </row>
    <row r="59" spans="2:10" x14ac:dyDescent="0.3">
      <c r="B59" t="s">
        <v>950</v>
      </c>
      <c r="C59" t="s">
        <v>639</v>
      </c>
      <c r="D59">
        <v>4000</v>
      </c>
      <c r="E59">
        <v>1750</v>
      </c>
      <c r="F59" s="150">
        <v>2250</v>
      </c>
      <c r="G59">
        <v>1.0166666666666666</v>
      </c>
      <c r="I59">
        <v>1.0166666666666666</v>
      </c>
      <c r="J59" s="150">
        <v>2287.5</v>
      </c>
    </row>
    <row r="60" spans="2:10" x14ac:dyDescent="0.3">
      <c r="B60" t="s">
        <v>957</v>
      </c>
      <c r="C60" t="s">
        <v>956</v>
      </c>
      <c r="D60">
        <v>6000</v>
      </c>
      <c r="E60">
        <v>0</v>
      </c>
      <c r="F60" s="150">
        <v>6000</v>
      </c>
      <c r="G60">
        <v>0.266666666666667</v>
      </c>
      <c r="H60">
        <v>6.3E-2</v>
      </c>
      <c r="I60">
        <v>0.24986666666666699</v>
      </c>
      <c r="J60" s="150">
        <v>1499.2000000000019</v>
      </c>
    </row>
    <row r="61" spans="2:10" x14ac:dyDescent="0.3">
      <c r="B61" t="s">
        <v>958</v>
      </c>
      <c r="C61" t="s">
        <v>850</v>
      </c>
      <c r="D61">
        <v>1000</v>
      </c>
      <c r="E61">
        <v>0</v>
      </c>
      <c r="F61" s="150">
        <v>1000</v>
      </c>
      <c r="G61">
        <v>0.91666666666666674</v>
      </c>
      <c r="H61">
        <v>0.05</v>
      </c>
      <c r="I61">
        <v>0.87083333333333335</v>
      </c>
      <c r="J61" s="150">
        <v>870.83333333333337</v>
      </c>
    </row>
    <row r="62" spans="2:10" x14ac:dyDescent="0.3">
      <c r="B62" t="s">
        <v>979</v>
      </c>
      <c r="C62" t="s">
        <v>285</v>
      </c>
      <c r="D62">
        <v>273</v>
      </c>
      <c r="E62">
        <v>143</v>
      </c>
      <c r="F62" s="150">
        <v>130</v>
      </c>
      <c r="G62">
        <v>48.23</v>
      </c>
      <c r="I62">
        <v>48.23</v>
      </c>
      <c r="J62" s="150">
        <v>6269.9</v>
      </c>
    </row>
    <row r="63" spans="2:10" x14ac:dyDescent="0.3">
      <c r="B63" t="s">
        <v>982</v>
      </c>
      <c r="C63" t="s">
        <v>343</v>
      </c>
      <c r="D63">
        <v>150</v>
      </c>
      <c r="E63">
        <v>0</v>
      </c>
      <c r="F63" s="150">
        <v>150</v>
      </c>
      <c r="G63">
        <v>22.5</v>
      </c>
      <c r="I63">
        <v>22.5</v>
      </c>
      <c r="J63" s="150">
        <v>3375</v>
      </c>
    </row>
    <row r="64" spans="2:10" x14ac:dyDescent="0.3">
      <c r="B64" t="s">
        <v>985</v>
      </c>
      <c r="C64" t="s">
        <v>543</v>
      </c>
      <c r="D64">
        <v>144</v>
      </c>
      <c r="E64">
        <v>0</v>
      </c>
      <c r="F64" s="150">
        <v>144</v>
      </c>
      <c r="G64">
        <v>16.910000000000004</v>
      </c>
      <c r="I64">
        <v>16.910000000000004</v>
      </c>
      <c r="J64" s="150">
        <v>2435.0400000000004</v>
      </c>
    </row>
    <row r="65" spans="2:10" x14ac:dyDescent="0.3">
      <c r="B65" t="s">
        <v>988</v>
      </c>
      <c r="C65" t="s">
        <v>987</v>
      </c>
      <c r="D65">
        <v>90</v>
      </c>
      <c r="E65">
        <v>50</v>
      </c>
      <c r="F65" s="150">
        <v>40</v>
      </c>
      <c r="G65">
        <v>88.52</v>
      </c>
      <c r="I65">
        <v>88.52</v>
      </c>
      <c r="J65" s="150">
        <v>3540.7999999999997</v>
      </c>
    </row>
    <row r="66" spans="2:10" x14ac:dyDescent="0.3">
      <c r="B66" t="s">
        <v>990</v>
      </c>
      <c r="C66" t="s">
        <v>40</v>
      </c>
      <c r="D66">
        <v>16000</v>
      </c>
      <c r="E66">
        <v>0</v>
      </c>
      <c r="F66" s="150">
        <v>16000</v>
      </c>
      <c r="G66">
        <v>0.3</v>
      </c>
      <c r="I66">
        <v>0.3</v>
      </c>
      <c r="J66" s="150">
        <v>4800</v>
      </c>
    </row>
    <row r="67" spans="2:10" x14ac:dyDescent="0.3">
      <c r="B67" t="s">
        <v>992</v>
      </c>
      <c r="C67" t="s">
        <v>991</v>
      </c>
      <c r="D67">
        <v>162</v>
      </c>
      <c r="E67">
        <v>0</v>
      </c>
      <c r="F67" s="150">
        <v>162</v>
      </c>
      <c r="G67">
        <v>48.615000000000002</v>
      </c>
      <c r="I67">
        <v>48.615000000000002</v>
      </c>
      <c r="J67" s="150">
        <v>7875.63</v>
      </c>
    </row>
    <row r="68" spans="2:10" x14ac:dyDescent="0.3">
      <c r="B68" t="s">
        <v>1001</v>
      </c>
      <c r="C68" t="s">
        <v>83</v>
      </c>
      <c r="D68">
        <v>400</v>
      </c>
      <c r="E68">
        <v>0</v>
      </c>
      <c r="F68" s="150">
        <v>400</v>
      </c>
      <c r="G68">
        <v>1.0833333333299999</v>
      </c>
      <c r="H68">
        <v>0.05</v>
      </c>
      <c r="I68">
        <v>1.0291666666635</v>
      </c>
      <c r="J68" s="150">
        <v>411.66666666539999</v>
      </c>
    </row>
    <row r="69" spans="2:10" x14ac:dyDescent="0.3">
      <c r="B69" t="s">
        <v>1004</v>
      </c>
      <c r="C69" t="s">
        <v>684</v>
      </c>
      <c r="D69">
        <v>100</v>
      </c>
      <c r="E69">
        <v>0</v>
      </c>
      <c r="F69" s="150">
        <v>100</v>
      </c>
      <c r="G69">
        <v>0.79166666669999997</v>
      </c>
      <c r="I69">
        <v>0.79166666669999997</v>
      </c>
      <c r="J69" s="150">
        <v>79.166666669999998</v>
      </c>
    </row>
    <row r="70" spans="2:10" x14ac:dyDescent="0.3">
      <c r="B70" t="s">
        <v>1007</v>
      </c>
      <c r="C70" t="s">
        <v>1008</v>
      </c>
      <c r="D70">
        <v>5</v>
      </c>
      <c r="E70">
        <v>0</v>
      </c>
      <c r="F70" s="150">
        <v>5</v>
      </c>
      <c r="G70">
        <v>50</v>
      </c>
      <c r="H70">
        <v>0.05</v>
      </c>
      <c r="I70">
        <v>47.5</v>
      </c>
      <c r="J70" s="150">
        <v>237.5</v>
      </c>
    </row>
    <row r="71" spans="2:10" x14ac:dyDescent="0.3">
      <c r="B71" t="s">
        <v>1033</v>
      </c>
      <c r="C71" t="s">
        <v>1032</v>
      </c>
      <c r="D71">
        <v>117</v>
      </c>
      <c r="E71">
        <v>114</v>
      </c>
      <c r="F71" s="150">
        <v>3</v>
      </c>
      <c r="G71">
        <v>39.03</v>
      </c>
      <c r="I71">
        <v>39.03</v>
      </c>
      <c r="J71" s="150">
        <v>117.09</v>
      </c>
    </row>
    <row r="72" spans="2:10" x14ac:dyDescent="0.3">
      <c r="B72" t="s">
        <v>1034</v>
      </c>
      <c r="C72" t="s">
        <v>40</v>
      </c>
      <c r="D72">
        <v>12000</v>
      </c>
      <c r="E72">
        <v>0</v>
      </c>
      <c r="F72" s="150">
        <v>12000</v>
      </c>
      <c r="G72">
        <v>0.29167000000000004</v>
      </c>
      <c r="I72">
        <v>0.29167000000000004</v>
      </c>
      <c r="J72" s="150">
        <v>3500.0400000000004</v>
      </c>
    </row>
    <row r="73" spans="2:10" x14ac:dyDescent="0.3">
      <c r="B73" t="s">
        <v>1056</v>
      </c>
      <c r="C73" t="s">
        <v>819</v>
      </c>
      <c r="D73">
        <v>34500</v>
      </c>
      <c r="E73">
        <v>4100</v>
      </c>
      <c r="F73" s="150">
        <v>30400</v>
      </c>
      <c r="G73">
        <v>0.33334000000000003</v>
      </c>
      <c r="I73">
        <v>0.33334000000000003</v>
      </c>
      <c r="J73" s="150">
        <v>10133.536</v>
      </c>
    </row>
    <row r="74" spans="2:10" x14ac:dyDescent="0.3">
      <c r="B74" t="s">
        <v>1058</v>
      </c>
      <c r="C74" t="s">
        <v>1057</v>
      </c>
      <c r="D74">
        <v>571</v>
      </c>
      <c r="E74">
        <v>0</v>
      </c>
      <c r="F74" s="150">
        <v>571</v>
      </c>
      <c r="G74">
        <v>12.7714</v>
      </c>
      <c r="I74">
        <v>12.7714</v>
      </c>
      <c r="J74" s="150">
        <v>7292.4694</v>
      </c>
    </row>
    <row r="75" spans="2:10" x14ac:dyDescent="0.3">
      <c r="B75" t="s">
        <v>1079</v>
      </c>
      <c r="C75" t="s">
        <v>318</v>
      </c>
      <c r="D75">
        <v>900</v>
      </c>
      <c r="E75">
        <v>875</v>
      </c>
      <c r="F75" s="150">
        <v>25</v>
      </c>
      <c r="G75">
        <v>14.166665999999999</v>
      </c>
      <c r="I75">
        <v>14.166665999999999</v>
      </c>
      <c r="J75" s="150">
        <v>354.16665</v>
      </c>
    </row>
    <row r="76" spans="2:10" x14ac:dyDescent="0.3">
      <c r="B76" t="s">
        <v>1100</v>
      </c>
      <c r="C76" t="s">
        <v>1099</v>
      </c>
      <c r="D76">
        <v>140</v>
      </c>
      <c r="E76">
        <v>0</v>
      </c>
      <c r="F76" s="150">
        <v>140</v>
      </c>
      <c r="G76">
        <v>11.309500000000002</v>
      </c>
      <c r="I76">
        <v>11.309500000000002</v>
      </c>
      <c r="J76" s="150">
        <v>1583.3300000000002</v>
      </c>
    </row>
    <row r="77" spans="2:10" x14ac:dyDescent="0.3">
      <c r="B77" t="s">
        <v>1123</v>
      </c>
      <c r="C77" t="s">
        <v>1122</v>
      </c>
      <c r="D77">
        <v>180</v>
      </c>
      <c r="E77">
        <v>177</v>
      </c>
      <c r="F77" s="150">
        <v>3</v>
      </c>
      <c r="G77">
        <v>20</v>
      </c>
      <c r="I77">
        <v>20</v>
      </c>
      <c r="J77" s="150">
        <v>60</v>
      </c>
    </row>
    <row r="78" spans="2:10" x14ac:dyDescent="0.3">
      <c r="B78" t="s">
        <v>1125</v>
      </c>
      <c r="C78" t="s">
        <v>1124</v>
      </c>
      <c r="D78">
        <v>168</v>
      </c>
      <c r="E78">
        <v>1</v>
      </c>
      <c r="F78" s="150">
        <v>167</v>
      </c>
      <c r="G78">
        <v>21.667000000000002</v>
      </c>
      <c r="I78">
        <v>21.667000000000002</v>
      </c>
      <c r="J78" s="150">
        <v>3618.3890000000001</v>
      </c>
    </row>
    <row r="79" spans="2:10" x14ac:dyDescent="0.3">
      <c r="B79" t="s">
        <v>1128</v>
      </c>
      <c r="C79" t="s">
        <v>1127</v>
      </c>
      <c r="D79">
        <v>480</v>
      </c>
      <c r="E79">
        <v>9</v>
      </c>
      <c r="F79" s="150">
        <v>471</v>
      </c>
      <c r="G79">
        <v>21.667000000000002</v>
      </c>
      <c r="I79">
        <v>21.667000000000002</v>
      </c>
      <c r="J79" s="150">
        <v>10205.157000000001</v>
      </c>
    </row>
    <row r="80" spans="2:10" x14ac:dyDescent="0.3">
      <c r="B80" t="s">
        <v>1129</v>
      </c>
      <c r="C80" t="s">
        <v>613</v>
      </c>
      <c r="D80">
        <v>300</v>
      </c>
      <c r="E80">
        <v>118</v>
      </c>
      <c r="F80" s="150">
        <v>182</v>
      </c>
      <c r="G80">
        <v>27.5</v>
      </c>
      <c r="I80">
        <v>27.5</v>
      </c>
      <c r="J80" s="150">
        <v>5005</v>
      </c>
    </row>
    <row r="81" spans="2:10" x14ac:dyDescent="0.3">
      <c r="B81" t="s">
        <v>1131</v>
      </c>
      <c r="C81" t="s">
        <v>1130</v>
      </c>
      <c r="D81">
        <v>525</v>
      </c>
      <c r="E81">
        <v>95</v>
      </c>
      <c r="F81" s="150">
        <v>430</v>
      </c>
      <c r="G81">
        <v>6.6669999999999998</v>
      </c>
      <c r="I81">
        <v>6.6669999999999998</v>
      </c>
      <c r="J81" s="150">
        <v>2866.81</v>
      </c>
    </row>
    <row r="82" spans="2:10" x14ac:dyDescent="0.3">
      <c r="B82" t="s">
        <v>1133</v>
      </c>
      <c r="C82" t="s">
        <v>1132</v>
      </c>
      <c r="D82">
        <v>270</v>
      </c>
      <c r="E82">
        <v>60</v>
      </c>
      <c r="F82" s="150">
        <v>210</v>
      </c>
      <c r="G82">
        <v>6.25</v>
      </c>
      <c r="I82">
        <v>6.25</v>
      </c>
      <c r="J82" s="150">
        <v>1312.5</v>
      </c>
    </row>
    <row r="83" spans="2:10" x14ac:dyDescent="0.3">
      <c r="B83" t="s">
        <v>1139</v>
      </c>
      <c r="C83" t="s">
        <v>39</v>
      </c>
      <c r="D83">
        <v>20000</v>
      </c>
      <c r="E83">
        <v>13600</v>
      </c>
      <c r="F83" s="150">
        <v>6400</v>
      </c>
      <c r="G83">
        <v>0.29167000000000004</v>
      </c>
      <c r="I83">
        <v>0.29167000000000004</v>
      </c>
      <c r="J83" s="150">
        <v>1866.6880000000003</v>
      </c>
    </row>
    <row r="84" spans="2:10" x14ac:dyDescent="0.3">
      <c r="B84" t="s">
        <v>1142</v>
      </c>
      <c r="C84" t="s">
        <v>1141</v>
      </c>
      <c r="D84">
        <v>4100</v>
      </c>
      <c r="E84">
        <v>0</v>
      </c>
      <c r="F84" s="150">
        <v>4100</v>
      </c>
      <c r="G84">
        <v>2.0327000000000002</v>
      </c>
      <c r="I84">
        <v>2.0327000000000002</v>
      </c>
      <c r="J84" s="150">
        <v>8334.0700000000015</v>
      </c>
    </row>
    <row r="85" spans="2:10" x14ac:dyDescent="0.3">
      <c r="B85" t="s">
        <v>1149</v>
      </c>
      <c r="C85" t="s">
        <v>1148</v>
      </c>
      <c r="D85">
        <v>3000</v>
      </c>
      <c r="E85">
        <v>2677</v>
      </c>
      <c r="F85" s="150">
        <v>323</v>
      </c>
      <c r="G85">
        <v>7.5</v>
      </c>
      <c r="I85">
        <v>7.5</v>
      </c>
      <c r="J85" s="150">
        <v>2422.5</v>
      </c>
    </row>
    <row r="86" spans="2:10" x14ac:dyDescent="0.3">
      <c r="B86" t="s">
        <v>1151</v>
      </c>
      <c r="C86" t="s">
        <v>207</v>
      </c>
      <c r="D86">
        <v>300</v>
      </c>
      <c r="E86">
        <v>0</v>
      </c>
      <c r="F86" s="150">
        <v>300</v>
      </c>
      <c r="G86">
        <v>21.25</v>
      </c>
      <c r="I86">
        <v>21.25</v>
      </c>
      <c r="J86" s="150">
        <v>6375</v>
      </c>
    </row>
    <row r="87" spans="2:10" x14ac:dyDescent="0.3">
      <c r="B87" t="s">
        <v>1162</v>
      </c>
      <c r="C87" t="s">
        <v>943</v>
      </c>
      <c r="D87">
        <v>5750</v>
      </c>
      <c r="E87">
        <v>5150</v>
      </c>
      <c r="F87" s="150">
        <v>600</v>
      </c>
      <c r="G87">
        <v>2.78</v>
      </c>
      <c r="I87">
        <v>2.78</v>
      </c>
      <c r="J87" s="150">
        <v>1667.9999999999998</v>
      </c>
    </row>
    <row r="88" spans="2:10" x14ac:dyDescent="0.3">
      <c r="B88" t="s">
        <v>1183</v>
      </c>
      <c r="C88" t="s">
        <v>23</v>
      </c>
      <c r="D88">
        <v>576</v>
      </c>
      <c r="E88">
        <v>248</v>
      </c>
      <c r="F88" s="150">
        <v>328</v>
      </c>
      <c r="G88">
        <v>44.166666666666671</v>
      </c>
      <c r="I88">
        <v>44.166666666666671</v>
      </c>
      <c r="J88" s="150">
        <v>14486.666666666668</v>
      </c>
    </row>
    <row r="89" spans="2:10" x14ac:dyDescent="0.3">
      <c r="B89" t="s">
        <v>1185</v>
      </c>
      <c r="C89" t="s">
        <v>343</v>
      </c>
      <c r="D89">
        <v>10</v>
      </c>
      <c r="E89">
        <v>0</v>
      </c>
      <c r="F89" s="150">
        <v>10</v>
      </c>
      <c r="G89">
        <v>20</v>
      </c>
      <c r="I89">
        <v>20</v>
      </c>
      <c r="J89" s="150">
        <v>200</v>
      </c>
    </row>
    <row r="90" spans="2:10" x14ac:dyDescent="0.3">
      <c r="B90" t="s">
        <v>1186</v>
      </c>
      <c r="C90" t="s">
        <v>35</v>
      </c>
      <c r="D90">
        <v>240</v>
      </c>
      <c r="E90">
        <v>0</v>
      </c>
      <c r="F90" s="150">
        <v>240</v>
      </c>
      <c r="G90">
        <v>55</v>
      </c>
      <c r="I90">
        <v>55</v>
      </c>
      <c r="J90" s="150">
        <v>13200</v>
      </c>
    </row>
    <row r="91" spans="2:10" x14ac:dyDescent="0.3">
      <c r="B91" t="s">
        <v>1190</v>
      </c>
      <c r="C91" t="s">
        <v>1353</v>
      </c>
      <c r="D91">
        <v>20000</v>
      </c>
      <c r="E91">
        <v>15400</v>
      </c>
      <c r="F91" s="150">
        <v>4600</v>
      </c>
      <c r="G91">
        <v>0.55555833333333338</v>
      </c>
      <c r="H91">
        <v>0.31</v>
      </c>
      <c r="I91">
        <v>0.38333525000000002</v>
      </c>
      <c r="J91" s="150">
        <v>1763.3421500000002</v>
      </c>
    </row>
    <row r="92" spans="2:10" x14ac:dyDescent="0.3">
      <c r="B92" t="s">
        <v>1194</v>
      </c>
      <c r="C92" t="s">
        <v>1193</v>
      </c>
      <c r="D92">
        <v>3000</v>
      </c>
      <c r="E92">
        <v>2000</v>
      </c>
      <c r="F92" s="150">
        <v>1000</v>
      </c>
      <c r="G92">
        <v>0.28999999999999998</v>
      </c>
      <c r="I92">
        <v>0.28999999999999998</v>
      </c>
      <c r="J92" s="150">
        <v>290</v>
      </c>
    </row>
    <row r="93" spans="2:10" x14ac:dyDescent="0.3">
      <c r="B93" t="s">
        <v>1198</v>
      </c>
      <c r="C93" t="s">
        <v>349</v>
      </c>
      <c r="D93">
        <v>96</v>
      </c>
      <c r="E93">
        <v>0</v>
      </c>
      <c r="F93" s="150">
        <v>96</v>
      </c>
      <c r="G93">
        <v>11.818</v>
      </c>
      <c r="I93">
        <v>11.818</v>
      </c>
      <c r="J93" s="150">
        <v>1134.528</v>
      </c>
    </row>
    <row r="94" spans="2:10" x14ac:dyDescent="0.3">
      <c r="B94" t="s">
        <v>1215</v>
      </c>
      <c r="C94" t="s">
        <v>692</v>
      </c>
      <c r="D94">
        <v>9900</v>
      </c>
      <c r="E94">
        <v>0</v>
      </c>
      <c r="F94" s="150">
        <v>9900</v>
      </c>
      <c r="G94">
        <v>0.79166666666666663</v>
      </c>
      <c r="I94">
        <v>0.79166666666666663</v>
      </c>
      <c r="J94" s="150">
        <v>7837.5</v>
      </c>
    </row>
    <row r="95" spans="2:10" x14ac:dyDescent="0.3">
      <c r="B95" t="s">
        <v>1217</v>
      </c>
      <c r="C95" t="s">
        <v>1068</v>
      </c>
      <c r="D95">
        <v>4500</v>
      </c>
      <c r="E95">
        <v>2050</v>
      </c>
      <c r="F95" s="150">
        <v>2450</v>
      </c>
      <c r="G95">
        <v>1.0694444444444446</v>
      </c>
      <c r="I95">
        <v>1.0694444444444446</v>
      </c>
      <c r="J95" s="150">
        <v>2620.1388888888896</v>
      </c>
    </row>
    <row r="96" spans="2:10" x14ac:dyDescent="0.3">
      <c r="B96" t="s">
        <v>1202</v>
      </c>
      <c r="C96" t="s">
        <v>858</v>
      </c>
      <c r="D96">
        <v>20000</v>
      </c>
      <c r="E96">
        <v>13000</v>
      </c>
      <c r="F96" s="150">
        <v>7000</v>
      </c>
      <c r="G96">
        <v>0.14166666666666669</v>
      </c>
      <c r="I96">
        <v>0.14166666666666669</v>
      </c>
      <c r="J96" s="150">
        <v>991.66666666666686</v>
      </c>
    </row>
    <row r="97" spans="2:10" x14ac:dyDescent="0.3">
      <c r="B97" t="s">
        <v>1205</v>
      </c>
      <c r="C97" t="s">
        <v>487</v>
      </c>
      <c r="D97">
        <v>1200</v>
      </c>
      <c r="E97">
        <v>0</v>
      </c>
      <c r="F97" s="150">
        <v>1200</v>
      </c>
      <c r="G97">
        <v>1</v>
      </c>
      <c r="I97">
        <v>1</v>
      </c>
      <c r="J97" s="150">
        <v>1200</v>
      </c>
    </row>
    <row r="98" spans="2:10" x14ac:dyDescent="0.3">
      <c r="B98" t="s">
        <v>1207</v>
      </c>
      <c r="C98" t="s">
        <v>954</v>
      </c>
      <c r="D98">
        <v>1500</v>
      </c>
      <c r="E98">
        <v>500</v>
      </c>
      <c r="F98" s="150">
        <v>1000</v>
      </c>
      <c r="G98">
        <v>1.0833333333333335</v>
      </c>
      <c r="H98">
        <v>0.05</v>
      </c>
      <c r="I98">
        <v>1.0291666666666668</v>
      </c>
      <c r="J98" s="150">
        <v>1029.1666666666667</v>
      </c>
    </row>
    <row r="99" spans="2:10" x14ac:dyDescent="0.3">
      <c r="B99" t="s">
        <v>1212</v>
      </c>
      <c r="C99" t="s">
        <v>1068</v>
      </c>
      <c r="D99">
        <v>900</v>
      </c>
      <c r="E99">
        <v>0</v>
      </c>
      <c r="F99" s="150">
        <v>900</v>
      </c>
      <c r="G99">
        <v>1.05</v>
      </c>
      <c r="I99">
        <v>1.05</v>
      </c>
      <c r="J99" s="150">
        <v>945</v>
      </c>
    </row>
    <row r="100" spans="2:10" x14ac:dyDescent="0.3">
      <c r="B100" t="s">
        <v>1222</v>
      </c>
      <c r="C100" t="s">
        <v>1221</v>
      </c>
      <c r="D100">
        <v>1200000</v>
      </c>
      <c r="E100">
        <v>642900</v>
      </c>
      <c r="F100" s="150">
        <v>557100</v>
      </c>
      <c r="G100">
        <v>0.1167</v>
      </c>
      <c r="I100">
        <v>0.1167</v>
      </c>
      <c r="J100" s="150">
        <v>65013.57</v>
      </c>
    </row>
    <row r="101" spans="2:10" x14ac:dyDescent="0.3">
      <c r="B101" t="s">
        <v>1229</v>
      </c>
      <c r="C101" t="s">
        <v>1228</v>
      </c>
      <c r="D101">
        <v>12</v>
      </c>
      <c r="E101">
        <v>0</v>
      </c>
      <c r="F101" s="150">
        <v>12</v>
      </c>
      <c r="G101">
        <v>100</v>
      </c>
      <c r="I101">
        <v>100</v>
      </c>
      <c r="J101" s="150">
        <v>1200</v>
      </c>
    </row>
    <row r="102" spans="2:10" x14ac:dyDescent="0.3">
      <c r="B102" t="s">
        <v>1231</v>
      </c>
      <c r="C102" t="s">
        <v>1230</v>
      </c>
      <c r="D102">
        <v>68</v>
      </c>
      <c r="E102">
        <v>0</v>
      </c>
      <c r="F102" s="150">
        <v>68</v>
      </c>
      <c r="G102">
        <v>103.33333330000001</v>
      </c>
      <c r="I102">
        <v>103.33333330000001</v>
      </c>
      <c r="J102" s="150">
        <v>7026.6666644000006</v>
      </c>
    </row>
    <row r="103" spans="2:10" x14ac:dyDescent="0.3">
      <c r="B103" t="s">
        <v>1233</v>
      </c>
      <c r="C103" t="s">
        <v>1232</v>
      </c>
      <c r="D103">
        <v>6</v>
      </c>
      <c r="E103">
        <v>0</v>
      </c>
      <c r="F103" s="150">
        <v>6</v>
      </c>
      <c r="G103">
        <v>54.167000000000002</v>
      </c>
      <c r="I103">
        <v>54.167000000000002</v>
      </c>
      <c r="J103" s="150">
        <v>325.00200000000001</v>
      </c>
    </row>
    <row r="104" spans="2:10" x14ac:dyDescent="0.3">
      <c r="B104" t="s">
        <v>1234</v>
      </c>
      <c r="C104" t="s">
        <v>1235</v>
      </c>
      <c r="D104">
        <v>19</v>
      </c>
      <c r="E104">
        <v>0</v>
      </c>
      <c r="F104" s="150">
        <v>19</v>
      </c>
      <c r="G104">
        <v>20</v>
      </c>
      <c r="I104">
        <v>20</v>
      </c>
      <c r="J104" s="150">
        <v>380</v>
      </c>
    </row>
    <row r="105" spans="2:10" x14ac:dyDescent="0.3">
      <c r="B105" t="s">
        <v>1237</v>
      </c>
      <c r="C105" t="s">
        <v>1236</v>
      </c>
      <c r="D105">
        <v>12</v>
      </c>
      <c r="E105">
        <v>0</v>
      </c>
      <c r="F105" s="150">
        <v>12</v>
      </c>
      <c r="G105">
        <v>18.3333333</v>
      </c>
      <c r="I105">
        <v>18.3333333</v>
      </c>
      <c r="J105" s="150">
        <v>219.9999996</v>
      </c>
    </row>
    <row r="106" spans="2:10" x14ac:dyDescent="0.3">
      <c r="B106" t="s">
        <v>1238</v>
      </c>
      <c r="C106" t="s">
        <v>1239</v>
      </c>
      <c r="D106">
        <v>12</v>
      </c>
      <c r="E106">
        <v>0</v>
      </c>
      <c r="F106" s="150">
        <v>12</v>
      </c>
      <c r="G106">
        <v>33.3333333</v>
      </c>
      <c r="I106">
        <v>33.3333333</v>
      </c>
      <c r="J106" s="150">
        <v>399.99999960000002</v>
      </c>
    </row>
    <row r="107" spans="2:10" x14ac:dyDescent="0.3">
      <c r="B107" t="s">
        <v>1240</v>
      </c>
      <c r="C107" t="s">
        <v>1241</v>
      </c>
      <c r="D107">
        <v>10</v>
      </c>
      <c r="E107">
        <v>0</v>
      </c>
      <c r="F107" s="150">
        <v>10</v>
      </c>
      <c r="G107">
        <v>62.5</v>
      </c>
      <c r="I107">
        <v>62.5</v>
      </c>
      <c r="J107" s="150">
        <v>625</v>
      </c>
    </row>
    <row r="108" spans="2:10" x14ac:dyDescent="0.3">
      <c r="B108" t="s">
        <v>1257</v>
      </c>
      <c r="C108" t="s">
        <v>108</v>
      </c>
      <c r="D108">
        <v>1000</v>
      </c>
      <c r="E108">
        <v>800</v>
      </c>
      <c r="F108" s="150">
        <v>200</v>
      </c>
      <c r="G108">
        <v>0.52</v>
      </c>
      <c r="I108">
        <v>0.52</v>
      </c>
      <c r="J108" s="150">
        <v>104</v>
      </c>
    </row>
    <row r="109" spans="2:10" x14ac:dyDescent="0.3">
      <c r="B109" t="s">
        <v>1259</v>
      </c>
      <c r="C109" t="s">
        <v>39</v>
      </c>
      <c r="D109">
        <v>7000</v>
      </c>
      <c r="E109">
        <v>0</v>
      </c>
      <c r="F109" s="150">
        <v>7000</v>
      </c>
      <c r="G109">
        <v>0.27</v>
      </c>
      <c r="I109">
        <v>0.27</v>
      </c>
      <c r="J109" s="150">
        <v>1890.0000000000002</v>
      </c>
    </row>
    <row r="110" spans="2:10" x14ac:dyDescent="0.3">
      <c r="B110" t="s">
        <v>1265</v>
      </c>
      <c r="C110" t="s">
        <v>1264</v>
      </c>
      <c r="D110">
        <v>23</v>
      </c>
      <c r="E110">
        <v>0</v>
      </c>
      <c r="F110" s="150">
        <v>23</v>
      </c>
      <c r="G110">
        <v>22</v>
      </c>
      <c r="I110">
        <v>22</v>
      </c>
      <c r="J110" s="150">
        <v>506</v>
      </c>
    </row>
    <row r="111" spans="2:10" x14ac:dyDescent="0.3">
      <c r="B111" t="s">
        <v>1268</v>
      </c>
      <c r="C111" t="s">
        <v>1267</v>
      </c>
      <c r="D111">
        <v>5000</v>
      </c>
      <c r="E111">
        <v>0</v>
      </c>
      <c r="F111" s="150">
        <v>5000</v>
      </c>
      <c r="G111">
        <v>0.73</v>
      </c>
      <c r="I111">
        <v>0.73</v>
      </c>
      <c r="J111" s="150">
        <v>3650</v>
      </c>
    </row>
    <row r="112" spans="2:10" x14ac:dyDescent="0.3">
      <c r="B112" t="s">
        <v>1269</v>
      </c>
      <c r="C112" t="s">
        <v>218</v>
      </c>
      <c r="D112">
        <v>9000</v>
      </c>
      <c r="E112">
        <v>2000</v>
      </c>
      <c r="F112" s="150">
        <v>7000</v>
      </c>
      <c r="G112">
        <v>0.52</v>
      </c>
      <c r="I112">
        <v>0.52</v>
      </c>
      <c r="J112" s="150">
        <v>3640</v>
      </c>
    </row>
    <row r="113" spans="2:10" x14ac:dyDescent="0.3">
      <c r="B113" t="s">
        <v>1270</v>
      </c>
      <c r="C113" t="s">
        <v>55</v>
      </c>
      <c r="D113">
        <v>1000</v>
      </c>
      <c r="E113">
        <v>0</v>
      </c>
      <c r="F113" s="150">
        <v>1000</v>
      </c>
      <c r="G113">
        <v>0.6</v>
      </c>
      <c r="I113">
        <v>0.6</v>
      </c>
      <c r="J113" s="150">
        <v>600</v>
      </c>
    </row>
    <row r="114" spans="2:10" x14ac:dyDescent="0.3">
      <c r="B114" t="s">
        <v>1282</v>
      </c>
      <c r="C114" t="s">
        <v>1280</v>
      </c>
      <c r="D114">
        <v>500</v>
      </c>
      <c r="E114">
        <v>0</v>
      </c>
      <c r="F114" s="150">
        <v>500</v>
      </c>
      <c r="G114">
        <v>20</v>
      </c>
      <c r="I114">
        <v>20</v>
      </c>
      <c r="J114" s="150">
        <v>10000</v>
      </c>
    </row>
    <row r="115" spans="2:10" x14ac:dyDescent="0.3">
      <c r="B115" t="s">
        <v>1283</v>
      </c>
      <c r="C115" t="s">
        <v>1281</v>
      </c>
      <c r="D115">
        <v>1000</v>
      </c>
      <c r="E115">
        <v>0</v>
      </c>
      <c r="F115" s="150">
        <v>1000</v>
      </c>
      <c r="G115">
        <v>23.333400000000001</v>
      </c>
      <c r="I115">
        <v>23.333400000000001</v>
      </c>
      <c r="J115" s="150">
        <v>23333.4</v>
      </c>
    </row>
    <row r="116" spans="2:10" x14ac:dyDescent="0.3">
      <c r="B116" t="s">
        <v>1289</v>
      </c>
      <c r="C116" t="s">
        <v>1288</v>
      </c>
      <c r="D116">
        <v>44</v>
      </c>
      <c r="E116">
        <v>0</v>
      </c>
      <c r="F116" s="150">
        <v>44</v>
      </c>
      <c r="G116">
        <v>22</v>
      </c>
      <c r="I116">
        <v>22</v>
      </c>
      <c r="J116" s="150">
        <v>968</v>
      </c>
    </row>
    <row r="117" spans="2:10" x14ac:dyDescent="0.3">
      <c r="B117" t="s">
        <v>1294</v>
      </c>
      <c r="C117" t="s">
        <v>50</v>
      </c>
      <c r="D117">
        <v>12000</v>
      </c>
      <c r="E117">
        <v>6800</v>
      </c>
      <c r="F117" s="150">
        <v>5200</v>
      </c>
      <c r="G117">
        <v>1.3666666667</v>
      </c>
      <c r="H117">
        <v>0.25</v>
      </c>
      <c r="I117">
        <v>1.0250000000249999</v>
      </c>
      <c r="J117" s="150">
        <v>5330.0000001299995</v>
      </c>
    </row>
    <row r="118" spans="2:10" x14ac:dyDescent="0.3">
      <c r="B118" t="s">
        <v>1295</v>
      </c>
      <c r="C118" t="s">
        <v>50</v>
      </c>
      <c r="D118">
        <v>2400</v>
      </c>
      <c r="E118">
        <v>0</v>
      </c>
      <c r="F118" s="150">
        <v>2400</v>
      </c>
      <c r="G118">
        <v>1.3666666666666667</v>
      </c>
      <c r="H118">
        <v>1</v>
      </c>
      <c r="I118">
        <v>0</v>
      </c>
      <c r="J118" s="150">
        <v>0</v>
      </c>
    </row>
    <row r="119" spans="2:10" x14ac:dyDescent="0.3">
      <c r="B119" t="s">
        <v>1300</v>
      </c>
      <c r="C119" t="s">
        <v>1298</v>
      </c>
      <c r="D119">
        <v>6000</v>
      </c>
      <c r="E119">
        <v>600</v>
      </c>
      <c r="F119" s="150">
        <v>5400</v>
      </c>
      <c r="G119">
        <v>0.16666666666666669</v>
      </c>
      <c r="H119">
        <v>0.25</v>
      </c>
      <c r="I119">
        <v>0.125</v>
      </c>
      <c r="J119" s="150">
        <v>675</v>
      </c>
    </row>
    <row r="120" spans="2:10" x14ac:dyDescent="0.3">
      <c r="B120" t="s">
        <v>1299</v>
      </c>
      <c r="C120" t="s">
        <v>1297</v>
      </c>
      <c r="D120">
        <v>6000</v>
      </c>
      <c r="E120">
        <v>600</v>
      </c>
      <c r="F120" s="150">
        <v>5400</v>
      </c>
      <c r="G120">
        <v>0.245</v>
      </c>
      <c r="H120">
        <v>0.25</v>
      </c>
      <c r="I120">
        <v>0.18375</v>
      </c>
      <c r="J120" s="150">
        <v>992.25</v>
      </c>
    </row>
    <row r="121" spans="2:10" x14ac:dyDescent="0.3">
      <c r="B121" t="s">
        <v>1303</v>
      </c>
      <c r="C121" t="s">
        <v>574</v>
      </c>
      <c r="D121">
        <v>17000</v>
      </c>
      <c r="E121">
        <v>12500</v>
      </c>
      <c r="F121" s="150">
        <v>4500</v>
      </c>
      <c r="G121">
        <v>0.51666666666666672</v>
      </c>
      <c r="I121">
        <v>0.51666666666666672</v>
      </c>
      <c r="J121" s="150">
        <v>2325.0000000000005</v>
      </c>
    </row>
    <row r="122" spans="2:10" x14ac:dyDescent="0.3">
      <c r="B122" t="s">
        <v>1305</v>
      </c>
      <c r="C122" t="s">
        <v>1304</v>
      </c>
      <c r="D122">
        <v>300</v>
      </c>
      <c r="E122">
        <v>0</v>
      </c>
      <c r="F122" s="150">
        <v>300</v>
      </c>
      <c r="G122">
        <v>1.5833333333333299</v>
      </c>
      <c r="I122">
        <v>1.5833333333333299</v>
      </c>
      <c r="J122" s="150">
        <v>474.99999999999898</v>
      </c>
    </row>
    <row r="123" spans="2:10" x14ac:dyDescent="0.3">
      <c r="B123" t="s">
        <v>1307</v>
      </c>
      <c r="C123" t="s">
        <v>1306</v>
      </c>
      <c r="D123">
        <v>2500</v>
      </c>
      <c r="E123">
        <v>0</v>
      </c>
      <c r="F123" s="150">
        <v>2500</v>
      </c>
      <c r="G123">
        <v>0.95833333333333326</v>
      </c>
      <c r="I123">
        <v>0.95833333333333326</v>
      </c>
      <c r="J123" s="150">
        <v>2395.833333333333</v>
      </c>
    </row>
    <row r="124" spans="2:10" x14ac:dyDescent="0.3">
      <c r="B124" t="s">
        <v>1309</v>
      </c>
      <c r="C124" t="s">
        <v>1308</v>
      </c>
      <c r="D124">
        <v>5000</v>
      </c>
      <c r="E124">
        <v>0</v>
      </c>
      <c r="F124" s="150">
        <v>5000</v>
      </c>
      <c r="G124">
        <v>0.625</v>
      </c>
      <c r="I124">
        <v>0.625</v>
      </c>
      <c r="J124" s="150">
        <v>3125</v>
      </c>
    </row>
    <row r="125" spans="2:10" x14ac:dyDescent="0.3">
      <c r="B125" t="s">
        <v>1311</v>
      </c>
      <c r="C125" t="s">
        <v>1310</v>
      </c>
      <c r="D125">
        <v>10500</v>
      </c>
      <c r="E125">
        <v>7500</v>
      </c>
      <c r="F125" s="150">
        <v>3000</v>
      </c>
      <c r="G125">
        <v>2</v>
      </c>
      <c r="I125">
        <v>2</v>
      </c>
      <c r="J125" s="150">
        <v>6000</v>
      </c>
    </row>
    <row r="126" spans="2:10" x14ac:dyDescent="0.3">
      <c r="B126" t="s">
        <v>1313</v>
      </c>
      <c r="C126" t="s">
        <v>1312</v>
      </c>
      <c r="D126">
        <v>144</v>
      </c>
      <c r="E126">
        <v>0</v>
      </c>
      <c r="F126" s="150">
        <v>144</v>
      </c>
      <c r="G126">
        <v>5.416666666666667</v>
      </c>
      <c r="I126">
        <v>5.416666666666667</v>
      </c>
      <c r="J126" s="150">
        <v>780</v>
      </c>
    </row>
    <row r="127" spans="2:10" x14ac:dyDescent="0.3">
      <c r="B127" t="s">
        <v>1314</v>
      </c>
      <c r="C127" t="s">
        <v>574</v>
      </c>
      <c r="D127">
        <v>7000</v>
      </c>
      <c r="E127">
        <v>0</v>
      </c>
      <c r="F127" s="150">
        <v>7000</v>
      </c>
      <c r="G127">
        <v>0.54166666666666674</v>
      </c>
      <c r="I127">
        <v>0.54166666666666674</v>
      </c>
      <c r="J127" s="150">
        <v>3791.666666666667</v>
      </c>
    </row>
    <row r="128" spans="2:10" x14ac:dyDescent="0.3">
      <c r="B128" t="s">
        <v>1319</v>
      </c>
      <c r="C128" t="s">
        <v>1318</v>
      </c>
      <c r="D128">
        <v>15000</v>
      </c>
      <c r="E128">
        <v>0</v>
      </c>
      <c r="F128" s="150">
        <v>15000</v>
      </c>
      <c r="G128">
        <v>0.33333249999999998</v>
      </c>
      <c r="I128">
        <v>0.33333249999999998</v>
      </c>
      <c r="J128" s="150">
        <v>4999.9874999999993</v>
      </c>
    </row>
    <row r="129" spans="2:10" x14ac:dyDescent="0.3">
      <c r="B129" t="s">
        <v>1316</v>
      </c>
      <c r="C129" t="s">
        <v>1321</v>
      </c>
      <c r="D129">
        <v>18300</v>
      </c>
      <c r="E129">
        <v>10100</v>
      </c>
      <c r="F129" s="150">
        <v>8200</v>
      </c>
      <c r="G129">
        <v>0.41665999999999997</v>
      </c>
      <c r="I129">
        <v>0.41665999999999997</v>
      </c>
      <c r="J129" s="150">
        <v>3416.6119999999996</v>
      </c>
    </row>
    <row r="130" spans="2:10" x14ac:dyDescent="0.3">
      <c r="B130" t="s">
        <v>1327</v>
      </c>
      <c r="C130" t="s">
        <v>1288</v>
      </c>
      <c r="D130">
        <v>227</v>
      </c>
      <c r="E130">
        <v>199</v>
      </c>
      <c r="F130" s="150">
        <v>28</v>
      </c>
      <c r="G130">
        <v>20.84</v>
      </c>
      <c r="I130">
        <v>20.84</v>
      </c>
      <c r="J130" s="150">
        <v>583.52</v>
      </c>
    </row>
    <row r="131" spans="2:10" x14ac:dyDescent="0.3">
      <c r="B131" t="s">
        <v>1334</v>
      </c>
      <c r="C131" t="s">
        <v>47</v>
      </c>
      <c r="D131">
        <v>10</v>
      </c>
      <c r="E131">
        <v>0</v>
      </c>
      <c r="F131" s="150">
        <v>10</v>
      </c>
      <c r="G131">
        <v>40</v>
      </c>
      <c r="I131">
        <v>40</v>
      </c>
      <c r="J131" s="150">
        <v>400</v>
      </c>
    </row>
    <row r="132" spans="2:10" x14ac:dyDescent="0.3">
      <c r="B132" t="s">
        <v>1337</v>
      </c>
      <c r="C132" t="s">
        <v>1336</v>
      </c>
      <c r="D132">
        <v>10000</v>
      </c>
      <c r="E132">
        <v>0</v>
      </c>
      <c r="F132" s="150">
        <v>10000</v>
      </c>
      <c r="G132">
        <v>0.48</v>
      </c>
      <c r="I132">
        <v>0.48</v>
      </c>
      <c r="J132" s="150">
        <v>4800</v>
      </c>
    </row>
    <row r="133" spans="2:10" x14ac:dyDescent="0.3">
      <c r="B133" t="s">
        <v>1339</v>
      </c>
      <c r="C133" t="s">
        <v>49</v>
      </c>
      <c r="D133">
        <v>61</v>
      </c>
      <c r="E133">
        <v>60</v>
      </c>
      <c r="F133" s="150">
        <v>1</v>
      </c>
      <c r="G133">
        <v>58</v>
      </c>
      <c r="I133">
        <v>58</v>
      </c>
      <c r="J133" s="150">
        <v>58</v>
      </c>
    </row>
    <row r="134" spans="2:10" x14ac:dyDescent="0.3">
      <c r="B134" t="s">
        <v>1369</v>
      </c>
      <c r="C134" t="s">
        <v>1370</v>
      </c>
      <c r="D134">
        <v>100</v>
      </c>
      <c r="E134">
        <v>0</v>
      </c>
      <c r="F134" s="150">
        <v>100</v>
      </c>
      <c r="G134">
        <v>3.5833333333333339</v>
      </c>
      <c r="H134">
        <v>1</v>
      </c>
      <c r="I134">
        <v>0</v>
      </c>
      <c r="J134" s="150">
        <v>0</v>
      </c>
    </row>
    <row r="135" spans="2:10" x14ac:dyDescent="0.3">
      <c r="B135" t="s">
        <v>1374</v>
      </c>
      <c r="C135" t="s">
        <v>1375</v>
      </c>
      <c r="D135">
        <v>405</v>
      </c>
      <c r="E135">
        <v>0</v>
      </c>
      <c r="F135" s="150">
        <v>405</v>
      </c>
      <c r="G135">
        <v>19.166666666600001</v>
      </c>
      <c r="I135">
        <v>19.166666666600001</v>
      </c>
      <c r="J135" s="150">
        <v>7762.4999999730007</v>
      </c>
    </row>
    <row r="136" spans="2:10" x14ac:dyDescent="0.3">
      <c r="B136" t="s">
        <v>1376</v>
      </c>
      <c r="C136" t="s">
        <v>1132</v>
      </c>
      <c r="D136">
        <v>360</v>
      </c>
      <c r="E136">
        <v>200</v>
      </c>
      <c r="F136" s="150">
        <v>160</v>
      </c>
      <c r="G136">
        <v>6</v>
      </c>
      <c r="I136">
        <v>6</v>
      </c>
      <c r="J136" s="150">
        <v>960</v>
      </c>
    </row>
    <row r="137" spans="2:10" x14ac:dyDescent="0.3">
      <c r="B137" t="s">
        <v>1378</v>
      </c>
      <c r="C137" t="s">
        <v>1377</v>
      </c>
      <c r="D137">
        <v>2000</v>
      </c>
      <c r="E137">
        <v>0</v>
      </c>
      <c r="F137" s="150">
        <v>2000</v>
      </c>
      <c r="G137">
        <v>2.9166666666666599</v>
      </c>
      <c r="I137">
        <v>2.9166666666666599</v>
      </c>
      <c r="J137" s="150">
        <v>5833.3333333333194</v>
      </c>
    </row>
    <row r="138" spans="2:10" x14ac:dyDescent="0.3">
      <c r="B138" t="s">
        <v>1398</v>
      </c>
      <c r="C138" t="s">
        <v>639</v>
      </c>
      <c r="D138">
        <v>300</v>
      </c>
      <c r="E138">
        <v>0</v>
      </c>
      <c r="F138" s="150">
        <v>300</v>
      </c>
      <c r="G138">
        <v>1.06666666666667</v>
      </c>
      <c r="I138">
        <v>1.06666666666667</v>
      </c>
      <c r="J138" s="150">
        <v>320.00000000000102</v>
      </c>
    </row>
    <row r="139" spans="2:10" x14ac:dyDescent="0.3">
      <c r="B139" t="s">
        <v>1402</v>
      </c>
      <c r="C139" t="s">
        <v>1401</v>
      </c>
      <c r="D139">
        <v>600</v>
      </c>
      <c r="E139">
        <v>0</v>
      </c>
      <c r="F139" s="150">
        <v>600</v>
      </c>
      <c r="G139">
        <v>1.25</v>
      </c>
      <c r="I139">
        <v>1.25</v>
      </c>
      <c r="J139" s="150">
        <v>750</v>
      </c>
    </row>
    <row r="140" spans="2:10" x14ac:dyDescent="0.3">
      <c r="B140" t="s">
        <v>1404</v>
      </c>
      <c r="C140" t="s">
        <v>642</v>
      </c>
      <c r="D140">
        <v>900</v>
      </c>
      <c r="E140">
        <v>0</v>
      </c>
      <c r="F140" s="150">
        <v>900</v>
      </c>
      <c r="G140">
        <v>1.8333333333333333</v>
      </c>
      <c r="I140">
        <v>1.8333333333333333</v>
      </c>
      <c r="J140" s="150">
        <v>1650</v>
      </c>
    </row>
    <row r="141" spans="2:10" x14ac:dyDescent="0.3">
      <c r="B141" t="s">
        <v>1406</v>
      </c>
      <c r="C141" t="s">
        <v>1068</v>
      </c>
      <c r="D141">
        <v>2400</v>
      </c>
      <c r="E141">
        <v>0</v>
      </c>
      <c r="F141" s="150">
        <v>2400</v>
      </c>
      <c r="G141">
        <v>1.0833333333333299</v>
      </c>
      <c r="I141">
        <v>1.0833333333333299</v>
      </c>
      <c r="J141" s="150">
        <v>2599.9999999999918</v>
      </c>
    </row>
    <row r="142" spans="2:10" x14ac:dyDescent="0.3">
      <c r="B142" t="s">
        <v>1409</v>
      </c>
      <c r="C142" t="s">
        <v>1408</v>
      </c>
      <c r="D142">
        <v>800</v>
      </c>
      <c r="E142">
        <v>0</v>
      </c>
      <c r="F142" s="150">
        <v>800</v>
      </c>
      <c r="G142">
        <v>1.25</v>
      </c>
      <c r="I142">
        <v>1.25</v>
      </c>
      <c r="J142" s="150">
        <v>1000</v>
      </c>
    </row>
    <row r="143" spans="2:10" x14ac:dyDescent="0.3">
      <c r="B143" t="s">
        <v>1412</v>
      </c>
      <c r="C143" t="s">
        <v>642</v>
      </c>
      <c r="D143">
        <v>600</v>
      </c>
      <c r="E143">
        <v>0</v>
      </c>
      <c r="F143" s="150">
        <v>600</v>
      </c>
      <c r="G143">
        <v>1.75</v>
      </c>
      <c r="I143">
        <v>1.75</v>
      </c>
      <c r="J143" s="150">
        <v>1050</v>
      </c>
    </row>
    <row r="144" spans="2:10" x14ac:dyDescent="0.3">
      <c r="B144" t="s">
        <v>1420</v>
      </c>
      <c r="C144" t="s">
        <v>863</v>
      </c>
      <c r="D144">
        <v>6000</v>
      </c>
      <c r="E144">
        <v>0</v>
      </c>
      <c r="F144" s="150">
        <v>6000</v>
      </c>
      <c r="G144">
        <v>1.1388888888888891</v>
      </c>
      <c r="I144">
        <v>1.1388888888888891</v>
      </c>
      <c r="J144" s="150">
        <v>6833.3333333333339</v>
      </c>
    </row>
    <row r="145" spans="2:10" x14ac:dyDescent="0.3">
      <c r="B145" t="s">
        <v>1423</v>
      </c>
      <c r="C145" t="s">
        <v>1422</v>
      </c>
      <c r="D145">
        <v>300</v>
      </c>
      <c r="E145">
        <v>0</v>
      </c>
      <c r="F145" s="150">
        <v>300</v>
      </c>
      <c r="G145">
        <v>2.0833333333333335</v>
      </c>
      <c r="I145">
        <v>2.0833333333333335</v>
      </c>
      <c r="J145" s="150">
        <v>625</v>
      </c>
    </row>
    <row r="146" spans="2:10" x14ac:dyDescent="0.3">
      <c r="B146" t="s">
        <v>1425</v>
      </c>
      <c r="C146" t="s">
        <v>517</v>
      </c>
      <c r="D146">
        <v>300</v>
      </c>
      <c r="E146">
        <v>0</v>
      </c>
      <c r="F146" s="150">
        <v>300</v>
      </c>
      <c r="G146">
        <v>1.6666666666666667</v>
      </c>
      <c r="I146">
        <v>1.6666666666666667</v>
      </c>
      <c r="J146" s="150">
        <v>500</v>
      </c>
    </row>
    <row r="147" spans="2:10" x14ac:dyDescent="0.3">
      <c r="B147" t="s">
        <v>1430</v>
      </c>
      <c r="C147" t="s">
        <v>1429</v>
      </c>
      <c r="D147">
        <v>500</v>
      </c>
      <c r="E147">
        <v>0</v>
      </c>
      <c r="F147" s="150">
        <v>500</v>
      </c>
      <c r="G147">
        <v>0.75</v>
      </c>
      <c r="I147">
        <v>0.75</v>
      </c>
      <c r="J147" s="150">
        <v>375</v>
      </c>
    </row>
    <row r="148" spans="2:10" x14ac:dyDescent="0.3">
      <c r="B148" t="s">
        <v>1434</v>
      </c>
      <c r="C148" t="s">
        <v>1433</v>
      </c>
      <c r="D148">
        <v>500</v>
      </c>
      <c r="E148">
        <v>0</v>
      </c>
      <c r="F148" s="150">
        <v>500</v>
      </c>
      <c r="G148">
        <v>1.1666666666666667</v>
      </c>
      <c r="I148">
        <v>1.1666666666666667</v>
      </c>
      <c r="J148" s="150">
        <v>583.33333333333337</v>
      </c>
    </row>
    <row r="149" spans="2:10" x14ac:dyDescent="0.3">
      <c r="B149" t="s">
        <v>1444</v>
      </c>
      <c r="C149" t="s">
        <v>1445</v>
      </c>
      <c r="D149">
        <v>6400</v>
      </c>
      <c r="E149">
        <v>0</v>
      </c>
      <c r="F149" s="150">
        <v>6400</v>
      </c>
      <c r="G149">
        <v>0.25</v>
      </c>
      <c r="I149">
        <v>0.25</v>
      </c>
      <c r="J149" s="150">
        <v>1600</v>
      </c>
    </row>
    <row r="150" spans="2:10" x14ac:dyDescent="0.3">
      <c r="B150" t="s">
        <v>1446</v>
      </c>
      <c r="C150" t="s">
        <v>1447</v>
      </c>
      <c r="D150">
        <v>6400</v>
      </c>
      <c r="E150">
        <v>0</v>
      </c>
      <c r="F150" s="150">
        <v>6400</v>
      </c>
      <c r="G150">
        <v>0.28000000000000003</v>
      </c>
      <c r="I150">
        <v>0.28000000000000003</v>
      </c>
      <c r="J150" s="150">
        <v>1792.0000000000002</v>
      </c>
    </row>
    <row r="151" spans="2:10" x14ac:dyDescent="0.3">
      <c r="B151" t="s">
        <v>1449</v>
      </c>
      <c r="C151" t="s">
        <v>1448</v>
      </c>
      <c r="D151">
        <v>1500</v>
      </c>
      <c r="E151">
        <v>0</v>
      </c>
      <c r="F151" s="150">
        <v>1500</v>
      </c>
      <c r="G151">
        <v>0.67</v>
      </c>
      <c r="I151">
        <v>0.67</v>
      </c>
      <c r="J151" s="150">
        <v>1005.0000000000001</v>
      </c>
    </row>
    <row r="152" spans="2:10" x14ac:dyDescent="0.3">
      <c r="B152" t="s">
        <v>1450</v>
      </c>
      <c r="C152" t="s">
        <v>1451</v>
      </c>
      <c r="D152">
        <v>10000</v>
      </c>
      <c r="E152">
        <v>0</v>
      </c>
      <c r="F152" s="150">
        <v>10000</v>
      </c>
      <c r="G152">
        <v>0.67</v>
      </c>
      <c r="I152">
        <v>0.67</v>
      </c>
      <c r="J152" s="150">
        <v>6700</v>
      </c>
    </row>
    <row r="153" spans="2:10" x14ac:dyDescent="0.3">
      <c r="B153" t="s">
        <v>1452</v>
      </c>
      <c r="C153" t="s">
        <v>238</v>
      </c>
      <c r="D153">
        <v>1000</v>
      </c>
      <c r="E153">
        <v>470</v>
      </c>
      <c r="F153" s="150">
        <v>530</v>
      </c>
      <c r="G153">
        <v>2.5099999999999998</v>
      </c>
      <c r="I153">
        <v>2.5099999999999998</v>
      </c>
      <c r="J153" s="150">
        <v>1330.3</v>
      </c>
    </row>
    <row r="154" spans="2:10" x14ac:dyDescent="0.3">
      <c r="B154" t="s">
        <v>1454</v>
      </c>
      <c r="C154" t="s">
        <v>1453</v>
      </c>
      <c r="D154">
        <v>80</v>
      </c>
      <c r="E154">
        <v>0</v>
      </c>
      <c r="F154" s="150">
        <v>80</v>
      </c>
      <c r="G154">
        <v>14</v>
      </c>
      <c r="I154">
        <v>14</v>
      </c>
      <c r="J154" s="150">
        <v>1120</v>
      </c>
    </row>
    <row r="155" spans="2:10" x14ac:dyDescent="0.3">
      <c r="B155" t="s">
        <v>1463</v>
      </c>
      <c r="C155" t="s">
        <v>1460</v>
      </c>
      <c r="D155">
        <v>1000</v>
      </c>
      <c r="E155">
        <v>78</v>
      </c>
      <c r="F155" s="150">
        <v>922</v>
      </c>
      <c r="G155">
        <v>15</v>
      </c>
      <c r="I155">
        <v>15</v>
      </c>
      <c r="J155" s="150">
        <v>13830</v>
      </c>
    </row>
    <row r="156" spans="2:10" x14ac:dyDescent="0.3">
      <c r="B156" t="s">
        <v>1464</v>
      </c>
      <c r="C156" t="s">
        <v>1461</v>
      </c>
      <c r="D156">
        <v>400</v>
      </c>
      <c r="E156">
        <v>330</v>
      </c>
      <c r="F156" s="150">
        <v>70</v>
      </c>
      <c r="G156">
        <v>15</v>
      </c>
      <c r="I156">
        <v>15</v>
      </c>
      <c r="J156" s="150">
        <v>1050</v>
      </c>
    </row>
    <row r="157" spans="2:10" x14ac:dyDescent="0.3">
      <c r="B157" t="s">
        <v>1465</v>
      </c>
      <c r="C157" t="s">
        <v>1462</v>
      </c>
      <c r="D157">
        <v>200</v>
      </c>
      <c r="E157">
        <v>147</v>
      </c>
      <c r="F157" s="150">
        <v>53</v>
      </c>
      <c r="G157">
        <v>15</v>
      </c>
      <c r="I157">
        <v>15</v>
      </c>
      <c r="J157" s="150">
        <v>795</v>
      </c>
    </row>
    <row r="158" spans="2:10" x14ac:dyDescent="0.3">
      <c r="B158" t="s">
        <v>1482</v>
      </c>
      <c r="C158" t="s">
        <v>21</v>
      </c>
      <c r="D158">
        <v>8000</v>
      </c>
      <c r="E158">
        <v>0</v>
      </c>
      <c r="F158" s="150">
        <v>8000</v>
      </c>
      <c r="G158">
        <v>0.87500000000000011</v>
      </c>
      <c r="I158">
        <v>0.87500000000000011</v>
      </c>
      <c r="J158" s="150">
        <v>7000.0000000000009</v>
      </c>
    </row>
    <row r="159" spans="2:10" x14ac:dyDescent="0.3">
      <c r="B159" t="s">
        <v>1498</v>
      </c>
      <c r="C159" t="s">
        <v>1499</v>
      </c>
      <c r="D159">
        <v>63.5</v>
      </c>
      <c r="E159">
        <v>0</v>
      </c>
      <c r="F159" s="150">
        <v>63.5</v>
      </c>
      <c r="G159">
        <v>22.5</v>
      </c>
      <c r="I159">
        <v>22.5</v>
      </c>
      <c r="J159" s="150">
        <v>1428.75</v>
      </c>
    </row>
    <row r="160" spans="2:10" x14ac:dyDescent="0.3">
      <c r="B160" t="s">
        <v>1507</v>
      </c>
      <c r="C160" t="s">
        <v>1506</v>
      </c>
      <c r="D160">
        <v>60</v>
      </c>
      <c r="E160">
        <v>0</v>
      </c>
      <c r="F160" s="150">
        <v>60</v>
      </c>
      <c r="G160">
        <v>6.6666666666000003</v>
      </c>
      <c r="I160">
        <v>6.6666666666000003</v>
      </c>
      <c r="J160" s="150">
        <v>399.99999999600004</v>
      </c>
    </row>
    <row r="161" spans="2:10" x14ac:dyDescent="0.3">
      <c r="B161" t="s">
        <v>1509</v>
      </c>
      <c r="C161" t="s">
        <v>1508</v>
      </c>
      <c r="D161">
        <v>60</v>
      </c>
      <c r="E161">
        <v>4</v>
      </c>
      <c r="F161" s="150">
        <v>56</v>
      </c>
      <c r="G161">
        <v>6.6666666660000002</v>
      </c>
      <c r="I161">
        <v>6.6666666660000002</v>
      </c>
      <c r="J161" s="150">
        <v>373.33333329600003</v>
      </c>
    </row>
    <row r="162" spans="2:10" x14ac:dyDescent="0.3">
      <c r="B162" t="s">
        <v>1510</v>
      </c>
      <c r="C162" t="s">
        <v>165</v>
      </c>
      <c r="D162">
        <v>48</v>
      </c>
      <c r="E162">
        <v>0</v>
      </c>
      <c r="F162" s="150">
        <v>48</v>
      </c>
      <c r="G162">
        <v>2</v>
      </c>
      <c r="I162">
        <v>2</v>
      </c>
      <c r="J162" s="150">
        <v>96</v>
      </c>
    </row>
    <row r="163" spans="2:10" x14ac:dyDescent="0.3">
      <c r="B163" t="s">
        <v>1512</v>
      </c>
      <c r="C163" t="s">
        <v>287</v>
      </c>
      <c r="D163">
        <v>4000</v>
      </c>
      <c r="E163">
        <v>3000</v>
      </c>
      <c r="F163" s="150">
        <v>1000</v>
      </c>
      <c r="G163">
        <v>0.57778333333333298</v>
      </c>
      <c r="H163">
        <v>0.30759999999999998</v>
      </c>
      <c r="I163">
        <v>0.40005717999999979</v>
      </c>
      <c r="J163" s="150">
        <v>400.05717999999979</v>
      </c>
    </row>
    <row r="164" spans="2:10" x14ac:dyDescent="0.3">
      <c r="B164" t="s">
        <v>1518</v>
      </c>
      <c r="C164" t="s">
        <v>1519</v>
      </c>
      <c r="D164">
        <v>10</v>
      </c>
      <c r="E164">
        <v>0</v>
      </c>
      <c r="F164" s="150">
        <v>10</v>
      </c>
      <c r="G164">
        <v>108.33499999999999</v>
      </c>
      <c r="I164">
        <v>108.33499999999999</v>
      </c>
      <c r="J164" s="150">
        <v>1083.3499999999999</v>
      </c>
    </row>
    <row r="165" spans="2:10" x14ac:dyDescent="0.3">
      <c r="B165" t="s">
        <v>1526</v>
      </c>
      <c r="C165" t="s">
        <v>1525</v>
      </c>
      <c r="D165">
        <v>75</v>
      </c>
      <c r="E165">
        <v>74</v>
      </c>
      <c r="F165" s="150">
        <v>1</v>
      </c>
      <c r="G165">
        <v>31.67</v>
      </c>
      <c r="I165">
        <v>31.67</v>
      </c>
      <c r="J165" s="150">
        <v>31.67</v>
      </c>
    </row>
    <row r="166" spans="2:10" x14ac:dyDescent="0.3">
      <c r="B166" t="s">
        <v>1527</v>
      </c>
      <c r="C166" t="s">
        <v>49</v>
      </c>
      <c r="D166">
        <v>62</v>
      </c>
      <c r="E166">
        <v>29</v>
      </c>
      <c r="F166" s="150">
        <v>33</v>
      </c>
      <c r="G166">
        <v>58.5</v>
      </c>
      <c r="I166">
        <v>58.5</v>
      </c>
      <c r="J166" s="150">
        <v>1930.5</v>
      </c>
    </row>
    <row r="167" spans="2:10" x14ac:dyDescent="0.3">
      <c r="B167" t="s">
        <v>1528</v>
      </c>
      <c r="C167" t="s">
        <v>40</v>
      </c>
      <c r="D167">
        <v>15000</v>
      </c>
      <c r="E167">
        <v>0</v>
      </c>
      <c r="F167" s="150">
        <v>15000</v>
      </c>
      <c r="G167">
        <v>0.27777999999999997</v>
      </c>
      <c r="I167">
        <v>0.27777999999999997</v>
      </c>
      <c r="J167" s="150">
        <v>4166.7</v>
      </c>
    </row>
    <row r="168" spans="2:10" x14ac:dyDescent="0.3">
      <c r="B168" t="s">
        <v>1531</v>
      </c>
      <c r="C168" t="s">
        <v>218</v>
      </c>
      <c r="D168">
        <v>650</v>
      </c>
      <c r="E168">
        <v>0</v>
      </c>
      <c r="F168" s="150">
        <v>650</v>
      </c>
      <c r="G168">
        <v>1</v>
      </c>
      <c r="I168">
        <v>1</v>
      </c>
      <c r="J168" s="150">
        <v>650</v>
      </c>
    </row>
    <row r="169" spans="2:10" x14ac:dyDescent="0.3">
      <c r="B169" t="s">
        <v>1532</v>
      </c>
      <c r="C169" t="s">
        <v>1236</v>
      </c>
      <c r="D169">
        <v>4</v>
      </c>
      <c r="E169">
        <v>0</v>
      </c>
      <c r="F169" s="150">
        <v>4</v>
      </c>
      <c r="G169">
        <v>18.437000000000001</v>
      </c>
      <c r="I169">
        <v>18.437000000000001</v>
      </c>
      <c r="J169" s="150">
        <v>73.748000000000005</v>
      </c>
    </row>
    <row r="170" spans="2:10" x14ac:dyDescent="0.3">
      <c r="B170" t="s">
        <v>1533</v>
      </c>
      <c r="C170" t="s">
        <v>1235</v>
      </c>
      <c r="D170">
        <v>2</v>
      </c>
      <c r="E170">
        <v>0</v>
      </c>
      <c r="F170" s="150">
        <v>2</v>
      </c>
      <c r="G170">
        <v>21.667000000000002</v>
      </c>
      <c r="I170">
        <v>21.667000000000002</v>
      </c>
      <c r="J170" s="150">
        <v>43.334000000000003</v>
      </c>
    </row>
    <row r="171" spans="2:10" x14ac:dyDescent="0.3">
      <c r="B171" t="s">
        <v>1540</v>
      </c>
      <c r="C171" t="s">
        <v>1539</v>
      </c>
      <c r="D171">
        <v>2000</v>
      </c>
      <c r="E171">
        <v>0</v>
      </c>
      <c r="F171" s="150">
        <v>2000</v>
      </c>
      <c r="G171">
        <v>2.9166666600000002</v>
      </c>
      <c r="I171">
        <v>2.9166666600000002</v>
      </c>
      <c r="J171" s="150">
        <v>5833.3333200000006</v>
      </c>
    </row>
    <row r="172" spans="2:10" x14ac:dyDescent="0.3">
      <c r="B172" t="s">
        <v>1549</v>
      </c>
      <c r="C172" t="s">
        <v>649</v>
      </c>
      <c r="D172">
        <v>300</v>
      </c>
      <c r="E172">
        <v>0</v>
      </c>
      <c r="F172" s="150">
        <v>300</v>
      </c>
      <c r="G172">
        <v>1.4166666666666667</v>
      </c>
      <c r="I172">
        <v>1.4166666666666667</v>
      </c>
      <c r="J172" s="150">
        <v>425</v>
      </c>
    </row>
    <row r="173" spans="2:10" x14ac:dyDescent="0.3">
      <c r="B173" t="s">
        <v>1551</v>
      </c>
      <c r="C173" t="s">
        <v>1393</v>
      </c>
      <c r="D173">
        <v>10000</v>
      </c>
      <c r="E173">
        <v>0</v>
      </c>
      <c r="F173" s="150">
        <v>10000</v>
      </c>
      <c r="G173">
        <v>0.83333333333000004</v>
      </c>
      <c r="I173">
        <v>0.83333333333000004</v>
      </c>
      <c r="J173" s="150">
        <v>8333.333333300001</v>
      </c>
    </row>
    <row r="174" spans="2:10" x14ac:dyDescent="0.3">
      <c r="B174" t="s">
        <v>1553</v>
      </c>
      <c r="C174" t="s">
        <v>218</v>
      </c>
      <c r="D174">
        <v>2000</v>
      </c>
      <c r="E174">
        <v>0</v>
      </c>
      <c r="F174" s="150">
        <v>2000</v>
      </c>
      <c r="G174">
        <v>0.55000000000000004</v>
      </c>
      <c r="I174">
        <v>0.55000000000000004</v>
      </c>
      <c r="J174" s="150">
        <v>1100</v>
      </c>
    </row>
    <row r="175" spans="2:10" x14ac:dyDescent="0.3">
      <c r="B175" t="s">
        <v>1564</v>
      </c>
      <c r="C175" t="s">
        <v>218</v>
      </c>
      <c r="D175">
        <v>750</v>
      </c>
      <c r="E175">
        <v>0</v>
      </c>
      <c r="F175" s="150">
        <v>750</v>
      </c>
      <c r="G175">
        <v>0.83299999999999996</v>
      </c>
      <c r="I175">
        <v>0.83299999999999996</v>
      </c>
      <c r="J175" s="150">
        <v>624.75</v>
      </c>
    </row>
    <row r="176" spans="2:10" x14ac:dyDescent="0.3">
      <c r="B176" t="s">
        <v>1565</v>
      </c>
      <c r="C176" t="s">
        <v>1519</v>
      </c>
      <c r="D176">
        <v>1</v>
      </c>
      <c r="E176">
        <v>0</v>
      </c>
      <c r="F176" s="150">
        <v>1</v>
      </c>
      <c r="G176">
        <v>108.58</v>
      </c>
      <c r="I176">
        <v>108.58</v>
      </c>
      <c r="J176" s="150">
        <v>108.58</v>
      </c>
    </row>
    <row r="177" spans="2:10" x14ac:dyDescent="0.3">
      <c r="B177" t="s">
        <v>1567</v>
      </c>
      <c r="C177" t="s">
        <v>1235</v>
      </c>
      <c r="D177">
        <v>1</v>
      </c>
      <c r="E177">
        <v>0</v>
      </c>
      <c r="F177" s="150">
        <v>1</v>
      </c>
      <c r="G177">
        <v>20.833300000000001</v>
      </c>
      <c r="I177">
        <v>20.833300000000001</v>
      </c>
      <c r="J177" s="150">
        <v>20.833300000000001</v>
      </c>
    </row>
    <row r="178" spans="2:10" x14ac:dyDescent="0.3">
      <c r="B178" t="s">
        <v>1571</v>
      </c>
      <c r="C178" t="s">
        <v>47</v>
      </c>
      <c r="D178">
        <v>50</v>
      </c>
      <c r="E178">
        <v>0</v>
      </c>
      <c r="F178" s="150">
        <v>50</v>
      </c>
      <c r="G178">
        <v>45.83</v>
      </c>
      <c r="I178">
        <v>45.83</v>
      </c>
      <c r="J178" s="150">
        <v>2291.5</v>
      </c>
    </row>
    <row r="179" spans="2:10" x14ac:dyDescent="0.3">
      <c r="B179" t="s">
        <v>1572</v>
      </c>
      <c r="C179" t="s">
        <v>48</v>
      </c>
      <c r="D179">
        <v>50</v>
      </c>
      <c r="E179">
        <v>0</v>
      </c>
      <c r="F179" s="150">
        <v>50</v>
      </c>
      <c r="G179">
        <v>48.5</v>
      </c>
      <c r="I179">
        <v>48.5</v>
      </c>
      <c r="J179" s="150">
        <v>2425</v>
      </c>
    </row>
    <row r="180" spans="2:10" x14ac:dyDescent="0.3">
      <c r="B180" t="s">
        <v>1574</v>
      </c>
      <c r="C180" t="s">
        <v>1573</v>
      </c>
      <c r="D180">
        <v>10</v>
      </c>
      <c r="E180">
        <v>0</v>
      </c>
      <c r="F180" s="150">
        <v>10</v>
      </c>
      <c r="G180">
        <v>120</v>
      </c>
      <c r="I180">
        <v>120</v>
      </c>
      <c r="J180" s="150">
        <v>1200</v>
      </c>
    </row>
    <row r="181" spans="2:10" x14ac:dyDescent="0.3">
      <c r="B181" t="s">
        <v>1609</v>
      </c>
      <c r="C181" t="s">
        <v>1608</v>
      </c>
      <c r="D181">
        <v>400</v>
      </c>
      <c r="E181">
        <v>0</v>
      </c>
      <c r="F181" s="150">
        <v>400</v>
      </c>
      <c r="G181">
        <v>4.58</v>
      </c>
      <c r="H181">
        <v>0.47233999999999998</v>
      </c>
      <c r="I181">
        <v>2.4166828000000002</v>
      </c>
      <c r="J181" s="150">
        <v>966.67312000000015</v>
      </c>
    </row>
    <row r="182" spans="2:10" x14ac:dyDescent="0.3">
      <c r="F182" s="150"/>
      <c r="J182" s="150"/>
    </row>
    <row r="183" spans="2:10" x14ac:dyDescent="0.3">
      <c r="F183" s="150"/>
      <c r="J183" s="150"/>
    </row>
    <row r="184" spans="2:10" x14ac:dyDescent="0.3">
      <c r="F184" s="150"/>
      <c r="J184" s="150"/>
    </row>
    <row r="185" spans="2:10" x14ac:dyDescent="0.3">
      <c r="F185" s="150"/>
      <c r="J185" s="150"/>
    </row>
    <row r="186" spans="2:10" x14ac:dyDescent="0.3">
      <c r="F186" s="150"/>
      <c r="J186" s="150"/>
    </row>
    <row r="187" spans="2:10" x14ac:dyDescent="0.3">
      <c r="F187" s="150"/>
      <c r="J187" s="150"/>
    </row>
    <row r="188" spans="2:10" x14ac:dyDescent="0.3">
      <c r="F188" s="150"/>
      <c r="J188" s="150"/>
    </row>
    <row r="189" spans="2:10" x14ac:dyDescent="0.3">
      <c r="F189" s="150"/>
      <c r="J189" s="150"/>
    </row>
    <row r="190" spans="2:10" x14ac:dyDescent="0.3">
      <c r="F190" s="150"/>
      <c r="J190" s="150"/>
    </row>
    <row r="191" spans="2:10" x14ac:dyDescent="0.3">
      <c r="F191" s="150"/>
      <c r="J191" s="150"/>
    </row>
    <row r="192" spans="2:10" x14ac:dyDescent="0.3">
      <c r="F192" s="150"/>
      <c r="J192" s="150"/>
    </row>
    <row r="193" spans="6:10" x14ac:dyDescent="0.3">
      <c r="F193" s="150"/>
      <c r="J193" s="150"/>
    </row>
    <row r="194" spans="6:10" x14ac:dyDescent="0.3">
      <c r="F194" s="150"/>
      <c r="J194" s="150"/>
    </row>
    <row r="195" spans="6:10" x14ac:dyDescent="0.3">
      <c r="F195" s="150"/>
      <c r="J195" s="150"/>
    </row>
    <row r="196" spans="6:10" x14ac:dyDescent="0.3">
      <c r="F196" s="150"/>
      <c r="J196" s="150"/>
    </row>
    <row r="197" spans="6:10" x14ac:dyDescent="0.3">
      <c r="F197" s="150"/>
      <c r="J197" s="150"/>
    </row>
    <row r="198" spans="6:10" x14ac:dyDescent="0.3">
      <c r="F198" s="150"/>
      <c r="J198" s="150"/>
    </row>
    <row r="199" spans="6:10" x14ac:dyDescent="0.3">
      <c r="F199" s="150"/>
      <c r="J199" s="150"/>
    </row>
    <row r="200" spans="6:10" x14ac:dyDescent="0.3">
      <c r="F200" s="150"/>
      <c r="J200" s="150"/>
    </row>
    <row r="201" spans="6:10" x14ac:dyDescent="0.3">
      <c r="F201" s="150"/>
      <c r="J201" s="150"/>
    </row>
    <row r="202" spans="6:10" x14ac:dyDescent="0.3">
      <c r="F202" s="150"/>
      <c r="J202" s="150"/>
    </row>
    <row r="203" spans="6:10" x14ac:dyDescent="0.3">
      <c r="F203" s="150"/>
      <c r="J203" s="150"/>
    </row>
    <row r="204" spans="6:10" x14ac:dyDescent="0.3">
      <c r="F204" s="150"/>
      <c r="J204" s="150"/>
    </row>
    <row r="205" spans="6:10" x14ac:dyDescent="0.3">
      <c r="F205" s="150"/>
      <c r="J205" s="150"/>
    </row>
    <row r="206" spans="6:10" x14ac:dyDescent="0.3">
      <c r="F206" s="150"/>
      <c r="J206" s="150"/>
    </row>
    <row r="207" spans="6:10" x14ac:dyDescent="0.3">
      <c r="F207" s="150"/>
      <c r="J207" s="150"/>
    </row>
    <row r="208" spans="6:10" x14ac:dyDescent="0.3">
      <c r="F208" s="150"/>
      <c r="J208" s="150"/>
    </row>
    <row r="209" spans="6:10" x14ac:dyDescent="0.3">
      <c r="F209" s="150"/>
      <c r="J209" s="150"/>
    </row>
    <row r="210" spans="6:10" x14ac:dyDescent="0.3">
      <c r="F210" s="150"/>
      <c r="J210" s="150"/>
    </row>
    <row r="211" spans="6:10" x14ac:dyDescent="0.3">
      <c r="F211" s="150"/>
      <c r="J211" s="150"/>
    </row>
    <row r="212" spans="6:10" x14ac:dyDescent="0.3">
      <c r="F212" s="150"/>
      <c r="J212" s="150"/>
    </row>
    <row r="213" spans="6:10" x14ac:dyDescent="0.3">
      <c r="F213" s="150"/>
      <c r="J213" s="150"/>
    </row>
    <row r="214" spans="6:10" x14ac:dyDescent="0.3">
      <c r="F214" s="150"/>
      <c r="J214" s="150"/>
    </row>
    <row r="215" spans="6:10" x14ac:dyDescent="0.3">
      <c r="F215" s="150"/>
      <c r="J215" s="150"/>
    </row>
    <row r="216" spans="6:10" x14ac:dyDescent="0.3">
      <c r="F216" s="150"/>
      <c r="J216" s="150"/>
    </row>
    <row r="217" spans="6:10" x14ac:dyDescent="0.3">
      <c r="F217" s="150"/>
      <c r="J217" s="150"/>
    </row>
    <row r="218" spans="6:10" x14ac:dyDescent="0.3">
      <c r="F218" s="150"/>
      <c r="J218" s="150"/>
    </row>
    <row r="219" spans="6:10" x14ac:dyDescent="0.3">
      <c r="F219" s="150"/>
      <c r="J219" s="150"/>
    </row>
    <row r="220" spans="6:10" x14ac:dyDescent="0.3">
      <c r="F220" s="150"/>
      <c r="J220" s="150"/>
    </row>
    <row r="221" spans="6:10" x14ac:dyDescent="0.3">
      <c r="F221" s="150"/>
      <c r="J221" s="150"/>
    </row>
    <row r="222" spans="6:10" x14ac:dyDescent="0.3">
      <c r="F222" s="150"/>
      <c r="J222" s="150"/>
    </row>
    <row r="223" spans="6:10" x14ac:dyDescent="0.3">
      <c r="F223" s="150"/>
      <c r="J223" s="150"/>
    </row>
    <row r="224" spans="6:10" x14ac:dyDescent="0.3">
      <c r="F224" s="150"/>
      <c r="J224" s="150"/>
    </row>
    <row r="225" spans="6:10" x14ac:dyDescent="0.3">
      <c r="F225" s="150"/>
      <c r="J225" s="150"/>
    </row>
    <row r="226" spans="6:10" x14ac:dyDescent="0.3">
      <c r="F226" s="150"/>
      <c r="J226" s="150"/>
    </row>
    <row r="227" spans="6:10" x14ac:dyDescent="0.3">
      <c r="F227" s="150"/>
      <c r="J227" s="150"/>
    </row>
    <row r="228" spans="6:10" x14ac:dyDescent="0.3">
      <c r="F228" s="150"/>
      <c r="J228" s="150"/>
    </row>
    <row r="229" spans="6:10" x14ac:dyDescent="0.3">
      <c r="F229" s="150"/>
      <c r="J229" s="150"/>
    </row>
    <row r="230" spans="6:10" x14ac:dyDescent="0.3">
      <c r="F230" s="150"/>
      <c r="J230" s="150"/>
    </row>
    <row r="231" spans="6:10" x14ac:dyDescent="0.3">
      <c r="F231" s="150"/>
      <c r="J231" s="150"/>
    </row>
    <row r="232" spans="6:10" x14ac:dyDescent="0.3">
      <c r="F232" s="150"/>
      <c r="J232" s="150"/>
    </row>
    <row r="233" spans="6:10" x14ac:dyDescent="0.3">
      <c r="F233" s="150"/>
      <c r="J233" s="150"/>
    </row>
    <row r="234" spans="6:10" x14ac:dyDescent="0.3">
      <c r="F234" s="150"/>
      <c r="J234" s="150"/>
    </row>
    <row r="235" spans="6:10" x14ac:dyDescent="0.3">
      <c r="F235" s="150"/>
      <c r="J235" s="150"/>
    </row>
    <row r="236" spans="6:10" x14ac:dyDescent="0.3">
      <c r="F236" s="150"/>
      <c r="J236" s="150"/>
    </row>
    <row r="237" spans="6:10" x14ac:dyDescent="0.3">
      <c r="F237" s="150"/>
      <c r="J237" s="150"/>
    </row>
    <row r="238" spans="6:10" x14ac:dyDescent="0.3">
      <c r="F238" s="150"/>
      <c r="J238" s="150"/>
    </row>
    <row r="239" spans="6:10" x14ac:dyDescent="0.3">
      <c r="F239" s="150"/>
      <c r="J239" s="150"/>
    </row>
    <row r="240" spans="6:10" x14ac:dyDescent="0.3">
      <c r="F240" s="150"/>
      <c r="J240" s="150"/>
    </row>
    <row r="241" spans="6:10" x14ac:dyDescent="0.3">
      <c r="F241" s="150"/>
      <c r="J241" s="150"/>
    </row>
    <row r="242" spans="6:10" x14ac:dyDescent="0.3">
      <c r="F242" s="150"/>
      <c r="J242" s="150"/>
    </row>
    <row r="243" spans="6:10" x14ac:dyDescent="0.3">
      <c r="F243" s="150"/>
      <c r="J243" s="150"/>
    </row>
    <row r="244" spans="6:10" x14ac:dyDescent="0.3">
      <c r="F244" s="150"/>
      <c r="J244" s="150"/>
    </row>
    <row r="245" spans="6:10" x14ac:dyDescent="0.3">
      <c r="F245" s="150"/>
      <c r="J245" s="150"/>
    </row>
    <row r="246" spans="6:10" x14ac:dyDescent="0.3">
      <c r="F246" s="150"/>
      <c r="J246" s="150"/>
    </row>
    <row r="247" spans="6:10" x14ac:dyDescent="0.3">
      <c r="F247" s="150"/>
      <c r="J247" s="150"/>
    </row>
    <row r="248" spans="6:10" x14ac:dyDescent="0.3">
      <c r="F248" s="150"/>
      <c r="J248" s="150"/>
    </row>
    <row r="249" spans="6:10" x14ac:dyDescent="0.3">
      <c r="F249" s="150"/>
      <c r="J249" s="150"/>
    </row>
    <row r="250" spans="6:10" x14ac:dyDescent="0.3">
      <c r="F250" s="150"/>
      <c r="J250" s="150"/>
    </row>
    <row r="251" spans="6:10" x14ac:dyDescent="0.3">
      <c r="F251" s="150"/>
      <c r="J251" s="150"/>
    </row>
    <row r="252" spans="6:10" x14ac:dyDescent="0.3">
      <c r="F252" s="150"/>
      <c r="J252" s="150"/>
    </row>
    <row r="253" spans="6:10" x14ac:dyDescent="0.3">
      <c r="F253" s="150"/>
      <c r="J253" s="150"/>
    </row>
    <row r="254" spans="6:10" x14ac:dyDescent="0.3">
      <c r="F254" s="150"/>
      <c r="J254" s="150"/>
    </row>
    <row r="255" spans="6:10" x14ac:dyDescent="0.3">
      <c r="F255" s="150"/>
      <c r="J255" s="150"/>
    </row>
    <row r="256" spans="6:10" x14ac:dyDescent="0.3">
      <c r="F256" s="150"/>
      <c r="J256" s="150"/>
    </row>
    <row r="257" spans="6:10" x14ac:dyDescent="0.3">
      <c r="F257" s="150"/>
      <c r="J257" s="150"/>
    </row>
    <row r="258" spans="6:10" x14ac:dyDescent="0.3">
      <c r="F258" s="150"/>
      <c r="J258" s="150"/>
    </row>
    <row r="259" spans="6:10" x14ac:dyDescent="0.3">
      <c r="F259" s="150"/>
      <c r="J259" s="150"/>
    </row>
    <row r="260" spans="6:10" x14ac:dyDescent="0.3">
      <c r="F260" s="150"/>
      <c r="J260" s="150"/>
    </row>
    <row r="261" spans="6:10" x14ac:dyDescent="0.3">
      <c r="F261" s="150"/>
      <c r="J261" s="150"/>
    </row>
    <row r="262" spans="6:10" x14ac:dyDescent="0.3">
      <c r="F262" s="150"/>
      <c r="J262" s="150"/>
    </row>
    <row r="263" spans="6:10" x14ac:dyDescent="0.3">
      <c r="F263" s="150"/>
      <c r="J263" s="150"/>
    </row>
    <row r="264" spans="6:10" x14ac:dyDescent="0.3">
      <c r="F264" s="150"/>
      <c r="J264" s="150"/>
    </row>
    <row r="265" spans="6:10" x14ac:dyDescent="0.3">
      <c r="F265" s="150"/>
      <c r="J265" s="150"/>
    </row>
    <row r="266" spans="6:10" x14ac:dyDescent="0.3">
      <c r="F266" s="150"/>
      <c r="J266" s="150"/>
    </row>
    <row r="267" spans="6:10" x14ac:dyDescent="0.3">
      <c r="F267" s="150"/>
      <c r="J267" s="150"/>
    </row>
    <row r="268" spans="6:10" x14ac:dyDescent="0.3">
      <c r="F268" s="150"/>
      <c r="J268" s="150"/>
    </row>
    <row r="269" spans="6:10" x14ac:dyDescent="0.3">
      <c r="F269" s="150"/>
      <c r="J269" s="150"/>
    </row>
    <row r="270" spans="6:10" x14ac:dyDescent="0.3">
      <c r="F270" s="150"/>
      <c r="J270" s="150"/>
    </row>
    <row r="271" spans="6:10" x14ac:dyDescent="0.3">
      <c r="F271" s="150"/>
      <c r="J271" s="150"/>
    </row>
    <row r="272" spans="6:10" x14ac:dyDescent="0.3">
      <c r="F272" s="150"/>
      <c r="J272" s="150"/>
    </row>
    <row r="273" spans="6:10" x14ac:dyDescent="0.3">
      <c r="F273" s="150"/>
      <c r="J273" s="150"/>
    </row>
    <row r="274" spans="6:10" x14ac:dyDescent="0.3">
      <c r="F274" s="150"/>
      <c r="J274" s="150"/>
    </row>
    <row r="275" spans="6:10" x14ac:dyDescent="0.3">
      <c r="F275" s="150"/>
      <c r="J275" s="150"/>
    </row>
    <row r="276" spans="6:10" x14ac:dyDescent="0.3">
      <c r="F276" s="150"/>
      <c r="J276" s="150"/>
    </row>
    <row r="277" spans="6:10" x14ac:dyDescent="0.3">
      <c r="F277" s="150"/>
      <c r="J277" s="150"/>
    </row>
    <row r="278" spans="6:10" x14ac:dyDescent="0.3">
      <c r="F278" s="150"/>
      <c r="J278" s="150"/>
    </row>
    <row r="279" spans="6:10" x14ac:dyDescent="0.3">
      <c r="F279" s="150"/>
      <c r="J279" s="150"/>
    </row>
    <row r="280" spans="6:10" x14ac:dyDescent="0.3">
      <c r="F280" s="150"/>
      <c r="J280" s="150"/>
    </row>
    <row r="281" spans="6:10" x14ac:dyDescent="0.3">
      <c r="F281" s="150"/>
      <c r="J281" s="150"/>
    </row>
    <row r="282" spans="6:10" x14ac:dyDescent="0.3">
      <c r="F282" s="150"/>
      <c r="J282" s="150"/>
    </row>
    <row r="283" spans="6:10" x14ac:dyDescent="0.3">
      <c r="F283" s="150"/>
      <c r="J283" s="150"/>
    </row>
    <row r="284" spans="6:10" x14ac:dyDescent="0.3">
      <c r="F284" s="150"/>
      <c r="J284" s="150"/>
    </row>
    <row r="285" spans="6:10" x14ac:dyDescent="0.3">
      <c r="F285" s="150"/>
      <c r="J285" s="150"/>
    </row>
    <row r="286" spans="6:10" x14ac:dyDescent="0.3">
      <c r="F286" s="150"/>
      <c r="J286" s="150"/>
    </row>
    <row r="287" spans="6:10" x14ac:dyDescent="0.3">
      <c r="F287" s="150"/>
      <c r="J287" s="150"/>
    </row>
    <row r="288" spans="6:10" x14ac:dyDescent="0.3">
      <c r="F288" s="150"/>
      <c r="J288" s="150"/>
    </row>
    <row r="289" spans="6:10" x14ac:dyDescent="0.3">
      <c r="F289" s="150"/>
      <c r="J289" s="150"/>
    </row>
    <row r="290" spans="6:10" x14ac:dyDescent="0.3">
      <c r="F290" s="150"/>
      <c r="J290" s="150"/>
    </row>
    <row r="291" spans="6:10" x14ac:dyDescent="0.3">
      <c r="F291" s="150"/>
      <c r="J291" s="150"/>
    </row>
    <row r="292" spans="6:10" x14ac:dyDescent="0.3">
      <c r="F292" s="150"/>
      <c r="J292" s="150"/>
    </row>
    <row r="293" spans="6:10" x14ac:dyDescent="0.3">
      <c r="F293" s="150"/>
      <c r="J293" s="150"/>
    </row>
    <row r="294" spans="6:10" x14ac:dyDescent="0.3">
      <c r="F294" s="150"/>
      <c r="J294" s="150"/>
    </row>
    <row r="295" spans="6:10" x14ac:dyDescent="0.3">
      <c r="F295" s="150"/>
      <c r="J295" s="150"/>
    </row>
    <row r="296" spans="6:10" x14ac:dyDescent="0.3">
      <c r="F296" s="150"/>
      <c r="J296" s="150"/>
    </row>
    <row r="297" spans="6:10" x14ac:dyDescent="0.3">
      <c r="F297" s="150"/>
      <c r="J297" s="150"/>
    </row>
    <row r="298" spans="6:10" x14ac:dyDescent="0.3">
      <c r="F298" s="150"/>
      <c r="J298" s="150"/>
    </row>
    <row r="299" spans="6:10" x14ac:dyDescent="0.3">
      <c r="F299" s="150"/>
      <c r="J299" s="150"/>
    </row>
    <row r="300" spans="6:10" x14ac:dyDescent="0.3">
      <c r="F300" s="150"/>
      <c r="J300" s="150"/>
    </row>
    <row r="301" spans="6:10" x14ac:dyDescent="0.3">
      <c r="F301" s="150"/>
      <c r="J301" s="150"/>
    </row>
    <row r="302" spans="6:10" x14ac:dyDescent="0.3">
      <c r="F302" s="150"/>
      <c r="J302" s="150"/>
    </row>
    <row r="303" spans="6:10" x14ac:dyDescent="0.3">
      <c r="F303" s="150"/>
      <c r="J303" s="150"/>
    </row>
    <row r="304" spans="6:10" x14ac:dyDescent="0.3">
      <c r="F304" s="150"/>
      <c r="J304" s="150"/>
    </row>
    <row r="305" spans="6:10" x14ac:dyDescent="0.3">
      <c r="F305" s="150"/>
      <c r="J305" s="150"/>
    </row>
    <row r="306" spans="6:10" x14ac:dyDescent="0.3">
      <c r="F306" s="150"/>
      <c r="J306" s="150"/>
    </row>
    <row r="307" spans="6:10" x14ac:dyDescent="0.3">
      <c r="F307" s="150"/>
      <c r="J307" s="150"/>
    </row>
    <row r="308" spans="6:10" x14ac:dyDescent="0.3">
      <c r="F308" s="150"/>
      <c r="J308" s="150"/>
    </row>
    <row r="309" spans="6:10" x14ac:dyDescent="0.3">
      <c r="F309" s="150"/>
      <c r="J309" s="150"/>
    </row>
    <row r="310" spans="6:10" x14ac:dyDescent="0.3">
      <c r="F310" s="150"/>
      <c r="J310" s="150"/>
    </row>
    <row r="311" spans="6:10" x14ac:dyDescent="0.3">
      <c r="F311" s="150"/>
      <c r="J311" s="150"/>
    </row>
    <row r="312" spans="6:10" x14ac:dyDescent="0.3">
      <c r="F312" s="150"/>
      <c r="J312" s="150"/>
    </row>
    <row r="313" spans="6:10" x14ac:dyDescent="0.3">
      <c r="F313" s="150"/>
      <c r="J313" s="150"/>
    </row>
    <row r="314" spans="6:10" x14ac:dyDescent="0.3">
      <c r="F314" s="150"/>
      <c r="J314" s="150"/>
    </row>
    <row r="315" spans="6:10" x14ac:dyDescent="0.3">
      <c r="F315" s="150"/>
      <c r="J315" s="150"/>
    </row>
    <row r="316" spans="6:10" x14ac:dyDescent="0.3">
      <c r="F316" s="150"/>
      <c r="J316" s="150"/>
    </row>
    <row r="317" spans="6:10" x14ac:dyDescent="0.3">
      <c r="F317" s="150"/>
      <c r="J317" s="150"/>
    </row>
    <row r="318" spans="6:10" x14ac:dyDescent="0.3">
      <c r="F318" s="150"/>
      <c r="J318" s="150"/>
    </row>
    <row r="319" spans="6:10" x14ac:dyDescent="0.3">
      <c r="F319" s="150"/>
      <c r="J319" s="150"/>
    </row>
    <row r="320" spans="6:10" x14ac:dyDescent="0.3">
      <c r="F320" s="150"/>
      <c r="J320" s="150"/>
    </row>
    <row r="321" spans="6:10" x14ac:dyDescent="0.3">
      <c r="F321" s="150"/>
      <c r="J321" s="150"/>
    </row>
    <row r="322" spans="6:10" x14ac:dyDescent="0.3">
      <c r="F322" s="150"/>
      <c r="J322" s="150"/>
    </row>
    <row r="323" spans="6:10" x14ac:dyDescent="0.3">
      <c r="F323" s="150"/>
      <c r="J323" s="150"/>
    </row>
    <row r="324" spans="6:10" x14ac:dyDescent="0.3">
      <c r="F324" s="150"/>
      <c r="J324" s="150"/>
    </row>
    <row r="325" spans="6:10" x14ac:dyDescent="0.3">
      <c r="F325" s="150"/>
      <c r="J325" s="150"/>
    </row>
    <row r="326" spans="6:10" x14ac:dyDescent="0.3">
      <c r="F326" s="150"/>
      <c r="J326" s="150"/>
    </row>
    <row r="327" spans="6:10" x14ac:dyDescent="0.3">
      <c r="F327" s="150"/>
      <c r="J327" s="150"/>
    </row>
    <row r="328" spans="6:10" x14ac:dyDescent="0.3">
      <c r="F328" s="150"/>
      <c r="J328" s="150"/>
    </row>
    <row r="329" spans="6:10" x14ac:dyDescent="0.3">
      <c r="F329" s="150"/>
      <c r="J329" s="150"/>
    </row>
    <row r="330" spans="6:10" x14ac:dyDescent="0.3">
      <c r="F330" s="150"/>
      <c r="J330" s="150"/>
    </row>
    <row r="331" spans="6:10" x14ac:dyDescent="0.3">
      <c r="F331" s="150"/>
      <c r="J331" s="150"/>
    </row>
    <row r="332" spans="6:10" x14ac:dyDescent="0.3">
      <c r="F332" s="150"/>
      <c r="J332" s="150"/>
    </row>
    <row r="333" spans="6:10" x14ac:dyDescent="0.3">
      <c r="F333" s="150"/>
      <c r="J333" s="150"/>
    </row>
    <row r="334" spans="6:10" x14ac:dyDescent="0.3">
      <c r="F334" s="150"/>
      <c r="J334" s="150"/>
    </row>
    <row r="335" spans="6:10" x14ac:dyDescent="0.3">
      <c r="F335" s="150"/>
      <c r="J335" s="150"/>
    </row>
    <row r="336" spans="6:10" x14ac:dyDescent="0.3">
      <c r="F336" s="150"/>
      <c r="J336" s="150"/>
    </row>
    <row r="337" spans="6:10" x14ac:dyDescent="0.3">
      <c r="F337" s="150"/>
      <c r="J337" s="150"/>
    </row>
    <row r="338" spans="6:10" x14ac:dyDescent="0.3">
      <c r="F338" s="150"/>
      <c r="J338" s="150"/>
    </row>
    <row r="339" spans="6:10" x14ac:dyDescent="0.3">
      <c r="F339" s="150"/>
      <c r="J339" s="150"/>
    </row>
    <row r="340" spans="6:10" x14ac:dyDescent="0.3">
      <c r="F340" s="150"/>
      <c r="J340" s="150"/>
    </row>
    <row r="341" spans="6:10" x14ac:dyDescent="0.3">
      <c r="F341" s="150"/>
      <c r="J341" s="150"/>
    </row>
    <row r="342" spans="6:10" x14ac:dyDescent="0.3">
      <c r="F342" s="150"/>
      <c r="J342" s="150"/>
    </row>
    <row r="343" spans="6:10" x14ac:dyDescent="0.3">
      <c r="F343" s="150"/>
      <c r="J343" s="150"/>
    </row>
    <row r="344" spans="6:10" x14ac:dyDescent="0.3">
      <c r="F344" s="150"/>
      <c r="J344" s="150"/>
    </row>
    <row r="345" spans="6:10" x14ac:dyDescent="0.3">
      <c r="F345" s="150"/>
      <c r="J345" s="150"/>
    </row>
    <row r="346" spans="6:10" x14ac:dyDescent="0.3">
      <c r="F346" s="150"/>
      <c r="J346" s="150"/>
    </row>
    <row r="347" spans="6:10" x14ac:dyDescent="0.3">
      <c r="F347" s="150"/>
      <c r="J347" s="150"/>
    </row>
    <row r="348" spans="6:10" x14ac:dyDescent="0.3">
      <c r="F348" s="150"/>
      <c r="J348" s="150"/>
    </row>
    <row r="349" spans="6:10" x14ac:dyDescent="0.3">
      <c r="F349" s="150"/>
      <c r="J349" s="150"/>
    </row>
    <row r="350" spans="6:10" x14ac:dyDescent="0.3">
      <c r="F350" s="150"/>
      <c r="J350" s="150"/>
    </row>
    <row r="351" spans="6:10" x14ac:dyDescent="0.3">
      <c r="F351" s="150"/>
      <c r="J351" s="150"/>
    </row>
    <row r="352" spans="6:10" x14ac:dyDescent="0.3">
      <c r="F352" s="150"/>
      <c r="J352" s="150"/>
    </row>
    <row r="353" spans="6:10" x14ac:dyDescent="0.3">
      <c r="F353" s="150"/>
      <c r="J353" s="150"/>
    </row>
    <row r="354" spans="6:10" x14ac:dyDescent="0.3">
      <c r="F354" s="150"/>
      <c r="J354" s="150"/>
    </row>
    <row r="355" spans="6:10" x14ac:dyDescent="0.3">
      <c r="F355" s="150"/>
      <c r="J355" s="150"/>
    </row>
    <row r="356" spans="6:10" x14ac:dyDescent="0.3">
      <c r="F356" s="150"/>
      <c r="J356" s="150"/>
    </row>
    <row r="357" spans="6:10" x14ac:dyDescent="0.3">
      <c r="F357" s="150"/>
      <c r="J357" s="150"/>
    </row>
    <row r="358" spans="6:10" x14ac:dyDescent="0.3">
      <c r="F358" s="150"/>
      <c r="J358" s="150"/>
    </row>
    <row r="359" spans="6:10" x14ac:dyDescent="0.3">
      <c r="F359" s="150"/>
      <c r="J359" s="150"/>
    </row>
    <row r="360" spans="6:10" x14ac:dyDescent="0.3">
      <c r="F360" s="150"/>
      <c r="J360" s="150"/>
    </row>
    <row r="361" spans="6:10" x14ac:dyDescent="0.3">
      <c r="F361" s="150"/>
      <c r="J361" s="150"/>
    </row>
    <row r="362" spans="6:10" x14ac:dyDescent="0.3">
      <c r="F362" s="150"/>
      <c r="J362" s="150"/>
    </row>
    <row r="363" spans="6:10" x14ac:dyDescent="0.3">
      <c r="F363" s="150"/>
      <c r="J363" s="150"/>
    </row>
    <row r="364" spans="6:10" x14ac:dyDescent="0.3">
      <c r="F364" s="150"/>
      <c r="J364" s="150"/>
    </row>
    <row r="365" spans="6:10" x14ac:dyDescent="0.3">
      <c r="F365" s="150"/>
      <c r="J365" s="150"/>
    </row>
    <row r="366" spans="6:10" x14ac:dyDescent="0.3">
      <c r="F366" s="150"/>
      <c r="J366" s="150"/>
    </row>
    <row r="367" spans="6:10" x14ac:dyDescent="0.3">
      <c r="F367" s="150"/>
      <c r="J367" s="150"/>
    </row>
    <row r="368" spans="6:10" x14ac:dyDescent="0.3">
      <c r="F368" s="150"/>
      <c r="J368" s="150"/>
    </row>
    <row r="369" spans="6:10" x14ac:dyDescent="0.3">
      <c r="F369" s="150"/>
      <c r="J369" s="150"/>
    </row>
    <row r="370" spans="6:10" x14ac:dyDescent="0.3">
      <c r="F370" s="150"/>
      <c r="J370" s="150"/>
    </row>
    <row r="371" spans="6:10" x14ac:dyDescent="0.3">
      <c r="F371" s="150"/>
      <c r="J371" s="150"/>
    </row>
    <row r="372" spans="6:10" x14ac:dyDescent="0.3">
      <c r="F372" s="150"/>
      <c r="J372" s="150"/>
    </row>
    <row r="373" spans="6:10" x14ac:dyDescent="0.3">
      <c r="F373" s="150"/>
      <c r="J373" s="150"/>
    </row>
    <row r="374" spans="6:10" x14ac:dyDescent="0.3">
      <c r="F374" s="150"/>
      <c r="J374" s="150"/>
    </row>
    <row r="375" spans="6:10" x14ac:dyDescent="0.3">
      <c r="F375" s="150"/>
      <c r="J375" s="150"/>
    </row>
    <row r="376" spans="6:10" x14ac:dyDescent="0.3">
      <c r="F376" s="150"/>
      <c r="J376" s="150"/>
    </row>
    <row r="377" spans="6:10" x14ac:dyDescent="0.3">
      <c r="F377" s="150"/>
      <c r="J377" s="150"/>
    </row>
    <row r="378" spans="6:10" x14ac:dyDescent="0.3">
      <c r="F378" s="150"/>
      <c r="J378" s="150"/>
    </row>
    <row r="379" spans="6:10" x14ac:dyDescent="0.3">
      <c r="F379" s="150"/>
      <c r="J379" s="150"/>
    </row>
    <row r="380" spans="6:10" x14ac:dyDescent="0.3">
      <c r="F380" s="150"/>
      <c r="J380" s="150"/>
    </row>
    <row r="381" spans="6:10" x14ac:dyDescent="0.3">
      <c r="F381" s="150"/>
      <c r="J381" s="150"/>
    </row>
    <row r="382" spans="6:10" x14ac:dyDescent="0.3">
      <c r="F382" s="150"/>
      <c r="J382" s="150"/>
    </row>
    <row r="383" spans="6:10" x14ac:dyDescent="0.3">
      <c r="F383" s="150"/>
      <c r="J383" s="150"/>
    </row>
    <row r="384" spans="6:10" x14ac:dyDescent="0.3">
      <c r="F384" s="150"/>
      <c r="J384" s="150"/>
    </row>
    <row r="385" spans="6:10" x14ac:dyDescent="0.3">
      <c r="F385" s="150"/>
      <c r="J385" s="150"/>
    </row>
    <row r="386" spans="6:10" x14ac:dyDescent="0.3">
      <c r="F386" s="150"/>
      <c r="J386" s="150"/>
    </row>
    <row r="387" spans="6:10" x14ac:dyDescent="0.3">
      <c r="F387" s="150"/>
      <c r="J387" s="150"/>
    </row>
    <row r="388" spans="6:10" x14ac:dyDescent="0.3">
      <c r="F388" s="150"/>
      <c r="J388" s="150"/>
    </row>
    <row r="389" spans="6:10" x14ac:dyDescent="0.3">
      <c r="F389" s="150"/>
      <c r="J389" s="150"/>
    </row>
    <row r="390" spans="6:10" x14ac:dyDescent="0.3">
      <c r="F390" s="150"/>
      <c r="J390" s="150"/>
    </row>
    <row r="391" spans="6:10" x14ac:dyDescent="0.3">
      <c r="F391" s="150"/>
      <c r="J391" s="150"/>
    </row>
    <row r="392" spans="6:10" x14ac:dyDescent="0.3">
      <c r="F392" s="150"/>
      <c r="J392" s="150"/>
    </row>
    <row r="393" spans="6:10" x14ac:dyDescent="0.3">
      <c r="F393" s="150"/>
      <c r="J393" s="150"/>
    </row>
    <row r="394" spans="6:10" x14ac:dyDescent="0.3">
      <c r="F394" s="150"/>
      <c r="J394" s="150"/>
    </row>
    <row r="395" spans="6:10" x14ac:dyDescent="0.3">
      <c r="F395" s="150"/>
      <c r="J395" s="150"/>
    </row>
    <row r="396" spans="6:10" x14ac:dyDescent="0.3">
      <c r="F396" s="150"/>
      <c r="J396" s="150"/>
    </row>
    <row r="397" spans="6:10" x14ac:dyDescent="0.3">
      <c r="F397" s="150"/>
      <c r="J397" s="150"/>
    </row>
    <row r="398" spans="6:10" x14ac:dyDescent="0.3">
      <c r="F398" s="150"/>
      <c r="J398" s="150"/>
    </row>
    <row r="399" spans="6:10" x14ac:dyDescent="0.3">
      <c r="F399" s="150"/>
      <c r="J399" s="150"/>
    </row>
    <row r="400" spans="6:10" x14ac:dyDescent="0.3">
      <c r="F400" s="150"/>
      <c r="J400" s="150"/>
    </row>
    <row r="401" spans="6:10" x14ac:dyDescent="0.3">
      <c r="F401" s="150"/>
      <c r="J401" s="150"/>
    </row>
    <row r="402" spans="6:10" x14ac:dyDescent="0.3">
      <c r="F402" s="150"/>
      <c r="J402" s="150"/>
    </row>
    <row r="403" spans="6:10" x14ac:dyDescent="0.3">
      <c r="F403" s="150"/>
      <c r="J403" s="150"/>
    </row>
    <row r="404" spans="6:10" x14ac:dyDescent="0.3">
      <c r="F404" s="150"/>
      <c r="J404" s="150"/>
    </row>
    <row r="405" spans="6:10" x14ac:dyDescent="0.3">
      <c r="F405" s="150"/>
      <c r="J405" s="150"/>
    </row>
    <row r="406" spans="6:10" x14ac:dyDescent="0.3">
      <c r="F406" s="150"/>
      <c r="J406" s="150"/>
    </row>
    <row r="407" spans="6:10" x14ac:dyDescent="0.3">
      <c r="F407" s="150"/>
      <c r="J407" s="150"/>
    </row>
    <row r="408" spans="6:10" x14ac:dyDescent="0.3">
      <c r="F408" s="150"/>
      <c r="J408" s="150"/>
    </row>
    <row r="409" spans="6:10" x14ac:dyDescent="0.3">
      <c r="F409" s="150"/>
      <c r="J409" s="150"/>
    </row>
    <row r="410" spans="6:10" x14ac:dyDescent="0.3">
      <c r="F410" s="150"/>
      <c r="J410" s="150"/>
    </row>
    <row r="411" spans="6:10" x14ac:dyDescent="0.3">
      <c r="F411" s="150"/>
      <c r="J411" s="150"/>
    </row>
    <row r="412" spans="6:10" x14ac:dyDescent="0.3">
      <c r="F412" s="150"/>
      <c r="J412" s="150"/>
    </row>
    <row r="413" spans="6:10" x14ac:dyDescent="0.3">
      <c r="F413" s="150"/>
      <c r="J413" s="150"/>
    </row>
    <row r="414" spans="6:10" x14ac:dyDescent="0.3">
      <c r="F414" s="150"/>
      <c r="J414" s="150"/>
    </row>
    <row r="415" spans="6:10" x14ac:dyDescent="0.3">
      <c r="F415" s="150"/>
      <c r="J415" s="150"/>
    </row>
    <row r="416" spans="6:10" x14ac:dyDescent="0.3">
      <c r="F416" s="150"/>
      <c r="J416" s="150"/>
    </row>
    <row r="417" spans="6:10" x14ac:dyDescent="0.3">
      <c r="F417" s="150"/>
      <c r="J417" s="150"/>
    </row>
    <row r="418" spans="6:10" x14ac:dyDescent="0.3">
      <c r="F418" s="150"/>
      <c r="J418" s="150"/>
    </row>
    <row r="419" spans="6:10" x14ac:dyDescent="0.3">
      <c r="F419" s="150"/>
      <c r="J419" s="150"/>
    </row>
    <row r="420" spans="6:10" x14ac:dyDescent="0.3">
      <c r="F420" s="150"/>
      <c r="J420" s="150"/>
    </row>
    <row r="421" spans="6:10" x14ac:dyDescent="0.3">
      <c r="F421" s="150"/>
      <c r="J421" s="150"/>
    </row>
    <row r="422" spans="6:10" x14ac:dyDescent="0.3">
      <c r="F422" s="150"/>
      <c r="J422" s="150"/>
    </row>
    <row r="423" spans="6:10" x14ac:dyDescent="0.3">
      <c r="F423" s="150"/>
      <c r="J423" s="150"/>
    </row>
    <row r="424" spans="6:10" x14ac:dyDescent="0.3">
      <c r="F424" s="150"/>
      <c r="J424" s="150"/>
    </row>
    <row r="425" spans="6:10" x14ac:dyDescent="0.3">
      <c r="F425" s="150"/>
      <c r="J425" s="150"/>
    </row>
    <row r="426" spans="6:10" x14ac:dyDescent="0.3">
      <c r="F426" s="150"/>
      <c r="J426" s="150"/>
    </row>
    <row r="427" spans="6:10" x14ac:dyDescent="0.3">
      <c r="F427" s="150"/>
      <c r="J427" s="150"/>
    </row>
    <row r="428" spans="6:10" x14ac:dyDescent="0.3">
      <c r="F428" s="150"/>
      <c r="J428" s="150"/>
    </row>
    <row r="429" spans="6:10" x14ac:dyDescent="0.3">
      <c r="F429" s="150"/>
      <c r="J429" s="150"/>
    </row>
    <row r="430" spans="6:10" x14ac:dyDescent="0.3">
      <c r="F430" s="150"/>
      <c r="J430" s="150"/>
    </row>
    <row r="431" spans="6:10" x14ac:dyDescent="0.3">
      <c r="F431" s="150"/>
      <c r="J431" s="150"/>
    </row>
    <row r="432" spans="6:10" x14ac:dyDescent="0.3">
      <c r="F432" s="150"/>
      <c r="J432" s="150"/>
    </row>
    <row r="433" spans="6:10" x14ac:dyDescent="0.3">
      <c r="F433" s="150"/>
      <c r="J433" s="150"/>
    </row>
    <row r="434" spans="6:10" x14ac:dyDescent="0.3">
      <c r="F434" s="150"/>
      <c r="J434" s="150"/>
    </row>
    <row r="435" spans="6:10" x14ac:dyDescent="0.3">
      <c r="F435" s="150"/>
      <c r="J435" s="150"/>
    </row>
    <row r="436" spans="6:10" x14ac:dyDescent="0.3">
      <c r="F436" s="150"/>
      <c r="J436" s="150"/>
    </row>
    <row r="437" spans="6:10" x14ac:dyDescent="0.3">
      <c r="F437" s="150"/>
      <c r="J437" s="150"/>
    </row>
    <row r="438" spans="6:10" x14ac:dyDescent="0.3">
      <c r="F438" s="150"/>
      <c r="J438" s="150"/>
    </row>
    <row r="439" spans="6:10" x14ac:dyDescent="0.3">
      <c r="F439" s="150"/>
      <c r="J439" s="150"/>
    </row>
    <row r="440" spans="6:10" x14ac:dyDescent="0.3">
      <c r="F440" s="150"/>
      <c r="J440" s="150"/>
    </row>
    <row r="441" spans="6:10" x14ac:dyDescent="0.3">
      <c r="F441" s="150"/>
      <c r="J441" s="150"/>
    </row>
    <row r="442" spans="6:10" x14ac:dyDescent="0.3">
      <c r="F442" s="150"/>
      <c r="J442" s="150"/>
    </row>
    <row r="443" spans="6:10" x14ac:dyDescent="0.3">
      <c r="F443" s="150"/>
      <c r="J443" s="150"/>
    </row>
    <row r="444" spans="6:10" x14ac:dyDescent="0.3">
      <c r="F444" s="150"/>
      <c r="J444" s="150"/>
    </row>
    <row r="445" spans="6:10" x14ac:dyDescent="0.3">
      <c r="F445" s="150"/>
      <c r="J445" s="150"/>
    </row>
    <row r="446" spans="6:10" x14ac:dyDescent="0.3">
      <c r="F446" s="150"/>
      <c r="J446" s="150"/>
    </row>
    <row r="447" spans="6:10" x14ac:dyDescent="0.3">
      <c r="F447" s="150"/>
      <c r="J447" s="150"/>
    </row>
    <row r="448" spans="6:10" x14ac:dyDescent="0.3">
      <c r="F448" s="150"/>
      <c r="J448" s="150"/>
    </row>
    <row r="449" spans="6:10" x14ac:dyDescent="0.3">
      <c r="F449" s="150"/>
      <c r="J449" s="150"/>
    </row>
    <row r="450" spans="6:10" x14ac:dyDescent="0.3">
      <c r="F450" s="150"/>
      <c r="J450" s="150"/>
    </row>
    <row r="451" spans="6:10" x14ac:dyDescent="0.3">
      <c r="F451" s="150"/>
      <c r="J451" s="150"/>
    </row>
    <row r="452" spans="6:10" x14ac:dyDescent="0.3">
      <c r="F452" s="150"/>
      <c r="J452" s="150"/>
    </row>
    <row r="453" spans="6:10" x14ac:dyDescent="0.3">
      <c r="F453" s="150"/>
      <c r="J453" s="150"/>
    </row>
    <row r="454" spans="6:10" x14ac:dyDescent="0.3">
      <c r="F454" s="150"/>
      <c r="J454" s="150"/>
    </row>
    <row r="455" spans="6:10" x14ac:dyDescent="0.3">
      <c r="F455" s="150"/>
      <c r="J455" s="150"/>
    </row>
    <row r="456" spans="6:10" x14ac:dyDescent="0.3">
      <c r="F456" s="150"/>
      <c r="J456" s="150"/>
    </row>
    <row r="457" spans="6:10" x14ac:dyDescent="0.3">
      <c r="F457" s="150"/>
      <c r="J457" s="150"/>
    </row>
    <row r="458" spans="6:10" x14ac:dyDescent="0.3">
      <c r="F458" s="150"/>
      <c r="J458" s="150"/>
    </row>
    <row r="459" spans="6:10" x14ac:dyDescent="0.3">
      <c r="F459" s="150"/>
      <c r="J459" s="150"/>
    </row>
    <row r="460" spans="6:10" x14ac:dyDescent="0.3">
      <c r="F460" s="150"/>
      <c r="J460" s="150"/>
    </row>
    <row r="461" spans="6:10" x14ac:dyDescent="0.3">
      <c r="F461" s="150"/>
      <c r="J461" s="150"/>
    </row>
    <row r="462" spans="6:10" x14ac:dyDescent="0.3">
      <c r="F462" s="150"/>
      <c r="J462" s="150"/>
    </row>
    <row r="463" spans="6:10" x14ac:dyDescent="0.3">
      <c r="F463" s="150"/>
      <c r="J463" s="150"/>
    </row>
    <row r="464" spans="6:10" x14ac:dyDescent="0.3">
      <c r="F464" s="150"/>
      <c r="J464" s="150"/>
    </row>
    <row r="465" spans="6:10" x14ac:dyDescent="0.3">
      <c r="F465" s="150"/>
      <c r="J465" s="150"/>
    </row>
    <row r="466" spans="6:10" x14ac:dyDescent="0.3">
      <c r="F466" s="150"/>
      <c r="J466" s="150"/>
    </row>
    <row r="467" spans="6:10" x14ac:dyDescent="0.3">
      <c r="F467" s="150"/>
      <c r="J467" s="150"/>
    </row>
    <row r="468" spans="6:10" x14ac:dyDescent="0.3">
      <c r="F468" s="150"/>
      <c r="J468" s="150"/>
    </row>
    <row r="469" spans="6:10" x14ac:dyDescent="0.3">
      <c r="F469" s="150"/>
      <c r="J469" s="150"/>
    </row>
    <row r="470" spans="6:10" x14ac:dyDescent="0.3">
      <c r="F470" s="150"/>
      <c r="J470" s="150"/>
    </row>
    <row r="471" spans="6:10" x14ac:dyDescent="0.3">
      <c r="F471" s="150"/>
      <c r="J471" s="150"/>
    </row>
    <row r="472" spans="6:10" x14ac:dyDescent="0.3">
      <c r="F472" s="150"/>
      <c r="J472" s="150"/>
    </row>
    <row r="473" spans="6:10" x14ac:dyDescent="0.3">
      <c r="F473" s="150"/>
      <c r="J473" s="150"/>
    </row>
    <row r="474" spans="6:10" x14ac:dyDescent="0.3">
      <c r="F474" s="150"/>
      <c r="J474" s="150"/>
    </row>
    <row r="475" spans="6:10" x14ac:dyDescent="0.3">
      <c r="F475" s="150"/>
      <c r="J475" s="150"/>
    </row>
    <row r="476" spans="6:10" x14ac:dyDescent="0.3">
      <c r="F476" s="150"/>
      <c r="J476" s="150"/>
    </row>
    <row r="477" spans="6:10" x14ac:dyDescent="0.3">
      <c r="F477" s="150"/>
      <c r="J477" s="150"/>
    </row>
    <row r="478" spans="6:10" x14ac:dyDescent="0.3">
      <c r="F478" s="150"/>
      <c r="J478" s="150"/>
    </row>
    <row r="479" spans="6:10" x14ac:dyDescent="0.3">
      <c r="F479" s="150"/>
      <c r="J479" s="150"/>
    </row>
    <row r="480" spans="6:10" x14ac:dyDescent="0.3">
      <c r="F480" s="150"/>
      <c r="J480" s="150"/>
    </row>
    <row r="481" spans="6:10" x14ac:dyDescent="0.3">
      <c r="F481" s="150"/>
      <c r="J481" s="150"/>
    </row>
    <row r="482" spans="6:10" x14ac:dyDescent="0.3">
      <c r="F482" s="150"/>
      <c r="J482" s="150"/>
    </row>
    <row r="483" spans="6:10" x14ac:dyDescent="0.3">
      <c r="F483" s="150"/>
      <c r="J483" s="150"/>
    </row>
    <row r="484" spans="6:10" x14ac:dyDescent="0.3">
      <c r="F484" s="150"/>
      <c r="J484" s="150"/>
    </row>
    <row r="485" spans="6:10" x14ac:dyDescent="0.3">
      <c r="F485" s="150"/>
      <c r="J485" s="150"/>
    </row>
    <row r="486" spans="6:10" x14ac:dyDescent="0.3">
      <c r="F486" s="150"/>
      <c r="J486" s="150"/>
    </row>
    <row r="487" spans="6:10" x14ac:dyDescent="0.3">
      <c r="F487" s="150"/>
      <c r="J487" s="150"/>
    </row>
    <row r="488" spans="6:10" x14ac:dyDescent="0.3">
      <c r="F488" s="150"/>
      <c r="J488" s="150"/>
    </row>
    <row r="489" spans="6:10" x14ac:dyDescent="0.3">
      <c r="F489" s="150"/>
      <c r="J489" s="150"/>
    </row>
    <row r="490" spans="6:10" x14ac:dyDescent="0.3">
      <c r="F490" s="150"/>
      <c r="J490" s="150"/>
    </row>
    <row r="491" spans="6:10" x14ac:dyDescent="0.3">
      <c r="F491" s="150"/>
      <c r="J491" s="150"/>
    </row>
    <row r="492" spans="6:10" x14ac:dyDescent="0.3">
      <c r="F492" s="150"/>
      <c r="J492" s="150"/>
    </row>
    <row r="493" spans="6:10" x14ac:dyDescent="0.3">
      <c r="F493" s="150"/>
      <c r="J493" s="150"/>
    </row>
    <row r="494" spans="6:10" x14ac:dyDescent="0.3">
      <c r="F494" s="150"/>
      <c r="J494" s="150"/>
    </row>
    <row r="495" spans="6:10" x14ac:dyDescent="0.3">
      <c r="F495" s="150"/>
      <c r="J495" s="150"/>
    </row>
    <row r="496" spans="6:10" x14ac:dyDescent="0.3">
      <c r="F496" s="150"/>
      <c r="J496" s="150"/>
    </row>
    <row r="497" spans="6:10" x14ac:dyDescent="0.3">
      <c r="F497" s="150"/>
      <c r="J497" s="150"/>
    </row>
    <row r="498" spans="6:10" x14ac:dyDescent="0.3">
      <c r="F498" s="150"/>
      <c r="J498" s="150"/>
    </row>
    <row r="499" spans="6:10" x14ac:dyDescent="0.3">
      <c r="F499" s="150"/>
      <c r="J499" s="150"/>
    </row>
    <row r="500" spans="6:10" x14ac:dyDescent="0.3">
      <c r="F500" s="150"/>
      <c r="J500" s="150"/>
    </row>
  </sheetData>
  <mergeCells count="3">
    <mergeCell ref="B1:C1"/>
    <mergeCell ref="I1:J1"/>
    <mergeCell ref="F1:H1"/>
  </mergeCells>
  <conditionalFormatting sqref="B2">
    <cfRule type="duplicateValues" dxfId="0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7" r:id="rId3" name="Button 5">
              <controlPr defaultSize="0" print="0" autoFill="0" autoPict="0" macro="[0]!journal">
                <anchor moveWithCells="1" sizeWithCells="1">
                  <from>
                    <xdr:col>10</xdr:col>
                    <xdr:colOff>533400</xdr:colOff>
                    <xdr:row>0</xdr:row>
                    <xdr:rowOff>335280</xdr:rowOff>
                  </from>
                  <to>
                    <xdr:col>13</xdr:col>
                    <xdr:colOff>487680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4" name="Button 7">
              <controlPr defaultSize="0" print="0" autoFill="0" autoPict="0" macro="[0]!clear4">
                <anchor moveWithCells="1" sizeWithCells="1">
                  <from>
                    <xdr:col>11</xdr:col>
                    <xdr:colOff>7620</xdr:colOff>
                    <xdr:row>1</xdr:row>
                    <xdr:rowOff>312420</xdr:rowOff>
                  </from>
                  <to>
                    <xdr:col>13</xdr:col>
                    <xdr:colOff>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Inventaire des produits</vt:lpstr>
      <vt:lpstr>entrant</vt:lpstr>
      <vt:lpstr>vente</vt:lpstr>
      <vt:lpstr>rechercher produit</vt:lpstr>
      <vt:lpstr>chercheur fourni</vt:lpstr>
      <vt:lpstr>chercheur client</vt:lpstr>
      <vt:lpstr>Rapp.journal</vt:lpstr>
      <vt:lpstr>'chercheur client'!Extract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2006-09-12T15:06:44Z</dcterms:created>
  <dcterms:modified xsi:type="dcterms:W3CDTF">2025-01-10T18:31:27Z</dcterms:modified>
</cp:coreProperties>
</file>